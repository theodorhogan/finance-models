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#Valuations/CIEN-US/"/>
    </mc:Choice>
  </mc:AlternateContent>
  <xr:revisionPtr revIDLastSave="2188" documentId="11_AD4DB114E441178AC67DF47D6E10C4A0683EDF12" xr6:coauthVersionLast="47" xr6:coauthVersionMax="47" xr10:uidLastSave="{600BC8D9-F808-4902-B249-29035B1DFCB0}"/>
  <bookViews>
    <workbookView xWindow="-120" yWindow="-120" windowWidth="38640" windowHeight="21120" xr2:uid="{00000000-000D-0000-FFFF-FFFF00000000}"/>
  </bookViews>
  <sheets>
    <sheet name="Financial Valuation" sheetId="16" r:id="rId1"/>
    <sheet name="Financial Output" sheetId="15" r:id="rId2"/>
    <sheet name="Scenario Manager" sheetId="14" r:id="rId3"/>
    <sheet name="model" sheetId="1" r:id="rId4"/>
    <sheet name="historical&gt;&gt;&gt;" sheetId="10" r:id="rId5"/>
    <sheet name="IS_Static" sheetId="11" r:id="rId6"/>
    <sheet name="CF_Static" sheetId="13" r:id="rId7"/>
    <sheet name="BS_Static" sheetId="12" r:id="rId8"/>
  </sheets>
  <definedNames>
    <definedName name="estimate_start">model!$D$73</definedName>
    <definedName name="scenario_name">'Scenario Manager'!$D$10</definedName>
    <definedName name="scenario_number">'Scenario Manager'!$D$11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6" l="1"/>
  <c r="L101" i="15" l="1"/>
  <c r="M101" i="15" s="1"/>
  <c r="N101" i="15" s="1"/>
  <c r="O101" i="15" s="1"/>
  <c r="P101" i="15" s="1"/>
  <c r="K101" i="15" l="1"/>
  <c r="J101" i="15" s="1"/>
  <c r="I101" i="15" s="1"/>
  <c r="H101" i="15" s="1"/>
  <c r="G101" i="15" s="1"/>
  <c r="L49" i="15" l="1"/>
  <c r="M49" i="15" s="1"/>
  <c r="N49" i="15" s="1"/>
  <c r="O49" i="15" s="1"/>
  <c r="P49" i="15" s="1"/>
  <c r="K49" i="15" l="1"/>
  <c r="J49" i="15" s="1"/>
  <c r="I49" i="15" s="1"/>
  <c r="H49" i="15" s="1"/>
  <c r="G49" i="15" s="1"/>
  <c r="L10" i="15" l="1"/>
  <c r="D5" i="15"/>
  <c r="H70" i="14"/>
  <c r="I70" i="14" s="1"/>
  <c r="J70" i="14" s="1"/>
  <c r="G70" i="14"/>
  <c r="X2" i="1"/>
  <c r="Y2" i="1" s="1"/>
  <c r="Z2" i="1" s="1"/>
  <c r="AA2" i="1" s="1"/>
  <c r="AB2" i="1" s="1"/>
  <c r="V92" i="1"/>
  <c r="U92" i="1"/>
  <c r="T92" i="1"/>
  <c r="S92" i="1"/>
  <c r="R92" i="1"/>
  <c r="Q92" i="1"/>
  <c r="P92" i="1"/>
  <c r="O92" i="1"/>
  <c r="N92" i="1"/>
  <c r="W92" i="1"/>
  <c r="AB66" i="1"/>
  <c r="AA66" i="1"/>
  <c r="Z66" i="1"/>
  <c r="Y66" i="1"/>
  <c r="X66" i="1"/>
  <c r="W137" i="1"/>
  <c r="V137" i="1"/>
  <c r="U137" i="1"/>
  <c r="T137" i="1"/>
  <c r="S137" i="1"/>
  <c r="R137" i="1"/>
  <c r="Q137" i="1"/>
  <c r="P137" i="1"/>
  <c r="O137" i="1"/>
  <c r="N137" i="1"/>
  <c r="W136" i="1"/>
  <c r="V136" i="1"/>
  <c r="U136" i="1"/>
  <c r="T136" i="1"/>
  <c r="S136" i="1"/>
  <c r="R136" i="1"/>
  <c r="Q136" i="1"/>
  <c r="P136" i="1"/>
  <c r="O136" i="1"/>
  <c r="N136" i="1"/>
  <c r="W142" i="1"/>
  <c r="W135" i="1"/>
  <c r="V135" i="1"/>
  <c r="U135" i="1"/>
  <c r="T135" i="1"/>
  <c r="S135" i="1"/>
  <c r="R135" i="1"/>
  <c r="Q135" i="1"/>
  <c r="P135" i="1"/>
  <c r="O135" i="1"/>
  <c r="N135" i="1"/>
  <c r="W63" i="1"/>
  <c r="N43" i="1"/>
  <c r="O134" i="1" s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W138" i="1"/>
  <c r="W141" i="1" s="1"/>
  <c r="V138" i="1"/>
  <c r="U138" i="1"/>
  <c r="T138" i="1"/>
  <c r="S138" i="1"/>
  <c r="R138" i="1"/>
  <c r="Q138" i="1"/>
  <c r="P138" i="1"/>
  <c r="O138" i="1"/>
  <c r="O141" i="1" s="1"/>
  <c r="N138" i="1"/>
  <c r="L113" i="15" l="1" a="1"/>
  <c r="L113" i="15" s="1"/>
  <c r="L119" i="15" a="1"/>
  <c r="L119" i="15" s="1"/>
  <c r="L114" i="15" a="1"/>
  <c r="L114" i="15" s="1"/>
  <c r="L84" i="15" a="1"/>
  <c r="L84" i="15" s="1"/>
  <c r="L93" i="15" a="1"/>
  <c r="L93" i="15" s="1"/>
  <c r="L79" i="15" a="1"/>
  <c r="L79" i="15" s="1"/>
  <c r="L85" i="15" a="1"/>
  <c r="L85" i="15" s="1"/>
  <c r="L64" i="15" a="1"/>
  <c r="L64" i="15" s="1"/>
  <c r="L62" i="15" a="1"/>
  <c r="L62" i="15" s="1"/>
  <c r="L67" i="15" a="1"/>
  <c r="L67" i="15" s="1"/>
  <c r="L68" i="15" a="1"/>
  <c r="L68" i="15" s="1"/>
  <c r="M10" i="15"/>
  <c r="L41" i="15" a="1"/>
  <c r="L41" i="15" s="1"/>
  <c r="K10" i="15"/>
  <c r="P141" i="1"/>
  <c r="N141" i="1"/>
  <c r="V141" i="1"/>
  <c r="Q141" i="1"/>
  <c r="R141" i="1"/>
  <c r="S141" i="1"/>
  <c r="T141" i="1"/>
  <c r="U141" i="1"/>
  <c r="X127" i="1"/>
  <c r="Y127" i="1" s="1"/>
  <c r="Z127" i="1" s="1"/>
  <c r="AA127" i="1" s="1"/>
  <c r="AB127" i="1" s="1"/>
  <c r="V129" i="1"/>
  <c r="U129" i="1"/>
  <c r="T129" i="1"/>
  <c r="S129" i="1"/>
  <c r="R129" i="1"/>
  <c r="Q129" i="1"/>
  <c r="P129" i="1"/>
  <c r="O129" i="1"/>
  <c r="N129" i="1"/>
  <c r="W129" i="1"/>
  <c r="X113" i="1"/>
  <c r="Y113" i="1" s="1"/>
  <c r="X111" i="1"/>
  <c r="Y111" i="1" s="1"/>
  <c r="Z111" i="1" s="1"/>
  <c r="AA111" i="1" s="1"/>
  <c r="AB111" i="1" s="1"/>
  <c r="AC111" i="1" s="1"/>
  <c r="F3" i="14"/>
  <c r="G3" i="14" s="1"/>
  <c r="H3" i="14" s="1"/>
  <c r="I3" i="14" s="1"/>
  <c r="J3" i="14" s="1"/>
  <c r="K93" i="15" l="1" a="1"/>
  <c r="K93" i="15" s="1"/>
  <c r="K84" i="15" a="1"/>
  <c r="K84" i="15" s="1"/>
  <c r="K75" i="15" a="1"/>
  <c r="K75" i="15" s="1"/>
  <c r="K85" i="15" a="1"/>
  <c r="K85" i="15" s="1"/>
  <c r="K79" i="15" a="1"/>
  <c r="K79" i="15" s="1"/>
  <c r="K91" i="15" a="1"/>
  <c r="K91" i="15" s="1"/>
  <c r="K92" i="15" a="1"/>
  <c r="K92" i="15" s="1"/>
  <c r="K86" i="15" a="1"/>
  <c r="K86" i="15" s="1"/>
  <c r="K78" i="15" a="1"/>
  <c r="K78" i="15" s="1"/>
  <c r="M114" i="15" a="1"/>
  <c r="M114" i="15" s="1"/>
  <c r="M113" i="15" a="1"/>
  <c r="M113" i="15" s="1"/>
  <c r="M119" i="15" a="1"/>
  <c r="M119" i="15" s="1"/>
  <c r="M93" i="15" a="1"/>
  <c r="M93" i="15" s="1"/>
  <c r="M85" i="15" a="1"/>
  <c r="M85" i="15" s="1"/>
  <c r="M84" i="15" a="1"/>
  <c r="M84" i="15" s="1"/>
  <c r="M79" i="15" a="1"/>
  <c r="M79" i="15" s="1"/>
  <c r="M62" i="15" a="1"/>
  <c r="M62" i="15" s="1"/>
  <c r="M68" i="15" a="1"/>
  <c r="M68" i="15" s="1"/>
  <c r="M64" i="15" a="1"/>
  <c r="M64" i="15" s="1"/>
  <c r="M67" i="15" a="1"/>
  <c r="M67" i="15" s="1"/>
  <c r="K68" i="15" a="1"/>
  <c r="K68" i="15" s="1"/>
  <c r="K53" i="15" a="1"/>
  <c r="K53" i="15" s="1"/>
  <c r="K54" i="15" s="1"/>
  <c r="K64" i="15" a="1"/>
  <c r="K64" i="15" s="1"/>
  <c r="K69" i="15" a="1"/>
  <c r="K69" i="15" s="1"/>
  <c r="K56" i="15" a="1"/>
  <c r="K56" i="15" s="1"/>
  <c r="K67" i="15" a="1"/>
  <c r="K67" i="15" s="1"/>
  <c r="K65" i="15" a="1"/>
  <c r="K65" i="15" s="1"/>
  <c r="K70" i="15" a="1"/>
  <c r="K70" i="15" s="1"/>
  <c r="K57" i="15" a="1"/>
  <c r="K57" i="15" s="1"/>
  <c r="K62" i="15" a="1"/>
  <c r="K62" i="15" s="1"/>
  <c r="K52" i="15" a="1"/>
  <c r="K52" i="15" s="1"/>
  <c r="M41" i="15" a="1"/>
  <c r="M41" i="15" s="1"/>
  <c r="N10" i="15"/>
  <c r="J10" i="15"/>
  <c r="K35" i="15" a="1"/>
  <c r="K35" i="15" s="1"/>
  <c r="K18" i="15" a="1"/>
  <c r="K18" i="15" s="1"/>
  <c r="K12" i="15" a="1"/>
  <c r="K12" i="15" s="1"/>
  <c r="K41" i="15" a="1"/>
  <c r="K41" i="15" s="1"/>
  <c r="K20" i="15" a="1"/>
  <c r="K20" i="15" s="1"/>
  <c r="K30" i="15" a="1"/>
  <c r="K30" i="15" s="1"/>
  <c r="K25" i="15" a="1"/>
  <c r="K25" i="15" s="1"/>
  <c r="K19" i="15" a="1"/>
  <c r="K19" i="15" s="1"/>
  <c r="K13" i="15" a="1"/>
  <c r="K13" i="15" s="1"/>
  <c r="X121" i="1"/>
  <c r="Y121" i="1"/>
  <c r="X122" i="1"/>
  <c r="Z113" i="1"/>
  <c r="Y122" i="1" s="1"/>
  <c r="Y118" i="1"/>
  <c r="X118" i="1"/>
  <c r="N114" i="15" l="1" a="1"/>
  <c r="N114" i="15" s="1"/>
  <c r="N119" i="15" a="1"/>
  <c r="N119" i="15" s="1"/>
  <c r="N113" i="15" a="1"/>
  <c r="N113" i="15" s="1"/>
  <c r="N85" i="15" a="1"/>
  <c r="N85" i="15" s="1"/>
  <c r="N84" i="15" a="1"/>
  <c r="N84" i="15" s="1"/>
  <c r="N79" i="15" a="1"/>
  <c r="N79" i="15" s="1"/>
  <c r="N93" i="15" a="1"/>
  <c r="N93" i="15" s="1"/>
  <c r="K81" i="15"/>
  <c r="K88" i="15" s="1"/>
  <c r="K95" i="15" s="1"/>
  <c r="J93" i="15" a="1"/>
  <c r="J93" i="15" s="1"/>
  <c r="J84" i="15" a="1"/>
  <c r="J84" i="15" s="1"/>
  <c r="J79" i="15" a="1"/>
  <c r="J79" i="15" s="1"/>
  <c r="J75" i="15" a="1"/>
  <c r="J75" i="15" s="1"/>
  <c r="J78" i="15" a="1"/>
  <c r="J78" i="15" s="1"/>
  <c r="J92" i="15" a="1"/>
  <c r="J92" i="15" s="1"/>
  <c r="J91" i="15" a="1"/>
  <c r="J91" i="15" s="1"/>
  <c r="J85" i="15" a="1"/>
  <c r="J85" i="15" s="1"/>
  <c r="J86" i="15" a="1"/>
  <c r="J86" i="15" s="1"/>
  <c r="J65" i="15" a="1"/>
  <c r="J65" i="15" s="1"/>
  <c r="J68" i="15" a="1"/>
  <c r="J68" i="15" s="1"/>
  <c r="J69" i="15" a="1"/>
  <c r="J69" i="15" s="1"/>
  <c r="J53" i="15" a="1"/>
  <c r="J53" i="15" s="1"/>
  <c r="J70" i="15" a="1"/>
  <c r="J70" i="15" s="1"/>
  <c r="J57" i="15" a="1"/>
  <c r="J57" i="15" s="1"/>
  <c r="J52" i="15" a="1"/>
  <c r="J52" i="15" s="1"/>
  <c r="J64" i="15" a="1"/>
  <c r="J64" i="15" s="1"/>
  <c r="J56" i="15" a="1"/>
  <c r="J56" i="15" s="1"/>
  <c r="J67" i="15" a="1"/>
  <c r="J67" i="15" s="1"/>
  <c r="J62" i="15" a="1"/>
  <c r="J62" i="15" s="1"/>
  <c r="N68" i="15" a="1"/>
  <c r="N68" i="15" s="1"/>
  <c r="N64" i="15" a="1"/>
  <c r="N64" i="15" s="1"/>
  <c r="N67" i="15" a="1"/>
  <c r="N67" i="15" s="1"/>
  <c r="N62" i="15" a="1"/>
  <c r="N62" i="15" s="1"/>
  <c r="K59" i="15"/>
  <c r="K72" i="15" s="1"/>
  <c r="O10" i="15"/>
  <c r="N41" i="15" a="1"/>
  <c r="N41" i="15" s="1"/>
  <c r="K15" i="15"/>
  <c r="K16" i="15" s="1"/>
  <c r="I10" i="15"/>
  <c r="J30" i="15" a="1"/>
  <c r="J30" i="15" s="1"/>
  <c r="J25" i="15" a="1"/>
  <c r="J25" i="15" s="1"/>
  <c r="J19" i="15" a="1"/>
  <c r="J19" i="15" s="1"/>
  <c r="J13" i="15" a="1"/>
  <c r="J13" i="15" s="1"/>
  <c r="J20" i="15" a="1"/>
  <c r="J20" i="15" s="1"/>
  <c r="J35" i="15" a="1"/>
  <c r="J35" i="15" s="1"/>
  <c r="J18" i="15" a="1"/>
  <c r="J18" i="15" s="1"/>
  <c r="J12" i="15" a="1"/>
  <c r="J12" i="15" s="1"/>
  <c r="J41" i="15" a="1"/>
  <c r="J41" i="15" s="1"/>
  <c r="X123" i="1"/>
  <c r="X38" i="1" s="1"/>
  <c r="Z121" i="1"/>
  <c r="Y123" i="1"/>
  <c r="Y38" i="1" s="1"/>
  <c r="AA113" i="1"/>
  <c r="Z118" i="1"/>
  <c r="J81" i="15" l="1"/>
  <c r="J88" i="15" s="1"/>
  <c r="J95" i="15" s="1"/>
  <c r="O114" i="15" a="1"/>
  <c r="O114" i="15" s="1"/>
  <c r="O113" i="15" a="1"/>
  <c r="O113" i="15" s="1"/>
  <c r="O119" i="15" a="1"/>
  <c r="O119" i="15" s="1"/>
  <c r="O93" i="15" a="1"/>
  <c r="O93" i="15" s="1"/>
  <c r="O85" i="15" a="1"/>
  <c r="O85" i="15" s="1"/>
  <c r="O84" i="15" a="1"/>
  <c r="O84" i="15" s="1"/>
  <c r="O79" i="15" a="1"/>
  <c r="O79" i="15" s="1"/>
  <c r="I92" i="15" a="1"/>
  <c r="I92" i="15" s="1"/>
  <c r="I93" i="15" a="1"/>
  <c r="I93" i="15" s="1"/>
  <c r="I84" i="15" a="1"/>
  <c r="I84" i="15" s="1"/>
  <c r="I78" i="15" a="1"/>
  <c r="I78" i="15" s="1"/>
  <c r="I75" i="15" a="1"/>
  <c r="I75" i="15" s="1"/>
  <c r="I81" i="15" s="1"/>
  <c r="I88" i="15" s="1"/>
  <c r="I95" i="15" s="1"/>
  <c r="I91" i="15" a="1"/>
  <c r="I91" i="15" s="1"/>
  <c r="I79" i="15" a="1"/>
  <c r="I79" i="15" s="1"/>
  <c r="I86" i="15" a="1"/>
  <c r="I86" i="15" s="1"/>
  <c r="I85" i="15" a="1"/>
  <c r="I85" i="15" s="1"/>
  <c r="K97" i="15"/>
  <c r="K27" i="15"/>
  <c r="I52" i="15" a="1"/>
  <c r="I52" i="15" s="1"/>
  <c r="I67" i="15" a="1"/>
  <c r="I67" i="15" s="1"/>
  <c r="I56" i="15" a="1"/>
  <c r="I56" i="15" s="1"/>
  <c r="I62" i="15" a="1"/>
  <c r="I62" i="15" s="1"/>
  <c r="I64" i="15" a="1"/>
  <c r="I64" i="15" s="1"/>
  <c r="I69" i="15" a="1"/>
  <c r="I69" i="15" s="1"/>
  <c r="I65" i="15" a="1"/>
  <c r="I65" i="15" s="1"/>
  <c r="I57" i="15" a="1"/>
  <c r="I57" i="15" s="1"/>
  <c r="I68" i="15" a="1"/>
  <c r="I68" i="15" s="1"/>
  <c r="I53" i="15" a="1"/>
  <c r="I53" i="15" s="1"/>
  <c r="I70" i="15" a="1"/>
  <c r="I70" i="15" s="1"/>
  <c r="O67" i="15" a="1"/>
  <c r="O67" i="15" s="1"/>
  <c r="O62" i="15" a="1"/>
  <c r="O62" i="15" s="1"/>
  <c r="O64" i="15" a="1"/>
  <c r="O64" i="15" s="1"/>
  <c r="O68" i="15" a="1"/>
  <c r="O68" i="15" s="1"/>
  <c r="J59" i="15"/>
  <c r="J72" i="15"/>
  <c r="J97" i="15" s="1"/>
  <c r="J54" i="15"/>
  <c r="J15" i="15"/>
  <c r="J16" i="15" s="1"/>
  <c r="K22" i="15"/>
  <c r="P10" i="15"/>
  <c r="O41" i="15" a="1"/>
  <c r="O41" i="15" s="1"/>
  <c r="H10" i="15"/>
  <c r="I30" i="15" a="1"/>
  <c r="I30" i="15" s="1"/>
  <c r="I25" i="15" a="1"/>
  <c r="I25" i="15" s="1"/>
  <c r="I19" i="15" a="1"/>
  <c r="I19" i="15" s="1"/>
  <c r="I13" i="15" a="1"/>
  <c r="I13" i="15" s="1"/>
  <c r="I41" i="15" a="1"/>
  <c r="I41" i="15" s="1"/>
  <c r="I35" i="15" a="1"/>
  <c r="I35" i="15" s="1"/>
  <c r="I18" i="15" a="1"/>
  <c r="I18" i="15" s="1"/>
  <c r="I12" i="15" a="1"/>
  <c r="I12" i="15" s="1"/>
  <c r="I20" i="15" a="1"/>
  <c r="I20" i="15" s="1"/>
  <c r="K28" i="15"/>
  <c r="K32" i="15"/>
  <c r="Z122" i="1"/>
  <c r="Z123" i="1" s="1"/>
  <c r="Z38" i="1" s="1"/>
  <c r="AA121" i="1"/>
  <c r="AB113" i="1"/>
  <c r="AB121" i="1" s="1"/>
  <c r="AA118" i="1"/>
  <c r="H78" i="15" l="1" a="1"/>
  <c r="H78" i="15" s="1"/>
  <c r="H75" i="15" a="1"/>
  <c r="H75" i="15" s="1"/>
  <c r="H92" i="15" a="1"/>
  <c r="H92" i="15" s="1"/>
  <c r="H91" i="15" a="1"/>
  <c r="H91" i="15" s="1"/>
  <c r="H86" i="15" a="1"/>
  <c r="H86" i="15" s="1"/>
  <c r="H93" i="15" a="1"/>
  <c r="H93" i="15" s="1"/>
  <c r="H84" i="15" a="1"/>
  <c r="H84" i="15" s="1"/>
  <c r="H79" i="15" a="1"/>
  <c r="H79" i="15" s="1"/>
  <c r="H85" i="15" a="1"/>
  <c r="H85" i="15" s="1"/>
  <c r="P119" i="15" a="1"/>
  <c r="P119" i="15" s="1"/>
  <c r="P114" i="15" a="1"/>
  <c r="P114" i="15" s="1"/>
  <c r="P113" i="15" a="1"/>
  <c r="P113" i="15" s="1"/>
  <c r="P85" i="15" a="1"/>
  <c r="P85" i="15" s="1"/>
  <c r="P79" i="15" a="1"/>
  <c r="P79" i="15" s="1"/>
  <c r="P93" i="15" a="1"/>
  <c r="P93" i="15" s="1"/>
  <c r="P84" i="15" a="1"/>
  <c r="P84" i="15" s="1"/>
  <c r="J22" i="15"/>
  <c r="P67" i="15" a="1"/>
  <c r="P67" i="15" s="1"/>
  <c r="P68" i="15" a="1"/>
  <c r="P68" i="15" s="1"/>
  <c r="P62" i="15" a="1"/>
  <c r="P62" i="15" s="1"/>
  <c r="P64" i="15" a="1"/>
  <c r="P64" i="15" s="1"/>
  <c r="H68" i="15" a="1"/>
  <c r="H68" i="15" s="1"/>
  <c r="H64" i="15" a="1"/>
  <c r="H64" i="15" s="1"/>
  <c r="H69" i="15" a="1"/>
  <c r="H69" i="15" s="1"/>
  <c r="H53" i="15" a="1"/>
  <c r="H53" i="15" s="1"/>
  <c r="H62" i="15" a="1"/>
  <c r="H62" i="15" s="1"/>
  <c r="H57" i="15" a="1"/>
  <c r="H57" i="15" s="1"/>
  <c r="H52" i="15" a="1"/>
  <c r="H52" i="15" s="1"/>
  <c r="H65" i="15" a="1"/>
  <c r="H65" i="15" s="1"/>
  <c r="H70" i="15" a="1"/>
  <c r="H70" i="15" s="1"/>
  <c r="H67" i="15" a="1"/>
  <c r="H67" i="15" s="1"/>
  <c r="H56" i="15" a="1"/>
  <c r="H56" i="15" s="1"/>
  <c r="I54" i="15"/>
  <c r="J27" i="15"/>
  <c r="J28" i="15" s="1"/>
  <c r="I59" i="15"/>
  <c r="I72" i="15" s="1"/>
  <c r="I97" i="15" s="1"/>
  <c r="P41" i="15" a="1"/>
  <c r="P41" i="15" s="1"/>
  <c r="J32" i="15"/>
  <c r="K38" i="15"/>
  <c r="K33" i="15"/>
  <c r="K36" i="15"/>
  <c r="I15" i="15"/>
  <c r="G10" i="15"/>
  <c r="H20" i="15" a="1"/>
  <c r="H20" i="15" s="1"/>
  <c r="H30" i="15" a="1"/>
  <c r="H30" i="15" s="1"/>
  <c r="H25" i="15" a="1"/>
  <c r="H25" i="15" s="1"/>
  <c r="H19" i="15" a="1"/>
  <c r="H19" i="15" s="1"/>
  <c r="H13" i="15" a="1"/>
  <c r="H13" i="15" s="1"/>
  <c r="H35" i="15" a="1"/>
  <c r="H35" i="15" s="1"/>
  <c r="H18" i="15" a="1"/>
  <c r="H18" i="15" s="1"/>
  <c r="H12" i="15" a="1"/>
  <c r="H12" i="15" s="1"/>
  <c r="H41" i="15" a="1"/>
  <c r="H41" i="15" s="1"/>
  <c r="AB118" i="1"/>
  <c r="AC113" i="1"/>
  <c r="AB122" i="1" s="1"/>
  <c r="AB123" i="1" s="1"/>
  <c r="AB38" i="1" s="1"/>
  <c r="AA122" i="1"/>
  <c r="AA123" i="1" s="1"/>
  <c r="AA38" i="1" s="1"/>
  <c r="H81" i="15" l="1"/>
  <c r="H88" i="15" s="1"/>
  <c r="H95" i="15" s="1"/>
  <c r="G93" i="15" a="1"/>
  <c r="G93" i="15" s="1"/>
  <c r="G91" i="15" a="1"/>
  <c r="G91" i="15" s="1"/>
  <c r="H54" i="15"/>
  <c r="G92" i="15" a="1"/>
  <c r="G92" i="15" s="1"/>
  <c r="G86" i="15" a="1"/>
  <c r="G86" i="15" s="1"/>
  <c r="G85" i="15" a="1"/>
  <c r="G85" i="15" s="1"/>
  <c r="G84" i="15" a="1"/>
  <c r="G84" i="15" s="1"/>
  <c r="G79" i="15" a="1"/>
  <c r="G79" i="15" s="1"/>
  <c r="G69" i="15" a="1"/>
  <c r="G69" i="15" s="1"/>
  <c r="G78" i="15" a="1"/>
  <c r="G78" i="15" s="1"/>
  <c r="G68" i="15" a="1"/>
  <c r="G68" i="15" s="1"/>
  <c r="G67" i="15" a="1"/>
  <c r="G67" i="15" s="1"/>
  <c r="G75" i="15" a="1"/>
  <c r="G75" i="15" s="1"/>
  <c r="G81" i="15" s="1"/>
  <c r="G70" i="15" a="1"/>
  <c r="G70" i="15" s="1"/>
  <c r="H59" i="15"/>
  <c r="H72" i="15" s="1"/>
  <c r="H97" i="15" s="1"/>
  <c r="G62" i="15" a="1"/>
  <c r="G62" i="15" s="1"/>
  <c r="G57" i="15" a="1"/>
  <c r="G57" i="15" s="1"/>
  <c r="G56" i="15" a="1"/>
  <c r="G56" i="15" s="1"/>
  <c r="G53" i="15" a="1"/>
  <c r="G53" i="15" s="1"/>
  <c r="G65" i="15" a="1"/>
  <c r="G65" i="15" s="1"/>
  <c r="G52" i="15" a="1"/>
  <c r="G52" i="15" s="1"/>
  <c r="G59" i="15" s="1"/>
  <c r="G64" i="15" a="1"/>
  <c r="G64" i="15" s="1"/>
  <c r="H15" i="15"/>
  <c r="H22" i="15" s="1"/>
  <c r="G41" i="15" a="1"/>
  <c r="G41" i="15" s="1"/>
  <c r="G20" i="15" a="1"/>
  <c r="G20" i="15" s="1"/>
  <c r="G30" i="15" a="1"/>
  <c r="G30" i="15" s="1"/>
  <c r="G25" i="15" a="1"/>
  <c r="G25" i="15" s="1"/>
  <c r="G19" i="15" a="1"/>
  <c r="G19" i="15" s="1"/>
  <c r="G13" i="15" a="1"/>
  <c r="G13" i="15" s="1"/>
  <c r="G35" i="15" a="1"/>
  <c r="G35" i="15" s="1"/>
  <c r="G18" i="15" a="1"/>
  <c r="G18" i="15" s="1"/>
  <c r="G12" i="15" a="1"/>
  <c r="G12" i="15" s="1"/>
  <c r="K43" i="15"/>
  <c r="K39" i="15"/>
  <c r="I27" i="15"/>
  <c r="I16" i="15"/>
  <c r="I22" i="15"/>
  <c r="J38" i="15"/>
  <c r="J33" i="15"/>
  <c r="J36" i="15"/>
  <c r="F82" i="14"/>
  <c r="G82" i="14" s="1"/>
  <c r="H82" i="14" s="1"/>
  <c r="I82" i="14" s="1"/>
  <c r="J82" i="14" s="1"/>
  <c r="F60" i="14"/>
  <c r="G60" i="14" s="1"/>
  <c r="H60" i="14" s="1"/>
  <c r="I60" i="14" s="1"/>
  <c r="J60" i="14" s="1"/>
  <c r="F38" i="14"/>
  <c r="G38" i="14" s="1"/>
  <c r="H38" i="14" s="1"/>
  <c r="I38" i="14" s="1"/>
  <c r="J38" i="14" s="1"/>
  <c r="D11" i="14"/>
  <c r="D4" i="15" l="1"/>
  <c r="D4" i="16"/>
  <c r="G54" i="15"/>
  <c r="G72" i="15"/>
  <c r="G88" i="15"/>
  <c r="G95" i="15" s="1"/>
  <c r="G15" i="15"/>
  <c r="G22" i="15" s="1"/>
  <c r="H16" i="15"/>
  <c r="H27" i="15"/>
  <c r="H32" i="15" s="1"/>
  <c r="J39" i="15"/>
  <c r="J43" i="15"/>
  <c r="I28" i="15"/>
  <c r="I32" i="15"/>
  <c r="J33" i="14"/>
  <c r="J29" i="14"/>
  <c r="I29" i="14"/>
  <c r="H29" i="14"/>
  <c r="G29" i="14"/>
  <c r="F29" i="14"/>
  <c r="G18" i="14"/>
  <c r="H32" i="14"/>
  <c r="G15" i="14"/>
  <c r="J16" i="14"/>
  <c r="H18" i="14"/>
  <c r="F20" i="14"/>
  <c r="I21" i="14"/>
  <c r="G24" i="14"/>
  <c r="J25" i="14"/>
  <c r="H27" i="14"/>
  <c r="F30" i="14"/>
  <c r="I32" i="14"/>
  <c r="H21" i="14"/>
  <c r="H15" i="14"/>
  <c r="F17" i="14"/>
  <c r="I18" i="14"/>
  <c r="G20" i="14"/>
  <c r="J21" i="14"/>
  <c r="H24" i="14"/>
  <c r="F26" i="14"/>
  <c r="I27" i="14"/>
  <c r="G30" i="14"/>
  <c r="J32" i="14"/>
  <c r="F14" i="14"/>
  <c r="I15" i="14"/>
  <c r="G17" i="14"/>
  <c r="J18" i="14"/>
  <c r="H20" i="14"/>
  <c r="F23" i="14"/>
  <c r="I24" i="14"/>
  <c r="G26" i="14"/>
  <c r="J27" i="14"/>
  <c r="H30" i="14"/>
  <c r="F33" i="14"/>
  <c r="G27" i="14"/>
  <c r="G14" i="14"/>
  <c r="J15" i="14"/>
  <c r="H17" i="14"/>
  <c r="F19" i="14"/>
  <c r="I20" i="14"/>
  <c r="G23" i="14"/>
  <c r="J24" i="14"/>
  <c r="H26" i="14"/>
  <c r="F28" i="14"/>
  <c r="I30" i="14"/>
  <c r="G33" i="14"/>
  <c r="J19" i="14"/>
  <c r="F24" i="14"/>
  <c r="H14" i="14"/>
  <c r="F16" i="14"/>
  <c r="I17" i="14"/>
  <c r="G19" i="14"/>
  <c r="J20" i="14"/>
  <c r="H23" i="14"/>
  <c r="F25" i="14"/>
  <c r="I26" i="14"/>
  <c r="G28" i="14"/>
  <c r="J30" i="14"/>
  <c r="H33" i="14"/>
  <c r="I16" i="14"/>
  <c r="J28" i="14"/>
  <c r="I14" i="14"/>
  <c r="G16" i="14"/>
  <c r="J17" i="14"/>
  <c r="H19" i="14"/>
  <c r="F21" i="14"/>
  <c r="I23" i="14"/>
  <c r="G25" i="14"/>
  <c r="J26" i="14"/>
  <c r="H28" i="14"/>
  <c r="F32" i="14"/>
  <c r="I33" i="14"/>
  <c r="F15" i="14"/>
  <c r="I25" i="14"/>
  <c r="J14" i="14"/>
  <c r="H16" i="14"/>
  <c r="F18" i="14"/>
  <c r="I19" i="14"/>
  <c r="G21" i="14"/>
  <c r="J23" i="14"/>
  <c r="H25" i="14"/>
  <c r="F27" i="14"/>
  <c r="I28" i="14"/>
  <c r="G32" i="14"/>
  <c r="G97" i="15" l="1"/>
  <c r="H28" i="15"/>
  <c r="G27" i="15"/>
  <c r="G16" i="15"/>
  <c r="I38" i="15"/>
  <c r="I33" i="15"/>
  <c r="I36" i="15"/>
  <c r="G32" i="15"/>
  <c r="G28" i="15"/>
  <c r="H33" i="15"/>
  <c r="H38" i="15"/>
  <c r="H36" i="15"/>
  <c r="AB74" i="1"/>
  <c r="AA74" i="1"/>
  <c r="Z74" i="1"/>
  <c r="Y74" i="1"/>
  <c r="X74" i="1"/>
  <c r="N74" i="1"/>
  <c r="N73" i="1"/>
  <c r="O2" i="1"/>
  <c r="P2" i="1" s="1"/>
  <c r="W70" i="1"/>
  <c r="V70" i="1"/>
  <c r="U70" i="1"/>
  <c r="T70" i="1"/>
  <c r="S70" i="1"/>
  <c r="R70" i="1"/>
  <c r="Q70" i="1"/>
  <c r="P70" i="1"/>
  <c r="O70" i="1"/>
  <c r="N70" i="1"/>
  <c r="W68" i="1"/>
  <c r="V68" i="1"/>
  <c r="U68" i="1"/>
  <c r="T68" i="1"/>
  <c r="S68" i="1"/>
  <c r="R68" i="1"/>
  <c r="Q68" i="1"/>
  <c r="P68" i="1"/>
  <c r="O68" i="1"/>
  <c r="N68" i="1"/>
  <c r="W66" i="1"/>
  <c r="V66" i="1"/>
  <c r="U66" i="1"/>
  <c r="T66" i="1"/>
  <c r="S66" i="1"/>
  <c r="R66" i="1"/>
  <c r="Q66" i="1"/>
  <c r="P66" i="1"/>
  <c r="O66" i="1"/>
  <c r="N66" i="1"/>
  <c r="W65" i="1"/>
  <c r="V65" i="1"/>
  <c r="U65" i="1"/>
  <c r="T65" i="1"/>
  <c r="S65" i="1"/>
  <c r="R65" i="1"/>
  <c r="Q65" i="1"/>
  <c r="P65" i="1"/>
  <c r="O65" i="1"/>
  <c r="W64" i="1"/>
  <c r="V64" i="1"/>
  <c r="U64" i="1"/>
  <c r="T64" i="1"/>
  <c r="S64" i="1"/>
  <c r="R64" i="1"/>
  <c r="Q64" i="1"/>
  <c r="P64" i="1"/>
  <c r="O64" i="1"/>
  <c r="V63" i="1"/>
  <c r="U63" i="1"/>
  <c r="T63" i="1"/>
  <c r="S63" i="1"/>
  <c r="R63" i="1"/>
  <c r="Q63" i="1"/>
  <c r="P63" i="1"/>
  <c r="O63" i="1"/>
  <c r="N65" i="1"/>
  <c r="N64" i="1"/>
  <c r="N63" i="1"/>
  <c r="W59" i="1"/>
  <c r="V59" i="1"/>
  <c r="U59" i="1"/>
  <c r="T59" i="1"/>
  <c r="S59" i="1"/>
  <c r="R59" i="1"/>
  <c r="Q59" i="1"/>
  <c r="P59" i="1"/>
  <c r="O59" i="1"/>
  <c r="N59" i="1"/>
  <c r="W58" i="1"/>
  <c r="V58" i="1"/>
  <c r="U58" i="1"/>
  <c r="T58" i="1"/>
  <c r="S58" i="1"/>
  <c r="R58" i="1"/>
  <c r="Q58" i="1"/>
  <c r="P58" i="1"/>
  <c r="O58" i="1"/>
  <c r="N58" i="1"/>
  <c r="W60" i="1"/>
  <c r="W90" i="1" s="1"/>
  <c r="V60" i="1"/>
  <c r="V90" i="1" s="1"/>
  <c r="U60" i="1"/>
  <c r="U90" i="1" s="1"/>
  <c r="T60" i="1"/>
  <c r="T90" i="1" s="1"/>
  <c r="S60" i="1"/>
  <c r="S90" i="1" s="1"/>
  <c r="R60" i="1"/>
  <c r="R90" i="1" s="1"/>
  <c r="Q60" i="1"/>
  <c r="Q90" i="1" s="1"/>
  <c r="P60" i="1"/>
  <c r="P90" i="1" s="1"/>
  <c r="O60" i="1"/>
  <c r="O90" i="1" s="1"/>
  <c r="N60" i="1"/>
  <c r="N90" i="1" s="1"/>
  <c r="W55" i="1"/>
  <c r="V55" i="1"/>
  <c r="U55" i="1"/>
  <c r="T55" i="1"/>
  <c r="S55" i="1"/>
  <c r="R55" i="1"/>
  <c r="Q55" i="1"/>
  <c r="P55" i="1"/>
  <c r="O55" i="1"/>
  <c r="N55" i="1"/>
  <c r="W54" i="1"/>
  <c r="V54" i="1"/>
  <c r="U54" i="1"/>
  <c r="T54" i="1"/>
  <c r="S54" i="1"/>
  <c r="R54" i="1"/>
  <c r="Q54" i="1"/>
  <c r="P54" i="1"/>
  <c r="O54" i="1"/>
  <c r="N54" i="1"/>
  <c r="N53" i="1"/>
  <c r="W53" i="1"/>
  <c r="V53" i="1"/>
  <c r="U53" i="1"/>
  <c r="T53" i="1"/>
  <c r="S53" i="1"/>
  <c r="R53" i="1"/>
  <c r="Q53" i="1"/>
  <c r="P53" i="1"/>
  <c r="O53" i="1"/>
  <c r="W52" i="1"/>
  <c r="V52" i="1"/>
  <c r="U52" i="1"/>
  <c r="T52" i="1"/>
  <c r="S52" i="1"/>
  <c r="R52" i="1"/>
  <c r="Q52" i="1"/>
  <c r="P52" i="1"/>
  <c r="O52" i="1"/>
  <c r="N52" i="1"/>
  <c r="W51" i="1"/>
  <c r="V51" i="1"/>
  <c r="U51" i="1"/>
  <c r="T51" i="1"/>
  <c r="S51" i="1"/>
  <c r="R51" i="1"/>
  <c r="R142" i="1" s="1"/>
  <c r="R143" i="1" s="1"/>
  <c r="Q51" i="1"/>
  <c r="P51" i="1"/>
  <c r="O51" i="1"/>
  <c r="W50" i="1"/>
  <c r="V50" i="1"/>
  <c r="U50" i="1"/>
  <c r="U139" i="1" s="1"/>
  <c r="T50" i="1"/>
  <c r="T139" i="1" s="1"/>
  <c r="S50" i="1"/>
  <c r="S139" i="1" s="1"/>
  <c r="R50" i="1"/>
  <c r="Q50" i="1"/>
  <c r="P50" i="1"/>
  <c r="P139" i="1" s="1"/>
  <c r="O50" i="1"/>
  <c r="N51" i="1"/>
  <c r="N50" i="1"/>
  <c r="W49" i="1"/>
  <c r="V49" i="1"/>
  <c r="U49" i="1"/>
  <c r="T49" i="1"/>
  <c r="S49" i="1"/>
  <c r="R49" i="1"/>
  <c r="Q49" i="1"/>
  <c r="P49" i="1"/>
  <c r="O49" i="1"/>
  <c r="N49" i="1"/>
  <c r="Q38" i="1"/>
  <c r="W40" i="1"/>
  <c r="V40" i="1"/>
  <c r="U40" i="1"/>
  <c r="T40" i="1"/>
  <c r="S40" i="1"/>
  <c r="R40" i="1"/>
  <c r="Q40" i="1"/>
  <c r="P40" i="1"/>
  <c r="O40" i="1"/>
  <c r="N40" i="1"/>
  <c r="W44" i="1"/>
  <c r="V44" i="1"/>
  <c r="U44" i="1"/>
  <c r="T44" i="1"/>
  <c r="S44" i="1"/>
  <c r="R44" i="1"/>
  <c r="Q44" i="1"/>
  <c r="P44" i="1"/>
  <c r="O44" i="1"/>
  <c r="W43" i="1"/>
  <c r="V43" i="1"/>
  <c r="W134" i="1" s="1"/>
  <c r="U43" i="1"/>
  <c r="V134" i="1" s="1"/>
  <c r="T43" i="1"/>
  <c r="U134" i="1" s="1"/>
  <c r="U142" i="1" s="1"/>
  <c r="U143" i="1" s="1"/>
  <c r="S43" i="1"/>
  <c r="T134" i="1" s="1"/>
  <c r="T142" i="1" s="1"/>
  <c r="R43" i="1"/>
  <c r="S134" i="1" s="1"/>
  <c r="S142" i="1" s="1"/>
  <c r="Q43" i="1"/>
  <c r="R134" i="1" s="1"/>
  <c r="P43" i="1"/>
  <c r="Q134" i="1" s="1"/>
  <c r="O43" i="1"/>
  <c r="P134" i="1" s="1"/>
  <c r="W42" i="1"/>
  <c r="V42" i="1"/>
  <c r="U42" i="1"/>
  <c r="T42" i="1"/>
  <c r="S42" i="1"/>
  <c r="R42" i="1"/>
  <c r="Q42" i="1"/>
  <c r="P42" i="1"/>
  <c r="O42" i="1"/>
  <c r="N42" i="1"/>
  <c r="N44" i="1"/>
  <c r="W41" i="1"/>
  <c r="V41" i="1"/>
  <c r="U41" i="1"/>
  <c r="T41" i="1"/>
  <c r="S41" i="1"/>
  <c r="R41" i="1"/>
  <c r="Q41" i="1"/>
  <c r="P41" i="1"/>
  <c r="O41" i="1"/>
  <c r="W39" i="1"/>
  <c r="V39" i="1"/>
  <c r="U39" i="1"/>
  <c r="T39" i="1"/>
  <c r="S39" i="1"/>
  <c r="R39" i="1"/>
  <c r="Q39" i="1"/>
  <c r="P39" i="1"/>
  <c r="O39" i="1"/>
  <c r="W38" i="1"/>
  <c r="V38" i="1"/>
  <c r="U38" i="1"/>
  <c r="T38" i="1"/>
  <c r="S38" i="1"/>
  <c r="R38" i="1"/>
  <c r="P38" i="1"/>
  <c r="O38" i="1"/>
  <c r="N41" i="1"/>
  <c r="N39" i="1"/>
  <c r="N38" i="1"/>
  <c r="W37" i="1"/>
  <c r="V37" i="1"/>
  <c r="U37" i="1"/>
  <c r="T37" i="1"/>
  <c r="S37" i="1"/>
  <c r="R37" i="1"/>
  <c r="Q37" i="1"/>
  <c r="P37" i="1"/>
  <c r="O37" i="1"/>
  <c r="N37" i="1"/>
  <c r="W36" i="1"/>
  <c r="V36" i="1"/>
  <c r="U36" i="1"/>
  <c r="T36" i="1"/>
  <c r="S36" i="1"/>
  <c r="R36" i="1"/>
  <c r="Q36" i="1"/>
  <c r="P36" i="1"/>
  <c r="O36" i="1"/>
  <c r="N36" i="1"/>
  <c r="W25" i="1"/>
  <c r="V25" i="1"/>
  <c r="U25" i="1"/>
  <c r="T25" i="1"/>
  <c r="S25" i="1"/>
  <c r="R25" i="1"/>
  <c r="Q25" i="1"/>
  <c r="P25" i="1"/>
  <c r="O25" i="1"/>
  <c r="N25" i="1"/>
  <c r="W33" i="1"/>
  <c r="V33" i="1"/>
  <c r="U33" i="1"/>
  <c r="T33" i="1"/>
  <c r="S33" i="1"/>
  <c r="R33" i="1"/>
  <c r="Q33" i="1"/>
  <c r="P33" i="1"/>
  <c r="O33" i="1"/>
  <c r="N33" i="1"/>
  <c r="W32" i="1"/>
  <c r="V32" i="1"/>
  <c r="U32" i="1"/>
  <c r="T32" i="1"/>
  <c r="S32" i="1"/>
  <c r="R32" i="1"/>
  <c r="Q32" i="1"/>
  <c r="P32" i="1"/>
  <c r="O32" i="1"/>
  <c r="N32" i="1"/>
  <c r="W31" i="1"/>
  <c r="V31" i="1"/>
  <c r="U31" i="1"/>
  <c r="T31" i="1"/>
  <c r="S31" i="1"/>
  <c r="R31" i="1"/>
  <c r="Q31" i="1"/>
  <c r="P31" i="1"/>
  <c r="O31" i="1"/>
  <c r="N31" i="1"/>
  <c r="W30" i="1"/>
  <c r="V30" i="1"/>
  <c r="U30" i="1"/>
  <c r="T30" i="1"/>
  <c r="S30" i="1"/>
  <c r="R30" i="1"/>
  <c r="Q30" i="1"/>
  <c r="P30" i="1"/>
  <c r="O30" i="1"/>
  <c r="N30" i="1"/>
  <c r="W29" i="1"/>
  <c r="V29" i="1"/>
  <c r="U29" i="1"/>
  <c r="T29" i="1"/>
  <c r="S29" i="1"/>
  <c r="R29" i="1"/>
  <c r="Q29" i="1"/>
  <c r="P29" i="1"/>
  <c r="O29" i="1"/>
  <c r="N29" i="1"/>
  <c r="W28" i="1"/>
  <c r="V28" i="1"/>
  <c r="U28" i="1"/>
  <c r="T28" i="1"/>
  <c r="S28" i="1"/>
  <c r="R28" i="1"/>
  <c r="Q28" i="1"/>
  <c r="P28" i="1"/>
  <c r="O28" i="1"/>
  <c r="N28" i="1"/>
  <c r="W27" i="1"/>
  <c r="V27" i="1"/>
  <c r="U27" i="1"/>
  <c r="T27" i="1"/>
  <c r="S27" i="1"/>
  <c r="R27" i="1"/>
  <c r="Q27" i="1"/>
  <c r="P27" i="1"/>
  <c r="O27" i="1"/>
  <c r="N27" i="1"/>
  <c r="W26" i="1"/>
  <c r="V26" i="1"/>
  <c r="U26" i="1"/>
  <c r="T26" i="1"/>
  <c r="S26" i="1"/>
  <c r="R26" i="1"/>
  <c r="Q26" i="1"/>
  <c r="P26" i="1"/>
  <c r="O26" i="1"/>
  <c r="N26" i="1"/>
  <c r="W24" i="1"/>
  <c r="V24" i="1"/>
  <c r="U24" i="1"/>
  <c r="T24" i="1"/>
  <c r="S24" i="1"/>
  <c r="R24" i="1"/>
  <c r="Q24" i="1"/>
  <c r="P24" i="1"/>
  <c r="O24" i="1"/>
  <c r="N24" i="1"/>
  <c r="W23" i="1"/>
  <c r="V23" i="1"/>
  <c r="V104" i="1" s="1"/>
  <c r="U23" i="1"/>
  <c r="U104" i="1" s="1"/>
  <c r="T23" i="1"/>
  <c r="T104" i="1" s="1"/>
  <c r="S23" i="1"/>
  <c r="S104" i="1" s="1"/>
  <c r="R23" i="1"/>
  <c r="R104" i="1" s="1"/>
  <c r="S105" i="1" s="1"/>
  <c r="S106" i="1" s="1"/>
  <c r="Q23" i="1"/>
  <c r="Q104" i="1" s="1"/>
  <c r="P23" i="1"/>
  <c r="P104" i="1" s="1"/>
  <c r="O23" i="1"/>
  <c r="O104" i="1" s="1"/>
  <c r="P105" i="1" s="1"/>
  <c r="P106" i="1" s="1"/>
  <c r="N23" i="1"/>
  <c r="N104" i="1" s="1"/>
  <c r="W16" i="1"/>
  <c r="V16" i="1"/>
  <c r="U16" i="1"/>
  <c r="T16" i="1"/>
  <c r="S16" i="1"/>
  <c r="R16" i="1"/>
  <c r="Q16" i="1"/>
  <c r="P16" i="1"/>
  <c r="O16" i="1"/>
  <c r="N16" i="1"/>
  <c r="W13" i="1"/>
  <c r="V13" i="1"/>
  <c r="U13" i="1"/>
  <c r="T13" i="1"/>
  <c r="S13" i="1"/>
  <c r="R13" i="1"/>
  <c r="Q13" i="1"/>
  <c r="P13" i="1"/>
  <c r="O13" i="1"/>
  <c r="N13" i="1"/>
  <c r="W11" i="1"/>
  <c r="V11" i="1"/>
  <c r="U11" i="1"/>
  <c r="U83" i="1" s="1"/>
  <c r="T11" i="1"/>
  <c r="S11" i="1"/>
  <c r="R11" i="1"/>
  <c r="Q11" i="1"/>
  <c r="P11" i="1"/>
  <c r="O11" i="1"/>
  <c r="O83" i="1" s="1"/>
  <c r="N11" i="1"/>
  <c r="N83" i="1" s="1"/>
  <c r="W7" i="1"/>
  <c r="V7" i="1"/>
  <c r="U7" i="1"/>
  <c r="T7" i="1"/>
  <c r="S7" i="1"/>
  <c r="R7" i="1"/>
  <c r="Q7" i="1"/>
  <c r="P7" i="1"/>
  <c r="O7" i="1"/>
  <c r="N7" i="1"/>
  <c r="H39" i="15" l="1"/>
  <c r="H43" i="15"/>
  <c r="G38" i="15"/>
  <c r="G33" i="15"/>
  <c r="G36" i="15"/>
  <c r="I39" i="15"/>
  <c r="I43" i="15"/>
  <c r="T143" i="1"/>
  <c r="R139" i="1"/>
  <c r="Q142" i="1"/>
  <c r="Q143" i="1" s="1"/>
  <c r="N139" i="1"/>
  <c r="W139" i="1"/>
  <c r="V142" i="1"/>
  <c r="V143" i="1" s="1"/>
  <c r="O142" i="1"/>
  <c r="O143" i="1" s="1"/>
  <c r="S143" i="1"/>
  <c r="Q139" i="1"/>
  <c r="P142" i="1"/>
  <c r="P143" i="1" s="1"/>
  <c r="W83" i="1"/>
  <c r="R105" i="1"/>
  <c r="R106" i="1" s="1"/>
  <c r="R83" i="1"/>
  <c r="U105" i="1"/>
  <c r="U106" i="1" s="1"/>
  <c r="W104" i="1"/>
  <c r="T83" i="1"/>
  <c r="O105" i="1"/>
  <c r="O106" i="1" s="1"/>
  <c r="W105" i="1"/>
  <c r="W106" i="1" s="1"/>
  <c r="Q105" i="1"/>
  <c r="Q106" i="1" s="1"/>
  <c r="T105" i="1"/>
  <c r="T106" i="1" s="1"/>
  <c r="S83" i="1"/>
  <c r="V105" i="1"/>
  <c r="V106" i="1" s="1"/>
  <c r="W56" i="1"/>
  <c r="R67" i="1"/>
  <c r="P83" i="1"/>
  <c r="T67" i="1"/>
  <c r="M90" i="1"/>
  <c r="Q83" i="1"/>
  <c r="O74" i="1"/>
  <c r="V82" i="1"/>
  <c r="P82" i="1"/>
  <c r="Q82" i="1"/>
  <c r="O82" i="1"/>
  <c r="R82" i="1"/>
  <c r="S82" i="1"/>
  <c r="T82" i="1"/>
  <c r="W82" i="1"/>
  <c r="V83" i="1"/>
  <c r="N82" i="1"/>
  <c r="U82" i="1"/>
  <c r="S67" i="1"/>
  <c r="S61" i="1"/>
  <c r="T56" i="1"/>
  <c r="S56" i="1"/>
  <c r="O56" i="1"/>
  <c r="R56" i="1"/>
  <c r="N56" i="1"/>
  <c r="N97" i="1" s="1"/>
  <c r="V56" i="1"/>
  <c r="U61" i="1"/>
  <c r="V67" i="1"/>
  <c r="U67" i="1"/>
  <c r="P56" i="1"/>
  <c r="U56" i="1"/>
  <c r="Q61" i="1"/>
  <c r="O67" i="1"/>
  <c r="W67" i="1"/>
  <c r="Q56" i="1"/>
  <c r="O61" i="1"/>
  <c r="T61" i="1"/>
  <c r="R61" i="1"/>
  <c r="W61" i="1"/>
  <c r="P67" i="1"/>
  <c r="N67" i="1"/>
  <c r="Q67" i="1"/>
  <c r="O73" i="1"/>
  <c r="Q2" i="1"/>
  <c r="P74" i="1"/>
  <c r="P73" i="1"/>
  <c r="V61" i="1"/>
  <c r="P61" i="1"/>
  <c r="N61" i="1"/>
  <c r="S45" i="1"/>
  <c r="T45" i="1"/>
  <c r="U45" i="1"/>
  <c r="R45" i="1"/>
  <c r="V45" i="1"/>
  <c r="N45" i="1"/>
  <c r="O45" i="1"/>
  <c r="W45" i="1"/>
  <c r="P45" i="1"/>
  <c r="Q45" i="1"/>
  <c r="S34" i="1"/>
  <c r="R34" i="1"/>
  <c r="P34" i="1"/>
  <c r="T34" i="1"/>
  <c r="V34" i="1"/>
  <c r="Q34" i="1"/>
  <c r="U34" i="1"/>
  <c r="W34" i="1"/>
  <c r="O34" i="1"/>
  <c r="N34" i="1"/>
  <c r="W8" i="1"/>
  <c r="V8" i="1"/>
  <c r="U8" i="1"/>
  <c r="T8" i="1"/>
  <c r="S8" i="1"/>
  <c r="R8" i="1"/>
  <c r="Q8" i="1"/>
  <c r="P8" i="1"/>
  <c r="O8" i="1"/>
  <c r="N8" i="1"/>
  <c r="W6" i="1"/>
  <c r="V6" i="1"/>
  <c r="U6" i="1"/>
  <c r="T6" i="1"/>
  <c r="S6" i="1"/>
  <c r="R6" i="1"/>
  <c r="Q6" i="1"/>
  <c r="P6" i="1"/>
  <c r="O6" i="1"/>
  <c r="N6" i="1"/>
  <c r="W4" i="1"/>
  <c r="V4" i="1"/>
  <c r="U4" i="1"/>
  <c r="T4" i="1"/>
  <c r="S4" i="1"/>
  <c r="R4" i="1"/>
  <c r="Q4" i="1"/>
  <c r="P4" i="1"/>
  <c r="O4" i="1"/>
  <c r="N4" i="1"/>
  <c r="W3" i="1"/>
  <c r="W89" i="1" s="1"/>
  <c r="V3" i="1"/>
  <c r="V89" i="1" s="1"/>
  <c r="U3" i="1"/>
  <c r="U89" i="1" s="1"/>
  <c r="T3" i="1"/>
  <c r="T89" i="1" s="1"/>
  <c r="S3" i="1"/>
  <c r="S88" i="1" s="1"/>
  <c r="R3" i="1"/>
  <c r="R89" i="1" s="1"/>
  <c r="Q3" i="1"/>
  <c r="Q89" i="1" s="1"/>
  <c r="P3" i="1"/>
  <c r="P87" i="1" s="1"/>
  <c r="O3" i="1"/>
  <c r="O94" i="1" s="1"/>
  <c r="N3" i="1"/>
  <c r="N87" i="1" s="1"/>
  <c r="G39" i="15" l="1"/>
  <c r="G43" i="15"/>
  <c r="O139" i="1"/>
  <c r="V139" i="1"/>
  <c r="X134" i="1"/>
  <c r="W143" i="1"/>
  <c r="N98" i="1"/>
  <c r="S89" i="1"/>
  <c r="O89" i="1"/>
  <c r="N89" i="1"/>
  <c r="P89" i="1"/>
  <c r="S98" i="1"/>
  <c r="V94" i="1"/>
  <c r="V98" i="1"/>
  <c r="S94" i="1"/>
  <c r="T98" i="1"/>
  <c r="V97" i="1"/>
  <c r="W88" i="1"/>
  <c r="V88" i="1"/>
  <c r="Q97" i="1"/>
  <c r="S69" i="1"/>
  <c r="S71" i="1" s="1"/>
  <c r="T88" i="1"/>
  <c r="R98" i="1"/>
  <c r="U98" i="1"/>
  <c r="N91" i="1"/>
  <c r="S87" i="1"/>
  <c r="S91" i="1"/>
  <c r="W98" i="1"/>
  <c r="M83" i="1"/>
  <c r="W94" i="1"/>
  <c r="O87" i="1"/>
  <c r="N94" i="1"/>
  <c r="O98" i="1"/>
  <c r="P98" i="1"/>
  <c r="U97" i="1"/>
  <c r="W91" i="1"/>
  <c r="Q81" i="1"/>
  <c r="P94" i="1"/>
  <c r="R97" i="1"/>
  <c r="O88" i="1"/>
  <c r="N88" i="1"/>
  <c r="V87" i="1"/>
  <c r="R88" i="1"/>
  <c r="M82" i="1"/>
  <c r="O97" i="1"/>
  <c r="Q87" i="1"/>
  <c r="T94" i="1"/>
  <c r="R87" i="1"/>
  <c r="T87" i="1"/>
  <c r="W97" i="1"/>
  <c r="R94" i="1"/>
  <c r="S79" i="1"/>
  <c r="Q80" i="1"/>
  <c r="P97" i="1"/>
  <c r="S97" i="1"/>
  <c r="U91" i="1"/>
  <c r="T91" i="1"/>
  <c r="U87" i="1"/>
  <c r="Q98" i="1"/>
  <c r="T69" i="1"/>
  <c r="T71" i="1" s="1"/>
  <c r="T97" i="1"/>
  <c r="O91" i="1"/>
  <c r="U88" i="1"/>
  <c r="R91" i="1"/>
  <c r="V91" i="1"/>
  <c r="P79" i="1"/>
  <c r="Q94" i="1"/>
  <c r="P80" i="1"/>
  <c r="N77" i="1"/>
  <c r="O79" i="1"/>
  <c r="S81" i="1"/>
  <c r="U94" i="1"/>
  <c r="Q88" i="1"/>
  <c r="W87" i="1"/>
  <c r="Q91" i="1"/>
  <c r="P91" i="1"/>
  <c r="P88" i="1"/>
  <c r="T77" i="1"/>
  <c r="R78" i="1"/>
  <c r="N81" i="1"/>
  <c r="S78" i="1"/>
  <c r="P81" i="1"/>
  <c r="S80" i="1"/>
  <c r="R80" i="1"/>
  <c r="T81" i="1"/>
  <c r="O81" i="1"/>
  <c r="U77" i="1"/>
  <c r="V77" i="1"/>
  <c r="W77" i="1"/>
  <c r="U78" i="1"/>
  <c r="V79" i="1"/>
  <c r="T79" i="1"/>
  <c r="T78" i="1"/>
  <c r="V78" i="1"/>
  <c r="W79" i="1"/>
  <c r="N79" i="1"/>
  <c r="Q79" i="1"/>
  <c r="T80" i="1"/>
  <c r="O78" i="1"/>
  <c r="W78" i="1"/>
  <c r="U80" i="1"/>
  <c r="N78" i="1"/>
  <c r="R77" i="1"/>
  <c r="P78" i="1"/>
  <c r="N80" i="1"/>
  <c r="V80" i="1"/>
  <c r="W81" i="1"/>
  <c r="R79" i="1"/>
  <c r="U79" i="1"/>
  <c r="O77" i="1"/>
  <c r="P77" i="1"/>
  <c r="Q77" i="1"/>
  <c r="S5" i="1"/>
  <c r="S77" i="1"/>
  <c r="Q78" i="1"/>
  <c r="O80" i="1"/>
  <c r="W80" i="1"/>
  <c r="V46" i="1"/>
  <c r="U81" i="1"/>
  <c r="R81" i="1"/>
  <c r="V81" i="1"/>
  <c r="R69" i="1"/>
  <c r="R71" i="1" s="1"/>
  <c r="W69" i="1"/>
  <c r="W71" i="1" s="1"/>
  <c r="U69" i="1"/>
  <c r="U71" i="1" s="1"/>
  <c r="V69" i="1"/>
  <c r="V71" i="1" s="1"/>
  <c r="O69" i="1"/>
  <c r="O71" i="1" s="1"/>
  <c r="Q69" i="1"/>
  <c r="Q71" i="1" s="1"/>
  <c r="S46" i="1"/>
  <c r="N69" i="1"/>
  <c r="N71" i="1" s="1"/>
  <c r="U46" i="1"/>
  <c r="O46" i="1"/>
  <c r="P69" i="1"/>
  <c r="P71" i="1" s="1"/>
  <c r="R2" i="1"/>
  <c r="Q74" i="1"/>
  <c r="Q73" i="1"/>
  <c r="T46" i="1"/>
  <c r="R46" i="1"/>
  <c r="W46" i="1"/>
  <c r="N46" i="1"/>
  <c r="U5" i="1"/>
  <c r="P5" i="1"/>
  <c r="Q46" i="1"/>
  <c r="Q5" i="1"/>
  <c r="P46" i="1"/>
  <c r="R5" i="1"/>
  <c r="T5" i="1"/>
  <c r="O5" i="1"/>
  <c r="W5" i="1"/>
  <c r="P9" i="1"/>
  <c r="P93" i="1" s="1"/>
  <c r="Q9" i="1"/>
  <c r="Q93" i="1" s="1"/>
  <c r="V5" i="1"/>
  <c r="N5" i="1"/>
  <c r="S9" i="1"/>
  <c r="R9" i="1"/>
  <c r="R93" i="1" s="1"/>
  <c r="T9" i="1"/>
  <c r="T93" i="1" s="1"/>
  <c r="U9" i="1"/>
  <c r="U93" i="1" s="1"/>
  <c r="N9" i="1"/>
  <c r="N93" i="1" s="1"/>
  <c r="V9" i="1"/>
  <c r="V93" i="1" s="1"/>
  <c r="O9" i="1"/>
  <c r="O93" i="1" s="1"/>
  <c r="W9" i="1"/>
  <c r="W93" i="1" s="1"/>
  <c r="S10" i="1" l="1"/>
  <c r="S18" i="1" s="1"/>
  <c r="S93" i="1"/>
  <c r="M93" i="1" s="1"/>
  <c r="U10" i="1"/>
  <c r="P10" i="1"/>
  <c r="P12" i="1" s="1"/>
  <c r="P14" i="1" s="1"/>
  <c r="P48" i="1" s="1"/>
  <c r="M89" i="1"/>
  <c r="M94" i="1"/>
  <c r="M91" i="1"/>
  <c r="M98" i="1"/>
  <c r="M87" i="1"/>
  <c r="M80" i="1"/>
  <c r="M79" i="1"/>
  <c r="M77" i="1"/>
  <c r="M78" i="1"/>
  <c r="M97" i="1"/>
  <c r="M92" i="1"/>
  <c r="M81" i="1"/>
  <c r="M88" i="1"/>
  <c r="S12" i="1"/>
  <c r="S14" i="1" s="1"/>
  <c r="S48" i="1" s="1"/>
  <c r="U12" i="1"/>
  <c r="U14" i="1" s="1"/>
  <c r="U48" i="1" s="1"/>
  <c r="U18" i="1"/>
  <c r="Q10" i="1"/>
  <c r="V10" i="1"/>
  <c r="S2" i="1"/>
  <c r="R74" i="1"/>
  <c r="R73" i="1"/>
  <c r="T10" i="1"/>
  <c r="O10" i="1"/>
  <c r="R10" i="1"/>
  <c r="W10" i="1"/>
  <c r="N10" i="1"/>
  <c r="P18" i="1" l="1"/>
  <c r="S15" i="1"/>
  <c r="P19" i="1"/>
  <c r="P20" i="1" s="1"/>
  <c r="P84" i="1"/>
  <c r="U19" i="1"/>
  <c r="U20" i="1" s="1"/>
  <c r="U84" i="1"/>
  <c r="S19" i="1"/>
  <c r="S20" i="1" s="1"/>
  <c r="S84" i="1"/>
  <c r="V12" i="1"/>
  <c r="V14" i="1" s="1"/>
  <c r="V18" i="1"/>
  <c r="Q12" i="1"/>
  <c r="Q14" i="1" s="1"/>
  <c r="Q18" i="1"/>
  <c r="T12" i="1"/>
  <c r="T14" i="1" s="1"/>
  <c r="T48" i="1" s="1"/>
  <c r="T18" i="1"/>
  <c r="N12" i="1"/>
  <c r="N14" i="1" s="1"/>
  <c r="N15" i="1" s="1"/>
  <c r="N18" i="1"/>
  <c r="R12" i="1"/>
  <c r="R14" i="1" s="1"/>
  <c r="R48" i="1" s="1"/>
  <c r="R18" i="1"/>
  <c r="O12" i="1"/>
  <c r="O14" i="1" s="1"/>
  <c r="O48" i="1" s="1"/>
  <c r="O18" i="1"/>
  <c r="U15" i="1"/>
  <c r="P15" i="1"/>
  <c r="W12" i="1"/>
  <c r="W14" i="1" s="1"/>
  <c r="W48" i="1" s="1"/>
  <c r="W18" i="1"/>
  <c r="T2" i="1"/>
  <c r="S74" i="1"/>
  <c r="S73" i="1"/>
  <c r="R15" i="1" l="1"/>
  <c r="V19" i="1"/>
  <c r="V20" i="1" s="1"/>
  <c r="V84" i="1"/>
  <c r="W19" i="1"/>
  <c r="W20" i="1" s="1"/>
  <c r="W84" i="1"/>
  <c r="R19" i="1"/>
  <c r="R20" i="1" s="1"/>
  <c r="R84" i="1"/>
  <c r="N19" i="1"/>
  <c r="N20" i="1" s="1"/>
  <c r="N84" i="1"/>
  <c r="N48" i="1"/>
  <c r="O15" i="1"/>
  <c r="O19" i="1"/>
  <c r="O20" i="1" s="1"/>
  <c r="O84" i="1"/>
  <c r="Q19" i="1"/>
  <c r="Q20" i="1" s="1"/>
  <c r="Q84" i="1"/>
  <c r="T19" i="1"/>
  <c r="T20" i="1" s="1"/>
  <c r="T84" i="1"/>
  <c r="W15" i="1"/>
  <c r="Q48" i="1"/>
  <c r="Q15" i="1"/>
  <c r="T15" i="1"/>
  <c r="V48" i="1"/>
  <c r="V15" i="1"/>
  <c r="U2" i="1"/>
  <c r="T73" i="1"/>
  <c r="T74" i="1"/>
  <c r="M84" i="1" l="1"/>
  <c r="V2" i="1"/>
  <c r="U73" i="1"/>
  <c r="U74" i="1"/>
  <c r="W2" i="1" l="1"/>
  <c r="V73" i="1"/>
  <c r="V74" i="1"/>
  <c r="W74" i="1" l="1"/>
  <c r="W73" i="1"/>
  <c r="X73" i="1" s="1"/>
  <c r="X93" i="1" s="1"/>
  <c r="X89" i="1" l="1"/>
  <c r="X79" i="1"/>
  <c r="X81" i="1"/>
  <c r="X80" i="1"/>
  <c r="X84" i="1"/>
  <c r="X78" i="1"/>
  <c r="X82" i="1"/>
  <c r="X77" i="1"/>
  <c r="X3" i="1" s="1"/>
  <c r="X88" i="1"/>
  <c r="X92" i="1"/>
  <c r="X106" i="1"/>
  <c r="X83" i="1"/>
  <c r="X97" i="1"/>
  <c r="X56" i="1" s="1"/>
  <c r="X94" i="1"/>
  <c r="X98" i="1"/>
  <c r="X87" i="1"/>
  <c r="X91" i="1"/>
  <c r="X90" i="1"/>
  <c r="Y73" i="1"/>
  <c r="Y93" i="1" s="1"/>
  <c r="X50" i="1" l="1"/>
  <c r="L12" i="15" a="1"/>
  <c r="L12" i="15" s="1"/>
  <c r="X41" i="1"/>
  <c r="X33" i="1"/>
  <c r="X24" i="1"/>
  <c r="X25" i="1"/>
  <c r="X60" i="1"/>
  <c r="X32" i="1"/>
  <c r="X26" i="1"/>
  <c r="Y82" i="1"/>
  <c r="Y92" i="1"/>
  <c r="Y91" i="1"/>
  <c r="Y98" i="1"/>
  <c r="Y106" i="1"/>
  <c r="Y89" i="1"/>
  <c r="Y88" i="1"/>
  <c r="Y90" i="1"/>
  <c r="Y84" i="1"/>
  <c r="Y83" i="1"/>
  <c r="Y87" i="1"/>
  <c r="Y94" i="1"/>
  <c r="Y81" i="1"/>
  <c r="Y79" i="1"/>
  <c r="Y78" i="1"/>
  <c r="Y80" i="1"/>
  <c r="Y77" i="1"/>
  <c r="Y3" i="1" s="1"/>
  <c r="Y97" i="1"/>
  <c r="Y56" i="1" s="1"/>
  <c r="X116" i="1"/>
  <c r="X129" i="1" s="1"/>
  <c r="X7" i="1"/>
  <c r="X6" i="1"/>
  <c r="X8" i="1"/>
  <c r="X4" i="1"/>
  <c r="Z73" i="1"/>
  <c r="Z93" i="1" s="1"/>
  <c r="L20" i="15" l="1" a="1"/>
  <c r="L20" i="15" s="1"/>
  <c r="L19" i="15" a="1"/>
  <c r="L19" i="15" s="1"/>
  <c r="L70" i="15" a="1"/>
  <c r="L70" i="15" s="1"/>
  <c r="L57" i="15" a="1"/>
  <c r="L57" i="15" s="1"/>
  <c r="L53" i="15" a="1"/>
  <c r="L53" i="15" s="1"/>
  <c r="L54" i="15" s="1"/>
  <c r="L86" i="15" a="1"/>
  <c r="L86" i="15" s="1"/>
  <c r="L69" i="15" a="1"/>
  <c r="L69" i="15" s="1"/>
  <c r="L112" i="15" a="1"/>
  <c r="L112" i="15" s="1"/>
  <c r="L116" i="15" s="1"/>
  <c r="L56" i="15" a="1"/>
  <c r="L56" i="15" s="1"/>
  <c r="L18" i="15" a="1"/>
  <c r="L18" i="15" s="1"/>
  <c r="M12" i="15" a="1"/>
  <c r="M12" i="15" s="1"/>
  <c r="X5" i="1"/>
  <c r="L13" i="15" a="1"/>
  <c r="L13" i="15" s="1"/>
  <c r="L15" i="15" s="1"/>
  <c r="L105" i="15" a="1"/>
  <c r="L105" i="15" s="1"/>
  <c r="L25" i="15" a="1"/>
  <c r="L25" i="15" s="1"/>
  <c r="X61" i="1"/>
  <c r="X28" i="1"/>
  <c r="X51" i="1"/>
  <c r="Y41" i="1"/>
  <c r="Y24" i="1"/>
  <c r="X36" i="1"/>
  <c r="Y50" i="1"/>
  <c r="Y25" i="1"/>
  <c r="Y116" i="1"/>
  <c r="Y129" i="1" s="1"/>
  <c r="Z87" i="1"/>
  <c r="Z98" i="1"/>
  <c r="Z77" i="1"/>
  <c r="Z3" i="1" s="1"/>
  <c r="Z80" i="1"/>
  <c r="Z94" i="1"/>
  <c r="Z82" i="1"/>
  <c r="Z78" i="1"/>
  <c r="Z106" i="1"/>
  <c r="Z79" i="1"/>
  <c r="Z97" i="1"/>
  <c r="Z56" i="1" s="1"/>
  <c r="Z92" i="1"/>
  <c r="Z91" i="1"/>
  <c r="Z83" i="1"/>
  <c r="Z89" i="1"/>
  <c r="Z88" i="1"/>
  <c r="Z81" i="1"/>
  <c r="Z84" i="1"/>
  <c r="Z90" i="1"/>
  <c r="Y4" i="1"/>
  <c r="Y8" i="1"/>
  <c r="Y6" i="1"/>
  <c r="AA73" i="1"/>
  <c r="AA93" i="1" s="1"/>
  <c r="Y7" i="1"/>
  <c r="X9" i="1"/>
  <c r="Y60" i="1"/>
  <c r="M18" i="15" l="1" a="1"/>
  <c r="M18" i="15" s="1"/>
  <c r="M19" i="15" a="1"/>
  <c r="M19" i="15" s="1"/>
  <c r="N12" i="15" a="1"/>
  <c r="N12" i="15" s="1"/>
  <c r="L75" i="15" a="1"/>
  <c r="L75" i="15" s="1"/>
  <c r="M86" i="15" a="1"/>
  <c r="M86" i="15" s="1"/>
  <c r="M20" i="15" a="1"/>
  <c r="M20" i="15" s="1"/>
  <c r="M56" i="15" a="1"/>
  <c r="M56" i="15" s="1"/>
  <c r="M53" i="15" a="1"/>
  <c r="M53" i="15" s="1"/>
  <c r="M54" i="15" s="1"/>
  <c r="L65" i="15" a="1"/>
  <c r="L65" i="15" s="1"/>
  <c r="M105" i="15" a="1"/>
  <c r="M105" i="15" s="1"/>
  <c r="M25" i="15" a="1"/>
  <c r="M25" i="15" s="1"/>
  <c r="Y61" i="1"/>
  <c r="M112" i="15" a="1"/>
  <c r="M112" i="15" s="1"/>
  <c r="M116" i="15" s="1"/>
  <c r="Y5" i="1"/>
  <c r="M13" i="15" a="1"/>
  <c r="M13" i="15" s="1"/>
  <c r="M15" i="15" s="1"/>
  <c r="L27" i="15"/>
  <c r="L22" i="15"/>
  <c r="L16" i="15"/>
  <c r="Y28" i="1"/>
  <c r="X138" i="1"/>
  <c r="X141" i="1" s="1"/>
  <c r="X135" i="1"/>
  <c r="X136" i="1" s="1"/>
  <c r="X65" i="1" s="1"/>
  <c r="Y51" i="1"/>
  <c r="X10" i="1"/>
  <c r="X18" i="1" s="1"/>
  <c r="X37" i="1"/>
  <c r="Y36" i="1"/>
  <c r="Z41" i="1"/>
  <c r="Z24" i="1"/>
  <c r="Z50" i="1"/>
  <c r="Z25" i="1"/>
  <c r="AA90" i="1"/>
  <c r="AA80" i="1"/>
  <c r="AA87" i="1"/>
  <c r="AA84" i="1"/>
  <c r="AA88" i="1"/>
  <c r="AA82" i="1"/>
  <c r="AA81" i="1"/>
  <c r="AA83" i="1"/>
  <c r="AA92" i="1"/>
  <c r="AA79" i="1"/>
  <c r="AA77" i="1"/>
  <c r="AA3" i="1" s="1"/>
  <c r="AA78" i="1"/>
  <c r="AA98" i="1"/>
  <c r="AA97" i="1"/>
  <c r="AA56" i="1" s="1"/>
  <c r="AA106" i="1"/>
  <c r="AA91" i="1"/>
  <c r="AA89" i="1"/>
  <c r="AA94" i="1"/>
  <c r="Z116" i="1"/>
  <c r="Z129" i="1" s="1"/>
  <c r="Z8" i="1"/>
  <c r="Z6" i="1"/>
  <c r="Z4" i="1"/>
  <c r="AB73" i="1"/>
  <c r="AB93" i="1" s="1"/>
  <c r="Z7" i="1"/>
  <c r="Y9" i="1"/>
  <c r="Z60" i="1"/>
  <c r="N56" i="15" l="1" a="1"/>
  <c r="N56" i="15" s="1"/>
  <c r="X142" i="1"/>
  <c r="X43" i="1" s="1"/>
  <c r="O12" i="15" a="1"/>
  <c r="O12" i="15" s="1"/>
  <c r="M65" i="15" a="1"/>
  <c r="M65" i="15" s="1"/>
  <c r="N19" i="15" a="1"/>
  <c r="N19" i="15" s="1"/>
  <c r="N18" i="15" a="1"/>
  <c r="N18" i="15" s="1"/>
  <c r="M75" i="15" a="1"/>
  <c r="M75" i="15" s="1"/>
  <c r="L120" i="15"/>
  <c r="N20" i="15" a="1"/>
  <c r="N20" i="15" s="1"/>
  <c r="N53" i="15" a="1"/>
  <c r="N53" i="15" s="1"/>
  <c r="N54" i="15" s="1"/>
  <c r="N86" i="15" a="1"/>
  <c r="N86" i="15" s="1"/>
  <c r="L28" i="15"/>
  <c r="N105" i="15" a="1"/>
  <c r="N105" i="15" s="1"/>
  <c r="N25" i="15" a="1"/>
  <c r="N25" i="15" s="1"/>
  <c r="M16" i="15"/>
  <c r="M22" i="15"/>
  <c r="M27" i="15"/>
  <c r="X55" i="1"/>
  <c r="L78" i="15" a="1"/>
  <c r="L78" i="15" s="1"/>
  <c r="L81" i="15" s="1"/>
  <c r="L88" i="15" s="1"/>
  <c r="Z61" i="1"/>
  <c r="N112" i="15" a="1"/>
  <c r="N112" i="15" s="1"/>
  <c r="N116" i="15" s="1"/>
  <c r="Z5" i="1"/>
  <c r="N13" i="15" a="1"/>
  <c r="N13" i="15" s="1"/>
  <c r="N15" i="15" s="1"/>
  <c r="X19" i="1"/>
  <c r="X20" i="1" s="1"/>
  <c r="Z28" i="1"/>
  <c r="X64" i="1"/>
  <c r="Y138" i="1"/>
  <c r="Y141" i="1" s="1"/>
  <c r="Y64" i="1" s="1"/>
  <c r="Y135" i="1"/>
  <c r="Y136" i="1" s="1"/>
  <c r="Y65" i="1" s="1"/>
  <c r="Z51" i="1"/>
  <c r="AA41" i="1"/>
  <c r="Z36" i="1"/>
  <c r="Y10" i="1"/>
  <c r="Y18" i="1" s="1"/>
  <c r="Y19" i="1" s="1"/>
  <c r="Y20" i="1" s="1"/>
  <c r="Y37" i="1"/>
  <c r="AA50" i="1"/>
  <c r="AA25" i="1"/>
  <c r="AA24" i="1"/>
  <c r="AB83" i="1"/>
  <c r="AB94" i="1"/>
  <c r="AB98" i="1"/>
  <c r="AB97" i="1"/>
  <c r="AB56" i="1" s="1"/>
  <c r="AB106" i="1"/>
  <c r="AB92" i="1"/>
  <c r="AB78" i="1"/>
  <c r="AB90" i="1"/>
  <c r="AB89" i="1"/>
  <c r="AB91" i="1"/>
  <c r="AB87" i="1"/>
  <c r="AB84" i="1"/>
  <c r="AB77" i="1"/>
  <c r="AB3" i="1" s="1"/>
  <c r="AB82" i="1"/>
  <c r="AB88" i="1"/>
  <c r="AB80" i="1"/>
  <c r="AB79" i="1"/>
  <c r="AB81" i="1"/>
  <c r="AA116" i="1"/>
  <c r="AA129" i="1" s="1"/>
  <c r="AA6" i="1"/>
  <c r="AA4" i="1"/>
  <c r="AA8" i="1"/>
  <c r="AA60" i="1"/>
  <c r="AA7" i="1"/>
  <c r="Z9" i="1"/>
  <c r="N65" i="15" l="1" a="1"/>
  <c r="N65" i="15" s="1"/>
  <c r="L107" i="15" a="1"/>
  <c r="L107" i="15" s="1"/>
  <c r="M78" i="15" a="1"/>
  <c r="M78" i="15" s="1"/>
  <c r="M81" i="15" s="1"/>
  <c r="M88" i="15" s="1"/>
  <c r="O18" i="15" a="1"/>
  <c r="O18" i="15" s="1"/>
  <c r="L91" i="15" a="1"/>
  <c r="L91" i="15" s="1"/>
  <c r="O56" i="15" a="1"/>
  <c r="O56" i="15" s="1"/>
  <c r="P12" i="15" a="1"/>
  <c r="P12" i="15" s="1"/>
  <c r="O20" i="15" a="1"/>
  <c r="O20" i="15" s="1"/>
  <c r="O19" i="15" a="1"/>
  <c r="O19" i="15" s="1"/>
  <c r="M120" i="15"/>
  <c r="M123" i="15" s="1"/>
  <c r="O53" i="15" a="1"/>
  <c r="O53" i="15" s="1"/>
  <c r="O54" i="15" s="1"/>
  <c r="N75" i="15" a="1"/>
  <c r="N75" i="15" s="1"/>
  <c r="O86" i="15" a="1"/>
  <c r="O86" i="15" s="1"/>
  <c r="M121" i="15" a="1"/>
  <c r="M121" i="15" s="1"/>
  <c r="X67" i="1"/>
  <c r="X69" i="1" s="1"/>
  <c r="L121" i="15" a="1"/>
  <c r="L121" i="15" s="1"/>
  <c r="L123" i="15" s="1"/>
  <c r="O105" i="15" a="1"/>
  <c r="O105" i="15" s="1"/>
  <c r="O25" i="15" a="1"/>
  <c r="O25" i="15" s="1"/>
  <c r="M28" i="15"/>
  <c r="AA5" i="1"/>
  <c r="O13" i="15" a="1"/>
  <c r="O13" i="15" s="1"/>
  <c r="O15" i="15" s="1"/>
  <c r="AA61" i="1"/>
  <c r="O112" i="15" a="1"/>
  <c r="O112" i="15" s="1"/>
  <c r="O116" i="15" s="1"/>
  <c r="N27" i="15"/>
  <c r="N22" i="15"/>
  <c r="N16" i="15"/>
  <c r="AA28" i="1"/>
  <c r="Y67" i="1"/>
  <c r="Y69" i="1" s="1"/>
  <c r="Y134" i="1"/>
  <c r="Y142" i="1" s="1"/>
  <c r="Z138" i="1"/>
  <c r="Z141" i="1" s="1"/>
  <c r="Z64" i="1" s="1"/>
  <c r="Z135" i="1"/>
  <c r="Z136" i="1" s="1"/>
  <c r="Z65" i="1" s="1"/>
  <c r="AA51" i="1"/>
  <c r="AA36" i="1"/>
  <c r="AB41" i="1"/>
  <c r="Z10" i="1"/>
  <c r="Z18" i="1" s="1"/>
  <c r="Z19" i="1" s="1"/>
  <c r="Z20" i="1" s="1"/>
  <c r="Z37" i="1"/>
  <c r="AB24" i="1"/>
  <c r="AB50" i="1"/>
  <c r="AB25" i="1"/>
  <c r="AB116" i="1"/>
  <c r="AB129" i="1" s="1"/>
  <c r="AB6" i="1"/>
  <c r="AB4" i="1"/>
  <c r="AA9" i="1"/>
  <c r="AB7" i="1"/>
  <c r="AB8" i="1"/>
  <c r="AB60" i="1"/>
  <c r="P86" i="15" l="1" a="1"/>
  <c r="P86" i="15" s="1"/>
  <c r="N120" i="15"/>
  <c r="P20" i="15" a="1"/>
  <c r="P20" i="15" s="1"/>
  <c r="O65" i="15" a="1"/>
  <c r="O65" i="15" s="1"/>
  <c r="P53" i="15" a="1"/>
  <c r="P53" i="15" s="1"/>
  <c r="P54" i="15" s="1"/>
  <c r="N78" i="15" a="1"/>
  <c r="N78" i="15" s="1"/>
  <c r="N81" i="15" s="1"/>
  <c r="N88" i="15" s="1"/>
  <c r="O75" i="15" a="1"/>
  <c r="O75" i="15" s="1"/>
  <c r="P18" i="15" a="1"/>
  <c r="P18" i="15" s="1"/>
  <c r="N121" i="15" a="1"/>
  <c r="N121" i="15" s="1"/>
  <c r="P19" i="15" a="1"/>
  <c r="P19" i="15" s="1"/>
  <c r="P56" i="15" a="1"/>
  <c r="P56" i="15" s="1"/>
  <c r="P105" i="15" a="1"/>
  <c r="P105" i="15" s="1"/>
  <c r="P25" i="15" a="1"/>
  <c r="P25" i="15" s="1"/>
  <c r="AB61" i="1"/>
  <c r="P112" i="15" a="1"/>
  <c r="P112" i="15" s="1"/>
  <c r="P116" i="15" s="1"/>
  <c r="O27" i="15"/>
  <c r="O22" i="15"/>
  <c r="O16" i="15"/>
  <c r="N28" i="15"/>
  <c r="AB5" i="1"/>
  <c r="P13" i="15" a="1"/>
  <c r="P13" i="15" s="1"/>
  <c r="P15" i="15" s="1"/>
  <c r="AB28" i="1"/>
  <c r="AA138" i="1"/>
  <c r="AA141" i="1" s="1"/>
  <c r="AA64" i="1" s="1"/>
  <c r="AA135" i="1"/>
  <c r="AA136" i="1" s="1"/>
  <c r="AA65" i="1" s="1"/>
  <c r="Z134" i="1"/>
  <c r="Z142" i="1" s="1"/>
  <c r="Y43" i="1"/>
  <c r="AB36" i="1"/>
  <c r="Z67" i="1"/>
  <c r="Z69" i="1" s="1"/>
  <c r="AB51" i="1"/>
  <c r="AA10" i="1"/>
  <c r="AA18" i="1" s="1"/>
  <c r="AA19" i="1" s="1"/>
  <c r="AA20" i="1" s="1"/>
  <c r="AA37" i="1"/>
  <c r="AB9" i="1"/>
  <c r="P75" i="15" l="1" a="1"/>
  <c r="P75" i="15" s="1"/>
  <c r="M91" i="15" a="1"/>
  <c r="M91" i="15" s="1"/>
  <c r="N123" i="15"/>
  <c r="O78" i="15" a="1"/>
  <c r="O78" i="15" s="1"/>
  <c r="O81" i="15" s="1"/>
  <c r="O88" i="15" s="1"/>
  <c r="O120" i="15"/>
  <c r="O123" i="15" s="1"/>
  <c r="P65" i="15" a="1"/>
  <c r="P65" i="15" s="1"/>
  <c r="O121" i="15" a="1"/>
  <c r="O121" i="15" s="1"/>
  <c r="O28" i="15"/>
  <c r="P27" i="15"/>
  <c r="P22" i="15"/>
  <c r="P16" i="15"/>
  <c r="AB138" i="1"/>
  <c r="AB141" i="1" s="1"/>
  <c r="AB64" i="1" s="1"/>
  <c r="AB135" i="1"/>
  <c r="AB136" i="1" s="1"/>
  <c r="AB65" i="1" s="1"/>
  <c r="AA67" i="1"/>
  <c r="AA69" i="1" s="1"/>
  <c r="Z43" i="1"/>
  <c r="AA134" i="1"/>
  <c r="AA142" i="1" s="1"/>
  <c r="AB10" i="1"/>
  <c r="AB18" i="1" s="1"/>
  <c r="AB19" i="1" s="1"/>
  <c r="AB20" i="1" s="1"/>
  <c r="AB37" i="1"/>
  <c r="N91" i="15" l="1" a="1"/>
  <c r="N91" i="15" s="1"/>
  <c r="P121" i="15" a="1"/>
  <c r="P121" i="15" s="1"/>
  <c r="P120" i="15"/>
  <c r="P123" i="15" s="1"/>
  <c r="P78" i="15" a="1"/>
  <c r="P78" i="15" s="1"/>
  <c r="P81" i="15" s="1"/>
  <c r="P88" i="15" s="1"/>
  <c r="P28" i="15"/>
  <c r="AB67" i="1"/>
  <c r="AB69" i="1" s="1"/>
  <c r="AB134" i="1"/>
  <c r="AB142" i="1" s="1"/>
  <c r="AB43" i="1" s="1"/>
  <c r="AA43" i="1"/>
  <c r="X23" i="1"/>
  <c r="P91" i="15" l="1" a="1"/>
  <c r="P91" i="15" s="1"/>
  <c r="O91" i="15" a="1"/>
  <c r="O91" i="15" s="1"/>
  <c r="X104" i="1"/>
  <c r="X105" i="1" s="1"/>
  <c r="X107" i="1" s="1"/>
  <c r="X11" i="1" s="1"/>
  <c r="L52" i="15" a="1"/>
  <c r="L52" i="15" s="1"/>
  <c r="L59" i="15" s="1"/>
  <c r="L72" i="15" s="1"/>
  <c r="Y23" i="1"/>
  <c r="Z23" i="1" l="1"/>
  <c r="M52" i="15" a="1"/>
  <c r="M52" i="15" s="1"/>
  <c r="X12" i="1"/>
  <c r="L30" i="15" a="1"/>
  <c r="L30" i="15" s="1"/>
  <c r="L32" i="15" s="1"/>
  <c r="Y104" i="1"/>
  <c r="Y105" i="1" s="1"/>
  <c r="Y107" i="1" s="1"/>
  <c r="Y11" i="1" s="1"/>
  <c r="Z104" i="1"/>
  <c r="Y12" i="1" l="1"/>
  <c r="M30" i="15" a="1"/>
  <c r="M30" i="15" s="1"/>
  <c r="M32" i="15" s="1"/>
  <c r="X13" i="1"/>
  <c r="X14" i="1" s="1"/>
  <c r="L33" i="15"/>
  <c r="AA23" i="1"/>
  <c r="N52" i="15" a="1"/>
  <c r="N52" i="15" s="1"/>
  <c r="Z105" i="1"/>
  <c r="Z107" i="1" s="1"/>
  <c r="Z11" i="1" s="1"/>
  <c r="Y13" i="1"/>
  <c r="L35" i="15" l="1" a="1"/>
  <c r="L35" i="15" s="1"/>
  <c r="L36" i="15" s="1"/>
  <c r="L38" i="15"/>
  <c r="Y14" i="1"/>
  <c r="Y15" i="1" s="1"/>
  <c r="M35" i="15" a="1"/>
  <c r="M35" i="15" s="1"/>
  <c r="M36" i="15" s="1"/>
  <c r="L104" i="15"/>
  <c r="L43" i="15"/>
  <c r="L39" i="15"/>
  <c r="X42" i="1"/>
  <c r="X15" i="1"/>
  <c r="X48" i="1"/>
  <c r="X54" i="1" s="1"/>
  <c r="Z12" i="1"/>
  <c r="Z13" i="1" s="1"/>
  <c r="N30" i="15" a="1"/>
  <c r="N30" i="15" s="1"/>
  <c r="N32" i="15" s="1"/>
  <c r="AB23" i="1"/>
  <c r="O52" i="15" a="1"/>
  <c r="O52" i="15" s="1"/>
  <c r="AA104" i="1"/>
  <c r="M33" i="15"/>
  <c r="L106" i="15" l="1"/>
  <c r="L109" i="15" s="1"/>
  <c r="L125" i="15" s="1"/>
  <c r="L92" i="15" a="1"/>
  <c r="L92" i="15" s="1"/>
  <c r="L95" i="15" s="1"/>
  <c r="L97" i="15" s="1"/>
  <c r="M38" i="15"/>
  <c r="Y48" i="1"/>
  <c r="M104" i="15"/>
  <c r="M39" i="15"/>
  <c r="M43" i="15"/>
  <c r="P52" i="15" a="1"/>
  <c r="P52" i="15" s="1"/>
  <c r="AB104" i="1"/>
  <c r="Z14" i="1"/>
  <c r="N35" i="15" a="1"/>
  <c r="N35" i="15" s="1"/>
  <c r="N36" i="15" s="1"/>
  <c r="AA105" i="1"/>
  <c r="AA107" i="1" s="1"/>
  <c r="AA11" i="1" s="1"/>
  <c r="AB105" i="1"/>
  <c r="AB107" i="1" s="1"/>
  <c r="AB11" i="1" s="1"/>
  <c r="N33" i="15"/>
  <c r="N38" i="15"/>
  <c r="Y42" i="1"/>
  <c r="M92" i="15" l="1" a="1"/>
  <c r="M92" i="15" s="1"/>
  <c r="M95" i="15" s="1"/>
  <c r="Y45" i="1"/>
  <c r="Z42" i="1"/>
  <c r="AA12" i="1"/>
  <c r="AA13" i="1" s="1"/>
  <c r="O30" i="15" a="1"/>
  <c r="O30" i="15" s="1"/>
  <c r="O32" i="15" s="1"/>
  <c r="N104" i="15"/>
  <c r="N43" i="15"/>
  <c r="N39" i="15"/>
  <c r="AB12" i="1"/>
  <c r="AB13" i="1" s="1"/>
  <c r="P30" i="15" a="1"/>
  <c r="P30" i="15" s="1"/>
  <c r="P32" i="15" s="1"/>
  <c r="Z15" i="1"/>
  <c r="Z48" i="1"/>
  <c r="N92" i="15" l="1" a="1"/>
  <c r="N92" i="15" s="1"/>
  <c r="N95" i="15" s="1"/>
  <c r="Z45" i="1"/>
  <c r="P33" i="15"/>
  <c r="AB14" i="1"/>
  <c r="P35" i="15" a="1"/>
  <c r="P35" i="15" s="1"/>
  <c r="P36" i="15" s="1"/>
  <c r="O33" i="15"/>
  <c r="AA14" i="1"/>
  <c r="O35" i="15" a="1"/>
  <c r="O35" i="15" s="1"/>
  <c r="O36" i="15" s="1"/>
  <c r="Y26" i="1"/>
  <c r="Y32" i="1"/>
  <c r="Y33" i="1"/>
  <c r="X34" i="1"/>
  <c r="M69" i="15" l="1" a="1"/>
  <c r="M69" i="15" s="1"/>
  <c r="M57" i="15" a="1"/>
  <c r="M57" i="15" s="1"/>
  <c r="M59" i="15" s="1"/>
  <c r="Y55" i="1"/>
  <c r="M70" i="15" a="1"/>
  <c r="M70" i="15" s="1"/>
  <c r="M72" i="15" s="1"/>
  <c r="M97" i="15" s="1"/>
  <c r="M107" i="15" a="1"/>
  <c r="M107" i="15" s="1"/>
  <c r="Y54" i="1"/>
  <c r="AA48" i="1"/>
  <c r="AA15" i="1"/>
  <c r="AA42" i="1"/>
  <c r="O38" i="15"/>
  <c r="AB48" i="1"/>
  <c r="AB15" i="1"/>
  <c r="P38" i="15"/>
  <c r="Z33" i="1"/>
  <c r="Z32" i="1"/>
  <c r="Y34" i="1"/>
  <c r="Y46" i="1" s="1"/>
  <c r="Z26" i="1"/>
  <c r="N57" i="15" l="1" a="1"/>
  <c r="N57" i="15" s="1"/>
  <c r="N59" i="15" s="1"/>
  <c r="N69" i="15" a="1"/>
  <c r="N69" i="15" s="1"/>
  <c r="M106" i="15"/>
  <c r="M109" i="15" s="1"/>
  <c r="M125" i="15" s="1"/>
  <c r="N70" i="15" a="1"/>
  <c r="N70" i="15" s="1"/>
  <c r="O104" i="15"/>
  <c r="O39" i="15"/>
  <c r="O43" i="15"/>
  <c r="P104" i="15"/>
  <c r="P39" i="15"/>
  <c r="P43" i="15"/>
  <c r="O92" i="15" a="1"/>
  <c r="O92" i="15" s="1"/>
  <c r="O95" i="15" s="1"/>
  <c r="AA45" i="1"/>
  <c r="AB42" i="1"/>
  <c r="Z34" i="1"/>
  <c r="Z46" i="1" s="1"/>
  <c r="Z55" i="1"/>
  <c r="AA26" i="1"/>
  <c r="AA32" i="1"/>
  <c r="AA33" i="1"/>
  <c r="O69" i="15" l="1" a="1"/>
  <c r="O69" i="15" s="1"/>
  <c r="O70" i="15" a="1"/>
  <c r="O70" i="15" s="1"/>
  <c r="N72" i="15"/>
  <c r="N97" i="15" s="1"/>
  <c r="AA55" i="1"/>
  <c r="O57" i="15" a="1"/>
  <c r="O57" i="15" s="1"/>
  <c r="O59" i="15" s="1"/>
  <c r="O72" i="15" s="1"/>
  <c r="O97" i="15" s="1"/>
  <c r="N107" i="15" a="1"/>
  <c r="N107" i="15" s="1"/>
  <c r="Z54" i="1"/>
  <c r="AB45" i="1"/>
  <c r="P92" i="15" a="1"/>
  <c r="P92" i="15" s="1"/>
  <c r="P95" i="15" s="1"/>
  <c r="AB33" i="1"/>
  <c r="AB32" i="1"/>
  <c r="AA34" i="1"/>
  <c r="AA46" i="1" s="1"/>
  <c r="AB26" i="1"/>
  <c r="X45" i="1"/>
  <c r="X46" i="1" s="1"/>
  <c r="N106" i="15" l="1"/>
  <c r="N109" i="15" s="1"/>
  <c r="N125" i="15" s="1"/>
  <c r="P69" i="15" a="1"/>
  <c r="P69" i="15" s="1"/>
  <c r="P70" i="15" a="1"/>
  <c r="P70" i="15" s="1"/>
  <c r="AB55" i="1"/>
  <c r="P57" i="15" a="1"/>
  <c r="P57" i="15" s="1"/>
  <c r="P59" i="15" s="1"/>
  <c r="P72" i="15" s="1"/>
  <c r="P97" i="15" s="1"/>
  <c r="O107" i="15" a="1"/>
  <c r="O107" i="15" s="1"/>
  <c r="AA54" i="1"/>
  <c r="AB34" i="1"/>
  <c r="AB46" i="1" s="1"/>
  <c r="O106" i="15" l="1"/>
  <c r="O109" i="15" s="1"/>
  <c r="O125" i="15" s="1"/>
  <c r="P107" i="15" a="1"/>
  <c r="P107" i="15" s="1"/>
  <c r="AB54" i="1"/>
  <c r="P106" i="15" l="1"/>
  <c r="P109" i="15" s="1"/>
  <c r="P125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tido</author>
  </authors>
  <commentList>
    <comment ref="Q38" authorId="0" shapeId="0" xr:uid="{88C873A7-2BF4-4A3B-80B8-14BF2371D34D}">
      <text>
        <r>
          <rPr>
            <b/>
            <sz val="9"/>
            <color indexed="81"/>
            <rFont val="Tahoma"/>
            <family val="2"/>
          </rPr>
          <t>tido:</t>
        </r>
        <r>
          <rPr>
            <sz val="9"/>
            <color indexed="81"/>
            <rFont val="Tahoma"/>
            <family val="2"/>
          </rPr>
          <t xml:space="preserve">
Incl. debt conversion liabilitiy
</t>
        </r>
      </text>
    </comment>
    <comment ref="B107" authorId="0" shapeId="0" xr:uid="{AD6E9C29-DF52-4CCE-A257-FC874EE0580D}">
      <text>
        <r>
          <rPr>
            <b/>
            <sz val="9"/>
            <color indexed="81"/>
            <rFont val="Tahoma"/>
            <family val="2"/>
          </rPr>
          <t>tido:</t>
        </r>
        <r>
          <rPr>
            <sz val="9"/>
            <color indexed="81"/>
            <rFont val="Tahoma"/>
            <family val="2"/>
          </rPr>
          <t xml:space="preserve">
Losses usually due to FX hedging</t>
        </r>
      </text>
    </comment>
    <comment ref="B143" authorId="0" shapeId="0" xr:uid="{2904761F-D86A-4F63-8CA5-AFEFE945F3EC}">
      <text>
        <r>
          <rPr>
            <b/>
            <sz val="9"/>
            <color indexed="81"/>
            <rFont val="Tahoma"/>
            <family val="2"/>
          </rPr>
          <t>tido:</t>
        </r>
        <r>
          <rPr>
            <sz val="9"/>
            <color indexed="81"/>
            <rFont val="Tahoma"/>
            <family val="2"/>
          </rPr>
          <t xml:space="preserve">
Restatement issues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<sst xmlns="http://schemas.openxmlformats.org/spreadsheetml/2006/main" count="1272" uniqueCount="575">
  <si>
    <t>Identifier</t>
  </si>
  <si>
    <t>Start Date</t>
  </si>
  <si>
    <t>End Date</t>
  </si>
  <si>
    <t>Report Basis</t>
  </si>
  <si>
    <t>Income Statement</t>
  </si>
  <si>
    <t>Goodwill</t>
  </si>
  <si>
    <t>Pretax Income</t>
  </si>
  <si>
    <t>Net Income</t>
  </si>
  <si>
    <t>Balance Sheet</t>
  </si>
  <si>
    <t>Assets</t>
  </si>
  <si>
    <t>Leases</t>
  </si>
  <si>
    <t>Other Assets</t>
  </si>
  <si>
    <t>Other Liabilities</t>
  </si>
  <si>
    <t>Retained Earnings</t>
  </si>
  <si>
    <t>Cash Flow</t>
  </si>
  <si>
    <t>CIEN-US</t>
  </si>
  <si>
    <t>ANN_R</t>
  </si>
  <si>
    <t>Ciena Corporation</t>
  </si>
  <si>
    <t>-</t>
  </si>
  <si>
    <t>Revenue</t>
  </si>
  <si>
    <t>COGS</t>
  </si>
  <si>
    <t>Gross Profit</t>
  </si>
  <si>
    <t>S&amp;M</t>
  </si>
  <si>
    <t>R&amp;D</t>
  </si>
  <si>
    <t>Operating Expenses</t>
  </si>
  <si>
    <t>Operating Income</t>
  </si>
  <si>
    <t>Next Report Date:</t>
  </si>
  <si>
    <t>Last Refresh:</t>
  </si>
  <si>
    <t>FYE Date:</t>
  </si>
  <si>
    <t>1</t>
  </si>
  <si>
    <t>original</t>
  </si>
  <si>
    <t>restated</t>
  </si>
  <si>
    <t>Units</t>
  </si>
  <si>
    <t>M</t>
  </si>
  <si>
    <t>ANN</t>
  </si>
  <si>
    <t>Billions</t>
  </si>
  <si>
    <t>B</t>
  </si>
  <si>
    <t>QTR</t>
  </si>
  <si>
    <t>QTR_R</t>
  </si>
  <si>
    <t>Millions</t>
  </si>
  <si>
    <t>Frequency</t>
  </si>
  <si>
    <t>Fiscal Years</t>
  </si>
  <si>
    <t>SEMI</t>
  </si>
  <si>
    <t>SEMI_R</t>
  </si>
  <si>
    <t>Thousands</t>
  </si>
  <si>
    <t>T</t>
  </si>
  <si>
    <t>Restated</t>
  </si>
  <si>
    <t>YTD</t>
  </si>
  <si>
    <t>YTD_R</t>
  </si>
  <si>
    <t>Total revenue</t>
  </si>
  <si>
    <t>RV</t>
  </si>
  <si>
    <t xml:space="preserve">  Products</t>
  </si>
  <si>
    <t>PRODUCTS</t>
  </si>
  <si>
    <t xml:space="preserve">  Services</t>
  </si>
  <si>
    <t>SERVICES</t>
  </si>
  <si>
    <t>Total cost of goods sold</t>
  </si>
  <si>
    <t>TOTAL COST OF GOODS SOLD</t>
  </si>
  <si>
    <t>PRODUCTS2</t>
  </si>
  <si>
    <t>SERVICES2</t>
  </si>
  <si>
    <t>Gross profit</t>
  </si>
  <si>
    <t>GROSS PROFIT</t>
  </si>
  <si>
    <t>Total operating expenses</t>
  </si>
  <si>
    <t>TOTAL OPERATING EXPENSES</t>
  </si>
  <si>
    <t xml:space="preserve">  Research and development</t>
  </si>
  <si>
    <t>RESEARCH AND DEVELOPMENT</t>
  </si>
  <si>
    <t xml:space="preserve">  Selling and marketing</t>
  </si>
  <si>
    <t>SELLING AND MARKETING</t>
  </si>
  <si>
    <t xml:space="preserve">  General and administrative</t>
  </si>
  <si>
    <t>GENERAL AND ADMINISTRATIVE</t>
  </si>
  <si>
    <t xml:space="preserve">    General and administrative excluding provision for / recovery of doubtful accounts and acquisition and integration costs</t>
  </si>
  <si>
    <t>GENERAL AND ADMINISTRATIVE EXCLUDING PROVISION FOR / RECOVERY OF DOUBTFUL ACCOUNTS AND ACQUISITION AND INTEGRATION COSTS</t>
  </si>
  <si>
    <t xml:space="preserve">    Provision for / recovery of doubtful accounts</t>
  </si>
  <si>
    <t>PROVISION FOR / RECOVERY OF DOUBTFUL ACCOUNTS</t>
  </si>
  <si>
    <t xml:space="preserve">    Acquisition and integration costs</t>
  </si>
  <si>
    <t>ACQUISITION AND INTEGRATION COSTS</t>
  </si>
  <si>
    <t xml:space="preserve">  Gain on lease settlement</t>
  </si>
  <si>
    <t>GAIN ON LEASE SETTLEMENT</t>
  </si>
  <si>
    <t xml:space="preserve">  Goodwill impairment</t>
  </si>
  <si>
    <t>GOODWILL IMPAIRMENT</t>
  </si>
  <si>
    <t xml:space="preserve">  Long-lived asset impairment</t>
  </si>
  <si>
    <t>LONG-LIVED ASSET IMPAIRMENT</t>
  </si>
  <si>
    <t xml:space="preserve">  Change in fair value of contingent consideration</t>
  </si>
  <si>
    <t>CHANGE IN FAIR VALUE OF CONTINGENT CONSIDERATION</t>
  </si>
  <si>
    <t xml:space="preserve">  Restructuring costs / recoveries</t>
  </si>
  <si>
    <t>RESTRUCTURING COSTS / RECOVERIES</t>
  </si>
  <si>
    <t xml:space="preserve">  Amortization of intangible assets</t>
  </si>
  <si>
    <t>AMORTIZATION OF INTANGIBLE ASSETS</t>
  </si>
  <si>
    <t>Income / loss from operations</t>
  </si>
  <si>
    <t>INCOME / LOSS FROM OPERATIONS</t>
  </si>
  <si>
    <t>Interest and other income / loss, net</t>
  </si>
  <si>
    <t>INTEREST AND OTHER INCOME / LOSS NET</t>
  </si>
  <si>
    <t xml:space="preserve">  Interest and other income / loss, net excluding loss on extinguishment and modification of debt</t>
  </si>
  <si>
    <t>INTEREST AND OTHER INCOME / LOSS NET EXCLUDING LOSS ON EXTINGUISHMENT AND MODIFICATION OF DEBT</t>
  </si>
  <si>
    <t xml:space="preserve">  Loss on extinguishment and modification of debt</t>
  </si>
  <si>
    <t>LOSS ON EXTINGUISHMENT AND MODIFICATION OF DEBT</t>
  </si>
  <si>
    <t>Interest expense</t>
  </si>
  <si>
    <t>INTEREST EXPENSE</t>
  </si>
  <si>
    <t>Realized gain / loss due to impairment of marketable debt investments</t>
  </si>
  <si>
    <t>REALIZED GAIN / LOSS DUE TO IMPAIRMENT OF MARKETABLE DEBT INVESTMENTS</t>
  </si>
  <si>
    <t>Gain / loss on cost method investments</t>
  </si>
  <si>
    <t>GAIN / LOSS ON COST METHOD INVESTMENTS</t>
  </si>
  <si>
    <t>Gain / loss on extinguishment of debt</t>
  </si>
  <si>
    <t>GAIN / LOSS ON EXTINGUISHMENT OF DEBT</t>
  </si>
  <si>
    <t>Gain / loss on equity investments, net</t>
  </si>
  <si>
    <t>GAIN / LOSS ON EQUITY INVESTMENTS NET</t>
  </si>
  <si>
    <t xml:space="preserve">Loss / income before income taxes </t>
  </si>
  <si>
    <t>LOSS / INCOME BEFORE INCOME TAXES</t>
  </si>
  <si>
    <t>Provision / benefit for income taxes</t>
  </si>
  <si>
    <t>PROVISION / BENEFIT FOR INCOME TAXES</t>
  </si>
  <si>
    <t>Net loss / income</t>
  </si>
  <si>
    <t>NI</t>
  </si>
  <si>
    <t>Per share</t>
  </si>
  <si>
    <t>PER SHARE</t>
  </si>
  <si>
    <t xml:space="preserve">  Basic </t>
  </si>
  <si>
    <t>BASIC</t>
  </si>
  <si>
    <t xml:space="preserve">  Diluted </t>
  </si>
  <si>
    <t>DILUTED</t>
  </si>
  <si>
    <t>Weighted average shares</t>
  </si>
  <si>
    <t>WEIGHTED AVERAGE SHARES</t>
  </si>
  <si>
    <t>BASIC2</t>
  </si>
  <si>
    <t>DILUTED2</t>
  </si>
  <si>
    <t/>
  </si>
  <si>
    <t>Total assets</t>
  </si>
  <si>
    <t>TA</t>
  </si>
  <si>
    <t xml:space="preserve">  Total current assets</t>
  </si>
  <si>
    <t>TOTAL CURRENT ASSETS</t>
  </si>
  <si>
    <t xml:space="preserve">    Cash and cash equivalents</t>
  </si>
  <si>
    <t>CASH AND CASH EQUIVALENTS</t>
  </si>
  <si>
    <t xml:space="preserve">    Short-term investments</t>
  </si>
  <si>
    <t>SHORT-TERM INVESTMENTS</t>
  </si>
  <si>
    <t xml:space="preserve">    Accounts receivable, net of allowance for doubtful accounts </t>
  </si>
  <si>
    <t>ACCOUNTS RECEIVABLE NET OF ALLOWANCE FOR DOUBTFUL ACCOUNTS</t>
  </si>
  <si>
    <t xml:space="preserve">    Inventories</t>
  </si>
  <si>
    <t>INVENTORIES</t>
  </si>
  <si>
    <t xml:space="preserve">    Prepaid expenses and other</t>
  </si>
  <si>
    <t>PREPAID EXPENSES AND OTHER</t>
  </si>
  <si>
    <t xml:space="preserve">  Long-term investments</t>
  </si>
  <si>
    <t>LONG-TERM INVESTMENTS</t>
  </si>
  <si>
    <t xml:space="preserve">  Equipment, building, furniture and fixtures, net</t>
  </si>
  <si>
    <t>EQUIPMENT BUILDING FURNITURE AND FIXTURES NET</t>
  </si>
  <si>
    <t xml:space="preserve">  Operating lease right-of-use assets</t>
  </si>
  <si>
    <t>OPERATING LEASE RIGHT-OF-USE ASSETS</t>
  </si>
  <si>
    <t xml:space="preserve">  Goodwill</t>
  </si>
  <si>
    <t>GOODWILL</t>
  </si>
  <si>
    <t xml:space="preserve">  Other intangible assets, net</t>
  </si>
  <si>
    <t>OTHER INTANGIBLE ASSETS NET</t>
  </si>
  <si>
    <t xml:space="preserve">  Other long-term assets</t>
  </si>
  <si>
    <t>OTHER LONG-TERM ASSETS</t>
  </si>
  <si>
    <t xml:space="preserve">    Deferred tax asset, net</t>
  </si>
  <si>
    <t>DEFERRED TAX ASSET NET</t>
  </si>
  <si>
    <t xml:space="preserve">    Other long-term assets excluding deferred tax asset, net</t>
  </si>
  <si>
    <t>OTHER LONG-TERM ASSETS EXCLUDING DEFERRED TAX ASSET NET</t>
  </si>
  <si>
    <t>Total liabilities and stockholders’ equity / deficit</t>
  </si>
  <si>
    <t>LE</t>
  </si>
  <si>
    <t xml:space="preserve">  Total liabilities</t>
  </si>
  <si>
    <t>TOTAL LIABILITIES</t>
  </si>
  <si>
    <t xml:space="preserve">    Total current liabilities</t>
  </si>
  <si>
    <t>TOTAL CURRENT LIABILITIES</t>
  </si>
  <si>
    <t xml:space="preserve">      Accounts payable</t>
  </si>
  <si>
    <t>ACCOUNTS PAYABLE</t>
  </si>
  <si>
    <t xml:space="preserve">      Accrued liabilities </t>
  </si>
  <si>
    <t>ACCRUED LIABILITIES</t>
  </si>
  <si>
    <t xml:space="preserve">        Accrued liabilities excluding restructuring liabilities</t>
  </si>
  <si>
    <t>ACCRUED LIABILITIES EXCLUDING RESTRUCTURING LIABILITIES</t>
  </si>
  <si>
    <t xml:space="preserve">        Restructuring liabilities</t>
  </si>
  <si>
    <t>RESTRUCTURING LIABILITIES</t>
  </si>
  <si>
    <t xml:space="preserve">      Unfavorable lease commitments</t>
  </si>
  <si>
    <t>UNFAVORABLE LEASE COMMITMENTS</t>
  </si>
  <si>
    <t xml:space="preserve">      Income tax payable</t>
  </si>
  <si>
    <t>INCOME TAX PAYABLE</t>
  </si>
  <si>
    <t xml:space="preserve">      Deferred revenue</t>
  </si>
  <si>
    <t>DEFERRED REVENUE</t>
  </si>
  <si>
    <t xml:space="preserve">      Term loan payable</t>
  </si>
  <si>
    <t>TERM LOAN PAYABLE</t>
  </si>
  <si>
    <t xml:space="preserve">      Convertible notes payable</t>
  </si>
  <si>
    <t>CONVERTIBLE NOTES PAYABLE</t>
  </si>
  <si>
    <t xml:space="preserve">      Operating lease liabilities</t>
  </si>
  <si>
    <t>OPERATING LEASE LIABILITIES</t>
  </si>
  <si>
    <t xml:space="preserve">      Current portion of long-term debt</t>
  </si>
  <si>
    <t>CURRENT PORTION OF LONG-TERM DEBT</t>
  </si>
  <si>
    <t xml:space="preserve">      Debt conversion liability</t>
  </si>
  <si>
    <t>DEBT CONVERSION LIABILITY</t>
  </si>
  <si>
    <t xml:space="preserve">    Long-term deferred revenue</t>
  </si>
  <si>
    <t>LONG-TERM DEFERRED REVENUE</t>
  </si>
  <si>
    <t xml:space="preserve">    Long-term unfavorable lease commitments</t>
  </si>
  <si>
    <t>LONG-TERM UNFAVORABLE LEASE COMMITMENTS</t>
  </si>
  <si>
    <t xml:space="preserve">    Other long-term obligations</t>
  </si>
  <si>
    <t>OTHER LONG-TERM OBLIGATIONS</t>
  </si>
  <si>
    <t xml:space="preserve">      Long-term restructuring liabilities</t>
  </si>
  <si>
    <t>LONG-TERM RESTRUCTURING LIABILITIES</t>
  </si>
  <si>
    <t xml:space="preserve">      Other long-term obligations excluding long-term restructuring liabilities</t>
  </si>
  <si>
    <t>OTHER LONG-TERM OBLIGATIONS EXCLUDING LONG-TERM RESTRUCTURING LIABILITIES</t>
  </si>
  <si>
    <t xml:space="preserve">    Long-term term loan payable</t>
  </si>
  <si>
    <t>LONG-TERM TERM LOAN PAYABLE</t>
  </si>
  <si>
    <t xml:space="preserve">    Long-term operating lease liabilities</t>
  </si>
  <si>
    <t>LONG-TERM OPERATING LEASE LIABILITIES</t>
  </si>
  <si>
    <t xml:space="preserve">    Long-term debt, net</t>
  </si>
  <si>
    <t>LONG-TERM DEBT NET</t>
  </si>
  <si>
    <t xml:space="preserve">  Total stockholders’ equity / deficit</t>
  </si>
  <si>
    <t>TOTAL STOCKHOLDERS EQUITY / DEFICIT</t>
  </si>
  <si>
    <t xml:space="preserve">    Preferred stock</t>
  </si>
  <si>
    <t>PREFERRED STOCK</t>
  </si>
  <si>
    <t xml:space="preserve">    Common stock</t>
  </si>
  <si>
    <t>COMMON STOCK</t>
  </si>
  <si>
    <t xml:space="preserve">    Additional paid-in capital</t>
  </si>
  <si>
    <t>ADDITIONAL PAID-IN CAPITAL</t>
  </si>
  <si>
    <t xml:space="preserve">    Accumulated other comprehensive loss / income</t>
  </si>
  <si>
    <t>ACCUMULATED OTHER COMPREHENSIVE LOSS / INCOME</t>
  </si>
  <si>
    <t xml:space="preserve">      Changes in unrealized gains / losses on investments, net of income taxes</t>
  </si>
  <si>
    <t>CHANGES IN UNREALIZED GAINS / LOSSES ON INVESTMENTS NET OF INCOME TAXES</t>
  </si>
  <si>
    <t xml:space="preserve">      Translation adjustment</t>
  </si>
  <si>
    <t>TRANSLATION ADJUSTMENT</t>
  </si>
  <si>
    <t xml:space="preserve">    Accumulated deficit</t>
  </si>
  <si>
    <t>ACCUMULATED DEFICIT</t>
  </si>
  <si>
    <t>Net cash provided by / used in operating activities</t>
  </si>
  <si>
    <t>NET CASH PROVIDED BY / USED IN OPERATING ACTIVITIES</t>
  </si>
  <si>
    <t xml:space="preserve">  Net loss / income</t>
  </si>
  <si>
    <t>NET LOSS / INCOME</t>
  </si>
  <si>
    <t xml:space="preserve">  Adjustments to reconcile net loss / income to net cash provided by / used in operating activities</t>
  </si>
  <si>
    <t>ADJUSTMENTS TO RECONCILE NET LOSS / INCOME TO NET CASH PROVIDED BY / USED IN OPERATING ACTIVITIES</t>
  </si>
  <si>
    <t xml:space="preserve">    Gain / loss on extinguishment of debt</t>
  </si>
  <si>
    <t xml:space="preserve">    Realized loss due to impairment of marketable debt investments</t>
  </si>
  <si>
    <t>REALIZED LOSS DUE TO IMPAIRMENT OF MARKETABLE DEBT INVESTMENTS</t>
  </si>
  <si>
    <t xml:space="preserve">    Non-cash impairment of long-lived assets</t>
  </si>
  <si>
    <t>NON-CASH IMPAIRMENT OF LONG-LIVED ASSETS</t>
  </si>
  <si>
    <t xml:space="preserve">    Change in fair value of contingent consideration</t>
  </si>
  <si>
    <t xml:space="preserve">    Loss on fair value of debt conversion liability</t>
  </si>
  <si>
    <t>LOSS ON FAIR VALUE OF DEBT CONVERSION LIABILITY</t>
  </si>
  <si>
    <t xml:space="preserve">    Depreciation of equipment, building, furniture and fixtures, and amortization of leasehold improvements</t>
  </si>
  <si>
    <t>DEPRECIATION OF EQUIPMENT BUILDING FURNITURE AND FIXTURES AND AMORTIZATION OF LEASEHOLD IMPROVEMENTS</t>
  </si>
  <si>
    <t xml:space="preserve">    Share-based compensation costs</t>
  </si>
  <si>
    <t>SHARE-BASED COMPENSATION COSTS</t>
  </si>
  <si>
    <t xml:space="preserve">    Impairment of goodwill </t>
  </si>
  <si>
    <t>IMPAIRMENT OF GOODWILL</t>
  </si>
  <si>
    <t xml:space="preserve">    Amortization of intangible assets</t>
  </si>
  <si>
    <t xml:space="preserve">    Other</t>
  </si>
  <si>
    <t>OTHER</t>
  </si>
  <si>
    <t xml:space="preserve">      Change in fair value of embedded redemption feature</t>
  </si>
  <si>
    <t>CHANGE IN FAIR VALUE OF EMBEDDED REDEMPTION FEATURE</t>
  </si>
  <si>
    <t xml:space="preserve">      Other excluding change in fair value of embedded redemption feature</t>
  </si>
  <si>
    <t>OTHER EXCLUDING CHANGE IN FAIR VALUE OF EMBEDDED REDEMPTION FEATURE</t>
  </si>
  <si>
    <t xml:space="preserve">        Amortization of discount / premium on marketable securities</t>
  </si>
  <si>
    <t>AMORTIZATION OF DISCOUNT / PREMIUM ON MARKETABLE SECURITIES</t>
  </si>
  <si>
    <t xml:space="preserve">        Other excluding amortization of discount / premium on marketable securities</t>
  </si>
  <si>
    <t>OTHER EXCLUDING AMORTIZATION OF DISCOUNT / PREMIUM ON MARKETABLE SECURITIES</t>
  </si>
  <si>
    <t xml:space="preserve">          Deferred tax provision / benefit</t>
  </si>
  <si>
    <t>DEFERRED TAX PROVISION / BENEFIT</t>
  </si>
  <si>
    <t xml:space="preserve">          Other excluding deferred tax provision / benefit</t>
  </si>
  <si>
    <t>OTHER EXCLUDING DEFERRED TAX PROVISION / BENEFIT</t>
  </si>
  <si>
    <t xml:space="preserve">            Provision for doubtful accounts</t>
  </si>
  <si>
    <t>PROVISION FOR DOUBTFUL ACCOUNTS</t>
  </si>
  <si>
    <t xml:space="preserve">            Gain on cost method equity investments, net</t>
  </si>
  <si>
    <t>GAIN ON COST METHOD EQUITY INVESTMENTS NET</t>
  </si>
  <si>
    <t xml:space="preserve">            Other excluding provision for doubtful accounts </t>
  </si>
  <si>
    <t>OTHER EXCLUDING PROVISION FOR DOUBTFUL ACCOUNTS</t>
  </si>
  <si>
    <t xml:space="preserve">    Gain / loss on cost method investments</t>
  </si>
  <si>
    <t xml:space="preserve">    Provision for inventory excess and obsolescence</t>
  </si>
  <si>
    <t>PROVISION FOR INVENTORY EXCESS AND OBSOLESCENCE</t>
  </si>
  <si>
    <t xml:space="preserve">    Provision for warranty</t>
  </si>
  <si>
    <t>PROVISION FOR WARRANTY</t>
  </si>
  <si>
    <t xml:space="preserve">    Changes in assets and liabilities</t>
  </si>
  <si>
    <t>CHANGES IN ASSETS AND LIABILITIES</t>
  </si>
  <si>
    <t xml:space="preserve">      Accounts receivable</t>
  </si>
  <si>
    <t>ACCOUNTS RECEIVABLE</t>
  </si>
  <si>
    <t xml:space="preserve">      Inventories</t>
  </si>
  <si>
    <t xml:space="preserve">      Prepaid expenses and other</t>
  </si>
  <si>
    <t xml:space="preserve">      Operating lease right-of-use assets</t>
  </si>
  <si>
    <t xml:space="preserve">      Accounts payable, accruals and other obligations</t>
  </si>
  <si>
    <t>ACCOUNTS PAYABLE ACCRUALS AND OTHER OBLIGATIONS</t>
  </si>
  <si>
    <t xml:space="preserve">        Accounts payable, accruals and other obligations excluding income taxes payable</t>
  </si>
  <si>
    <t>ACCOUNTS PAYABLE ACCRUALS AND OTHER OBLIGATIONS EXCLUDING INCOME TAXES PAYABLE</t>
  </si>
  <si>
    <t xml:space="preserve">        Income taxes payable</t>
  </si>
  <si>
    <t>INCOME TAXES PAYABLE</t>
  </si>
  <si>
    <t xml:space="preserve">      Short and long-term operating lease liabilities</t>
  </si>
  <si>
    <t>SHORT AND LONG-TERM OPERATING LEASE LIABILITIES</t>
  </si>
  <si>
    <t>Net cash used in / provided by investing activities</t>
  </si>
  <si>
    <t>NET CASH USED IN / PROVIDED BY INVESTING ACTIVITIES</t>
  </si>
  <si>
    <t xml:space="preserve">  Payments for equipment, furniture, fixtures and intellectual property</t>
  </si>
  <si>
    <t>PAYMENTS FOR EQUIPMENT FURNITURE FIXTURES AND INTELLECTUAL PROPERTY</t>
  </si>
  <si>
    <t xml:space="preserve">  Proceeds from sale of equipment, furniture and fixtures</t>
  </si>
  <si>
    <t>PROCEEDS FROM SALE OF EQUIPMENT FURNITURE AND FIXTURES</t>
  </si>
  <si>
    <t xml:space="preserve">  Restricted cash</t>
  </si>
  <si>
    <t>RESTRICTED CASH</t>
  </si>
  <si>
    <t xml:space="preserve">  Purchase of available for sale securities</t>
  </si>
  <si>
    <t>PURCHASE OF AVAILABLE FOR SALE SECURITIES</t>
  </si>
  <si>
    <t xml:space="preserve">  Proceeds from maturities of available for sale securities</t>
  </si>
  <si>
    <t>PROCEEDS FROM MATURITIES OF AVAILABLE FOR SALE SECURITIES</t>
  </si>
  <si>
    <t xml:space="preserve">    Proceeds from maturities of available for sale securities excluding settlement of foreign currency forward contracts, net</t>
  </si>
  <si>
    <t>PROCEEDS FROM MATURITIES OF AVAILABLE FOR SALE SECURITIES EXCLUDING SETTLEMENT OF FOREIGN CURRENCY FORWARD CONTRACTS NET</t>
  </si>
  <si>
    <t xml:space="preserve">    Settlement of foreign currency forward contracts, net</t>
  </si>
  <si>
    <t>SETTLEMENT OF FOREIGN CURRENCY FORWARD CONTRACTS NET</t>
  </si>
  <si>
    <t xml:space="preserve">  Proceeds from sales of available for sale securities</t>
  </si>
  <si>
    <t>PROCEEDS FROM SALES OF AVAILABLE FOR SALE SECURITIES</t>
  </si>
  <si>
    <t xml:space="preserve">  Minority equity investments, net</t>
  </si>
  <si>
    <t>MINORITY EQUITY INVESTMENTS NET</t>
  </si>
  <si>
    <t xml:space="preserve">  Proceeds from sale of cost method investment</t>
  </si>
  <si>
    <t>PROCEEDS FROM SALE OF COST METHOD INVESTMENT</t>
  </si>
  <si>
    <t xml:space="preserve">  Purchase of cost method investment</t>
  </si>
  <si>
    <t>PURCHASE OF COST METHOD INVESTMENT</t>
  </si>
  <si>
    <t xml:space="preserve">  Acquisition of business, net of cash acquired</t>
  </si>
  <si>
    <t>ACQUISITION OF BUSINESS NET OF CASH ACQUIRED</t>
  </si>
  <si>
    <t xml:space="preserve">  Receipt of contingent consideration related to business acquisition</t>
  </si>
  <si>
    <t>RECEIPT OF CONTINGENT CONSIDERATION RELATED TO BUSINESS ACQUISITION</t>
  </si>
  <si>
    <t>Net cash provided by / used in financing activities</t>
  </si>
  <si>
    <t>NET CASH PROVIDED BY / USED IN FINANCING ACTIVITIES</t>
  </si>
  <si>
    <t xml:space="preserve">  Proceeds from issuance of senior convertible notes payable</t>
  </si>
  <si>
    <t>PROCEEDS FROM ISSUANCE OF SENIOR CONVERTIBLE NOTES PAYABLE</t>
  </si>
  <si>
    <t xml:space="preserve">  Proceeds from issuance of long-term debt, net</t>
  </si>
  <si>
    <t>PROCEEDS FROM ISSUANCE OF LONG-TERM DEBT NET</t>
  </si>
  <si>
    <t xml:space="preserve">  Payment for debt conversion liability</t>
  </si>
  <si>
    <t>PAYMENT FOR DEBT CONVERSION LIABILITY</t>
  </si>
  <si>
    <t xml:space="preserve">  Payment for make-whole provision upon conversion of long-term debt</t>
  </si>
  <si>
    <t>PAYMENT FOR MAKE-WHOLE PROVISION UPON CONVERSION OF LONG-TERM DEBT</t>
  </si>
  <si>
    <t xml:space="preserve">  Payment for modification of term loans</t>
  </si>
  <si>
    <t>PAYMENT FOR MODIFICATION OF TERM LOANS</t>
  </si>
  <si>
    <t xml:space="preserve">    Proceeds from modification of term loan</t>
  </si>
  <si>
    <t>PROCEEDS FROM MODIFICATION OF TERM LOAN</t>
  </si>
  <si>
    <t xml:space="preserve">    Payment for modification of term loans excluding payment for modification of term loans</t>
  </si>
  <si>
    <t>PAYMENT FOR MODIFICATION OF TERM LOANS EXCLUDING PAYMENT FOR MODIFICATION OF TERM LOANS</t>
  </si>
  <si>
    <t xml:space="preserve">  Cash paid for extinguishment of debt </t>
  </si>
  <si>
    <t>CASH PAID FOR EXTINGUISHMENT OF DEBT</t>
  </si>
  <si>
    <t xml:space="preserve">  Payment of long term debt</t>
  </si>
  <si>
    <t>PAYMENT OF LONG TERM DEBT</t>
  </si>
  <si>
    <t xml:space="preserve">  Payment for debt issuance costs</t>
  </si>
  <si>
    <t>PAYMENT FOR DEBT ISSUANCE COSTS</t>
  </si>
  <si>
    <t xml:space="preserve">  Purchase of call spread option</t>
  </si>
  <si>
    <t>PURCHASE OF CALL SPREAD OPTION</t>
  </si>
  <si>
    <t xml:space="preserve">  Repayment of indebtedness of acquired business</t>
  </si>
  <si>
    <t>REPAYMENT OF INDEBTEDNESS OF ACQUIRED BUSINESS</t>
  </si>
  <si>
    <t xml:space="preserve">  Excess tax benefit from employee stock option plans</t>
  </si>
  <si>
    <t>EXCESS TAX BENEFIT FROM EMPLOYEE STOCK OPTION PLANS</t>
  </si>
  <si>
    <t xml:space="preserve">  Payment of finance lease obligations</t>
  </si>
  <si>
    <t>PAYMENT OF FINANCE LEASE OBLIGATIONS</t>
  </si>
  <si>
    <t xml:space="preserve">  Repayment of senior convertible notes payable</t>
  </si>
  <si>
    <t>REPAYMENT OF SENIOR CONVERTIBLE NOTES PAYABLE</t>
  </si>
  <si>
    <t xml:space="preserve">    Repayment of 3.75% convertible notes payable</t>
  </si>
  <si>
    <t>REPAYMENT OF 3.75% CONVERTIBLE NOTES PAYABLE</t>
  </si>
  <si>
    <t xml:space="preserve">    Repurchase of 0.25% convertible notes payable</t>
  </si>
  <si>
    <t>REPURCHASE OF 0.25% CONVERTIBLE NOTES PAYABLE</t>
  </si>
  <si>
    <t xml:space="preserve">  Shares repurchased for tax withholdings on vesting of restricted stock units</t>
  </si>
  <si>
    <t>SHARES REPURCHASED FOR TAX WITHHOLDINGS ON VESTING OF RESTRICTED STOCK UNITS</t>
  </si>
  <si>
    <t xml:space="preserve">  Repurchases of common stock-repurchase program</t>
  </si>
  <si>
    <t>REPURCHASES OF COMMON STOCK-REPURCHASE PROGRAM</t>
  </si>
  <si>
    <t xml:space="preserve">  Proceeds from issuance of common stock</t>
  </si>
  <si>
    <t>PROCEEDS FROM ISSUANCE OF COMMON STOCK</t>
  </si>
  <si>
    <t xml:space="preserve">  Repayment of notes receivable from stockholders</t>
  </si>
  <si>
    <t>REPAYMENT OF NOTES RECEIVABLE FROM STOCKHOLDERS</t>
  </si>
  <si>
    <t xml:space="preserve">Net increase / decrease in cash and cash equivalents before effect of exchange rate changes on cash and cash equivalents </t>
  </si>
  <si>
    <t>NET INCREASE / DECREASE IN CASH AND CASH EQUIVALENTS BEFORE EFFECT OF EXCHANGE RATE CHANGES ON CASH AND CASH EQUIVALENTS</t>
  </si>
  <si>
    <t>Effect of exchange rate changes on cash and cash equivalents</t>
  </si>
  <si>
    <t>EFFECT OF EXCHANGE RATE CHANGES ON CASH AND CASH EQUIVALENTS</t>
  </si>
  <si>
    <t>Net increase / decrease in cash and cash equivalents</t>
  </si>
  <si>
    <t>CC</t>
  </si>
  <si>
    <t>Cash and cash equivalents at beginning of period</t>
  </si>
  <si>
    <t>CASH AND CASH EQUIVALENTS AT BEGINNING OF PERIOD</t>
  </si>
  <si>
    <t>Cash and cash equivalents at end of period</t>
  </si>
  <si>
    <t>CASH AND CASH EQUIVALENTS AT END OF PERIOD</t>
  </si>
  <si>
    <t>Supplemental disclosure</t>
  </si>
  <si>
    <t>SUPPLEMENTAL DISCLOSURE</t>
  </si>
  <si>
    <t xml:space="preserve">  Cash paid during the period for interest</t>
  </si>
  <si>
    <t>CASH PAID DURING THE PERIOD FOR INTEREST</t>
  </si>
  <si>
    <t xml:space="preserve">  Cash paid / refunded during the period for income taxes, net</t>
  </si>
  <si>
    <t>CASH PAID / REFUNDED DURING THE PERIOD FOR INCOME TAXES NET</t>
  </si>
  <si>
    <t xml:space="preserve">  Operating lease payments</t>
  </si>
  <si>
    <t>OPERATING LEASE PAYMENTS</t>
  </si>
  <si>
    <t xml:space="preserve">  Non-cash investing and financing activities</t>
  </si>
  <si>
    <t>NON-CASH INVESTING AND FINANCING ACTIVITIES</t>
  </si>
  <si>
    <t xml:space="preserve">    Purchase of equipment in accounts payable</t>
  </si>
  <si>
    <t>PURCHASE OF EQUIPMENT IN ACCOUNTS PAYABLE</t>
  </si>
  <si>
    <t xml:space="preserve">    Fair value of vested options assumed in acquisition</t>
  </si>
  <si>
    <t>FAIR VALUE OF VESTED OPTIONS ASSUMED IN ACQUISITION</t>
  </si>
  <si>
    <t xml:space="preserve">    Construction in progress subject to build-to-suit lease </t>
  </si>
  <si>
    <t>CONSTRUCTION IN PROGRESS SUBJECT TO BUILD-TO-SUIT LEASE</t>
  </si>
  <si>
    <t xml:space="preserve">    Building subject to capital lease</t>
  </si>
  <si>
    <t>BUILDING SUBJECT TO CAPITAL LEASE</t>
  </si>
  <si>
    <t xml:space="preserve">    Contingent consideration for acquisition of business</t>
  </si>
  <si>
    <t>CONTINGENT CONSIDERATION FOR ACQUISITION OF BUSINESS</t>
  </si>
  <si>
    <t xml:space="preserve">    Repurchase of common stock in accrued liabilities from repurchase program</t>
  </si>
  <si>
    <t>REPURCHASE OF COMMON STOCK IN ACCRUED LIABILITIES FROM REPURCHASE PROGRAM</t>
  </si>
  <si>
    <t xml:space="preserve">    Conversion of debt conversion liability </t>
  </si>
  <si>
    <t>CONVERSION OF DEBT CONVERSION LIABILITY</t>
  </si>
  <si>
    <t xml:space="preserve">    Operating lease right-of-use assets subject to lease liability</t>
  </si>
  <si>
    <t>OPERATING LEASE RIGHT-OF-USE ASSETS SUBJECT TO LEASE LIABILITY</t>
  </si>
  <si>
    <t xml:space="preserve">    Unrealized gain on equity investment</t>
  </si>
  <si>
    <t>UNREALIZED GAIN ON EQUITY INVESTMENT</t>
  </si>
  <si>
    <t xml:space="preserve">    Conversion of 3.75% convertible senior notes</t>
  </si>
  <si>
    <t>CONVERSION OF 3.75% CONVERTIBLE SENIOR NOTES</t>
  </si>
  <si>
    <t xml:space="preserve">    Conversion of 4.0% convertible senior notes</t>
  </si>
  <si>
    <t>CONVERSION OF 4.0% CONVERTIBLE SENIOR NOTES</t>
  </si>
  <si>
    <t xml:space="preserve">    Equipment acquired under capital lease</t>
  </si>
  <si>
    <t>EQUIPMENT ACQUIRED UNDER CAPITAL LEASE</t>
  </si>
  <si>
    <t xml:space="preserve">    Conversion of 8.0% convertible senior notes</t>
  </si>
  <si>
    <t>CONVERSION OF 8.0% CONVERTIBLE SENIOR NOTES</t>
  </si>
  <si>
    <t xml:space="preserve">    Fair value of shares issued related to acquisition of business</t>
  </si>
  <si>
    <t>FAIR VALUE OF SHARES ISSUED RELATED TO ACQUISITION OF BUSINESS</t>
  </si>
  <si>
    <t>G&amp;A</t>
  </si>
  <si>
    <t>Taxes</t>
  </si>
  <si>
    <t>EPS</t>
  </si>
  <si>
    <t>Shares</t>
  </si>
  <si>
    <t>CIEN</t>
  </si>
  <si>
    <t>Net Cash</t>
  </si>
  <si>
    <t>Cash</t>
  </si>
  <si>
    <t>AR</t>
  </si>
  <si>
    <t>Prepaids</t>
  </si>
  <si>
    <t>PP&amp;E</t>
  </si>
  <si>
    <t>LT Investments</t>
  </si>
  <si>
    <t>Other Intangible</t>
  </si>
  <si>
    <t>Inventory</t>
  </si>
  <si>
    <t>check</t>
  </si>
  <si>
    <t>AP</t>
  </si>
  <si>
    <t>Debt</t>
  </si>
  <si>
    <t>Deferred Rev</t>
  </si>
  <si>
    <t>Lease</t>
  </si>
  <si>
    <t>Total Paid in Capital</t>
  </si>
  <si>
    <t>AOCI</t>
  </si>
  <si>
    <t>L+SE</t>
  </si>
  <si>
    <t>Model NI</t>
  </si>
  <si>
    <t>Reported NI</t>
  </si>
  <si>
    <t>D&amp;A</t>
  </si>
  <si>
    <t>Lease Adj.</t>
  </si>
  <si>
    <t>Share Based Comp</t>
  </si>
  <si>
    <t>Other</t>
  </si>
  <si>
    <t>Provisions</t>
  </si>
  <si>
    <t>WC</t>
  </si>
  <si>
    <t>CFFO</t>
  </si>
  <si>
    <t>Investments</t>
  </si>
  <si>
    <t>Aqcuistions</t>
  </si>
  <si>
    <t>PPE</t>
  </si>
  <si>
    <t>CFFI</t>
  </si>
  <si>
    <t>Debt PMT</t>
  </si>
  <si>
    <t>Buyback and Issuance</t>
  </si>
  <si>
    <t>CFFF</t>
  </si>
  <si>
    <t>Financing Lease</t>
  </si>
  <si>
    <t>FX</t>
  </si>
  <si>
    <t>Model CIC</t>
  </si>
  <si>
    <t>Reported CIC</t>
  </si>
  <si>
    <t>ceck</t>
  </si>
  <si>
    <t>Estimate Start Year</t>
  </si>
  <si>
    <t>Model Dummy</t>
  </si>
  <si>
    <t>EBIT</t>
  </si>
  <si>
    <t>% of sales</t>
  </si>
  <si>
    <t>CapEx</t>
  </si>
  <si>
    <t>IS Drivers</t>
  </si>
  <si>
    <t>Revenue Growth</t>
  </si>
  <si>
    <t>COGS % of Rev</t>
  </si>
  <si>
    <t>R&amp;D % of Rev</t>
  </si>
  <si>
    <t>SG&amp;A % of Rev</t>
  </si>
  <si>
    <t>D&amp;A % of Rev</t>
  </si>
  <si>
    <t>Taxes % of EBIT</t>
  </si>
  <si>
    <t>Int Exp % of Debt</t>
  </si>
  <si>
    <t>EBITDA</t>
  </si>
  <si>
    <t>D&amp;A % of CapEx</t>
  </si>
  <si>
    <t>x</t>
  </si>
  <si>
    <t>BS Drivers</t>
  </si>
  <si>
    <t>AR % of Rev</t>
  </si>
  <si>
    <t>Inv % of Rev</t>
  </si>
  <si>
    <t>OA % of Rev</t>
  </si>
  <si>
    <t>CapEx % of Rev</t>
  </si>
  <si>
    <t>AP % of COGS</t>
  </si>
  <si>
    <t>OL % of Rev</t>
  </si>
  <si>
    <t>CF Drivers</t>
  </si>
  <si>
    <t>CFFO growth</t>
  </si>
  <si>
    <t>SBC % of SG&amp;A</t>
  </si>
  <si>
    <t>Live Scenario</t>
  </si>
  <si>
    <t>Scenario Name</t>
  </si>
  <si>
    <t>#</t>
  </si>
  <si>
    <t>Bear Case</t>
  </si>
  <si>
    <t>AVG</t>
  </si>
  <si>
    <t>Street Case</t>
  </si>
  <si>
    <t>Bull Case</t>
  </si>
  <si>
    <t>Debt Manager</t>
  </si>
  <si>
    <t>Average Cash</t>
  </si>
  <si>
    <t>Interest Rate</t>
  </si>
  <si>
    <t>Cash/Equiv</t>
  </si>
  <si>
    <t>Interest Income, Note 5</t>
  </si>
  <si>
    <t>Term Loans</t>
  </si>
  <si>
    <t>SOFR + 2%, Due Oct'30</t>
  </si>
  <si>
    <t>Notes</t>
  </si>
  <si>
    <t>4% Senior, Due 2030</t>
  </si>
  <si>
    <t>Market Rates</t>
  </si>
  <si>
    <t>SOFR</t>
  </si>
  <si>
    <t>Interest Payments</t>
  </si>
  <si>
    <t>Total Interest Exp</t>
  </si>
  <si>
    <t>PMT</t>
  </si>
  <si>
    <t>Unarmotized disc/issue</t>
  </si>
  <si>
    <t>Beg. Bal. LTD</t>
  </si>
  <si>
    <t>Total LTD</t>
  </si>
  <si>
    <t>Finance Leases</t>
  </si>
  <si>
    <t>Ammortization Exp</t>
  </si>
  <si>
    <t>Finance Lease Liab</t>
  </si>
  <si>
    <t>Interest on Leases</t>
  </si>
  <si>
    <t>Interest Exp, net</t>
  </si>
  <si>
    <t>Deferred Taxes</t>
  </si>
  <si>
    <t>Accurred Expenses</t>
  </si>
  <si>
    <t>AE % of OpEx</t>
  </si>
  <si>
    <t>Equity Manager</t>
  </si>
  <si>
    <t>Buybacks</t>
  </si>
  <si>
    <t>Buybacks and Issuance</t>
  </si>
  <si>
    <t>Plan to buyback $1billion USD worth of stock by 2027</t>
  </si>
  <si>
    <t>% of  SBC exp</t>
  </si>
  <si>
    <t>TPIC / CS</t>
  </si>
  <si>
    <t>Beginning TPIC, Bal</t>
  </si>
  <si>
    <t>Ending TPIC, Bal</t>
  </si>
  <si>
    <t>Taxes for SBC</t>
  </si>
  <si>
    <t>SBC expense</t>
  </si>
  <si>
    <t>SBC tax witholding</t>
  </si>
  <si>
    <t>Tax % of SBC exp</t>
  </si>
  <si>
    <t>Issuance CS for SBC</t>
  </si>
  <si>
    <t>Street</t>
  </si>
  <si>
    <t>Financial Output</t>
  </si>
  <si>
    <t>Year Ended</t>
  </si>
  <si>
    <t>Cost of Goods Sold</t>
  </si>
  <si>
    <t>Gross Margin</t>
  </si>
  <si>
    <t>Sales and Marketing</t>
  </si>
  <si>
    <t>Research and Development</t>
  </si>
  <si>
    <t>General and Administrative</t>
  </si>
  <si>
    <t>EBITDA Margin</t>
  </si>
  <si>
    <t>Depreciation and Amortization</t>
  </si>
  <si>
    <t>EBIT Margin</t>
  </si>
  <si>
    <t>Interest Expense</t>
  </si>
  <si>
    <t>Pre-Tax Income</t>
  </si>
  <si>
    <t>Pre-Tax Margin</t>
  </si>
  <si>
    <t>Net Tax Expense</t>
  </si>
  <si>
    <t>Effective Tax Rate</t>
  </si>
  <si>
    <t>Net Margin</t>
  </si>
  <si>
    <t>Shares Outstanding (f.d.)</t>
  </si>
  <si>
    <t>Earnings per Share (diluted)</t>
  </si>
  <si>
    <t>Imprield Forward Price-to-Earnings</t>
  </si>
  <si>
    <t>(US$m)</t>
  </si>
  <si>
    <t>(%)</t>
  </si>
  <si>
    <t>(millions)</t>
  </si>
  <si>
    <t>(US$/share)</t>
  </si>
  <si>
    <t>(x)</t>
  </si>
  <si>
    <t>Current Assets</t>
  </si>
  <si>
    <t>Cash &amp; Cash Eqivalents</t>
  </si>
  <si>
    <t>Accounts Recievable</t>
  </si>
  <si>
    <t>Inventories</t>
  </si>
  <si>
    <t>Total Current Assets</t>
  </si>
  <si>
    <t>Non-Current Assets</t>
  </si>
  <si>
    <t>Property, Plant and Equipment</t>
  </si>
  <si>
    <t xml:space="preserve">Goodwill </t>
  </si>
  <si>
    <t>Other Intangible Assets</t>
  </si>
  <si>
    <t>Total Assets</t>
  </si>
  <si>
    <t xml:space="preserve">Prepaid Expenses and Other </t>
  </si>
  <si>
    <t>Deferred Tax Asset</t>
  </si>
  <si>
    <t>Other Long-Term Assets</t>
  </si>
  <si>
    <t>Current Liabilities</t>
  </si>
  <si>
    <t>Accounts Payable</t>
  </si>
  <si>
    <t>% of Cost of Goods Sold</t>
  </si>
  <si>
    <t>% of Revenue</t>
  </si>
  <si>
    <t>Accurred Liabilities</t>
  </si>
  <si>
    <t>Deferred Revenue</t>
  </si>
  <si>
    <t>Total Current Liabilities</t>
  </si>
  <si>
    <t>Non-Current Liabilities</t>
  </si>
  <si>
    <t>Total Liablities</t>
  </si>
  <si>
    <t>Accumulated Other Comprehensive Income</t>
  </si>
  <si>
    <t>Total Liabilities and Shareholders' Equity</t>
  </si>
  <si>
    <t>Shareholder's Equity</t>
  </si>
  <si>
    <t>Balance Check</t>
  </si>
  <si>
    <t>Cash Flow Statement</t>
  </si>
  <si>
    <t>Cash Generated from Operating Activities</t>
  </si>
  <si>
    <t>Depreciation &amp; Armortization</t>
  </si>
  <si>
    <t>Other Non-Cash Adjustments</t>
  </si>
  <si>
    <t>Change in Working Capital</t>
  </si>
  <si>
    <t>Cash Generated from Investing Activities</t>
  </si>
  <si>
    <t>Capital Expenditure</t>
  </si>
  <si>
    <t>Cash Generated from Financing Activities</t>
  </si>
  <si>
    <t>Debt Drawdowns and Repayments</t>
  </si>
  <si>
    <t>Accrued Interest</t>
  </si>
  <si>
    <t>Equity Issuance</t>
  </si>
  <si>
    <t>Cash Generaded from Financing Activities</t>
  </si>
  <si>
    <t>Change in Cash</t>
  </si>
  <si>
    <t>Charts</t>
  </si>
  <si>
    <t>Revenues</t>
  </si>
  <si>
    <t>EPS (Diluted) and Net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</si>
</sst>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[$-409]mmm\-yyyy;@"/>
    <numFmt numFmtId="165" formatCode="dd\-mmm\-yyyy"/>
    <numFmt numFmtId="166" formatCode="_-* #,##0.00_-;\-* #,##0.00_-;_-* &quot;-&quot;??_-;_-@_-"/>
    <numFmt numFmtId="167" formatCode="_(* #,##0_);_(* \(#,##0\);_(* &quot;-&quot;??_);_(@_)"/>
    <numFmt numFmtId="168" formatCode="dd\-mmm\-yy"/>
    <numFmt numFmtId="169" formatCode="&quot;FY &quot;0&quot;E&quot;"/>
    <numFmt numFmtId="170" formatCode="&quot;#&quot;0"/>
    <numFmt numFmtId="171" formatCode="0.0%"/>
  </numFmts>
  <fonts count="3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rgb="FF800080"/>
      <name val="Arial"/>
      <family val="2"/>
    </font>
    <font>
      <b/>
      <sz val="11"/>
      <color rgb="FF800080"/>
      <name val="Arial"/>
      <family val="2"/>
    </font>
    <font>
      <b/>
      <sz val="9"/>
      <color rgb="FF80008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9"/>
      <color theme="0" tint="-0.34995574816125979"/>
      <name val="Arial"/>
      <family val="2"/>
    </font>
    <font>
      <sz val="11"/>
      <color theme="0"/>
      <name val="Arial"/>
      <family val="2"/>
    </font>
    <font>
      <sz val="11"/>
      <color rgb="FF800080"/>
      <name val="Calibri"/>
      <family val="2"/>
      <scheme val="minor"/>
    </font>
    <font>
      <b/>
      <sz val="11"/>
      <color theme="1"/>
      <name val="Arial"/>
      <family val="2"/>
    </font>
    <font>
      <i/>
      <sz val="9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8"/>
      <name val="Arial"/>
      <family val="2"/>
    </font>
    <font>
      <i/>
      <sz val="10"/>
      <color theme="1"/>
      <name val="Arial"/>
      <family val="2"/>
    </font>
    <font>
      <sz val="10"/>
      <color theme="8"/>
      <name val="Arial"/>
      <family val="2"/>
    </font>
    <font>
      <b/>
      <sz val="10"/>
      <color theme="8"/>
      <name val="Arial"/>
      <family val="2"/>
    </font>
    <font>
      <sz val="10"/>
      <color rgb="FF00B050"/>
      <name val="Arial"/>
      <family val="2"/>
    </font>
    <font>
      <b/>
      <sz val="10"/>
      <color rgb="FF00B050"/>
      <name val="Arial"/>
      <family val="2"/>
    </font>
    <font>
      <b/>
      <sz val="10"/>
      <color theme="0"/>
      <name val="Arial"/>
      <family val="2"/>
    </font>
    <font>
      <i/>
      <sz val="10"/>
      <color rgb="FF00B050"/>
      <name val="Arial"/>
      <family val="2"/>
    </font>
    <font>
      <i/>
      <sz val="10"/>
      <color theme="8"/>
      <name val="Arial"/>
      <family val="2"/>
    </font>
    <font>
      <i/>
      <sz val="10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sz val="10"/>
      <name val="Arial"/>
      <family val="2"/>
    </font>
    <font>
      <sz val="9"/>
      <color theme="0" tint="-0.34998626667073579"/>
      <name val="Arial"/>
      <family val="2"/>
    </font>
    <font>
      <b/>
      <i/>
      <sz val="10"/>
      <color theme="1"/>
      <name val="Arial"/>
      <family val="2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1F3F5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32323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Up">
        <fgColor rgb="FFEE0000"/>
        <bgColor auto="1"/>
      </patternFill>
    </fill>
    <fill>
      <patternFill patternType="lightUp">
        <fgColor rgb="FFEE0000"/>
      </patternFill>
    </fill>
  </fills>
  <borders count="15">
    <border>
      <left/>
      <right/>
      <top/>
      <bottom/>
      <diagonal/>
    </border>
    <border>
      <left/>
      <right/>
      <top/>
      <bottom style="thin">
        <color rgb="FFC8C8C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6" fillId="0" borderId="0"/>
    <xf numFmtId="0" fontId="17" fillId="5" borderId="1">
      <alignment horizontal="right" vertical="center" indent="1"/>
    </xf>
    <xf numFmtId="43" fontId="7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71">
    <xf numFmtId="0" fontId="0" fillId="0" borderId="0" xfId="0"/>
    <xf numFmtId="0" fontId="12" fillId="3" borderId="0" xfId="3" applyFont="1" applyFill="1" applyAlignment="1">
      <alignment vertical="center"/>
    </xf>
    <xf numFmtId="0" fontId="7" fillId="0" borderId="0" xfId="0" applyFont="1"/>
    <xf numFmtId="0" fontId="9" fillId="0" borderId="0" xfId="0" applyFont="1"/>
    <xf numFmtId="0" fontId="16" fillId="0" borderId="0" xfId="0" applyFont="1" applyAlignment="1">
      <alignment horizontal="right" indent="1"/>
    </xf>
    <xf numFmtId="165" fontId="16" fillId="0" borderId="0" xfId="4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right" indent="1"/>
    </xf>
    <xf numFmtId="0" fontId="10" fillId="0" borderId="0" xfId="0" applyFont="1" applyAlignment="1">
      <alignment horizontal="left"/>
    </xf>
    <xf numFmtId="0" fontId="18" fillId="0" borderId="0" xfId="0" applyFont="1"/>
    <xf numFmtId="0" fontId="8" fillId="0" borderId="0" xfId="0" applyFont="1"/>
    <xf numFmtId="0" fontId="19" fillId="3" borderId="0" xfId="3" applyFont="1" applyFill="1" applyAlignment="1">
      <alignment vertical="center"/>
    </xf>
    <xf numFmtId="0" fontId="19" fillId="3" borderId="0" xfId="3" applyFont="1" applyFill="1" applyAlignment="1">
      <alignment horizontal="left" vertical="center" indent="1"/>
    </xf>
    <xf numFmtId="0" fontId="19" fillId="3" borderId="0" xfId="3" applyFont="1" applyFill="1" applyAlignment="1">
      <alignment horizontal="center" vertical="center"/>
    </xf>
    <xf numFmtId="0" fontId="15" fillId="3" borderId="0" xfId="3" applyFont="1" applyFill="1" applyAlignment="1">
      <alignment horizontal="right" vertical="center"/>
    </xf>
    <xf numFmtId="0" fontId="19" fillId="0" borderId="0" xfId="3" applyFont="1" applyAlignment="1">
      <alignment horizontal="left" vertical="center" indent="1"/>
    </xf>
    <xf numFmtId="0" fontId="8" fillId="4" borderId="0" xfId="0" applyFont="1" applyFill="1" applyAlignment="1">
      <alignment horizontal="left" wrapText="1"/>
    </xf>
    <xf numFmtId="164" fontId="13" fillId="4" borderId="0" xfId="5" applyNumberFormat="1" applyFont="1" applyFill="1" applyAlignment="1">
      <alignment horizontal="right"/>
    </xf>
    <xf numFmtId="164" fontId="13" fillId="4" borderId="0" xfId="0" applyNumberFormat="1" applyFont="1" applyFill="1" applyAlignment="1">
      <alignment horizontal="right"/>
    </xf>
    <xf numFmtId="4" fontId="9" fillId="0" borderId="0" xfId="0" applyNumberFormat="1" applyFont="1"/>
    <xf numFmtId="43" fontId="11" fillId="0" borderId="0" xfId="1" applyFont="1" applyAlignment="1">
      <alignment horizontal="right"/>
    </xf>
    <xf numFmtId="166" fontId="11" fillId="0" borderId="0" xfId="1" applyNumberFormat="1" applyFont="1" applyFill="1" applyAlignment="1">
      <alignment horizontal="right"/>
    </xf>
    <xf numFmtId="0" fontId="11" fillId="0" borderId="0" xfId="0" applyFont="1" applyAlignment="1">
      <alignment horizontal="right"/>
    </xf>
    <xf numFmtId="43" fontId="9" fillId="0" borderId="0" xfId="1" applyFont="1" applyAlignment="1">
      <alignment horizontal="right"/>
    </xf>
    <xf numFmtId="0" fontId="9" fillId="0" borderId="0" xfId="0" applyFont="1" applyAlignment="1">
      <alignment horizontal="right"/>
    </xf>
    <xf numFmtId="0" fontId="8" fillId="4" borderId="0" xfId="0" applyFont="1" applyFill="1" applyAlignment="1">
      <alignment horizontal="left"/>
    </xf>
    <xf numFmtId="43" fontId="9" fillId="0" borderId="0" xfId="1" applyFont="1"/>
    <xf numFmtId="0" fontId="9" fillId="2" borderId="0" xfId="0" applyFont="1" applyFill="1"/>
    <xf numFmtId="43" fontId="11" fillId="2" borderId="0" xfId="1" applyFont="1" applyFill="1" applyAlignment="1">
      <alignment horizontal="right"/>
    </xf>
    <xf numFmtId="0" fontId="14" fillId="0" borderId="0" xfId="0" applyFont="1"/>
    <xf numFmtId="0" fontId="7" fillId="0" borderId="0" xfId="0" applyFont="1" applyAlignment="1">
      <alignment horizontal="right"/>
    </xf>
    <xf numFmtId="167" fontId="7" fillId="0" borderId="0" xfId="0" applyNumberFormat="1" applyFont="1" applyAlignment="1">
      <alignment horizontal="right"/>
    </xf>
    <xf numFmtId="43" fontId="7" fillId="0" borderId="0" xfId="0" applyNumberFormat="1" applyFont="1" applyAlignment="1">
      <alignment horizontal="right"/>
    </xf>
    <xf numFmtId="0" fontId="20" fillId="0" borderId="0" xfId="0" applyFont="1" applyAlignment="1">
      <alignment horizontal="left" indent="1"/>
    </xf>
    <xf numFmtId="0" fontId="9" fillId="0" borderId="0" xfId="0" applyFont="1" applyAlignment="1">
      <alignment horizontal="left" indent="2"/>
    </xf>
    <xf numFmtId="0" fontId="5" fillId="0" borderId="0" xfId="0" applyFont="1"/>
    <xf numFmtId="0" fontId="9" fillId="0" borderId="2" xfId="0" applyFont="1" applyBorder="1"/>
    <xf numFmtId="0" fontId="9" fillId="2" borderId="2" xfId="0" applyFont="1" applyFill="1" applyBorder="1"/>
    <xf numFmtId="43" fontId="11" fillId="2" borderId="2" xfId="1" applyFont="1" applyFill="1" applyBorder="1" applyAlignment="1">
      <alignment horizontal="right"/>
    </xf>
    <xf numFmtId="0" fontId="9" fillId="0" borderId="3" xfId="0" applyFont="1" applyBorder="1"/>
    <xf numFmtId="0" fontId="9" fillId="2" borderId="3" xfId="0" applyFont="1" applyFill="1" applyBorder="1"/>
    <xf numFmtId="43" fontId="11" fillId="2" borderId="3" xfId="1" applyFont="1" applyFill="1" applyBorder="1" applyAlignment="1">
      <alignment horizontal="right"/>
    </xf>
    <xf numFmtId="43" fontId="9" fillId="0" borderId="0" xfId="0" applyNumberFormat="1" applyFont="1" applyAlignment="1">
      <alignment horizontal="left" indent="2"/>
    </xf>
    <xf numFmtId="168" fontId="23" fillId="0" borderId="0" xfId="0" applyNumberFormat="1" applyFont="1" applyAlignment="1">
      <alignment horizontal="right"/>
    </xf>
    <xf numFmtId="0" fontId="24" fillId="0" borderId="0" xfId="0" applyFont="1"/>
    <xf numFmtId="9" fontId="24" fillId="0" borderId="0" xfId="6" applyFont="1" applyAlignment="1">
      <alignment horizontal="right"/>
    </xf>
    <xf numFmtId="0" fontId="5" fillId="0" borderId="0" xfId="0" applyFont="1" applyAlignment="1">
      <alignment horizontal="left" indent="1"/>
    </xf>
    <xf numFmtId="0" fontId="7" fillId="0" borderId="0" xfId="0" applyFont="1" applyAlignment="1">
      <alignment horizontal="left" indent="1"/>
    </xf>
    <xf numFmtId="0" fontId="24" fillId="0" borderId="0" xfId="0" applyFont="1" applyAlignment="1">
      <alignment horizontal="left" indent="1"/>
    </xf>
    <xf numFmtId="167" fontId="5" fillId="0" borderId="0" xfId="0" applyNumberFormat="1" applyFont="1" applyAlignment="1">
      <alignment horizontal="right"/>
    </xf>
    <xf numFmtId="9" fontId="24" fillId="0" borderId="4" xfId="6" applyFont="1" applyBorder="1" applyAlignment="1">
      <alignment horizontal="center"/>
    </xf>
    <xf numFmtId="2" fontId="24" fillId="0" borderId="4" xfId="6" applyNumberFormat="1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6" fillId="0" borderId="4" xfId="0" applyFont="1" applyBorder="1" applyAlignment="1">
      <alignment horizontal="center"/>
    </xf>
    <xf numFmtId="0" fontId="5" fillId="0" borderId="2" xfId="0" applyFont="1" applyBorder="1"/>
    <xf numFmtId="0" fontId="14" fillId="0" borderId="2" xfId="0" applyFont="1" applyBorder="1"/>
    <xf numFmtId="0" fontId="14" fillId="0" borderId="2" xfId="0" applyFont="1" applyBorder="1" applyAlignment="1">
      <alignment horizontal="center"/>
    </xf>
    <xf numFmtId="169" fontId="5" fillId="0" borderId="2" xfId="0" applyNumberFormat="1" applyFont="1" applyBorder="1"/>
    <xf numFmtId="9" fontId="25" fillId="6" borderId="5" xfId="0" applyNumberFormat="1" applyFont="1" applyFill="1" applyBorder="1" applyAlignment="1">
      <alignment horizontal="center"/>
    </xf>
    <xf numFmtId="9" fontId="7" fillId="0" borderId="0" xfId="0" applyNumberFormat="1" applyFont="1" applyAlignment="1">
      <alignment horizontal="center"/>
    </xf>
    <xf numFmtId="1" fontId="25" fillId="6" borderId="5" xfId="0" applyNumberFormat="1" applyFont="1" applyFill="1" applyBorder="1" applyAlignment="1">
      <alignment horizontal="center"/>
    </xf>
    <xf numFmtId="169" fontId="5" fillId="0" borderId="0" xfId="0" applyNumberFormat="1" applyFont="1"/>
    <xf numFmtId="9" fontId="27" fillId="0" borderId="4" xfId="6" applyFont="1" applyBorder="1" applyAlignment="1">
      <alignment horizontal="center"/>
    </xf>
    <xf numFmtId="9" fontId="27" fillId="0" borderId="0" xfId="6" applyFont="1" applyAlignment="1">
      <alignment horizontal="center"/>
    </xf>
    <xf numFmtId="170" fontId="5" fillId="0" borderId="2" xfId="0" applyNumberFormat="1" applyFont="1" applyBorder="1" applyAlignment="1">
      <alignment horizontal="center"/>
    </xf>
    <xf numFmtId="167" fontId="27" fillId="0" borderId="0" xfId="0" applyNumberFormat="1" applyFont="1" applyAlignment="1">
      <alignment horizontal="right"/>
    </xf>
    <xf numFmtId="167" fontId="28" fillId="0" borderId="0" xfId="0" applyNumberFormat="1" applyFont="1" applyAlignment="1">
      <alignment horizontal="right"/>
    </xf>
    <xf numFmtId="9" fontId="24" fillId="0" borderId="6" xfId="6" applyFont="1" applyBorder="1" applyAlignment="1">
      <alignment horizontal="center"/>
    </xf>
    <xf numFmtId="9" fontId="30" fillId="0" borderId="5" xfId="6" applyFont="1" applyBorder="1" applyAlignment="1">
      <alignment horizontal="center"/>
    </xf>
    <xf numFmtId="9" fontId="30" fillId="0" borderId="0" xfId="6" applyFont="1" applyAlignment="1">
      <alignment horizontal="center"/>
    </xf>
    <xf numFmtId="167" fontId="14" fillId="0" borderId="0" xfId="0" applyNumberFormat="1" applyFont="1"/>
    <xf numFmtId="167" fontId="7" fillId="0" borderId="0" xfId="1" applyNumberFormat="1" applyFont="1"/>
    <xf numFmtId="167" fontId="7" fillId="0" borderId="0" xfId="0" applyNumberFormat="1" applyFont="1"/>
    <xf numFmtId="167" fontId="4" fillId="0" borderId="0" xfId="0" applyNumberFormat="1" applyFont="1" applyAlignment="1">
      <alignment horizontal="right"/>
    </xf>
    <xf numFmtId="167" fontId="25" fillId="0" borderId="0" xfId="0" applyNumberFormat="1" applyFont="1"/>
    <xf numFmtId="0" fontId="4" fillId="0" borderId="0" xfId="0" applyFont="1"/>
    <xf numFmtId="167" fontId="27" fillId="0" borderId="2" xfId="0" applyNumberFormat="1" applyFont="1" applyBorder="1" applyAlignment="1">
      <alignment horizontal="right"/>
    </xf>
    <xf numFmtId="167" fontId="25" fillId="0" borderId="0" xfId="0" applyNumberFormat="1" applyFont="1" applyAlignment="1">
      <alignment horizontal="right"/>
    </xf>
    <xf numFmtId="0" fontId="4" fillId="0" borderId="0" xfId="0" applyFont="1" applyAlignment="1">
      <alignment horizontal="left" indent="1"/>
    </xf>
    <xf numFmtId="10" fontId="24" fillId="0" borderId="0" xfId="6" applyNumberFormat="1" applyFont="1" applyAlignment="1">
      <alignment horizontal="right"/>
    </xf>
    <xf numFmtId="0" fontId="25" fillId="0" borderId="0" xfId="0" applyFont="1"/>
    <xf numFmtId="10" fontId="31" fillId="0" borderId="4" xfId="0" applyNumberFormat="1" applyFont="1" applyBorder="1" applyAlignment="1">
      <alignment horizontal="center"/>
    </xf>
    <xf numFmtId="10" fontId="30" fillId="0" borderId="5" xfId="6" applyNumberFormat="1" applyFont="1" applyBorder="1" applyAlignment="1">
      <alignment horizontal="center"/>
    </xf>
    <xf numFmtId="9" fontId="25" fillId="0" borderId="0" xfId="0" applyNumberFormat="1" applyFont="1"/>
    <xf numFmtId="10" fontId="31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167" fontId="4" fillId="0" borderId="0" xfId="0" applyNumberFormat="1" applyFont="1"/>
    <xf numFmtId="3" fontId="25" fillId="0" borderId="5" xfId="0" applyNumberFormat="1" applyFont="1" applyBorder="1"/>
    <xf numFmtId="171" fontId="24" fillId="0" borderId="4" xfId="6" applyNumberFormat="1" applyFont="1" applyBorder="1" applyAlignment="1">
      <alignment horizontal="center"/>
    </xf>
    <xf numFmtId="9" fontId="31" fillId="0" borderId="5" xfId="0" applyNumberFormat="1" applyFont="1" applyBorder="1" applyAlignment="1">
      <alignment horizontal="center"/>
    </xf>
    <xf numFmtId="167" fontId="32" fillId="0" borderId="0" xfId="0" applyNumberFormat="1" applyFont="1" applyAlignment="1">
      <alignment horizontal="right"/>
    </xf>
    <xf numFmtId="0" fontId="33" fillId="0" borderId="0" xfId="0" applyFont="1" applyAlignment="1">
      <alignment horizontal="left" indent="1"/>
    </xf>
    <xf numFmtId="167" fontId="27" fillId="0" borderId="0" xfId="0" applyNumberFormat="1" applyFont="1"/>
    <xf numFmtId="167" fontId="34" fillId="0" borderId="0" xfId="0" applyNumberFormat="1" applyFont="1"/>
    <xf numFmtId="167" fontId="35" fillId="0" borderId="0" xfId="0" applyNumberFormat="1" applyFont="1" applyAlignment="1">
      <alignment horizontal="left" indent="2"/>
    </xf>
    <xf numFmtId="0" fontId="29" fillId="7" borderId="0" xfId="0" applyFont="1" applyFill="1"/>
    <xf numFmtId="0" fontId="29" fillId="7" borderId="0" xfId="0" applyFont="1" applyFill="1" applyAlignment="1">
      <alignment horizontal="left"/>
    </xf>
    <xf numFmtId="0" fontId="29" fillId="8" borderId="0" xfId="0" applyFont="1" applyFill="1"/>
    <xf numFmtId="0" fontId="29" fillId="8" borderId="0" xfId="0" applyFont="1" applyFill="1" applyAlignment="1">
      <alignment horizontal="center"/>
    </xf>
    <xf numFmtId="0" fontId="29" fillId="9" borderId="0" xfId="0" applyFont="1" applyFill="1" applyAlignment="1">
      <alignment horizontal="center"/>
    </xf>
    <xf numFmtId="0" fontId="4" fillId="0" borderId="2" xfId="0" applyFont="1" applyBorder="1"/>
    <xf numFmtId="0" fontId="29" fillId="7" borderId="0" xfId="0" applyFont="1" applyFill="1" applyAlignment="1">
      <alignment horizontal="center"/>
    </xf>
    <xf numFmtId="0" fontId="20" fillId="0" borderId="0" xfId="0" applyFont="1"/>
    <xf numFmtId="0" fontId="20" fillId="0" borderId="2" xfId="0" applyFont="1" applyBorder="1"/>
    <xf numFmtId="0" fontId="14" fillId="10" borderId="6" xfId="0" applyFont="1" applyFill="1" applyBorder="1"/>
    <xf numFmtId="0" fontId="4" fillId="10" borderId="7" xfId="0" applyFont="1" applyFill="1" applyBorder="1"/>
    <xf numFmtId="0" fontId="4" fillId="0" borderId="10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167" fontId="4" fillId="0" borderId="0" xfId="1" applyNumberFormat="1" applyFont="1"/>
    <xf numFmtId="167" fontId="4" fillId="0" borderId="10" xfId="1" applyNumberFormat="1" applyFont="1" applyBorder="1"/>
    <xf numFmtId="167" fontId="14" fillId="0" borderId="0" xfId="0" applyNumberFormat="1" applyFont="1" applyAlignment="1">
      <alignment horizontal="center"/>
    </xf>
    <xf numFmtId="9" fontId="20" fillId="0" borderId="0" xfId="6" applyFont="1" applyAlignment="1">
      <alignment horizontal="center"/>
    </xf>
    <xf numFmtId="167" fontId="4" fillId="0" borderId="0" xfId="1" applyNumberFormat="1" applyFont="1" applyBorder="1"/>
    <xf numFmtId="167" fontId="4" fillId="0" borderId="2" xfId="1" applyNumberFormat="1" applyFont="1" applyBorder="1"/>
    <xf numFmtId="9" fontId="20" fillId="0" borderId="2" xfId="6" applyFont="1" applyBorder="1" applyAlignment="1">
      <alignment horizontal="center"/>
    </xf>
    <xf numFmtId="167" fontId="4" fillId="0" borderId="9" xfId="1" applyNumberFormat="1" applyFont="1" applyBorder="1"/>
    <xf numFmtId="167" fontId="14" fillId="0" borderId="10" xfId="0" applyNumberFormat="1" applyFont="1" applyBorder="1" applyAlignment="1">
      <alignment horizontal="center"/>
    </xf>
    <xf numFmtId="9" fontId="20" fillId="0" borderId="10" xfId="6" applyFont="1" applyBorder="1" applyAlignment="1">
      <alignment horizontal="center"/>
    </xf>
    <xf numFmtId="167" fontId="14" fillId="0" borderId="10" xfId="0" applyNumberFormat="1" applyFont="1" applyBorder="1"/>
    <xf numFmtId="9" fontId="20" fillId="0" borderId="9" xfId="6" applyFont="1" applyBorder="1" applyAlignment="1">
      <alignment horizontal="center"/>
    </xf>
    <xf numFmtId="0" fontId="3" fillId="0" borderId="0" xfId="0" applyFont="1"/>
    <xf numFmtId="0" fontId="24" fillId="0" borderId="0" xfId="0" applyFont="1" applyAlignment="1">
      <alignment horizontal="center"/>
    </xf>
    <xf numFmtId="0" fontId="24" fillId="0" borderId="2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20" fillId="0" borderId="2" xfId="0" applyFont="1" applyBorder="1" applyAlignment="1">
      <alignment horizontal="center"/>
    </xf>
    <xf numFmtId="0" fontId="3" fillId="0" borderId="2" xfId="0" applyFont="1" applyBorder="1"/>
    <xf numFmtId="0" fontId="36" fillId="10" borderId="7" xfId="0" applyFont="1" applyFill="1" applyBorder="1" applyAlignment="1">
      <alignment horizontal="center"/>
    </xf>
    <xf numFmtId="0" fontId="14" fillId="10" borderId="7" xfId="0" applyFont="1" applyFill="1" applyBorder="1"/>
    <xf numFmtId="167" fontId="14" fillId="10" borderId="7" xfId="1" applyNumberFormat="1" applyFont="1" applyFill="1" applyBorder="1"/>
    <xf numFmtId="167" fontId="14" fillId="10" borderId="8" xfId="1" applyNumberFormat="1" applyFont="1" applyFill="1" applyBorder="1" applyAlignment="1">
      <alignment horizontal="right"/>
    </xf>
    <xf numFmtId="167" fontId="14" fillId="10" borderId="8" xfId="1" applyNumberFormat="1" applyFont="1" applyFill="1" applyBorder="1"/>
    <xf numFmtId="0" fontId="14" fillId="0" borderId="10" xfId="0" applyFont="1" applyBorder="1" applyAlignment="1">
      <alignment horizontal="right"/>
    </xf>
    <xf numFmtId="43" fontId="14" fillId="10" borderId="7" xfId="1" applyFont="1" applyFill="1" applyBorder="1"/>
    <xf numFmtId="43" fontId="14" fillId="10" borderId="8" xfId="1" applyFont="1" applyFill="1" applyBorder="1" applyAlignment="1">
      <alignment horizontal="right"/>
    </xf>
    <xf numFmtId="43" fontId="14" fillId="10" borderId="8" xfId="1" applyFont="1" applyFill="1" applyBorder="1"/>
    <xf numFmtId="0" fontId="14" fillId="10" borderId="8" xfId="0" applyFont="1" applyFill="1" applyBorder="1" applyAlignment="1">
      <alignment horizontal="right"/>
    </xf>
    <xf numFmtId="0" fontId="14" fillId="10" borderId="8" xfId="0" applyFont="1" applyFill="1" applyBorder="1"/>
    <xf numFmtId="0" fontId="37" fillId="0" borderId="0" xfId="0" applyFont="1"/>
    <xf numFmtId="0" fontId="4" fillId="0" borderId="10" xfId="0" applyFont="1" applyBorder="1"/>
    <xf numFmtId="0" fontId="20" fillId="0" borderId="0" xfId="0" applyFont="1" applyAlignment="1">
      <alignment horizontal="left" vertical="center"/>
    </xf>
    <xf numFmtId="0" fontId="2" fillId="0" borderId="0" xfId="0" applyFont="1"/>
    <xf numFmtId="0" fontId="14" fillId="0" borderId="10" xfId="0" applyFont="1" applyBorder="1"/>
    <xf numFmtId="167" fontId="4" fillId="0" borderId="10" xfId="0" applyNumberFormat="1" applyFont="1" applyBorder="1"/>
    <xf numFmtId="0" fontId="4" fillId="0" borderId="3" xfId="0" applyFont="1" applyBorder="1"/>
    <xf numFmtId="0" fontId="4" fillId="0" borderId="11" xfId="0" applyFont="1" applyBorder="1"/>
    <xf numFmtId="0" fontId="1" fillId="0" borderId="0" xfId="0" applyFont="1"/>
    <xf numFmtId="167" fontId="1" fillId="0" borderId="0" xfId="0" applyNumberFormat="1" applyFont="1"/>
    <xf numFmtId="0" fontId="1" fillId="0" borderId="2" xfId="0" applyFont="1" applyBorder="1"/>
    <xf numFmtId="167" fontId="4" fillId="12" borderId="12" xfId="0" applyNumberFormat="1" applyFont="1" applyFill="1" applyBorder="1"/>
    <xf numFmtId="167" fontId="4" fillId="12" borderId="3" xfId="0" applyNumberFormat="1" applyFont="1" applyFill="1" applyBorder="1"/>
    <xf numFmtId="167" fontId="4" fillId="12" borderId="11" xfId="0" applyNumberFormat="1" applyFont="1" applyFill="1" applyBorder="1"/>
    <xf numFmtId="167" fontId="4" fillId="12" borderId="13" xfId="1" applyNumberFormat="1" applyFont="1" applyFill="1" applyBorder="1"/>
    <xf numFmtId="167" fontId="4" fillId="12" borderId="0" xfId="1" applyNumberFormat="1" applyFont="1" applyFill="1" applyBorder="1"/>
    <xf numFmtId="167" fontId="4" fillId="12" borderId="10" xfId="1" applyNumberFormat="1" applyFont="1" applyFill="1" applyBorder="1"/>
    <xf numFmtId="167" fontId="4" fillId="12" borderId="14" xfId="1" applyNumberFormat="1" applyFont="1" applyFill="1" applyBorder="1"/>
    <xf numFmtId="167" fontId="4" fillId="12" borderId="2" xfId="1" applyNumberFormat="1" applyFont="1" applyFill="1" applyBorder="1"/>
    <xf numFmtId="167" fontId="4" fillId="12" borderId="9" xfId="1" applyNumberFormat="1" applyFont="1" applyFill="1" applyBorder="1"/>
    <xf numFmtId="167" fontId="14" fillId="12" borderId="6" xfId="0" applyNumberFormat="1" applyFont="1" applyFill="1" applyBorder="1"/>
    <xf numFmtId="167" fontId="14" fillId="12" borderId="7" xfId="0" applyNumberFormat="1" applyFont="1" applyFill="1" applyBorder="1"/>
    <xf numFmtId="167" fontId="14" fillId="12" borderId="8" xfId="0" applyNumberFormat="1" applyFont="1" applyFill="1" applyBorder="1"/>
    <xf numFmtId="167" fontId="4" fillId="11" borderId="12" xfId="1" applyNumberFormat="1" applyFont="1" applyFill="1" applyBorder="1"/>
    <xf numFmtId="167" fontId="4" fillId="11" borderId="3" xfId="1" applyNumberFormat="1" applyFont="1" applyFill="1" applyBorder="1"/>
    <xf numFmtId="167" fontId="4" fillId="11" borderId="11" xfId="1" applyNumberFormat="1" applyFont="1" applyFill="1" applyBorder="1"/>
    <xf numFmtId="167" fontId="4" fillId="11" borderId="13" xfId="1" applyNumberFormat="1" applyFont="1" applyFill="1" applyBorder="1"/>
    <xf numFmtId="167" fontId="4" fillId="11" borderId="0" xfId="1" applyNumberFormat="1" applyFont="1" applyFill="1" applyBorder="1"/>
    <xf numFmtId="167" fontId="4" fillId="11" borderId="10" xfId="1" applyNumberFormat="1" applyFont="1" applyFill="1" applyBorder="1"/>
    <xf numFmtId="167" fontId="4" fillId="12" borderId="12" xfId="1" applyNumberFormat="1" applyFont="1" applyFill="1" applyBorder="1"/>
    <xf numFmtId="167" fontId="4" fillId="12" borderId="3" xfId="1" applyNumberFormat="1" applyFont="1" applyFill="1" applyBorder="1"/>
    <xf numFmtId="167" fontId="4" fillId="12" borderId="11" xfId="1" applyNumberFormat="1" applyFont="1" applyFill="1" applyBorder="1"/>
  </cellXfs>
  <cellStyles count="7">
    <cellStyle name="Comma" xfId="1" builtinId="3"/>
    <cellStyle name="Comma 2" xfId="5" xr:uid="{19EACCD8-1A2F-4A51-BA28-75B3AAE194D8}"/>
    <cellStyle name="FactSet header" xfId="4" xr:uid="{C091634B-822A-4D65-BF05-451406714C46}"/>
    <cellStyle name="Normal" xfId="0" builtinId="0"/>
    <cellStyle name="Normal 2" xfId="2" xr:uid="{50296B3E-096A-43B5-B2A9-3B391413559B}"/>
    <cellStyle name="Normal 2 2" xfId="3" xr:uid="{EB7DD058-BB5D-4734-B354-A2A9E2D5A75D}"/>
    <cellStyle name="Percent" xfId="6" builtinId="5"/>
  </cellStyles>
  <dxfs count="49">
    <dxf>
      <numFmt numFmtId="172" formatCode="&quot;FY &quot;0&quot;A&quot;"/>
    </dxf>
    <dxf>
      <numFmt numFmtId="169" formatCode="&quot;FY &quot;0&quot;E&quot;"/>
    </dxf>
    <dxf>
      <numFmt numFmtId="172" formatCode="&quot;FY &quot;0&quot;A&quot;"/>
    </dxf>
    <dxf>
      <numFmt numFmtId="169" formatCode="&quot;FY &quot;0&quot;E&quot;"/>
    </dxf>
    <dxf>
      <numFmt numFmtId="172" formatCode="&quot;FY &quot;0&quot;A&quot;"/>
    </dxf>
    <dxf>
      <numFmt numFmtId="169" formatCode="&quot;FY &quot;0&quot;E&quot;"/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  <dxf>
      <numFmt numFmtId="172" formatCode="&quot;FY &quot;0&quot;A&quot;"/>
    </dxf>
    <dxf>
      <numFmt numFmtId="169" formatCode="&quot;FY &quot;0&quot;E&quot;"/>
    </dxf>
    <dxf>
      <numFmt numFmtId="172" formatCode="&quot;FY &quot;0&quot;A&quot;"/>
    </dxf>
    <dxf>
      <numFmt numFmtId="169" formatCode="&quot;FY &quot;0&quot;E&quot;"/>
    </dxf>
    <dxf>
      <numFmt numFmtId="172" formatCode="&quot;FY &quot;0&quot;A&quot;"/>
    </dxf>
    <dxf>
      <numFmt numFmtId="169" formatCode="&quot;FY &quot;0&quot;E&quot;"/>
    </dxf>
    <dxf>
      <numFmt numFmtId="172" formatCode="&quot;FY &quot;0&quot;A&quot;"/>
    </dxf>
    <dxf>
      <numFmt numFmtId="169" formatCode="&quot;FY &quot;0&quot;E&quot;"/>
    </dxf>
    <dxf>
      <numFmt numFmtId="172" formatCode="&quot;FY &quot;0&quot;A&quot;"/>
    </dxf>
    <dxf>
      <numFmt numFmtId="169" formatCode="&quot;FY &quot;0&quot;E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'Financial Valuation'!$L$10:$P$10</c:f>
              <c:numCache>
                <c:formatCode>General</c:formatCode>
                <c:ptCount val="5"/>
              </c:numCache>
            </c:numRef>
          </c:cat>
          <c:val>
            <c:numRef>
              <c:f>'Financial Valuation'!$L$12:$P$12</c:f>
              <c:numCache>
                <c:formatCode>_(* #,##0_);_(* \(#,##0\);_(* "-"??_);_(@_)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7505-4525-A5F5-62307F0A56E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2"/>
        <c:overlap val="-27"/>
        <c:axId val="1868827168"/>
        <c:axId val="186882668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'Financial Valuation'!$L$10:$P$10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'Financial Valuation'!$L$11:$P$11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505-4525-A5F5-62307F0A56E4}"/>
                  </c:ext>
                </c:extLst>
              </c15:ser>
            </c15:filteredBarSeries>
          </c:ext>
        </c:extLst>
      </c:barChart>
      <c:catAx>
        <c:axId val="1868827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26688"/>
        <c:crosses val="autoZero"/>
        <c:auto val="1"/>
        <c:lblAlgn val="ctr"/>
        <c:lblOffset val="100"/>
        <c:noMultiLvlLbl val="0"/>
      </c:catAx>
      <c:valAx>
        <c:axId val="1868826688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186882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'Financial Valuation'!$L$10:$P$10</c:f>
              <c:numCache>
                <c:formatCode>General</c:formatCode>
                <c:ptCount val="5"/>
              </c:numCache>
            </c:numRef>
          </c:cat>
          <c:val>
            <c:numRef>
              <c:f>'Financial Valuation'!$L$43:$P$43</c:f>
              <c:numCache>
                <c:formatCode>_(* #,##0.00_);_(* \(#,##0.00\);_(* "-"??_);_(@_)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4276-4E0D-86E9-FDA5CC095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2"/>
        <c:axId val="1868827168"/>
        <c:axId val="1868826688"/>
      </c:barChart>
      <c:lineChart>
        <c:grouping val="standard"/>
        <c:varyColors val="0"/>
        <c:ser>
          <c:idx val="0"/>
          <c:order val="0"/>
          <c:tx>
            <c:strRef>
              <c:f>'Financial Valuation'!$L$39:$P$39</c:f>
              <c:strCache>
                <c:ptCount val="5"/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tx2"/>
              </a:solidFill>
              <a:ln w="34925" cap="rnd">
                <a:solidFill>
                  <a:schemeClr val="tx2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'Financial Valuation'!$L$10:$P$10</c:f>
              <c:numCache>
                <c:formatCode>General</c:formatCode>
                <c:ptCount val="5"/>
              </c:numCache>
            </c:numRef>
          </c:cat>
          <c:val>
            <c:numRef>
              <c:f>'Financial Valuation'!$L$39:$P$39</c:f>
              <c:numCache>
                <c:formatCode>0%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76-4E0D-86E9-FDA5CC095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6821072"/>
        <c:axId val="2079785088"/>
      </c:lineChart>
      <c:catAx>
        <c:axId val="1868827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26688"/>
        <c:crosses val="autoZero"/>
        <c:auto val="1"/>
        <c:lblAlgn val="ctr"/>
        <c:lblOffset val="100"/>
        <c:noMultiLvlLbl val="0"/>
      </c:catAx>
      <c:valAx>
        <c:axId val="186882668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27168"/>
        <c:crosses val="autoZero"/>
        <c:crossBetween val="between"/>
      </c:valAx>
      <c:valAx>
        <c:axId val="207978508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821072"/>
        <c:crosses val="max"/>
        <c:crossBetween val="between"/>
      </c:valAx>
      <c:catAx>
        <c:axId val="140682107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2079785088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'Financial Output'!$L$10:$P$10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cat>
          <c:val>
            <c:numRef>
              <c:f>'Financial Output'!$L$12:$P$12</c:f>
              <c:numCache>
                <c:formatCode>_(* #,##0_);_(* \(#,##0\);_(* "-"??_);_(@_)</c:formatCode>
                <c:ptCount val="5"/>
                <c:pt idx="0">
                  <c:v>4577.0487000000003</c:v>
                </c:pt>
                <c:pt idx="1">
                  <c:v>5034.7535700000008</c:v>
                </c:pt>
                <c:pt idx="2">
                  <c:v>5487.8813913000013</c:v>
                </c:pt>
                <c:pt idx="3">
                  <c:v>6036.6695304300019</c:v>
                </c:pt>
                <c:pt idx="4">
                  <c:v>6640.3364834730028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C3-4473-95C3-BE539F603F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2"/>
        <c:overlap val="-27"/>
        <c:axId val="1868827168"/>
        <c:axId val="186882668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'Financial Output'!$L$10:$P$10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'Financial Output'!$L$11:$P$11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AC3-4473-95C3-BE539F603FDD}"/>
                  </c:ext>
                </c:extLst>
              </c15:ser>
            </c15:filteredBarSeries>
          </c:ext>
        </c:extLst>
      </c:barChart>
      <c:catAx>
        <c:axId val="1868827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26688"/>
        <c:crosses val="autoZero"/>
        <c:auto val="1"/>
        <c:lblAlgn val="ctr"/>
        <c:lblOffset val="100"/>
        <c:noMultiLvlLbl val="0"/>
      </c:catAx>
      <c:valAx>
        <c:axId val="1868826688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186882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'Financial Output'!$L$10:$P$10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cat>
          <c:val>
            <c:numRef>
              <c:f>'Financial Output'!$L$43:$P$43</c:f>
              <c:numCache>
                <c:formatCode>_(* #,##0.00_);_(* \(#,##0.00\);_(* "-"??_);_(@_)</c:formatCode>
                <c:ptCount val="5"/>
                <c:pt idx="0">
                  <c:v>1.683407474248894</c:v>
                </c:pt>
                <c:pt idx="1">
                  <c:v>2.3997285874665555</c:v>
                </c:pt>
                <c:pt idx="2">
                  <c:v>2.9553240018791951</c:v>
                </c:pt>
                <c:pt idx="3">
                  <c:v>5.2009967845599707</c:v>
                </c:pt>
                <c:pt idx="4">
                  <c:v>6.1711947428948282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4-471A-9F41-E950A2CA9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2"/>
        <c:axId val="1868827168"/>
        <c:axId val="1868826688"/>
      </c:barChart>
      <c:lineChart>
        <c:grouping val="standard"/>
        <c:varyColors val="0"/>
        <c:ser>
          <c:idx val="0"/>
          <c:order val="0"/>
          <c:tx>
            <c:strRef>
              <c:f>'Financial Output'!$L$39:$P$39</c:f>
              <c:strCache>
                <c:ptCount val="5"/>
                <c:pt idx="0">
                  <c:v>5%</c:v>
                </c:pt>
                <c:pt idx="1">
                  <c:v>7%</c:v>
                </c:pt>
                <c:pt idx="2">
                  <c:v>8%</c:v>
                </c:pt>
                <c:pt idx="3">
                  <c:v>13%</c:v>
                </c:pt>
                <c:pt idx="4">
                  <c:v>14%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tx2"/>
              </a:solidFill>
              <a:ln w="34925" cap="rnd">
                <a:solidFill>
                  <a:schemeClr val="tx2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'Financial Output'!$L$10:$P$10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  <c:extLst xmlns:c15="http://schemas.microsoft.com/office/drawing/2012/chart"/>
            </c:numRef>
          </c:cat>
          <c:val>
            <c:numRef>
              <c:f>'Financial Output'!$L$39:$P$39</c:f>
              <c:numCache>
                <c:formatCode>0%</c:formatCode>
                <c:ptCount val="5"/>
                <c:pt idx="0">
                  <c:v>5.3697809953461607E-2</c:v>
                </c:pt>
                <c:pt idx="1">
                  <c:v>6.9588385786698403E-2</c:v>
                </c:pt>
                <c:pt idx="2">
                  <c:v>7.8623657019699478E-2</c:v>
                </c:pt>
                <c:pt idx="3">
                  <c:v>0.12578881893699859</c:v>
                </c:pt>
                <c:pt idx="4">
                  <c:v>0.13568505672944609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64-471A-9F41-E950A2CA9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6821072"/>
        <c:axId val="2079785088"/>
      </c:lineChart>
      <c:catAx>
        <c:axId val="1868827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26688"/>
        <c:crosses val="autoZero"/>
        <c:auto val="1"/>
        <c:lblAlgn val="ctr"/>
        <c:lblOffset val="100"/>
        <c:noMultiLvlLbl val="0"/>
      </c:catAx>
      <c:valAx>
        <c:axId val="186882668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27168"/>
        <c:crosses val="autoZero"/>
        <c:crossBetween val="between"/>
      </c:valAx>
      <c:valAx>
        <c:axId val="207978508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821072"/>
        <c:crosses val="max"/>
        <c:crossBetween val="between"/>
      </c:valAx>
      <c:catAx>
        <c:axId val="140682107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2079785088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129</xdr:row>
      <xdr:rowOff>15875</xdr:rowOff>
    </xdr:from>
    <xdr:to>
      <xdr:col>6</xdr:col>
      <xdr:colOff>635000</xdr:colOff>
      <xdr:row>143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148311-AA70-44CD-9F0C-1B05A9A9B3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147</xdr:row>
      <xdr:rowOff>0</xdr:rowOff>
    </xdr:from>
    <xdr:to>
      <xdr:col>6</xdr:col>
      <xdr:colOff>596900</xdr:colOff>
      <xdr:row>161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A48F2C-D965-4092-898D-A4062CF2F4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129</xdr:row>
      <xdr:rowOff>15875</xdr:rowOff>
    </xdr:from>
    <xdr:to>
      <xdr:col>6</xdr:col>
      <xdr:colOff>635000</xdr:colOff>
      <xdr:row>143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6DD9B0-617D-33D0-B407-EB4FE0DAC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147</xdr:row>
      <xdr:rowOff>0</xdr:rowOff>
    </xdr:from>
    <xdr:to>
      <xdr:col>6</xdr:col>
      <xdr:colOff>596900</xdr:colOff>
      <xdr:row>161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032E07-21C2-4171-9EDE-B09321E331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1242</xdr:colOff>
      <xdr:row>1</xdr:row>
      <xdr:rowOff>65847</xdr:rowOff>
    </xdr:from>
    <xdr:to>
      <xdr:col>23</xdr:col>
      <xdr:colOff>1242</xdr:colOff>
      <xdr:row>72</xdr:row>
      <xdr:rowOff>84897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0660AC7-A7A4-2F27-A376-E4FD48559759}"/>
            </a:ext>
          </a:extLst>
        </xdr:cNvPr>
        <xdr:cNvCxnSpPr/>
      </xdr:nvCxnSpPr>
      <xdr:spPr>
        <a:xfrm>
          <a:off x="14943068" y="231499"/>
          <a:ext cx="0" cy="117472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F8F2-94E3-443D-A230-71EE52C6A25C}">
  <dimension ref="A1:Q146"/>
  <sheetViews>
    <sheetView showGridLines="0" tabSelected="1" topLeftCell="A32" zoomScaleNormal="100" workbookViewId="0">
      <selection activeCell="C30" sqref="C30"/>
    </sheetView>
  </sheetViews>
  <sheetFormatPr defaultColWidth="0" defaultRowHeight="15" x14ac:dyDescent="0.25"/>
  <cols>
    <col min="1" max="1" width="2.85546875" style="75" customWidth="1"/>
    <col min="2" max="2" width="2.7109375" style="75" customWidth="1"/>
    <col min="3" max="3" width="36" style="75" customWidth="1"/>
    <col min="4" max="4" width="2.5703125" style="75" customWidth="1"/>
    <col min="5" max="6" width="9.140625" style="75" customWidth="1"/>
    <col min="7" max="16" width="10.7109375" style="75" customWidth="1"/>
    <col min="17" max="17" width="2.85546875" customWidth="1"/>
    <col min="18" max="16384" width="9.140625" style="75" hidden="1"/>
  </cols>
  <sheetData>
    <row r="1" spans="2:17" ht="5.0999999999999996" customHeight="1" x14ac:dyDescent="0.25"/>
    <row r="2" spans="2:17" x14ac:dyDescent="0.25">
      <c r="B2" s="95"/>
      <c r="C2" s="95" t="s">
        <v>509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</row>
    <row r="3" spans="2:17" x14ac:dyDescent="0.25"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</row>
    <row r="4" spans="2:17" x14ac:dyDescent="0.25">
      <c r="B4" s="95"/>
      <c r="C4" s="95" t="s">
        <v>463</v>
      </c>
      <c r="D4" s="96">
        <f>scenario_number</f>
        <v>2</v>
      </c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</row>
    <row r="5" spans="2:17" x14ac:dyDescent="0.25">
      <c r="B5" s="95"/>
      <c r="C5" s="95" t="s">
        <v>464</v>
      </c>
      <c r="D5" s="95" t="str">
        <f>scenario_name</f>
        <v>Street</v>
      </c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</row>
    <row r="6" spans="2:17" x14ac:dyDescent="0.25"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</row>
    <row r="7" spans="2:17" ht="5.0999999999999996" customHeight="1" x14ac:dyDescent="0.25"/>
    <row r="8" spans="2:17" x14ac:dyDescent="0.25">
      <c r="B8" s="95"/>
      <c r="C8" s="95"/>
      <c r="D8" s="95"/>
      <c r="E8" s="101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</row>
    <row r="9" spans="2:17" ht="5.0999999999999996" customHeight="1" x14ac:dyDescent="0.25"/>
    <row r="10" spans="2:17" x14ac:dyDescent="0.25">
      <c r="C10" s="97"/>
      <c r="D10" s="97"/>
      <c r="E10" s="97"/>
      <c r="F10" s="97"/>
      <c r="G10" s="98"/>
      <c r="H10" s="98"/>
      <c r="I10" s="98"/>
      <c r="J10" s="98"/>
      <c r="K10" s="98"/>
      <c r="L10" s="99"/>
      <c r="M10" s="99"/>
      <c r="N10" s="99"/>
      <c r="O10" s="99"/>
      <c r="P10" s="99"/>
    </row>
    <row r="11" spans="2:17" ht="5.0999999999999996" customHeight="1" x14ac:dyDescent="0.25"/>
    <row r="12" spans="2:17" x14ac:dyDescent="0.25">
      <c r="E12" s="122"/>
      <c r="G12" s="113"/>
      <c r="H12" s="113"/>
      <c r="I12" s="113"/>
      <c r="J12" s="113"/>
      <c r="K12" s="110"/>
      <c r="L12" s="113"/>
      <c r="M12" s="113"/>
      <c r="N12" s="113"/>
      <c r="O12" s="113"/>
      <c r="P12" s="113"/>
    </row>
    <row r="13" spans="2:17" x14ac:dyDescent="0.25">
      <c r="C13" s="100"/>
      <c r="D13" s="100"/>
      <c r="E13" s="123"/>
      <c r="F13" s="100"/>
      <c r="G13" s="114"/>
      <c r="H13" s="114"/>
      <c r="I13" s="114"/>
      <c r="J13" s="114"/>
      <c r="K13" s="116"/>
      <c r="L13" s="114"/>
      <c r="M13" s="114"/>
      <c r="N13" s="114"/>
      <c r="O13" s="114"/>
      <c r="P13" s="114"/>
    </row>
    <row r="14" spans="2:17" ht="5.0999999999999996" customHeight="1" x14ac:dyDescent="0.25">
      <c r="E14" s="122"/>
      <c r="K14" s="106"/>
    </row>
    <row r="15" spans="2:17" x14ac:dyDescent="0.25">
      <c r="C15" s="28"/>
      <c r="E15" s="125"/>
      <c r="G15" s="111"/>
      <c r="H15" s="111"/>
      <c r="I15" s="111"/>
      <c r="J15" s="111"/>
      <c r="K15" s="117"/>
      <c r="L15" s="111"/>
      <c r="M15" s="111"/>
      <c r="N15" s="111"/>
      <c r="O15" s="111"/>
      <c r="P15" s="111"/>
    </row>
    <row r="16" spans="2:17" s="3" customFormat="1" x14ac:dyDescent="0.25">
      <c r="C16" s="102"/>
      <c r="E16" s="124"/>
      <c r="G16" s="112"/>
      <c r="H16" s="112"/>
      <c r="I16" s="112"/>
      <c r="J16" s="112"/>
      <c r="K16" s="118"/>
      <c r="L16" s="112"/>
      <c r="M16" s="112"/>
      <c r="N16" s="112"/>
      <c r="O16" s="112"/>
      <c r="P16" s="112"/>
      <c r="Q16"/>
    </row>
    <row r="17" spans="3:17" ht="5.0999999999999996" customHeight="1" x14ac:dyDescent="0.25">
      <c r="E17" s="122"/>
      <c r="K17" s="106"/>
    </row>
    <row r="18" spans="3:17" x14ac:dyDescent="0.25">
      <c r="E18" s="122"/>
      <c r="G18" s="109"/>
      <c r="H18" s="109"/>
      <c r="I18" s="109"/>
      <c r="J18" s="109"/>
      <c r="K18" s="110"/>
      <c r="L18" s="109"/>
      <c r="M18" s="109"/>
      <c r="N18" s="109"/>
      <c r="O18" s="109"/>
      <c r="P18" s="109"/>
    </row>
    <row r="19" spans="3:17" x14ac:dyDescent="0.25">
      <c r="E19" s="122"/>
      <c r="G19" s="109"/>
      <c r="H19" s="109"/>
      <c r="I19" s="109"/>
      <c r="J19" s="109"/>
      <c r="K19" s="110"/>
      <c r="L19" s="109"/>
      <c r="M19" s="109"/>
      <c r="N19" s="109"/>
      <c r="O19" s="109"/>
      <c r="P19" s="109"/>
    </row>
    <row r="20" spans="3:17" x14ac:dyDescent="0.25">
      <c r="C20" s="100"/>
      <c r="D20" s="100"/>
      <c r="E20" s="123"/>
      <c r="F20" s="100"/>
      <c r="G20" s="114"/>
      <c r="H20" s="114"/>
      <c r="I20" s="114"/>
      <c r="J20" s="114"/>
      <c r="K20" s="116"/>
      <c r="L20" s="114"/>
      <c r="M20" s="114"/>
      <c r="N20" s="114"/>
      <c r="O20" s="114"/>
      <c r="P20" s="114"/>
    </row>
    <row r="21" spans="3:17" ht="5.0999999999999996" customHeight="1" x14ac:dyDescent="0.25">
      <c r="E21" s="122"/>
      <c r="K21" s="106"/>
    </row>
    <row r="22" spans="3:17" x14ac:dyDescent="0.25">
      <c r="C22" s="28"/>
      <c r="E22" s="125"/>
      <c r="G22" s="70"/>
      <c r="H22" s="70"/>
      <c r="I22" s="70"/>
      <c r="J22" s="70"/>
      <c r="K22" s="119"/>
      <c r="L22" s="70"/>
      <c r="M22" s="70"/>
      <c r="N22" s="70"/>
      <c r="O22" s="70"/>
      <c r="P22" s="70"/>
    </row>
    <row r="23" spans="3:17" s="3" customFormat="1" x14ac:dyDescent="0.25">
      <c r="C23" s="102"/>
      <c r="E23" s="124"/>
      <c r="K23" s="108"/>
      <c r="Q23"/>
    </row>
    <row r="24" spans="3:17" ht="5.0999999999999996" customHeight="1" x14ac:dyDescent="0.25">
      <c r="E24" s="122"/>
      <c r="K24" s="106"/>
    </row>
    <row r="25" spans="3:17" x14ac:dyDescent="0.25">
      <c r="C25" s="100"/>
      <c r="D25" s="100"/>
      <c r="E25" s="123"/>
      <c r="F25" s="100"/>
      <c r="G25" s="114"/>
      <c r="H25" s="114"/>
      <c r="I25" s="114"/>
      <c r="J25" s="114"/>
      <c r="K25" s="116"/>
      <c r="L25" s="114"/>
      <c r="M25" s="114"/>
      <c r="N25" s="114"/>
      <c r="O25" s="114"/>
      <c r="P25" s="114"/>
    </row>
    <row r="26" spans="3:17" ht="5.0999999999999996" customHeight="1" x14ac:dyDescent="0.25">
      <c r="E26" s="122"/>
      <c r="K26" s="106"/>
    </row>
    <row r="27" spans="3:17" x14ac:dyDescent="0.25">
      <c r="C27" s="28"/>
      <c r="E27" s="122"/>
      <c r="G27" s="70"/>
      <c r="H27" s="70"/>
      <c r="I27" s="70"/>
      <c r="J27" s="70"/>
      <c r="K27" s="119"/>
      <c r="L27" s="70"/>
      <c r="M27" s="70"/>
      <c r="N27" s="70"/>
      <c r="O27" s="70"/>
      <c r="P27" s="70"/>
    </row>
    <row r="28" spans="3:17" x14ac:dyDescent="0.25">
      <c r="C28" s="102"/>
      <c r="E28" s="124"/>
      <c r="G28" s="112"/>
      <c r="H28" s="112"/>
      <c r="I28" s="112"/>
      <c r="J28" s="112"/>
      <c r="K28" s="118"/>
      <c r="L28" s="112"/>
      <c r="M28" s="112"/>
      <c r="N28" s="112"/>
      <c r="O28" s="112"/>
      <c r="P28" s="112"/>
    </row>
    <row r="29" spans="3:17" ht="5.0999999999999996" customHeight="1" x14ac:dyDescent="0.25">
      <c r="E29" s="122"/>
      <c r="K29" s="106"/>
    </row>
    <row r="30" spans="3:17" x14ac:dyDescent="0.25">
      <c r="C30" s="100"/>
      <c r="D30" s="100"/>
      <c r="E30" s="123"/>
      <c r="F30" s="100"/>
      <c r="G30" s="114"/>
      <c r="H30" s="114"/>
      <c r="I30" s="114"/>
      <c r="J30" s="114"/>
      <c r="K30" s="116"/>
      <c r="L30" s="114"/>
      <c r="M30" s="114"/>
      <c r="N30" s="114"/>
      <c r="O30" s="114"/>
      <c r="P30" s="114"/>
    </row>
    <row r="31" spans="3:17" ht="5.0999999999999996" customHeight="1" x14ac:dyDescent="0.25">
      <c r="E31" s="122"/>
      <c r="K31" s="106"/>
    </row>
    <row r="32" spans="3:17" x14ac:dyDescent="0.25">
      <c r="C32" s="28"/>
      <c r="E32" s="122"/>
      <c r="G32" s="70"/>
      <c r="H32" s="70"/>
      <c r="I32" s="70"/>
      <c r="J32" s="70"/>
      <c r="K32" s="119"/>
      <c r="L32" s="70"/>
      <c r="M32" s="70"/>
      <c r="N32" s="70"/>
      <c r="O32" s="70"/>
      <c r="P32" s="70"/>
    </row>
    <row r="33" spans="2:16" x14ac:dyDescent="0.25">
      <c r="C33" s="102"/>
      <c r="E33" s="122"/>
      <c r="G33" s="112"/>
      <c r="H33" s="112"/>
      <c r="I33" s="112"/>
      <c r="J33" s="112"/>
      <c r="K33" s="118"/>
      <c r="L33" s="112"/>
      <c r="M33" s="112"/>
      <c r="N33" s="112"/>
      <c r="O33" s="112"/>
      <c r="P33" s="112"/>
    </row>
    <row r="34" spans="2:16" ht="5.0999999999999996" customHeight="1" x14ac:dyDescent="0.25">
      <c r="E34" s="122"/>
      <c r="K34" s="106"/>
    </row>
    <row r="35" spans="2:16" x14ac:dyDescent="0.25">
      <c r="E35" s="122"/>
      <c r="G35" s="109"/>
      <c r="H35" s="109"/>
      <c r="I35" s="109"/>
      <c r="J35" s="109"/>
      <c r="K35" s="110"/>
      <c r="L35" s="109"/>
      <c r="M35" s="109"/>
      <c r="N35" s="109"/>
      <c r="O35" s="109"/>
      <c r="P35" s="109"/>
    </row>
    <row r="36" spans="2:16" x14ac:dyDescent="0.25">
      <c r="C36" s="103"/>
      <c r="D36" s="100"/>
      <c r="E36" s="126"/>
      <c r="F36" s="100"/>
      <c r="G36" s="115"/>
      <c r="H36" s="115"/>
      <c r="I36" s="115"/>
      <c r="J36" s="115"/>
      <c r="K36" s="120"/>
      <c r="L36" s="115"/>
      <c r="M36" s="115"/>
      <c r="N36" s="115"/>
      <c r="O36" s="115"/>
      <c r="P36" s="115"/>
    </row>
    <row r="37" spans="2:16" ht="5.0999999999999996" customHeight="1" x14ac:dyDescent="0.25">
      <c r="E37" s="122"/>
      <c r="K37" s="106"/>
    </row>
    <row r="38" spans="2:16" x14ac:dyDescent="0.25">
      <c r="C38" s="28"/>
      <c r="E38" s="122"/>
      <c r="G38" s="70"/>
      <c r="H38" s="70"/>
      <c r="I38" s="70"/>
      <c r="J38" s="70"/>
      <c r="K38" s="119"/>
      <c r="L38" s="70"/>
      <c r="M38" s="70"/>
      <c r="N38" s="70"/>
      <c r="O38" s="70"/>
      <c r="P38" s="70"/>
    </row>
    <row r="39" spans="2:16" x14ac:dyDescent="0.25">
      <c r="C39" s="102"/>
      <c r="E39" s="122"/>
      <c r="G39" s="112"/>
      <c r="H39" s="112"/>
      <c r="I39" s="112"/>
      <c r="J39" s="112"/>
      <c r="K39" s="118"/>
      <c r="L39" s="112"/>
      <c r="M39" s="112"/>
      <c r="N39" s="112"/>
      <c r="O39" s="112"/>
      <c r="P39" s="112"/>
    </row>
    <row r="40" spans="2:16" x14ac:dyDescent="0.25">
      <c r="K40" s="107"/>
    </row>
    <row r="41" spans="2:16" x14ac:dyDescent="0.25">
      <c r="C41" s="104"/>
      <c r="D41" s="105"/>
      <c r="E41" s="128"/>
      <c r="F41" s="129"/>
      <c r="G41" s="130"/>
      <c r="H41" s="130"/>
      <c r="I41" s="130"/>
      <c r="J41" s="130"/>
      <c r="K41" s="131"/>
      <c r="L41" s="130"/>
      <c r="M41" s="130"/>
      <c r="N41" s="130"/>
      <c r="O41" s="130"/>
      <c r="P41" s="132"/>
    </row>
    <row r="42" spans="2:16" ht="5.0999999999999996" customHeight="1" x14ac:dyDescent="0.25">
      <c r="C42" s="28"/>
      <c r="E42" s="28"/>
      <c r="F42" s="28"/>
      <c r="G42" s="28"/>
      <c r="H42" s="28"/>
      <c r="I42" s="28"/>
      <c r="J42" s="28"/>
      <c r="K42" s="133"/>
      <c r="L42" s="28"/>
      <c r="M42" s="28"/>
      <c r="N42" s="28"/>
      <c r="O42" s="28"/>
      <c r="P42" s="28"/>
    </row>
    <row r="43" spans="2:16" x14ac:dyDescent="0.25">
      <c r="C43" s="104"/>
      <c r="D43" s="105"/>
      <c r="E43" s="128"/>
      <c r="F43" s="129"/>
      <c r="G43" s="134"/>
      <c r="H43" s="134"/>
      <c r="I43" s="134"/>
      <c r="J43" s="134"/>
      <c r="K43" s="135"/>
      <c r="L43" s="134"/>
      <c r="M43" s="134"/>
      <c r="N43" s="134"/>
      <c r="O43" s="134"/>
      <c r="P43" s="136"/>
    </row>
    <row r="44" spans="2:16" x14ac:dyDescent="0.25">
      <c r="E44" s="28"/>
      <c r="F44" s="28"/>
      <c r="G44" s="28"/>
      <c r="H44" s="28"/>
      <c r="I44" s="28"/>
      <c r="J44" s="28"/>
      <c r="K44" s="133"/>
      <c r="L44" s="28"/>
      <c r="M44" s="28"/>
      <c r="N44" s="28"/>
      <c r="O44" s="28"/>
      <c r="P44" s="28"/>
    </row>
    <row r="45" spans="2:16" x14ac:dyDescent="0.25">
      <c r="C45" s="104"/>
      <c r="D45" s="105"/>
      <c r="E45" s="128"/>
      <c r="F45" s="129"/>
      <c r="G45" s="129"/>
      <c r="H45" s="129"/>
      <c r="I45" s="129"/>
      <c r="J45" s="129"/>
      <c r="K45" s="137"/>
      <c r="L45" s="129"/>
      <c r="M45" s="129"/>
      <c r="N45" s="129"/>
      <c r="O45" s="129"/>
      <c r="P45" s="138"/>
    </row>
    <row r="46" spans="2:16" ht="5.0999999999999996" customHeight="1" x14ac:dyDescent="0.25"/>
    <row r="47" spans="2:16" x14ac:dyDescent="0.25">
      <c r="B47" s="95"/>
      <c r="C47" s="95"/>
      <c r="D47" s="95"/>
      <c r="E47" s="101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</row>
    <row r="48" spans="2:16" ht="5.0999999999999996" customHeight="1" x14ac:dyDescent="0.25"/>
    <row r="49" spans="3:17" x14ac:dyDescent="0.25">
      <c r="C49" s="97"/>
      <c r="D49" s="97"/>
      <c r="E49" s="97"/>
      <c r="F49" s="97"/>
      <c r="G49" s="98"/>
      <c r="H49" s="98"/>
      <c r="I49" s="98"/>
      <c r="J49" s="98"/>
      <c r="K49" s="98"/>
      <c r="L49" s="99"/>
      <c r="M49" s="99"/>
      <c r="N49" s="99"/>
      <c r="O49" s="99"/>
      <c r="P49" s="99"/>
    </row>
    <row r="50" spans="3:17" customFormat="1" ht="5.0999999999999996" customHeight="1" x14ac:dyDescent="0.25"/>
    <row r="51" spans="3:17" x14ac:dyDescent="0.25">
      <c r="C51" s="55"/>
      <c r="K51" s="140"/>
    </row>
    <row r="52" spans="3:17" x14ac:dyDescent="0.25">
      <c r="C52" s="121"/>
      <c r="E52" s="122"/>
      <c r="G52" s="109"/>
      <c r="H52" s="109"/>
      <c r="I52" s="109"/>
      <c r="J52" s="109"/>
      <c r="K52" s="110"/>
      <c r="L52" s="109"/>
      <c r="M52" s="109"/>
      <c r="N52" s="109"/>
      <c r="O52" s="109"/>
      <c r="P52" s="109"/>
    </row>
    <row r="53" spans="3:17" x14ac:dyDescent="0.25">
      <c r="C53" s="121"/>
      <c r="E53" s="122"/>
      <c r="G53" s="109"/>
      <c r="H53" s="109"/>
      <c r="I53" s="109"/>
      <c r="J53" s="109"/>
      <c r="K53" s="110"/>
      <c r="L53" s="109"/>
      <c r="M53" s="109"/>
      <c r="N53" s="109"/>
      <c r="O53" s="109"/>
      <c r="P53" s="109"/>
    </row>
    <row r="54" spans="3:17" s="3" customFormat="1" ht="12" x14ac:dyDescent="0.2">
      <c r="C54" s="102"/>
      <c r="E54" s="124"/>
      <c r="G54" s="112"/>
      <c r="H54" s="112"/>
      <c r="I54" s="112"/>
      <c r="J54" s="112"/>
      <c r="K54" s="118"/>
      <c r="L54" s="112"/>
      <c r="M54" s="112"/>
      <c r="N54" s="112"/>
      <c r="O54" s="112"/>
      <c r="P54" s="112"/>
      <c r="Q54" s="139"/>
    </row>
    <row r="55" spans="3:17" ht="5.0999999999999996" customHeight="1" x14ac:dyDescent="0.25">
      <c r="C55" s="102"/>
      <c r="E55" s="122"/>
      <c r="G55" s="112"/>
      <c r="H55" s="112"/>
      <c r="I55" s="112"/>
      <c r="J55" s="112"/>
      <c r="K55" s="118"/>
      <c r="L55" s="112"/>
      <c r="M55" s="112"/>
      <c r="N55" s="112"/>
      <c r="O55" s="112"/>
      <c r="P55" s="112"/>
    </row>
    <row r="56" spans="3:17" x14ac:dyDescent="0.25">
      <c r="C56" s="121"/>
      <c r="E56" s="122"/>
      <c r="G56" s="109"/>
      <c r="H56" s="109"/>
      <c r="I56" s="109"/>
      <c r="J56" s="109"/>
      <c r="K56" s="110"/>
      <c r="L56" s="109"/>
      <c r="M56" s="109"/>
      <c r="N56" s="109"/>
      <c r="O56" s="109"/>
      <c r="P56" s="109"/>
    </row>
    <row r="57" spans="3:17" x14ac:dyDescent="0.25">
      <c r="C57" s="127"/>
      <c r="D57" s="100"/>
      <c r="E57" s="123"/>
      <c r="F57" s="100"/>
      <c r="G57" s="114"/>
      <c r="H57" s="114"/>
      <c r="I57" s="114"/>
      <c r="J57" s="114"/>
      <c r="K57" s="116"/>
      <c r="L57" s="114"/>
      <c r="M57" s="114"/>
      <c r="N57" s="114"/>
      <c r="O57" s="114"/>
      <c r="P57" s="114"/>
    </row>
    <row r="58" spans="3:17" ht="5.0999999999999996" customHeight="1" x14ac:dyDescent="0.25">
      <c r="K58" s="140"/>
    </row>
    <row r="59" spans="3:17" x14ac:dyDescent="0.25">
      <c r="C59" s="28"/>
      <c r="E59" s="125"/>
      <c r="G59" s="70"/>
      <c r="H59" s="70"/>
      <c r="I59" s="70"/>
      <c r="J59" s="70"/>
      <c r="K59" s="119"/>
      <c r="L59" s="70"/>
      <c r="M59" s="70"/>
      <c r="N59" s="70"/>
      <c r="O59" s="70"/>
      <c r="P59" s="70"/>
    </row>
    <row r="60" spans="3:17" ht="5.0999999999999996" customHeight="1" x14ac:dyDescent="0.25">
      <c r="K60" s="140"/>
    </row>
    <row r="61" spans="3:17" x14ac:dyDescent="0.25">
      <c r="C61" s="55"/>
      <c r="K61" s="140"/>
    </row>
    <row r="62" spans="3:17" x14ac:dyDescent="0.25">
      <c r="C62" s="121"/>
      <c r="E62" s="122"/>
      <c r="G62" s="109"/>
      <c r="H62" s="109"/>
      <c r="I62" s="109"/>
      <c r="J62" s="109"/>
      <c r="K62" s="110"/>
      <c r="L62" s="109"/>
      <c r="M62" s="109"/>
      <c r="N62" s="109"/>
      <c r="O62" s="109"/>
      <c r="P62" s="109"/>
    </row>
    <row r="63" spans="3:17" ht="5.0999999999999996" customHeight="1" x14ac:dyDescent="0.25">
      <c r="C63" s="121"/>
      <c r="K63" s="140"/>
    </row>
    <row r="64" spans="3:17" x14ac:dyDescent="0.25">
      <c r="C64" s="121"/>
      <c r="E64" s="122"/>
      <c r="G64" s="109"/>
      <c r="H64" s="109"/>
      <c r="I64" s="109"/>
      <c r="J64" s="109"/>
      <c r="K64" s="110"/>
      <c r="L64" s="109"/>
      <c r="M64" s="109"/>
      <c r="N64" s="109"/>
      <c r="O64" s="109"/>
      <c r="P64" s="109"/>
    </row>
    <row r="65" spans="3:16" x14ac:dyDescent="0.25">
      <c r="C65" s="121"/>
      <c r="E65" s="122"/>
      <c r="G65" s="109"/>
      <c r="H65" s="109"/>
      <c r="I65" s="109"/>
      <c r="J65" s="109"/>
      <c r="K65" s="110"/>
      <c r="L65" s="109"/>
      <c r="M65" s="109"/>
      <c r="N65" s="109"/>
      <c r="O65" s="109"/>
      <c r="P65" s="109"/>
    </row>
    <row r="66" spans="3:16" ht="5.0999999999999996" customHeight="1" x14ac:dyDescent="0.25">
      <c r="K66" s="140"/>
    </row>
    <row r="67" spans="3:16" x14ac:dyDescent="0.25">
      <c r="C67" s="121"/>
      <c r="E67" s="122"/>
      <c r="G67" s="109"/>
      <c r="H67" s="109"/>
      <c r="I67" s="109"/>
      <c r="J67" s="109"/>
      <c r="K67" s="110"/>
      <c r="L67" s="109"/>
      <c r="M67" s="109"/>
      <c r="N67" s="109"/>
      <c r="O67" s="109"/>
      <c r="P67" s="109"/>
    </row>
    <row r="68" spans="3:16" x14ac:dyDescent="0.25">
      <c r="C68" s="121"/>
      <c r="E68" s="122"/>
      <c r="G68" s="109"/>
      <c r="H68" s="109"/>
      <c r="I68" s="109"/>
      <c r="J68" s="109"/>
      <c r="K68" s="110"/>
      <c r="L68" s="109"/>
      <c r="M68" s="109"/>
      <c r="N68" s="109"/>
      <c r="O68" s="109"/>
      <c r="P68" s="109"/>
    </row>
    <row r="69" spans="3:16" x14ac:dyDescent="0.25">
      <c r="C69" s="121"/>
      <c r="E69" s="122"/>
      <c r="G69" s="109"/>
      <c r="H69" s="109"/>
      <c r="I69" s="109"/>
      <c r="J69" s="109"/>
      <c r="K69" s="110"/>
      <c r="L69" s="109"/>
      <c r="M69" s="109"/>
      <c r="N69" s="109"/>
      <c r="O69" s="109"/>
      <c r="P69" s="109"/>
    </row>
    <row r="70" spans="3:16" x14ac:dyDescent="0.25">
      <c r="C70" s="127"/>
      <c r="D70" s="100"/>
      <c r="E70" s="123"/>
      <c r="F70" s="100"/>
      <c r="G70" s="114"/>
      <c r="H70" s="114"/>
      <c r="I70" s="114"/>
      <c r="J70" s="114"/>
      <c r="K70" s="116"/>
      <c r="L70" s="114"/>
      <c r="M70" s="114"/>
      <c r="N70" s="114"/>
      <c r="O70" s="114"/>
      <c r="P70" s="114"/>
    </row>
    <row r="71" spans="3:16" ht="5.0999999999999996" customHeight="1" x14ac:dyDescent="0.25">
      <c r="K71" s="140"/>
    </row>
    <row r="72" spans="3:16" x14ac:dyDescent="0.25">
      <c r="C72" s="28"/>
      <c r="E72" s="125"/>
      <c r="G72" s="70"/>
      <c r="H72" s="70"/>
      <c r="I72" s="70"/>
      <c r="J72" s="70"/>
      <c r="K72" s="119"/>
      <c r="L72" s="70"/>
      <c r="M72" s="70"/>
      <c r="N72" s="70"/>
      <c r="O72" s="70"/>
      <c r="P72" s="70"/>
    </row>
    <row r="73" spans="3:16" ht="5.0999999999999996" customHeight="1" x14ac:dyDescent="0.25">
      <c r="K73" s="140"/>
    </row>
    <row r="74" spans="3:16" x14ac:dyDescent="0.25">
      <c r="C74" s="55"/>
      <c r="K74" s="140"/>
    </row>
    <row r="75" spans="3:16" x14ac:dyDescent="0.25">
      <c r="C75" s="121"/>
      <c r="E75" s="122"/>
      <c r="G75" s="109"/>
      <c r="H75" s="109"/>
      <c r="I75" s="109"/>
      <c r="J75" s="109"/>
      <c r="K75" s="110"/>
      <c r="L75" s="109"/>
      <c r="M75" s="109"/>
      <c r="N75" s="109"/>
      <c r="O75" s="109"/>
      <c r="P75" s="109"/>
    </row>
    <row r="76" spans="3:16" ht="12" customHeight="1" x14ac:dyDescent="0.25">
      <c r="C76" s="141"/>
      <c r="K76" s="140"/>
    </row>
    <row r="77" spans="3:16" x14ac:dyDescent="0.25">
      <c r="K77" s="140"/>
    </row>
    <row r="78" spans="3:16" x14ac:dyDescent="0.25">
      <c r="C78" s="121"/>
      <c r="E78" s="122"/>
      <c r="G78" s="109"/>
      <c r="H78" s="109"/>
      <c r="I78" s="109"/>
      <c r="J78" s="109"/>
      <c r="K78" s="110"/>
      <c r="L78" s="109"/>
      <c r="M78" s="109"/>
      <c r="N78" s="109"/>
      <c r="O78" s="109"/>
      <c r="P78" s="109"/>
    </row>
    <row r="79" spans="3:16" x14ac:dyDescent="0.25">
      <c r="C79" s="142"/>
      <c r="E79" s="123"/>
      <c r="G79" s="109"/>
      <c r="H79" s="109"/>
      <c r="I79" s="109"/>
      <c r="J79" s="109"/>
      <c r="K79" s="110"/>
      <c r="L79" s="109"/>
      <c r="M79" s="109"/>
      <c r="N79" s="109"/>
      <c r="O79" s="109"/>
      <c r="P79" s="109"/>
    </row>
    <row r="80" spans="3:16" ht="5.25" customHeight="1" x14ac:dyDescent="0.25">
      <c r="C80" s="145"/>
      <c r="D80" s="145"/>
      <c r="E80" s="145"/>
      <c r="F80" s="145"/>
      <c r="G80" s="145"/>
      <c r="H80" s="145"/>
      <c r="I80" s="145"/>
      <c r="J80" s="145"/>
      <c r="K80" s="146"/>
      <c r="L80" s="145"/>
      <c r="M80" s="145"/>
      <c r="N80" s="145"/>
      <c r="O80" s="145"/>
      <c r="P80" s="145"/>
    </row>
    <row r="81" spans="3:16" x14ac:dyDescent="0.25">
      <c r="C81" s="28"/>
      <c r="E81" s="125"/>
      <c r="G81" s="70"/>
      <c r="H81" s="70"/>
      <c r="I81" s="70"/>
      <c r="J81" s="70"/>
      <c r="K81" s="119"/>
      <c r="L81" s="70"/>
      <c r="M81" s="70"/>
      <c r="N81" s="70"/>
      <c r="O81" s="70"/>
      <c r="P81" s="70"/>
    </row>
    <row r="82" spans="3:16" ht="5.25" customHeight="1" x14ac:dyDescent="0.25">
      <c r="K82" s="140"/>
    </row>
    <row r="83" spans="3:16" x14ac:dyDescent="0.25">
      <c r="C83" s="55"/>
      <c r="G83" s="28"/>
      <c r="H83" s="28"/>
      <c r="I83" s="28"/>
      <c r="J83" s="28"/>
      <c r="K83" s="143"/>
      <c r="L83" s="28"/>
      <c r="M83" s="28"/>
      <c r="N83" s="28"/>
      <c r="O83" s="28"/>
      <c r="P83" s="28"/>
    </row>
    <row r="84" spans="3:16" x14ac:dyDescent="0.25">
      <c r="C84" s="142"/>
      <c r="E84" s="122"/>
      <c r="G84" s="109"/>
      <c r="H84" s="109"/>
      <c r="I84" s="109"/>
      <c r="J84" s="109"/>
      <c r="K84" s="110"/>
      <c r="L84" s="109"/>
      <c r="M84" s="109"/>
      <c r="N84" s="109"/>
      <c r="O84" s="109"/>
      <c r="P84" s="109"/>
    </row>
    <row r="85" spans="3:16" x14ac:dyDescent="0.25">
      <c r="C85" s="142"/>
      <c r="E85" s="122"/>
      <c r="G85" s="109"/>
      <c r="H85" s="109"/>
      <c r="I85" s="109"/>
      <c r="J85" s="109"/>
      <c r="K85" s="110"/>
      <c r="L85" s="109"/>
      <c r="M85" s="109"/>
      <c r="N85" s="109"/>
      <c r="O85" s="109"/>
      <c r="P85" s="109"/>
    </row>
    <row r="86" spans="3:16" x14ac:dyDescent="0.25">
      <c r="C86" s="142"/>
      <c r="E86" s="122"/>
      <c r="G86" s="109"/>
      <c r="H86" s="109"/>
      <c r="I86" s="109"/>
      <c r="J86" s="109"/>
      <c r="K86" s="110"/>
      <c r="L86" s="109"/>
      <c r="M86" s="109"/>
      <c r="N86" s="109"/>
      <c r="O86" s="109"/>
      <c r="P86" s="109"/>
    </row>
    <row r="87" spans="3:16" ht="5.25" customHeight="1" x14ac:dyDescent="0.25">
      <c r="C87" s="145"/>
      <c r="D87" s="145"/>
      <c r="E87" s="145"/>
      <c r="F87" s="145"/>
      <c r="G87" s="145"/>
      <c r="H87" s="145"/>
      <c r="I87" s="145"/>
      <c r="J87" s="145"/>
      <c r="K87" s="146"/>
      <c r="L87" s="145"/>
      <c r="M87" s="145"/>
      <c r="N87" s="145"/>
      <c r="O87" s="145"/>
      <c r="P87" s="145"/>
    </row>
    <row r="88" spans="3:16" x14ac:dyDescent="0.25">
      <c r="C88" s="28"/>
      <c r="E88" s="125"/>
      <c r="G88" s="70"/>
      <c r="H88" s="70"/>
      <c r="I88" s="70"/>
      <c r="J88" s="70"/>
      <c r="K88" s="119"/>
      <c r="L88" s="70"/>
      <c r="M88" s="70"/>
      <c r="N88" s="70"/>
      <c r="O88" s="70"/>
      <c r="P88" s="70"/>
    </row>
    <row r="89" spans="3:16" ht="5.25" customHeight="1" x14ac:dyDescent="0.25">
      <c r="C89" s="28"/>
      <c r="G89" s="70"/>
      <c r="H89" s="70"/>
      <c r="I89" s="70"/>
      <c r="J89" s="70"/>
      <c r="K89" s="119"/>
      <c r="L89" s="70"/>
      <c r="M89" s="70"/>
      <c r="N89" s="70"/>
      <c r="O89" s="70"/>
      <c r="P89" s="70"/>
    </row>
    <row r="90" spans="3:16" x14ac:dyDescent="0.25">
      <c r="C90" s="55"/>
      <c r="G90" s="70"/>
      <c r="H90" s="70"/>
      <c r="I90" s="70"/>
      <c r="J90" s="70"/>
      <c r="K90" s="119"/>
      <c r="L90" s="70"/>
      <c r="M90" s="70"/>
      <c r="N90" s="70"/>
      <c r="O90" s="70"/>
      <c r="P90" s="70"/>
    </row>
    <row r="91" spans="3:16" x14ac:dyDescent="0.25">
      <c r="C91" s="142"/>
      <c r="E91" s="122"/>
      <c r="G91" s="109"/>
      <c r="H91" s="109"/>
      <c r="I91" s="109"/>
      <c r="J91" s="109"/>
      <c r="K91" s="110"/>
      <c r="L91" s="109"/>
      <c r="M91" s="109"/>
      <c r="N91" s="109"/>
      <c r="O91" s="109"/>
      <c r="P91" s="109"/>
    </row>
    <row r="92" spans="3:16" x14ac:dyDescent="0.25">
      <c r="C92" s="142"/>
      <c r="E92" s="122"/>
      <c r="G92" s="109"/>
      <c r="H92" s="109"/>
      <c r="I92" s="109"/>
      <c r="J92" s="109"/>
      <c r="K92" s="110"/>
      <c r="L92" s="109"/>
      <c r="M92" s="109"/>
      <c r="N92" s="109"/>
      <c r="O92" s="109"/>
      <c r="P92" s="109"/>
    </row>
    <row r="93" spans="3:16" x14ac:dyDescent="0.25">
      <c r="C93" s="142"/>
      <c r="E93" s="122"/>
      <c r="G93" s="109"/>
      <c r="H93" s="109"/>
      <c r="I93" s="109"/>
      <c r="J93" s="109"/>
      <c r="K93" s="110"/>
      <c r="L93" s="109"/>
      <c r="M93" s="109"/>
      <c r="N93" s="109"/>
      <c r="O93" s="109"/>
      <c r="P93" s="109"/>
    </row>
    <row r="94" spans="3:16" ht="5.25" customHeight="1" x14ac:dyDescent="0.25">
      <c r="C94" s="145"/>
      <c r="D94" s="145"/>
      <c r="E94" s="145"/>
      <c r="F94" s="145"/>
      <c r="G94" s="145"/>
      <c r="H94" s="145"/>
      <c r="I94" s="145"/>
      <c r="J94" s="145"/>
      <c r="K94" s="146"/>
      <c r="L94" s="145"/>
      <c r="M94" s="145"/>
      <c r="N94" s="145"/>
      <c r="O94" s="145"/>
      <c r="P94" s="145"/>
    </row>
    <row r="95" spans="3:16" x14ac:dyDescent="0.25">
      <c r="C95" s="28"/>
      <c r="E95" s="125"/>
      <c r="G95" s="70"/>
      <c r="H95" s="70"/>
      <c r="I95" s="70"/>
      <c r="J95" s="70"/>
      <c r="K95" s="119"/>
      <c r="L95" s="70"/>
      <c r="M95" s="70"/>
      <c r="N95" s="70"/>
      <c r="O95" s="70"/>
      <c r="P95" s="70"/>
    </row>
    <row r="96" spans="3:16" ht="5.25" customHeight="1" x14ac:dyDescent="0.25">
      <c r="K96" s="140"/>
    </row>
    <row r="97" spans="2:16" x14ac:dyDescent="0.25">
      <c r="C97" s="142"/>
      <c r="E97" s="122"/>
      <c r="G97" s="86"/>
      <c r="H97" s="86"/>
      <c r="I97" s="86"/>
      <c r="J97" s="86"/>
      <c r="K97" s="144"/>
      <c r="L97" s="86"/>
      <c r="M97" s="86"/>
      <c r="N97" s="86"/>
      <c r="O97" s="86"/>
      <c r="P97" s="86"/>
    </row>
    <row r="98" spans="2:16" ht="5.25" customHeight="1" x14ac:dyDescent="0.25"/>
    <row r="99" spans="2:16" x14ac:dyDescent="0.25">
      <c r="B99" s="95"/>
      <c r="C99" s="95"/>
      <c r="D99" s="95"/>
      <c r="E99" s="101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</row>
    <row r="100" spans="2:16" ht="5.0999999999999996" customHeight="1" x14ac:dyDescent="0.25"/>
    <row r="101" spans="2:16" x14ac:dyDescent="0.25">
      <c r="C101" s="97"/>
      <c r="D101" s="97"/>
      <c r="E101" s="97"/>
      <c r="F101" s="97"/>
      <c r="G101" s="98"/>
      <c r="H101" s="98"/>
      <c r="I101" s="98"/>
      <c r="J101" s="98"/>
      <c r="K101" s="98"/>
      <c r="L101" s="99"/>
      <c r="M101" s="99"/>
      <c r="N101" s="99"/>
      <c r="O101" s="99"/>
      <c r="P101" s="99"/>
    </row>
    <row r="102" spans="2:16" ht="5.25" customHeight="1" x14ac:dyDescent="0.25"/>
    <row r="103" spans="2:16" x14ac:dyDescent="0.25">
      <c r="C103" s="55"/>
    </row>
    <row r="104" spans="2:16" x14ac:dyDescent="0.25">
      <c r="C104" s="147"/>
      <c r="E104" s="122"/>
      <c r="G104" s="150"/>
      <c r="H104" s="151"/>
      <c r="I104" s="151"/>
      <c r="J104" s="151"/>
      <c r="K104" s="152"/>
      <c r="L104" s="86"/>
      <c r="M104" s="86"/>
      <c r="N104" s="86"/>
      <c r="O104" s="86"/>
      <c r="P104" s="86"/>
    </row>
    <row r="105" spans="2:16" x14ac:dyDescent="0.25">
      <c r="C105" s="147"/>
      <c r="E105" s="122"/>
      <c r="G105" s="153"/>
      <c r="H105" s="154"/>
      <c r="I105" s="154"/>
      <c r="J105" s="154"/>
      <c r="K105" s="155"/>
      <c r="L105" s="109"/>
      <c r="M105" s="109"/>
      <c r="N105" s="109"/>
      <c r="O105" s="109"/>
      <c r="P105" s="109"/>
    </row>
    <row r="106" spans="2:16" x14ac:dyDescent="0.25">
      <c r="C106" s="147"/>
      <c r="E106" s="122"/>
      <c r="G106" s="153"/>
      <c r="H106" s="154"/>
      <c r="I106" s="154"/>
      <c r="J106" s="154"/>
      <c r="K106" s="155"/>
      <c r="L106" s="109"/>
      <c r="M106" s="109"/>
      <c r="N106" s="109"/>
      <c r="O106" s="109"/>
      <c r="P106" s="109"/>
    </row>
    <row r="107" spans="2:16" x14ac:dyDescent="0.25">
      <c r="C107" s="149"/>
      <c r="D107" s="100"/>
      <c r="E107" s="123"/>
      <c r="F107" s="100"/>
      <c r="G107" s="156"/>
      <c r="H107" s="157"/>
      <c r="I107" s="157"/>
      <c r="J107" s="157"/>
      <c r="K107" s="158"/>
      <c r="L107" s="114"/>
      <c r="M107" s="114"/>
      <c r="N107" s="114"/>
      <c r="O107" s="114"/>
      <c r="P107" s="114"/>
    </row>
    <row r="108" spans="2:16" ht="5.25" customHeight="1" x14ac:dyDescent="0.25"/>
    <row r="109" spans="2:16" x14ac:dyDescent="0.25">
      <c r="C109" s="28"/>
      <c r="E109" s="125"/>
      <c r="G109" s="159"/>
      <c r="H109" s="160"/>
      <c r="I109" s="160"/>
      <c r="J109" s="160"/>
      <c r="K109" s="161"/>
      <c r="L109" s="70"/>
      <c r="M109" s="70"/>
      <c r="N109" s="70"/>
      <c r="O109" s="70"/>
      <c r="P109" s="70"/>
    </row>
    <row r="111" spans="2:16" x14ac:dyDescent="0.25">
      <c r="C111" s="55"/>
    </row>
    <row r="112" spans="2:16" x14ac:dyDescent="0.25">
      <c r="C112" s="147"/>
      <c r="E112" s="122"/>
      <c r="G112" s="162"/>
      <c r="H112" s="163"/>
      <c r="I112" s="163"/>
      <c r="J112" s="163"/>
      <c r="K112" s="164"/>
      <c r="L112" s="109"/>
      <c r="M112" s="109"/>
      <c r="N112" s="109"/>
      <c r="O112" s="109"/>
      <c r="P112" s="109"/>
    </row>
    <row r="113" spans="2:16" x14ac:dyDescent="0.25">
      <c r="C113" s="147"/>
      <c r="E113" s="122"/>
      <c r="G113" s="165"/>
      <c r="H113" s="166"/>
      <c r="I113" s="166"/>
      <c r="J113" s="166"/>
      <c r="K113" s="167"/>
      <c r="L113" s="109"/>
      <c r="M113" s="109"/>
      <c r="N113" s="109"/>
      <c r="O113" s="109"/>
      <c r="P113" s="109"/>
    </row>
    <row r="114" spans="2:16" x14ac:dyDescent="0.25">
      <c r="C114" s="147"/>
      <c r="E114" s="122"/>
      <c r="G114" s="165"/>
      <c r="H114" s="166"/>
      <c r="I114" s="166"/>
      <c r="J114" s="166"/>
      <c r="K114" s="167"/>
      <c r="L114" s="109"/>
      <c r="M114" s="109"/>
      <c r="N114" s="109"/>
      <c r="O114" s="109"/>
      <c r="P114" s="109"/>
    </row>
    <row r="115" spans="2:16" ht="5.25" customHeight="1" x14ac:dyDescent="0.25"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</row>
    <row r="116" spans="2:16" x14ac:dyDescent="0.25">
      <c r="C116" s="28"/>
      <c r="E116" s="125"/>
      <c r="G116" s="159"/>
      <c r="H116" s="160"/>
      <c r="I116" s="160"/>
      <c r="J116" s="160"/>
      <c r="K116" s="161"/>
      <c r="L116" s="70"/>
      <c r="M116" s="70"/>
      <c r="N116" s="70"/>
      <c r="O116" s="70"/>
      <c r="P116" s="70"/>
    </row>
    <row r="118" spans="2:16" x14ac:dyDescent="0.25">
      <c r="C118" s="55"/>
    </row>
    <row r="119" spans="2:16" x14ac:dyDescent="0.25">
      <c r="C119" s="147"/>
      <c r="E119" s="122"/>
      <c r="G119" s="168"/>
      <c r="H119" s="169"/>
      <c r="I119" s="169"/>
      <c r="J119" s="169"/>
      <c r="K119" s="170"/>
      <c r="L119" s="109"/>
      <c r="M119" s="109"/>
      <c r="N119" s="109"/>
      <c r="O119" s="109"/>
      <c r="P119" s="109"/>
    </row>
    <row r="120" spans="2:16" x14ac:dyDescent="0.25">
      <c r="C120" s="147"/>
      <c r="E120" s="122"/>
      <c r="G120" s="153"/>
      <c r="H120" s="154"/>
      <c r="I120" s="154"/>
      <c r="J120" s="154"/>
      <c r="K120" s="155"/>
      <c r="L120" s="109"/>
      <c r="M120" s="109"/>
      <c r="N120" s="109"/>
      <c r="O120" s="109"/>
      <c r="P120" s="109"/>
    </row>
    <row r="121" spans="2:16" x14ac:dyDescent="0.25">
      <c r="C121" s="149"/>
      <c r="D121" s="100"/>
      <c r="E121" s="123"/>
      <c r="F121" s="100"/>
      <c r="G121" s="156"/>
      <c r="H121" s="157"/>
      <c r="I121" s="157"/>
      <c r="J121" s="157"/>
      <c r="K121" s="158"/>
      <c r="L121" s="114"/>
      <c r="M121" s="114"/>
      <c r="N121" s="114"/>
      <c r="O121" s="114"/>
      <c r="P121" s="114"/>
    </row>
    <row r="122" spans="2:16" ht="5.25" customHeight="1" x14ac:dyDescent="0.25"/>
    <row r="123" spans="2:16" x14ac:dyDescent="0.25">
      <c r="C123" s="28"/>
      <c r="E123" s="125"/>
      <c r="G123" s="159"/>
      <c r="H123" s="160"/>
      <c r="I123" s="160"/>
      <c r="J123" s="160"/>
      <c r="K123" s="161"/>
      <c r="L123" s="70"/>
      <c r="M123" s="70"/>
      <c r="N123" s="70"/>
      <c r="O123" s="70"/>
      <c r="P123" s="70"/>
    </row>
    <row r="124" spans="2:16" ht="5.25" customHeight="1" x14ac:dyDescent="0.25"/>
    <row r="125" spans="2:16" x14ac:dyDescent="0.25">
      <c r="C125" s="28"/>
      <c r="D125" s="28"/>
      <c r="E125" s="125"/>
      <c r="G125" s="159"/>
      <c r="H125" s="160"/>
      <c r="I125" s="160"/>
      <c r="J125" s="160"/>
      <c r="K125" s="161"/>
      <c r="L125" s="70"/>
      <c r="M125" s="70"/>
      <c r="N125" s="70"/>
      <c r="O125" s="70"/>
      <c r="P125" s="70"/>
    </row>
    <row r="126" spans="2:16" ht="5.25" customHeight="1" x14ac:dyDescent="0.25"/>
    <row r="127" spans="2:16" x14ac:dyDescent="0.25">
      <c r="B127" s="95"/>
      <c r="C127" s="95"/>
      <c r="D127" s="95"/>
      <c r="E127" s="101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</row>
    <row r="128" spans="2:16" ht="5.25" customHeight="1" x14ac:dyDescent="0.25"/>
    <row r="129" spans="3:3" x14ac:dyDescent="0.25">
      <c r="C129" s="28"/>
    </row>
    <row r="146" spans="3:3" x14ac:dyDescent="0.25">
      <c r="C146" s="28"/>
    </row>
  </sheetData>
  <conditionalFormatting sqref="G10:P10">
    <cfRule type="expression" dxfId="5" priority="5">
      <formula>G10 &gt;= estimate_start</formula>
    </cfRule>
    <cfRule type="expression" dxfId="4" priority="6">
      <formula>G10 &lt; estimate_start</formula>
    </cfRule>
  </conditionalFormatting>
  <conditionalFormatting sqref="G49:P49">
    <cfRule type="expression" dxfId="3" priority="3">
      <formula>G49 &gt;= estimate_start</formula>
    </cfRule>
    <cfRule type="expression" dxfId="2" priority="4">
      <formula>G49 &lt; estimate_start</formula>
    </cfRule>
  </conditionalFormatting>
  <conditionalFormatting sqref="G101:P101">
    <cfRule type="expression" dxfId="1" priority="1">
      <formula>G101 &gt;= estimate_start</formula>
    </cfRule>
    <cfRule type="expression" dxfId="0" priority="2">
      <formula>G101 &lt; estimate_start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F8A2D-1E69-4C67-8DFD-94156464921E}">
  <dimension ref="A1:Q146"/>
  <sheetViews>
    <sheetView showGridLines="0" zoomScaleNormal="100" workbookViewId="0">
      <selection activeCell="K149" sqref="K149"/>
    </sheetView>
  </sheetViews>
  <sheetFormatPr defaultColWidth="0" defaultRowHeight="15" x14ac:dyDescent="0.25"/>
  <cols>
    <col min="1" max="1" width="2.85546875" style="75" customWidth="1"/>
    <col min="2" max="2" width="2.7109375" style="75" customWidth="1"/>
    <col min="3" max="3" width="36" style="75" customWidth="1"/>
    <col min="4" max="4" width="2.5703125" style="75" customWidth="1"/>
    <col min="5" max="6" width="9.140625" style="75" customWidth="1"/>
    <col min="7" max="16" width="10.7109375" style="75" customWidth="1"/>
    <col min="17" max="17" width="2.85546875" customWidth="1"/>
    <col min="18" max="16384" width="9.140625" style="75" hidden="1"/>
  </cols>
  <sheetData>
    <row r="1" spans="2:17" ht="5.0999999999999996" customHeight="1" x14ac:dyDescent="0.25"/>
    <row r="2" spans="2:17" x14ac:dyDescent="0.25">
      <c r="B2" s="95"/>
      <c r="C2" s="95" t="s">
        <v>509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</row>
    <row r="3" spans="2:17" x14ac:dyDescent="0.25"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</row>
    <row r="4" spans="2:17" x14ac:dyDescent="0.25">
      <c r="B4" s="95"/>
      <c r="C4" s="95" t="s">
        <v>463</v>
      </c>
      <c r="D4" s="96">
        <f>scenario_number</f>
        <v>2</v>
      </c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</row>
    <row r="5" spans="2:17" x14ac:dyDescent="0.25">
      <c r="B5" s="95"/>
      <c r="C5" s="95" t="s">
        <v>464</v>
      </c>
      <c r="D5" s="95" t="str">
        <f>scenario_name</f>
        <v>Street</v>
      </c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</row>
    <row r="6" spans="2:17" x14ac:dyDescent="0.25"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</row>
    <row r="7" spans="2:17" ht="5.0999999999999996" customHeight="1" x14ac:dyDescent="0.25"/>
    <row r="8" spans="2:17" x14ac:dyDescent="0.25">
      <c r="B8" s="95">
        <v>1</v>
      </c>
      <c r="C8" s="95" t="s">
        <v>4</v>
      </c>
      <c r="D8" s="95"/>
      <c r="E8" s="101" t="s">
        <v>32</v>
      </c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</row>
    <row r="9" spans="2:17" ht="5.0999999999999996" customHeight="1" x14ac:dyDescent="0.25"/>
    <row r="10" spans="2:17" x14ac:dyDescent="0.25">
      <c r="C10" s="97" t="s">
        <v>510</v>
      </c>
      <c r="D10" s="97"/>
      <c r="E10" s="97"/>
      <c r="F10" s="97"/>
      <c r="G10" s="98">
        <f t="shared" ref="G10:J10" si="0">H10-1</f>
        <v>2020</v>
      </c>
      <c r="H10" s="98">
        <f t="shared" si="0"/>
        <v>2021</v>
      </c>
      <c r="I10" s="98">
        <f t="shared" si="0"/>
        <v>2022</v>
      </c>
      <c r="J10" s="98">
        <f t="shared" si="0"/>
        <v>2023</v>
      </c>
      <c r="K10" s="98">
        <f>L10-1</f>
        <v>2024</v>
      </c>
      <c r="L10" s="99">
        <f>estimate_start</f>
        <v>2025</v>
      </c>
      <c r="M10" s="99">
        <f>+L10+1</f>
        <v>2026</v>
      </c>
      <c r="N10" s="99">
        <f t="shared" ref="N10:P10" si="1">+M10+1</f>
        <v>2027</v>
      </c>
      <c r="O10" s="99">
        <f t="shared" si="1"/>
        <v>2028</v>
      </c>
      <c r="P10" s="99">
        <f t="shared" si="1"/>
        <v>2029</v>
      </c>
    </row>
    <row r="11" spans="2:17" ht="5.0999999999999996" customHeight="1" x14ac:dyDescent="0.25"/>
    <row r="12" spans="2:17" x14ac:dyDescent="0.25">
      <c r="C12" s="75" t="s">
        <v>19</v>
      </c>
      <c r="E12" s="122" t="s">
        <v>528</v>
      </c>
      <c r="G12" s="113" cm="1">
        <f t="array" ref="G12">INDEX(model!$N3:$AZ3,,MATCH('Financial Output'!G$10,model!$N$2:$AZ$2,0))</f>
        <v>3532.1570000000002</v>
      </c>
      <c r="H12" s="113" cm="1">
        <f t="array" ref="H12">INDEX(model!$N3:$AZ3,,MATCH('Financial Output'!H$10,model!$N$2:$AZ$2,0))</f>
        <v>3620.6840000000002</v>
      </c>
      <c r="I12" s="113" cm="1">
        <f t="array" ref="I12">INDEX(model!$N3:$AZ3,,MATCH('Financial Output'!I$10,model!$N$2:$AZ$2,0))</f>
        <v>3632.6610000000001</v>
      </c>
      <c r="J12" s="113" cm="1">
        <f t="array" ref="J12">INDEX(model!$N3:$AZ3,,MATCH('Financial Output'!J$10,model!$N$2:$AZ$2,0))</f>
        <v>4386.549</v>
      </c>
      <c r="K12" s="110" cm="1">
        <f t="array" ref="K12">INDEX(model!$N3:$AZ3,,MATCH('Financial Output'!K$10,model!$N$2:$AZ$2,0))</f>
        <v>4014.9549999999999</v>
      </c>
      <c r="L12" s="113" cm="1">
        <f t="array" ref="L12">INDEX(model!$N3:$AZ3,,MATCH('Financial Output'!L$10,model!$N$2:$AZ$2,0))</f>
        <v>4577.0487000000003</v>
      </c>
      <c r="M12" s="113" cm="1">
        <f t="array" ref="M12">INDEX(model!$N3:$AZ3,,MATCH('Financial Output'!M$10,model!$N$2:$AZ$2,0))</f>
        <v>5034.7535700000008</v>
      </c>
      <c r="N12" s="113" cm="1">
        <f t="array" ref="N12">INDEX(model!$N3:$AZ3,,MATCH('Financial Output'!N$10,model!$N$2:$AZ$2,0))</f>
        <v>5487.8813913000013</v>
      </c>
      <c r="O12" s="113" cm="1">
        <f t="array" ref="O12">INDEX(model!$N3:$AZ3,,MATCH('Financial Output'!O$10,model!$N$2:$AZ$2,0))</f>
        <v>6036.6695304300019</v>
      </c>
      <c r="P12" s="113" cm="1">
        <f t="array" ref="P12">INDEX(model!$N3:$AZ3,,MATCH('Financial Output'!P$10,model!$N$2:$AZ$2,0))</f>
        <v>6640.3364834730028</v>
      </c>
    </row>
    <row r="13" spans="2:17" x14ac:dyDescent="0.25">
      <c r="C13" s="100" t="s">
        <v>511</v>
      </c>
      <c r="D13" s="100"/>
      <c r="E13" s="123" t="s">
        <v>528</v>
      </c>
      <c r="F13" s="100"/>
      <c r="G13" s="114" cm="1">
        <f t="array" ref="G13">INDEX(model!$N4:$AZ4,,MATCH('Financial Output'!G$10,model!$N$2:$AZ$2,0))</f>
        <v>-1879.2660000000001</v>
      </c>
      <c r="H13" s="114" cm="1">
        <f t="array" ref="H13">INDEX(model!$N4:$AZ4,,MATCH('Financial Output'!H$10,model!$N$2:$AZ$2,0))</f>
        <v>-1898.7049999999999</v>
      </c>
      <c r="I13" s="114" cm="1">
        <f t="array" ref="I13">INDEX(model!$N4:$AZ4,,MATCH('Financial Output'!I$10,model!$N$2:$AZ$2,0))</f>
        <v>-2072.317</v>
      </c>
      <c r="J13" s="114" cm="1">
        <f t="array" ref="J13">INDEX(model!$N4:$AZ4,,MATCH('Financial Output'!J$10,model!$N$2:$AZ$2,0))</f>
        <v>-2507.6979999999999</v>
      </c>
      <c r="K13" s="116" cm="1">
        <f t="array" ref="K13">INDEX(model!$N4:$AZ4,,MATCH('Financial Output'!K$10,model!$N$2:$AZ$2,0))</f>
        <v>-2295.3649999999998</v>
      </c>
      <c r="L13" s="114" cm="1">
        <f t="array" ref="L13">INDEX(model!$N4:$AZ4,,MATCH('Financial Output'!L$10,model!$N$2:$AZ$2,0))</f>
        <v>-2654.6882460000002</v>
      </c>
      <c r="M13" s="114" cm="1">
        <f t="array" ref="M13">INDEX(model!$N4:$AZ4,,MATCH('Financial Output'!M$10,model!$N$2:$AZ$2,0))</f>
        <v>-2819.4619992000007</v>
      </c>
      <c r="N13" s="114" cm="1">
        <f t="array" ref="N13">INDEX(model!$N4:$AZ4,,MATCH('Financial Output'!N$10,model!$N$2:$AZ$2,0))</f>
        <v>-3018.334765215001</v>
      </c>
      <c r="O13" s="114" cm="1">
        <f t="array" ref="O13">INDEX(model!$N4:$AZ4,,MATCH('Financial Output'!O$10,model!$N$2:$AZ$2,0))</f>
        <v>-3018.334765215001</v>
      </c>
      <c r="P13" s="114" cm="1">
        <f t="array" ref="P13">INDEX(model!$N4:$AZ4,,MATCH('Financial Output'!P$10,model!$N$2:$AZ$2,0))</f>
        <v>-3320.1682417365014</v>
      </c>
    </row>
    <row r="14" spans="2:17" ht="5.0999999999999996" customHeight="1" x14ac:dyDescent="0.25">
      <c r="E14" s="122"/>
      <c r="K14" s="106"/>
    </row>
    <row r="15" spans="2:17" x14ac:dyDescent="0.25">
      <c r="C15" s="28" t="s">
        <v>21</v>
      </c>
      <c r="E15" s="125" t="s">
        <v>528</v>
      </c>
      <c r="G15" s="111">
        <f>+G12+G13</f>
        <v>1652.8910000000001</v>
      </c>
      <c r="H15" s="111">
        <f t="shared" ref="H15:P15" si="2">+H12+H13</f>
        <v>1721.9790000000003</v>
      </c>
      <c r="I15" s="111">
        <f t="shared" si="2"/>
        <v>1560.3440000000001</v>
      </c>
      <c r="J15" s="111">
        <f t="shared" si="2"/>
        <v>1878.8510000000001</v>
      </c>
      <c r="K15" s="117">
        <f t="shared" si="2"/>
        <v>1719.5900000000001</v>
      </c>
      <c r="L15" s="111">
        <f t="shared" si="2"/>
        <v>1922.3604540000001</v>
      </c>
      <c r="M15" s="111">
        <f t="shared" si="2"/>
        <v>2215.2915708</v>
      </c>
      <c r="N15" s="111">
        <f t="shared" si="2"/>
        <v>2469.5466260850003</v>
      </c>
      <c r="O15" s="111">
        <f t="shared" si="2"/>
        <v>3018.334765215001</v>
      </c>
      <c r="P15" s="111">
        <f t="shared" si="2"/>
        <v>3320.1682417365014</v>
      </c>
    </row>
    <row r="16" spans="2:17" s="3" customFormat="1" x14ac:dyDescent="0.25">
      <c r="C16" s="102" t="s">
        <v>512</v>
      </c>
      <c r="E16" s="124" t="s">
        <v>529</v>
      </c>
      <c r="G16" s="112">
        <f>G15/G12</f>
        <v>0.46795513336468342</v>
      </c>
      <c r="H16" s="112">
        <f t="shared" ref="H16:P16" si="3">H15/H12</f>
        <v>0.475594942834006</v>
      </c>
      <c r="I16" s="112">
        <f t="shared" si="3"/>
        <v>0.42953196018015444</v>
      </c>
      <c r="J16" s="112">
        <f t="shared" si="3"/>
        <v>0.42832098763743437</v>
      </c>
      <c r="K16" s="118">
        <f t="shared" si="3"/>
        <v>0.42829620755400749</v>
      </c>
      <c r="L16" s="112">
        <f t="shared" si="3"/>
        <v>0.42</v>
      </c>
      <c r="M16" s="112">
        <f t="shared" si="3"/>
        <v>0.43999999999999995</v>
      </c>
      <c r="N16" s="112">
        <f t="shared" si="3"/>
        <v>0.44999999999999996</v>
      </c>
      <c r="O16" s="112">
        <f t="shared" si="3"/>
        <v>0.5</v>
      </c>
      <c r="P16" s="112">
        <f t="shared" si="3"/>
        <v>0.5</v>
      </c>
      <c r="Q16"/>
    </row>
    <row r="17" spans="3:17" ht="5.0999999999999996" customHeight="1" x14ac:dyDescent="0.25">
      <c r="E17" s="122"/>
      <c r="K17" s="106"/>
    </row>
    <row r="18" spans="3:17" x14ac:dyDescent="0.25">
      <c r="C18" s="75" t="s">
        <v>513</v>
      </c>
      <c r="E18" s="122" t="s">
        <v>528</v>
      </c>
      <c r="G18" s="109" cm="1">
        <f t="array" ref="G18">INDEX(model!$N6:$AZ6,,MATCH('Financial Output'!G$10,model!$N$2:$AZ$2,0))</f>
        <v>-416.42500000000001</v>
      </c>
      <c r="H18" s="109" cm="1">
        <f t="array" ref="H18">INDEX(model!$N6:$AZ6,,MATCH('Financial Output'!H$10,model!$N$2:$AZ$2,0))</f>
        <v>-452.214</v>
      </c>
      <c r="I18" s="109" cm="1">
        <f t="array" ref="I18">INDEX(model!$N6:$AZ6,,MATCH('Financial Output'!I$10,model!$N$2:$AZ$2,0))</f>
        <v>-466.565</v>
      </c>
      <c r="J18" s="109" cm="1">
        <f t="array" ref="J18">INDEX(model!$N6:$AZ6,,MATCH('Financial Output'!J$10,model!$N$2:$AZ$2,0))</f>
        <v>-490.80399999999997</v>
      </c>
      <c r="K18" s="110" cm="1">
        <f t="array" ref="K18">INDEX(model!$N6:$AZ6,,MATCH('Financial Output'!K$10,model!$N$2:$AZ$2,0))</f>
        <v>-510.66800000000001</v>
      </c>
      <c r="L18" s="109" cm="1">
        <f t="array" ref="L18">INDEX(model!$N6:$AZ6,,MATCH('Financial Output'!L$10,model!$N$2:$AZ$2,0))</f>
        <v>-543.3361710622263</v>
      </c>
      <c r="M18" s="109" cm="1">
        <f t="array" ref="M18">INDEX(model!$N6:$AZ6,,MATCH('Financial Output'!M$10,model!$N$2:$AZ$2,0))</f>
        <v>-597.66978816844903</v>
      </c>
      <c r="N18" s="109" cm="1">
        <f t="array" ref="N18">INDEX(model!$N6:$AZ6,,MATCH('Financial Output'!N$10,model!$N$2:$AZ$2,0))</f>
        <v>-651.46006910360961</v>
      </c>
      <c r="O18" s="109" cm="1">
        <f t="array" ref="O18">INDEX(model!$N6:$AZ6,,MATCH('Financial Output'!O$10,model!$N$2:$AZ$2,0))</f>
        <v>-674.45277742491339</v>
      </c>
      <c r="P18" s="109" cm="1">
        <f t="array" ref="P18">INDEX(model!$N6:$AZ6,,MATCH('Financial Output'!P$10,model!$N$2:$AZ$2,0))</f>
        <v>-695.52942671944197</v>
      </c>
    </row>
    <row r="19" spans="3:17" x14ac:dyDescent="0.25">
      <c r="C19" s="75" t="s">
        <v>514</v>
      </c>
      <c r="E19" s="122" t="s">
        <v>528</v>
      </c>
      <c r="G19" s="109" cm="1">
        <f t="array" ref="G19">INDEX(model!$N7:$AZ7,,MATCH('Financial Output'!G$10,model!$N$2:$AZ$2,0))</f>
        <v>-529.88800000000003</v>
      </c>
      <c r="H19" s="109" cm="1">
        <f t="array" ref="H19">INDEX(model!$N7:$AZ7,,MATCH('Financial Output'!H$10,model!$N$2:$AZ$2,0))</f>
        <v>-536.66600000000005</v>
      </c>
      <c r="I19" s="109" cm="1">
        <f t="array" ref="I19">INDEX(model!$N7:$AZ7,,MATCH('Financial Output'!I$10,model!$N$2:$AZ$2,0))</f>
        <v>-624.65599999999995</v>
      </c>
      <c r="J19" s="109" cm="1">
        <f t="array" ref="J19">INDEX(model!$N7:$AZ7,,MATCH('Financial Output'!J$10,model!$N$2:$AZ$2,0))</f>
        <v>-750.55899999999997</v>
      </c>
      <c r="K19" s="110" cm="1">
        <f t="array" ref="K19">INDEX(model!$N7:$AZ7,,MATCH('Financial Output'!K$10,model!$N$2:$AZ$2,0))</f>
        <v>-767.49699999999996</v>
      </c>
      <c r="L19" s="109" cm="1">
        <f t="array" ref="L19">INDEX(model!$N7:$AZ7,,MATCH('Financial Output'!L$10,model!$N$2:$AZ$2,0))</f>
        <v>-778.09827900000005</v>
      </c>
      <c r="M19" s="109" cm="1">
        <f t="array" ref="M19">INDEX(model!$N7:$AZ7,,MATCH('Financial Output'!M$10,model!$N$2:$AZ$2,0))</f>
        <v>-855.90810690000023</v>
      </c>
      <c r="N19" s="109" cm="1">
        <f t="array" ref="N19">INDEX(model!$N7:$AZ7,,MATCH('Financial Output'!N$10,model!$N$2:$AZ$2,0))</f>
        <v>-932.9398365210003</v>
      </c>
      <c r="O19" s="109" cm="1">
        <f t="array" ref="O19">INDEX(model!$N7:$AZ7,,MATCH('Financial Output'!O$10,model!$N$2:$AZ$2,0))</f>
        <v>-1026.2338201731004</v>
      </c>
      <c r="P19" s="109" cm="1">
        <f t="array" ref="P19">INDEX(model!$N7:$AZ7,,MATCH('Financial Output'!P$10,model!$N$2:$AZ$2,0))</f>
        <v>-1128.8572021904106</v>
      </c>
    </row>
    <row r="20" spans="3:17" x14ac:dyDescent="0.25">
      <c r="C20" s="100" t="s">
        <v>515</v>
      </c>
      <c r="D20" s="100"/>
      <c r="E20" s="123" t="s">
        <v>528</v>
      </c>
      <c r="F20" s="100"/>
      <c r="G20" s="114" cm="1">
        <f t="array" ref="G20">INDEX(model!$N8:$AZ8,,MATCH('Financial Output'!G$10,model!$N$2:$AZ$2,0))</f>
        <v>-173.57900000000001</v>
      </c>
      <c r="H20" s="114" cm="1">
        <f t="array" ref="H20">INDEX(model!$N8:$AZ8,,MATCH('Financial Output'!H$10,model!$N$2:$AZ$2,0))</f>
        <v>-184.446</v>
      </c>
      <c r="I20" s="114" cm="1">
        <f t="array" ref="I20">INDEX(model!$N8:$AZ8,,MATCH('Financial Output'!I$10,model!$N$2:$AZ$2,0))</f>
        <v>-179.98</v>
      </c>
      <c r="J20" s="114" cm="1">
        <f t="array" ref="J20">INDEX(model!$N8:$AZ8,,MATCH('Financial Output'!J$10,model!$N$2:$AZ$2,0))</f>
        <v>-218.75800000000001</v>
      </c>
      <c r="K20" s="116" cm="1">
        <f t="array" ref="K20">INDEX(model!$N8:$AZ8,,MATCH('Financial Output'!K$10,model!$N$2:$AZ$2,0))</f>
        <v>-220.64699999999999</v>
      </c>
      <c r="L20" s="114" cm="1">
        <f t="array" ref="L20">INDEX(model!$N8:$AZ8,,MATCH('Financial Output'!L$10,model!$N$2:$AZ$2,0))</f>
        <v>-234.76210793777372</v>
      </c>
      <c r="M20" s="114" cm="1">
        <f t="array" ref="M20">INDEX(model!$N8:$AZ8,,MATCH('Financial Output'!M$10,model!$N$2:$AZ$2,0))</f>
        <v>-258.23831873155115</v>
      </c>
      <c r="N20" s="114" cm="1">
        <f t="array" ref="N20">INDEX(model!$N8:$AZ8,,MATCH('Financial Output'!N$10,model!$N$2:$AZ$2,0))</f>
        <v>-281.4797674173908</v>
      </c>
      <c r="O20" s="114" cm="1">
        <f t="array" ref="O20">INDEX(model!$N8:$AZ8,,MATCH('Financial Output'!O$10,model!$N$2:$AZ$2,0))</f>
        <v>-291.41434744388692</v>
      </c>
      <c r="P20" s="114" cm="1">
        <f t="array" ref="P20">INDEX(model!$N8:$AZ8,,MATCH('Financial Output'!P$10,model!$N$2:$AZ$2,0))</f>
        <v>-300.52104580150842</v>
      </c>
    </row>
    <row r="21" spans="3:17" ht="5.0999999999999996" customHeight="1" x14ac:dyDescent="0.25">
      <c r="E21" s="122"/>
      <c r="K21" s="106"/>
    </row>
    <row r="22" spans="3:17" x14ac:dyDescent="0.25">
      <c r="C22" s="28" t="s">
        <v>450</v>
      </c>
      <c r="E22" s="125" t="s">
        <v>528</v>
      </c>
      <c r="G22" s="70">
        <f>G15+G18+G19+G20-G25</f>
        <v>665.52600000000007</v>
      </c>
      <c r="H22" s="70">
        <f t="shared" ref="H22:P22" si="4">H15+H18+H19+H20-H25</f>
        <v>680.91900000000032</v>
      </c>
      <c r="I22" s="70">
        <f t="shared" si="4"/>
        <v>429.346</v>
      </c>
      <c r="J22" s="70">
        <f t="shared" si="4"/>
        <v>560.91000000000008</v>
      </c>
      <c r="K22" s="119">
        <f t="shared" si="4"/>
        <v>354.24800000000005</v>
      </c>
      <c r="L22" s="70">
        <f t="shared" si="4"/>
        <v>480.59011350000014</v>
      </c>
      <c r="M22" s="70">
        <f t="shared" si="4"/>
        <v>604.17042839999965</v>
      </c>
      <c r="N22" s="70">
        <f t="shared" si="4"/>
        <v>713.42458086899956</v>
      </c>
      <c r="O22" s="70">
        <f t="shared" si="4"/>
        <v>1146.9672107817005</v>
      </c>
      <c r="P22" s="70">
        <f t="shared" si="4"/>
        <v>1328.0672966946006</v>
      </c>
    </row>
    <row r="23" spans="3:17" s="3" customFormat="1" x14ac:dyDescent="0.25">
      <c r="C23" s="102" t="s">
        <v>516</v>
      </c>
      <c r="E23" s="124" t="s">
        <v>529</v>
      </c>
      <c r="K23" s="108"/>
      <c r="Q23"/>
    </row>
    <row r="24" spans="3:17" ht="5.0999999999999996" customHeight="1" x14ac:dyDescent="0.25">
      <c r="E24" s="122"/>
      <c r="K24" s="106"/>
    </row>
    <row r="25" spans="3:17" x14ac:dyDescent="0.25">
      <c r="C25" s="100" t="s">
        <v>517</v>
      </c>
      <c r="D25" s="100"/>
      <c r="E25" s="123" t="s">
        <v>528</v>
      </c>
      <c r="F25" s="100"/>
      <c r="G25" s="114" cm="1">
        <f t="array" ref="G25">-INDEX(model!$N50:$AZ50,,MATCH('Financial Output'!G$10,model!$N$2:$AZ$2,0))</f>
        <v>-132.52699999999999</v>
      </c>
      <c r="H25" s="114" cm="1">
        <f t="array" ref="H25">-INDEX(model!$N50:$AZ50,,MATCH('Financial Output'!H$10,model!$N$2:$AZ$2,0))</f>
        <v>-132.26600000000002</v>
      </c>
      <c r="I25" s="114" cm="1">
        <f t="array" ref="I25">-INDEX(model!$N50:$AZ50,,MATCH('Financial Output'!I$10,model!$N$2:$AZ$2,0))</f>
        <v>-140.203</v>
      </c>
      <c r="J25" s="114" cm="1">
        <f t="array" ref="J25">-INDEX(model!$N50:$AZ50,,MATCH('Financial Output'!J$10,model!$N$2:$AZ$2,0))</f>
        <v>-142.18</v>
      </c>
      <c r="K25" s="116" cm="1">
        <f t="array" ref="K25">-INDEX(model!$N50:$AZ50,,MATCH('Financial Output'!K$10,model!$N$2:$AZ$2,0))</f>
        <v>-133.47</v>
      </c>
      <c r="L25" s="114" cm="1">
        <f t="array" ref="L25">-INDEX(model!$N50:$AZ50,,MATCH('Financial Output'!L$10,model!$N$2:$AZ$2,0))</f>
        <v>-114.42621750000001</v>
      </c>
      <c r="M25" s="114" cm="1">
        <f t="array" ref="M25">-INDEX(model!$N50:$AZ50,,MATCH('Financial Output'!M$10,model!$N$2:$AZ$2,0))</f>
        <v>-100.69507140000002</v>
      </c>
      <c r="N25" s="114" cm="1">
        <f t="array" ref="N25">-INDEX(model!$N50:$AZ50,,MATCH('Financial Output'!N$10,model!$N$2:$AZ$2,0))</f>
        <v>-109.75762782600003</v>
      </c>
      <c r="O25" s="114" cm="1">
        <f t="array" ref="O25">-INDEX(model!$N50:$AZ50,,MATCH('Financial Output'!O$10,model!$N$2:$AZ$2,0))</f>
        <v>-120.73339060860005</v>
      </c>
      <c r="P25" s="114" cm="1">
        <f t="array" ref="P25">-INDEX(model!$N50:$AZ50,,MATCH('Financial Output'!P$10,model!$N$2:$AZ$2,0))</f>
        <v>-132.80672966946005</v>
      </c>
    </row>
    <row r="26" spans="3:17" ht="5.0999999999999996" customHeight="1" x14ac:dyDescent="0.25">
      <c r="E26" s="122"/>
      <c r="K26" s="106"/>
    </row>
    <row r="27" spans="3:17" x14ac:dyDescent="0.25">
      <c r="C27" s="28" t="s">
        <v>439</v>
      </c>
      <c r="E27" s="122" t="s">
        <v>528</v>
      </c>
      <c r="G27" s="70">
        <f>+G15+G18+G19+G20</f>
        <v>532.99900000000002</v>
      </c>
      <c r="H27" s="70">
        <f t="shared" ref="H27:P27" si="5">+H15+H18+H19+H20</f>
        <v>548.65300000000025</v>
      </c>
      <c r="I27" s="70">
        <f t="shared" si="5"/>
        <v>289.14300000000003</v>
      </c>
      <c r="J27" s="70">
        <f t="shared" si="5"/>
        <v>418.73</v>
      </c>
      <c r="K27" s="119">
        <f t="shared" si="5"/>
        <v>220.77800000000008</v>
      </c>
      <c r="L27" s="70">
        <f t="shared" si="5"/>
        <v>366.16389600000014</v>
      </c>
      <c r="M27" s="70">
        <f t="shared" si="5"/>
        <v>503.47535699999963</v>
      </c>
      <c r="N27" s="70">
        <f t="shared" si="5"/>
        <v>603.66695304299958</v>
      </c>
      <c r="O27" s="70">
        <f t="shared" si="5"/>
        <v>1026.2338201731004</v>
      </c>
      <c r="P27" s="70">
        <f t="shared" si="5"/>
        <v>1195.2605670251405</v>
      </c>
    </row>
    <row r="28" spans="3:17" x14ac:dyDescent="0.25">
      <c r="C28" s="102" t="s">
        <v>518</v>
      </c>
      <c r="E28" s="124" t="s">
        <v>529</v>
      </c>
      <c r="G28" s="112">
        <f>G27/G12</f>
        <v>0.15089901156715288</v>
      </c>
      <c r="H28" s="112">
        <f t="shared" ref="H28:P28" si="6">H27/H12</f>
        <v>0.15153297001340085</v>
      </c>
      <c r="I28" s="112">
        <f t="shared" si="6"/>
        <v>7.9595370996633052E-2</v>
      </c>
      <c r="J28" s="112">
        <f t="shared" si="6"/>
        <v>9.5457727703486275E-2</v>
      </c>
      <c r="K28" s="118">
        <f t="shared" si="6"/>
        <v>5.4988910211945109E-2</v>
      </c>
      <c r="L28" s="112">
        <f t="shared" si="6"/>
        <v>8.0000000000000029E-2</v>
      </c>
      <c r="M28" s="112">
        <f t="shared" si="6"/>
        <v>9.9999999999999908E-2</v>
      </c>
      <c r="N28" s="112">
        <f t="shared" si="6"/>
        <v>0.1099999999999999</v>
      </c>
      <c r="O28" s="112">
        <f t="shared" si="6"/>
        <v>0.17</v>
      </c>
      <c r="P28" s="112">
        <f t="shared" si="6"/>
        <v>0.18</v>
      </c>
    </row>
    <row r="29" spans="3:17" ht="5.0999999999999996" customHeight="1" x14ac:dyDescent="0.25">
      <c r="E29" s="122"/>
      <c r="K29" s="106"/>
    </row>
    <row r="30" spans="3:17" x14ac:dyDescent="0.25">
      <c r="C30" s="100" t="s">
        <v>519</v>
      </c>
      <c r="D30" s="100"/>
      <c r="E30" s="123" t="s">
        <v>528</v>
      </c>
      <c r="F30" s="100"/>
      <c r="G30" s="114" cm="1">
        <f t="array" ref="G30">INDEX(model!$N11:$AZ11,,MATCH('Financial Output'!G$10,model!$N$2:$AZ$2,0))</f>
        <v>-31.003</v>
      </c>
      <c r="H30" s="114" cm="1">
        <f t="array" ref="H30">INDEX(model!$N11:$AZ11,,MATCH('Financial Output'!H$10,model!$N$2:$AZ$2,0))</f>
        <v>-32.604999999999997</v>
      </c>
      <c r="I30" s="114" cm="1">
        <f t="array" ref="I30">INDEX(model!$N11:$AZ11,,MATCH('Financial Output'!I$10,model!$N$2:$AZ$2,0))</f>
        <v>-40.302999999999997</v>
      </c>
      <c r="J30" s="114" cm="1">
        <f t="array" ref="J30">INDEX(model!$N11:$AZ11,,MATCH('Financial Output'!J$10,model!$N$2:$AZ$2,0))</f>
        <v>-33.891999999999996</v>
      </c>
      <c r="K30" s="116" cm="1">
        <f t="array" ref="K30">INDEX(model!$N11:$AZ11,,MATCH('Financial Output'!K$10,model!$N$2:$AZ$2,0))</f>
        <v>-46.767000000000003</v>
      </c>
      <c r="L30" s="114" cm="1">
        <f t="array" ref="L30">INDEX(model!$N11:$AZ11,,MATCH('Financial Output'!L$10,model!$N$2:$AZ$2,0))</f>
        <v>-38.460574346215502</v>
      </c>
      <c r="M30" s="114" cm="1">
        <f t="array" ref="M30">INDEX(model!$N11:$AZ11,,MATCH('Financial Output'!M$10,model!$N$2:$AZ$2,0))</f>
        <v>-36.3281919731768</v>
      </c>
      <c r="N30" s="114" cm="1">
        <f t="array" ref="N30">INDEX(model!$N11:$AZ11,,MATCH('Financial Output'!N$10,model!$N$2:$AZ$2,0))</f>
        <v>-28.363880677182884</v>
      </c>
      <c r="O30" s="114" cm="1">
        <f t="array" ref="O30">INDEX(model!$N11:$AZ11,,MATCH('Financial Output'!O$10,model!$N$2:$AZ$2,0))</f>
        <v>-13.773112778759483</v>
      </c>
      <c r="P30" s="114" cm="1">
        <f t="array" ref="P30">INDEX(model!$N11:$AZ11,,MATCH('Financial Output'!P$10,model!$N$2:$AZ$2,0))</f>
        <v>6.0653429250526898</v>
      </c>
    </row>
    <row r="31" spans="3:17" ht="5.0999999999999996" customHeight="1" x14ac:dyDescent="0.25">
      <c r="E31" s="122"/>
      <c r="K31" s="106"/>
    </row>
    <row r="32" spans="3:17" x14ac:dyDescent="0.25">
      <c r="C32" s="28" t="s">
        <v>520</v>
      </c>
      <c r="E32" s="122" t="s">
        <v>528</v>
      </c>
      <c r="G32" s="70">
        <f>G27+G30</f>
        <v>501.99600000000004</v>
      </c>
      <c r="H32" s="70">
        <f t="shared" ref="H32:P32" si="7">H27+H30</f>
        <v>516.04800000000023</v>
      </c>
      <c r="I32" s="70">
        <f t="shared" si="7"/>
        <v>248.84000000000003</v>
      </c>
      <c r="J32" s="70">
        <f t="shared" si="7"/>
        <v>384.83800000000002</v>
      </c>
      <c r="K32" s="119">
        <f t="shared" si="7"/>
        <v>174.01100000000008</v>
      </c>
      <c r="L32" s="70">
        <f t="shared" si="7"/>
        <v>327.70332165378466</v>
      </c>
      <c r="M32" s="70">
        <f t="shared" si="7"/>
        <v>467.14716502682285</v>
      </c>
      <c r="N32" s="70">
        <f t="shared" si="7"/>
        <v>575.30307236581666</v>
      </c>
      <c r="O32" s="70">
        <f t="shared" si="7"/>
        <v>1012.4607073943409</v>
      </c>
      <c r="P32" s="70">
        <f t="shared" si="7"/>
        <v>1201.3259099501931</v>
      </c>
    </row>
    <row r="33" spans="2:16" x14ac:dyDescent="0.25">
      <c r="C33" s="102" t="s">
        <v>521</v>
      </c>
      <c r="E33" s="122" t="s">
        <v>529</v>
      </c>
      <c r="G33" s="112">
        <f>G32/G12</f>
        <v>0.14212165540772961</v>
      </c>
      <c r="H33" s="112">
        <f t="shared" ref="H33:P33" si="8">H32/H12</f>
        <v>0.14252776547193852</v>
      </c>
      <c r="I33" s="112">
        <f t="shared" si="8"/>
        <v>6.8500749175329056E-2</v>
      </c>
      <c r="J33" s="112">
        <f t="shared" si="8"/>
        <v>8.7731380636577871E-2</v>
      </c>
      <c r="K33" s="118">
        <f t="shared" si="8"/>
        <v>4.334070992078369E-2</v>
      </c>
      <c r="L33" s="112">
        <f t="shared" si="8"/>
        <v>7.1597079937948796E-2</v>
      </c>
      <c r="M33" s="112">
        <f t="shared" si="8"/>
        <v>9.2784514382264552E-2</v>
      </c>
      <c r="N33" s="112">
        <f t="shared" si="8"/>
        <v>0.10483154269293264</v>
      </c>
      <c r="O33" s="112">
        <f t="shared" si="8"/>
        <v>0.16771842524933142</v>
      </c>
      <c r="P33" s="112">
        <f t="shared" si="8"/>
        <v>0.18091340897259478</v>
      </c>
    </row>
    <row r="34" spans="2:16" ht="5.0999999999999996" customHeight="1" x14ac:dyDescent="0.25">
      <c r="E34" s="122"/>
      <c r="K34" s="106"/>
    </row>
    <row r="35" spans="2:16" x14ac:dyDescent="0.25">
      <c r="C35" s="75" t="s">
        <v>522</v>
      </c>
      <c r="E35" s="122" t="s">
        <v>528</v>
      </c>
      <c r="G35" s="109" cm="1">
        <f t="array" ref="G35">INDEX(model!$N13:$AZ13,,MATCH('Financial Output'!G$10,model!$N$2:$AZ$2,0))</f>
        <v>-94.67</v>
      </c>
      <c r="H35" s="109" cm="1">
        <f t="array" ref="H35">INDEX(model!$N13:$AZ13,,MATCH('Financial Output'!H$10,model!$N$2:$AZ$2,0))</f>
        <v>37.445</v>
      </c>
      <c r="I35" s="109" cm="1">
        <f t="array" ref="I35">INDEX(model!$N13:$AZ13,,MATCH('Financial Output'!I$10,model!$N$2:$AZ$2,0))</f>
        <v>-29.603000000000002</v>
      </c>
      <c r="J35" s="109" cm="1">
        <f t="array" ref="J35">INDEX(model!$N13:$AZ13,,MATCH('Financial Output'!J$10,model!$N$2:$AZ$2,0))</f>
        <v>-68.825999999999993</v>
      </c>
      <c r="K35" s="110" cm="1">
        <f t="array" ref="K35">INDEX(model!$N13:$AZ13,,MATCH('Financial Output'!K$10,model!$N$2:$AZ$2,0))</f>
        <v>-35.893999999999998</v>
      </c>
      <c r="L35" s="109" cm="1">
        <f t="array" ref="L35">INDEX(model!$N13:$AZ13,,MATCH('Financial Output'!L$10,model!$N$2:$AZ$2,0))</f>
        <v>-81.925830413446135</v>
      </c>
      <c r="M35" s="109" cm="1">
        <f t="array" ref="M35">INDEX(model!$N13:$AZ13,,MATCH('Financial Output'!M$10,model!$N$2:$AZ$2,0))</f>
        <v>-116.7867912567057</v>
      </c>
      <c r="N35" s="109" cm="1">
        <f t="array" ref="N35">INDEX(model!$N13:$AZ13,,MATCH('Financial Output'!N$10,model!$N$2:$AZ$2,0))</f>
        <v>-143.82576809145419</v>
      </c>
      <c r="O35" s="109" cm="1">
        <f t="array" ref="O35">INDEX(model!$N13:$AZ13,,MATCH('Financial Output'!O$10,model!$N$2:$AZ$2,0))</f>
        <v>-253.11517684858518</v>
      </c>
      <c r="P35" s="109" cm="1">
        <f t="array" ref="P35">INDEX(model!$N13:$AZ13,,MATCH('Financial Output'!P$10,model!$N$2:$AZ$2,0))</f>
        <v>-300.33147748754817</v>
      </c>
    </row>
    <row r="36" spans="2:16" x14ac:dyDescent="0.25">
      <c r="C36" s="103" t="s">
        <v>523</v>
      </c>
      <c r="D36" s="100"/>
      <c r="E36" s="126" t="s">
        <v>529</v>
      </c>
      <c r="F36" s="100"/>
      <c r="G36" s="115">
        <f>-G35/G32</f>
        <v>0.18858716005705223</v>
      </c>
      <c r="H36" s="115">
        <f t="shared" ref="H36:P36" si="9">-H35/H32</f>
        <v>-7.2561079589495522E-2</v>
      </c>
      <c r="I36" s="115">
        <f t="shared" si="9"/>
        <v>0.11896399292718211</v>
      </c>
      <c r="J36" s="115">
        <f t="shared" si="9"/>
        <v>0.17884408504357674</v>
      </c>
      <c r="K36" s="120">
        <f t="shared" si="9"/>
        <v>0.20627431599151766</v>
      </c>
      <c r="L36" s="115">
        <f t="shared" si="9"/>
        <v>0.24999999999999992</v>
      </c>
      <c r="M36" s="115">
        <f t="shared" si="9"/>
        <v>0.24999999999999997</v>
      </c>
      <c r="N36" s="115">
        <f t="shared" si="9"/>
        <v>0.25000000000000006</v>
      </c>
      <c r="O36" s="115">
        <f t="shared" si="9"/>
        <v>0.24999999999999994</v>
      </c>
      <c r="P36" s="115">
        <f t="shared" si="9"/>
        <v>0.24999999999999992</v>
      </c>
    </row>
    <row r="37" spans="2:16" ht="5.0999999999999996" customHeight="1" x14ac:dyDescent="0.25">
      <c r="E37" s="122"/>
      <c r="K37" s="106"/>
    </row>
    <row r="38" spans="2:16" x14ac:dyDescent="0.25">
      <c r="C38" s="28" t="s">
        <v>7</v>
      </c>
      <c r="E38" s="122" t="s">
        <v>528</v>
      </c>
      <c r="G38" s="70">
        <f>G32+G35</f>
        <v>407.32600000000002</v>
      </c>
      <c r="H38" s="70">
        <f t="shared" ref="H38:P38" si="10">H32+H35</f>
        <v>553.49300000000028</v>
      </c>
      <c r="I38" s="70">
        <f t="shared" si="10"/>
        <v>219.23700000000002</v>
      </c>
      <c r="J38" s="70">
        <f t="shared" si="10"/>
        <v>316.01200000000006</v>
      </c>
      <c r="K38" s="119">
        <f t="shared" si="10"/>
        <v>138.11700000000008</v>
      </c>
      <c r="L38" s="70">
        <f t="shared" si="10"/>
        <v>245.77749124033852</v>
      </c>
      <c r="M38" s="70">
        <f t="shared" si="10"/>
        <v>350.36037377011712</v>
      </c>
      <c r="N38" s="70">
        <f t="shared" si="10"/>
        <v>431.4773042743625</v>
      </c>
      <c r="O38" s="70">
        <f t="shared" si="10"/>
        <v>759.34553054575576</v>
      </c>
      <c r="P38" s="70">
        <f t="shared" si="10"/>
        <v>900.99443246264491</v>
      </c>
    </row>
    <row r="39" spans="2:16" x14ac:dyDescent="0.25">
      <c r="C39" s="102" t="s">
        <v>524</v>
      </c>
      <c r="E39" s="122"/>
      <c r="G39" s="112">
        <f>G38/G12</f>
        <v>0.11531933603177888</v>
      </c>
      <c r="H39" s="112">
        <f t="shared" ref="H39:P39" si="11">H38/H12</f>
        <v>0.1528697340060608</v>
      </c>
      <c r="I39" s="112">
        <f t="shared" si="11"/>
        <v>6.0351626534928531E-2</v>
      </c>
      <c r="J39" s="112">
        <f t="shared" si="11"/>
        <v>7.2041142137019343E-2</v>
      </c>
      <c r="K39" s="118">
        <f t="shared" si="11"/>
        <v>3.4400634627287249E-2</v>
      </c>
      <c r="L39" s="112">
        <f t="shared" si="11"/>
        <v>5.3697809953461607E-2</v>
      </c>
      <c r="M39" s="112">
        <f t="shared" si="11"/>
        <v>6.9588385786698403E-2</v>
      </c>
      <c r="N39" s="112">
        <f t="shared" si="11"/>
        <v>7.8623657019699478E-2</v>
      </c>
      <c r="O39" s="112">
        <f t="shared" si="11"/>
        <v>0.12578881893699859</v>
      </c>
      <c r="P39" s="112">
        <f t="shared" si="11"/>
        <v>0.13568505672944609</v>
      </c>
    </row>
    <row r="40" spans="2:16" x14ac:dyDescent="0.25">
      <c r="K40" s="107"/>
    </row>
    <row r="41" spans="2:16" x14ac:dyDescent="0.25">
      <c r="C41" s="104" t="s">
        <v>525</v>
      </c>
      <c r="D41" s="105"/>
      <c r="E41" s="128" t="s">
        <v>530</v>
      </c>
      <c r="F41" s="129"/>
      <c r="G41" s="130" cm="1">
        <f t="array" ref="G41">INDEX(model!$N16:$AZ16,,MATCH('Financial Output'!G$10,model!$N$2:$AZ$2,0))</f>
        <v>155.95500000000001</v>
      </c>
      <c r="H41" s="130" cm="1">
        <f t="array" ref="H41">INDEX(model!$N16:$AZ16,,MATCH('Financial Output'!H$10,model!$N$2:$AZ$2,0))</f>
        <v>156.74299999999999</v>
      </c>
      <c r="I41" s="130" cm="1">
        <f t="array" ref="I41">INDEX(model!$N16:$AZ16,,MATCH('Financial Output'!I$10,model!$N$2:$AZ$2,0))</f>
        <v>152.19300000000001</v>
      </c>
      <c r="J41" s="130" cm="1">
        <f t="array" ref="J41">INDEX(model!$N16:$AZ16,,MATCH('Financial Output'!J$10,model!$N$2:$AZ$2,0))</f>
        <v>149.38</v>
      </c>
      <c r="K41" s="131" cm="1">
        <f t="array" ref="K41">INDEX(model!$N16:$AZ16,,MATCH('Financial Output'!K$10,model!$N$2:$AZ$2,0))</f>
        <v>145.964</v>
      </c>
      <c r="L41" s="130" cm="1">
        <f t="array" ref="L41">INDEX(model!$N16:$AZ16,,MATCH('Financial Output'!L$10,model!$N$2:$AZ$2,0))</f>
        <v>146</v>
      </c>
      <c r="M41" s="130" cm="1">
        <f t="array" ref="M41">INDEX(model!$N16:$AZ16,,MATCH('Financial Output'!M$10,model!$N$2:$AZ$2,0))</f>
        <v>146</v>
      </c>
      <c r="N41" s="130" cm="1">
        <f t="array" ref="N41">INDEX(model!$N16:$AZ16,,MATCH('Financial Output'!N$10,model!$N$2:$AZ$2,0))</f>
        <v>146</v>
      </c>
      <c r="O41" s="130" cm="1">
        <f t="array" ref="O41">INDEX(model!$N16:$AZ16,,MATCH('Financial Output'!O$10,model!$N$2:$AZ$2,0))</f>
        <v>146</v>
      </c>
      <c r="P41" s="132" cm="1">
        <f t="array" ref="P41">INDEX(model!$N16:$AZ16,,MATCH('Financial Output'!P$10,model!$N$2:$AZ$2,0))</f>
        <v>146</v>
      </c>
    </row>
    <row r="42" spans="2:16" ht="5.0999999999999996" customHeight="1" x14ac:dyDescent="0.25">
      <c r="C42" s="28"/>
      <c r="E42" s="28"/>
      <c r="F42" s="28"/>
      <c r="G42" s="28"/>
      <c r="H42" s="28"/>
      <c r="I42" s="28"/>
      <c r="J42" s="28"/>
      <c r="K42" s="133"/>
      <c r="L42" s="28"/>
      <c r="M42" s="28"/>
      <c r="N42" s="28"/>
      <c r="O42" s="28"/>
      <c r="P42" s="28"/>
    </row>
    <row r="43" spans="2:16" x14ac:dyDescent="0.25">
      <c r="C43" s="104" t="s">
        <v>526</v>
      </c>
      <c r="D43" s="105"/>
      <c r="E43" s="128" t="s">
        <v>531</v>
      </c>
      <c r="F43" s="129"/>
      <c r="G43" s="134">
        <f>G38/G41</f>
        <v>2.6118175114616395</v>
      </c>
      <c r="H43" s="134">
        <f t="shared" ref="H43:P43" si="12">H38/H41</f>
        <v>3.5312135151171042</v>
      </c>
      <c r="I43" s="134">
        <f t="shared" si="12"/>
        <v>1.4405196033983168</v>
      </c>
      <c r="J43" s="134">
        <f t="shared" si="12"/>
        <v>2.1154906948721388</v>
      </c>
      <c r="K43" s="135">
        <f t="shared" si="12"/>
        <v>0.94624016880874784</v>
      </c>
      <c r="L43" s="134">
        <f t="shared" si="12"/>
        <v>1.683407474248894</v>
      </c>
      <c r="M43" s="134">
        <f t="shared" si="12"/>
        <v>2.3997285874665555</v>
      </c>
      <c r="N43" s="134">
        <f t="shared" si="12"/>
        <v>2.9553240018791951</v>
      </c>
      <c r="O43" s="134">
        <f t="shared" si="12"/>
        <v>5.2009967845599707</v>
      </c>
      <c r="P43" s="136">
        <f t="shared" si="12"/>
        <v>6.1711947428948282</v>
      </c>
    </row>
    <row r="44" spans="2:16" x14ac:dyDescent="0.25">
      <c r="E44" s="28"/>
      <c r="F44" s="28"/>
      <c r="G44" s="28"/>
      <c r="H44" s="28"/>
      <c r="I44" s="28"/>
      <c r="J44" s="28"/>
      <c r="K44" s="133"/>
      <c r="L44" s="28"/>
      <c r="M44" s="28"/>
      <c r="N44" s="28"/>
      <c r="O44" s="28"/>
      <c r="P44" s="28"/>
    </row>
    <row r="45" spans="2:16" x14ac:dyDescent="0.25">
      <c r="C45" s="104" t="s">
        <v>527</v>
      </c>
      <c r="D45" s="105"/>
      <c r="E45" s="128" t="s">
        <v>532</v>
      </c>
      <c r="F45" s="129"/>
      <c r="G45" s="129"/>
      <c r="H45" s="129"/>
      <c r="I45" s="129"/>
      <c r="J45" s="129"/>
      <c r="K45" s="137"/>
      <c r="L45" s="129"/>
      <c r="M45" s="129"/>
      <c r="N45" s="129"/>
      <c r="O45" s="129"/>
      <c r="P45" s="138"/>
    </row>
    <row r="46" spans="2:16" ht="5.0999999999999996" customHeight="1" x14ac:dyDescent="0.25"/>
    <row r="47" spans="2:16" x14ac:dyDescent="0.25">
      <c r="B47" s="95">
        <v>2</v>
      </c>
      <c r="C47" s="95" t="s">
        <v>8</v>
      </c>
      <c r="D47" s="95"/>
      <c r="E47" s="101" t="s">
        <v>32</v>
      </c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</row>
    <row r="48" spans="2:16" ht="5.0999999999999996" customHeight="1" x14ac:dyDescent="0.25"/>
    <row r="49" spans="3:17" x14ac:dyDescent="0.25">
      <c r="C49" s="97" t="s">
        <v>510</v>
      </c>
      <c r="D49" s="97"/>
      <c r="E49" s="97"/>
      <c r="F49" s="97"/>
      <c r="G49" s="98">
        <f t="shared" ref="G49" si="13">H49-1</f>
        <v>2020</v>
      </c>
      <c r="H49" s="98">
        <f t="shared" ref="H49" si="14">I49-1</f>
        <v>2021</v>
      </c>
      <c r="I49" s="98">
        <f t="shared" ref="I49" si="15">J49-1</f>
        <v>2022</v>
      </c>
      <c r="J49" s="98">
        <f t="shared" ref="J49" si="16">K49-1</f>
        <v>2023</v>
      </c>
      <c r="K49" s="98">
        <f>L49-1</f>
        <v>2024</v>
      </c>
      <c r="L49" s="99">
        <f>estimate_start</f>
        <v>2025</v>
      </c>
      <c r="M49" s="99">
        <f>+L49+1</f>
        <v>2026</v>
      </c>
      <c r="N49" s="99">
        <f t="shared" ref="N49" si="17">+M49+1</f>
        <v>2027</v>
      </c>
      <c r="O49" s="99">
        <f t="shared" ref="O49" si="18">+N49+1</f>
        <v>2028</v>
      </c>
      <c r="P49" s="99">
        <f t="shared" ref="P49" si="19">+O49+1</f>
        <v>2029</v>
      </c>
    </row>
    <row r="50" spans="3:17" customFormat="1" ht="5.0999999999999996" customHeight="1" x14ac:dyDescent="0.25"/>
    <row r="51" spans="3:17" x14ac:dyDescent="0.25">
      <c r="C51" s="55" t="s">
        <v>533</v>
      </c>
      <c r="K51" s="140"/>
    </row>
    <row r="52" spans="3:17" x14ac:dyDescent="0.25">
      <c r="C52" s="121" t="s">
        <v>534</v>
      </c>
      <c r="E52" s="122" t="s">
        <v>528</v>
      </c>
      <c r="G52" s="109" cm="1">
        <f t="array" ref="G52">INDEX(model!$N23:$AZ23,,MATCH('Financial Output'!G$10,model!$N$2:$AZ$2,0))</f>
        <v>1239.2909999999999</v>
      </c>
      <c r="H52" s="109" cm="1">
        <f t="array" ref="H52">INDEX(model!$N23:$AZ23,,MATCH('Financial Output'!H$10,model!$N$2:$AZ$2,0))</f>
        <v>1604.029</v>
      </c>
      <c r="I52" s="109" cm="1">
        <f t="array" ref="I52">INDEX(model!$N23:$AZ23,,MATCH('Financial Output'!I$10,model!$N$2:$AZ$2,0))</f>
        <v>1148.3409999999999</v>
      </c>
      <c r="J52" s="109" cm="1">
        <f t="array" ref="J52">INDEX(model!$N23:$AZ23,,MATCH('Financial Output'!J$10,model!$N$2:$AZ$2,0))</f>
        <v>1115.3710000000001</v>
      </c>
      <c r="K52" s="110" cm="1">
        <f t="array" ref="K52">INDEX(model!$N23:$AZ23,,MATCH('Financial Output'!K$10,model!$N$2:$AZ$2,0))</f>
        <v>1251.2060000000001</v>
      </c>
      <c r="L52" s="109" cm="1">
        <f t="array" ref="L52">INDEX(model!$N23:$AZ23,,MATCH('Financial Output'!L$10,model!$N$2:$AZ$2,0))</f>
        <v>1283.1276084566668</v>
      </c>
      <c r="M52" s="109" cm="1">
        <f t="array" ref="M52">INDEX(model!$N23:$AZ23,,MATCH('Financial Output'!M$10,model!$N$2:$AZ$2,0))</f>
        <v>1426.7347740923335</v>
      </c>
      <c r="N52" s="109" cm="1">
        <f t="array" ref="N52">INDEX(model!$N23:$AZ23,,MATCH('Financial Output'!N$10,model!$N$2:$AZ$2,0))</f>
        <v>1744.4763298852104</v>
      </c>
      <c r="O52" s="109" cm="1">
        <f t="array" ref="O52">INDEX(model!$N23:$AZ23,,MATCH('Financial Output'!O$10,model!$N$2:$AZ$2,0))</f>
        <v>2210.4319409709983</v>
      </c>
      <c r="P52" s="109" cm="1">
        <f t="array" ref="P52">INDEX(model!$N23:$AZ23,,MATCH('Financial Output'!P$10,model!$N$2:$AZ$2,0))</f>
        <v>2747.6959795170178</v>
      </c>
    </row>
    <row r="53" spans="3:17" x14ac:dyDescent="0.25">
      <c r="C53" s="121" t="s">
        <v>535</v>
      </c>
      <c r="E53" s="122" t="s">
        <v>528</v>
      </c>
      <c r="G53" s="109" cm="1">
        <f t="array" ref="G53">INDEX(model!$N24:$AZ24,,MATCH('Financial Output'!G$10,model!$N$2:$AZ$2,0))</f>
        <v>719.40499999999997</v>
      </c>
      <c r="H53" s="109" cm="1">
        <f t="array" ref="H53">INDEX(model!$N24:$AZ24,,MATCH('Financial Output'!H$10,model!$N$2:$AZ$2,0))</f>
        <v>884.95799999999997</v>
      </c>
      <c r="I53" s="109" cm="1">
        <f t="array" ref="I53">INDEX(model!$N24:$AZ24,,MATCH('Financial Output'!I$10,model!$N$2:$AZ$2,0))</f>
        <v>920.77200000000005</v>
      </c>
      <c r="J53" s="109" cm="1">
        <f t="array" ref="J53">INDEX(model!$N24:$AZ24,,MATCH('Financial Output'!J$10,model!$N$2:$AZ$2,0))</f>
        <v>1003.876</v>
      </c>
      <c r="K53" s="110" cm="1">
        <f t="array" ref="K53">INDEX(model!$N24:$AZ24,,MATCH('Financial Output'!K$10,model!$N$2:$AZ$2,0))</f>
        <v>908.59699999999998</v>
      </c>
      <c r="L53" s="109" cm="1">
        <f t="array" ref="L53">INDEX(model!$N24:$AZ24,,MATCH('Financial Output'!L$10,model!$N$2:$AZ$2,0))</f>
        <v>1144.2621750000001</v>
      </c>
      <c r="M53" s="109" cm="1">
        <f t="array" ref="M53">INDEX(model!$N24:$AZ24,,MATCH('Financial Output'!M$10,model!$N$2:$AZ$2,0))</f>
        <v>1195.753972875</v>
      </c>
      <c r="N53" s="109" cm="1">
        <f t="array" ref="N53">INDEX(model!$N24:$AZ24,,MATCH('Financial Output'!N$10,model!$N$2:$AZ$2,0))</f>
        <v>1238.2032389120627</v>
      </c>
      <c r="O53" s="109" cm="1">
        <f t="array" ref="O53">INDEX(model!$N24:$AZ24,,MATCH('Financial Output'!O$10,model!$N$2:$AZ$2,0))</f>
        <v>1293.9223846631055</v>
      </c>
      <c r="P53" s="109" cm="1">
        <f t="array" ref="P53">INDEX(model!$N24:$AZ24,,MATCH('Financial Output'!P$10,model!$N$2:$AZ$2,0))</f>
        <v>1352.1488919729454</v>
      </c>
    </row>
    <row r="54" spans="3:17" s="3" customFormat="1" ht="12" x14ac:dyDescent="0.2">
      <c r="C54" s="102" t="s">
        <v>549</v>
      </c>
      <c r="E54" s="124"/>
      <c r="G54" s="112">
        <f>G53/G12</f>
        <v>0.20367299641550474</v>
      </c>
      <c r="H54" s="112">
        <f t="shared" ref="H54:P54" si="20">H53/H12</f>
        <v>0.24441735318519925</v>
      </c>
      <c r="I54" s="112">
        <f t="shared" si="20"/>
        <v>0.25347038988774345</v>
      </c>
      <c r="J54" s="112">
        <f t="shared" si="20"/>
        <v>0.22885325115483721</v>
      </c>
      <c r="K54" s="118">
        <f t="shared" si="20"/>
        <v>0.2263031590640493</v>
      </c>
      <c r="L54" s="112">
        <f t="shared" si="20"/>
        <v>0.25</v>
      </c>
      <c r="M54" s="112">
        <f t="shared" si="20"/>
        <v>0.23749999999999996</v>
      </c>
      <c r="N54" s="112">
        <f t="shared" si="20"/>
        <v>0.22562499999999999</v>
      </c>
      <c r="O54" s="112">
        <f t="shared" si="20"/>
        <v>0.21434374999999997</v>
      </c>
      <c r="P54" s="112">
        <f t="shared" si="20"/>
        <v>0.20362656249999997</v>
      </c>
      <c r="Q54" s="139"/>
    </row>
    <row r="55" spans="3:17" ht="5.0999999999999996" customHeight="1" x14ac:dyDescent="0.25">
      <c r="C55" s="102"/>
      <c r="E55" s="122"/>
      <c r="G55" s="112"/>
      <c r="H55" s="112"/>
      <c r="I55" s="112"/>
      <c r="J55" s="112"/>
      <c r="K55" s="118"/>
      <c r="L55" s="112"/>
      <c r="M55" s="112"/>
      <c r="N55" s="112"/>
      <c r="O55" s="112"/>
      <c r="P55" s="112"/>
    </row>
    <row r="56" spans="3:17" x14ac:dyDescent="0.25">
      <c r="C56" s="121" t="s">
        <v>536</v>
      </c>
      <c r="E56" s="122" t="s">
        <v>528</v>
      </c>
      <c r="G56" s="109" cm="1">
        <f t="array" ref="G56">INDEX(model!$N25:$AZ25,,MATCH('Financial Output'!G$10,model!$N$2:$AZ$2,0))</f>
        <v>344.37900000000002</v>
      </c>
      <c r="H56" s="109" cm="1">
        <f t="array" ref="H56">INDEX(model!$N25:$AZ25,,MATCH('Financial Output'!H$10,model!$N$2:$AZ$2,0))</f>
        <v>374.26499999999999</v>
      </c>
      <c r="I56" s="109" cm="1">
        <f t="array" ref="I56">INDEX(model!$N25:$AZ25,,MATCH('Financial Output'!I$10,model!$N$2:$AZ$2,0))</f>
        <v>946.73</v>
      </c>
      <c r="J56" s="109" cm="1">
        <f t="array" ref="J56">INDEX(model!$N25:$AZ25,,MATCH('Financial Output'!J$10,model!$N$2:$AZ$2,0))</f>
        <v>1050.838</v>
      </c>
      <c r="K56" s="110" cm="1">
        <f t="array" ref="K56">INDEX(model!$N25:$AZ25,,MATCH('Financial Output'!K$10,model!$N$2:$AZ$2,0))</f>
        <v>820.43</v>
      </c>
      <c r="L56" s="109" cm="1">
        <f t="array" ref="L56">INDEX(model!$N25:$AZ25,,MATCH('Financial Output'!L$10,model!$N$2:$AZ$2,0))</f>
        <v>915.40974000000006</v>
      </c>
      <c r="M56" s="109" cm="1">
        <f t="array" ref="M56">INDEX(model!$N25:$AZ25,,MATCH('Financial Output'!M$10,model!$N$2:$AZ$2,0))</f>
        <v>1006.9507140000002</v>
      </c>
      <c r="N56" s="109" cm="1">
        <f t="array" ref="N56">INDEX(model!$N25:$AZ25,,MATCH('Financial Output'!N$10,model!$N$2:$AZ$2,0))</f>
        <v>1097.5762782600002</v>
      </c>
      <c r="O56" s="109" cm="1">
        <f t="array" ref="O56">INDEX(model!$N25:$AZ25,,MATCH('Financial Output'!O$10,model!$N$2:$AZ$2,0))</f>
        <v>1207.3339060860005</v>
      </c>
      <c r="P56" s="109" cm="1">
        <f t="array" ref="P56">INDEX(model!$N25:$AZ25,,MATCH('Financial Output'!P$10,model!$N$2:$AZ$2,0))</f>
        <v>1328.0672966946006</v>
      </c>
    </row>
    <row r="57" spans="3:17" x14ac:dyDescent="0.25">
      <c r="C57" s="127" t="s">
        <v>543</v>
      </c>
      <c r="D57" s="100"/>
      <c r="E57" s="123" t="s">
        <v>528</v>
      </c>
      <c r="F57" s="100"/>
      <c r="G57" s="114" cm="1">
        <f t="array" ref="G57">INDEX(model!$N26:$AZ26,,MATCH('Financial Output'!G$10,model!$N$2:$AZ$2,0))</f>
        <v>308.084</v>
      </c>
      <c r="H57" s="114" cm="1">
        <f t="array" ref="H57">INDEX(model!$N26:$AZ26,,MATCH('Financial Output'!H$10,model!$N$2:$AZ$2,0))</f>
        <v>325.654</v>
      </c>
      <c r="I57" s="114" cm="1">
        <f t="array" ref="I57">INDEX(model!$N26:$AZ26,,MATCH('Financial Output'!I$10,model!$N$2:$AZ$2,0))</f>
        <v>370.053</v>
      </c>
      <c r="J57" s="114" cm="1">
        <f t="array" ref="J57">INDEX(model!$N26:$AZ26,,MATCH('Financial Output'!J$10,model!$N$2:$AZ$2,0))</f>
        <v>405.69400000000002</v>
      </c>
      <c r="K57" s="116" cm="1">
        <f t="array" ref="K57">INDEX(model!$N26:$AZ26,,MATCH('Financial Output'!K$10,model!$N$2:$AZ$2,0))</f>
        <v>564.18299999999999</v>
      </c>
      <c r="L57" s="114" cm="1">
        <f t="array" ref="L57">INDEX(model!$N26:$AZ26,,MATCH('Financial Output'!L$10,model!$N$2:$AZ$2,0))</f>
        <v>643.43465075756956</v>
      </c>
      <c r="M57" s="114" cm="1">
        <f t="array" ref="M57">INDEX(model!$N26:$AZ26,,MATCH('Financial Output'!M$10,model!$N$2:$AZ$2,0))</f>
        <v>707.77811583332652</v>
      </c>
      <c r="N57" s="114" cm="1">
        <f t="array" ref="N57">INDEX(model!$N26:$AZ26,,MATCH('Financial Output'!N$10,model!$N$2:$AZ$2,0))</f>
        <v>771.47814625832598</v>
      </c>
      <c r="O57" s="114" cm="1">
        <f t="array" ref="O57">INDEX(model!$N26:$AZ26,,MATCH('Financial Output'!O$10,model!$N$2:$AZ$2,0))</f>
        <v>848.62596088415864</v>
      </c>
      <c r="P57" s="114" cm="1">
        <f t="array" ref="P57">INDEX(model!$N26:$AZ26,,MATCH('Financial Output'!P$10,model!$N$2:$AZ$2,0))</f>
        <v>933.48855697257466</v>
      </c>
    </row>
    <row r="58" spans="3:17" ht="5.0999999999999996" customHeight="1" x14ac:dyDescent="0.25">
      <c r="K58" s="140"/>
    </row>
    <row r="59" spans="3:17" x14ac:dyDescent="0.25">
      <c r="C59" s="28" t="s">
        <v>537</v>
      </c>
      <c r="E59" s="125" t="s">
        <v>528</v>
      </c>
      <c r="G59" s="70">
        <f>G52+G53+G56+G57</f>
        <v>2611.1589999999997</v>
      </c>
      <c r="H59" s="70">
        <f t="shared" ref="H59:P59" si="21">H52+H53+H56+H57</f>
        <v>3188.9059999999999</v>
      </c>
      <c r="I59" s="70">
        <f t="shared" si="21"/>
        <v>3385.8959999999997</v>
      </c>
      <c r="J59" s="70">
        <f t="shared" si="21"/>
        <v>3575.779</v>
      </c>
      <c r="K59" s="119">
        <f t="shared" si="21"/>
        <v>3544.4159999999997</v>
      </c>
      <c r="L59" s="70">
        <f t="shared" si="21"/>
        <v>3986.2341742142366</v>
      </c>
      <c r="M59" s="70">
        <f t="shared" si="21"/>
        <v>4337.21757680066</v>
      </c>
      <c r="N59" s="70">
        <f t="shared" si="21"/>
        <v>4851.733993315599</v>
      </c>
      <c r="O59" s="70">
        <f t="shared" si="21"/>
        <v>5560.3141926042626</v>
      </c>
      <c r="P59" s="70">
        <f t="shared" si="21"/>
        <v>6361.4007251571384</v>
      </c>
    </row>
    <row r="60" spans="3:17" ht="5.0999999999999996" customHeight="1" x14ac:dyDescent="0.25">
      <c r="K60" s="140"/>
    </row>
    <row r="61" spans="3:17" x14ac:dyDescent="0.25">
      <c r="C61" s="55" t="s">
        <v>538</v>
      </c>
      <c r="K61" s="140"/>
    </row>
    <row r="62" spans="3:17" x14ac:dyDescent="0.25">
      <c r="C62" s="121" t="s">
        <v>425</v>
      </c>
      <c r="E62" s="122" t="s">
        <v>528</v>
      </c>
      <c r="G62" s="109" cm="1">
        <f t="array" ref="G62">INDEX(model!$N27:$AZ27,,MATCH('Financial Output'!G$10,model!$N$2:$AZ$2,0))</f>
        <v>82.225999999999999</v>
      </c>
      <c r="H62" s="109" cm="1">
        <f t="array" ref="H62">INDEX(model!$N27:$AZ27,,MATCH('Financial Output'!H$10,model!$N$2:$AZ$2,0))</f>
        <v>70.037999999999997</v>
      </c>
      <c r="I62" s="109" cm="1">
        <f t="array" ref="I62">INDEX(model!$N27:$AZ27,,MATCH('Financial Output'!I$10,model!$N$2:$AZ$2,0))</f>
        <v>35.384999999999998</v>
      </c>
      <c r="J62" s="109" cm="1">
        <f t="array" ref="J62">INDEX(model!$N27:$AZ27,,MATCH('Financial Output'!J$10,model!$N$2:$AZ$2,0))</f>
        <v>134.27799999999999</v>
      </c>
      <c r="K62" s="110" cm="1">
        <f t="array" ref="K62">INDEX(model!$N27:$AZ27,,MATCH('Financial Output'!K$10,model!$N$2:$AZ$2,0))</f>
        <v>80.92</v>
      </c>
      <c r="L62" s="109" cm="1">
        <f t="array" ref="L62">INDEX(model!$N27:$AZ27,,MATCH('Financial Output'!L$10,model!$N$2:$AZ$2,0))</f>
        <v>81</v>
      </c>
      <c r="M62" s="109" cm="1">
        <f t="array" ref="M62">INDEX(model!$N27:$AZ27,,MATCH('Financial Output'!M$10,model!$N$2:$AZ$2,0))</f>
        <v>81</v>
      </c>
      <c r="N62" s="109" cm="1">
        <f t="array" ref="N62">INDEX(model!$N27:$AZ27,,MATCH('Financial Output'!N$10,model!$N$2:$AZ$2,0))</f>
        <v>81</v>
      </c>
      <c r="O62" s="109" cm="1">
        <f t="array" ref="O62">INDEX(model!$N27:$AZ27,,MATCH('Financial Output'!O$10,model!$N$2:$AZ$2,0))</f>
        <v>81</v>
      </c>
      <c r="P62" s="109" cm="1">
        <f t="array" ref="P62">INDEX(model!$N27:$AZ27,,MATCH('Financial Output'!P$10,model!$N$2:$AZ$2,0))</f>
        <v>81</v>
      </c>
    </row>
    <row r="63" spans="3:17" ht="5.0999999999999996" customHeight="1" x14ac:dyDescent="0.25">
      <c r="C63" s="121"/>
      <c r="K63" s="140"/>
    </row>
    <row r="64" spans="3:17" x14ac:dyDescent="0.25">
      <c r="C64" s="121" t="s">
        <v>10</v>
      </c>
      <c r="E64" s="122" t="s">
        <v>528</v>
      </c>
      <c r="G64" s="109" cm="1">
        <f t="array" ref="G64">INDEX(model!$N29:$AZ29,,MATCH('Financial Output'!G$10,model!$N$2:$AZ$2,0))</f>
        <v>57.026000000000003</v>
      </c>
      <c r="H64" s="109" cm="1">
        <f t="array" ref="H64">INDEX(model!$N29:$AZ29,,MATCH('Financial Output'!H$10,model!$N$2:$AZ$2,0))</f>
        <v>44.284999999999997</v>
      </c>
      <c r="I64" s="109" cm="1">
        <f t="array" ref="I64">INDEX(model!$N29:$AZ29,,MATCH('Financial Output'!I$10,model!$N$2:$AZ$2,0))</f>
        <v>45.107999999999997</v>
      </c>
      <c r="J64" s="109" cm="1">
        <f t="array" ref="J64">INDEX(model!$N29:$AZ29,,MATCH('Financial Output'!J$10,model!$N$2:$AZ$2,0))</f>
        <v>35.14</v>
      </c>
      <c r="K64" s="110" cm="1">
        <f t="array" ref="K64">INDEX(model!$N29:$AZ29,,MATCH('Financial Output'!K$10,model!$N$2:$AZ$2,0))</f>
        <v>27.417000000000002</v>
      </c>
      <c r="L64" s="109" cm="1">
        <f t="array" ref="L64">INDEX(model!$N29:$AZ29,,MATCH('Financial Output'!L$10,model!$N$2:$AZ$2,0))</f>
        <v>35</v>
      </c>
      <c r="M64" s="109" cm="1">
        <f t="array" ref="M64">INDEX(model!$N29:$AZ29,,MATCH('Financial Output'!M$10,model!$N$2:$AZ$2,0))</f>
        <v>35</v>
      </c>
      <c r="N64" s="109" cm="1">
        <f t="array" ref="N64">INDEX(model!$N29:$AZ29,,MATCH('Financial Output'!N$10,model!$N$2:$AZ$2,0))</f>
        <v>35</v>
      </c>
      <c r="O64" s="109" cm="1">
        <f t="array" ref="O64">INDEX(model!$N29:$AZ29,,MATCH('Financial Output'!O$10,model!$N$2:$AZ$2,0))</f>
        <v>35</v>
      </c>
      <c r="P64" s="109" cm="1">
        <f t="array" ref="P64">INDEX(model!$N29:$AZ29,,MATCH('Financial Output'!P$10,model!$N$2:$AZ$2,0))</f>
        <v>35</v>
      </c>
    </row>
    <row r="65" spans="3:16" x14ac:dyDescent="0.25">
      <c r="C65" s="121" t="s">
        <v>539</v>
      </c>
      <c r="E65" s="122" t="s">
        <v>528</v>
      </c>
      <c r="G65" s="109" cm="1">
        <f t="array" ref="G65">INDEX(model!$N28:$AZ28,,MATCH('Financial Output'!G$10,model!$N$2:$AZ$2,0))</f>
        <v>272.37700000000001</v>
      </c>
      <c r="H65" s="109" cm="1">
        <f t="array" ref="H65">INDEX(model!$N28:$AZ28,,MATCH('Financial Output'!H$10,model!$N$2:$AZ$2,0))</f>
        <v>284.96800000000002</v>
      </c>
      <c r="I65" s="109" cm="1">
        <f t="array" ref="I65">INDEX(model!$N28:$AZ28,,MATCH('Financial Output'!I$10,model!$N$2:$AZ$2,0))</f>
        <v>267.779</v>
      </c>
      <c r="J65" s="109" cm="1">
        <f t="array" ref="J65">INDEX(model!$N28:$AZ28,,MATCH('Financial Output'!J$10,model!$N$2:$AZ$2,0))</f>
        <v>280.14699999999999</v>
      </c>
      <c r="K65" s="110" cm="1">
        <f t="array" ref="K65">INDEX(model!$N28:$AZ28,,MATCH('Financial Output'!K$10,model!$N$2:$AZ$2,0))</f>
        <v>337.72199999999998</v>
      </c>
      <c r="L65" s="109" cm="1">
        <f t="array" ref="L65">INDEX(model!$N28:$AZ28,,MATCH('Financial Output'!L$10,model!$N$2:$AZ$2,0))</f>
        <v>360.60724349999998</v>
      </c>
      <c r="M65" s="109" cm="1">
        <f t="array" ref="M65">INDEX(model!$N28:$AZ28,,MATCH('Financial Output'!M$10,model!$N$2:$AZ$2,0))</f>
        <v>410.95477920000002</v>
      </c>
      <c r="N65" s="109" cm="1">
        <f t="array" ref="N65">INDEX(model!$N28:$AZ28,,MATCH('Financial Output'!N$10,model!$N$2:$AZ$2,0))</f>
        <v>465.83359311300006</v>
      </c>
      <c r="O65" s="109" cm="1">
        <f t="array" ref="O65">INDEX(model!$N28:$AZ28,,MATCH('Financial Output'!O$10,model!$N$2:$AZ$2,0))</f>
        <v>526.20028841730004</v>
      </c>
      <c r="P65" s="109" cm="1">
        <f t="array" ref="P65">INDEX(model!$N28:$AZ28,,MATCH('Financial Output'!P$10,model!$N$2:$AZ$2,0))</f>
        <v>592.60365325202997</v>
      </c>
    </row>
    <row r="66" spans="3:16" ht="5.0999999999999996" customHeight="1" x14ac:dyDescent="0.25">
      <c r="K66" s="140"/>
    </row>
    <row r="67" spans="3:16" x14ac:dyDescent="0.25">
      <c r="C67" s="121" t="s">
        <v>540</v>
      </c>
      <c r="E67" s="122" t="s">
        <v>528</v>
      </c>
      <c r="G67" s="109" cm="1">
        <f t="array" ref="G67">INDEX(model!$N30:$AZ30,,MATCH('Financial Output'!G$10,model!$N$2:$AZ$2,0))</f>
        <v>310.84699999999998</v>
      </c>
      <c r="H67" s="109" cm="1">
        <f t="array" ref="H67">INDEX(model!$N30:$AZ30,,MATCH('Financial Output'!H$10,model!$N$2:$AZ$2,0))</f>
        <v>311.64499999999998</v>
      </c>
      <c r="I67" s="109" cm="1">
        <f t="array" ref="I67">INDEX(model!$N30:$AZ30,,MATCH('Financial Output'!I$10,model!$N$2:$AZ$2,0))</f>
        <v>328.322</v>
      </c>
      <c r="J67" s="109" cm="1">
        <f t="array" ref="J67">INDEX(model!$N30:$AZ30,,MATCH('Financial Output'!J$10,model!$N$2:$AZ$2,0))</f>
        <v>444.76499999999999</v>
      </c>
      <c r="K67" s="110" cm="1">
        <f t="array" ref="K67">INDEX(model!$N30:$AZ30,,MATCH('Financial Output'!K$10,model!$N$2:$AZ$2,0))</f>
        <v>444.70699999999999</v>
      </c>
      <c r="L67" s="109" cm="1">
        <f t="array" ref="L67">INDEX(model!$N30:$AZ30,,MATCH('Financial Output'!L$10,model!$N$2:$AZ$2,0))</f>
        <v>445</v>
      </c>
      <c r="M67" s="109" cm="1">
        <f t="array" ref="M67">INDEX(model!$N30:$AZ30,,MATCH('Financial Output'!M$10,model!$N$2:$AZ$2,0))</f>
        <v>445</v>
      </c>
      <c r="N67" s="109" cm="1">
        <f t="array" ref="N67">INDEX(model!$N30:$AZ30,,MATCH('Financial Output'!N$10,model!$N$2:$AZ$2,0))</f>
        <v>445</v>
      </c>
      <c r="O67" s="109" cm="1">
        <f t="array" ref="O67">INDEX(model!$N30:$AZ30,,MATCH('Financial Output'!O$10,model!$N$2:$AZ$2,0))</f>
        <v>445</v>
      </c>
      <c r="P67" s="109" cm="1">
        <f t="array" ref="P67">INDEX(model!$N30:$AZ30,,MATCH('Financial Output'!P$10,model!$N$2:$AZ$2,0))</f>
        <v>445</v>
      </c>
    </row>
    <row r="68" spans="3:16" x14ac:dyDescent="0.25">
      <c r="C68" s="121" t="s">
        <v>541</v>
      </c>
      <c r="E68" s="122" t="s">
        <v>528</v>
      </c>
      <c r="G68" s="109" cm="1">
        <f t="array" ref="G68">INDEX(model!$N31:$AZ31,,MATCH('Financial Output'!G$10,model!$N$2:$AZ$2,0))</f>
        <v>96.647000000000006</v>
      </c>
      <c r="H68" s="109" cm="1">
        <f t="array" ref="H68">INDEX(model!$N31:$AZ31,,MATCH('Financial Output'!H$10,model!$N$2:$AZ$2,0))</f>
        <v>65.313999999999993</v>
      </c>
      <c r="I68" s="109" cm="1">
        <f t="array" ref="I68">INDEX(model!$N31:$AZ31,,MATCH('Financial Output'!I$10,model!$N$2:$AZ$2,0))</f>
        <v>69.516999999999996</v>
      </c>
      <c r="J68" s="109" cm="1">
        <f t="array" ref="J68">INDEX(model!$N31:$AZ31,,MATCH('Financial Output'!J$10,model!$N$2:$AZ$2,0))</f>
        <v>205.62700000000001</v>
      </c>
      <c r="K68" s="110" cm="1">
        <f t="array" ref="K68">INDEX(model!$N31:$AZ31,,MATCH('Financial Output'!K$10,model!$N$2:$AZ$2,0))</f>
        <v>165.02</v>
      </c>
      <c r="L68" s="109" cm="1">
        <f t="array" ref="L68">INDEX(model!$N31:$AZ31,,MATCH('Financial Output'!L$10,model!$N$2:$AZ$2,0))</f>
        <v>165</v>
      </c>
      <c r="M68" s="109" cm="1">
        <f t="array" ref="M68">INDEX(model!$N31:$AZ31,,MATCH('Financial Output'!M$10,model!$N$2:$AZ$2,0))</f>
        <v>165</v>
      </c>
      <c r="N68" s="109" cm="1">
        <f t="array" ref="N68">INDEX(model!$N31:$AZ31,,MATCH('Financial Output'!N$10,model!$N$2:$AZ$2,0))</f>
        <v>165</v>
      </c>
      <c r="O68" s="109" cm="1">
        <f t="array" ref="O68">INDEX(model!$N31:$AZ31,,MATCH('Financial Output'!O$10,model!$N$2:$AZ$2,0))</f>
        <v>165</v>
      </c>
      <c r="P68" s="109" cm="1">
        <f t="array" ref="P68">INDEX(model!$N31:$AZ31,,MATCH('Financial Output'!P$10,model!$N$2:$AZ$2,0))</f>
        <v>165</v>
      </c>
    </row>
    <row r="69" spans="3:16" x14ac:dyDescent="0.25">
      <c r="C69" s="121" t="s">
        <v>544</v>
      </c>
      <c r="E69" s="122" t="s">
        <v>528</v>
      </c>
      <c r="G69" s="109" cm="1">
        <f t="array" ref="G69">INDEX(model!$N32:$AZ32,,MATCH('Financial Output'!G$10,model!$N$2:$AZ$2,0))</f>
        <v>647.80499999999995</v>
      </c>
      <c r="H69" s="109" cm="1">
        <f t="array" ref="H69">INDEX(model!$N32:$AZ32,,MATCH('Financial Output'!H$10,model!$N$2:$AZ$2,0))</f>
        <v>800.18</v>
      </c>
      <c r="I69" s="109" cm="1">
        <f t="array" ref="I69">INDEX(model!$N32:$AZ32,,MATCH('Financial Output'!I$10,model!$N$2:$AZ$2,0))</f>
        <v>824.00800000000004</v>
      </c>
      <c r="J69" s="109" cm="1">
        <f t="array" ref="J69">INDEX(model!$N32:$AZ32,,MATCH('Financial Output'!J$10,model!$N$2:$AZ$2,0))</f>
        <v>809.30600000000004</v>
      </c>
      <c r="K69" s="110" cm="1">
        <f t="array" ref="K69">INDEX(model!$N32:$AZ32,,MATCH('Financial Output'!K$10,model!$N$2:$AZ$2,0))</f>
        <v>886.44100000000003</v>
      </c>
      <c r="L69" s="109" cm="1">
        <f t="array" ref="L69">INDEX(model!$N32:$AZ32,,MATCH('Financial Output'!L$10,model!$N$2:$AZ$2,0))</f>
        <v>1010.960725956278</v>
      </c>
      <c r="M69" s="109" cm="1">
        <f t="array" ref="M69">INDEX(model!$N32:$AZ32,,MATCH('Financial Output'!M$10,model!$N$2:$AZ$2,0))</f>
        <v>1112.056798551906</v>
      </c>
      <c r="N69" s="109" cm="1">
        <f t="array" ref="N69">INDEX(model!$N32:$AZ32,,MATCH('Financial Output'!N$10,model!$N$2:$AZ$2,0))</f>
        <v>1212.1419104215777</v>
      </c>
      <c r="O69" s="109" cm="1">
        <f t="array" ref="O69">INDEX(model!$N32:$AZ32,,MATCH('Financial Output'!O$10,model!$N$2:$AZ$2,0))</f>
        <v>1333.3561014637355</v>
      </c>
      <c r="P69" s="109" cm="1">
        <f t="array" ref="P69">INDEX(model!$N32:$AZ32,,MATCH('Financial Output'!P$10,model!$N$2:$AZ$2,0))</f>
        <v>1466.6917116101095</v>
      </c>
    </row>
    <row r="70" spans="3:16" x14ac:dyDescent="0.25">
      <c r="C70" s="127" t="s">
        <v>545</v>
      </c>
      <c r="D70" s="100"/>
      <c r="E70" s="123" t="s">
        <v>528</v>
      </c>
      <c r="F70" s="100"/>
      <c r="G70" s="114" cm="1">
        <f t="array" ref="G70">INDEX(model!$N33:$AZ33,,MATCH('Financial Output'!G$10,model!$N$2:$AZ$2,0))</f>
        <v>102.83</v>
      </c>
      <c r="H70" s="114" cm="1">
        <f t="array" ref="H70">INDEX(model!$N33:$AZ33,,MATCH('Financial Output'!H$10,model!$N$2:$AZ$2,0))</f>
        <v>99.891000000000005</v>
      </c>
      <c r="I70" s="114" cm="1">
        <f t="array" ref="I70">INDEX(model!$N33:$AZ33,,MATCH('Financial Output'!I$10,model!$N$2:$AZ$2,0))</f>
        <v>113.617</v>
      </c>
      <c r="J70" s="114" cm="1">
        <f t="array" ref="J70">INDEX(model!$N33:$AZ33,,MATCH('Financial Output'!J$10,model!$N$2:$AZ$2,0))</f>
        <v>116.453</v>
      </c>
      <c r="K70" s="116" cm="1">
        <f t="array" ref="K70">INDEX(model!$N33:$AZ33,,MATCH('Financial Output'!K$10,model!$N$2:$AZ$2,0))</f>
        <v>154.69399999999999</v>
      </c>
      <c r="L70" s="114" cm="1">
        <f t="array" ref="L70">INDEX(model!$N33:$AZ33,,MATCH('Financial Output'!L$10,model!$N$2:$AZ$2,0))</f>
        <v>176.42410328615264</v>
      </c>
      <c r="M70" s="114" cm="1">
        <f t="array" ref="M70">INDEX(model!$N33:$AZ33,,MATCH('Financial Output'!M$10,model!$N$2:$AZ$2,0))</f>
        <v>194.06651361476793</v>
      </c>
      <c r="N70" s="114" cm="1">
        <f t="array" ref="N70">INDEX(model!$N33:$AZ33,,MATCH('Financial Output'!N$10,model!$N$2:$AZ$2,0))</f>
        <v>211.53249984009705</v>
      </c>
      <c r="O70" s="114" cm="1">
        <f t="array" ref="O70">INDEX(model!$N33:$AZ33,,MATCH('Financial Output'!O$10,model!$N$2:$AZ$2,0))</f>
        <v>232.68574982410675</v>
      </c>
      <c r="P70" s="114" cm="1">
        <f t="array" ref="P70">INDEX(model!$N33:$AZ33,,MATCH('Financial Output'!P$10,model!$N$2:$AZ$2,0))</f>
        <v>255.95432480651746</v>
      </c>
    </row>
    <row r="71" spans="3:16" ht="5.0999999999999996" customHeight="1" x14ac:dyDescent="0.25">
      <c r="K71" s="140"/>
    </row>
    <row r="72" spans="3:16" x14ac:dyDescent="0.25">
      <c r="C72" s="28" t="s">
        <v>542</v>
      </c>
      <c r="E72" s="125" t="s">
        <v>528</v>
      </c>
      <c r="G72" s="70">
        <f>+G70+G69+G68+G67+G65+G64+G62+G59</f>
        <v>4180.9169999999995</v>
      </c>
      <c r="H72" s="70">
        <f t="shared" ref="H72:P72" si="22">+H70+H69+H68+H67+H65+H64+H62+H59</f>
        <v>4865.2269999999999</v>
      </c>
      <c r="I72" s="70">
        <f t="shared" si="22"/>
        <v>5069.6319999999996</v>
      </c>
      <c r="J72" s="70">
        <f t="shared" si="22"/>
        <v>5601.4949999999999</v>
      </c>
      <c r="K72" s="119">
        <f t="shared" si="22"/>
        <v>5641.3369999999995</v>
      </c>
      <c r="L72" s="70">
        <f t="shared" si="22"/>
        <v>6260.2262469566667</v>
      </c>
      <c r="M72" s="70">
        <f t="shared" si="22"/>
        <v>6780.295668167334</v>
      </c>
      <c r="N72" s="70">
        <f t="shared" si="22"/>
        <v>7467.2419966902744</v>
      </c>
      <c r="O72" s="70">
        <f t="shared" si="22"/>
        <v>8378.5563323094048</v>
      </c>
      <c r="P72" s="70">
        <f t="shared" si="22"/>
        <v>9402.6504148257955</v>
      </c>
    </row>
    <row r="73" spans="3:16" ht="5.0999999999999996" customHeight="1" x14ac:dyDescent="0.25">
      <c r="K73" s="140"/>
    </row>
    <row r="74" spans="3:16" x14ac:dyDescent="0.25">
      <c r="C74" s="55" t="s">
        <v>546</v>
      </c>
      <c r="K74" s="140"/>
    </row>
    <row r="75" spans="3:16" x14ac:dyDescent="0.25">
      <c r="C75" s="121" t="s">
        <v>547</v>
      </c>
      <c r="E75" s="122" t="s">
        <v>528</v>
      </c>
      <c r="G75" s="109" cm="1">
        <f t="array" ref="G75">INDEX(model!$N36:$AZ36,,MATCH('Financial Output'!G$10,model!$N$2:$AZ$2,0))</f>
        <v>291.904</v>
      </c>
      <c r="H75" s="109" cm="1">
        <f t="array" ref="H75">INDEX(model!$N36:$AZ36,,MATCH('Financial Output'!H$10,model!$N$2:$AZ$2,0))</f>
        <v>356.17599999999999</v>
      </c>
      <c r="I75" s="109" cm="1">
        <f t="array" ref="I75">INDEX(model!$N36:$AZ36,,MATCH('Financial Output'!I$10,model!$N$2:$AZ$2,0))</f>
        <v>516.04700000000003</v>
      </c>
      <c r="J75" s="109" cm="1">
        <f t="array" ref="J75">INDEX(model!$N36:$AZ36,,MATCH('Financial Output'!J$10,model!$N$2:$AZ$2,0))</f>
        <v>317.82799999999997</v>
      </c>
      <c r="K75" s="110" cm="1">
        <f t="array" ref="K75">INDEX(model!$N36:$AZ36,,MATCH('Financial Output'!K$10,model!$N$2:$AZ$2,0))</f>
        <v>423.40100000000001</v>
      </c>
      <c r="L75" s="109" cm="1">
        <f t="array" ref="L75">INDEX(model!$N36:$AZ36,,MATCH('Financial Output'!L$10,model!$N$2:$AZ$2,0))</f>
        <v>265.4688246</v>
      </c>
      <c r="M75" s="109" cm="1">
        <f t="array" ref="M75">INDEX(model!$N36:$AZ36,,MATCH('Financial Output'!M$10,model!$N$2:$AZ$2,0))</f>
        <v>281.94619992000008</v>
      </c>
      <c r="N75" s="109" cm="1">
        <f t="array" ref="N75">INDEX(model!$N36:$AZ36,,MATCH('Financial Output'!N$10,model!$N$2:$AZ$2,0))</f>
        <v>301.83347652150013</v>
      </c>
      <c r="O75" s="109" cm="1">
        <f t="array" ref="O75">INDEX(model!$N36:$AZ36,,MATCH('Financial Output'!O$10,model!$N$2:$AZ$2,0))</f>
        <v>301.83347652150013</v>
      </c>
      <c r="P75" s="109" cm="1">
        <f t="array" ref="P75">INDEX(model!$N36:$AZ36,,MATCH('Financial Output'!P$10,model!$N$2:$AZ$2,0))</f>
        <v>332.01682417365015</v>
      </c>
    </row>
    <row r="76" spans="3:16" ht="12" customHeight="1" x14ac:dyDescent="0.25">
      <c r="C76" s="141" t="s">
        <v>548</v>
      </c>
      <c r="K76" s="140"/>
    </row>
    <row r="77" spans="3:16" x14ac:dyDescent="0.25">
      <c r="K77" s="140"/>
    </row>
    <row r="78" spans="3:16" x14ac:dyDescent="0.25">
      <c r="C78" s="121" t="s">
        <v>550</v>
      </c>
      <c r="E78" s="122" t="s">
        <v>528</v>
      </c>
      <c r="G78" s="109" cm="1">
        <f t="array" ref="G78">INDEX(model!$N37:$AZ37,,MATCH('Financial Output'!G$10,model!$N$2:$AZ$2,0))</f>
        <v>334.13200000000001</v>
      </c>
      <c r="H78" s="109" cm="1">
        <f t="array" ref="H78">INDEX(model!$N37:$AZ37,,MATCH('Financial Output'!H$10,model!$N$2:$AZ$2,0))</f>
        <v>409.28500000000003</v>
      </c>
      <c r="I78" s="109" cm="1">
        <f t="array" ref="I78">INDEX(model!$N37:$AZ37,,MATCH('Financial Output'!I$10,model!$N$2:$AZ$2,0))</f>
        <v>360.78199999999998</v>
      </c>
      <c r="J78" s="109" cm="1">
        <f t="array" ref="J78">INDEX(model!$N37:$AZ37,,MATCH('Financial Output'!J$10,model!$N$2:$AZ$2,0))</f>
        <v>431.41899999999998</v>
      </c>
      <c r="K78" s="110" cm="1">
        <f t="array" ref="K78">INDEX(model!$N37:$AZ37,,MATCH('Financial Output'!K$10,model!$N$2:$AZ$2,0))</f>
        <v>393.90499999999997</v>
      </c>
      <c r="L78" s="109" cm="1">
        <f t="array" ref="L78">INDEX(model!$N37:$AZ37,,MATCH('Financial Output'!L$10,model!$N$2:$AZ$2,0))</f>
        <v>389.04913950000002</v>
      </c>
      <c r="M78" s="109" cm="1">
        <f t="array" ref="M78">INDEX(model!$N37:$AZ37,,MATCH('Financial Output'!M$10,model!$N$2:$AZ$2,0))</f>
        <v>427.95405345000012</v>
      </c>
      <c r="N78" s="109" cm="1">
        <f t="array" ref="N78">INDEX(model!$N37:$AZ37,,MATCH('Financial Output'!N$10,model!$N$2:$AZ$2,0))</f>
        <v>466.46991826050015</v>
      </c>
      <c r="O78" s="109" cm="1">
        <f t="array" ref="O78">INDEX(model!$N37:$AZ37,,MATCH('Financial Output'!O$10,model!$N$2:$AZ$2,0))</f>
        <v>498.0252362604752</v>
      </c>
      <c r="P78" s="109" cm="1">
        <f t="array" ref="P78">INDEX(model!$N37:$AZ37,,MATCH('Financial Output'!P$10,model!$N$2:$AZ$2,0))</f>
        <v>531.22691867784033</v>
      </c>
    </row>
    <row r="79" spans="3:16" x14ac:dyDescent="0.25">
      <c r="C79" s="142" t="s">
        <v>551</v>
      </c>
      <c r="E79" s="123" t="s">
        <v>528</v>
      </c>
      <c r="G79" s="109" cm="1">
        <f t="array" ref="G79">INDEX(model!$N39:$AZ39,,MATCH('Financial Output'!G$10,model!$N$2:$AZ$2,0))</f>
        <v>158.363</v>
      </c>
      <c r="H79" s="109" cm="1">
        <f t="array" ref="H79">INDEX(model!$N39:$AZ39,,MATCH('Financial Output'!H$10,model!$N$2:$AZ$2,0))</f>
        <v>175.464</v>
      </c>
      <c r="I79" s="109" cm="1">
        <f t="array" ref="I79">INDEX(model!$N39:$AZ39,,MATCH('Financial Output'!I$10,model!$N$2:$AZ$2,0))</f>
        <v>200.23500000000001</v>
      </c>
      <c r="J79" s="109" cm="1">
        <f t="array" ref="J79">INDEX(model!$N39:$AZ39,,MATCH('Financial Output'!J$10,model!$N$2:$AZ$2,0))</f>
        <v>228.46</v>
      </c>
      <c r="K79" s="110" cm="1">
        <f t="array" ref="K79">INDEX(model!$N39:$AZ39,,MATCH('Financial Output'!K$10,model!$N$2:$AZ$2,0))</f>
        <v>237.61899999999997</v>
      </c>
      <c r="L79" s="109" cm="1">
        <f t="array" ref="L79">INDEX(model!$N39:$AZ39,,MATCH('Financial Output'!L$10,model!$N$2:$AZ$2,0))</f>
        <v>200</v>
      </c>
      <c r="M79" s="109" cm="1">
        <f t="array" ref="M79">INDEX(model!$N39:$AZ39,,MATCH('Financial Output'!M$10,model!$N$2:$AZ$2,0))</f>
        <v>200</v>
      </c>
      <c r="N79" s="109" cm="1">
        <f t="array" ref="N79">INDEX(model!$N39:$AZ39,,MATCH('Financial Output'!N$10,model!$N$2:$AZ$2,0))</f>
        <v>200</v>
      </c>
      <c r="O79" s="109" cm="1">
        <f t="array" ref="O79">INDEX(model!$N39:$AZ39,,MATCH('Financial Output'!O$10,model!$N$2:$AZ$2,0))</f>
        <v>200</v>
      </c>
      <c r="P79" s="109" cm="1">
        <f t="array" ref="P79">INDEX(model!$N39:$AZ39,,MATCH('Financial Output'!P$10,model!$N$2:$AZ$2,0))</f>
        <v>200</v>
      </c>
    </row>
    <row r="80" spans="3:16" ht="5.25" customHeight="1" x14ac:dyDescent="0.25">
      <c r="C80" s="145"/>
      <c r="D80" s="145"/>
      <c r="E80" s="145"/>
      <c r="F80" s="145"/>
      <c r="G80" s="145"/>
      <c r="H80" s="145"/>
      <c r="I80" s="145"/>
      <c r="J80" s="145"/>
      <c r="K80" s="146"/>
      <c r="L80" s="145"/>
      <c r="M80" s="145"/>
      <c r="N80" s="145"/>
      <c r="O80" s="145"/>
      <c r="P80" s="145"/>
    </row>
    <row r="81" spans="3:16" x14ac:dyDescent="0.25">
      <c r="C81" s="28" t="s">
        <v>552</v>
      </c>
      <c r="E81" s="125" t="s">
        <v>528</v>
      </c>
      <c r="G81" s="70">
        <f>G75+G78+G79</f>
        <v>784.39900000000011</v>
      </c>
      <c r="H81" s="70">
        <f t="shared" ref="H81:P81" si="23">H75+H78+H79</f>
        <v>940.92499999999995</v>
      </c>
      <c r="I81" s="70">
        <f t="shared" si="23"/>
        <v>1077.0639999999999</v>
      </c>
      <c r="J81" s="70">
        <f t="shared" si="23"/>
        <v>977.70699999999999</v>
      </c>
      <c r="K81" s="119">
        <f t="shared" si="23"/>
        <v>1054.925</v>
      </c>
      <c r="L81" s="70">
        <f t="shared" si="23"/>
        <v>854.51796409999997</v>
      </c>
      <c r="M81" s="70">
        <f t="shared" si="23"/>
        <v>909.9002533700002</v>
      </c>
      <c r="N81" s="70">
        <f t="shared" si="23"/>
        <v>968.30339478200028</v>
      </c>
      <c r="O81" s="70">
        <f t="shared" si="23"/>
        <v>999.85871278197533</v>
      </c>
      <c r="P81" s="70">
        <f t="shared" si="23"/>
        <v>1063.2437428514904</v>
      </c>
    </row>
    <row r="82" spans="3:16" ht="5.25" customHeight="1" x14ac:dyDescent="0.25">
      <c r="K82" s="140"/>
    </row>
    <row r="83" spans="3:16" x14ac:dyDescent="0.25">
      <c r="C83" s="55" t="s">
        <v>553</v>
      </c>
      <c r="G83" s="28"/>
      <c r="H83" s="28"/>
      <c r="I83" s="28"/>
      <c r="J83" s="28"/>
      <c r="K83" s="143"/>
      <c r="L83" s="28"/>
      <c r="M83" s="28"/>
      <c r="N83" s="28"/>
      <c r="O83" s="28"/>
      <c r="P83" s="28"/>
    </row>
    <row r="84" spans="3:16" x14ac:dyDescent="0.25">
      <c r="C84" s="142" t="s">
        <v>10</v>
      </c>
      <c r="E84" s="122" t="s">
        <v>528</v>
      </c>
      <c r="G84" s="109" cm="1">
        <f t="array" ref="G84">INDEX(model!$N40:$AZ40,,MATCH('Financial Output'!G$10,model!$N$2:$AZ$2,0))</f>
        <v>80.45</v>
      </c>
      <c r="H84" s="109" cm="1">
        <f t="array" ref="H84">INDEX(model!$N40:$AZ40,,MATCH('Financial Output'!H$10,model!$N$2:$AZ$2,0))</f>
        <v>60.195999999999998</v>
      </c>
      <c r="I84" s="109" cm="1">
        <f t="array" ref="I84">INDEX(model!$N40:$AZ40,,MATCH('Financial Output'!I$10,model!$N$2:$AZ$2,0))</f>
        <v>61.317000000000007</v>
      </c>
      <c r="J84" s="109" cm="1">
        <f t="array" ref="J84">INDEX(model!$N40:$AZ40,,MATCH('Financial Output'!J$10,model!$N$2:$AZ$2,0))</f>
        <v>49.914000000000001</v>
      </c>
      <c r="K84" s="110" cm="1">
        <f t="array" ref="K84">INDEX(model!$N40:$AZ40,,MATCH('Financial Output'!K$10,model!$N$2:$AZ$2,0))</f>
        <v>39.561999999999998</v>
      </c>
      <c r="L84" s="109" cm="1">
        <f t="array" ref="L84">INDEX(model!$N40:$AZ40,,MATCH('Financial Output'!L$10,model!$N$2:$AZ$2,0))</f>
        <v>50</v>
      </c>
      <c r="M84" s="109" cm="1">
        <f t="array" ref="M84">INDEX(model!$N40:$AZ40,,MATCH('Financial Output'!M$10,model!$N$2:$AZ$2,0))</f>
        <v>50</v>
      </c>
      <c r="N84" s="109" cm="1">
        <f t="array" ref="N84">INDEX(model!$N40:$AZ40,,MATCH('Financial Output'!N$10,model!$N$2:$AZ$2,0))</f>
        <v>50</v>
      </c>
      <c r="O84" s="109" cm="1">
        <f t="array" ref="O84">INDEX(model!$N40:$AZ40,,MATCH('Financial Output'!O$10,model!$N$2:$AZ$2,0))</f>
        <v>50</v>
      </c>
      <c r="P84" s="109" cm="1">
        <f t="array" ref="P84">INDEX(model!$N40:$AZ40,,MATCH('Financial Output'!P$10,model!$N$2:$AZ$2,0))</f>
        <v>50</v>
      </c>
    </row>
    <row r="85" spans="3:16" x14ac:dyDescent="0.25">
      <c r="C85" s="142" t="s">
        <v>410</v>
      </c>
      <c r="E85" s="122" t="s">
        <v>528</v>
      </c>
      <c r="G85" s="109" cm="1">
        <f t="array" ref="G85">INDEX(model!$N38:$AZ38,,MATCH('Financial Output'!G$10,model!$N$2:$AZ$2,0))</f>
        <v>683.28599999999994</v>
      </c>
      <c r="H85" s="109" cm="1">
        <f t="array" ref="H85">INDEX(model!$N38:$AZ38,,MATCH('Financial Output'!H$10,model!$N$2:$AZ$2,0))</f>
        <v>677.28499999999997</v>
      </c>
      <c r="I85" s="109" cm="1">
        <f t="array" ref="I85">INDEX(model!$N38:$AZ38,,MATCH('Financial Output'!I$10,model!$N$2:$AZ$2,0))</f>
        <v>1068.0550000000001</v>
      </c>
      <c r="J85" s="109" cm="1">
        <f t="array" ref="J85">INDEX(model!$N38:$AZ38,,MATCH('Financial Output'!J$10,model!$N$2:$AZ$2,0))</f>
        <v>1555.106</v>
      </c>
      <c r="K85" s="110" cm="1">
        <f t="array" ref="K85">INDEX(model!$N38:$AZ38,,MATCH('Financial Output'!K$10,model!$N$2:$AZ$2,0))</f>
        <v>1544.7740000000001</v>
      </c>
      <c r="L85" s="109" cm="1">
        <f t="array" ref="L85">INDEX(model!$N38:$AZ38,,MATCH('Financial Output'!L$10,model!$N$2:$AZ$2,0))</f>
        <v>1558.3</v>
      </c>
      <c r="M85" s="109" cm="1">
        <f t="array" ref="M85">INDEX(model!$N38:$AZ38,,MATCH('Financial Output'!M$10,model!$N$2:$AZ$2,0))</f>
        <v>1558.3</v>
      </c>
      <c r="N85" s="109" cm="1">
        <f t="array" ref="N85">INDEX(model!$N38:$AZ38,,MATCH('Financial Output'!N$10,model!$N$2:$AZ$2,0))</f>
        <v>1558.3</v>
      </c>
      <c r="O85" s="109" cm="1">
        <f t="array" ref="O85">INDEX(model!$N38:$AZ38,,MATCH('Financial Output'!O$10,model!$N$2:$AZ$2,0))</f>
        <v>1558.3</v>
      </c>
      <c r="P85" s="109" cm="1">
        <f t="array" ref="P85">INDEX(model!$N38:$AZ38,,MATCH('Financial Output'!P$10,model!$N$2:$AZ$2,0))</f>
        <v>1558.3</v>
      </c>
    </row>
    <row r="86" spans="3:16" x14ac:dyDescent="0.25">
      <c r="C86" s="142" t="s">
        <v>12</v>
      </c>
      <c r="E86" s="122" t="s">
        <v>528</v>
      </c>
      <c r="G86" s="109" cm="1">
        <f t="array" ref="G86">INDEX(model!$N41:$AZ41,,MATCH('Financial Output'!G$10,model!$N$2:$AZ$2,0))</f>
        <v>123.185</v>
      </c>
      <c r="H86" s="109" cm="1">
        <f t="array" ref="H86">INDEX(model!$N41:$AZ41,,MATCH('Financial Output'!H$10,model!$N$2:$AZ$2,0))</f>
        <v>166.803</v>
      </c>
      <c r="I86" s="109" cm="1">
        <f t="array" ref="I86">INDEX(model!$N41:$AZ41,,MATCH('Financial Output'!I$10,model!$N$2:$AZ$2,0))</f>
        <v>150.33500000000001</v>
      </c>
      <c r="J86" s="109" cm="1">
        <f t="array" ref="J86">INDEX(model!$N41:$AZ41,,MATCH('Financial Output'!J$10,model!$N$2:$AZ$2,0))</f>
        <v>170.40700000000001</v>
      </c>
      <c r="K86" s="110" cm="1">
        <f t="array" ref="K86">INDEX(model!$N41:$AZ41,,MATCH('Financial Output'!K$10,model!$N$2:$AZ$2,0))</f>
        <v>185.93799999999999</v>
      </c>
      <c r="L86" s="109" cm="1">
        <f t="array" ref="L86">INDEX(model!$N41:$AZ41,,MATCH('Financial Output'!L$10,model!$N$2:$AZ$2,0))</f>
        <v>183.08194800000001</v>
      </c>
      <c r="M86" s="109" cm="1">
        <f t="array" ref="M86">INDEX(model!$N41:$AZ41,,MATCH('Financial Output'!M$10,model!$N$2:$AZ$2,0))</f>
        <v>201.39014280000004</v>
      </c>
      <c r="N86" s="109" cm="1">
        <f t="array" ref="N86">INDEX(model!$N41:$AZ41,,MATCH('Financial Output'!N$10,model!$N$2:$AZ$2,0))</f>
        <v>219.51525565200006</v>
      </c>
      <c r="O86" s="109" cm="1">
        <f t="array" ref="O86">INDEX(model!$N41:$AZ41,,MATCH('Financial Output'!O$10,model!$N$2:$AZ$2,0))</f>
        <v>241.46678121720009</v>
      </c>
      <c r="P86" s="109" cm="1">
        <f t="array" ref="P86">INDEX(model!$N41:$AZ41,,MATCH('Financial Output'!P$10,model!$N$2:$AZ$2,0))</f>
        <v>265.61345933892011</v>
      </c>
    </row>
    <row r="87" spans="3:16" ht="5.25" customHeight="1" x14ac:dyDescent="0.25">
      <c r="C87" s="145"/>
      <c r="D87" s="145"/>
      <c r="E87" s="145"/>
      <c r="F87" s="145"/>
      <c r="G87" s="145"/>
      <c r="H87" s="145"/>
      <c r="I87" s="145"/>
      <c r="J87" s="145"/>
      <c r="K87" s="146"/>
      <c r="L87" s="145"/>
      <c r="M87" s="145"/>
      <c r="N87" s="145"/>
      <c r="O87" s="145"/>
      <c r="P87" s="145"/>
    </row>
    <row r="88" spans="3:16" x14ac:dyDescent="0.25">
      <c r="C88" s="28" t="s">
        <v>554</v>
      </c>
      <c r="E88" s="125" t="s">
        <v>528</v>
      </c>
      <c r="G88" s="70">
        <f>G84+G85+G86+G81</f>
        <v>1671.3200000000002</v>
      </c>
      <c r="H88" s="70">
        <f t="shared" ref="H88:P88" si="24">H84+H85+H86+H81</f>
        <v>1845.2089999999998</v>
      </c>
      <c r="I88" s="70">
        <f t="shared" si="24"/>
        <v>2356.7709999999997</v>
      </c>
      <c r="J88" s="70">
        <f t="shared" si="24"/>
        <v>2753.134</v>
      </c>
      <c r="K88" s="119">
        <f t="shared" si="24"/>
        <v>2825.1989999999996</v>
      </c>
      <c r="L88" s="70">
        <f t="shared" si="24"/>
        <v>2645.8999120999997</v>
      </c>
      <c r="M88" s="70">
        <f t="shared" si="24"/>
        <v>2719.5903961700005</v>
      </c>
      <c r="N88" s="70">
        <f t="shared" si="24"/>
        <v>2796.1186504340003</v>
      </c>
      <c r="O88" s="70">
        <f t="shared" si="24"/>
        <v>2849.6254939991754</v>
      </c>
      <c r="P88" s="70">
        <f t="shared" si="24"/>
        <v>2937.1572021904103</v>
      </c>
    </row>
    <row r="89" spans="3:16" ht="5.25" customHeight="1" x14ac:dyDescent="0.25">
      <c r="C89" s="28"/>
      <c r="G89" s="70"/>
      <c r="H89" s="70"/>
      <c r="I89" s="70"/>
      <c r="J89" s="70"/>
      <c r="K89" s="119"/>
      <c r="L89" s="70"/>
      <c r="M89" s="70"/>
      <c r="N89" s="70"/>
      <c r="O89" s="70"/>
      <c r="P89" s="70"/>
    </row>
    <row r="90" spans="3:16" x14ac:dyDescent="0.25">
      <c r="C90" s="55" t="s">
        <v>557</v>
      </c>
      <c r="G90" s="70"/>
      <c r="H90" s="70"/>
      <c r="I90" s="70"/>
      <c r="J90" s="70"/>
      <c r="K90" s="119"/>
      <c r="L90" s="70"/>
      <c r="M90" s="70"/>
      <c r="N90" s="70"/>
      <c r="O90" s="70"/>
      <c r="P90" s="70"/>
    </row>
    <row r="91" spans="3:16" x14ac:dyDescent="0.25">
      <c r="C91" s="142" t="s">
        <v>413</v>
      </c>
      <c r="E91" s="122" t="s">
        <v>528</v>
      </c>
      <c r="G91" s="109" cm="1">
        <f t="array" ref="G91">INDEX(model!$N43:$AZ43,,MATCH('Financial Output'!G$10,model!$N$2:$AZ$2,0))</f>
        <v>6828.0770000000002</v>
      </c>
      <c r="H91" s="109" cm="1">
        <f t="array" ref="H91">INDEX(model!$N43:$AZ43,,MATCH('Financial Output'!H$10,model!$N$2:$AZ$2,0))</f>
        <v>6804.7110000000002</v>
      </c>
      <c r="I91" s="109" cm="1">
        <f t="array" ref="I91">INDEX(model!$N43:$AZ43,,MATCH('Financial Output'!I$10,model!$N$2:$AZ$2,0))</f>
        <v>6391.7360000000008</v>
      </c>
      <c r="J91" s="109" cm="1">
        <f t="array" ref="J91">INDEX(model!$N43:$AZ43,,MATCH('Financial Output'!J$10,model!$N$2:$AZ$2,0))</f>
        <v>6263.5309999999999</v>
      </c>
      <c r="K91" s="110" cm="1">
        <f t="array" ref="K91">INDEX(model!$N43:$AZ43,,MATCH('Financial Output'!K$10,model!$N$2:$AZ$2,0))</f>
        <v>6156.2959999999994</v>
      </c>
      <c r="L91" s="109" cm="1">
        <f t="array" ref="L91">INDEX(model!$N43:$AZ43,,MATCH('Financial Output'!L$10,model!$N$2:$AZ$2,0))</f>
        <v>5983.2243052566664</v>
      </c>
      <c r="M91" s="109" cm="1">
        <f t="array" ref="M91">INDEX(model!$N43:$AZ43,,MATCH('Financial Output'!M$10,model!$N$2:$AZ$2,0))</f>
        <v>5829.6316743723328</v>
      </c>
      <c r="N91" s="109" cm="1">
        <f t="array" ref="N91">INDEX(model!$N43:$AZ43,,MATCH('Financial Output'!N$10,model!$N$2:$AZ$2,0))</f>
        <v>5692.215706708409</v>
      </c>
      <c r="O91" s="109" cm="1">
        <f t="array" ref="O91">INDEX(model!$N43:$AZ43,,MATCH('Financial Output'!O$10,model!$N$2:$AZ$2,0))</f>
        <v>5645.047802930857</v>
      </c>
      <c r="P91" s="109" cm="1">
        <f t="array" ref="P91">INDEX(model!$N43:$AZ43,,MATCH('Financial Output'!P$10,model!$N$2:$AZ$2,0))</f>
        <v>5604.2184021602561</v>
      </c>
    </row>
    <row r="92" spans="3:16" x14ac:dyDescent="0.25">
      <c r="C92" s="142" t="s">
        <v>13</v>
      </c>
      <c r="E92" s="122" t="s">
        <v>528</v>
      </c>
      <c r="G92" s="109" cm="1">
        <f t="array" ref="G92">INDEX(model!$N42:$AZ42,,MATCH('Financial Output'!G$10,model!$N$2:$AZ$2,0))</f>
        <v>-4283.1220000000003</v>
      </c>
      <c r="H92" s="109" cm="1">
        <f t="array" ref="H92">INDEX(model!$N42:$AZ42,,MATCH('Financial Output'!H$10,model!$N$2:$AZ$2,0))</f>
        <v>-3785.1320000000001</v>
      </c>
      <c r="I92" s="109" cm="1">
        <f t="array" ref="I92">INDEX(model!$N42:$AZ42,,MATCH('Financial Output'!I$10,model!$N$2:$AZ$2,0))</f>
        <v>-3632.23</v>
      </c>
      <c r="J92" s="109" cm="1">
        <f t="array" ref="J92">INDEX(model!$N42:$AZ42,,MATCH('Financial Output'!J$10,model!$N$2:$AZ$2,0))</f>
        <v>-3377.4029999999998</v>
      </c>
      <c r="K92" s="110" cm="1">
        <f t="array" ref="K92">INDEX(model!$N42:$AZ42,,MATCH('Financial Output'!K$10,model!$N$2:$AZ$2,0))</f>
        <v>-3293.4470000000001</v>
      </c>
      <c r="L92" s="109" cm="1">
        <f t="array" ref="L92">INDEX(model!$N42:$AZ42,,MATCH('Financial Output'!L$10,model!$N$2:$AZ$2,0))</f>
        <v>-3047.6695087596618</v>
      </c>
      <c r="M92" s="109" cm="1">
        <f t="array" ref="M92">INDEX(model!$N42:$AZ42,,MATCH('Financial Output'!M$10,model!$N$2:$AZ$2,0))</f>
        <v>-2697.3091349895449</v>
      </c>
      <c r="N92" s="109" cm="1">
        <f t="array" ref="N92">INDEX(model!$N42:$AZ42,,MATCH('Financial Output'!N$10,model!$N$2:$AZ$2,0))</f>
        <v>-2265.8318307151822</v>
      </c>
      <c r="O92" s="109" cm="1">
        <f t="array" ref="O92">INDEX(model!$N42:$AZ42,,MATCH('Financial Output'!O$10,model!$N$2:$AZ$2,0))</f>
        <v>-1506.4863001694266</v>
      </c>
      <c r="P92" s="109" cm="1">
        <f t="array" ref="P92">INDEX(model!$N42:$AZ42,,MATCH('Financial Output'!P$10,model!$N$2:$AZ$2,0))</f>
        <v>-605.49186770678216</v>
      </c>
    </row>
    <row r="93" spans="3:16" x14ac:dyDescent="0.25">
      <c r="C93" s="142" t="s">
        <v>555</v>
      </c>
      <c r="E93" s="122" t="s">
        <v>528</v>
      </c>
      <c r="G93" s="109" cm="1">
        <f t="array" ref="G93">INDEX(model!$N44:$AZ44,,MATCH('Financial Output'!G$10,model!$N$2:$AZ$2,0))</f>
        <v>-35.357999999999997</v>
      </c>
      <c r="H93" s="109" cm="1">
        <f t="array" ref="H93">INDEX(model!$N44:$AZ44,,MATCH('Financial Output'!H$10,model!$N$2:$AZ$2,0))</f>
        <v>0.439</v>
      </c>
      <c r="I93" s="109" cm="1">
        <f t="array" ref="I93">INDEX(model!$N44:$AZ44,,MATCH('Financial Output'!I$10,model!$N$2:$AZ$2,0))</f>
        <v>-46.645000000000003</v>
      </c>
      <c r="J93" s="109" cm="1">
        <f t="array" ref="J93">INDEX(model!$N44:$AZ44,,MATCH('Financial Output'!J$10,model!$N$2:$AZ$2,0))</f>
        <v>-37.767000000000003</v>
      </c>
      <c r="K93" s="110" cm="1">
        <f t="array" ref="K93">INDEX(model!$N44:$AZ44,,MATCH('Financial Output'!K$10,model!$N$2:$AZ$2,0))</f>
        <v>-46.710999999999999</v>
      </c>
      <c r="L93" s="109" cm="1">
        <f t="array" ref="L93">INDEX(model!$N44:$AZ44,,MATCH('Financial Output'!L$10,model!$N$2:$AZ$2,0))</f>
        <v>-20</v>
      </c>
      <c r="M93" s="109" cm="1">
        <f t="array" ref="M93">INDEX(model!$N44:$AZ44,,MATCH('Financial Output'!M$10,model!$N$2:$AZ$2,0))</f>
        <v>-20</v>
      </c>
      <c r="N93" s="109" cm="1">
        <f t="array" ref="N93">INDEX(model!$N44:$AZ44,,MATCH('Financial Output'!N$10,model!$N$2:$AZ$2,0))</f>
        <v>-20</v>
      </c>
      <c r="O93" s="109" cm="1">
        <f t="array" ref="O93">INDEX(model!$N44:$AZ44,,MATCH('Financial Output'!O$10,model!$N$2:$AZ$2,0))</f>
        <v>-20</v>
      </c>
      <c r="P93" s="109" cm="1">
        <f t="array" ref="P93">INDEX(model!$N44:$AZ44,,MATCH('Financial Output'!P$10,model!$N$2:$AZ$2,0))</f>
        <v>-20</v>
      </c>
    </row>
    <row r="94" spans="3:16" ht="5.25" customHeight="1" x14ac:dyDescent="0.25">
      <c r="C94" s="145"/>
      <c r="D94" s="145"/>
      <c r="E94" s="145"/>
      <c r="F94" s="145"/>
      <c r="G94" s="145"/>
      <c r="H94" s="145"/>
      <c r="I94" s="145"/>
      <c r="J94" s="145"/>
      <c r="K94" s="146"/>
      <c r="L94" s="145"/>
      <c r="M94" s="145"/>
      <c r="N94" s="145"/>
      <c r="O94" s="145"/>
      <c r="P94" s="145"/>
    </row>
    <row r="95" spans="3:16" x14ac:dyDescent="0.25">
      <c r="C95" s="28" t="s">
        <v>556</v>
      </c>
      <c r="E95" s="125" t="s">
        <v>528</v>
      </c>
      <c r="G95" s="70">
        <f>G88+G91+G92+G93</f>
        <v>4180.9170000000004</v>
      </c>
      <c r="H95" s="70">
        <f t="shared" ref="H95:P95" si="25">H88+H91+H92+H93</f>
        <v>4865.2270000000008</v>
      </c>
      <c r="I95" s="70">
        <f t="shared" si="25"/>
        <v>5069.6320000000014</v>
      </c>
      <c r="J95" s="70">
        <f t="shared" si="25"/>
        <v>5601.4950000000008</v>
      </c>
      <c r="K95" s="119">
        <f t="shared" si="25"/>
        <v>5641.3369999999986</v>
      </c>
      <c r="L95" s="70">
        <f t="shared" si="25"/>
        <v>5561.4547085970044</v>
      </c>
      <c r="M95" s="70">
        <f t="shared" si="25"/>
        <v>5831.9129355527884</v>
      </c>
      <c r="N95" s="70">
        <f t="shared" si="25"/>
        <v>6202.5025264272263</v>
      </c>
      <c r="O95" s="70">
        <f t="shared" si="25"/>
        <v>6968.1869967606053</v>
      </c>
      <c r="P95" s="70">
        <f t="shared" si="25"/>
        <v>7915.8837366438838</v>
      </c>
    </row>
    <row r="96" spans="3:16" ht="5.25" customHeight="1" x14ac:dyDescent="0.25">
      <c r="K96" s="140"/>
    </row>
    <row r="97" spans="2:16" x14ac:dyDescent="0.25">
      <c r="C97" s="142" t="s">
        <v>558</v>
      </c>
      <c r="E97" s="122" t="s">
        <v>528</v>
      </c>
      <c r="G97" s="86">
        <f>G72-G95</f>
        <v>0</v>
      </c>
      <c r="H97" s="86">
        <f t="shared" ref="H97:P97" si="26">H72-H95</f>
        <v>0</v>
      </c>
      <c r="I97" s="86">
        <f t="shared" si="26"/>
        <v>0</v>
      </c>
      <c r="J97" s="86">
        <f t="shared" si="26"/>
        <v>0</v>
      </c>
      <c r="K97" s="144">
        <f t="shared" si="26"/>
        <v>0</v>
      </c>
      <c r="L97" s="86">
        <f t="shared" si="26"/>
        <v>698.77153835966237</v>
      </c>
      <c r="M97" s="86">
        <f t="shared" si="26"/>
        <v>948.3827326145456</v>
      </c>
      <c r="N97" s="86">
        <f t="shared" si="26"/>
        <v>1264.7394702630481</v>
      </c>
      <c r="O97" s="86">
        <f t="shared" si="26"/>
        <v>1410.3693355487994</v>
      </c>
      <c r="P97" s="86">
        <f t="shared" si="26"/>
        <v>1486.7666781819116</v>
      </c>
    </row>
    <row r="98" spans="2:16" ht="5.25" customHeight="1" x14ac:dyDescent="0.25"/>
    <row r="99" spans="2:16" x14ac:dyDescent="0.25">
      <c r="B99" s="95">
        <v>3</v>
      </c>
      <c r="C99" s="95" t="s">
        <v>559</v>
      </c>
      <c r="D99" s="95"/>
      <c r="E99" s="101" t="s">
        <v>32</v>
      </c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</row>
    <row r="100" spans="2:16" ht="5.0999999999999996" customHeight="1" x14ac:dyDescent="0.25"/>
    <row r="101" spans="2:16" x14ac:dyDescent="0.25">
      <c r="C101" s="97" t="s">
        <v>510</v>
      </c>
      <c r="D101" s="97"/>
      <c r="E101" s="97"/>
      <c r="F101" s="97"/>
      <c r="G101" s="98">
        <f t="shared" ref="G101" si="27">H101-1</f>
        <v>2020</v>
      </c>
      <c r="H101" s="98">
        <f t="shared" ref="H101" si="28">I101-1</f>
        <v>2021</v>
      </c>
      <c r="I101" s="98">
        <f t="shared" ref="I101" si="29">J101-1</f>
        <v>2022</v>
      </c>
      <c r="J101" s="98">
        <f t="shared" ref="J101" si="30">K101-1</f>
        <v>2023</v>
      </c>
      <c r="K101" s="98">
        <f>L101-1</f>
        <v>2024</v>
      </c>
      <c r="L101" s="99">
        <f>estimate_start</f>
        <v>2025</v>
      </c>
      <c r="M101" s="99">
        <f>+L101+1</f>
        <v>2026</v>
      </c>
      <c r="N101" s="99">
        <f t="shared" ref="N101" si="31">+M101+1</f>
        <v>2027</v>
      </c>
      <c r="O101" s="99">
        <f t="shared" ref="O101" si="32">+N101+1</f>
        <v>2028</v>
      </c>
      <c r="P101" s="99">
        <f t="shared" ref="P101" si="33">+O101+1</f>
        <v>2029</v>
      </c>
    </row>
    <row r="102" spans="2:16" ht="5.25" customHeight="1" x14ac:dyDescent="0.25"/>
    <row r="103" spans="2:16" x14ac:dyDescent="0.25">
      <c r="C103" s="55" t="s">
        <v>560</v>
      </c>
    </row>
    <row r="104" spans="2:16" x14ac:dyDescent="0.25">
      <c r="C104" s="147" t="s">
        <v>7</v>
      </c>
      <c r="E104" s="122" t="s">
        <v>528</v>
      </c>
      <c r="G104" s="150"/>
      <c r="H104" s="151"/>
      <c r="I104" s="151"/>
      <c r="J104" s="151"/>
      <c r="K104" s="152"/>
      <c r="L104" s="86">
        <f t="shared" ref="L104:P104" si="34">L38</f>
        <v>245.77749124033852</v>
      </c>
      <c r="M104" s="86">
        <f t="shared" si="34"/>
        <v>350.36037377011712</v>
      </c>
      <c r="N104" s="86">
        <f t="shared" si="34"/>
        <v>431.4773042743625</v>
      </c>
      <c r="O104" s="86">
        <f t="shared" si="34"/>
        <v>759.34553054575576</v>
      </c>
      <c r="P104" s="86">
        <f t="shared" si="34"/>
        <v>900.99443246264491</v>
      </c>
    </row>
    <row r="105" spans="2:16" x14ac:dyDescent="0.25">
      <c r="C105" s="147" t="s">
        <v>561</v>
      </c>
      <c r="E105" s="122" t="s">
        <v>528</v>
      </c>
      <c r="G105" s="153"/>
      <c r="H105" s="154"/>
      <c r="I105" s="154"/>
      <c r="J105" s="154"/>
      <c r="K105" s="155"/>
      <c r="L105" s="109" cm="1">
        <f t="array" ref="L105">INDEX(model!$N50:$AZ50,,MATCH('Financial Output'!L$10,model!$N$2:$AZ$2,0))</f>
        <v>114.42621750000001</v>
      </c>
      <c r="M105" s="109" cm="1">
        <f t="array" ref="M105">INDEX(model!$N50:$AZ50,,MATCH('Financial Output'!M$10,model!$N$2:$AZ$2,0))</f>
        <v>100.69507140000002</v>
      </c>
      <c r="N105" s="109" cm="1">
        <f t="array" ref="N105">INDEX(model!$N50:$AZ50,,MATCH('Financial Output'!N$10,model!$N$2:$AZ$2,0))</f>
        <v>109.75762782600003</v>
      </c>
      <c r="O105" s="109" cm="1">
        <f t="array" ref="O105">INDEX(model!$N50:$AZ50,,MATCH('Financial Output'!O$10,model!$N$2:$AZ$2,0))</f>
        <v>120.73339060860005</v>
      </c>
      <c r="P105" s="109" cm="1">
        <f t="array" ref="P105">INDEX(model!$N50:$AZ50,,MATCH('Financial Output'!P$10,model!$N$2:$AZ$2,0))</f>
        <v>132.80672966946005</v>
      </c>
    </row>
    <row r="106" spans="2:16" x14ac:dyDescent="0.25">
      <c r="C106" s="147" t="s">
        <v>562</v>
      </c>
      <c r="E106" s="122" t="s">
        <v>528</v>
      </c>
      <c r="G106" s="153"/>
      <c r="H106" s="154"/>
      <c r="I106" s="154"/>
      <c r="J106" s="154"/>
      <c r="K106" s="155"/>
      <c r="L106" s="109">
        <f>SUM(INDEX(model!$N51:$AZ54,,MATCH('Financial Output'!L$10,model!$N$2:$AZ$2,0)))</f>
        <v>502.55113791723124</v>
      </c>
      <c r="M106" s="109">
        <f>SUM(INDEX(model!$N51:$AZ54,,MATCH('Financial Output'!M$10,model!$N$2:$AZ$2,0)))</f>
        <v>272.63972963563992</v>
      </c>
      <c r="N106" s="109">
        <f>SUM(INDEX(model!$N51:$AZ54,,MATCH('Financial Output'!N$10,model!$N$2:$AZ$2,0)))</f>
        <v>364.83845367263689</v>
      </c>
      <c r="O106" s="109">
        <f>SUM(INDEX(model!$N51:$AZ54,,MATCH('Financial Output'!O$10,model!$N$2:$AZ$2,0)))</f>
        <v>166.43722904750243</v>
      </c>
      <c r="P106" s="109">
        <f>SUM(INDEX(model!$N51:$AZ54,,MATCH('Financial Output'!P$10,model!$N$2:$AZ$2,0)))</f>
        <v>88.692422820396786</v>
      </c>
    </row>
    <row r="107" spans="2:16" x14ac:dyDescent="0.25">
      <c r="C107" s="149" t="s">
        <v>563</v>
      </c>
      <c r="D107" s="100"/>
      <c r="E107" s="123" t="s">
        <v>528</v>
      </c>
      <c r="F107" s="100"/>
      <c r="G107" s="156"/>
      <c r="H107" s="157"/>
      <c r="I107" s="157"/>
      <c r="J107" s="157"/>
      <c r="K107" s="158"/>
      <c r="L107" s="114" cm="1">
        <f t="array" ref="L107">INDEX(model!$N55:$AZ55,,MATCH('Financial Output'!L$10,model!$N$2:$AZ$2,0))</f>
        <v>-364.20042665756961</v>
      </c>
      <c r="M107" s="114" cm="1">
        <f t="array" ref="M107">INDEX(model!$N55:$AZ55,,MATCH('Financial Output'!M$10,model!$N$2:$AZ$2,0))</f>
        <v>-100.50214980575691</v>
      </c>
      <c r="N107" s="114" cm="1">
        <f t="array" ref="N107">INDEX(model!$N55:$AZ55,,MATCH('Financial Output'!N$10,model!$N$2:$AZ$2,0))</f>
        <v>-95.922453272999405</v>
      </c>
      <c r="O107" s="114" cm="1">
        <f t="array" ref="O107">INDEX(model!$N55:$AZ55,,MATCH('Financial Output'!O$10,model!$N$2:$AZ$2,0))</f>
        <v>-155.35012445185794</v>
      </c>
      <c r="P107" s="114" cm="1">
        <f t="array" ref="P107">INDEX(model!$N55:$AZ55,,MATCH('Financial Output'!P$10,model!$N$2:$AZ$2,0))</f>
        <v>-142.21095662750093</v>
      </c>
    </row>
    <row r="108" spans="2:16" ht="5.25" customHeight="1" x14ac:dyDescent="0.25"/>
    <row r="109" spans="2:16" x14ac:dyDescent="0.25">
      <c r="C109" s="28" t="s">
        <v>560</v>
      </c>
      <c r="E109" s="125" t="s">
        <v>528</v>
      </c>
      <c r="G109" s="159"/>
      <c r="H109" s="160"/>
      <c r="I109" s="160"/>
      <c r="J109" s="160"/>
      <c r="K109" s="161"/>
      <c r="L109" s="70">
        <f t="shared" ref="L109:P109" si="35">L104+L105+L106+L107</f>
        <v>498.55442000000011</v>
      </c>
      <c r="M109" s="70">
        <f t="shared" si="35"/>
        <v>623.19302500000003</v>
      </c>
      <c r="N109" s="70">
        <f t="shared" si="35"/>
        <v>810.15093250000007</v>
      </c>
      <c r="O109" s="70">
        <f t="shared" si="35"/>
        <v>891.16602575000024</v>
      </c>
      <c r="P109" s="70">
        <f t="shared" si="35"/>
        <v>980.28262832500081</v>
      </c>
    </row>
    <row r="111" spans="2:16" x14ac:dyDescent="0.25">
      <c r="C111" s="55" t="s">
        <v>564</v>
      </c>
    </row>
    <row r="112" spans="2:16" x14ac:dyDescent="0.25">
      <c r="C112" s="147" t="s">
        <v>565</v>
      </c>
      <c r="E112" s="122" t="s">
        <v>528</v>
      </c>
      <c r="G112" s="162"/>
      <c r="H112" s="163"/>
      <c r="I112" s="163"/>
      <c r="J112" s="163"/>
      <c r="K112" s="164"/>
      <c r="L112" s="109" cm="1">
        <f t="array" ref="L112">INDEX(model!$N60:$AZ60,,MATCH('Financial Output'!L$10,model!$N$2:$AZ$2,0))</f>
        <v>-137.31146100000001</v>
      </c>
      <c r="M112" s="109" cm="1">
        <f t="array" ref="M112">INDEX(model!$N60:$AZ60,,MATCH('Financial Output'!M$10,model!$N$2:$AZ$2,0))</f>
        <v>-151.04260710000003</v>
      </c>
      <c r="N112" s="109" cm="1">
        <f t="array" ref="N112">INDEX(model!$N60:$AZ60,,MATCH('Financial Output'!N$10,model!$N$2:$AZ$2,0))</f>
        <v>-164.63644173900002</v>
      </c>
      <c r="O112" s="109" cm="1">
        <f t="array" ref="O112">INDEX(model!$N60:$AZ60,,MATCH('Financial Output'!O$10,model!$N$2:$AZ$2,0))</f>
        <v>-181.10008591290006</v>
      </c>
      <c r="P112" s="109" cm="1">
        <f t="array" ref="P112">INDEX(model!$N60:$AZ60,,MATCH('Financial Output'!P$10,model!$N$2:$AZ$2,0))</f>
        <v>-199.21009450419007</v>
      </c>
    </row>
    <row r="113" spans="2:16" x14ac:dyDescent="0.25">
      <c r="C113" s="147" t="s">
        <v>425</v>
      </c>
      <c r="E113" s="122" t="s">
        <v>528</v>
      </c>
      <c r="G113" s="165"/>
      <c r="H113" s="166"/>
      <c r="I113" s="166"/>
      <c r="J113" s="166"/>
      <c r="K113" s="167"/>
      <c r="L113" s="109" cm="1">
        <f t="array" ref="L113">INDEX(model!$N58:$AZ58,,MATCH('Financial Output'!L$10,model!$N$2:$AZ$2,0))</f>
        <v>0</v>
      </c>
      <c r="M113" s="109" cm="1">
        <f t="array" ref="M113">INDEX(model!$N58:$AZ58,,MATCH('Financial Output'!M$10,model!$N$2:$AZ$2,0))</f>
        <v>0</v>
      </c>
      <c r="N113" s="109" cm="1">
        <f t="array" ref="N113">INDEX(model!$N58:$AZ58,,MATCH('Financial Output'!N$10,model!$N$2:$AZ$2,0))</f>
        <v>0</v>
      </c>
      <c r="O113" s="109" cm="1">
        <f t="array" ref="O113">INDEX(model!$N58:$AZ58,,MATCH('Financial Output'!O$10,model!$N$2:$AZ$2,0))</f>
        <v>0</v>
      </c>
      <c r="P113" s="109" cm="1">
        <f t="array" ref="P113">INDEX(model!$N58:$AZ58,,MATCH('Financial Output'!P$10,model!$N$2:$AZ$2,0))</f>
        <v>0</v>
      </c>
    </row>
    <row r="114" spans="2:16" x14ac:dyDescent="0.25">
      <c r="C114" s="147" t="s">
        <v>421</v>
      </c>
      <c r="E114" s="122" t="s">
        <v>528</v>
      </c>
      <c r="G114" s="165"/>
      <c r="H114" s="166"/>
      <c r="I114" s="166"/>
      <c r="J114" s="166"/>
      <c r="K114" s="167"/>
      <c r="L114" s="109" cm="1">
        <f t="array" ref="L114">INDEX(model!$N59:$AZ59,,MATCH('Financial Output'!L$10,model!$N$2:$AZ$2,0))</f>
        <v>0</v>
      </c>
      <c r="M114" s="109" cm="1">
        <f t="array" ref="M114">INDEX(model!$N59:$AZ59,,MATCH('Financial Output'!M$10,model!$N$2:$AZ$2,0))</f>
        <v>0</v>
      </c>
      <c r="N114" s="109" cm="1">
        <f t="array" ref="N114">INDEX(model!$N59:$AZ59,,MATCH('Financial Output'!N$10,model!$N$2:$AZ$2,0))</f>
        <v>0</v>
      </c>
      <c r="O114" s="109" cm="1">
        <f t="array" ref="O114">INDEX(model!$N59:$AZ59,,MATCH('Financial Output'!O$10,model!$N$2:$AZ$2,0))</f>
        <v>0</v>
      </c>
      <c r="P114" s="109" cm="1">
        <f t="array" ref="P114">INDEX(model!$N59:$AZ59,,MATCH('Financial Output'!P$10,model!$N$2:$AZ$2,0))</f>
        <v>0</v>
      </c>
    </row>
    <row r="115" spans="2:16" ht="5.25" customHeight="1" x14ac:dyDescent="0.25"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</row>
    <row r="116" spans="2:16" x14ac:dyDescent="0.25">
      <c r="C116" s="28" t="s">
        <v>564</v>
      </c>
      <c r="E116" s="125" t="s">
        <v>528</v>
      </c>
      <c r="G116" s="159"/>
      <c r="H116" s="160"/>
      <c r="I116" s="160"/>
      <c r="J116" s="160"/>
      <c r="K116" s="161"/>
      <c r="L116" s="70">
        <f t="shared" ref="L116:P116" si="36">L112+L113+L114</f>
        <v>-137.31146100000001</v>
      </c>
      <c r="M116" s="70">
        <f t="shared" si="36"/>
        <v>-151.04260710000003</v>
      </c>
      <c r="N116" s="70">
        <f t="shared" si="36"/>
        <v>-164.63644173900002</v>
      </c>
      <c r="O116" s="70">
        <f t="shared" si="36"/>
        <v>-181.10008591290006</v>
      </c>
      <c r="P116" s="70">
        <f t="shared" si="36"/>
        <v>-199.21009450419007</v>
      </c>
    </row>
    <row r="118" spans="2:16" x14ac:dyDescent="0.25">
      <c r="C118" s="55" t="s">
        <v>566</v>
      </c>
    </row>
    <row r="119" spans="2:16" x14ac:dyDescent="0.25">
      <c r="C119" s="147" t="s">
        <v>567</v>
      </c>
      <c r="E119" s="122" t="s">
        <v>528</v>
      </c>
      <c r="G119" s="168"/>
      <c r="H119" s="169"/>
      <c r="I119" s="169"/>
      <c r="J119" s="169"/>
      <c r="K119" s="170"/>
      <c r="L119" s="109" cm="1">
        <f t="array" ref="L119">INDEX(model!$N63:$AZ63,,MATCH('Financial Output'!L$10,model!$N$2:$AZ$2,0))</f>
        <v>0</v>
      </c>
      <c r="M119" s="109" cm="1">
        <f t="array" ref="M119">INDEX(model!$N63:$AZ63,,MATCH('Financial Output'!M$10,model!$N$2:$AZ$2,0))</f>
        <v>0</v>
      </c>
      <c r="N119" s="109" cm="1">
        <f t="array" ref="N119">INDEX(model!$N63:$AZ63,,MATCH('Financial Output'!N$10,model!$N$2:$AZ$2,0))</f>
        <v>0</v>
      </c>
      <c r="O119" s="109" cm="1">
        <f t="array" ref="O119">INDEX(model!$N63:$AZ63,,MATCH('Financial Output'!O$10,model!$N$2:$AZ$2,0))</f>
        <v>0</v>
      </c>
      <c r="P119" s="109" cm="1">
        <f t="array" ref="P119">INDEX(model!$N63:$AZ63,,MATCH('Financial Output'!P$10,model!$N$2:$AZ$2,0))</f>
        <v>0</v>
      </c>
    </row>
    <row r="120" spans="2:16" x14ac:dyDescent="0.25">
      <c r="C120" s="147" t="s">
        <v>568</v>
      </c>
      <c r="E120" s="122" t="s">
        <v>528</v>
      </c>
      <c r="G120" s="153"/>
      <c r="H120" s="154"/>
      <c r="I120" s="154"/>
      <c r="J120" s="154"/>
      <c r="K120" s="155"/>
      <c r="L120" s="109">
        <f>SUM(INDEX(model!$N65:$AZ66,,MATCH('Financial Output'!L$10,model!$N$2:$AZ$2,0)))</f>
        <v>-50.454896740000009</v>
      </c>
      <c r="M120" s="109">
        <f>SUM(INDEX(model!$N65:$AZ66,,MATCH('Financial Output'!M$10,model!$N$2:$AZ$2,0)))</f>
        <v>-55.123486414000006</v>
      </c>
      <c r="N120" s="109">
        <f>SUM(INDEX(model!$N65:$AZ66,,MATCH('Financial Output'!N$10,model!$N$2:$AZ$2,0)))</f>
        <v>-59.745390191260029</v>
      </c>
      <c r="O120" s="109">
        <f>SUM(INDEX(model!$N65:$AZ66,,MATCH('Financial Output'!O$10,model!$N$2:$AZ$2,0)))</f>
        <v>-61.721027492128023</v>
      </c>
      <c r="P120" s="109">
        <f>SUM(INDEX(model!$N65:$AZ66,,MATCH('Financial Output'!P$10,model!$N$2:$AZ$2,0)))</f>
        <v>-63.532028351257026</v>
      </c>
    </row>
    <row r="121" spans="2:16" x14ac:dyDescent="0.25">
      <c r="C121" s="149" t="s">
        <v>569</v>
      </c>
      <c r="D121" s="100"/>
      <c r="E121" s="123" t="s">
        <v>528</v>
      </c>
      <c r="F121" s="100"/>
      <c r="G121" s="156"/>
      <c r="H121" s="157"/>
      <c r="I121" s="157"/>
      <c r="J121" s="157"/>
      <c r="K121" s="158"/>
      <c r="L121" s="114" cm="1">
        <f t="array" ref="L121">INDEX(model!$N64:$AZ64,,MATCH('Financial Output'!L$10,model!$N$2:$AZ$2,0))</f>
        <v>-278.86645380333329</v>
      </c>
      <c r="M121" s="114" cm="1">
        <f t="array" ref="M121">INDEX(model!$N64:$AZ64,,MATCH('Financial Output'!M$10,model!$N$2:$AZ$2,0))</f>
        <v>-273.41976585033331</v>
      </c>
      <c r="N121" s="114" cm="1">
        <f t="array" ref="N121">INDEX(model!$N64:$AZ64,,MATCH('Financial Output'!N$10,model!$N$2:$AZ$2,0))</f>
        <v>-268.02754477686329</v>
      </c>
      <c r="O121" s="114" cm="1">
        <f t="array" ref="O121">INDEX(model!$N64:$AZ64,,MATCH('Financial Output'!O$10,model!$N$2:$AZ$2,0))</f>
        <v>-182.38930125918398</v>
      </c>
      <c r="P121" s="114" cm="1">
        <f t="array" ref="P121">INDEX(model!$N64:$AZ64,,MATCH('Financial Output'!P$10,model!$N$2:$AZ$2,0))</f>
        <v>-180.27646692353346</v>
      </c>
    </row>
    <row r="122" spans="2:16" ht="5.25" customHeight="1" x14ac:dyDescent="0.25"/>
    <row r="123" spans="2:16" x14ac:dyDescent="0.25">
      <c r="C123" s="28" t="s">
        <v>570</v>
      </c>
      <c r="E123" s="125" t="s">
        <v>528</v>
      </c>
      <c r="G123" s="159"/>
      <c r="H123" s="160"/>
      <c r="I123" s="160"/>
      <c r="J123" s="160"/>
      <c r="K123" s="161"/>
      <c r="L123" s="70">
        <f t="shared" ref="L123:P123" si="37">L119+L120+L121</f>
        <v>-329.32135054333332</v>
      </c>
      <c r="M123" s="70">
        <f t="shared" si="37"/>
        <v>-328.54325226433332</v>
      </c>
      <c r="N123" s="70">
        <f t="shared" si="37"/>
        <v>-327.77293496812331</v>
      </c>
      <c r="O123" s="70">
        <f t="shared" si="37"/>
        <v>-244.11032875131201</v>
      </c>
      <c r="P123" s="70">
        <f t="shared" si="37"/>
        <v>-243.80849527479049</v>
      </c>
    </row>
    <row r="124" spans="2:16" ht="5.25" customHeight="1" x14ac:dyDescent="0.25"/>
    <row r="125" spans="2:16" x14ac:dyDescent="0.25">
      <c r="C125" s="28" t="s">
        <v>571</v>
      </c>
      <c r="D125" s="28"/>
      <c r="E125" s="125" t="s">
        <v>528</v>
      </c>
      <c r="G125" s="159"/>
      <c r="H125" s="160"/>
      <c r="I125" s="160"/>
      <c r="J125" s="160"/>
      <c r="K125" s="161"/>
      <c r="L125" s="70">
        <f t="shared" ref="L125:P125" si="38">L123+L116+L109</f>
        <v>31.921608456666775</v>
      </c>
      <c r="M125" s="70">
        <f t="shared" si="38"/>
        <v>143.60716563566666</v>
      </c>
      <c r="N125" s="70">
        <f t="shared" si="38"/>
        <v>317.74155579287674</v>
      </c>
      <c r="O125" s="70">
        <f t="shared" si="38"/>
        <v>465.95561108578818</v>
      </c>
      <c r="P125" s="70">
        <f t="shared" si="38"/>
        <v>537.26403854602029</v>
      </c>
    </row>
    <row r="126" spans="2:16" ht="5.25" customHeight="1" x14ac:dyDescent="0.25"/>
    <row r="127" spans="2:16" x14ac:dyDescent="0.25">
      <c r="B127" s="95">
        <v>4</v>
      </c>
      <c r="C127" s="95" t="s">
        <v>572</v>
      </c>
      <c r="D127" s="95"/>
      <c r="E127" s="101" t="s">
        <v>32</v>
      </c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</row>
    <row r="128" spans="2:16" ht="5.25" customHeight="1" x14ac:dyDescent="0.25"/>
    <row r="129" spans="3:3" x14ac:dyDescent="0.25">
      <c r="C129" s="28" t="s">
        <v>573</v>
      </c>
    </row>
    <row r="146" spans="3:3" x14ac:dyDescent="0.25">
      <c r="C146" s="28" t="s">
        <v>574</v>
      </c>
    </row>
  </sheetData>
  <conditionalFormatting sqref="G10:P10">
    <cfRule type="expression" dxfId="48" priority="5">
      <formula>G10 &gt;= estimate_start</formula>
    </cfRule>
    <cfRule type="expression" dxfId="47" priority="6">
      <formula>G10 &lt; estimate_start</formula>
    </cfRule>
  </conditionalFormatting>
  <conditionalFormatting sqref="G49:P49">
    <cfRule type="expression" dxfId="46" priority="3">
      <formula>G49 &gt;= estimate_start</formula>
    </cfRule>
    <cfRule type="expression" dxfId="45" priority="4">
      <formula>G49 &lt; estimate_start</formula>
    </cfRule>
  </conditionalFormatting>
  <conditionalFormatting sqref="G101:P101">
    <cfRule type="expression" dxfId="44" priority="1">
      <formula>G101 &gt;= estimate_start</formula>
    </cfRule>
    <cfRule type="expression" dxfId="43" priority="2">
      <formula>G101 &lt; estimate_start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E5AF0-7FFE-47B8-9897-E4DDDA8759F5}">
  <dimension ref="B3:AM102"/>
  <sheetViews>
    <sheetView topLeftCell="A3" workbookViewId="0">
      <pane xSplit="4" topLeftCell="E1" activePane="topRight" state="frozen"/>
      <selection pane="topRight" activeCell="D10" sqref="D10"/>
    </sheetView>
  </sheetViews>
  <sheetFormatPr defaultColWidth="9.140625" defaultRowHeight="12.75" x14ac:dyDescent="0.2"/>
  <cols>
    <col min="1" max="1" width="4.7109375" style="34" customWidth="1"/>
    <col min="2" max="16384" width="9.140625" style="34"/>
  </cols>
  <sheetData>
    <row r="3" spans="2:10" x14ac:dyDescent="0.2">
      <c r="B3" s="28" t="s">
        <v>479</v>
      </c>
      <c r="F3" s="61">
        <f>estimate_start</f>
        <v>2025</v>
      </c>
      <c r="G3" s="61">
        <f>F3+1</f>
        <v>2026</v>
      </c>
      <c r="H3" s="61">
        <f t="shared" ref="H3" si="0">G3+1</f>
        <v>2027</v>
      </c>
      <c r="I3" s="61">
        <f t="shared" ref="I3" si="1">H3+1</f>
        <v>2028</v>
      </c>
      <c r="J3" s="61">
        <f t="shared" ref="J3" si="2">I3+1</f>
        <v>2029</v>
      </c>
    </row>
    <row r="4" spans="2:10" x14ac:dyDescent="0.2">
      <c r="C4" s="75" t="s">
        <v>480</v>
      </c>
      <c r="F4" s="81">
        <v>4.1099999999999998E-2</v>
      </c>
      <c r="G4" s="81">
        <v>3.3599999999999998E-2</v>
      </c>
      <c r="H4" s="81">
        <v>3.4099999999999998E-2</v>
      </c>
      <c r="I4" s="81">
        <v>3.56E-2</v>
      </c>
      <c r="J4" s="81">
        <v>3.7100000000000001E-2</v>
      </c>
    </row>
    <row r="9" spans="2:10" x14ac:dyDescent="0.2">
      <c r="B9" s="28" t="s">
        <v>463</v>
      </c>
    </row>
    <row r="10" spans="2:10" x14ac:dyDescent="0.2">
      <c r="B10" s="34" t="s">
        <v>464</v>
      </c>
      <c r="D10" s="53" t="s">
        <v>508</v>
      </c>
    </row>
    <row r="11" spans="2:10" x14ac:dyDescent="0.2">
      <c r="B11" s="34" t="s">
        <v>465</v>
      </c>
      <c r="D11" s="52">
        <f>IF(scenario_name = "Bear", 1, IF(scenario_name = "Street", 2, IF(scenario_name = "Bull", 3, "")))</f>
        <v>2</v>
      </c>
    </row>
    <row r="13" spans="2:10" x14ac:dyDescent="0.2">
      <c r="F13" s="61"/>
      <c r="G13" s="61"/>
      <c r="H13" s="61"/>
      <c r="I13" s="61"/>
      <c r="J13" s="61"/>
    </row>
    <row r="14" spans="2:10" x14ac:dyDescent="0.2">
      <c r="C14" s="34" t="s">
        <v>443</v>
      </c>
      <c r="F14" s="62">
        <f t="shared" ref="F14:J21" si="3">CHOOSE(scenario_number,F39,F61,F83)</f>
        <v>0.14000000000000001</v>
      </c>
      <c r="G14" s="62">
        <f t="shared" si="3"/>
        <v>0.1</v>
      </c>
      <c r="H14" s="62">
        <f t="shared" si="3"/>
        <v>0.09</v>
      </c>
      <c r="I14" s="62">
        <f t="shared" si="3"/>
        <v>0.1</v>
      </c>
      <c r="J14" s="62">
        <f t="shared" si="3"/>
        <v>0.1</v>
      </c>
    </row>
    <row r="15" spans="2:10" x14ac:dyDescent="0.2">
      <c r="C15" s="34" t="s">
        <v>444</v>
      </c>
      <c r="F15" s="62">
        <f t="shared" si="3"/>
        <v>0.57999999999999996</v>
      </c>
      <c r="G15" s="62">
        <f t="shared" si="3"/>
        <v>0.56000000000000005</v>
      </c>
      <c r="H15" s="62">
        <f t="shared" si="3"/>
        <v>0.55000000000000004</v>
      </c>
      <c r="I15" s="62">
        <f t="shared" si="3"/>
        <v>0.5</v>
      </c>
      <c r="J15" s="62">
        <f t="shared" si="3"/>
        <v>0.5</v>
      </c>
    </row>
    <row r="16" spans="2:10" x14ac:dyDescent="0.2">
      <c r="C16" s="34" t="s">
        <v>445</v>
      </c>
      <c r="F16" s="62">
        <f t="shared" si="3"/>
        <v>0.17</v>
      </c>
      <c r="G16" s="62">
        <f t="shared" si="3"/>
        <v>0.17</v>
      </c>
      <c r="H16" s="62">
        <f t="shared" si="3"/>
        <v>0.17</v>
      </c>
      <c r="I16" s="62">
        <f t="shared" si="3"/>
        <v>0.17</v>
      </c>
      <c r="J16" s="62">
        <f t="shared" si="3"/>
        <v>0.17</v>
      </c>
    </row>
    <row r="17" spans="3:10" x14ac:dyDescent="0.2">
      <c r="C17" s="34" t="s">
        <v>446</v>
      </c>
      <c r="F17" s="62">
        <f t="shared" si="3"/>
        <v>0.17</v>
      </c>
      <c r="G17" s="62">
        <f t="shared" si="3"/>
        <v>0.17</v>
      </c>
      <c r="H17" s="62">
        <f t="shared" si="3"/>
        <v>0.17</v>
      </c>
      <c r="I17" s="62">
        <f t="shared" si="3"/>
        <v>0.16</v>
      </c>
      <c r="J17" s="62">
        <f t="shared" si="3"/>
        <v>0.15</v>
      </c>
    </row>
    <row r="18" spans="3:10" x14ac:dyDescent="0.2">
      <c r="C18" s="34" t="s">
        <v>447</v>
      </c>
      <c r="F18" s="62">
        <f t="shared" si="3"/>
        <v>2.5000000000000001E-2</v>
      </c>
      <c r="G18" s="62">
        <f t="shared" si="3"/>
        <v>0.02</v>
      </c>
      <c r="H18" s="62">
        <f t="shared" si="3"/>
        <v>0.02</v>
      </c>
      <c r="I18" s="62">
        <f t="shared" si="3"/>
        <v>0.02</v>
      </c>
      <c r="J18" s="62">
        <f t="shared" si="3"/>
        <v>0.02</v>
      </c>
    </row>
    <row r="19" spans="3:10" x14ac:dyDescent="0.2">
      <c r="C19" s="34" t="s">
        <v>451</v>
      </c>
      <c r="F19" s="62">
        <f t="shared" si="3"/>
        <v>1.2</v>
      </c>
      <c r="G19" s="62">
        <f t="shared" si="3"/>
        <v>1.2</v>
      </c>
      <c r="H19" s="62">
        <f t="shared" si="3"/>
        <v>1.2</v>
      </c>
      <c r="I19" s="62">
        <f t="shared" si="3"/>
        <v>1.2</v>
      </c>
      <c r="J19" s="62">
        <f t="shared" si="3"/>
        <v>1.2</v>
      </c>
    </row>
    <row r="20" spans="3:10" x14ac:dyDescent="0.2">
      <c r="C20" s="34" t="s">
        <v>449</v>
      </c>
      <c r="F20" s="62">
        <f t="shared" si="3"/>
        <v>0.05</v>
      </c>
      <c r="G20" s="62">
        <f t="shared" si="3"/>
        <v>0.05</v>
      </c>
      <c r="H20" s="62">
        <f t="shared" si="3"/>
        <v>0.05</v>
      </c>
      <c r="I20" s="62">
        <f t="shared" si="3"/>
        <v>0.05</v>
      </c>
      <c r="J20" s="62">
        <f t="shared" si="3"/>
        <v>0.05</v>
      </c>
    </row>
    <row r="21" spans="3:10" x14ac:dyDescent="0.2">
      <c r="C21" s="34" t="s">
        <v>448</v>
      </c>
      <c r="F21" s="62">
        <f t="shared" si="3"/>
        <v>0.25</v>
      </c>
      <c r="G21" s="62">
        <f t="shared" si="3"/>
        <v>0.25</v>
      </c>
      <c r="H21" s="62">
        <f t="shared" si="3"/>
        <v>0.25</v>
      </c>
      <c r="I21" s="62">
        <f t="shared" si="3"/>
        <v>0.25</v>
      </c>
      <c r="J21" s="62">
        <f t="shared" si="3"/>
        <v>0.25</v>
      </c>
    </row>
    <row r="22" spans="3:10" x14ac:dyDescent="0.2">
      <c r="F22" s="63"/>
      <c r="G22" s="63"/>
      <c r="H22" s="63"/>
      <c r="I22" s="63"/>
      <c r="J22" s="63"/>
    </row>
    <row r="23" spans="3:10" x14ac:dyDescent="0.2">
      <c r="C23" s="34" t="s">
        <v>454</v>
      </c>
      <c r="F23" s="62">
        <f t="shared" ref="F23:J30" si="4">CHOOSE(scenario_number,F48,F70,F92)</f>
        <v>0.25</v>
      </c>
      <c r="G23" s="62">
        <f t="shared" si="4"/>
        <v>0.23749999999999999</v>
      </c>
      <c r="H23" s="62">
        <f t="shared" si="4"/>
        <v>0.22562499999999999</v>
      </c>
      <c r="I23" s="62">
        <f t="shared" si="4"/>
        <v>0.21434374999999997</v>
      </c>
      <c r="J23" s="62">
        <f t="shared" si="4"/>
        <v>0.20362656249999997</v>
      </c>
    </row>
    <row r="24" spans="3:10" x14ac:dyDescent="0.2">
      <c r="C24" s="34" t="s">
        <v>455</v>
      </c>
      <c r="F24" s="62">
        <f t="shared" si="4"/>
        <v>0.2</v>
      </c>
      <c r="G24" s="62">
        <f t="shared" si="4"/>
        <v>0.2</v>
      </c>
      <c r="H24" s="62">
        <f t="shared" si="4"/>
        <v>0.2</v>
      </c>
      <c r="I24" s="62">
        <f t="shared" si="4"/>
        <v>0.2</v>
      </c>
      <c r="J24" s="62">
        <f t="shared" si="4"/>
        <v>0.2</v>
      </c>
    </row>
    <row r="25" spans="3:10" x14ac:dyDescent="0.2">
      <c r="C25" s="34" t="s">
        <v>456</v>
      </c>
      <c r="F25" s="62">
        <f t="shared" si="4"/>
        <v>0.4</v>
      </c>
      <c r="G25" s="62">
        <f t="shared" si="4"/>
        <v>0.4</v>
      </c>
      <c r="H25" s="62">
        <f t="shared" si="4"/>
        <v>0.4</v>
      </c>
      <c r="I25" s="62">
        <f t="shared" si="4"/>
        <v>0.4</v>
      </c>
      <c r="J25" s="62">
        <f t="shared" si="4"/>
        <v>0.4</v>
      </c>
    </row>
    <row r="26" spans="3:10" x14ac:dyDescent="0.2">
      <c r="C26" s="34" t="s">
        <v>441</v>
      </c>
      <c r="F26" s="62">
        <f t="shared" si="4"/>
        <v>0</v>
      </c>
      <c r="G26" s="62">
        <f t="shared" si="4"/>
        <v>0</v>
      </c>
      <c r="H26" s="62">
        <f t="shared" si="4"/>
        <v>0</v>
      </c>
      <c r="I26" s="62">
        <f t="shared" si="4"/>
        <v>0</v>
      </c>
      <c r="J26" s="62">
        <f t="shared" si="4"/>
        <v>0</v>
      </c>
    </row>
    <row r="27" spans="3:10" x14ac:dyDescent="0.2">
      <c r="C27" s="34" t="s">
        <v>457</v>
      </c>
      <c r="F27" s="62">
        <f t="shared" si="4"/>
        <v>0.03</v>
      </c>
      <c r="G27" s="62">
        <f t="shared" si="4"/>
        <v>0.03</v>
      </c>
      <c r="H27" s="62">
        <f t="shared" si="4"/>
        <v>0.03</v>
      </c>
      <c r="I27" s="62">
        <f t="shared" si="4"/>
        <v>0.03</v>
      </c>
      <c r="J27" s="62">
        <f t="shared" si="4"/>
        <v>0.03</v>
      </c>
    </row>
    <row r="28" spans="3:10" x14ac:dyDescent="0.2">
      <c r="C28" s="34" t="s">
        <v>458</v>
      </c>
      <c r="F28" s="62">
        <f t="shared" si="4"/>
        <v>0.1</v>
      </c>
      <c r="G28" s="62">
        <f t="shared" si="4"/>
        <v>0.1</v>
      </c>
      <c r="H28" s="62">
        <f t="shared" si="4"/>
        <v>0.1</v>
      </c>
      <c r="I28" s="62">
        <f t="shared" si="4"/>
        <v>0.1</v>
      </c>
      <c r="J28" s="62">
        <f t="shared" si="4"/>
        <v>0.1</v>
      </c>
    </row>
    <row r="29" spans="3:10" x14ac:dyDescent="0.2">
      <c r="C29" s="75" t="s">
        <v>494</v>
      </c>
      <c r="F29" s="62">
        <f t="shared" si="4"/>
        <v>0.25</v>
      </c>
      <c r="G29" s="62">
        <f t="shared" si="4"/>
        <v>0.25</v>
      </c>
      <c r="H29" s="62">
        <f t="shared" si="4"/>
        <v>0.25</v>
      </c>
      <c r="I29" s="62">
        <f t="shared" si="4"/>
        <v>0.25</v>
      </c>
      <c r="J29" s="62">
        <f t="shared" si="4"/>
        <v>0.25</v>
      </c>
    </row>
    <row r="30" spans="3:10" x14ac:dyDescent="0.2">
      <c r="C30" s="34" t="s">
        <v>459</v>
      </c>
      <c r="F30" s="62">
        <f t="shared" si="4"/>
        <v>0.04</v>
      </c>
      <c r="G30" s="62">
        <f t="shared" si="4"/>
        <v>0.04</v>
      </c>
      <c r="H30" s="62">
        <f t="shared" si="4"/>
        <v>0.04</v>
      </c>
      <c r="I30" s="62">
        <f t="shared" si="4"/>
        <v>0.04</v>
      </c>
      <c r="J30" s="62">
        <f t="shared" si="4"/>
        <v>0.04</v>
      </c>
    </row>
    <row r="31" spans="3:10" x14ac:dyDescent="0.2">
      <c r="F31" s="63"/>
      <c r="G31" s="63"/>
      <c r="H31" s="63"/>
      <c r="I31" s="63"/>
      <c r="J31" s="63"/>
    </row>
    <row r="32" spans="3:10" x14ac:dyDescent="0.2">
      <c r="C32" s="34" t="s">
        <v>461</v>
      </c>
      <c r="F32" s="62">
        <f t="shared" ref="F32:J33" si="5">CHOOSE(scenario_number,F57,F79,F101)</f>
        <v>-0.02</v>
      </c>
      <c r="G32" s="62">
        <f t="shared" si="5"/>
        <v>0.25</v>
      </c>
      <c r="H32" s="62">
        <f t="shared" si="5"/>
        <v>0.3</v>
      </c>
      <c r="I32" s="62">
        <f t="shared" si="5"/>
        <v>0.1</v>
      </c>
      <c r="J32" s="62">
        <f t="shared" si="5"/>
        <v>0.1</v>
      </c>
    </row>
    <row r="33" spans="2:39" x14ac:dyDescent="0.2">
      <c r="C33" s="34" t="s">
        <v>462</v>
      </c>
      <c r="F33" s="62">
        <f t="shared" si="5"/>
        <v>0.2</v>
      </c>
      <c r="G33" s="62">
        <f t="shared" si="5"/>
        <v>0.2</v>
      </c>
      <c r="H33" s="62">
        <f t="shared" si="5"/>
        <v>0.2</v>
      </c>
      <c r="I33" s="62">
        <f t="shared" si="5"/>
        <v>0.2</v>
      </c>
      <c r="J33" s="62">
        <f t="shared" si="5"/>
        <v>0.2</v>
      </c>
    </row>
    <row r="38" spans="2:39" x14ac:dyDescent="0.2">
      <c r="B38" s="55" t="s">
        <v>466</v>
      </c>
      <c r="C38" s="56"/>
      <c r="D38" s="64">
        <v>1</v>
      </c>
      <c r="E38" s="54"/>
      <c r="F38" s="57">
        <f>estimate_start</f>
        <v>2025</v>
      </c>
      <c r="G38" s="57">
        <f>+F38+1</f>
        <v>2026</v>
      </c>
      <c r="H38" s="57">
        <f t="shared" ref="H38:J38" si="6">+G38+1</f>
        <v>2027</v>
      </c>
      <c r="I38" s="57">
        <f t="shared" si="6"/>
        <v>2028</v>
      </c>
      <c r="J38" s="57">
        <f t="shared" si="6"/>
        <v>2029</v>
      </c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</row>
    <row r="39" spans="2:39" x14ac:dyDescent="0.2">
      <c r="C39" s="34" t="s">
        <v>443</v>
      </c>
      <c r="F39" s="58">
        <v>0.05</v>
      </c>
      <c r="G39" s="58">
        <v>0.05</v>
      </c>
      <c r="H39" s="58">
        <v>0.05</v>
      </c>
      <c r="I39" s="58">
        <v>0.05</v>
      </c>
      <c r="J39" s="58">
        <v>0.05</v>
      </c>
    </row>
    <row r="40" spans="2:39" x14ac:dyDescent="0.2">
      <c r="C40" s="34" t="s">
        <v>444</v>
      </c>
      <c r="F40" s="58">
        <v>0.55000000000000004</v>
      </c>
      <c r="G40" s="58">
        <v>0.55000000000000004</v>
      </c>
      <c r="H40" s="58">
        <v>0.55000000000000004</v>
      </c>
      <c r="I40" s="58">
        <v>0.55000000000000004</v>
      </c>
      <c r="J40" s="58">
        <v>0.55000000000000004</v>
      </c>
    </row>
    <row r="41" spans="2:39" x14ac:dyDescent="0.2">
      <c r="C41" s="34" t="s">
        <v>445</v>
      </c>
      <c r="F41" s="58">
        <v>0.17</v>
      </c>
      <c r="G41" s="58">
        <v>0.17</v>
      </c>
      <c r="H41" s="58">
        <v>0.17</v>
      </c>
      <c r="I41" s="58">
        <v>0.17</v>
      </c>
      <c r="J41" s="58">
        <v>0.17</v>
      </c>
    </row>
    <row r="42" spans="2:39" x14ac:dyDescent="0.2">
      <c r="C42" s="34" t="s">
        <v>446</v>
      </c>
      <c r="F42" s="58">
        <v>0.2</v>
      </c>
      <c r="G42" s="58">
        <v>0.2</v>
      </c>
      <c r="H42" s="58">
        <v>0.2</v>
      </c>
      <c r="I42" s="58">
        <v>0.2</v>
      </c>
      <c r="J42" s="58">
        <v>0.2</v>
      </c>
    </row>
    <row r="43" spans="2:39" x14ac:dyDescent="0.2">
      <c r="C43" s="34" t="s">
        <v>447</v>
      </c>
      <c r="F43" s="58">
        <v>0.04</v>
      </c>
      <c r="G43" s="58">
        <v>0.04</v>
      </c>
      <c r="H43" s="58">
        <v>0.04</v>
      </c>
      <c r="I43" s="58">
        <v>0.04</v>
      </c>
      <c r="J43" s="58">
        <v>0.04</v>
      </c>
    </row>
    <row r="44" spans="2:39" x14ac:dyDescent="0.2">
      <c r="C44" s="34" t="s">
        <v>451</v>
      </c>
      <c r="F44" s="58">
        <v>1.2</v>
      </c>
      <c r="G44" s="58">
        <v>1.2</v>
      </c>
      <c r="H44" s="58">
        <v>1.2</v>
      </c>
      <c r="I44" s="58">
        <v>1.2</v>
      </c>
      <c r="J44" s="58">
        <v>1.2</v>
      </c>
    </row>
    <row r="45" spans="2:39" x14ac:dyDescent="0.2">
      <c r="C45" s="34" t="s">
        <v>449</v>
      </c>
      <c r="F45" s="58">
        <v>0.05</v>
      </c>
      <c r="G45" s="58">
        <v>0.05</v>
      </c>
      <c r="H45" s="58">
        <v>0.05</v>
      </c>
      <c r="I45" s="58">
        <v>0.05</v>
      </c>
      <c r="J45" s="58">
        <v>0.05</v>
      </c>
    </row>
    <row r="46" spans="2:39" x14ac:dyDescent="0.2">
      <c r="C46" s="34" t="s">
        <v>448</v>
      </c>
      <c r="F46" s="58">
        <v>0.2</v>
      </c>
      <c r="G46" s="58">
        <v>0.2</v>
      </c>
      <c r="H46" s="58">
        <v>0.2</v>
      </c>
      <c r="I46" s="58">
        <v>0.2</v>
      </c>
      <c r="J46" s="58">
        <v>0.2</v>
      </c>
    </row>
    <row r="48" spans="2:39" x14ac:dyDescent="0.2">
      <c r="C48" s="34" t="s">
        <v>454</v>
      </c>
      <c r="F48" s="58">
        <v>0.25</v>
      </c>
      <c r="G48" s="58">
        <v>0.25</v>
      </c>
      <c r="H48" s="58">
        <v>0.25</v>
      </c>
      <c r="I48" s="58">
        <v>0.25</v>
      </c>
      <c r="J48" s="58">
        <v>0.25</v>
      </c>
    </row>
    <row r="49" spans="2:39" x14ac:dyDescent="0.2">
      <c r="C49" s="34" t="s">
        <v>455</v>
      </c>
      <c r="F49" s="58">
        <v>0.2</v>
      </c>
      <c r="G49" s="58">
        <v>0.2</v>
      </c>
      <c r="H49" s="58">
        <v>0.2</v>
      </c>
      <c r="I49" s="58">
        <v>0.2</v>
      </c>
      <c r="J49" s="58">
        <v>0.2</v>
      </c>
    </row>
    <row r="50" spans="2:39" x14ac:dyDescent="0.2">
      <c r="C50" s="34" t="s">
        <v>456</v>
      </c>
      <c r="F50" s="58">
        <v>0.4</v>
      </c>
      <c r="G50" s="58">
        <v>0.4</v>
      </c>
      <c r="H50" s="58">
        <v>0.4</v>
      </c>
      <c r="I50" s="58">
        <v>0.4</v>
      </c>
      <c r="J50" s="58">
        <v>0.4</v>
      </c>
    </row>
    <row r="51" spans="2:39" x14ac:dyDescent="0.2">
      <c r="C51" s="34" t="s">
        <v>441</v>
      </c>
      <c r="F51" s="60"/>
      <c r="G51" s="60"/>
      <c r="H51" s="60"/>
      <c r="I51" s="60"/>
      <c r="J51" s="60"/>
    </row>
    <row r="52" spans="2:39" x14ac:dyDescent="0.2">
      <c r="C52" s="34" t="s">
        <v>457</v>
      </c>
      <c r="F52" s="58">
        <v>0.03</v>
      </c>
      <c r="G52" s="58">
        <v>0.03</v>
      </c>
      <c r="H52" s="58">
        <v>0.03</v>
      </c>
      <c r="I52" s="58">
        <v>0.03</v>
      </c>
      <c r="J52" s="58">
        <v>0.03</v>
      </c>
    </row>
    <row r="53" spans="2:39" x14ac:dyDescent="0.2">
      <c r="C53" s="34" t="s">
        <v>458</v>
      </c>
      <c r="F53" s="58">
        <v>0.2</v>
      </c>
      <c r="G53" s="58">
        <v>0.2</v>
      </c>
      <c r="H53" s="58">
        <v>0.2</v>
      </c>
      <c r="I53" s="58">
        <v>0.2</v>
      </c>
      <c r="J53" s="58">
        <v>0.2</v>
      </c>
    </row>
    <row r="54" spans="2:39" x14ac:dyDescent="0.2">
      <c r="C54" s="75" t="s">
        <v>494</v>
      </c>
      <c r="F54" s="58">
        <v>0.25</v>
      </c>
      <c r="G54" s="58">
        <v>0.25</v>
      </c>
      <c r="H54" s="58">
        <v>0.25</v>
      </c>
      <c r="I54" s="58">
        <v>0.25</v>
      </c>
      <c r="J54" s="58">
        <v>0.25</v>
      </c>
    </row>
    <row r="55" spans="2:39" x14ac:dyDescent="0.2">
      <c r="C55" s="34" t="s">
        <v>459</v>
      </c>
      <c r="F55" s="58">
        <v>0.04</v>
      </c>
      <c r="G55" s="58">
        <v>0.04</v>
      </c>
      <c r="H55" s="58">
        <v>0.04</v>
      </c>
      <c r="I55" s="58">
        <v>0.04</v>
      </c>
      <c r="J55" s="58">
        <v>0.04</v>
      </c>
    </row>
    <row r="57" spans="2:39" x14ac:dyDescent="0.2">
      <c r="C57" s="34" t="s">
        <v>461</v>
      </c>
      <c r="F57" s="58">
        <v>0.03</v>
      </c>
      <c r="G57" s="58">
        <v>0.03</v>
      </c>
      <c r="H57" s="58">
        <v>0.03</v>
      </c>
      <c r="I57" s="58">
        <v>0.03</v>
      </c>
      <c r="J57" s="58">
        <v>0.03</v>
      </c>
    </row>
    <row r="58" spans="2:39" x14ac:dyDescent="0.2">
      <c r="C58" s="34" t="s">
        <v>462</v>
      </c>
      <c r="F58" s="58">
        <v>0.2</v>
      </c>
      <c r="G58" s="58">
        <v>0.2</v>
      </c>
      <c r="H58" s="58">
        <v>0.2</v>
      </c>
      <c r="I58" s="58">
        <v>0.2</v>
      </c>
      <c r="J58" s="58">
        <v>0.2</v>
      </c>
    </row>
    <row r="60" spans="2:39" x14ac:dyDescent="0.2">
      <c r="B60" s="55" t="s">
        <v>468</v>
      </c>
      <c r="C60" s="56"/>
      <c r="D60" s="64">
        <v>2</v>
      </c>
      <c r="E60" s="54"/>
      <c r="F60" s="57">
        <f>estimate_start</f>
        <v>2025</v>
      </c>
      <c r="G60" s="57">
        <f>+F60+1</f>
        <v>2026</v>
      </c>
      <c r="H60" s="57">
        <f t="shared" ref="H60:J60" si="7">+G60+1</f>
        <v>2027</v>
      </c>
      <c r="I60" s="57">
        <f t="shared" si="7"/>
        <v>2028</v>
      </c>
      <c r="J60" s="57">
        <f t="shared" si="7"/>
        <v>2029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</row>
    <row r="61" spans="2:39" x14ac:dyDescent="0.2">
      <c r="C61" s="34" t="s">
        <v>443</v>
      </c>
      <c r="F61" s="58">
        <v>0.14000000000000001</v>
      </c>
      <c r="G61" s="58">
        <v>0.1</v>
      </c>
      <c r="H61" s="58">
        <v>0.09</v>
      </c>
      <c r="I61" s="58">
        <v>0.1</v>
      </c>
      <c r="J61" s="58">
        <v>0.1</v>
      </c>
    </row>
    <row r="62" spans="2:39" x14ac:dyDescent="0.2">
      <c r="C62" s="34" t="s">
        <v>444</v>
      </c>
      <c r="F62" s="58">
        <v>0.57999999999999996</v>
      </c>
      <c r="G62" s="58">
        <v>0.56000000000000005</v>
      </c>
      <c r="H62" s="58">
        <v>0.55000000000000004</v>
      </c>
      <c r="I62" s="58">
        <v>0.5</v>
      </c>
      <c r="J62" s="58">
        <v>0.5</v>
      </c>
    </row>
    <row r="63" spans="2:39" x14ac:dyDescent="0.2">
      <c r="C63" s="34" t="s">
        <v>445</v>
      </c>
      <c r="F63" s="58">
        <v>0.17</v>
      </c>
      <c r="G63" s="58">
        <v>0.17</v>
      </c>
      <c r="H63" s="58">
        <v>0.17</v>
      </c>
      <c r="I63" s="58">
        <v>0.17</v>
      </c>
      <c r="J63" s="58">
        <v>0.17</v>
      </c>
    </row>
    <row r="64" spans="2:39" x14ac:dyDescent="0.2">
      <c r="C64" s="34" t="s">
        <v>446</v>
      </c>
      <c r="F64" s="58">
        <v>0.17</v>
      </c>
      <c r="G64" s="58">
        <v>0.17</v>
      </c>
      <c r="H64" s="58">
        <v>0.17</v>
      </c>
      <c r="I64" s="58">
        <v>0.16</v>
      </c>
      <c r="J64" s="58">
        <v>0.15</v>
      </c>
    </row>
    <row r="65" spans="3:10" x14ac:dyDescent="0.2">
      <c r="C65" s="34" t="s">
        <v>447</v>
      </c>
      <c r="F65" s="58">
        <v>2.5000000000000001E-2</v>
      </c>
      <c r="G65" s="58">
        <v>0.02</v>
      </c>
      <c r="H65" s="58">
        <v>0.02</v>
      </c>
      <c r="I65" s="58">
        <v>0.02</v>
      </c>
      <c r="J65" s="58">
        <v>0.02</v>
      </c>
    </row>
    <row r="66" spans="3:10" x14ac:dyDescent="0.2">
      <c r="C66" s="34" t="s">
        <v>451</v>
      </c>
      <c r="F66" s="58">
        <v>1.2</v>
      </c>
      <c r="G66" s="58">
        <v>1.2</v>
      </c>
      <c r="H66" s="58">
        <v>1.2</v>
      </c>
      <c r="I66" s="58">
        <v>1.2</v>
      </c>
      <c r="J66" s="58">
        <v>1.2</v>
      </c>
    </row>
    <row r="67" spans="3:10" x14ac:dyDescent="0.2">
      <c r="C67" s="34" t="s">
        <v>449</v>
      </c>
      <c r="F67" s="58">
        <v>0.05</v>
      </c>
      <c r="G67" s="58">
        <v>0.05</v>
      </c>
      <c r="H67" s="58">
        <v>0.05</v>
      </c>
      <c r="I67" s="58">
        <v>0.05</v>
      </c>
      <c r="J67" s="58">
        <v>0.05</v>
      </c>
    </row>
    <row r="68" spans="3:10" x14ac:dyDescent="0.2">
      <c r="C68" s="34" t="s">
        <v>448</v>
      </c>
      <c r="F68" s="58">
        <v>0.25</v>
      </c>
      <c r="G68" s="58">
        <v>0.25</v>
      </c>
      <c r="H68" s="58">
        <v>0.25</v>
      </c>
      <c r="I68" s="58">
        <v>0.25</v>
      </c>
      <c r="J68" s="58">
        <v>0.25</v>
      </c>
    </row>
    <row r="70" spans="3:10" x14ac:dyDescent="0.2">
      <c r="C70" s="34" t="s">
        <v>454</v>
      </c>
      <c r="F70" s="58">
        <v>0.25</v>
      </c>
      <c r="G70" s="58">
        <f>F70*0.95</f>
        <v>0.23749999999999999</v>
      </c>
      <c r="H70" s="58">
        <f t="shared" ref="H70:J70" si="8">G70*0.95</f>
        <v>0.22562499999999999</v>
      </c>
      <c r="I70" s="58">
        <f t="shared" si="8"/>
        <v>0.21434374999999997</v>
      </c>
      <c r="J70" s="58">
        <f t="shared" si="8"/>
        <v>0.20362656249999997</v>
      </c>
    </row>
    <row r="71" spans="3:10" x14ac:dyDescent="0.2">
      <c r="C71" s="34" t="s">
        <v>455</v>
      </c>
      <c r="F71" s="58">
        <v>0.2</v>
      </c>
      <c r="G71" s="58">
        <v>0.2</v>
      </c>
      <c r="H71" s="58">
        <v>0.2</v>
      </c>
      <c r="I71" s="58">
        <v>0.2</v>
      </c>
      <c r="J71" s="58">
        <v>0.2</v>
      </c>
    </row>
    <row r="72" spans="3:10" x14ac:dyDescent="0.2">
      <c r="C72" s="34" t="s">
        <v>456</v>
      </c>
      <c r="F72" s="58">
        <v>0.4</v>
      </c>
      <c r="G72" s="58">
        <v>0.4</v>
      </c>
      <c r="H72" s="58">
        <v>0.4</v>
      </c>
      <c r="I72" s="58">
        <v>0.4</v>
      </c>
      <c r="J72" s="58">
        <v>0.4</v>
      </c>
    </row>
    <row r="73" spans="3:10" x14ac:dyDescent="0.2">
      <c r="C73" s="34" t="s">
        <v>441</v>
      </c>
      <c r="F73" s="60"/>
      <c r="G73" s="60"/>
      <c r="H73" s="60"/>
      <c r="I73" s="60"/>
      <c r="J73" s="60"/>
    </row>
    <row r="74" spans="3:10" x14ac:dyDescent="0.2">
      <c r="C74" s="34" t="s">
        <v>457</v>
      </c>
      <c r="F74" s="58">
        <v>0.03</v>
      </c>
      <c r="G74" s="58">
        <v>0.03</v>
      </c>
      <c r="H74" s="58">
        <v>0.03</v>
      </c>
      <c r="I74" s="58">
        <v>0.03</v>
      </c>
      <c r="J74" s="58">
        <v>0.03</v>
      </c>
    </row>
    <row r="75" spans="3:10" x14ac:dyDescent="0.2">
      <c r="C75" s="34" t="s">
        <v>458</v>
      </c>
      <c r="F75" s="58">
        <v>0.1</v>
      </c>
      <c r="G75" s="58">
        <v>0.1</v>
      </c>
      <c r="H75" s="58">
        <v>0.1</v>
      </c>
      <c r="I75" s="58">
        <v>0.1</v>
      </c>
      <c r="J75" s="58">
        <v>0.1</v>
      </c>
    </row>
    <row r="76" spans="3:10" x14ac:dyDescent="0.2">
      <c r="C76" s="75" t="s">
        <v>494</v>
      </c>
      <c r="F76" s="58">
        <v>0.25</v>
      </c>
      <c r="G76" s="58">
        <v>0.25</v>
      </c>
      <c r="H76" s="58">
        <v>0.25</v>
      </c>
      <c r="I76" s="58">
        <v>0.25</v>
      </c>
      <c r="J76" s="58">
        <v>0.25</v>
      </c>
    </row>
    <row r="77" spans="3:10" x14ac:dyDescent="0.2">
      <c r="C77" s="34" t="s">
        <v>459</v>
      </c>
      <c r="F77" s="58">
        <v>0.04</v>
      </c>
      <c r="G77" s="58">
        <v>0.04</v>
      </c>
      <c r="H77" s="58">
        <v>0.04</v>
      </c>
      <c r="I77" s="58">
        <v>0.04</v>
      </c>
      <c r="J77" s="58">
        <v>0.04</v>
      </c>
    </row>
    <row r="79" spans="3:10" x14ac:dyDescent="0.2">
      <c r="C79" s="34" t="s">
        <v>461</v>
      </c>
      <c r="F79" s="58">
        <v>-0.02</v>
      </c>
      <c r="G79" s="58">
        <v>0.25</v>
      </c>
      <c r="H79" s="58">
        <v>0.3</v>
      </c>
      <c r="I79" s="58">
        <v>0.1</v>
      </c>
      <c r="J79" s="58">
        <v>0.1</v>
      </c>
    </row>
    <row r="80" spans="3:10" x14ac:dyDescent="0.2">
      <c r="C80" s="34" t="s">
        <v>462</v>
      </c>
      <c r="F80" s="58">
        <v>0.2</v>
      </c>
      <c r="G80" s="58">
        <v>0.2</v>
      </c>
      <c r="H80" s="58">
        <v>0.2</v>
      </c>
      <c r="I80" s="58">
        <v>0.2</v>
      </c>
      <c r="J80" s="58">
        <v>0.2</v>
      </c>
    </row>
    <row r="82" spans="2:39" x14ac:dyDescent="0.2">
      <c r="B82" s="55" t="s">
        <v>469</v>
      </c>
      <c r="C82" s="56"/>
      <c r="D82" s="64">
        <v>3</v>
      </c>
      <c r="E82" s="54"/>
      <c r="F82" s="57">
        <f>estimate_start</f>
        <v>2025</v>
      </c>
      <c r="G82" s="57">
        <f>+F82+1</f>
        <v>2026</v>
      </c>
      <c r="H82" s="57">
        <f t="shared" ref="H82:J82" si="9">+G82+1</f>
        <v>2027</v>
      </c>
      <c r="I82" s="57">
        <f t="shared" si="9"/>
        <v>2028</v>
      </c>
      <c r="J82" s="57">
        <f t="shared" si="9"/>
        <v>2029</v>
      </c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</row>
    <row r="83" spans="2:39" x14ac:dyDescent="0.2">
      <c r="C83" s="34" t="s">
        <v>443</v>
      </c>
      <c r="F83" s="58">
        <v>0.05</v>
      </c>
      <c r="G83" s="58">
        <v>0.05</v>
      </c>
      <c r="H83" s="58">
        <v>0.05</v>
      </c>
      <c r="I83" s="58">
        <v>0.05</v>
      </c>
      <c r="J83" s="58">
        <v>0.05</v>
      </c>
    </row>
    <row r="84" spans="2:39" x14ac:dyDescent="0.2">
      <c r="C84" s="34" t="s">
        <v>444</v>
      </c>
      <c r="F84" s="58">
        <v>0.55000000000000004</v>
      </c>
      <c r="G84" s="58">
        <v>0.55000000000000004</v>
      </c>
      <c r="H84" s="58">
        <v>0.55000000000000004</v>
      </c>
      <c r="I84" s="58">
        <v>0.55000000000000004</v>
      </c>
      <c r="J84" s="58">
        <v>0.55000000000000004</v>
      </c>
    </row>
    <row r="85" spans="2:39" x14ac:dyDescent="0.2">
      <c r="C85" s="34" t="s">
        <v>445</v>
      </c>
      <c r="F85" s="58">
        <v>0.17</v>
      </c>
      <c r="G85" s="58">
        <v>0.17</v>
      </c>
      <c r="H85" s="58">
        <v>0.17</v>
      </c>
      <c r="I85" s="58">
        <v>0.17</v>
      </c>
      <c r="J85" s="58">
        <v>0.17</v>
      </c>
    </row>
    <row r="86" spans="2:39" x14ac:dyDescent="0.2">
      <c r="C86" s="34" t="s">
        <v>446</v>
      </c>
      <c r="F86" s="58">
        <v>0.2</v>
      </c>
      <c r="G86" s="58">
        <v>0.2</v>
      </c>
      <c r="H86" s="58">
        <v>0.2</v>
      </c>
      <c r="I86" s="58">
        <v>0.2</v>
      </c>
      <c r="J86" s="58">
        <v>0.2</v>
      </c>
    </row>
    <row r="87" spans="2:39" x14ac:dyDescent="0.2">
      <c r="C87" s="34" t="s">
        <v>447</v>
      </c>
      <c r="F87" s="58">
        <v>0.04</v>
      </c>
      <c r="G87" s="58">
        <v>0.04</v>
      </c>
      <c r="H87" s="58">
        <v>0.04</v>
      </c>
      <c r="I87" s="58">
        <v>0.04</v>
      </c>
      <c r="J87" s="58">
        <v>0.04</v>
      </c>
    </row>
    <row r="88" spans="2:39" x14ac:dyDescent="0.2">
      <c r="C88" s="34" t="s">
        <v>451</v>
      </c>
      <c r="F88" s="58">
        <v>1.2</v>
      </c>
      <c r="G88" s="58">
        <v>1.2</v>
      </c>
      <c r="H88" s="58">
        <v>1.2</v>
      </c>
      <c r="I88" s="58">
        <v>1.2</v>
      </c>
      <c r="J88" s="58">
        <v>1.2</v>
      </c>
    </row>
    <row r="89" spans="2:39" x14ac:dyDescent="0.2">
      <c r="C89" s="34" t="s">
        <v>449</v>
      </c>
      <c r="F89" s="58">
        <v>0.05</v>
      </c>
      <c r="G89" s="58">
        <v>0.05</v>
      </c>
      <c r="H89" s="58">
        <v>0.05</v>
      </c>
      <c r="I89" s="58">
        <v>0.05</v>
      </c>
      <c r="J89" s="58">
        <v>0.05</v>
      </c>
    </row>
    <row r="90" spans="2:39" x14ac:dyDescent="0.2">
      <c r="C90" s="34" t="s">
        <v>448</v>
      </c>
      <c r="F90" s="58">
        <v>0.2</v>
      </c>
      <c r="G90" s="58">
        <v>0.2</v>
      </c>
      <c r="H90" s="58">
        <v>0.2</v>
      </c>
      <c r="I90" s="58">
        <v>0.2</v>
      </c>
      <c r="J90" s="58">
        <v>0.2</v>
      </c>
    </row>
    <row r="92" spans="2:39" x14ac:dyDescent="0.2">
      <c r="C92" s="34" t="s">
        <v>454</v>
      </c>
      <c r="F92" s="58">
        <v>0.25</v>
      </c>
      <c r="G92" s="58">
        <v>0.25</v>
      </c>
      <c r="H92" s="58">
        <v>0.25</v>
      </c>
      <c r="I92" s="58">
        <v>0.25</v>
      </c>
      <c r="J92" s="58">
        <v>0.25</v>
      </c>
    </row>
    <row r="93" spans="2:39" x14ac:dyDescent="0.2">
      <c r="C93" s="34" t="s">
        <v>455</v>
      </c>
      <c r="F93" s="58">
        <v>0.2</v>
      </c>
      <c r="G93" s="58">
        <v>0.2</v>
      </c>
      <c r="H93" s="58">
        <v>0.2</v>
      </c>
      <c r="I93" s="58">
        <v>0.2</v>
      </c>
      <c r="J93" s="58">
        <v>0.2</v>
      </c>
    </row>
    <row r="94" spans="2:39" x14ac:dyDescent="0.2">
      <c r="C94" s="34" t="s">
        <v>456</v>
      </c>
      <c r="F94" s="58">
        <v>0.4</v>
      </c>
      <c r="G94" s="58">
        <v>0.4</v>
      </c>
      <c r="H94" s="58">
        <v>0.4</v>
      </c>
      <c r="I94" s="58">
        <v>0.4</v>
      </c>
      <c r="J94" s="58">
        <v>0.4</v>
      </c>
    </row>
    <row r="95" spans="2:39" x14ac:dyDescent="0.2">
      <c r="C95" s="34" t="s">
        <v>441</v>
      </c>
      <c r="F95" s="60"/>
      <c r="G95" s="60"/>
      <c r="H95" s="60"/>
      <c r="I95" s="60"/>
      <c r="J95" s="60"/>
    </row>
    <row r="96" spans="2:39" x14ac:dyDescent="0.2">
      <c r="C96" s="34" t="s">
        <v>457</v>
      </c>
      <c r="F96" s="58">
        <v>0.03</v>
      </c>
      <c r="G96" s="58">
        <v>0.03</v>
      </c>
      <c r="H96" s="58">
        <v>0.03</v>
      </c>
      <c r="I96" s="58">
        <v>0.03</v>
      </c>
      <c r="J96" s="58">
        <v>0.03</v>
      </c>
    </row>
    <row r="97" spans="3:10" x14ac:dyDescent="0.2">
      <c r="C97" s="34" t="s">
        <v>458</v>
      </c>
      <c r="F97" s="58">
        <v>0.1</v>
      </c>
      <c r="G97" s="58">
        <v>0.1</v>
      </c>
      <c r="H97" s="58">
        <v>0.1</v>
      </c>
      <c r="I97" s="58">
        <v>0.1</v>
      </c>
      <c r="J97" s="58">
        <v>0.1</v>
      </c>
    </row>
    <row r="98" spans="3:10" x14ac:dyDescent="0.2">
      <c r="C98" s="75" t="s">
        <v>494</v>
      </c>
      <c r="F98" s="58">
        <v>0.25</v>
      </c>
      <c r="G98" s="58">
        <v>0.25</v>
      </c>
      <c r="H98" s="58">
        <v>0.25</v>
      </c>
      <c r="I98" s="58">
        <v>0.25</v>
      </c>
      <c r="J98" s="58">
        <v>0.25</v>
      </c>
    </row>
    <row r="99" spans="3:10" x14ac:dyDescent="0.2">
      <c r="C99" s="34" t="s">
        <v>459</v>
      </c>
      <c r="F99" s="58">
        <v>0.04</v>
      </c>
      <c r="G99" s="58">
        <v>0.04</v>
      </c>
      <c r="H99" s="58">
        <v>0.04</v>
      </c>
      <c r="I99" s="58">
        <v>0.04</v>
      </c>
      <c r="J99" s="58">
        <v>0.04</v>
      </c>
    </row>
    <row r="101" spans="3:10" x14ac:dyDescent="0.2">
      <c r="C101" s="34" t="s">
        <v>461</v>
      </c>
      <c r="F101" s="58">
        <v>0.03</v>
      </c>
      <c r="G101" s="58">
        <v>0.03</v>
      </c>
      <c r="H101" s="58">
        <v>0.03</v>
      </c>
      <c r="I101" s="58">
        <v>0.03</v>
      </c>
      <c r="J101" s="58">
        <v>0.03</v>
      </c>
    </row>
    <row r="102" spans="3:10" x14ac:dyDescent="0.2">
      <c r="C102" s="34" t="s">
        <v>462</v>
      </c>
      <c r="F102" s="58">
        <v>0.2</v>
      </c>
      <c r="G102" s="58">
        <v>0.2</v>
      </c>
      <c r="H102" s="58">
        <v>0.2</v>
      </c>
      <c r="I102" s="58">
        <v>0.2</v>
      </c>
      <c r="J102" s="58">
        <v>0.2</v>
      </c>
    </row>
  </sheetData>
  <dataValidations count="1">
    <dataValidation type="list" allowBlank="1" showInputMessage="1" showErrorMessage="1" sqref="D10" xr:uid="{63B7CC0C-2C2B-4512-B2DC-7726B4B02C0C}">
      <formula1>"Bear, Street, Bull"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144"/>
  <sheetViews>
    <sheetView zoomScaleNormal="100" workbookViewId="0">
      <pane xSplit="2" ySplit="2" topLeftCell="M14" activePane="bottomRight" state="frozen"/>
      <selection pane="topRight" activeCell="B1" sqref="B1"/>
      <selection pane="bottomLeft" activeCell="A2" sqref="A2"/>
      <selection pane="bottomRight" activeCell="Z146" sqref="Z146"/>
    </sheetView>
  </sheetViews>
  <sheetFormatPr defaultColWidth="9.140625" defaultRowHeight="12.75" x14ac:dyDescent="0.2"/>
  <cols>
    <col min="1" max="1" width="4.7109375" style="2" customWidth="1"/>
    <col min="2" max="2" width="22" style="2" customWidth="1"/>
    <col min="3" max="13" width="9.140625" style="2"/>
    <col min="14" max="23" width="9.85546875" style="29" bestFit="1" customWidth="1"/>
    <col min="24" max="24" width="9.85546875" style="2" bestFit="1" customWidth="1"/>
    <col min="25" max="16384" width="9.140625" style="2"/>
  </cols>
  <sheetData>
    <row r="1" spans="1:38" x14ac:dyDescent="0.2">
      <c r="B1" s="2" t="s">
        <v>399</v>
      </c>
      <c r="N1" s="42">
        <v>42307</v>
      </c>
      <c r="O1" s="42">
        <v>42674</v>
      </c>
      <c r="P1" s="42">
        <v>43039</v>
      </c>
      <c r="Q1" s="42">
        <v>43404</v>
      </c>
      <c r="R1" s="42">
        <v>43769</v>
      </c>
      <c r="S1" s="42">
        <v>44134</v>
      </c>
      <c r="T1" s="42">
        <v>44498</v>
      </c>
      <c r="U1" s="42">
        <v>44865</v>
      </c>
      <c r="V1" s="42">
        <v>45230</v>
      </c>
      <c r="W1" s="42">
        <v>45596</v>
      </c>
    </row>
    <row r="2" spans="1:38" x14ac:dyDescent="0.2">
      <c r="N2" s="29">
        <v>2015</v>
      </c>
      <c r="O2" s="29">
        <f>N2+1</f>
        <v>2016</v>
      </c>
      <c r="P2" s="29">
        <f t="shared" ref="P2:W2" si="0">O2+1</f>
        <v>2017</v>
      </c>
      <c r="Q2" s="29">
        <f t="shared" si="0"/>
        <v>2018</v>
      </c>
      <c r="R2" s="29">
        <f t="shared" si="0"/>
        <v>2019</v>
      </c>
      <c r="S2" s="29">
        <f t="shared" si="0"/>
        <v>2020</v>
      </c>
      <c r="T2" s="29">
        <f t="shared" si="0"/>
        <v>2021</v>
      </c>
      <c r="U2" s="29">
        <f t="shared" si="0"/>
        <v>2022</v>
      </c>
      <c r="V2" s="29">
        <f t="shared" si="0"/>
        <v>2023</v>
      </c>
      <c r="W2" s="29">
        <f t="shared" si="0"/>
        <v>2024</v>
      </c>
      <c r="X2" s="29">
        <f t="shared" ref="X2" si="1">W2+1</f>
        <v>2025</v>
      </c>
      <c r="Y2" s="29">
        <f t="shared" ref="Y2" si="2">X2+1</f>
        <v>2026</v>
      </c>
      <c r="Z2" s="29">
        <f t="shared" ref="Z2" si="3">Y2+1</f>
        <v>2027</v>
      </c>
      <c r="AA2" s="29">
        <f t="shared" ref="AA2" si="4">Z2+1</f>
        <v>2028</v>
      </c>
      <c r="AB2" s="29">
        <f t="shared" ref="AB2" si="5">AA2+1</f>
        <v>2029</v>
      </c>
      <c r="AC2" s="29"/>
      <c r="AD2" s="29"/>
      <c r="AE2" s="29"/>
      <c r="AF2" s="29"/>
      <c r="AG2" s="29"/>
      <c r="AH2" s="29"/>
      <c r="AI2" s="29"/>
      <c r="AJ2" s="29"/>
      <c r="AK2" s="29"/>
      <c r="AL2" s="29"/>
    </row>
    <row r="3" spans="1:38" s="28" customFormat="1" x14ac:dyDescent="0.2">
      <c r="A3" s="28" t="s">
        <v>452</v>
      </c>
      <c r="B3" s="28" t="s">
        <v>19</v>
      </c>
      <c r="N3" s="66">
        <f>IS_Static!D12</f>
        <v>2445.6689999999999</v>
      </c>
      <c r="O3" s="66">
        <f>IS_Static!E12</f>
        <v>2600.5729999999999</v>
      </c>
      <c r="P3" s="66">
        <f>IS_Static!F12</f>
        <v>2801.6869999999999</v>
      </c>
      <c r="Q3" s="66">
        <f>IS_Static!G12</f>
        <v>3094.2860000000001</v>
      </c>
      <c r="R3" s="66">
        <f>IS_Static!H12</f>
        <v>3572.1309999999999</v>
      </c>
      <c r="S3" s="66">
        <f>IS_Static!I12</f>
        <v>3532.1570000000002</v>
      </c>
      <c r="T3" s="66">
        <f>IS_Static!J12</f>
        <v>3620.6840000000002</v>
      </c>
      <c r="U3" s="66">
        <f>IS_Static!K12</f>
        <v>3632.6610000000001</v>
      </c>
      <c r="V3" s="66">
        <f>IS_Static!L12</f>
        <v>4386.549</v>
      </c>
      <c r="W3" s="66">
        <f>IS_Static!M12</f>
        <v>4014.9549999999999</v>
      </c>
      <c r="X3" s="70">
        <f>W3*(1+X77)</f>
        <v>4577.0487000000003</v>
      </c>
      <c r="Y3" s="70">
        <f t="shared" ref="Y3:AB3" si="6">X3*(1+Y77)</f>
        <v>5034.7535700000008</v>
      </c>
      <c r="Z3" s="70">
        <f t="shared" si="6"/>
        <v>5487.8813913000013</v>
      </c>
      <c r="AA3" s="70">
        <f t="shared" si="6"/>
        <v>6036.6695304300019</v>
      </c>
      <c r="AB3" s="70">
        <f t="shared" si="6"/>
        <v>6640.3364834730028</v>
      </c>
    </row>
    <row r="4" spans="1:38" x14ac:dyDescent="0.2">
      <c r="B4" s="2" t="s">
        <v>20</v>
      </c>
      <c r="N4" s="65">
        <f>IS_Static!D15</f>
        <v>-1370.106</v>
      </c>
      <c r="O4" s="65">
        <f>IS_Static!E15</f>
        <v>-1438.9970000000001</v>
      </c>
      <c r="P4" s="65">
        <f>IS_Static!F15</f>
        <v>-1555.9010000000001</v>
      </c>
      <c r="Q4" s="65">
        <f>IS_Static!G15</f>
        <v>-1779.596</v>
      </c>
      <c r="R4" s="65">
        <f>IS_Static!H15</f>
        <v>-2030.0650000000001</v>
      </c>
      <c r="S4" s="65">
        <f>IS_Static!I15</f>
        <v>-1879.2660000000001</v>
      </c>
      <c r="T4" s="65">
        <f>IS_Static!J15</f>
        <v>-1898.7049999999999</v>
      </c>
      <c r="U4" s="65">
        <f>IS_Static!K15</f>
        <v>-2072.317</v>
      </c>
      <c r="V4" s="65">
        <f>IS_Static!L15</f>
        <v>-2507.6979999999999</v>
      </c>
      <c r="W4" s="65">
        <f>IS_Static!M15</f>
        <v>-2295.3649999999998</v>
      </c>
      <c r="X4" s="71">
        <f>-X3*X78</f>
        <v>-2654.6882460000002</v>
      </c>
      <c r="Y4" s="71">
        <f t="shared" ref="Y4:AB4" si="7">-Y3*Y78</f>
        <v>-2819.4619992000007</v>
      </c>
      <c r="Z4" s="71">
        <f t="shared" si="7"/>
        <v>-3018.334765215001</v>
      </c>
      <c r="AA4" s="71">
        <f t="shared" si="7"/>
        <v>-3018.334765215001</v>
      </c>
      <c r="AB4" s="71">
        <f t="shared" si="7"/>
        <v>-3320.1682417365014</v>
      </c>
    </row>
    <row r="5" spans="1:38" x14ac:dyDescent="0.2">
      <c r="B5" s="2" t="s">
        <v>21</v>
      </c>
      <c r="N5" s="30">
        <f>N3+N4</f>
        <v>1075.5629999999999</v>
      </c>
      <c r="O5" s="30">
        <f t="shared" ref="O5:W5" si="8">O3+O4</f>
        <v>1161.5759999999998</v>
      </c>
      <c r="P5" s="30">
        <f t="shared" si="8"/>
        <v>1245.7859999999998</v>
      </c>
      <c r="Q5" s="30">
        <f t="shared" si="8"/>
        <v>1314.69</v>
      </c>
      <c r="R5" s="30">
        <f t="shared" si="8"/>
        <v>1542.0659999999998</v>
      </c>
      <c r="S5" s="30">
        <f t="shared" si="8"/>
        <v>1652.8910000000001</v>
      </c>
      <c r="T5" s="30">
        <f t="shared" si="8"/>
        <v>1721.9790000000003</v>
      </c>
      <c r="U5" s="30">
        <f t="shared" si="8"/>
        <v>1560.3440000000001</v>
      </c>
      <c r="V5" s="30">
        <f t="shared" si="8"/>
        <v>1878.8510000000001</v>
      </c>
      <c r="W5" s="30">
        <f t="shared" si="8"/>
        <v>1719.5900000000001</v>
      </c>
      <c r="X5" s="71">
        <f>X3+X4</f>
        <v>1922.3604540000001</v>
      </c>
      <c r="Y5" s="71">
        <f t="shared" ref="Y5:AB5" si="9">Y3+Y4</f>
        <v>2215.2915708</v>
      </c>
      <c r="Z5" s="71">
        <f t="shared" si="9"/>
        <v>2469.5466260850003</v>
      </c>
      <c r="AA5" s="71">
        <f t="shared" si="9"/>
        <v>3018.334765215001</v>
      </c>
      <c r="AB5" s="71">
        <f t="shared" si="9"/>
        <v>3320.1682417365014</v>
      </c>
    </row>
    <row r="6" spans="1:38" x14ac:dyDescent="0.2">
      <c r="B6" s="2" t="s">
        <v>22</v>
      </c>
      <c r="N6" s="65">
        <f>IS_Static!D21</f>
        <v>-333.83600000000001</v>
      </c>
      <c r="O6" s="65">
        <f>IS_Static!E21</f>
        <v>-349.73099999999999</v>
      </c>
      <c r="P6" s="65">
        <f>IS_Static!F21</f>
        <v>-356.16899999999998</v>
      </c>
      <c r="Q6" s="65">
        <f>IS_Static!G21</f>
        <v>-394.06</v>
      </c>
      <c r="R6" s="65">
        <f>IS_Static!H21</f>
        <v>-423.04599999999999</v>
      </c>
      <c r="S6" s="65">
        <f>IS_Static!I21</f>
        <v>-416.42500000000001</v>
      </c>
      <c r="T6" s="65">
        <f>IS_Static!J21</f>
        <v>-452.214</v>
      </c>
      <c r="U6" s="65">
        <f>IS_Static!K21</f>
        <v>-466.565</v>
      </c>
      <c r="V6" s="65">
        <f>IS_Static!L21</f>
        <v>-490.80399999999997</v>
      </c>
      <c r="W6" s="65">
        <f>IS_Static!M21</f>
        <v>-510.66800000000001</v>
      </c>
      <c r="X6" s="71">
        <f>-X3*X80*(W6/(W6+W8))</f>
        <v>-543.3361710622263</v>
      </c>
      <c r="Y6" s="71">
        <f t="shared" ref="Y6:AB6" si="10">-Y3*Y80*(X6/(X6+X8))</f>
        <v>-597.66978816844903</v>
      </c>
      <c r="Z6" s="71">
        <f t="shared" si="10"/>
        <v>-651.46006910360961</v>
      </c>
      <c r="AA6" s="71">
        <f t="shared" si="10"/>
        <v>-674.45277742491339</v>
      </c>
      <c r="AB6" s="71">
        <f t="shared" si="10"/>
        <v>-695.52942671944197</v>
      </c>
    </row>
    <row r="7" spans="1:38" x14ac:dyDescent="0.2">
      <c r="B7" s="2" t="s">
        <v>23</v>
      </c>
      <c r="N7" s="65">
        <f>IS_Static!D20</f>
        <v>-414.20100000000002</v>
      </c>
      <c r="O7" s="65">
        <f>IS_Static!E20</f>
        <v>-451.79399999999998</v>
      </c>
      <c r="P7" s="65">
        <f>IS_Static!F20</f>
        <v>-475.32900000000001</v>
      </c>
      <c r="Q7" s="65">
        <f>IS_Static!G20</f>
        <v>-491.56400000000002</v>
      </c>
      <c r="R7" s="65">
        <f>IS_Static!H20</f>
        <v>-548.13900000000001</v>
      </c>
      <c r="S7" s="65">
        <f>IS_Static!I20</f>
        <v>-529.88800000000003</v>
      </c>
      <c r="T7" s="65">
        <f>IS_Static!J20</f>
        <v>-536.66600000000005</v>
      </c>
      <c r="U7" s="65">
        <f>IS_Static!K20</f>
        <v>-624.65599999999995</v>
      </c>
      <c r="V7" s="65">
        <f>IS_Static!L20</f>
        <v>-750.55899999999997</v>
      </c>
      <c r="W7" s="65">
        <f>IS_Static!M20</f>
        <v>-767.49699999999996</v>
      </c>
      <c r="X7" s="71">
        <f>-X79*X3</f>
        <v>-778.09827900000005</v>
      </c>
      <c r="Y7" s="71">
        <f t="shared" ref="Y7:AB7" si="11">-Y79*Y3</f>
        <v>-855.90810690000023</v>
      </c>
      <c r="Z7" s="71">
        <f t="shared" si="11"/>
        <v>-932.9398365210003</v>
      </c>
      <c r="AA7" s="71">
        <f t="shared" si="11"/>
        <v>-1026.2338201731004</v>
      </c>
      <c r="AB7" s="71">
        <f t="shared" si="11"/>
        <v>-1128.8572021904106</v>
      </c>
    </row>
    <row r="8" spans="1:38" x14ac:dyDescent="0.2">
      <c r="B8" s="2" t="s">
        <v>395</v>
      </c>
      <c r="N8" s="65">
        <f>IS_Static!D22</f>
        <v>-148.941</v>
      </c>
      <c r="O8" s="65">
        <f>IS_Static!E22</f>
        <v>-137.441</v>
      </c>
      <c r="P8" s="65">
        <f>IS_Static!F22</f>
        <v>-142.60400000000001</v>
      </c>
      <c r="Q8" s="65">
        <f>IS_Static!G22</f>
        <v>-165.244</v>
      </c>
      <c r="R8" s="65">
        <f>IS_Static!H22</f>
        <v>-177.76900000000001</v>
      </c>
      <c r="S8" s="65">
        <f>IS_Static!I22</f>
        <v>-173.57900000000001</v>
      </c>
      <c r="T8" s="65">
        <f>IS_Static!J22</f>
        <v>-184.446</v>
      </c>
      <c r="U8" s="65">
        <f>IS_Static!K22</f>
        <v>-179.98</v>
      </c>
      <c r="V8" s="65">
        <f>IS_Static!L22</f>
        <v>-218.75800000000001</v>
      </c>
      <c r="W8" s="65">
        <f>IS_Static!M22</f>
        <v>-220.64699999999999</v>
      </c>
      <c r="X8" s="71">
        <f>-X3*X80*(W8/(W6+W8))</f>
        <v>-234.76210793777372</v>
      </c>
      <c r="Y8" s="71">
        <f t="shared" ref="Y8:AB8" si="12">-Y3*Y80*(X8/(X6+X8))</f>
        <v>-258.23831873155115</v>
      </c>
      <c r="Z8" s="71">
        <f t="shared" si="12"/>
        <v>-281.4797674173908</v>
      </c>
      <c r="AA8" s="71">
        <f t="shared" si="12"/>
        <v>-291.41434744388692</v>
      </c>
      <c r="AB8" s="71">
        <f t="shared" si="12"/>
        <v>-300.52104580150842</v>
      </c>
    </row>
    <row r="9" spans="1:38" x14ac:dyDescent="0.2">
      <c r="B9" s="2" t="s">
        <v>24</v>
      </c>
      <c r="N9" s="30">
        <f>N8+N7+N6</f>
        <v>-896.97800000000007</v>
      </c>
      <c r="O9" s="30">
        <f t="shared" ref="O9:W9" si="13">O8+O7+O6</f>
        <v>-938.96600000000001</v>
      </c>
      <c r="P9" s="30">
        <f t="shared" si="13"/>
        <v>-974.10199999999998</v>
      </c>
      <c r="Q9" s="30">
        <f t="shared" si="13"/>
        <v>-1050.8679999999999</v>
      </c>
      <c r="R9" s="30">
        <f t="shared" si="13"/>
        <v>-1148.954</v>
      </c>
      <c r="S9" s="30">
        <f t="shared" si="13"/>
        <v>-1119.8920000000001</v>
      </c>
      <c r="T9" s="30">
        <f t="shared" si="13"/>
        <v>-1173.326</v>
      </c>
      <c r="U9" s="30">
        <f t="shared" si="13"/>
        <v>-1271.201</v>
      </c>
      <c r="V9" s="30">
        <f t="shared" si="13"/>
        <v>-1460.1210000000001</v>
      </c>
      <c r="W9" s="30">
        <f t="shared" si="13"/>
        <v>-1498.8119999999999</v>
      </c>
      <c r="X9" s="72">
        <f>+X8+X7+X6</f>
        <v>-1556.1965580000001</v>
      </c>
      <c r="Y9" s="72">
        <f t="shared" ref="Y9:AB9" si="14">+Y8+Y7+Y6</f>
        <v>-1711.8162138000005</v>
      </c>
      <c r="Z9" s="72">
        <f t="shared" si="14"/>
        <v>-1865.8796730420006</v>
      </c>
      <c r="AA9" s="72">
        <f t="shared" si="14"/>
        <v>-1992.1009450419008</v>
      </c>
      <c r="AB9" s="72">
        <f t="shared" si="14"/>
        <v>-2124.9076747113613</v>
      </c>
    </row>
    <row r="10" spans="1:38" x14ac:dyDescent="0.2">
      <c r="B10" s="2" t="s">
        <v>25</v>
      </c>
      <c r="N10" s="30">
        <f>N5+N9</f>
        <v>178.58499999999981</v>
      </c>
      <c r="O10" s="30">
        <f t="shared" ref="O10:W10" si="15">O5+O9</f>
        <v>222.60999999999979</v>
      </c>
      <c r="P10" s="30">
        <f t="shared" si="15"/>
        <v>271.68399999999986</v>
      </c>
      <c r="Q10" s="30">
        <f t="shared" si="15"/>
        <v>263.82200000000012</v>
      </c>
      <c r="R10" s="30">
        <f t="shared" si="15"/>
        <v>393.11199999999985</v>
      </c>
      <c r="S10" s="30">
        <f t="shared" si="15"/>
        <v>532.99900000000002</v>
      </c>
      <c r="T10" s="30">
        <f t="shared" si="15"/>
        <v>548.65300000000025</v>
      </c>
      <c r="U10" s="30">
        <f t="shared" si="15"/>
        <v>289.14300000000003</v>
      </c>
      <c r="V10" s="30">
        <f t="shared" si="15"/>
        <v>418.73</v>
      </c>
      <c r="W10" s="30">
        <f t="shared" si="15"/>
        <v>220.77800000000025</v>
      </c>
      <c r="X10" s="72">
        <f>X9+X5</f>
        <v>366.16389600000002</v>
      </c>
      <c r="Y10" s="72">
        <f t="shared" ref="Y10:AB10" si="16">Y9+Y5</f>
        <v>503.47535699999958</v>
      </c>
      <c r="Z10" s="72">
        <f t="shared" si="16"/>
        <v>603.66695304299969</v>
      </c>
      <c r="AA10" s="72">
        <f t="shared" si="16"/>
        <v>1026.2338201731002</v>
      </c>
      <c r="AB10" s="72">
        <f t="shared" si="16"/>
        <v>1195.2605670251401</v>
      </c>
    </row>
    <row r="11" spans="1:38" x14ac:dyDescent="0.2">
      <c r="B11" s="75" t="s">
        <v>491</v>
      </c>
      <c r="N11" s="65">
        <f>IS_Static!D33+IS_Static!D36</f>
        <v>-76.683999999999997</v>
      </c>
      <c r="O11" s="65">
        <f>IS_Static!E33+IS_Static!E36</f>
        <v>-69.450999999999993</v>
      </c>
      <c r="P11" s="65">
        <f>IS_Static!F33+IS_Static!F36</f>
        <v>-58.595999999999997</v>
      </c>
      <c r="Q11" s="65">
        <f>IS_Static!G33+IS_Static!G36</f>
        <v>-81.165000000000006</v>
      </c>
      <c r="R11" s="65">
        <f>IS_Static!H33+IS_Static!H36</f>
        <v>-33.576000000000001</v>
      </c>
      <c r="S11" s="65">
        <f>IS_Static!I33+IS_Static!I36</f>
        <v>-31.003</v>
      </c>
      <c r="T11" s="65">
        <f>IS_Static!J33+IS_Static!J36</f>
        <v>-32.604999999999997</v>
      </c>
      <c r="U11" s="65">
        <f>IS_Static!K33+IS_Static!K36</f>
        <v>-40.302999999999997</v>
      </c>
      <c r="V11" s="65">
        <f>IS_Static!L33+IS_Static!L36</f>
        <v>-33.891999999999996</v>
      </c>
      <c r="W11" s="65">
        <f>IS_Static!M33+IS_Static!M36</f>
        <v>-46.767000000000003</v>
      </c>
      <c r="X11" s="65">
        <f>X129+X107</f>
        <v>-38.460574346215502</v>
      </c>
      <c r="Y11" s="65">
        <f t="shared" ref="Y11:AB11" si="17">Y129+Y107</f>
        <v>-36.3281919731768</v>
      </c>
      <c r="Z11" s="65">
        <f t="shared" si="17"/>
        <v>-28.363880677182884</v>
      </c>
      <c r="AA11" s="65">
        <f t="shared" si="17"/>
        <v>-13.773112778759483</v>
      </c>
      <c r="AB11" s="65">
        <f t="shared" si="17"/>
        <v>6.0653429250526898</v>
      </c>
    </row>
    <row r="12" spans="1:38" x14ac:dyDescent="0.2">
      <c r="B12" s="2" t="s">
        <v>6</v>
      </c>
      <c r="N12" s="30">
        <f>N10+N11</f>
        <v>101.90099999999981</v>
      </c>
      <c r="O12" s="30">
        <f t="shared" ref="O12:AB12" si="18">O10+O11</f>
        <v>153.15899999999979</v>
      </c>
      <c r="P12" s="30">
        <f t="shared" si="18"/>
        <v>213.08799999999985</v>
      </c>
      <c r="Q12" s="30">
        <f t="shared" si="18"/>
        <v>182.6570000000001</v>
      </c>
      <c r="R12" s="30">
        <f t="shared" si="18"/>
        <v>359.53599999999983</v>
      </c>
      <c r="S12" s="30">
        <f t="shared" si="18"/>
        <v>501.99600000000004</v>
      </c>
      <c r="T12" s="30">
        <f t="shared" si="18"/>
        <v>516.04800000000023</v>
      </c>
      <c r="U12" s="30">
        <f t="shared" si="18"/>
        <v>248.84000000000003</v>
      </c>
      <c r="V12" s="30">
        <f t="shared" si="18"/>
        <v>384.83800000000002</v>
      </c>
      <c r="W12" s="30">
        <f t="shared" si="18"/>
        <v>174.01100000000025</v>
      </c>
      <c r="X12" s="30">
        <f t="shared" si="18"/>
        <v>327.70332165378454</v>
      </c>
      <c r="Y12" s="30">
        <f t="shared" si="18"/>
        <v>467.14716502682279</v>
      </c>
      <c r="Z12" s="30">
        <f t="shared" si="18"/>
        <v>575.30307236581677</v>
      </c>
      <c r="AA12" s="30">
        <f t="shared" si="18"/>
        <v>1012.4607073943407</v>
      </c>
      <c r="AB12" s="30">
        <f t="shared" si="18"/>
        <v>1201.3259099501927</v>
      </c>
    </row>
    <row r="13" spans="1:38" x14ac:dyDescent="0.2">
      <c r="B13" s="2" t="s">
        <v>396</v>
      </c>
      <c r="N13" s="65">
        <f>IS_Static!D42</f>
        <v>-12.097</v>
      </c>
      <c r="O13" s="65">
        <f>IS_Static!E42</f>
        <v>-14.134</v>
      </c>
      <c r="P13" s="65">
        <f>IS_Static!F42</f>
        <v>1105.827</v>
      </c>
      <c r="Q13" s="65">
        <f>IS_Static!G42</f>
        <v>-493.471</v>
      </c>
      <c r="R13" s="65">
        <f>IS_Static!H42</f>
        <v>-59.756</v>
      </c>
      <c r="S13" s="65">
        <f>IS_Static!I42</f>
        <v>-94.67</v>
      </c>
      <c r="T13" s="65">
        <f>IS_Static!J42</f>
        <v>37.445</v>
      </c>
      <c r="U13" s="65">
        <f>IS_Static!K42</f>
        <v>-29.603000000000002</v>
      </c>
      <c r="V13" s="65">
        <f>IS_Static!L42</f>
        <v>-68.825999999999993</v>
      </c>
      <c r="W13" s="65">
        <f>IS_Static!M42</f>
        <v>-35.893999999999998</v>
      </c>
      <c r="X13" s="72">
        <f>X12*-X84</f>
        <v>-81.925830413446135</v>
      </c>
      <c r="Y13" s="72">
        <f t="shared" ref="Y13:AB13" si="19">Y12*-Y84</f>
        <v>-116.7867912567057</v>
      </c>
      <c r="Z13" s="72">
        <f t="shared" si="19"/>
        <v>-143.82576809145419</v>
      </c>
      <c r="AA13" s="72">
        <f t="shared" si="19"/>
        <v>-253.11517684858518</v>
      </c>
      <c r="AB13" s="72">
        <f t="shared" si="19"/>
        <v>-300.33147748754817</v>
      </c>
    </row>
    <row r="14" spans="1:38" x14ac:dyDescent="0.2">
      <c r="B14" s="2" t="s">
        <v>7</v>
      </c>
      <c r="N14" s="30">
        <f>N12+N13</f>
        <v>89.803999999999817</v>
      </c>
      <c r="O14" s="30">
        <f t="shared" ref="O14:W14" si="20">O12+O13</f>
        <v>139.02499999999981</v>
      </c>
      <c r="P14" s="30">
        <f t="shared" si="20"/>
        <v>1318.915</v>
      </c>
      <c r="Q14" s="30">
        <f t="shared" si="20"/>
        <v>-310.81399999999991</v>
      </c>
      <c r="R14" s="30">
        <f t="shared" si="20"/>
        <v>299.77999999999986</v>
      </c>
      <c r="S14" s="30">
        <f t="shared" si="20"/>
        <v>407.32600000000002</v>
      </c>
      <c r="T14" s="30">
        <f t="shared" si="20"/>
        <v>553.49300000000028</v>
      </c>
      <c r="U14" s="30">
        <f t="shared" si="20"/>
        <v>219.23700000000002</v>
      </c>
      <c r="V14" s="30">
        <f t="shared" si="20"/>
        <v>316.01200000000006</v>
      </c>
      <c r="W14" s="30">
        <f t="shared" si="20"/>
        <v>138.11700000000025</v>
      </c>
      <c r="X14" s="30">
        <f t="shared" ref="X14:AB14" si="21">X12+X13</f>
        <v>245.77749124033841</v>
      </c>
      <c r="Y14" s="30">
        <f t="shared" si="21"/>
        <v>350.36037377011712</v>
      </c>
      <c r="Z14" s="30">
        <f t="shared" si="21"/>
        <v>431.47730427436261</v>
      </c>
      <c r="AA14" s="30">
        <f t="shared" si="21"/>
        <v>759.34553054575554</v>
      </c>
      <c r="AB14" s="30">
        <f t="shared" si="21"/>
        <v>900.99443246264445</v>
      </c>
    </row>
    <row r="15" spans="1:38" x14ac:dyDescent="0.2">
      <c r="B15" s="2" t="s">
        <v>397</v>
      </c>
      <c r="N15" s="31">
        <f>N14/N16</f>
        <v>0.74773732108808266</v>
      </c>
      <c r="O15" s="31">
        <f t="shared" ref="O15:W15" si="22">O14/O16</f>
        <v>0.92250371589340563</v>
      </c>
      <c r="P15" s="31">
        <f t="shared" si="22"/>
        <v>7.7620219045545227</v>
      </c>
      <c r="Q15" s="31">
        <f t="shared" si="22"/>
        <v>-2.1623648582838215</v>
      </c>
      <c r="R15" s="31">
        <f t="shared" si="22"/>
        <v>1.9020125371164625</v>
      </c>
      <c r="S15" s="31">
        <f t="shared" si="22"/>
        <v>2.6118175114616395</v>
      </c>
      <c r="T15" s="31">
        <f t="shared" si="22"/>
        <v>3.5312135151171042</v>
      </c>
      <c r="U15" s="31">
        <f t="shared" si="22"/>
        <v>1.4405196033983168</v>
      </c>
      <c r="V15" s="31">
        <f t="shared" si="22"/>
        <v>2.1154906948721388</v>
      </c>
      <c r="W15" s="31">
        <f t="shared" si="22"/>
        <v>0.94624016880874906</v>
      </c>
      <c r="X15" s="31">
        <f t="shared" ref="X15:AB15" si="23">X14/X16</f>
        <v>1.6834074742488931</v>
      </c>
      <c r="Y15" s="31">
        <f t="shared" si="23"/>
        <v>2.3997285874665555</v>
      </c>
      <c r="Z15" s="31">
        <f t="shared" si="23"/>
        <v>2.955324001879196</v>
      </c>
      <c r="AA15" s="31">
        <f t="shared" si="23"/>
        <v>5.2009967845599698</v>
      </c>
      <c r="AB15" s="31">
        <f t="shared" si="23"/>
        <v>6.1711947428948246</v>
      </c>
    </row>
    <row r="16" spans="1:38" x14ac:dyDescent="0.2">
      <c r="B16" s="2" t="s">
        <v>398</v>
      </c>
      <c r="N16" s="65">
        <f>IS_Static!D49</f>
        <v>120.101</v>
      </c>
      <c r="O16" s="65">
        <f>IS_Static!E49</f>
        <v>150.70400000000001</v>
      </c>
      <c r="P16" s="65">
        <f>IS_Static!F49</f>
        <v>169.91900000000001</v>
      </c>
      <c r="Q16" s="65">
        <f>IS_Static!G49</f>
        <v>143.738</v>
      </c>
      <c r="R16" s="65">
        <f>IS_Static!H49</f>
        <v>157.61199999999999</v>
      </c>
      <c r="S16" s="65">
        <f>IS_Static!I49</f>
        <v>155.95500000000001</v>
      </c>
      <c r="T16" s="65">
        <f>IS_Static!J49</f>
        <v>156.74299999999999</v>
      </c>
      <c r="U16" s="65">
        <f>IS_Static!K49</f>
        <v>152.19300000000001</v>
      </c>
      <c r="V16" s="65">
        <f>IS_Static!L49</f>
        <v>149.38</v>
      </c>
      <c r="W16" s="65">
        <f>IS_Static!M49</f>
        <v>145.964</v>
      </c>
      <c r="X16" s="74">
        <v>146</v>
      </c>
      <c r="Y16" s="74">
        <v>146</v>
      </c>
      <c r="Z16" s="74">
        <v>146</v>
      </c>
      <c r="AA16" s="74">
        <v>146</v>
      </c>
      <c r="AB16" s="74">
        <v>146</v>
      </c>
    </row>
    <row r="17" spans="2:28" x14ac:dyDescent="0.2">
      <c r="N17" s="65"/>
      <c r="O17" s="65"/>
      <c r="P17" s="65"/>
      <c r="Q17" s="65"/>
      <c r="R17" s="65"/>
      <c r="S17" s="65"/>
      <c r="T17" s="65"/>
      <c r="U17" s="65"/>
      <c r="V17" s="65"/>
      <c r="W17" s="65"/>
    </row>
    <row r="18" spans="2:28" x14ac:dyDescent="0.2">
      <c r="B18" s="34" t="s">
        <v>439</v>
      </c>
      <c r="N18" s="73">
        <f>N10</f>
        <v>178.58499999999981</v>
      </c>
      <c r="O18" s="73">
        <f t="shared" ref="O18:AB18" si="24">O10</f>
        <v>222.60999999999979</v>
      </c>
      <c r="P18" s="73">
        <f t="shared" si="24"/>
        <v>271.68399999999986</v>
      </c>
      <c r="Q18" s="73">
        <f t="shared" si="24"/>
        <v>263.82200000000012</v>
      </c>
      <c r="R18" s="73">
        <f t="shared" si="24"/>
        <v>393.11199999999985</v>
      </c>
      <c r="S18" s="73">
        <f t="shared" si="24"/>
        <v>532.99900000000002</v>
      </c>
      <c r="T18" s="73">
        <f t="shared" si="24"/>
        <v>548.65300000000025</v>
      </c>
      <c r="U18" s="73">
        <f t="shared" si="24"/>
        <v>289.14300000000003</v>
      </c>
      <c r="V18" s="73">
        <f t="shared" si="24"/>
        <v>418.73</v>
      </c>
      <c r="W18" s="73">
        <f t="shared" si="24"/>
        <v>220.77800000000025</v>
      </c>
      <c r="X18" s="73">
        <f t="shared" si="24"/>
        <v>366.16389600000002</v>
      </c>
      <c r="Y18" s="73">
        <f t="shared" si="24"/>
        <v>503.47535699999958</v>
      </c>
      <c r="Z18" s="73">
        <f t="shared" si="24"/>
        <v>603.66695304299969</v>
      </c>
      <c r="AA18" s="73">
        <f t="shared" si="24"/>
        <v>1026.2338201731002</v>
      </c>
      <c r="AB18" s="73">
        <f t="shared" si="24"/>
        <v>1195.2605670251401</v>
      </c>
    </row>
    <row r="19" spans="2:28" x14ac:dyDescent="0.2">
      <c r="B19" s="34" t="s">
        <v>450</v>
      </c>
      <c r="N19" s="48">
        <f>N18+N50</f>
        <v>314.3519999999998</v>
      </c>
      <c r="O19" s="48">
        <f t="shared" ref="O19:W19" si="25">O18+O50</f>
        <v>364.30199999999979</v>
      </c>
      <c r="P19" s="48">
        <f t="shared" si="25"/>
        <v>394.58599999999984</v>
      </c>
      <c r="Q19" s="48">
        <f t="shared" si="25"/>
        <v>373.8420000000001</v>
      </c>
      <c r="R19" s="48">
        <f t="shared" si="25"/>
        <v>515.82399999999984</v>
      </c>
      <c r="S19" s="48">
        <f t="shared" si="25"/>
        <v>665.52600000000007</v>
      </c>
      <c r="T19" s="48">
        <f t="shared" si="25"/>
        <v>680.91900000000032</v>
      </c>
      <c r="U19" s="48">
        <f t="shared" si="25"/>
        <v>429.346</v>
      </c>
      <c r="V19" s="48">
        <f t="shared" si="25"/>
        <v>560.91000000000008</v>
      </c>
      <c r="W19" s="48">
        <f t="shared" si="25"/>
        <v>354.24800000000027</v>
      </c>
      <c r="X19" s="48">
        <f>X18+X50</f>
        <v>480.59011350000003</v>
      </c>
      <c r="Y19" s="48">
        <f t="shared" ref="Y19:AB19" si="26">Y18+Y50</f>
        <v>604.17042839999954</v>
      </c>
      <c r="Z19" s="48">
        <f t="shared" si="26"/>
        <v>713.42458086899978</v>
      </c>
      <c r="AA19" s="48">
        <f t="shared" si="26"/>
        <v>1146.9672107817003</v>
      </c>
      <c r="AB19" s="48">
        <f t="shared" si="26"/>
        <v>1328.0672966946001</v>
      </c>
    </row>
    <row r="20" spans="2:28" x14ac:dyDescent="0.2">
      <c r="B20" s="43" t="s">
        <v>440</v>
      </c>
      <c r="N20" s="44">
        <f>N19/N3</f>
        <v>0.12853415568500881</v>
      </c>
      <c r="O20" s="44">
        <f t="shared" ref="O20:W20" si="27">O19/O3</f>
        <v>0.14008528120533428</v>
      </c>
      <c r="P20" s="44">
        <f t="shared" si="27"/>
        <v>0.14083871610211984</v>
      </c>
      <c r="Q20" s="44">
        <f t="shared" si="27"/>
        <v>0.12081688635116472</v>
      </c>
      <c r="R20" s="44">
        <f t="shared" si="27"/>
        <v>0.1444023189519085</v>
      </c>
      <c r="S20" s="44">
        <f t="shared" si="27"/>
        <v>0.18841914444912841</v>
      </c>
      <c r="T20" s="44">
        <f t="shared" si="27"/>
        <v>0.18806363659463249</v>
      </c>
      <c r="U20" s="44">
        <f t="shared" si="27"/>
        <v>0.11819049451627883</v>
      </c>
      <c r="V20" s="44">
        <f t="shared" si="27"/>
        <v>0.12787045123626797</v>
      </c>
      <c r="W20" s="44">
        <f t="shared" si="27"/>
        <v>8.8232122153299425E-2</v>
      </c>
      <c r="X20" s="44">
        <f t="shared" ref="X20:AB20" si="28">X19/X3</f>
        <v>0.105</v>
      </c>
      <c r="Y20" s="44">
        <f t="shared" si="28"/>
        <v>0.11999999999999988</v>
      </c>
      <c r="Z20" s="44">
        <f t="shared" si="28"/>
        <v>0.12999999999999992</v>
      </c>
      <c r="AA20" s="44">
        <f t="shared" si="28"/>
        <v>0.18999999999999997</v>
      </c>
      <c r="AB20" s="44">
        <f t="shared" si="28"/>
        <v>0.19999999999999993</v>
      </c>
    </row>
    <row r="22" spans="2:28" x14ac:dyDescent="0.2">
      <c r="B22" s="2" t="s">
        <v>400</v>
      </c>
    </row>
    <row r="23" spans="2:28" x14ac:dyDescent="0.2">
      <c r="B23" s="2" t="s">
        <v>401</v>
      </c>
      <c r="N23" s="65">
        <f>BS_Static!D14+BS_Static!D15</f>
        <v>926.07799999999997</v>
      </c>
      <c r="O23" s="65">
        <f>BS_Static!E14+BS_Static!E15</f>
        <v>1052.8630000000001</v>
      </c>
      <c r="P23" s="65">
        <f>BS_Static!F14+BS_Static!F15</f>
        <v>919.64599999999996</v>
      </c>
      <c r="Q23" s="65">
        <f>BS_Static!G14+BS_Static!G15</f>
        <v>894.404</v>
      </c>
      <c r="R23" s="65">
        <f>BS_Static!H14+BS_Static!H15</f>
        <v>1013.9849999999999</v>
      </c>
      <c r="S23" s="65">
        <f>BS_Static!I14+BS_Static!I15</f>
        <v>1239.2909999999999</v>
      </c>
      <c r="T23" s="65">
        <f>BS_Static!J14+BS_Static!J15</f>
        <v>1604.029</v>
      </c>
      <c r="U23" s="65">
        <f>BS_Static!K14+BS_Static!K15</f>
        <v>1148.3409999999999</v>
      </c>
      <c r="V23" s="65">
        <f>BS_Static!L14+BS_Static!L15</f>
        <v>1115.3710000000001</v>
      </c>
      <c r="W23" s="65">
        <f>BS_Static!M14+BS_Static!M15</f>
        <v>1251.2060000000001</v>
      </c>
      <c r="X23" s="72">
        <f>W23+X69</f>
        <v>1283.1276084566668</v>
      </c>
      <c r="Y23" s="72">
        <f t="shared" ref="Y23:AB23" si="29">X23+Y69</f>
        <v>1426.7347740923335</v>
      </c>
      <c r="Z23" s="72">
        <f t="shared" si="29"/>
        <v>1744.4763298852104</v>
      </c>
      <c r="AA23" s="72">
        <f t="shared" si="29"/>
        <v>2210.4319409709983</v>
      </c>
      <c r="AB23" s="72">
        <f t="shared" si="29"/>
        <v>2747.6959795170178</v>
      </c>
    </row>
    <row r="24" spans="2:28" x14ac:dyDescent="0.2">
      <c r="B24" s="2" t="s">
        <v>402</v>
      </c>
      <c r="N24" s="65">
        <f>BS_Static!D16</f>
        <v>550.79200000000003</v>
      </c>
      <c r="O24" s="65">
        <f>BS_Static!E16</f>
        <v>576.23500000000001</v>
      </c>
      <c r="P24" s="65">
        <f>BS_Static!F16</f>
        <v>622.18299999999999</v>
      </c>
      <c r="Q24" s="65">
        <f>BS_Static!G16</f>
        <v>786.50199999999995</v>
      </c>
      <c r="R24" s="65">
        <f>BS_Static!H16</f>
        <v>724.85400000000004</v>
      </c>
      <c r="S24" s="65">
        <f>BS_Static!I16</f>
        <v>719.40499999999997</v>
      </c>
      <c r="T24" s="65">
        <f>BS_Static!J16</f>
        <v>884.95799999999997</v>
      </c>
      <c r="U24" s="65">
        <f>BS_Static!K16</f>
        <v>920.77200000000005</v>
      </c>
      <c r="V24" s="65">
        <f>BS_Static!L16</f>
        <v>1003.876</v>
      </c>
      <c r="W24" s="65">
        <f>BS_Static!M16</f>
        <v>908.59699999999998</v>
      </c>
      <c r="X24" s="72">
        <f>X87*X3</f>
        <v>1144.2621750000001</v>
      </c>
      <c r="Y24" s="72">
        <f t="shared" ref="Y24:AB24" si="30">Y87*Y3</f>
        <v>1195.753972875</v>
      </c>
      <c r="Z24" s="72">
        <f t="shared" si="30"/>
        <v>1238.2032389120627</v>
      </c>
      <c r="AA24" s="72">
        <f t="shared" si="30"/>
        <v>1293.9223846631055</v>
      </c>
      <c r="AB24" s="72">
        <f t="shared" si="30"/>
        <v>1352.1488919729454</v>
      </c>
    </row>
    <row r="25" spans="2:28" x14ac:dyDescent="0.2">
      <c r="B25" s="2" t="s">
        <v>407</v>
      </c>
      <c r="N25" s="65">
        <f>BS_Static!D17</f>
        <v>191.16200000000001</v>
      </c>
      <c r="O25" s="65">
        <f>BS_Static!E17</f>
        <v>211.251</v>
      </c>
      <c r="P25" s="65">
        <f>BS_Static!F17</f>
        <v>267.14299999999997</v>
      </c>
      <c r="Q25" s="65">
        <f>BS_Static!G17</f>
        <v>262.75099999999998</v>
      </c>
      <c r="R25" s="65">
        <f>BS_Static!H17</f>
        <v>345.04899999999998</v>
      </c>
      <c r="S25" s="65">
        <f>BS_Static!I17</f>
        <v>344.37900000000002</v>
      </c>
      <c r="T25" s="65">
        <f>BS_Static!J17</f>
        <v>374.26499999999999</v>
      </c>
      <c r="U25" s="65">
        <f>BS_Static!K17</f>
        <v>946.73</v>
      </c>
      <c r="V25" s="65">
        <f>BS_Static!L17</f>
        <v>1050.838</v>
      </c>
      <c r="W25" s="65">
        <f>BS_Static!M17</f>
        <v>820.43</v>
      </c>
      <c r="X25" s="72">
        <f>X3*X88</f>
        <v>915.40974000000006</v>
      </c>
      <c r="Y25" s="72">
        <f t="shared" ref="Y25:AB25" si="31">Y3*Y88</f>
        <v>1006.9507140000002</v>
      </c>
      <c r="Z25" s="72">
        <f t="shared" si="31"/>
        <v>1097.5762782600002</v>
      </c>
      <c r="AA25" s="72">
        <f t="shared" si="31"/>
        <v>1207.3339060860005</v>
      </c>
      <c r="AB25" s="72">
        <f t="shared" si="31"/>
        <v>1328.0672966946006</v>
      </c>
    </row>
    <row r="26" spans="2:28" x14ac:dyDescent="0.2">
      <c r="B26" s="2" t="s">
        <v>403</v>
      </c>
      <c r="N26" s="65">
        <f>BS_Static!D18</f>
        <v>196.178</v>
      </c>
      <c r="O26" s="65">
        <f>BS_Static!E18</f>
        <v>172.84299999999999</v>
      </c>
      <c r="P26" s="65">
        <f>BS_Static!F18</f>
        <v>197.339</v>
      </c>
      <c r="Q26" s="65">
        <f>BS_Static!G18</f>
        <v>198.94499999999999</v>
      </c>
      <c r="R26" s="65">
        <f>BS_Static!H18</f>
        <v>297.91399999999999</v>
      </c>
      <c r="S26" s="65">
        <f>BS_Static!I18</f>
        <v>308.084</v>
      </c>
      <c r="T26" s="65">
        <f>BS_Static!J18</f>
        <v>325.654</v>
      </c>
      <c r="U26" s="65">
        <f>BS_Static!K18</f>
        <v>370.053</v>
      </c>
      <c r="V26" s="65">
        <f>BS_Static!L18</f>
        <v>405.69400000000002</v>
      </c>
      <c r="W26" s="65">
        <f>BS_Static!M18</f>
        <v>564.18299999999999</v>
      </c>
      <c r="X26" s="72">
        <f>X$89*X$3*(W26/(W$26+W$32+W$33))</f>
        <v>643.43465075756956</v>
      </c>
      <c r="Y26" s="72">
        <f t="shared" ref="Y26:AB26" si="32">Y$89*Y$3*(X26/(X$26+X$32+X$33))</f>
        <v>707.77811583332652</v>
      </c>
      <c r="Z26" s="72">
        <f t="shared" si="32"/>
        <v>771.47814625832598</v>
      </c>
      <c r="AA26" s="72">
        <f t="shared" si="32"/>
        <v>848.62596088415864</v>
      </c>
      <c r="AB26" s="72">
        <f t="shared" si="32"/>
        <v>933.48855697257466</v>
      </c>
    </row>
    <row r="27" spans="2:28" x14ac:dyDescent="0.2">
      <c r="B27" s="2" t="s">
        <v>405</v>
      </c>
      <c r="N27" s="65">
        <f>BS_Static!D19</f>
        <v>95.105000000000004</v>
      </c>
      <c r="O27" s="65">
        <f>BS_Static!E19</f>
        <v>90.171999999999997</v>
      </c>
      <c r="P27" s="65">
        <f>BS_Static!F19</f>
        <v>49.783000000000001</v>
      </c>
      <c r="Q27" s="65">
        <f>BS_Static!G19</f>
        <v>58.97</v>
      </c>
      <c r="R27" s="65">
        <f>BS_Static!H19</f>
        <v>10.013999999999999</v>
      </c>
      <c r="S27" s="65">
        <f>BS_Static!I19</f>
        <v>82.225999999999999</v>
      </c>
      <c r="T27" s="65">
        <f>BS_Static!J19</f>
        <v>70.037999999999997</v>
      </c>
      <c r="U27" s="65">
        <f>BS_Static!K19</f>
        <v>35.384999999999998</v>
      </c>
      <c r="V27" s="65">
        <f>BS_Static!L19</f>
        <v>134.27799999999999</v>
      </c>
      <c r="W27" s="65">
        <f>BS_Static!M19</f>
        <v>80.92</v>
      </c>
      <c r="X27" s="80">
        <v>81</v>
      </c>
      <c r="Y27" s="80">
        <v>81</v>
      </c>
      <c r="Z27" s="80">
        <v>81</v>
      </c>
      <c r="AA27" s="80">
        <v>81</v>
      </c>
      <c r="AB27" s="80">
        <v>81</v>
      </c>
    </row>
    <row r="28" spans="2:28" x14ac:dyDescent="0.2">
      <c r="B28" s="2" t="s">
        <v>404</v>
      </c>
      <c r="N28" s="65">
        <f>BS_Static!D20</f>
        <v>191.97300000000001</v>
      </c>
      <c r="O28" s="65">
        <f>BS_Static!E20</f>
        <v>288.40600000000001</v>
      </c>
      <c r="P28" s="65">
        <f>BS_Static!F20</f>
        <v>308.46499999999997</v>
      </c>
      <c r="Q28" s="65">
        <f>BS_Static!G20</f>
        <v>292.06700000000001</v>
      </c>
      <c r="R28" s="65">
        <f>BS_Static!H20</f>
        <v>286.88400000000001</v>
      </c>
      <c r="S28" s="65">
        <f>BS_Static!I20</f>
        <v>272.37700000000001</v>
      </c>
      <c r="T28" s="65">
        <f>BS_Static!J20</f>
        <v>284.96800000000002</v>
      </c>
      <c r="U28" s="65">
        <f>BS_Static!K20</f>
        <v>267.779</v>
      </c>
      <c r="V28" s="65">
        <f>BS_Static!L20</f>
        <v>280.14699999999999</v>
      </c>
      <c r="W28" s="65">
        <f>BS_Static!M20</f>
        <v>337.72199999999998</v>
      </c>
      <c r="X28" s="72">
        <f>W28-X60-X50</f>
        <v>360.60724349999998</v>
      </c>
      <c r="Y28" s="72">
        <f t="shared" ref="Y28:AB28" si="33">X28-Y60-Y50</f>
        <v>410.95477920000002</v>
      </c>
      <c r="Z28" s="72">
        <f t="shared" si="33"/>
        <v>465.83359311300006</v>
      </c>
      <c r="AA28" s="72">
        <f t="shared" si="33"/>
        <v>526.20028841730004</v>
      </c>
      <c r="AB28" s="72">
        <f t="shared" si="33"/>
        <v>592.60365325202997</v>
      </c>
    </row>
    <row r="29" spans="2:28" x14ac:dyDescent="0.2">
      <c r="B29" s="2" t="s">
        <v>10</v>
      </c>
      <c r="N29" s="65" t="str">
        <f>BS_Static!D21</f>
        <v>-</v>
      </c>
      <c r="O29" s="65" t="str">
        <f>BS_Static!E21</f>
        <v>-</v>
      </c>
      <c r="P29" s="65" t="str">
        <f>BS_Static!F21</f>
        <v>-</v>
      </c>
      <c r="Q29" s="65" t="str">
        <f>BS_Static!G21</f>
        <v>-</v>
      </c>
      <c r="R29" s="65">
        <f>BS_Static!H21</f>
        <v>0</v>
      </c>
      <c r="S29" s="65">
        <f>BS_Static!I21</f>
        <v>57.026000000000003</v>
      </c>
      <c r="T29" s="65">
        <f>BS_Static!J21</f>
        <v>44.284999999999997</v>
      </c>
      <c r="U29" s="65">
        <f>BS_Static!K21</f>
        <v>45.107999999999997</v>
      </c>
      <c r="V29" s="65">
        <f>BS_Static!L21</f>
        <v>35.14</v>
      </c>
      <c r="W29" s="65">
        <f>BS_Static!M21</f>
        <v>27.417000000000002</v>
      </c>
      <c r="X29" s="80">
        <v>35</v>
      </c>
      <c r="Y29" s="80">
        <v>35</v>
      </c>
      <c r="Z29" s="80">
        <v>35</v>
      </c>
      <c r="AA29" s="80">
        <v>35</v>
      </c>
      <c r="AB29" s="80">
        <v>35</v>
      </c>
    </row>
    <row r="30" spans="2:28" x14ac:dyDescent="0.2">
      <c r="B30" s="2" t="s">
        <v>5</v>
      </c>
      <c r="N30" s="65">
        <f>BS_Static!D22</f>
        <v>256.43400000000003</v>
      </c>
      <c r="O30" s="65">
        <f>BS_Static!E22</f>
        <v>266.97399999999999</v>
      </c>
      <c r="P30" s="65">
        <f>BS_Static!F22</f>
        <v>267.45800000000003</v>
      </c>
      <c r="Q30" s="65">
        <f>BS_Static!G22</f>
        <v>297.96800000000002</v>
      </c>
      <c r="R30" s="65">
        <f>BS_Static!H22</f>
        <v>297.93700000000001</v>
      </c>
      <c r="S30" s="65">
        <f>BS_Static!I22</f>
        <v>310.84699999999998</v>
      </c>
      <c r="T30" s="65">
        <f>BS_Static!J22</f>
        <v>311.64499999999998</v>
      </c>
      <c r="U30" s="65">
        <f>BS_Static!K22</f>
        <v>328.322</v>
      </c>
      <c r="V30" s="65">
        <f>BS_Static!L22</f>
        <v>444.76499999999999</v>
      </c>
      <c r="W30" s="65">
        <f>BS_Static!M22</f>
        <v>444.70699999999999</v>
      </c>
      <c r="X30" s="80">
        <v>445</v>
      </c>
      <c r="Y30" s="80">
        <v>445</v>
      </c>
      <c r="Z30" s="80">
        <v>445</v>
      </c>
      <c r="AA30" s="80">
        <v>445</v>
      </c>
      <c r="AB30" s="80">
        <v>445</v>
      </c>
    </row>
    <row r="31" spans="2:28" x14ac:dyDescent="0.2">
      <c r="B31" s="2" t="s">
        <v>406</v>
      </c>
      <c r="N31" s="65">
        <f>BS_Static!D23</f>
        <v>202.673</v>
      </c>
      <c r="O31" s="65">
        <f>BS_Static!E23</f>
        <v>146.71100000000001</v>
      </c>
      <c r="P31" s="65">
        <f>BS_Static!F23</f>
        <v>100.997</v>
      </c>
      <c r="Q31" s="65">
        <f>BS_Static!G23</f>
        <v>148.22499999999999</v>
      </c>
      <c r="R31" s="65">
        <f>BS_Static!H23</f>
        <v>112.78100000000001</v>
      </c>
      <c r="S31" s="65">
        <f>BS_Static!I23</f>
        <v>96.647000000000006</v>
      </c>
      <c r="T31" s="65">
        <f>BS_Static!J23</f>
        <v>65.313999999999993</v>
      </c>
      <c r="U31" s="65">
        <f>BS_Static!K23</f>
        <v>69.516999999999996</v>
      </c>
      <c r="V31" s="65">
        <f>BS_Static!L23</f>
        <v>205.62700000000001</v>
      </c>
      <c r="W31" s="65">
        <f>BS_Static!M23</f>
        <v>165.02</v>
      </c>
      <c r="X31" s="80">
        <v>165</v>
      </c>
      <c r="Y31" s="80">
        <v>165</v>
      </c>
      <c r="Z31" s="80">
        <v>165</v>
      </c>
      <c r="AA31" s="80">
        <v>165</v>
      </c>
      <c r="AB31" s="80">
        <v>165</v>
      </c>
    </row>
    <row r="32" spans="2:28" x14ac:dyDescent="0.2">
      <c r="B32" s="75" t="s">
        <v>492</v>
      </c>
      <c r="N32" s="65">
        <f>BS_Static!D25</f>
        <v>0</v>
      </c>
      <c r="O32" s="65">
        <f>BS_Static!E25</f>
        <v>1.1160000000000001</v>
      </c>
      <c r="P32" s="65">
        <f>BS_Static!F25</f>
        <v>1155.104</v>
      </c>
      <c r="Q32" s="65">
        <f>BS_Static!G25</f>
        <v>745.03899999999999</v>
      </c>
      <c r="R32" s="65">
        <f>BS_Static!H25</f>
        <v>714.94200000000001</v>
      </c>
      <c r="S32" s="65">
        <f>BS_Static!I25</f>
        <v>647.80499999999995</v>
      </c>
      <c r="T32" s="65">
        <f>BS_Static!J25</f>
        <v>800.18</v>
      </c>
      <c r="U32" s="65">
        <f>BS_Static!K25</f>
        <v>824.00800000000004</v>
      </c>
      <c r="V32" s="65">
        <f>BS_Static!L25</f>
        <v>809.30600000000004</v>
      </c>
      <c r="W32" s="65">
        <f>BS_Static!M25</f>
        <v>886.44100000000003</v>
      </c>
      <c r="X32" s="72">
        <f t="shared" ref="X32:AB33" si="34">X$89*X$3*(W32/(W$26+W$32+W$33))</f>
        <v>1010.960725956278</v>
      </c>
      <c r="Y32" s="72">
        <f t="shared" si="34"/>
        <v>1112.056798551906</v>
      </c>
      <c r="Z32" s="72">
        <f t="shared" si="34"/>
        <v>1212.1419104215777</v>
      </c>
      <c r="AA32" s="72">
        <f t="shared" si="34"/>
        <v>1333.3561014637355</v>
      </c>
      <c r="AB32" s="72">
        <f t="shared" si="34"/>
        <v>1466.6917116101095</v>
      </c>
    </row>
    <row r="33" spans="2:28" x14ac:dyDescent="0.2">
      <c r="B33" s="2" t="s">
        <v>11</v>
      </c>
      <c r="N33" s="65">
        <f>BS_Static!D24</f>
        <v>84.656000000000006</v>
      </c>
      <c r="O33" s="65">
        <f>BS_Static!E26</f>
        <v>67.004000000000005</v>
      </c>
      <c r="P33" s="65">
        <f>BS_Static!F26</f>
        <v>63.593000000000004</v>
      </c>
      <c r="Q33" s="65">
        <f>BS_Static!G26</f>
        <v>71.652000000000001</v>
      </c>
      <c r="R33" s="65">
        <f>BS_Static!H26</f>
        <v>88.986000000000004</v>
      </c>
      <c r="S33" s="65">
        <f>BS_Static!I26</f>
        <v>102.83</v>
      </c>
      <c r="T33" s="65">
        <f>BS_Static!J26</f>
        <v>99.891000000000005</v>
      </c>
      <c r="U33" s="65">
        <f>BS_Static!K26</f>
        <v>113.617</v>
      </c>
      <c r="V33" s="65">
        <f>BS_Static!L26</f>
        <v>116.453</v>
      </c>
      <c r="W33" s="65">
        <f>BS_Static!M26</f>
        <v>154.69399999999999</v>
      </c>
      <c r="X33" s="72">
        <f t="shared" si="34"/>
        <v>176.42410328615264</v>
      </c>
      <c r="Y33" s="72">
        <f t="shared" si="34"/>
        <v>194.06651361476793</v>
      </c>
      <c r="Z33" s="72">
        <f t="shared" si="34"/>
        <v>211.53249984009705</v>
      </c>
      <c r="AA33" s="72">
        <f t="shared" si="34"/>
        <v>232.68574982410675</v>
      </c>
      <c r="AB33" s="72">
        <f t="shared" si="34"/>
        <v>255.95432480651746</v>
      </c>
    </row>
    <row r="34" spans="2:28" x14ac:dyDescent="0.2">
      <c r="B34" s="2" t="s">
        <v>9</v>
      </c>
      <c r="N34" s="30">
        <f>SUM(N23:N33)</f>
        <v>2695.0510000000004</v>
      </c>
      <c r="O34" s="30">
        <f t="shared" ref="O34:AB34" si="35">SUM(O23:O33)</f>
        <v>2873.5749999999998</v>
      </c>
      <c r="P34" s="30">
        <f t="shared" si="35"/>
        <v>3951.7110000000002</v>
      </c>
      <c r="Q34" s="30">
        <f t="shared" si="35"/>
        <v>3756.5229999999992</v>
      </c>
      <c r="R34" s="30">
        <f t="shared" si="35"/>
        <v>3893.3459999999995</v>
      </c>
      <c r="S34" s="30">
        <f t="shared" si="35"/>
        <v>4180.9169999999995</v>
      </c>
      <c r="T34" s="30">
        <f t="shared" si="35"/>
        <v>4865.226999999999</v>
      </c>
      <c r="U34" s="30">
        <f t="shared" si="35"/>
        <v>5069.6320000000005</v>
      </c>
      <c r="V34" s="30">
        <f t="shared" si="35"/>
        <v>5601.4949999999999</v>
      </c>
      <c r="W34" s="30">
        <f t="shared" si="35"/>
        <v>5641.3370000000004</v>
      </c>
      <c r="X34" s="30">
        <f t="shared" si="35"/>
        <v>6260.2262469566676</v>
      </c>
      <c r="Y34" s="30">
        <f t="shared" si="35"/>
        <v>6780.295668167334</v>
      </c>
      <c r="Z34" s="30">
        <f t="shared" si="35"/>
        <v>7467.2419966902744</v>
      </c>
      <c r="AA34" s="30">
        <f t="shared" si="35"/>
        <v>8378.5563323094048</v>
      </c>
      <c r="AB34" s="30">
        <f t="shared" si="35"/>
        <v>9402.6504148257973</v>
      </c>
    </row>
    <row r="36" spans="2:28" x14ac:dyDescent="0.2">
      <c r="B36" s="2" t="s">
        <v>409</v>
      </c>
      <c r="N36" s="65">
        <f>BS_Static!D30</f>
        <v>222.14</v>
      </c>
      <c r="O36" s="65">
        <f>BS_Static!E30</f>
        <v>235.94200000000001</v>
      </c>
      <c r="P36" s="65">
        <f>BS_Static!F30</f>
        <v>260.09800000000001</v>
      </c>
      <c r="Q36" s="65">
        <f>BS_Static!G30</f>
        <v>340.58199999999999</v>
      </c>
      <c r="R36" s="65">
        <f>BS_Static!H30</f>
        <v>344.81900000000002</v>
      </c>
      <c r="S36" s="65">
        <f>BS_Static!I30</f>
        <v>291.904</v>
      </c>
      <c r="T36" s="65">
        <f>BS_Static!J30</f>
        <v>356.17599999999999</v>
      </c>
      <c r="U36" s="65">
        <f>BS_Static!K30</f>
        <v>516.04700000000003</v>
      </c>
      <c r="V36" s="65">
        <f>BS_Static!L30</f>
        <v>317.82799999999997</v>
      </c>
      <c r="W36" s="65">
        <f>BS_Static!M30</f>
        <v>423.40100000000001</v>
      </c>
      <c r="X36" s="30">
        <f>-X92*X4</f>
        <v>265.4688246</v>
      </c>
      <c r="Y36" s="30">
        <f t="shared" ref="Y36:AB36" si="36">-Y92*Y4</f>
        <v>281.94619992000008</v>
      </c>
      <c r="Z36" s="30">
        <f t="shared" si="36"/>
        <v>301.83347652150013</v>
      </c>
      <c r="AA36" s="30">
        <f t="shared" si="36"/>
        <v>301.83347652150013</v>
      </c>
      <c r="AB36" s="30">
        <f t="shared" si="36"/>
        <v>332.01682417365015</v>
      </c>
    </row>
    <row r="37" spans="2:28" x14ac:dyDescent="0.2">
      <c r="B37" s="75" t="s">
        <v>493</v>
      </c>
      <c r="N37" s="65">
        <f>BS_Static!D31</f>
        <v>316.28300000000002</v>
      </c>
      <c r="O37" s="65">
        <f>BS_Static!E31</f>
        <v>310.35300000000001</v>
      </c>
      <c r="P37" s="65">
        <f>BS_Static!F31</f>
        <v>322.93400000000003</v>
      </c>
      <c r="Q37" s="65">
        <f>BS_Static!G31</f>
        <v>340.07499999999999</v>
      </c>
      <c r="R37" s="65">
        <f>BS_Static!H31</f>
        <v>382.74</v>
      </c>
      <c r="S37" s="65">
        <f>BS_Static!I31</f>
        <v>334.13200000000001</v>
      </c>
      <c r="T37" s="65">
        <f>BS_Static!J31</f>
        <v>409.28500000000003</v>
      </c>
      <c r="U37" s="65">
        <f>BS_Static!K31</f>
        <v>360.78199999999998</v>
      </c>
      <c r="V37" s="65">
        <f>BS_Static!L31</f>
        <v>431.41899999999998</v>
      </c>
      <c r="W37" s="65">
        <f>BS_Static!M31</f>
        <v>393.90499999999997</v>
      </c>
      <c r="X37" s="30">
        <f>X9*-X93</f>
        <v>389.04913950000002</v>
      </c>
      <c r="Y37" s="30">
        <f t="shared" ref="Y37:AB37" si="37">Y9*-Y93</f>
        <v>427.95405345000012</v>
      </c>
      <c r="Z37" s="30">
        <f t="shared" si="37"/>
        <v>466.46991826050015</v>
      </c>
      <c r="AA37" s="30">
        <f t="shared" si="37"/>
        <v>498.0252362604752</v>
      </c>
      <c r="AB37" s="30">
        <f t="shared" si="37"/>
        <v>531.22691867784033</v>
      </c>
    </row>
    <row r="38" spans="2:28" x14ac:dyDescent="0.2">
      <c r="B38" s="2" t="s">
        <v>410</v>
      </c>
      <c r="N38" s="65">
        <f>BS_Static!D40+BS_Static!D49</f>
        <v>1274.1389999999999</v>
      </c>
      <c r="O38" s="65">
        <f>BS_Static!E40+BS_Static!E49</f>
        <v>1253.682</v>
      </c>
      <c r="P38" s="65">
        <f>BS_Static!F40+BS_Static!F49</f>
        <v>935.98099999999999</v>
      </c>
      <c r="Q38" s="65">
        <f>BS_Static!G40+BS_Static!G49+BS_Static!G41</f>
        <v>857.66200000000003</v>
      </c>
      <c r="R38" s="65">
        <f>BS_Static!H40+BS_Static!H49</f>
        <v>687.40599999999995</v>
      </c>
      <c r="S38" s="65">
        <f>BS_Static!I40+BS_Static!I49</f>
        <v>683.28599999999994</v>
      </c>
      <c r="T38" s="65">
        <f>BS_Static!J40+BS_Static!J49</f>
        <v>677.28499999999997</v>
      </c>
      <c r="U38" s="65">
        <f>BS_Static!K40+BS_Static!K49</f>
        <v>1068.0550000000001</v>
      </c>
      <c r="V38" s="65">
        <f>BS_Static!L40+BS_Static!L49</f>
        <v>1555.106</v>
      </c>
      <c r="W38" s="65">
        <f>BS_Static!M40+BS_Static!M49</f>
        <v>1544.7740000000001</v>
      </c>
      <c r="X38" s="65">
        <f>X123</f>
        <v>1558.3</v>
      </c>
      <c r="Y38" s="65">
        <f t="shared" ref="Y38:AB38" si="38">Y123</f>
        <v>1558.3</v>
      </c>
      <c r="Z38" s="65">
        <f t="shared" si="38"/>
        <v>1558.3</v>
      </c>
      <c r="AA38" s="65">
        <f t="shared" si="38"/>
        <v>1558.3</v>
      </c>
      <c r="AB38" s="65">
        <f t="shared" si="38"/>
        <v>1558.3</v>
      </c>
    </row>
    <row r="39" spans="2:28" x14ac:dyDescent="0.2">
      <c r="B39" s="2" t="s">
        <v>411</v>
      </c>
      <c r="N39" s="65">
        <f>BS_Static!D36+BS_Static!D42</f>
        <v>189.07300000000001</v>
      </c>
      <c r="O39" s="65">
        <f>BS_Static!E36+BS_Static!E42</f>
        <v>182.863</v>
      </c>
      <c r="P39" s="65">
        <f>BS_Static!F36+BS_Static!F42</f>
        <v>185.00700000000001</v>
      </c>
      <c r="Q39" s="65">
        <f>BS_Static!G36+BS_Static!G42</f>
        <v>169.45699999999999</v>
      </c>
      <c r="R39" s="65">
        <f>BS_Static!H36+BS_Static!H42</f>
        <v>156.87299999999999</v>
      </c>
      <c r="S39" s="65">
        <f>BS_Static!I36+BS_Static!I42</f>
        <v>158.363</v>
      </c>
      <c r="T39" s="65">
        <f>BS_Static!J36+BS_Static!J42</f>
        <v>175.464</v>
      </c>
      <c r="U39" s="65">
        <f>BS_Static!K36+BS_Static!K42</f>
        <v>200.23500000000001</v>
      </c>
      <c r="V39" s="65">
        <f>BS_Static!L36+BS_Static!L42</f>
        <v>228.46</v>
      </c>
      <c r="W39" s="65">
        <f>BS_Static!M36+BS_Static!M42</f>
        <v>237.61899999999997</v>
      </c>
      <c r="X39" s="80">
        <v>200</v>
      </c>
      <c r="Y39" s="80">
        <v>200</v>
      </c>
      <c r="Z39" s="80">
        <v>200</v>
      </c>
      <c r="AA39" s="80">
        <v>200</v>
      </c>
      <c r="AB39" s="80">
        <v>200</v>
      </c>
    </row>
    <row r="40" spans="2:28" x14ac:dyDescent="0.2">
      <c r="B40" s="2" t="s">
        <v>412</v>
      </c>
      <c r="N40" s="65">
        <f>BS_Static!D39+BS_Static!D48</f>
        <v>0</v>
      </c>
      <c r="O40" s="65">
        <f>BS_Static!E39+BS_Static!E48</f>
        <v>0</v>
      </c>
      <c r="P40" s="65">
        <f>BS_Static!F39+BS_Static!F48</f>
        <v>0</v>
      </c>
      <c r="Q40" s="65">
        <f>BS_Static!G39+BS_Static!G48</f>
        <v>0</v>
      </c>
      <c r="R40" s="65">
        <f>BS_Static!H39+BS_Static!H48</f>
        <v>0</v>
      </c>
      <c r="S40" s="65">
        <f>BS_Static!I39+BS_Static!I48</f>
        <v>80.45</v>
      </c>
      <c r="T40" s="65">
        <f>BS_Static!J39+BS_Static!J48</f>
        <v>60.195999999999998</v>
      </c>
      <c r="U40" s="65">
        <f>BS_Static!K39+BS_Static!K48</f>
        <v>61.317000000000007</v>
      </c>
      <c r="V40" s="65">
        <f>BS_Static!L39+BS_Static!L48</f>
        <v>49.914000000000001</v>
      </c>
      <c r="W40" s="65">
        <f>BS_Static!M39+BS_Static!M48</f>
        <v>39.561999999999998</v>
      </c>
      <c r="X40" s="80">
        <v>50</v>
      </c>
      <c r="Y40" s="80">
        <v>50</v>
      </c>
      <c r="Z40" s="80">
        <v>50</v>
      </c>
      <c r="AA40" s="80">
        <v>50</v>
      </c>
      <c r="AB40" s="80">
        <v>50</v>
      </c>
    </row>
    <row r="41" spans="2:28" x14ac:dyDescent="0.2">
      <c r="B41" s="2" t="s">
        <v>12</v>
      </c>
      <c r="N41" s="65">
        <f>BS_Static!D44</f>
        <v>72.540000000000006</v>
      </c>
      <c r="O41" s="65">
        <f>BS_Static!E44</f>
        <v>124.39400000000001</v>
      </c>
      <c r="P41" s="65">
        <f>BS_Static!F44</f>
        <v>111.349</v>
      </c>
      <c r="Q41" s="65">
        <f>BS_Static!G44</f>
        <v>119.413</v>
      </c>
      <c r="R41" s="65">
        <f>BS_Static!H44</f>
        <v>148.74700000000001</v>
      </c>
      <c r="S41" s="65">
        <f>BS_Static!I44</f>
        <v>123.185</v>
      </c>
      <c r="T41" s="65">
        <f>BS_Static!J44</f>
        <v>166.803</v>
      </c>
      <c r="U41" s="65">
        <f>BS_Static!K44</f>
        <v>150.33500000000001</v>
      </c>
      <c r="V41" s="65">
        <f>BS_Static!L44</f>
        <v>170.40700000000001</v>
      </c>
      <c r="W41" s="65">
        <f>BS_Static!M44</f>
        <v>185.93799999999999</v>
      </c>
      <c r="X41" s="30">
        <f>X94*X3</f>
        <v>183.08194800000001</v>
      </c>
      <c r="Y41" s="30">
        <f t="shared" ref="Y41:AB41" si="39">Y94*Y3</f>
        <v>201.39014280000004</v>
      </c>
      <c r="Z41" s="30">
        <f t="shared" si="39"/>
        <v>219.51525565200006</v>
      </c>
      <c r="AA41" s="30">
        <f t="shared" si="39"/>
        <v>241.46678121720009</v>
      </c>
      <c r="AB41" s="30">
        <f t="shared" si="39"/>
        <v>265.61345933892011</v>
      </c>
    </row>
    <row r="42" spans="2:28" x14ac:dyDescent="0.2">
      <c r="B42" s="2" t="s">
        <v>13</v>
      </c>
      <c r="N42" s="65">
        <f>BS_Static!D57</f>
        <v>-5998.79</v>
      </c>
      <c r="O42" s="65">
        <f>BS_Static!E57</f>
        <v>-5926.2060000000001</v>
      </c>
      <c r="P42" s="65">
        <f>BS_Static!F57</f>
        <v>-4664.2529999999997</v>
      </c>
      <c r="Q42" s="65">
        <f>BS_Static!G57</f>
        <v>-4947.652</v>
      </c>
      <c r="R42" s="65">
        <f>BS_Static!H57</f>
        <v>-4644.4129999999996</v>
      </c>
      <c r="S42" s="65">
        <f>BS_Static!I57</f>
        <v>-4283.1220000000003</v>
      </c>
      <c r="T42" s="65">
        <f>BS_Static!J57</f>
        <v>-3785.1320000000001</v>
      </c>
      <c r="U42" s="65">
        <f>BS_Static!K57</f>
        <v>-3632.23</v>
      </c>
      <c r="V42" s="65">
        <f>BS_Static!L57</f>
        <v>-3377.4029999999998</v>
      </c>
      <c r="W42" s="65">
        <f>BS_Static!M57</f>
        <v>-3293.4470000000001</v>
      </c>
      <c r="X42" s="72">
        <f>W42+X14</f>
        <v>-3047.6695087596618</v>
      </c>
      <c r="Y42" s="72">
        <f t="shared" ref="Y42:AB42" si="40">X42+Y14</f>
        <v>-2697.3091349895449</v>
      </c>
      <c r="Z42" s="72">
        <f t="shared" si="40"/>
        <v>-2265.8318307151822</v>
      </c>
      <c r="AA42" s="72">
        <f t="shared" si="40"/>
        <v>-1506.4863001694266</v>
      </c>
      <c r="AB42" s="72">
        <f t="shared" si="40"/>
        <v>-605.49186770678216</v>
      </c>
    </row>
    <row r="43" spans="2:28" x14ac:dyDescent="0.2">
      <c r="B43" s="2" t="s">
        <v>413</v>
      </c>
      <c r="N43" s="65">
        <f>BS_Static!D51+BS_Static!D52+BS_Static!D53</f>
        <v>6641.7919999999995</v>
      </c>
      <c r="O43" s="65">
        <f>BS_Static!E51+BS_Static!E52+BS_Static!E53</f>
        <v>6716.8760000000002</v>
      </c>
      <c r="P43" s="65">
        <f>BS_Static!F51+BS_Static!F52+BS_Static!F53</f>
        <v>6811.6120000000001</v>
      </c>
      <c r="Q43" s="65">
        <f>BS_Static!G51+BS_Static!G52+BS_Static!G53</f>
        <v>6882.7659999999996</v>
      </c>
      <c r="R43" s="65">
        <f>BS_Static!H51+BS_Static!H52+BS_Static!H53</f>
        <v>6839.2579999999998</v>
      </c>
      <c r="S43" s="65">
        <f>BS_Static!I51+BS_Static!I52+BS_Static!I53</f>
        <v>6828.0770000000002</v>
      </c>
      <c r="T43" s="65">
        <f>BS_Static!J51+BS_Static!J52+BS_Static!J53</f>
        <v>6804.7110000000002</v>
      </c>
      <c r="U43" s="65">
        <f>BS_Static!K51+BS_Static!K52+BS_Static!K53</f>
        <v>6391.7360000000008</v>
      </c>
      <c r="V43" s="65">
        <f>BS_Static!L51+BS_Static!L52+BS_Static!L53</f>
        <v>6263.5309999999999</v>
      </c>
      <c r="W43" s="65">
        <f>BS_Static!M51+BS_Static!M52+BS_Static!M53</f>
        <v>6156.2959999999994</v>
      </c>
      <c r="X43" s="65">
        <f>X142</f>
        <v>5983.2243052566664</v>
      </c>
      <c r="Y43" s="65">
        <f t="shared" ref="Y43:AB43" si="41">Y142</f>
        <v>5829.6316743723328</v>
      </c>
      <c r="Z43" s="65">
        <f t="shared" si="41"/>
        <v>5692.215706708409</v>
      </c>
      <c r="AA43" s="65">
        <f t="shared" si="41"/>
        <v>5645.047802930857</v>
      </c>
      <c r="AB43" s="65">
        <f t="shared" si="41"/>
        <v>5604.2184021602561</v>
      </c>
    </row>
    <row r="44" spans="2:28" x14ac:dyDescent="0.2">
      <c r="B44" s="2" t="s">
        <v>414</v>
      </c>
      <c r="N44" s="65">
        <f>BS_Static!D54</f>
        <v>-22.126000000000001</v>
      </c>
      <c r="O44" s="65">
        <f>BS_Static!E54</f>
        <v>-24.329000000000001</v>
      </c>
      <c r="P44" s="65">
        <f>BS_Static!F54</f>
        <v>-11.016999999999999</v>
      </c>
      <c r="Q44" s="65">
        <f>BS_Static!G54</f>
        <v>-5.78</v>
      </c>
      <c r="R44" s="65">
        <f>BS_Static!H54</f>
        <v>-22.084</v>
      </c>
      <c r="S44" s="65">
        <f>BS_Static!I54</f>
        <v>-35.357999999999997</v>
      </c>
      <c r="T44" s="65">
        <f>BS_Static!J54</f>
        <v>0.439</v>
      </c>
      <c r="U44" s="65">
        <f>BS_Static!K54</f>
        <v>-46.645000000000003</v>
      </c>
      <c r="V44" s="65">
        <f>BS_Static!L54</f>
        <v>-37.767000000000003</v>
      </c>
      <c r="W44" s="65">
        <f>BS_Static!M54</f>
        <v>-46.710999999999999</v>
      </c>
      <c r="X44" s="74">
        <v>-20</v>
      </c>
      <c r="Y44" s="74">
        <v>-20</v>
      </c>
      <c r="Z44" s="74">
        <v>-20</v>
      </c>
      <c r="AA44" s="74">
        <v>-20</v>
      </c>
      <c r="AB44" s="74">
        <v>-20</v>
      </c>
    </row>
    <row r="45" spans="2:28" x14ac:dyDescent="0.2">
      <c r="B45" s="2" t="s">
        <v>415</v>
      </c>
      <c r="N45" s="30">
        <f>SUM(N36:N44)</f>
        <v>2695.0509999999995</v>
      </c>
      <c r="O45" s="30">
        <f t="shared" ref="O45:AB45" si="42">SUM(O36:O44)</f>
        <v>2873.5750000000003</v>
      </c>
      <c r="P45" s="30">
        <f t="shared" si="42"/>
        <v>3951.7110000000002</v>
      </c>
      <c r="Q45" s="30">
        <f t="shared" si="42"/>
        <v>3756.5229999999992</v>
      </c>
      <c r="R45" s="30">
        <f t="shared" si="42"/>
        <v>3893.3460000000005</v>
      </c>
      <c r="S45" s="30">
        <f t="shared" si="42"/>
        <v>4180.9169999999995</v>
      </c>
      <c r="T45" s="30">
        <f t="shared" si="42"/>
        <v>4865.2270000000008</v>
      </c>
      <c r="U45" s="30">
        <f t="shared" si="42"/>
        <v>5069.6320000000005</v>
      </c>
      <c r="V45" s="30">
        <f t="shared" si="42"/>
        <v>5601.4950000000008</v>
      </c>
      <c r="W45" s="30">
        <f t="shared" si="42"/>
        <v>5641.3369999999986</v>
      </c>
      <c r="X45" s="30">
        <f t="shared" si="42"/>
        <v>5561.4547085970044</v>
      </c>
      <c r="Y45" s="30">
        <f t="shared" si="42"/>
        <v>5831.9129355527875</v>
      </c>
      <c r="Z45" s="30">
        <f t="shared" si="42"/>
        <v>6202.5025264272272</v>
      </c>
      <c r="AA45" s="30">
        <f t="shared" si="42"/>
        <v>6968.1869967606053</v>
      </c>
      <c r="AB45" s="30">
        <f t="shared" si="42"/>
        <v>7915.8837366438847</v>
      </c>
    </row>
    <row r="46" spans="2:28" s="33" customFormat="1" ht="12" x14ac:dyDescent="0.2">
      <c r="B46" s="32" t="s">
        <v>408</v>
      </c>
      <c r="N46" s="94">
        <f>N34-N45</f>
        <v>0</v>
      </c>
      <c r="O46" s="94">
        <f t="shared" ref="O46:AB46" si="43">O34-O45</f>
        <v>0</v>
      </c>
      <c r="P46" s="94">
        <f t="shared" si="43"/>
        <v>0</v>
      </c>
      <c r="Q46" s="94">
        <f t="shared" si="43"/>
        <v>0</v>
      </c>
      <c r="R46" s="94">
        <f t="shared" si="43"/>
        <v>0</v>
      </c>
      <c r="S46" s="94">
        <f t="shared" si="43"/>
        <v>0</v>
      </c>
      <c r="T46" s="94">
        <f t="shared" si="43"/>
        <v>0</v>
      </c>
      <c r="U46" s="94">
        <f t="shared" si="43"/>
        <v>0</v>
      </c>
      <c r="V46" s="94">
        <f t="shared" si="43"/>
        <v>0</v>
      </c>
      <c r="W46" s="94">
        <f t="shared" si="43"/>
        <v>0</v>
      </c>
      <c r="X46" s="94">
        <f t="shared" si="43"/>
        <v>698.77153835966328</v>
      </c>
      <c r="Y46" s="94">
        <f t="shared" si="43"/>
        <v>948.38273261454651</v>
      </c>
      <c r="Z46" s="94">
        <f t="shared" si="43"/>
        <v>1264.7394702630472</v>
      </c>
      <c r="AA46" s="94">
        <f t="shared" si="43"/>
        <v>1410.3693355487994</v>
      </c>
      <c r="AB46" s="94">
        <f t="shared" si="43"/>
        <v>1486.7666781819125</v>
      </c>
    </row>
    <row r="48" spans="2:28" x14ac:dyDescent="0.2">
      <c r="B48" s="2" t="s">
        <v>416</v>
      </c>
      <c r="N48" s="30">
        <f>N14</f>
        <v>89.803999999999817</v>
      </c>
      <c r="O48" s="30">
        <f t="shared" ref="O48:AB48" si="44">O14</f>
        <v>139.02499999999981</v>
      </c>
      <c r="P48" s="30">
        <f t="shared" si="44"/>
        <v>1318.915</v>
      </c>
      <c r="Q48" s="30">
        <f t="shared" si="44"/>
        <v>-310.81399999999991</v>
      </c>
      <c r="R48" s="30">
        <f t="shared" si="44"/>
        <v>299.77999999999986</v>
      </c>
      <c r="S48" s="30">
        <f t="shared" si="44"/>
        <v>407.32600000000002</v>
      </c>
      <c r="T48" s="30">
        <f t="shared" si="44"/>
        <v>553.49300000000028</v>
      </c>
      <c r="U48" s="30">
        <f t="shared" si="44"/>
        <v>219.23700000000002</v>
      </c>
      <c r="V48" s="30">
        <f t="shared" si="44"/>
        <v>316.01200000000006</v>
      </c>
      <c r="W48" s="30">
        <f t="shared" si="44"/>
        <v>138.11700000000025</v>
      </c>
      <c r="X48" s="72">
        <f t="shared" si="44"/>
        <v>245.77749124033841</v>
      </c>
      <c r="Y48" s="72">
        <f t="shared" si="44"/>
        <v>350.36037377011712</v>
      </c>
      <c r="Z48" s="72">
        <f t="shared" si="44"/>
        <v>431.47730427436261</v>
      </c>
      <c r="AA48" s="72">
        <f t="shared" si="44"/>
        <v>759.34553054575554</v>
      </c>
      <c r="AB48" s="72">
        <f t="shared" si="44"/>
        <v>900.99443246264445</v>
      </c>
    </row>
    <row r="49" spans="2:28" x14ac:dyDescent="0.2">
      <c r="B49" s="2" t="s">
        <v>417</v>
      </c>
      <c r="N49" s="65">
        <f>IS_Static!D43</f>
        <v>11.667</v>
      </c>
      <c r="O49" s="65">
        <f>IS_Static!E43</f>
        <v>72.584000000000003</v>
      </c>
      <c r="P49" s="65">
        <f>IS_Static!F43</f>
        <v>1261.953</v>
      </c>
      <c r="Q49" s="65">
        <f>IS_Static!G43</f>
        <v>-344.69</v>
      </c>
      <c r="R49" s="65">
        <f>IS_Static!H43</f>
        <v>253.434</v>
      </c>
      <c r="S49" s="65">
        <f>IS_Static!I43</f>
        <v>361.291</v>
      </c>
      <c r="T49" s="65">
        <f>IS_Static!J43</f>
        <v>500.19600000000003</v>
      </c>
      <c r="U49" s="65">
        <f>IS_Static!K43</f>
        <v>152.90199999999999</v>
      </c>
      <c r="V49" s="65">
        <f>IS_Static!L43</f>
        <v>254.827</v>
      </c>
      <c r="W49" s="65">
        <f>IS_Static!M43</f>
        <v>83.956000000000003</v>
      </c>
      <c r="X49" s="74">
        <v>0</v>
      </c>
      <c r="Y49" s="74">
        <v>0</v>
      </c>
      <c r="Z49" s="74">
        <v>0</v>
      </c>
      <c r="AA49" s="74">
        <v>0</v>
      </c>
      <c r="AB49" s="74">
        <v>0</v>
      </c>
    </row>
    <row r="50" spans="2:28" x14ac:dyDescent="0.2">
      <c r="B50" s="2" t="s">
        <v>418</v>
      </c>
      <c r="N50" s="65">
        <f>CF_Static!D23+CF_Static!D20</f>
        <v>135.767</v>
      </c>
      <c r="O50" s="65">
        <f>CF_Static!E23+CF_Static!E20</f>
        <v>141.69200000000001</v>
      </c>
      <c r="P50" s="65">
        <f>CF_Static!F23+CF_Static!F20</f>
        <v>122.90199999999999</v>
      </c>
      <c r="Q50" s="65">
        <f>CF_Static!G23+CF_Static!G20</f>
        <v>110.02</v>
      </c>
      <c r="R50" s="65">
        <f>CF_Static!H23+CF_Static!H20</f>
        <v>122.71199999999999</v>
      </c>
      <c r="S50" s="65">
        <f>CF_Static!I23+CF_Static!I20</f>
        <v>132.52699999999999</v>
      </c>
      <c r="T50" s="65">
        <f>CF_Static!J23+CF_Static!J20</f>
        <v>132.26600000000002</v>
      </c>
      <c r="U50" s="65">
        <f>CF_Static!K23+CF_Static!K20</f>
        <v>140.203</v>
      </c>
      <c r="V50" s="65">
        <f>CF_Static!L23+CF_Static!L20</f>
        <v>142.18</v>
      </c>
      <c r="W50" s="65">
        <f>CF_Static!M23+CF_Static!M20</f>
        <v>133.47</v>
      </c>
      <c r="X50" s="86">
        <f>X3*X81</f>
        <v>114.42621750000001</v>
      </c>
      <c r="Y50" s="86">
        <f t="shared" ref="Y50:AB50" si="45">Y3*Y81</f>
        <v>100.69507140000002</v>
      </c>
      <c r="Z50" s="86">
        <f t="shared" si="45"/>
        <v>109.75762782600003</v>
      </c>
      <c r="AA50" s="86">
        <f t="shared" si="45"/>
        <v>120.73339060860005</v>
      </c>
      <c r="AB50" s="86">
        <f t="shared" si="45"/>
        <v>132.80672966946005</v>
      </c>
    </row>
    <row r="51" spans="2:28" x14ac:dyDescent="0.2">
      <c r="B51" s="2" t="s">
        <v>420</v>
      </c>
      <c r="N51" s="65">
        <f>CF_Static!D21</f>
        <v>55.34</v>
      </c>
      <c r="O51" s="65">
        <f>CF_Static!E21</f>
        <v>51.993000000000002</v>
      </c>
      <c r="P51" s="65">
        <f>CF_Static!F21</f>
        <v>48.36</v>
      </c>
      <c r="Q51" s="65">
        <f>CF_Static!G21</f>
        <v>52.972000000000001</v>
      </c>
      <c r="R51" s="65">
        <f>CF_Static!H21</f>
        <v>59.735999999999997</v>
      </c>
      <c r="S51" s="65">
        <f>CF_Static!I21</f>
        <v>67.757999999999996</v>
      </c>
      <c r="T51" s="65">
        <f>CF_Static!J21</f>
        <v>84.335999999999999</v>
      </c>
      <c r="U51" s="65">
        <f>CF_Static!K21</f>
        <v>105.131</v>
      </c>
      <c r="V51" s="65">
        <f>CF_Static!L21</f>
        <v>130.45500000000001</v>
      </c>
      <c r="W51" s="65">
        <f>CF_Static!M21</f>
        <v>156.404</v>
      </c>
      <c r="X51" s="86">
        <f>X98*-(X6+X8)</f>
        <v>155.61965580000003</v>
      </c>
      <c r="Y51" s="86">
        <f t="shared" ref="Y51:AB51" si="46">Y98*-(Y6+Y8)</f>
        <v>171.18162138000002</v>
      </c>
      <c r="Z51" s="86">
        <f t="shared" si="46"/>
        <v>186.58796730420011</v>
      </c>
      <c r="AA51" s="86">
        <f t="shared" si="46"/>
        <v>193.17342497376009</v>
      </c>
      <c r="AB51" s="86">
        <f t="shared" si="46"/>
        <v>199.2100945041901</v>
      </c>
    </row>
    <row r="52" spans="2:28" x14ac:dyDescent="0.2">
      <c r="B52" s="2" t="s">
        <v>419</v>
      </c>
      <c r="N52" s="65">
        <f>CF_Static!D41+CF_Static!D46</f>
        <v>0</v>
      </c>
      <c r="O52" s="65">
        <f>CF_Static!E41+CF_Static!E46</f>
        <v>0</v>
      </c>
      <c r="P52" s="65">
        <f>CF_Static!F41+CF_Static!F46</f>
        <v>0</v>
      </c>
      <c r="Q52" s="65">
        <f>CF_Static!G41+CF_Static!G46</f>
        <v>0</v>
      </c>
      <c r="R52" s="65">
        <f>CF_Static!H41+CF_Static!H46</f>
        <v>0</v>
      </c>
      <c r="S52" s="65">
        <f>CF_Static!I41+CF_Static!I46</f>
        <v>-3.1090000000000018</v>
      </c>
      <c r="T52" s="65">
        <f>CF_Static!J41+CF_Static!J46</f>
        <v>-5.4719999999999978</v>
      </c>
      <c r="U52" s="65">
        <f>CF_Static!K41+CF_Static!K46</f>
        <v>-3.6430000000000007</v>
      </c>
      <c r="V52" s="65">
        <f>CF_Static!L41+CF_Static!L46</f>
        <v>-6.6669999999999998</v>
      </c>
      <c r="W52" s="65">
        <f>CF_Static!M41+CF_Static!M46</f>
        <v>-5.8030000000000008</v>
      </c>
      <c r="X52" s="74">
        <v>-5</v>
      </c>
      <c r="Y52" s="74">
        <v>-5</v>
      </c>
      <c r="Z52" s="74">
        <v>-5</v>
      </c>
      <c r="AA52" s="74">
        <v>-5</v>
      </c>
      <c r="AB52" s="74">
        <v>-5</v>
      </c>
    </row>
    <row r="53" spans="2:28" x14ac:dyDescent="0.2">
      <c r="B53" s="2" t="s">
        <v>421</v>
      </c>
      <c r="N53" s="65">
        <f>CF_Static!D24</f>
        <v>27.373000000000001</v>
      </c>
      <c r="O53" s="65">
        <f>CF_Static!E24</f>
        <v>25.513999999999999</v>
      </c>
      <c r="P53" s="65">
        <f>CF_Static!F24</f>
        <v>-1086.0940000000001</v>
      </c>
      <c r="Q53" s="65">
        <f>CF_Static!G24</f>
        <v>488.01600000000002</v>
      </c>
      <c r="R53" s="65">
        <f>CF_Static!H24</f>
        <v>25.695</v>
      </c>
      <c r="S53" s="65">
        <f>CF_Static!I24</f>
        <v>84.822000000000003</v>
      </c>
      <c r="T53" s="65">
        <f>CF_Static!J24</f>
        <v>-141.94399999999999</v>
      </c>
      <c r="U53" s="65">
        <f>CF_Static!K24</f>
        <v>-27.501999999999999</v>
      </c>
      <c r="V53" s="65">
        <f>CF_Static!L24</f>
        <v>-25.449000000000002</v>
      </c>
      <c r="W53" s="65">
        <f>CF_Static!M24</f>
        <v>-65.042000000000002</v>
      </c>
      <c r="X53" s="74">
        <v>0</v>
      </c>
      <c r="Y53" s="74">
        <v>0</v>
      </c>
      <c r="Z53" s="74">
        <v>0</v>
      </c>
      <c r="AA53" s="74">
        <v>0</v>
      </c>
      <c r="AB53" s="74">
        <v>0</v>
      </c>
    </row>
    <row r="54" spans="2:28" x14ac:dyDescent="0.2">
      <c r="B54" s="34" t="s">
        <v>422</v>
      </c>
      <c r="N54" s="65">
        <f>CF_Static!D35+CF_Static!D36</f>
        <v>44.727000000000004</v>
      </c>
      <c r="O54" s="65">
        <f>CF_Static!E35+CF_Static!E36</f>
        <v>49.195999999999998</v>
      </c>
      <c r="P54" s="65">
        <f>CF_Static!F35+CF_Static!F36</f>
        <v>43.424000000000007</v>
      </c>
      <c r="Q54" s="65">
        <f>CF_Static!G35+CF_Static!G36</f>
        <v>51.606999999999999</v>
      </c>
      <c r="R54" s="65">
        <f>CF_Static!H35+CF_Static!H36</f>
        <v>51.19</v>
      </c>
      <c r="S54" s="65">
        <f>CF_Static!I35+CF_Static!I36</f>
        <v>47.118000000000002</v>
      </c>
      <c r="T54" s="65">
        <f>CF_Static!J35+CF_Static!J36</f>
        <v>34.942999999999998</v>
      </c>
      <c r="U54" s="65">
        <f>CF_Static!K35+CF_Static!K36</f>
        <v>33.624000000000002</v>
      </c>
      <c r="V54" s="65">
        <f>CF_Static!L35+CF_Static!L36</f>
        <v>61.206000000000003</v>
      </c>
      <c r="W54" s="65">
        <f>CF_Static!M35+CF_Static!M36</f>
        <v>102.98399999999999</v>
      </c>
      <c r="X54" s="148">
        <f>-(X48+X49+X50+X51+X52+X53+X55-X56)</f>
        <v>351.93148211723121</v>
      </c>
      <c r="Y54" s="148">
        <f t="shared" ref="Y54:AB54" si="47">-(Y48+Y49+Y50+Y51+Y52+Y53+Y55-Y56)</f>
        <v>106.4581082556399</v>
      </c>
      <c r="Z54" s="148">
        <f t="shared" si="47"/>
        <v>183.25048636843678</v>
      </c>
      <c r="AA54" s="148">
        <f t="shared" si="47"/>
        <v>-21.736195926257665</v>
      </c>
      <c r="AB54" s="148">
        <f t="shared" si="47"/>
        <v>-105.51767168379331</v>
      </c>
    </row>
    <row r="55" spans="2:28" x14ac:dyDescent="0.2">
      <c r="B55" s="34" t="s">
        <v>423</v>
      </c>
      <c r="N55" s="65">
        <f>CF_Static!D37</f>
        <v>-12.762</v>
      </c>
      <c r="O55" s="65">
        <f>CF_Static!E37</f>
        <v>-51.459000000000003</v>
      </c>
      <c r="P55" s="65">
        <f>CF_Static!F37</f>
        <v>-155.66300000000001</v>
      </c>
      <c r="Q55" s="65">
        <f>CF_Static!G37</f>
        <v>-150.773</v>
      </c>
      <c r="R55" s="65">
        <f>CF_Static!H37</f>
        <v>-99.626999999999995</v>
      </c>
      <c r="S55" s="65">
        <f>CF_Static!I37</f>
        <v>-199.86199999999999</v>
      </c>
      <c r="T55" s="65">
        <f>CF_Static!J37</f>
        <v>-68.150999999999996</v>
      </c>
      <c r="U55" s="65">
        <f>CF_Static!K37</f>
        <v>-572.11400000000003</v>
      </c>
      <c r="V55" s="65">
        <f>CF_Static!L37</f>
        <v>-396.75099999999998</v>
      </c>
      <c r="W55" s="65">
        <f>CF_Static!M37</f>
        <v>102.76</v>
      </c>
      <c r="X55" s="93">
        <f>W25-X25+W26-X26+X36-W36+X37-W37+X39-W39+X40-W40</f>
        <v>-364.20042665756961</v>
      </c>
      <c r="Y55" s="93">
        <f t="shared" ref="Y55:AB55" si="48">X25-Y25+X26-Y26+Y36-X36+Y37-X37+Y39-X39+Y40-X40</f>
        <v>-100.50214980575691</v>
      </c>
      <c r="Z55" s="93">
        <f t="shared" si="48"/>
        <v>-95.922453272999405</v>
      </c>
      <c r="AA55" s="93">
        <f t="shared" si="48"/>
        <v>-155.35012445185794</v>
      </c>
      <c r="AB55" s="93">
        <f t="shared" si="48"/>
        <v>-142.21095662750093</v>
      </c>
    </row>
    <row r="56" spans="2:28" x14ac:dyDescent="0.2">
      <c r="B56" s="34" t="s">
        <v>424</v>
      </c>
      <c r="N56" s="30">
        <f>SUM(N49:N55)</f>
        <v>262.11200000000002</v>
      </c>
      <c r="O56" s="30">
        <f t="shared" ref="O56:V56" si="49">SUM(O49:O55)</f>
        <v>289.52000000000004</v>
      </c>
      <c r="P56" s="30">
        <f t="shared" si="49"/>
        <v>234.88199999999983</v>
      </c>
      <c r="Q56" s="30">
        <f t="shared" si="49"/>
        <v>207.15199999999996</v>
      </c>
      <c r="R56" s="30">
        <f t="shared" si="49"/>
        <v>413.13999999999993</v>
      </c>
      <c r="S56" s="30">
        <f t="shared" si="49"/>
        <v>490.54500000000007</v>
      </c>
      <c r="T56" s="30">
        <f t="shared" si="49"/>
        <v>536.17400000000009</v>
      </c>
      <c r="U56" s="30">
        <f t="shared" si="49"/>
        <v>-171.39900000000006</v>
      </c>
      <c r="V56" s="30">
        <f t="shared" si="49"/>
        <v>159.80099999999993</v>
      </c>
      <c r="W56" s="30">
        <f>SUM(W49:W55)</f>
        <v>508.72899999999998</v>
      </c>
      <c r="X56" s="72">
        <f>W56*(1+X97)</f>
        <v>498.55441999999999</v>
      </c>
      <c r="Y56" s="72">
        <f t="shared" ref="Y56:AB56" si="50">X56*(1+Y97)</f>
        <v>623.19302500000003</v>
      </c>
      <c r="Z56" s="72">
        <f t="shared" si="50"/>
        <v>810.15093250000007</v>
      </c>
      <c r="AA56" s="72">
        <f t="shared" si="50"/>
        <v>891.16602575000013</v>
      </c>
      <c r="AB56" s="72">
        <f t="shared" si="50"/>
        <v>980.28262832500025</v>
      </c>
    </row>
    <row r="58" spans="2:28" x14ac:dyDescent="0.2">
      <c r="B58" s="34" t="s">
        <v>425</v>
      </c>
      <c r="N58" s="65">
        <f>+CF_Static!D51+CF_Static!D52+CF_Static!D57+CF_Static!D58</f>
        <v>-18.189999999999998</v>
      </c>
      <c r="O58" s="65">
        <f>+CF_Static!E51+CF_Static!E52+CF_Static!E57+CF_Static!E58</f>
        <v>-157.08499999999998</v>
      </c>
      <c r="P58" s="65">
        <f>+CF_Static!F51+CF_Static!F52+CF_Static!F57+CF_Static!F58</f>
        <v>33.226999999999975</v>
      </c>
      <c r="Q58" s="65">
        <f>+CF_Static!G51+CF_Static!G52+CF_Static!G57+CF_Static!G58</f>
        <v>130.90300000000002</v>
      </c>
      <c r="R58" s="65">
        <f>+CF_Static!H51+CF_Static!H52+CF_Static!H57+CF_Static!H58</f>
        <v>86.655999999999977</v>
      </c>
      <c r="S58" s="65">
        <f>+CF_Static!I51+CF_Static!I52+CF_Static!I57+CF_Static!I58</f>
        <v>-109.27499999999999</v>
      </c>
      <c r="T58" s="65">
        <f>+CF_Static!J51+CF_Static!J52+CF_Static!J57+CF_Static!J58</f>
        <v>-11.166999999999998</v>
      </c>
      <c r="U58" s="65">
        <f>+CF_Static!K51+CF_Static!K52+CF_Static!K57+CF_Static!K58</f>
        <v>51.613000000000056</v>
      </c>
      <c r="V58" s="65">
        <f>+CF_Static!L51+CF_Static!L52+CF_Static!L57+CF_Static!L58</f>
        <v>-47.209000000000003</v>
      </c>
      <c r="W58" s="65">
        <f>+CF_Static!M51+CF_Static!M52+CF_Static!M57+CF_Static!M58</f>
        <v>-169.83599999999998</v>
      </c>
      <c r="X58" s="74">
        <v>0</v>
      </c>
      <c r="Y58" s="74">
        <v>0</v>
      </c>
      <c r="Z58" s="74">
        <v>0</v>
      </c>
      <c r="AA58" s="74">
        <v>0</v>
      </c>
      <c r="AB58" s="74">
        <v>0</v>
      </c>
    </row>
    <row r="59" spans="2:28" x14ac:dyDescent="0.2">
      <c r="B59" s="34" t="s">
        <v>426</v>
      </c>
      <c r="N59" s="65">
        <f>CF_Static!D59</f>
        <v>37.212000000000003</v>
      </c>
      <c r="O59" s="65">
        <f>CF_Static!E59</f>
        <v>-32</v>
      </c>
      <c r="P59" s="65">
        <f>CF_Static!F59</f>
        <v>0</v>
      </c>
      <c r="Q59" s="65">
        <f>CF_Static!G59</f>
        <v>-82.67</v>
      </c>
      <c r="R59" s="65">
        <f>CF_Static!H59</f>
        <v>0</v>
      </c>
      <c r="S59" s="65">
        <f>CF_Static!I59</f>
        <v>-28.3</v>
      </c>
      <c r="T59" s="65">
        <f>CF_Static!J59</f>
        <v>0</v>
      </c>
      <c r="U59" s="65">
        <f>CF_Static!K59</f>
        <v>-62.042999999999999</v>
      </c>
      <c r="V59" s="65">
        <f>CF_Static!L59</f>
        <v>-230.048</v>
      </c>
      <c r="W59" s="65">
        <f>CF_Static!M59</f>
        <v>0</v>
      </c>
      <c r="X59" s="74">
        <v>0</v>
      </c>
      <c r="Y59" s="74">
        <v>0</v>
      </c>
      <c r="Z59" s="74">
        <v>0</v>
      </c>
      <c r="AA59" s="74">
        <v>0</v>
      </c>
      <c r="AB59" s="74">
        <v>0</v>
      </c>
    </row>
    <row r="60" spans="2:28" x14ac:dyDescent="0.2">
      <c r="B60" s="34" t="s">
        <v>427</v>
      </c>
      <c r="N60" s="65">
        <f>CF_Static!D48</f>
        <v>-62.109000000000002</v>
      </c>
      <c r="O60" s="65">
        <f>CF_Static!E48</f>
        <v>-107.185</v>
      </c>
      <c r="P60" s="65">
        <f>CF_Static!F48</f>
        <v>-94.6</v>
      </c>
      <c r="Q60" s="65">
        <f>CF_Static!G48</f>
        <v>-67.616</v>
      </c>
      <c r="R60" s="65">
        <f>CF_Static!H48</f>
        <v>-62.579000000000001</v>
      </c>
      <c r="S60" s="65">
        <f>CF_Static!I48</f>
        <v>-82.667000000000002</v>
      </c>
      <c r="T60" s="65">
        <f>CF_Static!J48</f>
        <v>-79.55</v>
      </c>
      <c r="U60" s="65">
        <f>CF_Static!K48</f>
        <v>-90.817999999999998</v>
      </c>
      <c r="V60" s="65">
        <f>CF_Static!L48</f>
        <v>-106.197</v>
      </c>
      <c r="W60" s="65">
        <f>CF_Static!M48</f>
        <v>-136.64099999999999</v>
      </c>
      <c r="X60" s="72">
        <f>-X91*X3</f>
        <v>-137.31146100000001</v>
      </c>
      <c r="Y60" s="72">
        <f t="shared" ref="Y60:AB60" si="51">-Y91*Y3</f>
        <v>-151.04260710000003</v>
      </c>
      <c r="Z60" s="72">
        <f t="shared" si="51"/>
        <v>-164.63644173900002</v>
      </c>
      <c r="AA60" s="72">
        <f t="shared" si="51"/>
        <v>-181.10008591290006</v>
      </c>
      <c r="AB60" s="72">
        <f t="shared" si="51"/>
        <v>-199.21009450419007</v>
      </c>
    </row>
    <row r="61" spans="2:28" x14ac:dyDescent="0.2">
      <c r="B61" s="34" t="s">
        <v>428</v>
      </c>
      <c r="N61" s="30">
        <f>SUM(N58:N60)</f>
        <v>-43.086999999999996</v>
      </c>
      <c r="O61" s="30">
        <f t="shared" ref="O61:AB61" si="52">SUM(O58:O60)</f>
        <v>-296.27</v>
      </c>
      <c r="P61" s="30">
        <f t="shared" si="52"/>
        <v>-61.373000000000019</v>
      </c>
      <c r="Q61" s="30">
        <f t="shared" si="52"/>
        <v>-19.382999999999981</v>
      </c>
      <c r="R61" s="30">
        <f t="shared" si="52"/>
        <v>24.076999999999977</v>
      </c>
      <c r="S61" s="30">
        <f t="shared" si="52"/>
        <v>-220.24199999999999</v>
      </c>
      <c r="T61" s="30">
        <f t="shared" si="52"/>
        <v>-90.716999999999999</v>
      </c>
      <c r="U61" s="30">
        <f t="shared" si="52"/>
        <v>-101.24799999999993</v>
      </c>
      <c r="V61" s="30">
        <f t="shared" si="52"/>
        <v>-383.45400000000001</v>
      </c>
      <c r="W61" s="30">
        <f t="shared" si="52"/>
        <v>-306.47699999999998</v>
      </c>
      <c r="X61" s="30">
        <f t="shared" si="52"/>
        <v>-137.31146100000001</v>
      </c>
      <c r="Y61" s="30">
        <f t="shared" si="52"/>
        <v>-151.04260710000003</v>
      </c>
      <c r="Z61" s="30">
        <f t="shared" si="52"/>
        <v>-164.63644173900002</v>
      </c>
      <c r="AA61" s="30">
        <f t="shared" si="52"/>
        <v>-181.10008591290006</v>
      </c>
      <c r="AB61" s="30">
        <f t="shared" si="52"/>
        <v>-199.21009450419007</v>
      </c>
    </row>
    <row r="63" spans="2:28" x14ac:dyDescent="0.2">
      <c r="B63" s="34" t="s">
        <v>429</v>
      </c>
      <c r="N63" s="65">
        <f>CF_Static!D62+CF_Static!D63+CF_Static!D64+CF_Static!D65+CF_Static!D66+CF_Static!D70+CF_Static!D71</f>
        <v>-30.288</v>
      </c>
      <c r="O63" s="65">
        <f>CF_Static!E62+CF_Static!E63+CF_Static!E64+CF_Static!E65+CF_Static!E66+CF_Static!E70+CF_Static!E71</f>
        <v>-21.352999999999987</v>
      </c>
      <c r="P63" s="65">
        <f>CF_Static!F62+CF_Static!F63+CF_Static!F64+CF_Static!F65+CF_Static!F66+CF_Static!F70+CF_Static!F71</f>
        <v>-327.90099999999995</v>
      </c>
      <c r="Q63" s="65">
        <f>CF_Static!G62+CF_Static!G63+CF_Static!G64+CF_Static!G65+CF_Static!G66+CF_Static!G70+CF_Static!G71</f>
        <v>-2.9939999999999927</v>
      </c>
      <c r="R63" s="65">
        <f>CF_Static!H62+CF_Static!H63+CF_Static!H64+CF_Static!H65+CF_Static!H66+CF_Static!H70+CF_Static!H71</f>
        <v>-119.459</v>
      </c>
      <c r="S63" s="65">
        <f>CF_Static!I62+CF_Static!I63+CF_Static!I64+CF_Static!I65+CF_Static!I66+CF_Static!I70+CF_Static!I71</f>
        <v>-5.58</v>
      </c>
      <c r="T63" s="65">
        <f>CF_Static!J62+CF_Static!J63+CF_Static!J64+CF_Static!J65+CF_Static!J66+CF_Static!J70+CF_Static!J71</f>
        <v>-6.9290000000000003</v>
      </c>
      <c r="U63" s="65">
        <f>CF_Static!K62+CF_Static!K63+CF_Static!K64+CF_Static!K65+CF_Static!K66+CF_Static!K70+CF_Static!K71</f>
        <v>389.31900000000002</v>
      </c>
      <c r="V63" s="65">
        <f>CF_Static!L62+CF_Static!L63+CF_Static!L64+CF_Static!L65+CF_Static!L66+CF_Static!L70+CF_Static!L71</f>
        <v>482.52099999999996</v>
      </c>
      <c r="W63" s="65">
        <f>CF_Static!M62+CF_Static!M63+CF_Static!M64+CF_Static!M65+CF_Static!M66+CF_Static!M70+CF_Static!M71</f>
        <v>-14.254</v>
      </c>
    </row>
    <row r="64" spans="2:28" x14ac:dyDescent="0.2">
      <c r="B64" s="34" t="s">
        <v>430</v>
      </c>
      <c r="N64" s="65">
        <f>+CF_Static!D80+CF_Static!D81</f>
        <v>30.274999999999999</v>
      </c>
      <c r="O64" s="65">
        <f>+CF_Static!E80+CF_Static!E81</f>
        <v>23.091000000000001</v>
      </c>
      <c r="P64" s="65">
        <f>+CF_Static!F80+CF_Static!F81</f>
        <v>20.411999999999999</v>
      </c>
      <c r="Q64" s="65">
        <f>+CF_Static!G80+CF_Static!G81</f>
        <v>-87.853999999999999</v>
      </c>
      <c r="R64" s="65">
        <f>+CF_Static!H80+CF_Static!H81</f>
        <v>-127.12899999999999</v>
      </c>
      <c r="S64" s="65">
        <f>+CF_Static!I80+CF_Static!I81</f>
        <v>-46.466999999999999</v>
      </c>
      <c r="T64" s="65">
        <f>+CF_Static!J80+CF_Static!J81</f>
        <v>-62.830999999999996</v>
      </c>
      <c r="U64" s="65">
        <f>+CF_Static!K80+CF_Static!K81</f>
        <v>-470.452</v>
      </c>
      <c r="V64" s="65">
        <f>+CF_Static!L80+CF_Static!L81</f>
        <v>-210.84399999999999</v>
      </c>
      <c r="W64" s="65">
        <f>+CF_Static!M80+CF_Static!M81</f>
        <v>-220.21100000000001</v>
      </c>
      <c r="X64" s="92">
        <f>X141</f>
        <v>-278.86645380333329</v>
      </c>
      <c r="Y64" s="92">
        <f t="shared" ref="Y64:AB64" si="53">Y141</f>
        <v>-273.41976585033331</v>
      </c>
      <c r="Z64" s="92">
        <f t="shared" si="53"/>
        <v>-268.02754477686329</v>
      </c>
      <c r="AA64" s="92">
        <f t="shared" si="53"/>
        <v>-182.38930125918398</v>
      </c>
      <c r="AB64" s="92">
        <f t="shared" si="53"/>
        <v>-180.27646692353346</v>
      </c>
    </row>
    <row r="65" spans="1:35" x14ac:dyDescent="0.2">
      <c r="B65" s="75" t="s">
        <v>503</v>
      </c>
      <c r="N65" s="65">
        <f>CF_Static!D79</f>
        <v>0</v>
      </c>
      <c r="O65" s="65">
        <f>CF_Static!E79</f>
        <v>0</v>
      </c>
      <c r="P65" s="65">
        <f>CF_Static!F79</f>
        <v>0</v>
      </c>
      <c r="Q65" s="65">
        <f>CF_Static!G79</f>
        <v>-4.7569999999999997</v>
      </c>
      <c r="R65" s="65">
        <f>CF_Static!H79</f>
        <v>-29.059000000000001</v>
      </c>
      <c r="S65" s="65">
        <f>CF_Static!I79</f>
        <v>-32.472000000000001</v>
      </c>
      <c r="T65" s="65">
        <f>CF_Static!J79</f>
        <v>-44.070999999999998</v>
      </c>
      <c r="U65" s="65">
        <f>CF_Static!K79</f>
        <v>-48.454000000000001</v>
      </c>
      <c r="V65" s="65">
        <f>CF_Static!L79</f>
        <v>-38.506</v>
      </c>
      <c r="W65" s="65">
        <f>CF_Static!M79</f>
        <v>-46.567</v>
      </c>
      <c r="X65" s="92">
        <f>X136</f>
        <v>-46.685896740000011</v>
      </c>
      <c r="Y65" s="92">
        <f t="shared" ref="Y65:AB65" si="54">Y136</f>
        <v>-51.354486414000007</v>
      </c>
      <c r="Z65" s="92">
        <f t="shared" si="54"/>
        <v>-55.97639019126003</v>
      </c>
      <c r="AA65" s="92">
        <f t="shared" si="54"/>
        <v>-57.952027492128025</v>
      </c>
      <c r="AB65" s="92">
        <f t="shared" si="54"/>
        <v>-59.763028351257027</v>
      </c>
    </row>
    <row r="66" spans="1:35" x14ac:dyDescent="0.2">
      <c r="B66" s="34" t="s">
        <v>432</v>
      </c>
      <c r="N66" s="65">
        <f>CF_Static!D75</f>
        <v>-8.0380000000000003</v>
      </c>
      <c r="O66" s="65">
        <f>CF_Static!E75</f>
        <v>-5.9660000000000002</v>
      </c>
      <c r="P66" s="65">
        <f>CF_Static!F75</f>
        <v>-3.5619999999999998</v>
      </c>
      <c r="Q66" s="65">
        <f>CF_Static!G75</f>
        <v>-3.6240000000000001</v>
      </c>
      <c r="R66" s="65">
        <f>CF_Static!H75</f>
        <v>-3.319</v>
      </c>
      <c r="S66" s="65">
        <f>CF_Static!I75</f>
        <v>-2.7029999999999998</v>
      </c>
      <c r="T66" s="65">
        <f>CF_Static!J75</f>
        <v>-3.004</v>
      </c>
      <c r="U66" s="65">
        <f>CF_Static!K75</f>
        <v>-3.468</v>
      </c>
      <c r="V66" s="65">
        <f>CF_Static!L75</f>
        <v>-3.7909999999999999</v>
      </c>
      <c r="W66" s="65">
        <f>CF_Static!M75</f>
        <v>-4.0289999999999999</v>
      </c>
      <c r="X66" s="92">
        <f>-X127</f>
        <v>-3.7690000000000001</v>
      </c>
      <c r="Y66" s="92">
        <f t="shared" ref="Y66:AB66" si="55">-Y127</f>
        <v>-3.7690000000000001</v>
      </c>
      <c r="Z66" s="92">
        <f t="shared" si="55"/>
        <v>-3.7690000000000001</v>
      </c>
      <c r="AA66" s="92">
        <f t="shared" si="55"/>
        <v>-3.7690000000000001</v>
      </c>
      <c r="AB66" s="92">
        <f t="shared" si="55"/>
        <v>-3.7690000000000001</v>
      </c>
    </row>
    <row r="67" spans="1:35" x14ac:dyDescent="0.2">
      <c r="B67" s="34" t="s">
        <v>431</v>
      </c>
      <c r="N67" s="30">
        <f>SUM(N63:N66)</f>
        <v>-8.0510000000000019</v>
      </c>
      <c r="O67" s="30">
        <f t="shared" ref="O67:AB67" si="56">SUM(O63:O66)</f>
        <v>-4.2279999999999864</v>
      </c>
      <c r="P67" s="30">
        <f t="shared" si="56"/>
        <v>-311.05099999999999</v>
      </c>
      <c r="Q67" s="30">
        <f t="shared" si="56"/>
        <v>-99.228999999999985</v>
      </c>
      <c r="R67" s="30">
        <f t="shared" si="56"/>
        <v>-278.96600000000001</v>
      </c>
      <c r="S67" s="30">
        <f t="shared" si="56"/>
        <v>-87.222000000000008</v>
      </c>
      <c r="T67" s="30">
        <f t="shared" si="56"/>
        <v>-116.83499999999999</v>
      </c>
      <c r="U67" s="30">
        <f t="shared" si="56"/>
        <v>-133.05499999999998</v>
      </c>
      <c r="V67" s="30">
        <f t="shared" si="56"/>
        <v>229.37999999999997</v>
      </c>
      <c r="W67" s="30">
        <f t="shared" si="56"/>
        <v>-285.06099999999998</v>
      </c>
      <c r="X67" s="30">
        <f t="shared" si="56"/>
        <v>-329.32135054333332</v>
      </c>
      <c r="Y67" s="30">
        <f t="shared" si="56"/>
        <v>-328.54325226433332</v>
      </c>
      <c r="Z67" s="30">
        <f t="shared" si="56"/>
        <v>-327.77293496812331</v>
      </c>
      <c r="AA67" s="30">
        <f t="shared" si="56"/>
        <v>-244.11032875131201</v>
      </c>
      <c r="AB67" s="30">
        <f t="shared" si="56"/>
        <v>-243.80849527479049</v>
      </c>
    </row>
    <row r="68" spans="1:35" x14ac:dyDescent="0.2">
      <c r="B68" s="34" t="s">
        <v>433</v>
      </c>
      <c r="N68" s="65">
        <f>CF_Static!D84</f>
        <v>-6.6829999999999998</v>
      </c>
      <c r="O68" s="65">
        <f>CF_Static!E84</f>
        <v>-2.3889999999999998</v>
      </c>
      <c r="P68" s="65">
        <f>CF_Static!F84</f>
        <v>0.49399999999999999</v>
      </c>
      <c r="Q68" s="65">
        <f>CF_Static!G84</f>
        <v>-5.8559999999999999</v>
      </c>
      <c r="R68" s="65">
        <f>CF_Static!H84</f>
        <v>0.47599999999999998</v>
      </c>
      <c r="S68" s="65">
        <f>CF_Static!I84</f>
        <v>-1.643</v>
      </c>
      <c r="T68" s="65">
        <f>CF_Static!J84</f>
        <v>-0.19800000000000001</v>
      </c>
      <c r="U68" s="65">
        <f>CF_Static!K84</f>
        <v>-26.167000000000002</v>
      </c>
      <c r="V68" s="65">
        <f>CF_Static!L84</f>
        <v>2.15</v>
      </c>
      <c r="W68" s="65">
        <f>CF_Static!M84</f>
        <v>1.246</v>
      </c>
      <c r="X68" s="74">
        <v>0</v>
      </c>
      <c r="Y68" s="74">
        <v>0</v>
      </c>
      <c r="Z68" s="74">
        <v>0</v>
      </c>
      <c r="AA68" s="74">
        <v>0</v>
      </c>
      <c r="AB68" s="74">
        <v>0</v>
      </c>
    </row>
    <row r="69" spans="1:35" x14ac:dyDescent="0.2">
      <c r="B69" s="34" t="s">
        <v>434</v>
      </c>
      <c r="N69" s="30">
        <f>N67+N68+N61+N56</f>
        <v>204.29100000000003</v>
      </c>
      <c r="O69" s="30">
        <f t="shared" ref="O69:AB69" si="57">O67+O68+O61+O56</f>
        <v>-13.366999999999905</v>
      </c>
      <c r="P69" s="30">
        <f t="shared" si="57"/>
        <v>-137.04800000000012</v>
      </c>
      <c r="Q69" s="30">
        <f t="shared" si="57"/>
        <v>82.683999999999997</v>
      </c>
      <c r="R69" s="30">
        <f t="shared" si="57"/>
        <v>158.72699999999989</v>
      </c>
      <c r="S69" s="30">
        <f t="shared" si="57"/>
        <v>181.4380000000001</v>
      </c>
      <c r="T69" s="30">
        <f t="shared" si="57"/>
        <v>328.42400000000009</v>
      </c>
      <c r="U69" s="30">
        <f t="shared" si="57"/>
        <v>-431.86899999999997</v>
      </c>
      <c r="V69" s="30">
        <f t="shared" si="57"/>
        <v>7.8769999999998959</v>
      </c>
      <c r="W69" s="30">
        <f t="shared" si="57"/>
        <v>-81.562999999999931</v>
      </c>
      <c r="X69" s="30">
        <f t="shared" si="57"/>
        <v>31.921608456666661</v>
      </c>
      <c r="Y69" s="30">
        <f t="shared" si="57"/>
        <v>143.60716563566666</v>
      </c>
      <c r="Z69" s="30">
        <f t="shared" si="57"/>
        <v>317.74155579287674</v>
      </c>
      <c r="AA69" s="30">
        <f t="shared" si="57"/>
        <v>465.95561108578806</v>
      </c>
      <c r="AB69" s="30">
        <f t="shared" si="57"/>
        <v>537.26403854601972</v>
      </c>
    </row>
    <row r="70" spans="1:35" x14ac:dyDescent="0.2">
      <c r="B70" s="34" t="s">
        <v>435</v>
      </c>
      <c r="N70" s="65">
        <f>CF_Static!D85</f>
        <v>204.251</v>
      </c>
      <c r="O70" s="65">
        <f>CF_Static!E85</f>
        <v>-13.356</v>
      </c>
      <c r="P70" s="65">
        <f>CF_Static!F85</f>
        <v>-137.048</v>
      </c>
      <c r="Q70" s="65">
        <f>CF_Static!G85</f>
        <v>104.79300000000001</v>
      </c>
      <c r="R70" s="65">
        <f>CF_Static!H85</f>
        <v>158.727</v>
      </c>
      <c r="S70" s="65">
        <f>CF_Static!I85</f>
        <v>184.547</v>
      </c>
      <c r="T70" s="65">
        <f>CF_Static!J85</f>
        <v>333.89600000000002</v>
      </c>
      <c r="U70" s="65">
        <f>CF_Static!K85</f>
        <v>-428.226</v>
      </c>
      <c r="V70" s="65">
        <f>CF_Static!L85</f>
        <v>16.408000000000001</v>
      </c>
      <c r="W70" s="65">
        <f>CF_Static!M85</f>
        <v>-75.760000000000005</v>
      </c>
    </row>
    <row r="71" spans="1:35" s="33" customFormat="1" ht="12" x14ac:dyDescent="0.2">
      <c r="B71" s="32" t="s">
        <v>436</v>
      </c>
      <c r="N71" s="41">
        <f>N69-N70</f>
        <v>4.0000000000020464E-2</v>
      </c>
      <c r="O71" s="41">
        <f t="shared" ref="O71:W71" si="58">O69-O70</f>
        <v>-1.0999999999905086E-2</v>
      </c>
      <c r="P71" s="41">
        <f t="shared" si="58"/>
        <v>0</v>
      </c>
      <c r="Q71" s="41">
        <f t="shared" si="58"/>
        <v>-22.109000000000009</v>
      </c>
      <c r="R71" s="41">
        <f t="shared" si="58"/>
        <v>0</v>
      </c>
      <c r="S71" s="41">
        <f t="shared" si="58"/>
        <v>-3.1089999999998952</v>
      </c>
      <c r="T71" s="41">
        <f t="shared" si="58"/>
        <v>-5.4719999999999231</v>
      </c>
      <c r="U71" s="41">
        <f t="shared" si="58"/>
        <v>-3.6429999999999723</v>
      </c>
      <c r="V71" s="41">
        <f t="shared" si="58"/>
        <v>-8.5310000000001054</v>
      </c>
      <c r="W71" s="41">
        <f t="shared" si="58"/>
        <v>-5.8029999999999262</v>
      </c>
    </row>
    <row r="73" spans="1:35" x14ac:dyDescent="0.2">
      <c r="A73" s="28" t="s">
        <v>452</v>
      </c>
      <c r="B73" s="28" t="s">
        <v>437</v>
      </c>
      <c r="D73" s="51">
        <v>2025</v>
      </c>
      <c r="N73" s="29">
        <f t="shared" ref="N73:AB73" si="59">IF(N2&lt;&gt;"",N2,M73+1 )</f>
        <v>2015</v>
      </c>
      <c r="O73" s="29">
        <f t="shared" si="59"/>
        <v>2016</v>
      </c>
      <c r="P73" s="29">
        <f t="shared" si="59"/>
        <v>2017</v>
      </c>
      <c r="Q73" s="29">
        <f t="shared" si="59"/>
        <v>2018</v>
      </c>
      <c r="R73" s="29">
        <f t="shared" si="59"/>
        <v>2019</v>
      </c>
      <c r="S73" s="29">
        <f t="shared" si="59"/>
        <v>2020</v>
      </c>
      <c r="T73" s="29">
        <f t="shared" si="59"/>
        <v>2021</v>
      </c>
      <c r="U73" s="29">
        <f t="shared" si="59"/>
        <v>2022</v>
      </c>
      <c r="V73" s="29">
        <f t="shared" si="59"/>
        <v>2023</v>
      </c>
      <c r="W73" s="29">
        <f t="shared" si="59"/>
        <v>2024</v>
      </c>
      <c r="X73" s="29">
        <f t="shared" si="59"/>
        <v>2025</v>
      </c>
      <c r="Y73" s="29">
        <f t="shared" si="59"/>
        <v>2026</v>
      </c>
      <c r="Z73" s="29">
        <f t="shared" si="59"/>
        <v>2027</v>
      </c>
      <c r="AA73" s="29">
        <f t="shared" si="59"/>
        <v>2028</v>
      </c>
      <c r="AB73" s="29">
        <f t="shared" si="59"/>
        <v>2029</v>
      </c>
      <c r="AC73" s="29"/>
      <c r="AD73" s="29"/>
      <c r="AE73" s="29"/>
      <c r="AF73" s="29"/>
      <c r="AG73" s="29"/>
      <c r="AH73" s="29"/>
      <c r="AI73" s="29"/>
    </row>
    <row r="74" spans="1:35" x14ac:dyDescent="0.2">
      <c r="B74" s="34" t="s">
        <v>438</v>
      </c>
      <c r="N74" s="29" t="str">
        <f t="shared" ref="N74:AB74" si="60">IF(N2&lt;&gt;"","n","y" )</f>
        <v>n</v>
      </c>
      <c r="O74" s="29" t="str">
        <f t="shared" si="60"/>
        <v>n</v>
      </c>
      <c r="P74" s="29" t="str">
        <f t="shared" si="60"/>
        <v>n</v>
      </c>
      <c r="Q74" s="29" t="str">
        <f t="shared" si="60"/>
        <v>n</v>
      </c>
      <c r="R74" s="29" t="str">
        <f t="shared" si="60"/>
        <v>n</v>
      </c>
      <c r="S74" s="29" t="str">
        <f t="shared" si="60"/>
        <v>n</v>
      </c>
      <c r="T74" s="29" t="str">
        <f t="shared" si="60"/>
        <v>n</v>
      </c>
      <c r="U74" s="29" t="str">
        <f t="shared" si="60"/>
        <v>n</v>
      </c>
      <c r="V74" s="29" t="str">
        <f t="shared" si="60"/>
        <v>n</v>
      </c>
      <c r="W74" s="29" t="str">
        <f t="shared" si="60"/>
        <v>n</v>
      </c>
      <c r="X74" s="29" t="str">
        <f t="shared" si="60"/>
        <v>n</v>
      </c>
      <c r="Y74" s="29" t="str">
        <f t="shared" si="60"/>
        <v>n</v>
      </c>
      <c r="Z74" s="29" t="str">
        <f t="shared" si="60"/>
        <v>n</v>
      </c>
      <c r="AA74" s="29" t="str">
        <f t="shared" si="60"/>
        <v>n</v>
      </c>
      <c r="AB74" s="29" t="str">
        <f t="shared" si="60"/>
        <v>n</v>
      </c>
      <c r="AC74" s="29"/>
      <c r="AD74" s="29"/>
      <c r="AE74" s="29"/>
      <c r="AF74" s="29"/>
      <c r="AG74" s="29"/>
      <c r="AH74" s="29"/>
      <c r="AI74" s="29"/>
    </row>
    <row r="76" spans="1:35" x14ac:dyDescent="0.2">
      <c r="B76" s="34" t="s">
        <v>442</v>
      </c>
      <c r="M76" s="52" t="s">
        <v>467</v>
      </c>
    </row>
    <row r="77" spans="1:35" x14ac:dyDescent="0.2">
      <c r="B77" s="47" t="s">
        <v>443</v>
      </c>
      <c r="M77" s="59">
        <f>AVERAGE(O77:W77)</f>
        <v>5.9948492768324702E-2</v>
      </c>
      <c r="N77" s="49">
        <f>IFERROR(N3/M3-1,0)</f>
        <v>0</v>
      </c>
      <c r="O77" s="49">
        <f t="shared" ref="O77:W77" si="61">IFERROR(O3/N3-1,0)</f>
        <v>6.33380886783943E-2</v>
      </c>
      <c r="P77" s="49">
        <f t="shared" si="61"/>
        <v>7.733449512857371E-2</v>
      </c>
      <c r="Q77" s="49">
        <f t="shared" si="61"/>
        <v>0.10443671973350344</v>
      </c>
      <c r="R77" s="49">
        <f t="shared" si="61"/>
        <v>0.15442819442029587</v>
      </c>
      <c r="S77" s="49">
        <f t="shared" si="61"/>
        <v>-1.1190519048713377E-2</v>
      </c>
      <c r="T77" s="49">
        <f t="shared" si="61"/>
        <v>2.506315545996407E-2</v>
      </c>
      <c r="U77" s="49">
        <f t="shared" si="61"/>
        <v>3.3079385000180928E-3</v>
      </c>
      <c r="V77" s="49">
        <f t="shared" si="61"/>
        <v>0.20753051275635137</v>
      </c>
      <c r="W77" s="67">
        <f t="shared" si="61"/>
        <v>-8.4712150713465162E-2</v>
      </c>
      <c r="X77" s="68">
        <f>INDEX('Scenario Manager'!$F$4:$J$33,MATCH(model!$B77,'Scenario Manager'!$C$4:$C$33,0),MATCH(model!X$73,'Scenario Manager'!$F$3:$J$3,0))</f>
        <v>0.14000000000000001</v>
      </c>
      <c r="Y77" s="68">
        <f>INDEX('Scenario Manager'!$F$4:$J$33,MATCH(model!$B77,'Scenario Manager'!$C$4:$C$33,0),MATCH(model!Y$73,'Scenario Manager'!$F$3:$J$3,0))</f>
        <v>0.1</v>
      </c>
      <c r="Z77" s="68">
        <f>INDEX('Scenario Manager'!$F$4:$J$33,MATCH(model!$B77,'Scenario Manager'!$C$4:$C$33,0),MATCH(model!Z$73,'Scenario Manager'!$F$3:$J$3,0))</f>
        <v>0.09</v>
      </c>
      <c r="AA77" s="68">
        <f>INDEX('Scenario Manager'!$F$4:$J$33,MATCH(model!$B77,'Scenario Manager'!$C$4:$C$33,0),MATCH(model!AA$73,'Scenario Manager'!$F$3:$J$3,0))</f>
        <v>0.1</v>
      </c>
      <c r="AB77" s="68">
        <f>INDEX('Scenario Manager'!$F$4:$J$33,MATCH(model!$B77,'Scenario Manager'!$C$4:$C$33,0),MATCH(model!AB$73,'Scenario Manager'!$F$3:$J$3,0))</f>
        <v>0.1</v>
      </c>
    </row>
    <row r="78" spans="1:35" x14ac:dyDescent="0.2">
      <c r="B78" s="47" t="s">
        <v>444</v>
      </c>
      <c r="M78" s="59">
        <f>AVERAGE(N78:W78)</f>
        <v>0.55826305385038033</v>
      </c>
      <c r="N78" s="49">
        <f>-N4/N3</f>
        <v>0.56021726570521202</v>
      </c>
      <c r="O78" s="49">
        <f t="shared" ref="O78:W78" si="62">-O4/O3</f>
        <v>0.55333843733669474</v>
      </c>
      <c r="P78" s="49">
        <f t="shared" si="62"/>
        <v>0.55534433361042834</v>
      </c>
      <c r="Q78" s="49">
        <f t="shared" si="62"/>
        <v>0.57512330792951916</v>
      </c>
      <c r="R78" s="49">
        <f t="shared" si="62"/>
        <v>0.5683064254922342</v>
      </c>
      <c r="S78" s="49">
        <f t="shared" si="62"/>
        <v>0.53204486663531658</v>
      </c>
      <c r="T78" s="49">
        <f t="shared" si="62"/>
        <v>0.52440505716599395</v>
      </c>
      <c r="U78" s="49">
        <f t="shared" si="62"/>
        <v>0.57046803981984551</v>
      </c>
      <c r="V78" s="49">
        <f t="shared" si="62"/>
        <v>0.57167901236256558</v>
      </c>
      <c r="W78" s="67">
        <f t="shared" si="62"/>
        <v>0.57170379244599245</v>
      </c>
      <c r="X78" s="68">
        <f>INDEX('Scenario Manager'!$F$4:$J$33,MATCH(model!$B78,'Scenario Manager'!$C$4:$C$33,0),MATCH(model!X$73,'Scenario Manager'!$F$3:$J$3,0))</f>
        <v>0.57999999999999996</v>
      </c>
      <c r="Y78" s="68">
        <f>INDEX('Scenario Manager'!$F$4:$J$33,MATCH(model!$B78,'Scenario Manager'!$C$4:$C$33,0),MATCH(model!Y$73,'Scenario Manager'!$F$3:$J$3,0))</f>
        <v>0.56000000000000005</v>
      </c>
      <c r="Z78" s="68">
        <f>INDEX('Scenario Manager'!$F$4:$J$33,MATCH(model!$B78,'Scenario Manager'!$C$4:$C$33,0),MATCH(model!Z$73,'Scenario Manager'!$F$3:$J$3,0))</f>
        <v>0.55000000000000004</v>
      </c>
      <c r="AA78" s="68">
        <f>INDEX('Scenario Manager'!$F$4:$J$33,MATCH(model!$B78,'Scenario Manager'!$C$4:$C$33,0),MATCH(model!AA$73,'Scenario Manager'!$F$3:$J$3,0))</f>
        <v>0.5</v>
      </c>
      <c r="AB78" s="68">
        <f>INDEX('Scenario Manager'!$F$4:$J$33,MATCH(model!$B78,'Scenario Manager'!$C$4:$C$33,0),MATCH(model!AB$73,'Scenario Manager'!$F$3:$J$3,0))</f>
        <v>0.5</v>
      </c>
    </row>
    <row r="79" spans="1:35" x14ac:dyDescent="0.2">
      <c r="B79" s="47" t="s">
        <v>445</v>
      </c>
      <c r="M79" s="59">
        <f t="shared" ref="M79:M84" si="63">AVERAGE(N79:W79)</f>
        <v>0.16575186092551275</v>
      </c>
      <c r="N79" s="49">
        <f>-N7/N3</f>
        <v>0.16936102146283902</v>
      </c>
      <c r="O79" s="49">
        <f t="shared" ref="O79:W79" si="64">-O7/O3</f>
        <v>0.17372863595830612</v>
      </c>
      <c r="P79" s="49">
        <f t="shared" si="64"/>
        <v>0.16965813811464309</v>
      </c>
      <c r="Q79" s="49">
        <f t="shared" si="64"/>
        <v>0.15886185052060475</v>
      </c>
      <c r="R79" s="49">
        <f t="shared" si="64"/>
        <v>0.15344873970187545</v>
      </c>
      <c r="S79" s="49">
        <f t="shared" si="64"/>
        <v>0.15001824664079202</v>
      </c>
      <c r="T79" s="49">
        <f t="shared" si="64"/>
        <v>0.14822226960430682</v>
      </c>
      <c r="U79" s="49">
        <f t="shared" si="64"/>
        <v>0.17195548937817207</v>
      </c>
      <c r="V79" s="49">
        <f t="shared" si="64"/>
        <v>0.17110466564946614</v>
      </c>
      <c r="W79" s="67">
        <f t="shared" si="64"/>
        <v>0.19115955222412206</v>
      </c>
      <c r="X79" s="68">
        <f>INDEX('Scenario Manager'!$F$4:$J$33,MATCH(model!$B79,'Scenario Manager'!$C$4:$C$33,0),MATCH(model!X$73,'Scenario Manager'!$F$3:$J$3,0))</f>
        <v>0.17</v>
      </c>
      <c r="Y79" s="68">
        <f>INDEX('Scenario Manager'!$F$4:$J$33,MATCH(model!$B79,'Scenario Manager'!$C$4:$C$33,0),MATCH(model!Y$73,'Scenario Manager'!$F$3:$J$3,0))</f>
        <v>0.17</v>
      </c>
      <c r="Z79" s="68">
        <f>INDEX('Scenario Manager'!$F$4:$J$33,MATCH(model!$B79,'Scenario Manager'!$C$4:$C$33,0),MATCH(model!Z$73,'Scenario Manager'!$F$3:$J$3,0))</f>
        <v>0.17</v>
      </c>
      <c r="AA79" s="68">
        <f>INDEX('Scenario Manager'!$F$4:$J$33,MATCH(model!$B79,'Scenario Manager'!$C$4:$C$33,0),MATCH(model!AA$73,'Scenario Manager'!$F$3:$J$3,0))</f>
        <v>0.17</v>
      </c>
      <c r="AB79" s="68">
        <f>INDEX('Scenario Manager'!$F$4:$J$33,MATCH(model!$B79,'Scenario Manager'!$C$4:$C$33,0),MATCH(model!AB$73,'Scenario Manager'!$F$3:$J$3,0))</f>
        <v>0.17</v>
      </c>
    </row>
    <row r="80" spans="1:35" x14ac:dyDescent="0.2">
      <c r="B80" s="47" t="s">
        <v>446</v>
      </c>
      <c r="M80" s="59">
        <f t="shared" si="63"/>
        <v>0.17764732598046679</v>
      </c>
      <c r="N80" s="49">
        <f>-(N6+N8)/N3</f>
        <v>0.19740079299365534</v>
      </c>
      <c r="O80" s="49">
        <f t="shared" ref="O80:W80" si="65">-(O6+O8)/O3</f>
        <v>0.18733256093945452</v>
      </c>
      <c r="P80" s="49">
        <f t="shared" si="65"/>
        <v>0.17802595364864099</v>
      </c>
      <c r="Q80" s="49">
        <f t="shared" si="65"/>
        <v>0.18075381525818879</v>
      </c>
      <c r="R80" s="49">
        <f t="shared" si="65"/>
        <v>0.16819511938391959</v>
      </c>
      <c r="S80" s="49">
        <f t="shared" si="65"/>
        <v>0.16703787515673851</v>
      </c>
      <c r="T80" s="49">
        <f t="shared" si="65"/>
        <v>0.17583970321629833</v>
      </c>
      <c r="U80" s="49">
        <f t="shared" si="65"/>
        <v>0.17798109980534929</v>
      </c>
      <c r="V80" s="49">
        <f t="shared" si="65"/>
        <v>0.16175859428448194</v>
      </c>
      <c r="W80" s="67">
        <f t="shared" si="65"/>
        <v>0.18214774511794032</v>
      </c>
      <c r="X80" s="68">
        <f>INDEX('Scenario Manager'!$F$4:$J$33,MATCH(model!$B80,'Scenario Manager'!$C$4:$C$33,0),MATCH(model!X$73,'Scenario Manager'!$F$3:$J$3,0))</f>
        <v>0.17</v>
      </c>
      <c r="Y80" s="68">
        <f>INDEX('Scenario Manager'!$F$4:$J$33,MATCH(model!$B80,'Scenario Manager'!$C$4:$C$33,0),MATCH(model!Y$73,'Scenario Manager'!$F$3:$J$3,0))</f>
        <v>0.17</v>
      </c>
      <c r="Z80" s="68">
        <f>INDEX('Scenario Manager'!$F$4:$J$33,MATCH(model!$B80,'Scenario Manager'!$C$4:$C$33,0),MATCH(model!Z$73,'Scenario Manager'!$F$3:$J$3,0))</f>
        <v>0.17</v>
      </c>
      <c r="AA80" s="68">
        <f>INDEX('Scenario Manager'!$F$4:$J$33,MATCH(model!$B80,'Scenario Manager'!$C$4:$C$33,0),MATCH(model!AA$73,'Scenario Manager'!$F$3:$J$3,0))</f>
        <v>0.16</v>
      </c>
      <c r="AB80" s="68">
        <f>INDEX('Scenario Manager'!$F$4:$J$33,MATCH(model!$B80,'Scenario Manager'!$C$4:$C$33,0),MATCH(model!AB$73,'Scenario Manager'!$F$3:$J$3,0))</f>
        <v>0.15</v>
      </c>
    </row>
    <row r="81" spans="2:28" x14ac:dyDescent="0.2">
      <c r="B81" s="47" t="s">
        <v>447</v>
      </c>
      <c r="M81" s="59">
        <f t="shared" si="63"/>
        <v>4.02075614808741E-2</v>
      </c>
      <c r="N81" s="49">
        <f>N50/N3</f>
        <v>5.551323584671515E-2</v>
      </c>
      <c r="O81" s="49">
        <f t="shared" ref="O81:W81" si="66">O50/O3</f>
        <v>5.4484915439789623E-2</v>
      </c>
      <c r="P81" s="49">
        <f t="shared" si="66"/>
        <v>4.3867141475832233E-2</v>
      </c>
      <c r="Q81" s="49">
        <f t="shared" si="66"/>
        <v>3.5555860059477369E-2</v>
      </c>
      <c r="R81" s="49">
        <f t="shared" si="66"/>
        <v>3.4352603529937728E-2</v>
      </c>
      <c r="S81" s="49">
        <f t="shared" si="66"/>
        <v>3.7520132881975511E-2</v>
      </c>
      <c r="T81" s="49">
        <f t="shared" si="66"/>
        <v>3.6530666581231615E-2</v>
      </c>
      <c r="U81" s="49">
        <f t="shared" si="66"/>
        <v>3.8595123519645794E-2</v>
      </c>
      <c r="V81" s="49">
        <f t="shared" si="66"/>
        <v>3.2412723532781691E-2</v>
      </c>
      <c r="W81" s="67">
        <f t="shared" si="66"/>
        <v>3.324321194135426E-2</v>
      </c>
      <c r="X81" s="68">
        <f>INDEX('Scenario Manager'!$F$4:$J$33,MATCH(model!$B81,'Scenario Manager'!$C$4:$C$33,0),MATCH(model!X$73,'Scenario Manager'!$F$3:$J$3,0))</f>
        <v>2.5000000000000001E-2</v>
      </c>
      <c r="Y81" s="68">
        <f>INDEX('Scenario Manager'!$F$4:$J$33,MATCH(model!$B81,'Scenario Manager'!$C$4:$C$33,0),MATCH(model!Y$73,'Scenario Manager'!$F$3:$J$3,0))</f>
        <v>0.02</v>
      </c>
      <c r="Z81" s="68">
        <f>INDEX('Scenario Manager'!$F$4:$J$33,MATCH(model!$B81,'Scenario Manager'!$C$4:$C$33,0),MATCH(model!Z$73,'Scenario Manager'!$F$3:$J$3,0))</f>
        <v>0.02</v>
      </c>
      <c r="AA81" s="68">
        <f>INDEX('Scenario Manager'!$F$4:$J$33,MATCH(model!$B81,'Scenario Manager'!$C$4:$C$33,0),MATCH(model!AA$73,'Scenario Manager'!$F$3:$J$3,0))</f>
        <v>0.02</v>
      </c>
      <c r="AB81" s="68">
        <f>INDEX('Scenario Manager'!$F$4:$J$33,MATCH(model!$B81,'Scenario Manager'!$C$4:$C$33,0),MATCH(model!AB$73,'Scenario Manager'!$F$3:$J$3,0))</f>
        <v>0.02</v>
      </c>
    </row>
    <row r="82" spans="2:28" x14ac:dyDescent="0.2">
      <c r="B82" s="47" t="s">
        <v>451</v>
      </c>
      <c r="M82" s="59">
        <f t="shared" si="63"/>
        <v>1.5520330452582194</v>
      </c>
      <c r="N82" s="49">
        <f>N50/-N60</f>
        <v>2.1859472862226084</v>
      </c>
      <c r="O82" s="49">
        <f t="shared" ref="O82:W82" si="67">O50/-O60</f>
        <v>1.3219387041097168</v>
      </c>
      <c r="P82" s="49">
        <f t="shared" si="67"/>
        <v>1.2991754756871035</v>
      </c>
      <c r="Q82" s="49">
        <f t="shared" si="67"/>
        <v>1.6271296734500709</v>
      </c>
      <c r="R82" s="49">
        <f t="shared" si="67"/>
        <v>1.960913405455504</v>
      </c>
      <c r="S82" s="49">
        <f t="shared" si="67"/>
        <v>1.6031427292631883</v>
      </c>
      <c r="T82" s="49">
        <f t="shared" si="67"/>
        <v>1.6626775612822127</v>
      </c>
      <c r="U82" s="49">
        <f t="shared" si="67"/>
        <v>1.5437798674271621</v>
      </c>
      <c r="V82" s="49">
        <f t="shared" si="67"/>
        <v>1.3388325470587681</v>
      </c>
      <c r="W82" s="67">
        <f t="shared" si="67"/>
        <v>0.976793202625859</v>
      </c>
      <c r="X82" s="68">
        <f>INDEX('Scenario Manager'!$F$4:$J$33,MATCH(model!$B82,'Scenario Manager'!$C$4:$C$33,0),MATCH(model!X$73,'Scenario Manager'!$F$3:$J$3,0))</f>
        <v>1.2</v>
      </c>
      <c r="Y82" s="68">
        <f>INDEX('Scenario Manager'!$F$4:$J$33,MATCH(model!$B82,'Scenario Manager'!$C$4:$C$33,0),MATCH(model!Y$73,'Scenario Manager'!$F$3:$J$3,0))</f>
        <v>1.2</v>
      </c>
      <c r="Z82" s="68">
        <f>INDEX('Scenario Manager'!$F$4:$J$33,MATCH(model!$B82,'Scenario Manager'!$C$4:$C$33,0),MATCH(model!Z$73,'Scenario Manager'!$F$3:$J$3,0))</f>
        <v>1.2</v>
      </c>
      <c r="AA82" s="68">
        <f>INDEX('Scenario Manager'!$F$4:$J$33,MATCH(model!$B82,'Scenario Manager'!$C$4:$C$33,0),MATCH(model!AA$73,'Scenario Manager'!$F$3:$J$3,0))</f>
        <v>1.2</v>
      </c>
      <c r="AB82" s="68">
        <f>INDEX('Scenario Manager'!$F$4:$J$33,MATCH(model!$B82,'Scenario Manager'!$C$4:$C$33,0),MATCH(model!AB$73,'Scenario Manager'!$F$3:$J$3,0))</f>
        <v>1.2</v>
      </c>
    </row>
    <row r="83" spans="2:28" x14ac:dyDescent="0.2">
      <c r="B83" s="47" t="s">
        <v>449</v>
      </c>
      <c r="M83" s="59">
        <f t="shared" si="63"/>
        <v>5.0498350861027129E-2</v>
      </c>
      <c r="N83" s="49">
        <f>-N11/N38</f>
        <v>6.0184956272431818E-2</v>
      </c>
      <c r="O83" s="49">
        <f t="shared" ref="O83:W83" si="68">-O11/O38</f>
        <v>5.5397620768264995E-2</v>
      </c>
      <c r="P83" s="49">
        <f t="shared" si="68"/>
        <v>6.2603834906905159E-2</v>
      </c>
      <c r="Q83" s="49">
        <f t="shared" si="68"/>
        <v>9.4635182624390496E-2</v>
      </c>
      <c r="R83" s="49">
        <f t="shared" si="68"/>
        <v>4.8844496556620112E-2</v>
      </c>
      <c r="S83" s="49">
        <f t="shared" si="68"/>
        <v>4.5373386839478641E-2</v>
      </c>
      <c r="T83" s="49">
        <f t="shared" si="68"/>
        <v>4.8140738389304355E-2</v>
      </c>
      <c r="U83" s="49">
        <f t="shared" si="68"/>
        <v>3.7734948106604993E-2</v>
      </c>
      <c r="V83" s="49">
        <f t="shared" si="68"/>
        <v>2.1794012755400594E-2</v>
      </c>
      <c r="W83" s="67">
        <f t="shared" si="68"/>
        <v>3.0274331390870119E-2</v>
      </c>
      <c r="X83" s="68">
        <f>INDEX('Scenario Manager'!$F$4:$J$33,MATCH(model!$B83,'Scenario Manager'!$C$4:$C$33,0),MATCH(model!X$73,'Scenario Manager'!$F$3:$J$3,0))</f>
        <v>0.05</v>
      </c>
      <c r="Y83" s="68">
        <f>INDEX('Scenario Manager'!$F$4:$J$33,MATCH(model!$B83,'Scenario Manager'!$C$4:$C$33,0),MATCH(model!Y$73,'Scenario Manager'!$F$3:$J$3,0))</f>
        <v>0.05</v>
      </c>
      <c r="Z83" s="68">
        <f>INDEX('Scenario Manager'!$F$4:$J$33,MATCH(model!$B83,'Scenario Manager'!$C$4:$C$33,0),MATCH(model!Z$73,'Scenario Manager'!$F$3:$J$3,0))</f>
        <v>0.05</v>
      </c>
      <c r="AA83" s="68">
        <f>INDEX('Scenario Manager'!$F$4:$J$33,MATCH(model!$B83,'Scenario Manager'!$C$4:$C$33,0),MATCH(model!AA$73,'Scenario Manager'!$F$3:$J$3,0))</f>
        <v>0.05</v>
      </c>
      <c r="AB83" s="68">
        <f>INDEX('Scenario Manager'!$F$4:$J$33,MATCH(model!$B83,'Scenario Manager'!$C$4:$C$33,0),MATCH(model!AB$73,'Scenario Manager'!$F$3:$J$3,0))</f>
        <v>0.05</v>
      </c>
    </row>
    <row r="84" spans="2:28" x14ac:dyDescent="0.2">
      <c r="B84" s="47" t="s">
        <v>448</v>
      </c>
      <c r="M84" s="59">
        <f t="shared" si="63"/>
        <v>-0.13778632779828642</v>
      </c>
      <c r="N84" s="49">
        <f>-N13/N18</f>
        <v>6.7738051908055055E-2</v>
      </c>
      <c r="O84" s="49">
        <f t="shared" ref="O84:W84" si="69">-O13/O18</f>
        <v>6.3492206100354942E-2</v>
      </c>
      <c r="P84" s="49">
        <f t="shared" si="69"/>
        <v>-4.0702691362023549</v>
      </c>
      <c r="Q84" s="49">
        <f t="shared" si="69"/>
        <v>1.8704694832121649</v>
      </c>
      <c r="R84" s="49">
        <f t="shared" si="69"/>
        <v>0.15200757036162726</v>
      </c>
      <c r="S84" s="49">
        <f t="shared" si="69"/>
        <v>0.17761759402925709</v>
      </c>
      <c r="T84" s="49">
        <f t="shared" si="69"/>
        <v>-6.8248966104258943E-2</v>
      </c>
      <c r="U84" s="49">
        <f t="shared" si="69"/>
        <v>0.10238186641212134</v>
      </c>
      <c r="V84" s="49">
        <f t="shared" si="69"/>
        <v>0.16436844744823631</v>
      </c>
      <c r="W84" s="67">
        <f t="shared" si="69"/>
        <v>0.16257960485193251</v>
      </c>
      <c r="X84" s="68">
        <f>INDEX('Scenario Manager'!$F$4:$J$33,MATCH(model!$B84,'Scenario Manager'!$C$4:$C$33,0),MATCH(model!X$73,'Scenario Manager'!$F$3:$J$3,0))</f>
        <v>0.25</v>
      </c>
      <c r="Y84" s="68">
        <f>INDEX('Scenario Manager'!$F$4:$J$33,MATCH(model!$B84,'Scenario Manager'!$C$4:$C$33,0),MATCH(model!Y$73,'Scenario Manager'!$F$3:$J$3,0))</f>
        <v>0.25</v>
      </c>
      <c r="Z84" s="68">
        <f>INDEX('Scenario Manager'!$F$4:$J$33,MATCH(model!$B84,'Scenario Manager'!$C$4:$C$33,0),MATCH(model!Z$73,'Scenario Manager'!$F$3:$J$3,0))</f>
        <v>0.25</v>
      </c>
      <c r="AA84" s="68">
        <f>INDEX('Scenario Manager'!$F$4:$J$33,MATCH(model!$B84,'Scenario Manager'!$C$4:$C$33,0),MATCH(model!AA$73,'Scenario Manager'!$F$3:$J$3,0))</f>
        <v>0.25</v>
      </c>
      <c r="AB84" s="68">
        <f>INDEX('Scenario Manager'!$F$4:$J$33,MATCH(model!$B84,'Scenario Manager'!$C$4:$C$33,0),MATCH(model!AB$73,'Scenario Manager'!$F$3:$J$3,0))</f>
        <v>0.25</v>
      </c>
    </row>
    <row r="85" spans="2:28" x14ac:dyDescent="0.2">
      <c r="X85" s="69"/>
      <c r="Y85" s="69"/>
      <c r="Z85" s="69"/>
      <c r="AA85" s="69"/>
      <c r="AB85" s="69"/>
    </row>
    <row r="86" spans="2:28" x14ac:dyDescent="0.2">
      <c r="B86" s="34" t="s">
        <v>453</v>
      </c>
      <c r="X86" s="69"/>
      <c r="Y86" s="69"/>
      <c r="Z86" s="69"/>
      <c r="AA86" s="69"/>
      <c r="AB86" s="69"/>
    </row>
    <row r="87" spans="2:28" x14ac:dyDescent="0.2">
      <c r="B87" s="45" t="s">
        <v>454</v>
      </c>
      <c r="M87" s="59">
        <f t="shared" ref="M87:M94" si="70">AVERAGE(N87:W87)</f>
        <v>0.22826807983343894</v>
      </c>
      <c r="N87" s="49">
        <f>N24/N3</f>
        <v>0.22521117943597441</v>
      </c>
      <c r="O87" s="49">
        <f t="shared" ref="O87:W87" si="71">O24/O3</f>
        <v>0.221580013327832</v>
      </c>
      <c r="P87" s="49">
        <f t="shared" si="71"/>
        <v>0.22207441445100756</v>
      </c>
      <c r="Q87" s="49">
        <f t="shared" si="71"/>
        <v>0.25417883156243476</v>
      </c>
      <c r="R87" s="49">
        <f t="shared" si="71"/>
        <v>0.20291920984980677</v>
      </c>
      <c r="S87" s="49">
        <f t="shared" si="71"/>
        <v>0.20367299641550474</v>
      </c>
      <c r="T87" s="49">
        <f t="shared" si="71"/>
        <v>0.24441735318519925</v>
      </c>
      <c r="U87" s="49">
        <f t="shared" si="71"/>
        <v>0.25347038988774345</v>
      </c>
      <c r="V87" s="49">
        <f t="shared" si="71"/>
        <v>0.22885325115483721</v>
      </c>
      <c r="W87" s="49">
        <f t="shared" si="71"/>
        <v>0.2263031590640493</v>
      </c>
      <c r="X87" s="68">
        <f>INDEX('Scenario Manager'!$F$4:$J$33,MATCH(model!$B87,'Scenario Manager'!$C$4:$C$33,0),MATCH(model!X$73,'Scenario Manager'!$F$3:$J$3,0))</f>
        <v>0.25</v>
      </c>
      <c r="Y87" s="68">
        <f>INDEX('Scenario Manager'!$F$4:$J$33,MATCH(model!$B87,'Scenario Manager'!$C$4:$C$33,0),MATCH(model!Y$73,'Scenario Manager'!$F$3:$J$3,0))</f>
        <v>0.23749999999999999</v>
      </c>
      <c r="Z87" s="68">
        <f>INDEX('Scenario Manager'!$F$4:$J$33,MATCH(model!$B87,'Scenario Manager'!$C$4:$C$33,0),MATCH(model!Z$73,'Scenario Manager'!$F$3:$J$3,0))</f>
        <v>0.22562499999999999</v>
      </c>
      <c r="AA87" s="68">
        <f>INDEX('Scenario Manager'!$F$4:$J$33,MATCH(model!$B87,'Scenario Manager'!$C$4:$C$33,0),MATCH(model!AA$73,'Scenario Manager'!$F$3:$J$3,0))</f>
        <v>0.21434374999999997</v>
      </c>
      <c r="AB87" s="68">
        <f>INDEX('Scenario Manager'!$F$4:$J$33,MATCH(model!$B87,'Scenario Manager'!$C$4:$C$33,0),MATCH(model!AB$73,'Scenario Manager'!$F$3:$J$3,0))</f>
        <v>0.20362656249999997</v>
      </c>
    </row>
    <row r="88" spans="2:28" x14ac:dyDescent="0.2">
      <c r="B88" s="45" t="s">
        <v>455</v>
      </c>
      <c r="M88" s="59">
        <f t="shared" si="70"/>
        <v>0.1341641946137295</v>
      </c>
      <c r="N88" s="49">
        <f>N25/N3</f>
        <v>7.8163480013035289E-2</v>
      </c>
      <c r="O88" s="49">
        <f t="shared" ref="O88:W88" si="72">O25/O3</f>
        <v>8.1232482226032493E-2</v>
      </c>
      <c r="P88" s="49">
        <f t="shared" si="72"/>
        <v>9.535076544953093E-2</v>
      </c>
      <c r="Q88" s="49">
        <f t="shared" si="72"/>
        <v>8.4914904439990349E-2</v>
      </c>
      <c r="R88" s="49">
        <f t="shared" si="72"/>
        <v>9.6594721750126178E-2</v>
      </c>
      <c r="S88" s="49">
        <f t="shared" si="72"/>
        <v>9.7498214263975244E-2</v>
      </c>
      <c r="T88" s="49">
        <f t="shared" si="72"/>
        <v>0.10336859002332155</v>
      </c>
      <c r="U88" s="49">
        <f t="shared" si="72"/>
        <v>0.26061611584455585</v>
      </c>
      <c r="V88" s="49">
        <f t="shared" si="72"/>
        <v>0.23955916142735439</v>
      </c>
      <c r="W88" s="49">
        <f t="shared" si="72"/>
        <v>0.2043435106993727</v>
      </c>
      <c r="X88" s="68">
        <f>INDEX('Scenario Manager'!$F$4:$J$33,MATCH(model!$B88,'Scenario Manager'!$C$4:$C$33,0),MATCH(model!X$73,'Scenario Manager'!$F$3:$J$3,0))</f>
        <v>0.2</v>
      </c>
      <c r="Y88" s="68">
        <f>INDEX('Scenario Manager'!$F$4:$J$33,MATCH(model!$B88,'Scenario Manager'!$C$4:$C$33,0),MATCH(model!Y$73,'Scenario Manager'!$F$3:$J$3,0))</f>
        <v>0.2</v>
      </c>
      <c r="Z88" s="68">
        <f>INDEX('Scenario Manager'!$F$4:$J$33,MATCH(model!$B88,'Scenario Manager'!$C$4:$C$33,0),MATCH(model!Z$73,'Scenario Manager'!$F$3:$J$3,0))</f>
        <v>0.2</v>
      </c>
      <c r="AA88" s="68">
        <f>INDEX('Scenario Manager'!$F$4:$J$33,MATCH(model!$B88,'Scenario Manager'!$C$4:$C$33,0),MATCH(model!AA$73,'Scenario Manager'!$F$3:$J$3,0))</f>
        <v>0.2</v>
      </c>
      <c r="AB88" s="68">
        <f>INDEX('Scenario Manager'!$F$4:$J$33,MATCH(model!$B88,'Scenario Manager'!$C$4:$C$33,0),MATCH(model!AB$73,'Scenario Manager'!$F$3:$J$3,0))</f>
        <v>0.2</v>
      </c>
    </row>
    <row r="89" spans="2:28" x14ac:dyDescent="0.2">
      <c r="B89" s="45" t="s">
        <v>456</v>
      </c>
      <c r="M89" s="59">
        <f t="shared" si="70"/>
        <v>0.30512088168152263</v>
      </c>
      <c r="N89" s="49">
        <f>(N26+N32+N33)/N3</f>
        <v>0.11482911219793031</v>
      </c>
      <c r="O89" s="49">
        <f t="shared" ref="O89:W89" si="73">(O26+O32+O33)/O3</f>
        <v>9.2657656601064467E-2</v>
      </c>
      <c r="P89" s="49">
        <f t="shared" si="73"/>
        <v>0.50542262572514352</v>
      </c>
      <c r="Q89" s="49">
        <f t="shared" si="73"/>
        <v>0.32822951724565858</v>
      </c>
      <c r="R89" s="49">
        <f t="shared" si="73"/>
        <v>0.30845509305229851</v>
      </c>
      <c r="S89" s="49">
        <f t="shared" si="73"/>
        <v>0.29973724271033247</v>
      </c>
      <c r="T89" s="49">
        <f t="shared" si="73"/>
        <v>0.33853410018659452</v>
      </c>
      <c r="U89" s="49">
        <f t="shared" si="73"/>
        <v>0.35997798858742946</v>
      </c>
      <c r="V89" s="49">
        <f t="shared" si="73"/>
        <v>0.30353086218802067</v>
      </c>
      <c r="W89" s="49">
        <f t="shared" si="73"/>
        <v>0.39983461832075329</v>
      </c>
      <c r="X89" s="68">
        <f>INDEX('Scenario Manager'!$F$4:$J$33,MATCH(model!$B89,'Scenario Manager'!$C$4:$C$33,0),MATCH(model!X$73,'Scenario Manager'!$F$3:$J$3,0))</f>
        <v>0.4</v>
      </c>
      <c r="Y89" s="68">
        <f>INDEX('Scenario Manager'!$F$4:$J$33,MATCH(model!$B89,'Scenario Manager'!$C$4:$C$33,0),MATCH(model!Y$73,'Scenario Manager'!$F$3:$J$3,0))</f>
        <v>0.4</v>
      </c>
      <c r="Z89" s="68">
        <f>INDEX('Scenario Manager'!$F$4:$J$33,MATCH(model!$B89,'Scenario Manager'!$C$4:$C$33,0),MATCH(model!Z$73,'Scenario Manager'!$F$3:$J$3,0))</f>
        <v>0.4</v>
      </c>
      <c r="AA89" s="68">
        <f>INDEX('Scenario Manager'!$F$4:$J$33,MATCH(model!$B89,'Scenario Manager'!$C$4:$C$33,0),MATCH(model!AA$73,'Scenario Manager'!$F$3:$J$3,0))</f>
        <v>0.4</v>
      </c>
      <c r="AB89" s="68">
        <f>INDEX('Scenario Manager'!$F$4:$J$33,MATCH(model!$B89,'Scenario Manager'!$C$4:$C$33,0),MATCH(model!AB$73,'Scenario Manager'!$F$3:$J$3,0))</f>
        <v>0.4</v>
      </c>
    </row>
    <row r="90" spans="2:28" x14ac:dyDescent="0.2">
      <c r="B90" s="45" t="s">
        <v>441</v>
      </c>
      <c r="M90" s="59">
        <f t="shared" si="70"/>
        <v>88.996199999999988</v>
      </c>
      <c r="N90" s="50">
        <f>-N60</f>
        <v>62.109000000000002</v>
      </c>
      <c r="O90" s="50">
        <f t="shared" ref="O90:W90" si="74">-O60</f>
        <v>107.185</v>
      </c>
      <c r="P90" s="50">
        <f t="shared" si="74"/>
        <v>94.6</v>
      </c>
      <c r="Q90" s="50">
        <f t="shared" si="74"/>
        <v>67.616</v>
      </c>
      <c r="R90" s="50">
        <f t="shared" si="74"/>
        <v>62.579000000000001</v>
      </c>
      <c r="S90" s="50">
        <f t="shared" si="74"/>
        <v>82.667000000000002</v>
      </c>
      <c r="T90" s="50">
        <f t="shared" si="74"/>
        <v>79.55</v>
      </c>
      <c r="U90" s="50">
        <f t="shared" si="74"/>
        <v>90.817999999999998</v>
      </c>
      <c r="V90" s="50">
        <f t="shared" si="74"/>
        <v>106.197</v>
      </c>
      <c r="W90" s="50">
        <f t="shared" si="74"/>
        <v>136.64099999999999</v>
      </c>
      <c r="X90" s="68">
        <f>INDEX('Scenario Manager'!$F$4:$J$33,MATCH(model!$B90,'Scenario Manager'!$C$4:$C$33,0),MATCH(model!X$73,'Scenario Manager'!$F$3:$J$3,0))</f>
        <v>0</v>
      </c>
      <c r="Y90" s="68">
        <f>INDEX('Scenario Manager'!$F$4:$J$33,MATCH(model!$B90,'Scenario Manager'!$C$4:$C$33,0),MATCH(model!Y$73,'Scenario Manager'!$F$3:$J$3,0))</f>
        <v>0</v>
      </c>
      <c r="Z90" s="68">
        <f>INDEX('Scenario Manager'!$F$4:$J$33,MATCH(model!$B90,'Scenario Manager'!$C$4:$C$33,0),MATCH(model!Z$73,'Scenario Manager'!$F$3:$J$3,0))</f>
        <v>0</v>
      </c>
      <c r="AA90" s="68">
        <f>INDEX('Scenario Manager'!$F$4:$J$33,MATCH(model!$B90,'Scenario Manager'!$C$4:$C$33,0),MATCH(model!AA$73,'Scenario Manager'!$F$3:$J$3,0))</f>
        <v>0</v>
      </c>
      <c r="AB90" s="68">
        <f>INDEX('Scenario Manager'!$F$4:$J$33,MATCH(model!$B90,'Scenario Manager'!$C$4:$C$33,0),MATCH(model!AB$73,'Scenario Manager'!$F$3:$J$3,0))</f>
        <v>0</v>
      </c>
    </row>
    <row r="91" spans="2:28" x14ac:dyDescent="0.2">
      <c r="B91" s="45" t="s">
        <v>457</v>
      </c>
      <c r="M91" s="59">
        <f t="shared" si="70"/>
        <v>2.6836556420240815E-2</v>
      </c>
      <c r="N91" s="49">
        <f>N90/N3</f>
        <v>2.5395505278923682E-2</v>
      </c>
      <c r="O91" s="49">
        <f t="shared" ref="O91:W91" si="75">O90/O3</f>
        <v>4.1215916646062237E-2</v>
      </c>
      <c r="P91" s="49">
        <f t="shared" si="75"/>
        <v>3.3765370649897722E-2</v>
      </c>
      <c r="Q91" s="49">
        <f t="shared" si="75"/>
        <v>2.185189087240158E-2</v>
      </c>
      <c r="R91" s="49">
        <f t="shared" si="75"/>
        <v>1.7518674427113676E-2</v>
      </c>
      <c r="S91" s="49">
        <f t="shared" si="75"/>
        <v>2.3404112557850628E-2</v>
      </c>
      <c r="T91" s="49">
        <f t="shared" si="75"/>
        <v>2.1970986697541127E-2</v>
      </c>
      <c r="U91" s="49">
        <f t="shared" si="75"/>
        <v>2.5000406038438488E-2</v>
      </c>
      <c r="V91" s="49">
        <f t="shared" si="75"/>
        <v>2.4209691946904047E-2</v>
      </c>
      <c r="W91" s="49">
        <f t="shared" si="75"/>
        <v>3.4033009087274947E-2</v>
      </c>
      <c r="X91" s="68">
        <f>INDEX('Scenario Manager'!$F$4:$J$33,MATCH(model!$B91,'Scenario Manager'!$C$4:$C$33,0),MATCH(model!X$73,'Scenario Manager'!$F$3:$J$3,0))</f>
        <v>0.03</v>
      </c>
      <c r="Y91" s="68">
        <f>INDEX('Scenario Manager'!$F$4:$J$33,MATCH(model!$B91,'Scenario Manager'!$C$4:$C$33,0),MATCH(model!Y$73,'Scenario Manager'!$F$3:$J$3,0))</f>
        <v>0.03</v>
      </c>
      <c r="Z91" s="68">
        <f>INDEX('Scenario Manager'!$F$4:$J$33,MATCH(model!$B91,'Scenario Manager'!$C$4:$C$33,0),MATCH(model!Z$73,'Scenario Manager'!$F$3:$J$3,0))</f>
        <v>0.03</v>
      </c>
      <c r="AA91" s="68">
        <f>INDEX('Scenario Manager'!$F$4:$J$33,MATCH(model!$B91,'Scenario Manager'!$C$4:$C$33,0),MATCH(model!AA$73,'Scenario Manager'!$F$3:$J$3,0))</f>
        <v>0.03</v>
      </c>
      <c r="AB91" s="68">
        <f>INDEX('Scenario Manager'!$F$4:$J$33,MATCH(model!$B91,'Scenario Manager'!$C$4:$C$33,0),MATCH(model!AB$73,'Scenario Manager'!$F$3:$J$3,0))</f>
        <v>0.03</v>
      </c>
    </row>
    <row r="92" spans="2:28" x14ac:dyDescent="0.2">
      <c r="B92" s="45" t="s">
        <v>458</v>
      </c>
      <c r="M92" s="59">
        <f t="shared" si="70"/>
        <v>0.17576397962320145</v>
      </c>
      <c r="N92" s="49">
        <f t="shared" ref="N92:V92" si="76">-N36/N4</f>
        <v>0.16213344077027617</v>
      </c>
      <c r="O92" s="49">
        <f t="shared" si="76"/>
        <v>0.16396281576681535</v>
      </c>
      <c r="P92" s="49">
        <f t="shared" si="76"/>
        <v>0.16716873374334229</v>
      </c>
      <c r="Q92" s="49">
        <f t="shared" si="76"/>
        <v>0.19138163942827474</v>
      </c>
      <c r="R92" s="49">
        <f t="shared" si="76"/>
        <v>0.16985613761135729</v>
      </c>
      <c r="S92" s="49">
        <f t="shared" si="76"/>
        <v>0.15532872940818382</v>
      </c>
      <c r="T92" s="49">
        <f t="shared" si="76"/>
        <v>0.18758890928290597</v>
      </c>
      <c r="U92" s="49">
        <f t="shared" si="76"/>
        <v>0.24901933439719889</v>
      </c>
      <c r="V92" s="49">
        <f t="shared" si="76"/>
        <v>0.12674093929970834</v>
      </c>
      <c r="W92" s="49">
        <f>-W36/W4</f>
        <v>0.18445911652395156</v>
      </c>
      <c r="X92" s="68">
        <f>INDEX('Scenario Manager'!$F$4:$J$33,MATCH(model!$B92,'Scenario Manager'!$C$4:$C$33,0),MATCH(model!X$73,'Scenario Manager'!$F$3:$J$3,0))</f>
        <v>0.1</v>
      </c>
      <c r="Y92" s="68">
        <f>INDEX('Scenario Manager'!$F$4:$J$33,MATCH(model!$B92,'Scenario Manager'!$C$4:$C$33,0),MATCH(model!Y$73,'Scenario Manager'!$F$3:$J$3,0))</f>
        <v>0.1</v>
      </c>
      <c r="Z92" s="68">
        <f>INDEX('Scenario Manager'!$F$4:$J$33,MATCH(model!$B92,'Scenario Manager'!$C$4:$C$33,0),MATCH(model!Z$73,'Scenario Manager'!$F$3:$J$3,0))</f>
        <v>0.1</v>
      </c>
      <c r="AA92" s="68">
        <f>INDEX('Scenario Manager'!$F$4:$J$33,MATCH(model!$B92,'Scenario Manager'!$C$4:$C$33,0),MATCH(model!AA$73,'Scenario Manager'!$F$3:$J$3,0))</f>
        <v>0.1</v>
      </c>
      <c r="AB92" s="68">
        <f>INDEX('Scenario Manager'!$F$4:$J$33,MATCH(model!$B92,'Scenario Manager'!$C$4:$C$33,0),MATCH(model!AB$73,'Scenario Manager'!$F$3:$J$3,0))</f>
        <v>0.1</v>
      </c>
    </row>
    <row r="93" spans="2:28" x14ac:dyDescent="0.2">
      <c r="B93" s="78" t="s">
        <v>494</v>
      </c>
      <c r="M93" s="59">
        <f>AVERAGE(N93:W93)</f>
        <v>0.31606663178652289</v>
      </c>
      <c r="N93" s="49">
        <f>N37/-N9</f>
        <v>0.35260954003331185</v>
      </c>
      <c r="O93" s="49">
        <f t="shared" ref="O93:W93" si="77">O37/-O9</f>
        <v>0.33052634493687738</v>
      </c>
      <c r="P93" s="49">
        <f t="shared" si="77"/>
        <v>0.33151969711590784</v>
      </c>
      <c r="Q93" s="49">
        <f t="shared" si="77"/>
        <v>0.32361343194387876</v>
      </c>
      <c r="R93" s="49">
        <f t="shared" si="77"/>
        <v>0.33312038602067623</v>
      </c>
      <c r="S93" s="49">
        <f t="shared" si="77"/>
        <v>0.29836091337378962</v>
      </c>
      <c r="T93" s="49">
        <f t="shared" si="77"/>
        <v>0.34882462333571407</v>
      </c>
      <c r="U93" s="49">
        <f t="shared" si="77"/>
        <v>0.28381192274077821</v>
      </c>
      <c r="V93" s="49">
        <f t="shared" si="77"/>
        <v>0.29546797833878147</v>
      </c>
      <c r="W93" s="49">
        <f t="shared" si="77"/>
        <v>0.26281148002551352</v>
      </c>
      <c r="X93" s="68">
        <f>INDEX('Scenario Manager'!$F$4:$J$33,MATCH(model!$B93,'Scenario Manager'!$C$4:$C$33,0),MATCH(model!X$73,'Scenario Manager'!$F$3:$J$3,0))</f>
        <v>0.25</v>
      </c>
      <c r="Y93" s="68">
        <f>INDEX('Scenario Manager'!$F$4:$J$33,MATCH(model!$B93,'Scenario Manager'!$C$4:$C$33,0),MATCH(model!Y$73,'Scenario Manager'!$F$3:$J$3,0))</f>
        <v>0.25</v>
      </c>
      <c r="Z93" s="68">
        <f>INDEX('Scenario Manager'!$F$4:$J$33,MATCH(model!$B93,'Scenario Manager'!$C$4:$C$33,0),MATCH(model!Z$73,'Scenario Manager'!$F$3:$J$3,0))</f>
        <v>0.25</v>
      </c>
      <c r="AA93" s="68">
        <f>INDEX('Scenario Manager'!$F$4:$J$33,MATCH(model!$B93,'Scenario Manager'!$C$4:$C$33,0),MATCH(model!AA$73,'Scenario Manager'!$F$3:$J$3,0))</f>
        <v>0.25</v>
      </c>
      <c r="AB93" s="68">
        <f>INDEX('Scenario Manager'!$F$4:$J$33,MATCH(model!$B93,'Scenario Manager'!$C$4:$C$33,0),MATCH(model!AB$73,'Scenario Manager'!$F$3:$J$3,0))</f>
        <v>0.25</v>
      </c>
    </row>
    <row r="94" spans="2:28" x14ac:dyDescent="0.2">
      <c r="B94" s="45" t="s">
        <v>459</v>
      </c>
      <c r="M94" s="59">
        <f t="shared" si="70"/>
        <v>4.049578818183986E-2</v>
      </c>
      <c r="N94" s="49">
        <f>N41/N3</f>
        <v>2.9660595935099971E-2</v>
      </c>
      <c r="O94" s="49">
        <f t="shared" ref="O94:W94" si="78">O41/O3</f>
        <v>4.7833304429446902E-2</v>
      </c>
      <c r="P94" s="49">
        <f t="shared" si="78"/>
        <v>3.9743554508408684E-2</v>
      </c>
      <c r="Q94" s="49">
        <f t="shared" si="78"/>
        <v>3.8591455347049365E-2</v>
      </c>
      <c r="R94" s="49">
        <f t="shared" si="78"/>
        <v>4.1640970054009782E-2</v>
      </c>
      <c r="S94" s="49">
        <f t="shared" si="78"/>
        <v>3.4875290084783885E-2</v>
      </c>
      <c r="T94" s="49">
        <f t="shared" si="78"/>
        <v>4.6069471956127622E-2</v>
      </c>
      <c r="U94" s="49">
        <f t="shared" si="78"/>
        <v>4.1384263491693829E-2</v>
      </c>
      <c r="V94" s="49">
        <f t="shared" si="78"/>
        <v>3.8847622584405189E-2</v>
      </c>
      <c r="W94" s="49">
        <f t="shared" si="78"/>
        <v>4.6311353427373407E-2</v>
      </c>
      <c r="X94" s="68">
        <f>INDEX('Scenario Manager'!$F$4:$J$33,MATCH(model!$B94,'Scenario Manager'!$C$4:$C$33,0),MATCH(model!X$73,'Scenario Manager'!$F$3:$J$3,0))</f>
        <v>0.04</v>
      </c>
      <c r="Y94" s="68">
        <f>INDEX('Scenario Manager'!$F$4:$J$33,MATCH(model!$B94,'Scenario Manager'!$C$4:$C$33,0),MATCH(model!Y$73,'Scenario Manager'!$F$3:$J$3,0))</f>
        <v>0.04</v>
      </c>
      <c r="Z94" s="68">
        <f>INDEX('Scenario Manager'!$F$4:$J$33,MATCH(model!$B94,'Scenario Manager'!$C$4:$C$33,0),MATCH(model!Z$73,'Scenario Manager'!$F$3:$J$3,0))</f>
        <v>0.04</v>
      </c>
      <c r="AA94" s="68">
        <f>INDEX('Scenario Manager'!$F$4:$J$33,MATCH(model!$B94,'Scenario Manager'!$C$4:$C$33,0),MATCH(model!AA$73,'Scenario Manager'!$F$3:$J$3,0))</f>
        <v>0.04</v>
      </c>
      <c r="AB94" s="68">
        <f>INDEX('Scenario Manager'!$F$4:$J$33,MATCH(model!$B94,'Scenario Manager'!$C$4:$C$33,0),MATCH(model!AB$73,'Scenario Manager'!$F$3:$J$3,0))</f>
        <v>0.04</v>
      </c>
    </row>
    <row r="95" spans="2:28" x14ac:dyDescent="0.2">
      <c r="B95" s="46"/>
      <c r="X95" s="69"/>
      <c r="Y95" s="69"/>
      <c r="Z95" s="69"/>
      <c r="AA95" s="69"/>
      <c r="AB95" s="69"/>
    </row>
    <row r="96" spans="2:28" x14ac:dyDescent="0.2">
      <c r="B96" s="34" t="s">
        <v>460</v>
      </c>
      <c r="X96" s="69"/>
      <c r="Y96" s="69"/>
      <c r="Z96" s="69"/>
      <c r="AA96" s="69"/>
      <c r="AB96" s="69"/>
    </row>
    <row r="97" spans="1:29" x14ac:dyDescent="0.2">
      <c r="B97" s="47" t="s">
        <v>461</v>
      </c>
      <c r="M97" s="59">
        <f>AVERAGE(O97:W97)</f>
        <v>4.5056349597100761E-4</v>
      </c>
      <c r="N97" s="49">
        <f t="shared" ref="N97:W97" si="79">IFERROR(N56/M56-1,0)</f>
        <v>0</v>
      </c>
      <c r="O97" s="49">
        <f t="shared" si="79"/>
        <v>0.10456598705896725</v>
      </c>
      <c r="P97" s="49">
        <f t="shared" si="79"/>
        <v>-0.18871925946394097</v>
      </c>
      <c r="Q97" s="49">
        <f t="shared" si="79"/>
        <v>-0.11805928083037398</v>
      </c>
      <c r="R97" s="49">
        <f t="shared" si="79"/>
        <v>0.99438093766895808</v>
      </c>
      <c r="S97" s="49">
        <f t="shared" si="79"/>
        <v>0.1873577963886337</v>
      </c>
      <c r="T97" s="49">
        <f t="shared" si="79"/>
        <v>9.3016950534609455E-2</v>
      </c>
      <c r="U97" s="49">
        <f t="shared" si="79"/>
        <v>-1.3196704801053389</v>
      </c>
      <c r="V97" s="49">
        <f t="shared" si="79"/>
        <v>-1.9323333274989929</v>
      </c>
      <c r="W97" s="49">
        <f t="shared" si="79"/>
        <v>2.1835157477112173</v>
      </c>
      <c r="X97" s="68">
        <f>INDEX('Scenario Manager'!$F$4:$J$33,MATCH(model!$B97,'Scenario Manager'!$C$4:$C$33,0),MATCH(model!X$73,'Scenario Manager'!$F$3:$J$3,0))</f>
        <v>-0.02</v>
      </c>
      <c r="Y97" s="68">
        <f>INDEX('Scenario Manager'!$F$4:$J$33,MATCH(model!$B97,'Scenario Manager'!$C$4:$C$33,0),MATCH(model!Y$73,'Scenario Manager'!$F$3:$J$3,0))</f>
        <v>0.25</v>
      </c>
      <c r="Z97" s="68">
        <f>INDEX('Scenario Manager'!$F$4:$J$33,MATCH(model!$B97,'Scenario Manager'!$C$4:$C$33,0),MATCH(model!Z$73,'Scenario Manager'!$F$3:$J$3,0))</f>
        <v>0.3</v>
      </c>
      <c r="AA97" s="68">
        <f>INDEX('Scenario Manager'!$F$4:$J$33,MATCH(model!$B97,'Scenario Manager'!$C$4:$C$33,0),MATCH(model!AA$73,'Scenario Manager'!$F$3:$J$3,0))</f>
        <v>0.1</v>
      </c>
      <c r="AB97" s="68">
        <f>INDEX('Scenario Manager'!$F$4:$J$33,MATCH(model!$B97,'Scenario Manager'!$C$4:$C$33,0),MATCH(model!AB$73,'Scenario Manager'!$F$3:$J$3,0))</f>
        <v>0.1</v>
      </c>
    </row>
    <row r="98" spans="1:29" x14ac:dyDescent="0.2">
      <c r="B98" s="47" t="s">
        <v>462</v>
      </c>
      <c r="M98" s="59">
        <f t="shared" ref="M98" si="80">AVERAGE(N98:W98)</f>
        <v>0.13200796177914245</v>
      </c>
      <c r="N98" s="49">
        <f>N51/-(N6+N8)</f>
        <v>0.11462849307237089</v>
      </c>
      <c r="O98" s="49">
        <f t="shared" ref="O98:W98" si="81">O51/-(O6+O8)</f>
        <v>0.10672411386532887</v>
      </c>
      <c r="P98" s="49">
        <f t="shared" si="81"/>
        <v>9.6957934771930307E-2</v>
      </c>
      <c r="Q98" s="49">
        <f t="shared" si="81"/>
        <v>9.471056884985625E-2</v>
      </c>
      <c r="R98" s="49">
        <f t="shared" si="81"/>
        <v>9.9424947779266484E-2</v>
      </c>
      <c r="S98" s="49">
        <f t="shared" si="81"/>
        <v>0.11484328919803932</v>
      </c>
      <c r="T98" s="49">
        <f t="shared" si="81"/>
        <v>0.1324663085477335</v>
      </c>
      <c r="U98" s="49">
        <f t="shared" si="81"/>
        <v>0.16260430441809928</v>
      </c>
      <c r="V98" s="49">
        <f t="shared" si="81"/>
        <v>0.18385285570535065</v>
      </c>
      <c r="W98" s="49">
        <f t="shared" si="81"/>
        <v>0.21386680158344898</v>
      </c>
      <c r="X98" s="68">
        <f>INDEX('Scenario Manager'!$F$4:$J$33,MATCH(model!$B98,'Scenario Manager'!$C$4:$C$33,0),MATCH(model!X$73,'Scenario Manager'!$F$3:$J$3,0))</f>
        <v>0.2</v>
      </c>
      <c r="Y98" s="68">
        <f>INDEX('Scenario Manager'!$F$4:$J$33,MATCH(model!$B98,'Scenario Manager'!$C$4:$C$33,0),MATCH(model!Y$73,'Scenario Manager'!$F$3:$J$3,0))</f>
        <v>0.2</v>
      </c>
      <c r="Z98" s="68">
        <f>INDEX('Scenario Manager'!$F$4:$J$33,MATCH(model!$B98,'Scenario Manager'!$C$4:$C$33,0),MATCH(model!Z$73,'Scenario Manager'!$F$3:$J$3,0))</f>
        <v>0.2</v>
      </c>
      <c r="AA98" s="68">
        <f>INDEX('Scenario Manager'!$F$4:$J$33,MATCH(model!$B98,'Scenario Manager'!$C$4:$C$33,0),MATCH(model!AA$73,'Scenario Manager'!$F$3:$J$3,0))</f>
        <v>0.2</v>
      </c>
      <c r="AB98" s="68">
        <f>INDEX('Scenario Manager'!$F$4:$J$33,MATCH(model!$B98,'Scenario Manager'!$C$4:$C$33,0),MATCH(model!AB$73,'Scenario Manager'!$F$3:$J$3,0))</f>
        <v>0.2</v>
      </c>
    </row>
    <row r="101" spans="1:29" x14ac:dyDescent="0.2">
      <c r="A101" s="28" t="s">
        <v>452</v>
      </c>
      <c r="B101" s="28" t="s">
        <v>470</v>
      </c>
    </row>
    <row r="103" spans="1:29" x14ac:dyDescent="0.2">
      <c r="B103" s="75" t="s">
        <v>401</v>
      </c>
    </row>
    <row r="104" spans="1:29" x14ac:dyDescent="0.2">
      <c r="B104" s="78" t="s">
        <v>473</v>
      </c>
      <c r="N104" s="76">
        <f>N23</f>
        <v>926.07799999999997</v>
      </c>
      <c r="O104" s="76">
        <f t="shared" ref="O104:AB104" si="82">O23</f>
        <v>1052.8630000000001</v>
      </c>
      <c r="P104" s="76">
        <f t="shared" si="82"/>
        <v>919.64599999999996</v>
      </c>
      <c r="Q104" s="76">
        <f t="shared" si="82"/>
        <v>894.404</v>
      </c>
      <c r="R104" s="76">
        <f t="shared" si="82"/>
        <v>1013.9849999999999</v>
      </c>
      <c r="S104" s="76">
        <f t="shared" si="82"/>
        <v>1239.2909999999999</v>
      </c>
      <c r="T104" s="76">
        <f t="shared" si="82"/>
        <v>1604.029</v>
      </c>
      <c r="U104" s="76">
        <f t="shared" si="82"/>
        <v>1148.3409999999999</v>
      </c>
      <c r="V104" s="76">
        <f t="shared" si="82"/>
        <v>1115.3710000000001</v>
      </c>
      <c r="W104" s="76">
        <f t="shared" si="82"/>
        <v>1251.2060000000001</v>
      </c>
      <c r="X104" s="76">
        <f t="shared" si="82"/>
        <v>1283.1276084566668</v>
      </c>
      <c r="Y104" s="76">
        <f t="shared" si="82"/>
        <v>1426.7347740923335</v>
      </c>
      <c r="Z104" s="76">
        <f t="shared" si="82"/>
        <v>1744.4763298852104</v>
      </c>
      <c r="AA104" s="76">
        <f t="shared" si="82"/>
        <v>2210.4319409709983</v>
      </c>
      <c r="AB104" s="76">
        <f t="shared" si="82"/>
        <v>2747.6959795170178</v>
      </c>
    </row>
    <row r="105" spans="1:29" x14ac:dyDescent="0.2">
      <c r="B105" s="78" t="s">
        <v>471</v>
      </c>
      <c r="O105" s="30">
        <f>+(N104+O104)/2</f>
        <v>989.47050000000002</v>
      </c>
      <c r="P105" s="30">
        <f t="shared" ref="P105:W105" si="83">+(O104+P104)/2</f>
        <v>986.25450000000001</v>
      </c>
      <c r="Q105" s="30">
        <f t="shared" si="83"/>
        <v>907.02499999999998</v>
      </c>
      <c r="R105" s="30">
        <f t="shared" si="83"/>
        <v>954.19449999999995</v>
      </c>
      <c r="S105" s="30">
        <f t="shared" si="83"/>
        <v>1126.6379999999999</v>
      </c>
      <c r="T105" s="30">
        <f t="shared" si="83"/>
        <v>1421.6599999999999</v>
      </c>
      <c r="U105" s="30">
        <f t="shared" si="83"/>
        <v>1376.1849999999999</v>
      </c>
      <c r="V105" s="30">
        <f t="shared" si="83"/>
        <v>1131.856</v>
      </c>
      <c r="W105" s="30">
        <f t="shared" si="83"/>
        <v>1183.2885000000001</v>
      </c>
      <c r="X105" s="30">
        <f t="shared" ref="X105" si="84">+(W104+X104)/2</f>
        <v>1267.1668042283336</v>
      </c>
      <c r="Y105" s="30">
        <f t="shared" ref="Y105" si="85">+(X104+Y104)/2</f>
        <v>1354.9311912745002</v>
      </c>
      <c r="Z105" s="30">
        <f t="shared" ref="Z105" si="86">+(Y104+Z104)/2</f>
        <v>1585.6055519887718</v>
      </c>
      <c r="AA105" s="30">
        <f t="shared" ref="AA105" si="87">+(Z104+AA104)/2</f>
        <v>1977.4541354281043</v>
      </c>
      <c r="AB105" s="30">
        <f t="shared" ref="AB105" si="88">+(AA104+AB104)/2</f>
        <v>2479.0639602440078</v>
      </c>
    </row>
    <row r="106" spans="1:29" x14ac:dyDescent="0.2">
      <c r="B106" s="78" t="s">
        <v>472</v>
      </c>
      <c r="M106" s="75" t="s">
        <v>480</v>
      </c>
      <c r="O106" s="79">
        <f t="shared" ref="O106:W106" si="89">O107/O105</f>
        <v>-1.2702753644499762E-2</v>
      </c>
      <c r="P106" s="79">
        <f t="shared" si="89"/>
        <v>9.2572454675745458E-4</v>
      </c>
      <c r="Q106" s="79">
        <f t="shared" si="89"/>
        <v>-1.3262037981312534E-2</v>
      </c>
      <c r="R106" s="79">
        <f t="shared" si="89"/>
        <v>4.0620649144383035E-3</v>
      </c>
      <c r="S106" s="79">
        <f t="shared" si="89"/>
        <v>8.5564307257521939E-4</v>
      </c>
      <c r="T106" s="79">
        <f t="shared" si="89"/>
        <v>-1.2436166171939846E-3</v>
      </c>
      <c r="U106" s="79">
        <f t="shared" si="89"/>
        <v>4.9026838688112431E-3</v>
      </c>
      <c r="V106" s="79">
        <f t="shared" si="89"/>
        <v>5.301734496261009E-2</v>
      </c>
      <c r="W106" s="79">
        <f t="shared" si="89"/>
        <v>4.2475693797412888E-2</v>
      </c>
      <c r="X106" s="82">
        <f>INDEX('Scenario Manager'!$F$4:$J$33,MATCH(model!$M106,'Scenario Manager'!$C$4:$C$33,0),MATCH(model!X$73,'Scenario Manager'!$F$3:$J$3,0))</f>
        <v>4.1099999999999998E-2</v>
      </c>
      <c r="Y106" s="82">
        <f>INDEX('Scenario Manager'!$F$4:$J$33,MATCH(model!$M106,'Scenario Manager'!$C$4:$C$33,0),MATCH(model!Y$73,'Scenario Manager'!$F$3:$J$3,0))</f>
        <v>3.3599999999999998E-2</v>
      </c>
      <c r="Z106" s="82">
        <f>INDEX('Scenario Manager'!$F$4:$J$33,MATCH(model!$M106,'Scenario Manager'!$C$4:$C$33,0),MATCH(model!Z$73,'Scenario Manager'!$F$3:$J$3,0))</f>
        <v>3.4099999999999998E-2</v>
      </c>
      <c r="AA106" s="82">
        <f>INDEX('Scenario Manager'!$F$4:$J$33,MATCH(model!$M106,'Scenario Manager'!$C$4:$C$33,0),MATCH(model!AA$73,'Scenario Manager'!$F$3:$J$3,0))</f>
        <v>3.56E-2</v>
      </c>
      <c r="AB106" s="82">
        <f>INDEX('Scenario Manager'!$F$4:$J$33,MATCH(model!$M106,'Scenario Manager'!$C$4:$C$33,0),MATCH(model!AB$73,'Scenario Manager'!$F$3:$J$3,0))</f>
        <v>3.7100000000000001E-2</v>
      </c>
    </row>
    <row r="107" spans="1:29" x14ac:dyDescent="0.2">
      <c r="B107" s="78" t="s">
        <v>474</v>
      </c>
      <c r="N107" s="31"/>
      <c r="O107" s="77">
        <v>-12.569000000000001</v>
      </c>
      <c r="P107" s="77">
        <v>0.91300000000000003</v>
      </c>
      <c r="Q107" s="77">
        <v>-12.029</v>
      </c>
      <c r="R107" s="77">
        <v>3.8759999999999999</v>
      </c>
      <c r="S107" s="77">
        <v>0.96399999999999997</v>
      </c>
      <c r="T107" s="77">
        <v>-1.768</v>
      </c>
      <c r="U107" s="77">
        <v>6.7469999999999999</v>
      </c>
      <c r="V107" s="77">
        <v>60.008000000000003</v>
      </c>
      <c r="W107" s="77">
        <v>50.261000000000003</v>
      </c>
      <c r="X107" s="30">
        <f>X106*X105</f>
        <v>52.080555653784508</v>
      </c>
      <c r="Y107" s="30">
        <f>Y106*Y105</f>
        <v>45.525688026823204</v>
      </c>
      <c r="Z107" s="30">
        <f>Z106*Z105</f>
        <v>54.069149322817118</v>
      </c>
      <c r="AA107" s="30">
        <f>AA106*AA105</f>
        <v>70.397367221240515</v>
      </c>
      <c r="AB107" s="30">
        <f>AB106*AB105</f>
        <v>91.973272925052697</v>
      </c>
    </row>
    <row r="109" spans="1:29" x14ac:dyDescent="0.2">
      <c r="B109" s="75" t="s">
        <v>410</v>
      </c>
    </row>
    <row r="110" spans="1:29" x14ac:dyDescent="0.2">
      <c r="B110" s="78" t="s">
        <v>475</v>
      </c>
    </row>
    <row r="111" spans="1:29" x14ac:dyDescent="0.2">
      <c r="B111" s="78" t="s">
        <v>476</v>
      </c>
      <c r="M111" s="80">
        <v>2030</v>
      </c>
      <c r="W111" s="77">
        <v>1158.3</v>
      </c>
      <c r="X111" s="72">
        <f>W111</f>
        <v>1158.3</v>
      </c>
      <c r="Y111" s="72">
        <f t="shared" ref="Y111:AC111" si="90">X111</f>
        <v>1158.3</v>
      </c>
      <c r="Z111" s="72">
        <f t="shared" si="90"/>
        <v>1158.3</v>
      </c>
      <c r="AA111" s="72">
        <f t="shared" si="90"/>
        <v>1158.3</v>
      </c>
      <c r="AB111" s="72">
        <f t="shared" si="90"/>
        <v>1158.3</v>
      </c>
      <c r="AC111" s="72">
        <f t="shared" si="90"/>
        <v>1158.3</v>
      </c>
    </row>
    <row r="112" spans="1:29" x14ac:dyDescent="0.2">
      <c r="B112" s="78" t="s">
        <v>477</v>
      </c>
    </row>
    <row r="113" spans="2:29" x14ac:dyDescent="0.2">
      <c r="B113" s="78" t="s">
        <v>478</v>
      </c>
      <c r="M113" s="80">
        <v>2030</v>
      </c>
      <c r="W113" s="77">
        <v>400</v>
      </c>
      <c r="X113" s="72">
        <f>W113</f>
        <v>400</v>
      </c>
      <c r="Y113" s="72">
        <f t="shared" ref="Y113:AC113" si="91">X113</f>
        <v>400</v>
      </c>
      <c r="Z113" s="72">
        <f t="shared" si="91"/>
        <v>400</v>
      </c>
      <c r="AA113" s="72">
        <f t="shared" si="91"/>
        <v>400</v>
      </c>
      <c r="AB113" s="72">
        <f t="shared" si="91"/>
        <v>400</v>
      </c>
      <c r="AC113" s="72">
        <f t="shared" si="91"/>
        <v>400</v>
      </c>
    </row>
    <row r="114" spans="2:29" x14ac:dyDescent="0.2">
      <c r="B114" s="78" t="s">
        <v>481</v>
      </c>
    </row>
    <row r="115" spans="2:29" x14ac:dyDescent="0.2">
      <c r="B115" s="78" t="s">
        <v>475</v>
      </c>
    </row>
    <row r="116" spans="2:29" x14ac:dyDescent="0.2">
      <c r="B116" s="78" t="s">
        <v>476</v>
      </c>
      <c r="M116" s="83">
        <v>0.02</v>
      </c>
      <c r="X116" s="72">
        <f>($M$116+X$106)*X111</f>
        <v>70.772130000000004</v>
      </c>
      <c r="Y116" s="72">
        <f>($M$116+Y$106)*Y111</f>
        <v>62.084879999999991</v>
      </c>
      <c r="Z116" s="72">
        <f>($M$116+Z$106)*Z111</f>
        <v>62.66402999999999</v>
      </c>
      <c r="AA116" s="72">
        <f>($M$116+AA$106)*AA111</f>
        <v>64.401479999999992</v>
      </c>
      <c r="AB116" s="72">
        <f>($M$116+AB$106)*AB111</f>
        <v>66.138930000000002</v>
      </c>
    </row>
    <row r="117" spans="2:29" x14ac:dyDescent="0.2">
      <c r="B117" s="78" t="s">
        <v>477</v>
      </c>
      <c r="M117" s="80"/>
      <c r="X117" s="72"/>
      <c r="Y117" s="72"/>
      <c r="Z117" s="72"/>
      <c r="AA117" s="72"/>
      <c r="AB117" s="72"/>
    </row>
    <row r="118" spans="2:29" x14ac:dyDescent="0.2">
      <c r="B118" s="78" t="s">
        <v>478</v>
      </c>
      <c r="M118" s="83">
        <v>0.04</v>
      </c>
      <c r="X118" s="72">
        <f>$M$118*X113</f>
        <v>16</v>
      </c>
      <c r="Y118" s="72">
        <f t="shared" ref="Y118:AB118" si="92">$M$118*Y113</f>
        <v>16</v>
      </c>
      <c r="Z118" s="72">
        <f t="shared" si="92"/>
        <v>16</v>
      </c>
      <c r="AA118" s="72">
        <f t="shared" si="92"/>
        <v>16</v>
      </c>
      <c r="AB118" s="72">
        <f t="shared" si="92"/>
        <v>16</v>
      </c>
    </row>
    <row r="119" spans="2:29" x14ac:dyDescent="0.2">
      <c r="B119" s="78"/>
      <c r="M119" s="83"/>
      <c r="X119" s="72"/>
      <c r="Y119" s="72"/>
      <c r="Z119" s="72"/>
      <c r="AA119" s="72"/>
      <c r="AB119" s="72"/>
    </row>
    <row r="120" spans="2:29" x14ac:dyDescent="0.2">
      <c r="B120" s="78" t="s">
        <v>484</v>
      </c>
    </row>
    <row r="121" spans="2:29" x14ac:dyDescent="0.2">
      <c r="B121" s="78" t="s">
        <v>485</v>
      </c>
      <c r="X121" s="72">
        <f>X111+X113</f>
        <v>1558.3</v>
      </c>
      <c r="Y121" s="72">
        <f>Y111+Y113</f>
        <v>1558.3</v>
      </c>
      <c r="Z121" s="72">
        <f>Z111+Z113</f>
        <v>1558.3</v>
      </c>
      <c r="AA121" s="72">
        <f>AA111+AA113</f>
        <v>1558.3</v>
      </c>
      <c r="AB121" s="72">
        <f>AB111+AB113</f>
        <v>1558.3</v>
      </c>
    </row>
    <row r="122" spans="2:29" x14ac:dyDescent="0.2">
      <c r="B122" s="78" t="s">
        <v>483</v>
      </c>
      <c r="X122" s="72">
        <f>Y111+Y113-X111-X113</f>
        <v>0</v>
      </c>
      <c r="Y122" s="72">
        <f>Z111+Z113-Y111-Y113</f>
        <v>0</v>
      </c>
      <c r="Z122" s="72">
        <f>AA111+AA113-Z111-Z113</f>
        <v>0</v>
      </c>
      <c r="AA122" s="72">
        <f>AB111+AB113-AA111-AA113</f>
        <v>0</v>
      </c>
      <c r="AB122" s="72">
        <f>AC111+AC113-AB111-AB113</f>
        <v>0</v>
      </c>
    </row>
    <row r="123" spans="2:29" x14ac:dyDescent="0.2">
      <c r="B123" s="78" t="s">
        <v>486</v>
      </c>
      <c r="X123" s="72">
        <f>X120+X121+X122</f>
        <v>1558.3</v>
      </c>
      <c r="Y123" s="72">
        <f t="shared" ref="Y123:AB123" si="93">Y120+Y121+Y122</f>
        <v>1558.3</v>
      </c>
      <c r="Z123" s="72">
        <f t="shared" si="93"/>
        <v>1558.3</v>
      </c>
      <c r="AA123" s="72">
        <f t="shared" si="93"/>
        <v>1558.3</v>
      </c>
      <c r="AB123" s="72">
        <f t="shared" si="93"/>
        <v>1558.3</v>
      </c>
    </row>
    <row r="124" spans="2:29" x14ac:dyDescent="0.2">
      <c r="B124" s="78" t="s">
        <v>488</v>
      </c>
      <c r="X124" s="74">
        <v>0</v>
      </c>
      <c r="Y124" s="74">
        <v>0</v>
      </c>
      <c r="Z124" s="74">
        <v>0</v>
      </c>
      <c r="AA124" s="74">
        <v>0</v>
      </c>
      <c r="AB124" s="74">
        <v>0</v>
      </c>
    </row>
    <row r="125" spans="2:29" x14ac:dyDescent="0.2">
      <c r="B125" s="75" t="s">
        <v>487</v>
      </c>
    </row>
    <row r="126" spans="2:29" x14ac:dyDescent="0.2">
      <c r="B126" s="78" t="s">
        <v>489</v>
      </c>
      <c r="V126" s="77">
        <v>52.145000000000003</v>
      </c>
      <c r="W126" s="77">
        <v>47.917000000000002</v>
      </c>
    </row>
    <row r="127" spans="2:29" x14ac:dyDescent="0.2">
      <c r="B127" s="78" t="s">
        <v>490</v>
      </c>
      <c r="U127" s="77">
        <v>4.601</v>
      </c>
      <c r="V127" s="77">
        <v>4.069</v>
      </c>
      <c r="W127" s="77">
        <v>3.7690000000000001</v>
      </c>
      <c r="X127" s="72">
        <f>W127</f>
        <v>3.7690000000000001</v>
      </c>
      <c r="Y127" s="72">
        <f t="shared" ref="Y127:AB127" si="94">X127</f>
        <v>3.7690000000000001</v>
      </c>
      <c r="Z127" s="72">
        <f t="shared" si="94"/>
        <v>3.7690000000000001</v>
      </c>
      <c r="AA127" s="72">
        <f t="shared" si="94"/>
        <v>3.7690000000000001</v>
      </c>
      <c r="AB127" s="72">
        <f t="shared" si="94"/>
        <v>3.7690000000000001</v>
      </c>
    </row>
    <row r="128" spans="2:29" x14ac:dyDescent="0.2">
      <c r="B128" s="78" t="s">
        <v>472</v>
      </c>
      <c r="V128" s="84">
        <v>7.5600000000000001E-2</v>
      </c>
      <c r="W128" s="84">
        <v>7.5600000000000001E-2</v>
      </c>
    </row>
    <row r="129" spans="1:28" x14ac:dyDescent="0.2">
      <c r="B129" s="85" t="s">
        <v>482</v>
      </c>
      <c r="N129" s="65">
        <f>IS_Static!D36</f>
        <v>-51.179000000000002</v>
      </c>
      <c r="O129" s="65">
        <f>IS_Static!E36</f>
        <v>-56.655999999999999</v>
      </c>
      <c r="P129" s="65">
        <f>IS_Static!F36</f>
        <v>-55.851999999999997</v>
      </c>
      <c r="Q129" s="65">
        <f>IS_Static!G36</f>
        <v>-55.249000000000002</v>
      </c>
      <c r="R129" s="65">
        <f>IS_Static!H36</f>
        <v>-37.451999999999998</v>
      </c>
      <c r="S129" s="65">
        <f>IS_Static!I36</f>
        <v>-31.321000000000002</v>
      </c>
      <c r="T129" s="65">
        <f>IS_Static!J36</f>
        <v>-30.837</v>
      </c>
      <c r="U129" s="65">
        <f>IS_Static!K36</f>
        <v>-47.05</v>
      </c>
      <c r="V129" s="65">
        <f>IS_Static!L36</f>
        <v>-88.025999999999996</v>
      </c>
      <c r="W129" s="65">
        <f>IS_Static!M36</f>
        <v>-97.028000000000006</v>
      </c>
      <c r="X129" s="72">
        <f>-(X116+X118)-X127-X124</f>
        <v>-90.54113000000001</v>
      </c>
      <c r="Y129" s="72">
        <f t="shared" ref="Y129:AB129" si="95">-(Y116+Y118)-Y127-Y124</f>
        <v>-81.853880000000004</v>
      </c>
      <c r="Z129" s="72">
        <f t="shared" si="95"/>
        <v>-82.433030000000002</v>
      </c>
      <c r="AA129" s="72">
        <f t="shared" si="95"/>
        <v>-84.170479999999998</v>
      </c>
      <c r="AB129" s="72">
        <f t="shared" si="95"/>
        <v>-85.907930000000007</v>
      </c>
    </row>
    <row r="132" spans="1:28" x14ac:dyDescent="0.2">
      <c r="A132" s="28" t="s">
        <v>452</v>
      </c>
      <c r="B132" s="28" t="s">
        <v>495</v>
      </c>
    </row>
    <row r="134" spans="1:28" x14ac:dyDescent="0.2">
      <c r="B134" s="75" t="s">
        <v>501</v>
      </c>
      <c r="O134" s="65">
        <f>N43</f>
        <v>6641.7919999999995</v>
      </c>
      <c r="P134" s="65">
        <f t="shared" ref="P134:W134" si="96">O43</f>
        <v>6716.8760000000002</v>
      </c>
      <c r="Q134" s="65">
        <f t="shared" si="96"/>
        <v>6811.6120000000001</v>
      </c>
      <c r="R134" s="65">
        <f t="shared" si="96"/>
        <v>6882.7659999999996</v>
      </c>
      <c r="S134" s="65">
        <f t="shared" si="96"/>
        <v>6839.2579999999998</v>
      </c>
      <c r="T134" s="65">
        <f t="shared" si="96"/>
        <v>6828.0770000000002</v>
      </c>
      <c r="U134" s="65">
        <f t="shared" si="96"/>
        <v>6804.7110000000002</v>
      </c>
      <c r="V134" s="65">
        <f t="shared" si="96"/>
        <v>6391.7360000000008</v>
      </c>
      <c r="W134" s="65">
        <f t="shared" si="96"/>
        <v>6263.5309999999999</v>
      </c>
      <c r="X134" s="72">
        <f>W142</f>
        <v>6153.1570000000002</v>
      </c>
      <c r="Y134" s="72">
        <f t="shared" ref="Y134:AB134" si="97">X142</f>
        <v>5983.2243052566664</v>
      </c>
      <c r="Z134" s="72">
        <f t="shared" si="97"/>
        <v>5829.6316743723328</v>
      </c>
      <c r="AA134" s="72">
        <f t="shared" si="97"/>
        <v>5692.215706708409</v>
      </c>
      <c r="AB134" s="72">
        <f t="shared" si="97"/>
        <v>5645.047802930857</v>
      </c>
    </row>
    <row r="135" spans="1:28" x14ac:dyDescent="0.2">
      <c r="B135" s="78" t="s">
        <v>504</v>
      </c>
      <c r="N135" s="65">
        <f>N51</f>
        <v>55.34</v>
      </c>
      <c r="O135" s="65">
        <f t="shared" ref="O135:W135" si="98">O51</f>
        <v>51.993000000000002</v>
      </c>
      <c r="P135" s="65">
        <f t="shared" si="98"/>
        <v>48.36</v>
      </c>
      <c r="Q135" s="65">
        <f t="shared" si="98"/>
        <v>52.972000000000001</v>
      </c>
      <c r="R135" s="65">
        <f t="shared" si="98"/>
        <v>59.735999999999997</v>
      </c>
      <c r="S135" s="65">
        <f t="shared" si="98"/>
        <v>67.757999999999996</v>
      </c>
      <c r="T135" s="65">
        <f t="shared" si="98"/>
        <v>84.335999999999999</v>
      </c>
      <c r="U135" s="65">
        <f t="shared" si="98"/>
        <v>105.131</v>
      </c>
      <c r="V135" s="65">
        <f t="shared" si="98"/>
        <v>130.45500000000001</v>
      </c>
      <c r="W135" s="65">
        <f t="shared" si="98"/>
        <v>156.404</v>
      </c>
      <c r="X135" s="72">
        <f>X51</f>
        <v>155.61965580000003</v>
      </c>
      <c r="Y135" s="72">
        <f t="shared" ref="Y135:AB135" si="99">Y51</f>
        <v>171.18162138000002</v>
      </c>
      <c r="Z135" s="72">
        <f t="shared" si="99"/>
        <v>186.58796730420011</v>
      </c>
      <c r="AA135" s="72">
        <f t="shared" si="99"/>
        <v>193.17342497376009</v>
      </c>
      <c r="AB135" s="72">
        <f t="shared" si="99"/>
        <v>199.2100945041901</v>
      </c>
    </row>
    <row r="136" spans="1:28" x14ac:dyDescent="0.2">
      <c r="B136" s="78" t="s">
        <v>505</v>
      </c>
      <c r="N136" s="65">
        <f>N65</f>
        <v>0</v>
      </c>
      <c r="O136" s="65">
        <f t="shared" ref="O136:V136" si="100">O65</f>
        <v>0</v>
      </c>
      <c r="P136" s="65">
        <f t="shared" si="100"/>
        <v>0</v>
      </c>
      <c r="Q136" s="65">
        <f t="shared" si="100"/>
        <v>-4.7569999999999997</v>
      </c>
      <c r="R136" s="65">
        <f t="shared" si="100"/>
        <v>-29.059000000000001</v>
      </c>
      <c r="S136" s="65">
        <f t="shared" si="100"/>
        <v>-32.472000000000001</v>
      </c>
      <c r="T136" s="65">
        <f t="shared" si="100"/>
        <v>-44.070999999999998</v>
      </c>
      <c r="U136" s="65">
        <f t="shared" si="100"/>
        <v>-48.454000000000001</v>
      </c>
      <c r="V136" s="65">
        <f t="shared" si="100"/>
        <v>-38.506</v>
      </c>
      <c r="W136" s="65">
        <f>W65</f>
        <v>-46.567</v>
      </c>
      <c r="X136" s="72">
        <f>-X137*X135</f>
        <v>-46.685896740000011</v>
      </c>
      <c r="Y136" s="72">
        <f t="shared" ref="Y136:AB136" si="101">-Y137*Y135</f>
        <v>-51.354486414000007</v>
      </c>
      <c r="Z136" s="72">
        <f t="shared" si="101"/>
        <v>-55.97639019126003</v>
      </c>
      <c r="AA136" s="72">
        <f t="shared" si="101"/>
        <v>-57.952027492128025</v>
      </c>
      <c r="AB136" s="72">
        <f t="shared" si="101"/>
        <v>-59.763028351257027</v>
      </c>
    </row>
    <row r="137" spans="1:28" x14ac:dyDescent="0.2">
      <c r="B137" s="47" t="s">
        <v>506</v>
      </c>
      <c r="N137" s="88">
        <f>-N136/N135</f>
        <v>0</v>
      </c>
      <c r="O137" s="88">
        <f t="shared" ref="O137:W137" si="102">-O136/O135</f>
        <v>0</v>
      </c>
      <c r="P137" s="88">
        <f t="shared" si="102"/>
        <v>0</v>
      </c>
      <c r="Q137" s="88">
        <f t="shared" si="102"/>
        <v>8.9802159631503425E-2</v>
      </c>
      <c r="R137" s="88">
        <f t="shared" si="102"/>
        <v>0.48645707780902642</v>
      </c>
      <c r="S137" s="88">
        <f t="shared" si="102"/>
        <v>0.47923492428938286</v>
      </c>
      <c r="T137" s="88">
        <f t="shared" si="102"/>
        <v>0.52256450388920506</v>
      </c>
      <c r="U137" s="88">
        <f t="shared" si="102"/>
        <v>0.46089164946590444</v>
      </c>
      <c r="V137" s="88">
        <f t="shared" si="102"/>
        <v>0.29516691579471843</v>
      </c>
      <c r="W137" s="88">
        <f t="shared" si="102"/>
        <v>0.29773535203703233</v>
      </c>
      <c r="X137" s="89">
        <v>0.3</v>
      </c>
      <c r="Y137" s="89">
        <v>0.3</v>
      </c>
      <c r="Z137" s="89">
        <v>0.3</v>
      </c>
      <c r="AA137" s="89">
        <v>0.3</v>
      </c>
      <c r="AB137" s="89">
        <v>0.3</v>
      </c>
    </row>
    <row r="138" spans="1:28" x14ac:dyDescent="0.2">
      <c r="B138" s="78" t="s">
        <v>507</v>
      </c>
      <c r="N138" s="65">
        <f>CF_Static!D81</f>
        <v>30.274999999999999</v>
      </c>
      <c r="O138" s="65">
        <f>CF_Static!E81</f>
        <v>23.091000000000001</v>
      </c>
      <c r="P138" s="65">
        <f>CF_Static!F81</f>
        <v>20.411999999999999</v>
      </c>
      <c r="Q138" s="65">
        <f>CF_Static!G81</f>
        <v>23.126999999999999</v>
      </c>
      <c r="R138" s="65">
        <f>CF_Static!H81</f>
        <v>22.946999999999999</v>
      </c>
      <c r="S138" s="65">
        <f>CF_Static!I81</f>
        <v>28.068000000000001</v>
      </c>
      <c r="T138" s="65">
        <f>CF_Static!J81</f>
        <v>28.457000000000001</v>
      </c>
      <c r="U138" s="65">
        <f>CF_Static!K81</f>
        <v>30.347999999999999</v>
      </c>
      <c r="V138" s="65">
        <f>CF_Static!L81</f>
        <v>31.356999999999999</v>
      </c>
      <c r="W138" s="65">
        <f>CF_Static!M81</f>
        <v>34.290999999999997</v>
      </c>
      <c r="X138" s="72">
        <f>X139*X51</f>
        <v>54.466879530000007</v>
      </c>
      <c r="Y138" s="72">
        <f t="shared" ref="Y138:AB138" si="103">Y139*Y51</f>
        <v>59.913567483000001</v>
      </c>
      <c r="Z138" s="72">
        <f t="shared" si="103"/>
        <v>65.305788556470034</v>
      </c>
      <c r="AA138" s="72">
        <f t="shared" si="103"/>
        <v>67.610698740816034</v>
      </c>
      <c r="AB138" s="72">
        <f t="shared" si="103"/>
        <v>69.723533076466524</v>
      </c>
    </row>
    <row r="139" spans="1:28" x14ac:dyDescent="0.2">
      <c r="B139" s="47" t="s">
        <v>499</v>
      </c>
      <c r="N139" s="88">
        <f>N138/N135</f>
        <v>0.5470726418503794</v>
      </c>
      <c r="O139" s="88">
        <f t="shared" ref="O139:W139" si="104">O138/O135</f>
        <v>0.44411747735272056</v>
      </c>
      <c r="P139" s="88">
        <f t="shared" si="104"/>
        <v>0.42208436724565757</v>
      </c>
      <c r="Q139" s="88">
        <f t="shared" si="104"/>
        <v>0.43658914143320998</v>
      </c>
      <c r="R139" s="88">
        <f t="shared" si="104"/>
        <v>0.38414021695460027</v>
      </c>
      <c r="S139" s="88">
        <f t="shared" si="104"/>
        <v>0.41423890905870897</v>
      </c>
      <c r="T139" s="88">
        <f t="shared" si="104"/>
        <v>0.33742411307152342</v>
      </c>
      <c r="U139" s="88">
        <f t="shared" si="104"/>
        <v>0.28866842320533431</v>
      </c>
      <c r="V139" s="88">
        <f t="shared" si="104"/>
        <v>0.24036640987313629</v>
      </c>
      <c r="W139" s="88">
        <f t="shared" si="104"/>
        <v>0.21924631083603999</v>
      </c>
      <c r="X139" s="89">
        <v>0.35</v>
      </c>
      <c r="Y139" s="89">
        <v>0.35</v>
      </c>
      <c r="Z139" s="89">
        <v>0.35</v>
      </c>
      <c r="AA139" s="89">
        <v>0.35</v>
      </c>
      <c r="AB139" s="89">
        <v>0.35</v>
      </c>
    </row>
    <row r="140" spans="1:28" x14ac:dyDescent="0.2">
      <c r="B140" s="78" t="s">
        <v>496</v>
      </c>
      <c r="D140" s="28" t="s">
        <v>498</v>
      </c>
      <c r="M140" s="87">
        <v>1000</v>
      </c>
      <c r="N140" s="65">
        <f>CF_Static!D80</f>
        <v>0</v>
      </c>
      <c r="O140" s="65">
        <f>CF_Static!E80</f>
        <v>0</v>
      </c>
      <c r="P140" s="65">
        <f>CF_Static!F80</f>
        <v>0</v>
      </c>
      <c r="Q140" s="65">
        <f>CF_Static!G80</f>
        <v>-110.98099999999999</v>
      </c>
      <c r="R140" s="65">
        <f>CF_Static!H80</f>
        <v>-150.07599999999999</v>
      </c>
      <c r="S140" s="65">
        <f>CF_Static!I80</f>
        <v>-74.534999999999997</v>
      </c>
      <c r="T140" s="65">
        <f>CF_Static!J80</f>
        <v>-91.287999999999997</v>
      </c>
      <c r="U140" s="65">
        <f>CF_Static!K80</f>
        <v>-500.8</v>
      </c>
      <c r="V140" s="65">
        <f>CF_Static!L80</f>
        <v>-242.20099999999999</v>
      </c>
      <c r="W140" s="65">
        <f>CF_Static!M80</f>
        <v>-254.50200000000001</v>
      </c>
      <c r="X140" s="72">
        <f>-$M$140/3</f>
        <v>-333.33333333333331</v>
      </c>
      <c r="Y140" s="72">
        <f t="shared" ref="Y140:Z140" si="105">-$M$140/3</f>
        <v>-333.33333333333331</v>
      </c>
      <c r="Z140" s="72">
        <f t="shared" si="105"/>
        <v>-333.33333333333331</v>
      </c>
      <c r="AA140" s="74">
        <v>-250</v>
      </c>
      <c r="AB140" s="74">
        <v>-250</v>
      </c>
    </row>
    <row r="141" spans="1:28" x14ac:dyDescent="0.2">
      <c r="B141" s="78" t="s">
        <v>497</v>
      </c>
      <c r="N141" s="73">
        <f>N138+N140</f>
        <v>30.274999999999999</v>
      </c>
      <c r="O141" s="73">
        <f t="shared" ref="O141:W141" si="106">O138+O140</f>
        <v>23.091000000000001</v>
      </c>
      <c r="P141" s="73">
        <f t="shared" si="106"/>
        <v>20.411999999999999</v>
      </c>
      <c r="Q141" s="73">
        <f t="shared" si="106"/>
        <v>-87.853999999999999</v>
      </c>
      <c r="R141" s="73">
        <f t="shared" si="106"/>
        <v>-127.12899999999999</v>
      </c>
      <c r="S141" s="73">
        <f t="shared" si="106"/>
        <v>-46.466999999999999</v>
      </c>
      <c r="T141" s="73">
        <f t="shared" si="106"/>
        <v>-62.830999999999996</v>
      </c>
      <c r="U141" s="73">
        <f t="shared" si="106"/>
        <v>-470.452</v>
      </c>
      <c r="V141" s="73">
        <f t="shared" si="106"/>
        <v>-210.84399999999999</v>
      </c>
      <c r="W141" s="73">
        <f t="shared" si="106"/>
        <v>-220.21100000000001</v>
      </c>
      <c r="X141" s="73">
        <f t="shared" ref="X141" si="107">X138+X140</f>
        <v>-278.86645380333329</v>
      </c>
      <c r="Y141" s="73">
        <f t="shared" ref="Y141" si="108">Y138+Y140</f>
        <v>-273.41976585033331</v>
      </c>
      <c r="Z141" s="73">
        <f t="shared" ref="Z141" si="109">Z138+Z140</f>
        <v>-268.02754477686329</v>
      </c>
      <c r="AA141" s="73">
        <f t="shared" ref="AA141" si="110">AA138+AA140</f>
        <v>-182.38930125918398</v>
      </c>
      <c r="AB141" s="73">
        <f t="shared" ref="AB141" si="111">AB138+AB140</f>
        <v>-180.27646692353346</v>
      </c>
    </row>
    <row r="142" spans="1:28" x14ac:dyDescent="0.2">
      <c r="B142" s="85" t="s">
        <v>502</v>
      </c>
      <c r="O142" s="30">
        <f t="shared" ref="O142:V142" si="112">O134+O141+O135</f>
        <v>6716.8760000000002</v>
      </c>
      <c r="P142" s="30">
        <f t="shared" si="112"/>
        <v>6785.6480000000001</v>
      </c>
      <c r="Q142" s="30">
        <f t="shared" si="112"/>
        <v>6776.73</v>
      </c>
      <c r="R142" s="30">
        <f t="shared" si="112"/>
        <v>6815.3729999999996</v>
      </c>
      <c r="S142" s="30">
        <f t="shared" si="112"/>
        <v>6860.549</v>
      </c>
      <c r="T142" s="30">
        <f t="shared" si="112"/>
        <v>6849.5820000000003</v>
      </c>
      <c r="U142" s="30">
        <f t="shared" si="112"/>
        <v>6439.39</v>
      </c>
      <c r="V142" s="30">
        <f t="shared" si="112"/>
        <v>6311.3470000000007</v>
      </c>
      <c r="W142" s="30">
        <f>W134+W141+W135+W136</f>
        <v>6153.1570000000002</v>
      </c>
      <c r="X142" s="30">
        <f>X134+X141+X135+X136</f>
        <v>5983.2243052566664</v>
      </c>
      <c r="Y142" s="30">
        <f t="shared" ref="Y142:AB142" si="113">Y134+Y141+Y135+Y136</f>
        <v>5829.6316743723328</v>
      </c>
      <c r="Z142" s="30">
        <f t="shared" si="113"/>
        <v>5692.215706708409</v>
      </c>
      <c r="AA142" s="30">
        <f t="shared" si="113"/>
        <v>5645.047802930857</v>
      </c>
      <c r="AB142" s="30">
        <f t="shared" si="113"/>
        <v>5604.2184021602561</v>
      </c>
    </row>
    <row r="143" spans="1:28" x14ac:dyDescent="0.2">
      <c r="B143" s="75" t="s">
        <v>500</v>
      </c>
      <c r="N143" s="65"/>
      <c r="O143" s="90">
        <f t="shared" ref="O143:W143" si="114">O142-O43</f>
        <v>0</v>
      </c>
      <c r="P143" s="90">
        <f t="shared" si="114"/>
        <v>-25.963999999999942</v>
      </c>
      <c r="Q143" s="90">
        <f t="shared" si="114"/>
        <v>-106.03600000000006</v>
      </c>
      <c r="R143" s="90">
        <f t="shared" si="114"/>
        <v>-23.885000000000218</v>
      </c>
      <c r="S143" s="90">
        <f t="shared" si="114"/>
        <v>32.471999999999753</v>
      </c>
      <c r="T143" s="90">
        <f t="shared" si="114"/>
        <v>44.871000000000095</v>
      </c>
      <c r="U143" s="90">
        <f t="shared" si="114"/>
        <v>47.653999999999542</v>
      </c>
      <c r="V143" s="90">
        <f t="shared" si="114"/>
        <v>47.816000000000713</v>
      </c>
      <c r="W143" s="90">
        <f t="shared" si="114"/>
        <v>-3.1389999999992142</v>
      </c>
    </row>
    <row r="144" spans="1:28" x14ac:dyDescent="0.2">
      <c r="B144" s="91" t="s">
        <v>408</v>
      </c>
    </row>
  </sheetData>
  <conditionalFormatting sqref="N73:AI73">
    <cfRule type="expression" dxfId="42" priority="3">
      <formula>N73 &gt;= estimate_start</formula>
    </cfRule>
    <cfRule type="expression" dxfId="41" priority="4">
      <formula>N73 &lt; estimate_start</formula>
    </cfRule>
  </conditionalFormatting>
  <conditionalFormatting sqref="N2:AL2">
    <cfRule type="expression" dxfId="40" priority="1">
      <formula>N2 &gt;= estimate_start</formula>
    </cfRule>
    <cfRule type="expression" dxfId="39" priority="2">
      <formula>N2 &lt; estimate_start</formula>
    </cfRule>
  </conditionalFormatting>
  <pageMargins left="0.7" right="0.7" top="0.75" bottom="0.75" header="0.3" footer="0.3"/>
  <pageSetup orientation="portrait" r:id="rId1"/>
  <ignoredErrors>
    <ignoredError sqref="N13 O13:W13 X13:AB13" formula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8AE4-D16D-4BFB-A2C9-788E9C3C88A2}">
  <sheetPr>
    <tabColor theme="3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A8D78-9771-4DA9-9B20-74C8B9A3D310}">
  <dimension ref="B1:DT182"/>
  <sheetViews>
    <sheetView showGridLines="0" workbookViewId="0">
      <selection activeCell="D33" sqref="D33"/>
    </sheetView>
  </sheetViews>
  <sheetFormatPr defaultColWidth="9.140625" defaultRowHeight="12" outlineLevelCol="1" x14ac:dyDescent="0.2"/>
  <cols>
    <col min="1" max="1" width="4.7109375" style="3" customWidth="1"/>
    <col min="2" max="2" width="34" style="3" bestFit="1" customWidth="1"/>
    <col min="3" max="3" width="37.85546875" style="3" hidden="1" customWidth="1" outlineLevel="1"/>
    <col min="4" max="4" width="13.140625" style="3" bestFit="1" customWidth="1" collapsed="1"/>
    <col min="5" max="8" width="13.140625" style="3" bestFit="1" customWidth="1"/>
    <col min="9" max="9" width="16.140625" style="3" bestFit="1" customWidth="1"/>
    <col min="10" max="13" width="13.140625" style="3" bestFit="1" customWidth="1"/>
    <col min="14" max="124" width="11.7109375" style="3" customWidth="1"/>
    <col min="125" max="16384" width="9.140625" style="3"/>
  </cols>
  <sheetData>
    <row r="1" spans="2:124" x14ac:dyDescent="0.2">
      <c r="I1" s="4" t="s">
        <v>26</v>
      </c>
      <c r="J1" s="5">
        <v>45904</v>
      </c>
      <c r="K1" s="4" t="s">
        <v>27</v>
      </c>
      <c r="L1" s="5">
        <v>45828</v>
      </c>
    </row>
    <row r="2" spans="2:124" x14ac:dyDescent="0.2">
      <c r="H2" s="4"/>
      <c r="I2" s="4" t="s">
        <v>28</v>
      </c>
      <c r="J2" s="5">
        <v>45598</v>
      </c>
      <c r="K2" s="4"/>
      <c r="L2" s="5"/>
    </row>
    <row r="3" spans="2:124" ht="15" x14ac:dyDescent="0.25">
      <c r="K3" s="6" t="s">
        <v>0</v>
      </c>
      <c r="L3" s="7" t="s">
        <v>15</v>
      </c>
      <c r="M3" s="8" t="s">
        <v>29</v>
      </c>
      <c r="P3" s="3" t="s">
        <v>30</v>
      </c>
      <c r="Q3" s="3" t="s">
        <v>31</v>
      </c>
      <c r="R3" s="3" t="s">
        <v>32</v>
      </c>
      <c r="S3" s="9" t="s">
        <v>33</v>
      </c>
    </row>
    <row r="4" spans="2:124" x14ac:dyDescent="0.2">
      <c r="K4" s="6" t="s">
        <v>1</v>
      </c>
      <c r="L4" s="7">
        <v>-9</v>
      </c>
      <c r="O4" s="3">
        <v>1</v>
      </c>
      <c r="P4" s="3" t="s">
        <v>34</v>
      </c>
      <c r="Q4" s="3" t="s">
        <v>16</v>
      </c>
      <c r="R4" s="3" t="s">
        <v>35</v>
      </c>
      <c r="S4" s="3" t="s">
        <v>36</v>
      </c>
    </row>
    <row r="5" spans="2:124" x14ac:dyDescent="0.2">
      <c r="K5" s="6" t="s">
        <v>2</v>
      </c>
      <c r="L5" s="7">
        <v>0</v>
      </c>
      <c r="O5" s="3">
        <v>2</v>
      </c>
      <c r="P5" s="3" t="s">
        <v>37</v>
      </c>
      <c r="Q5" s="3" t="s">
        <v>38</v>
      </c>
      <c r="R5" s="3" t="s">
        <v>39</v>
      </c>
      <c r="S5" s="3" t="s">
        <v>33</v>
      </c>
    </row>
    <row r="6" spans="2:124" x14ac:dyDescent="0.2">
      <c r="K6" s="6" t="s">
        <v>40</v>
      </c>
      <c r="L6" s="7" t="s">
        <v>41</v>
      </c>
      <c r="M6" s="3" t="s">
        <v>34</v>
      </c>
      <c r="N6" s="3" t="s">
        <v>16</v>
      </c>
      <c r="O6" s="3">
        <v>3</v>
      </c>
      <c r="P6" s="3" t="s">
        <v>42</v>
      </c>
      <c r="Q6" s="3" t="s">
        <v>43</v>
      </c>
      <c r="R6" s="3" t="s">
        <v>44</v>
      </c>
      <c r="S6" s="3" t="s">
        <v>45</v>
      </c>
    </row>
    <row r="7" spans="2:124" x14ac:dyDescent="0.2">
      <c r="K7" s="6" t="s">
        <v>3</v>
      </c>
      <c r="L7" s="7" t="s">
        <v>46</v>
      </c>
      <c r="M7" s="3" t="s">
        <v>16</v>
      </c>
      <c r="O7" s="3">
        <v>4</v>
      </c>
      <c r="P7" s="3" t="s">
        <v>47</v>
      </c>
      <c r="Q7" s="3" t="s">
        <v>48</v>
      </c>
    </row>
    <row r="8" spans="2:124" x14ac:dyDescent="0.2">
      <c r="K8" s="6" t="s">
        <v>32</v>
      </c>
      <c r="L8" s="7" t="s">
        <v>39</v>
      </c>
    </row>
    <row r="9" spans="2:124" s="14" customFormat="1" ht="15" x14ac:dyDescent="0.25">
      <c r="B9" s="1" t="s">
        <v>17</v>
      </c>
      <c r="C9" s="1"/>
      <c r="D9" s="10"/>
      <c r="E9" s="10"/>
      <c r="F9" s="11"/>
      <c r="G9" s="11"/>
      <c r="H9" s="12"/>
      <c r="I9" s="11"/>
      <c r="J9" s="11"/>
      <c r="K9" s="11"/>
      <c r="L9" s="11"/>
      <c r="M9" s="11"/>
      <c r="N9" s="11"/>
      <c r="O9" s="11"/>
      <c r="P9" s="11"/>
      <c r="Q9" s="13"/>
      <c r="R9" s="13"/>
      <c r="S9" s="13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</row>
    <row r="11" spans="2:124" x14ac:dyDescent="0.2">
      <c r="B11" s="15" t="s">
        <v>4</v>
      </c>
      <c r="C11" s="16"/>
      <c r="D11" s="17">
        <v>42307</v>
      </c>
      <c r="E11" s="16">
        <v>42674</v>
      </c>
      <c r="F11" s="16">
        <v>43039</v>
      </c>
      <c r="G11" s="16">
        <v>43404</v>
      </c>
      <c r="H11" s="16">
        <v>43769</v>
      </c>
      <c r="I11" s="16">
        <v>44134</v>
      </c>
      <c r="J11" s="16">
        <v>44498</v>
      </c>
      <c r="K11" s="16">
        <v>44865</v>
      </c>
      <c r="L11" s="16">
        <v>45230</v>
      </c>
      <c r="M11" s="16">
        <v>45596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</row>
    <row r="12" spans="2:124" x14ac:dyDescent="0.2">
      <c r="B12" s="18" t="s">
        <v>49</v>
      </c>
      <c r="C12" s="18" t="s">
        <v>50</v>
      </c>
      <c r="D12" s="19">
        <v>2445.6689999999999</v>
      </c>
      <c r="E12" s="19">
        <v>2600.5729999999999</v>
      </c>
      <c r="F12" s="19">
        <v>2801.6869999999999</v>
      </c>
      <c r="G12" s="19">
        <v>3094.2860000000001</v>
      </c>
      <c r="H12" s="19">
        <v>3572.1309999999999</v>
      </c>
      <c r="I12" s="19">
        <v>3532.1570000000002</v>
      </c>
      <c r="J12" s="19">
        <v>3620.6840000000002</v>
      </c>
      <c r="K12" s="19">
        <v>3632.6610000000001</v>
      </c>
      <c r="L12" s="19">
        <v>4386.549</v>
      </c>
      <c r="M12" s="19">
        <v>4014.9549999999999</v>
      </c>
      <c r="N12" s="19"/>
      <c r="O12" s="20"/>
      <c r="P12" s="20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</row>
    <row r="13" spans="2:124" x14ac:dyDescent="0.2">
      <c r="B13" s="18" t="s">
        <v>51</v>
      </c>
      <c r="C13" s="18" t="s">
        <v>52</v>
      </c>
      <c r="D13" s="19">
        <v>2002.395</v>
      </c>
      <c r="E13" s="19">
        <v>2117.4720000000002</v>
      </c>
      <c r="F13" s="19">
        <v>2318.5810000000001</v>
      </c>
      <c r="G13" s="19">
        <v>2565.46</v>
      </c>
      <c r="H13" s="19">
        <v>2983.8150000000001</v>
      </c>
      <c r="I13" s="19">
        <v>2914.79</v>
      </c>
      <c r="J13" s="19">
        <v>2932.6019999999999</v>
      </c>
      <c r="K13" s="19">
        <v>2888.848</v>
      </c>
      <c r="L13" s="19">
        <v>3581.0390000000002</v>
      </c>
      <c r="M13" s="19">
        <v>3159.0210000000002</v>
      </c>
      <c r="N13" s="19"/>
      <c r="O13" s="20"/>
      <c r="P13" s="20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</row>
    <row r="14" spans="2:124" x14ac:dyDescent="0.2">
      <c r="B14" s="18" t="s">
        <v>53</v>
      </c>
      <c r="C14" s="18" t="s">
        <v>54</v>
      </c>
      <c r="D14" s="19">
        <v>443.274</v>
      </c>
      <c r="E14" s="19">
        <v>483.101</v>
      </c>
      <c r="F14" s="19">
        <v>483.10599999999999</v>
      </c>
      <c r="G14" s="19">
        <v>528.82600000000002</v>
      </c>
      <c r="H14" s="19">
        <v>588.31600000000003</v>
      </c>
      <c r="I14" s="19">
        <v>617.36699999999996</v>
      </c>
      <c r="J14" s="19">
        <v>688.08199999999999</v>
      </c>
      <c r="K14" s="19">
        <v>743.81299999999999</v>
      </c>
      <c r="L14" s="19">
        <v>805.51</v>
      </c>
      <c r="M14" s="19">
        <v>855.93399999999997</v>
      </c>
      <c r="N14" s="19"/>
      <c r="O14" s="20"/>
      <c r="P14" s="20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</row>
    <row r="15" spans="2:124" x14ac:dyDescent="0.2">
      <c r="B15" s="18" t="s">
        <v>55</v>
      </c>
      <c r="C15" s="18" t="s">
        <v>56</v>
      </c>
      <c r="D15" s="19">
        <v>-1370.106</v>
      </c>
      <c r="E15" s="19">
        <v>-1438.9970000000001</v>
      </c>
      <c r="F15" s="19">
        <v>-1555.9010000000001</v>
      </c>
      <c r="G15" s="19">
        <v>-1779.596</v>
      </c>
      <c r="H15" s="19">
        <v>-2030.0650000000001</v>
      </c>
      <c r="I15" s="19">
        <v>-1879.2660000000001</v>
      </c>
      <c r="J15" s="19">
        <v>-1898.7049999999999</v>
      </c>
      <c r="K15" s="19">
        <v>-2072.317</v>
      </c>
      <c r="L15" s="19">
        <v>-2507.6979999999999</v>
      </c>
      <c r="M15" s="19">
        <v>-2295.3649999999998</v>
      </c>
      <c r="N15" s="19"/>
      <c r="O15" s="20"/>
      <c r="P15" s="20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</row>
    <row r="16" spans="2:124" x14ac:dyDescent="0.2">
      <c r="B16" s="18" t="s">
        <v>51</v>
      </c>
      <c r="C16" s="18" t="s">
        <v>57</v>
      </c>
      <c r="D16" s="19">
        <v>-1120.373</v>
      </c>
      <c r="E16" s="19">
        <v>-1176.3040000000001</v>
      </c>
      <c r="F16" s="19">
        <v>-1308.2950000000001</v>
      </c>
      <c r="G16" s="19">
        <v>-1507.1569999999999</v>
      </c>
      <c r="H16" s="19">
        <v>-1716.3579999999999</v>
      </c>
      <c r="I16" s="19">
        <v>-1573.7909999999999</v>
      </c>
      <c r="J16" s="19">
        <v>-1545.269</v>
      </c>
      <c r="K16" s="19">
        <v>-1699.6310000000001</v>
      </c>
      <c r="L16" s="19">
        <v>-2088.44</v>
      </c>
      <c r="M16" s="19">
        <v>-1861.317</v>
      </c>
      <c r="N16" s="19"/>
      <c r="O16" s="20"/>
      <c r="P16" s="20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</row>
    <row r="17" spans="2:124" x14ac:dyDescent="0.2">
      <c r="B17" s="18" t="s">
        <v>53</v>
      </c>
      <c r="C17" s="18" t="s">
        <v>58</v>
      </c>
      <c r="D17" s="19">
        <v>-249.733</v>
      </c>
      <c r="E17" s="19">
        <v>-262.69299999999998</v>
      </c>
      <c r="F17" s="19">
        <v>-247.60599999999999</v>
      </c>
      <c r="G17" s="19">
        <v>-272.43900000000002</v>
      </c>
      <c r="H17" s="19">
        <v>-313.70699999999999</v>
      </c>
      <c r="I17" s="19">
        <v>-305.47500000000002</v>
      </c>
      <c r="J17" s="19">
        <v>-353.43599999999998</v>
      </c>
      <c r="K17" s="19">
        <v>-372.68599999999998</v>
      </c>
      <c r="L17" s="19">
        <v>-419.25799999999998</v>
      </c>
      <c r="M17" s="19">
        <v>-434.048</v>
      </c>
      <c r="N17" s="19"/>
      <c r="O17" s="20"/>
      <c r="P17" s="20"/>
      <c r="Q17" s="20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</row>
    <row r="18" spans="2:124" x14ac:dyDescent="0.2">
      <c r="B18" s="18" t="s">
        <v>59</v>
      </c>
      <c r="C18" s="18" t="s">
        <v>60</v>
      </c>
      <c r="D18" s="19">
        <v>1075.5630000000001</v>
      </c>
      <c r="E18" s="19">
        <v>1161.576</v>
      </c>
      <c r="F18" s="19">
        <v>1245.7860000000001</v>
      </c>
      <c r="G18" s="19">
        <v>1314.69</v>
      </c>
      <c r="H18" s="19">
        <v>1542.066</v>
      </c>
      <c r="I18" s="19">
        <v>1652.8910000000001</v>
      </c>
      <c r="J18" s="19">
        <v>1721.979</v>
      </c>
      <c r="K18" s="19">
        <v>1560.3440000000001</v>
      </c>
      <c r="L18" s="19">
        <v>1878.8510000000001</v>
      </c>
      <c r="M18" s="19">
        <v>1719.59</v>
      </c>
      <c r="N18" s="19"/>
      <c r="O18" s="20"/>
      <c r="P18" s="20"/>
      <c r="Q18" s="20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</row>
    <row r="19" spans="2:124" x14ac:dyDescent="0.2">
      <c r="B19" s="18" t="s">
        <v>61</v>
      </c>
      <c r="C19" s="18" t="s">
        <v>62</v>
      </c>
      <c r="D19" s="19">
        <v>-975.11500000000001</v>
      </c>
      <c r="E19" s="19">
        <v>-1005.407</v>
      </c>
      <c r="F19" s="19">
        <v>-1031.0640000000001</v>
      </c>
      <c r="G19" s="19">
        <v>-1084.7439999999999</v>
      </c>
      <c r="H19" s="19">
        <v>-1195.3</v>
      </c>
      <c r="I19" s="19">
        <v>-1165.9269999999999</v>
      </c>
      <c r="J19" s="19">
        <v>-1226.623</v>
      </c>
      <c r="K19" s="19">
        <v>-1337.5360000000001</v>
      </c>
      <c r="L19" s="19">
        <v>-1521.306</v>
      </c>
      <c r="M19" s="19">
        <v>-1552.973</v>
      </c>
      <c r="N19" s="19"/>
      <c r="O19" s="20"/>
      <c r="P19" s="20"/>
      <c r="Q19" s="20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</row>
    <row r="20" spans="2:124" x14ac:dyDescent="0.2">
      <c r="B20" s="18" t="s">
        <v>63</v>
      </c>
      <c r="C20" s="18" t="s">
        <v>64</v>
      </c>
      <c r="D20" s="19">
        <v>-414.20100000000002</v>
      </c>
      <c r="E20" s="19">
        <v>-451.79399999999998</v>
      </c>
      <c r="F20" s="19">
        <v>-475.32900000000001</v>
      </c>
      <c r="G20" s="19">
        <v>-491.56400000000002</v>
      </c>
      <c r="H20" s="19">
        <v>-548.13900000000001</v>
      </c>
      <c r="I20" s="19">
        <v>-529.88800000000003</v>
      </c>
      <c r="J20" s="19">
        <v>-536.66600000000005</v>
      </c>
      <c r="K20" s="19">
        <v>-624.65599999999995</v>
      </c>
      <c r="L20" s="19">
        <v>-750.55899999999997</v>
      </c>
      <c r="M20" s="19">
        <v>-767.49699999999996</v>
      </c>
      <c r="N20" s="19"/>
      <c r="O20" s="20"/>
      <c r="P20" s="20"/>
      <c r="Q20" s="20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</row>
    <row r="21" spans="2:124" x14ac:dyDescent="0.2">
      <c r="B21" s="18" t="s">
        <v>65</v>
      </c>
      <c r="C21" s="18" t="s">
        <v>66</v>
      </c>
      <c r="D21" s="19">
        <v>-333.83600000000001</v>
      </c>
      <c r="E21" s="19">
        <v>-349.73099999999999</v>
      </c>
      <c r="F21" s="19">
        <v>-356.16899999999998</v>
      </c>
      <c r="G21" s="19">
        <v>-394.06</v>
      </c>
      <c r="H21" s="19">
        <v>-423.04599999999999</v>
      </c>
      <c r="I21" s="19">
        <v>-416.42500000000001</v>
      </c>
      <c r="J21" s="19">
        <v>-452.214</v>
      </c>
      <c r="K21" s="19">
        <v>-466.565</v>
      </c>
      <c r="L21" s="19">
        <v>-490.80399999999997</v>
      </c>
      <c r="M21" s="19">
        <v>-510.66800000000001</v>
      </c>
      <c r="N21" s="19"/>
      <c r="O21" s="20"/>
      <c r="P21" s="20"/>
      <c r="Q21" s="20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</row>
    <row r="22" spans="2:124" x14ac:dyDescent="0.2">
      <c r="B22" s="18" t="s">
        <v>67</v>
      </c>
      <c r="C22" s="18" t="s">
        <v>68</v>
      </c>
      <c r="D22" s="19">
        <v>-148.941</v>
      </c>
      <c r="E22" s="19">
        <v>-137.441</v>
      </c>
      <c r="F22" s="19">
        <v>-142.60400000000001</v>
      </c>
      <c r="G22" s="19">
        <v>-165.244</v>
      </c>
      <c r="H22" s="19">
        <v>-177.76900000000001</v>
      </c>
      <c r="I22" s="19">
        <v>-173.57900000000001</v>
      </c>
      <c r="J22" s="19">
        <v>-184.446</v>
      </c>
      <c r="K22" s="19">
        <v>-179.98</v>
      </c>
      <c r="L22" s="19">
        <v>-218.75800000000001</v>
      </c>
      <c r="M22" s="19">
        <v>-220.64699999999999</v>
      </c>
      <c r="N22" s="19"/>
      <c r="O22" s="19"/>
      <c r="P22" s="19"/>
      <c r="Q22" s="20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</row>
    <row r="23" spans="2:124" x14ac:dyDescent="0.2">
      <c r="B23" s="18" t="s">
        <v>69</v>
      </c>
      <c r="C23" s="18" t="s">
        <v>70</v>
      </c>
      <c r="D23" s="19">
        <v>-123.402</v>
      </c>
      <c r="E23" s="19">
        <v>-132.828</v>
      </c>
      <c r="F23" s="19">
        <v>-142.60400000000001</v>
      </c>
      <c r="G23" s="19">
        <v>-160.13300000000001</v>
      </c>
      <c r="H23" s="19">
        <v>-174.399</v>
      </c>
      <c r="I23" s="19">
        <v>-169.548</v>
      </c>
      <c r="J23" s="19">
        <v>-181.874</v>
      </c>
      <c r="K23" s="19">
        <v>-179.38200000000001</v>
      </c>
      <c r="L23" s="19">
        <v>-215.28399999999999</v>
      </c>
      <c r="M23" s="19">
        <v>-220.64699999999999</v>
      </c>
      <c r="N23" s="19"/>
      <c r="O23" s="19"/>
      <c r="P23" s="19"/>
      <c r="Q23" s="20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</row>
    <row r="24" spans="2:124" x14ac:dyDescent="0.2">
      <c r="B24" s="18" t="s">
        <v>71</v>
      </c>
      <c r="C24" s="18" t="s">
        <v>72</v>
      </c>
      <c r="D24" s="19" t="s">
        <v>18</v>
      </c>
      <c r="E24" s="19" t="s">
        <v>18</v>
      </c>
      <c r="F24" s="19" t="s">
        <v>18</v>
      </c>
      <c r="G24" s="19" t="s">
        <v>18</v>
      </c>
      <c r="H24" s="19" t="s">
        <v>18</v>
      </c>
      <c r="I24" s="19" t="s">
        <v>18</v>
      </c>
      <c r="J24" s="19" t="s">
        <v>18</v>
      </c>
      <c r="K24" s="19" t="s">
        <v>18</v>
      </c>
      <c r="L24" s="19" t="s">
        <v>18</v>
      </c>
      <c r="M24" s="19" t="s">
        <v>18</v>
      </c>
      <c r="N24" s="19"/>
      <c r="O24" s="19"/>
      <c r="P24" s="19"/>
      <c r="Q24" s="20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</row>
    <row r="25" spans="2:124" x14ac:dyDescent="0.2">
      <c r="B25" s="18" t="s">
        <v>73</v>
      </c>
      <c r="C25" s="18" t="s">
        <v>74</v>
      </c>
      <c r="D25" s="19">
        <v>-25.539000000000001</v>
      </c>
      <c r="E25" s="19">
        <v>-4.6130000000000004</v>
      </c>
      <c r="F25" s="19">
        <v>0</v>
      </c>
      <c r="G25" s="19">
        <v>-5.1109999999999998</v>
      </c>
      <c r="H25" s="19">
        <v>-3.37</v>
      </c>
      <c r="I25" s="19">
        <v>-4.0309999999999997</v>
      </c>
      <c r="J25" s="19">
        <v>-2.5720000000000001</v>
      </c>
      <c r="K25" s="19">
        <v>-0.59799999999999998</v>
      </c>
      <c r="L25" s="19">
        <v>-3.4740000000000002</v>
      </c>
      <c r="M25" s="19">
        <v>0</v>
      </c>
      <c r="N25" s="19"/>
      <c r="O25" s="19"/>
      <c r="P25" s="19"/>
      <c r="Q25" s="20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</row>
    <row r="26" spans="2:124" x14ac:dyDescent="0.2">
      <c r="B26" s="18" t="s">
        <v>75</v>
      </c>
      <c r="C26" s="18" t="s">
        <v>76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/>
      <c r="O26" s="19"/>
      <c r="P26" s="19"/>
      <c r="Q26" s="20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</row>
    <row r="27" spans="2:124" x14ac:dyDescent="0.2">
      <c r="B27" s="18" t="s">
        <v>77</v>
      </c>
      <c r="C27" s="18" t="s">
        <v>78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</row>
    <row r="28" spans="2:124" x14ac:dyDescent="0.2">
      <c r="B28" s="18" t="s">
        <v>79</v>
      </c>
      <c r="C28" s="18" t="s">
        <v>80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</row>
    <row r="29" spans="2:124" x14ac:dyDescent="0.2">
      <c r="B29" s="18" t="s">
        <v>81</v>
      </c>
      <c r="C29" s="18" t="s">
        <v>82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</row>
    <row r="30" spans="2:124" x14ac:dyDescent="0.2">
      <c r="B30" s="18" t="s">
        <v>83</v>
      </c>
      <c r="C30" s="18" t="s">
        <v>84</v>
      </c>
      <c r="D30" s="19">
        <v>-8.6259999999999994</v>
      </c>
      <c r="E30" s="19">
        <v>-4.9329999999999998</v>
      </c>
      <c r="F30" s="19">
        <v>-23.933</v>
      </c>
      <c r="G30" s="19">
        <v>-18.138999999999999</v>
      </c>
      <c r="H30" s="19">
        <v>-24.538</v>
      </c>
      <c r="I30" s="19">
        <v>-22.652000000000001</v>
      </c>
      <c r="J30" s="19">
        <v>-29.565000000000001</v>
      </c>
      <c r="K30" s="19">
        <v>-33.823999999999998</v>
      </c>
      <c r="L30" s="19">
        <v>-23.834</v>
      </c>
      <c r="M30" s="19">
        <v>-24.591999999999999</v>
      </c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</row>
    <row r="31" spans="2:124" x14ac:dyDescent="0.2">
      <c r="B31" s="18" t="s">
        <v>85</v>
      </c>
      <c r="C31" s="18" t="s">
        <v>86</v>
      </c>
      <c r="D31" s="19">
        <v>-69.510999999999996</v>
      </c>
      <c r="E31" s="19">
        <v>-61.508000000000003</v>
      </c>
      <c r="F31" s="19">
        <v>-33.029000000000003</v>
      </c>
      <c r="G31" s="19">
        <v>-15.737</v>
      </c>
      <c r="H31" s="19">
        <v>-21.808</v>
      </c>
      <c r="I31" s="19">
        <v>-23.382999999999999</v>
      </c>
      <c r="J31" s="19">
        <v>-23.731999999999999</v>
      </c>
      <c r="K31" s="19">
        <v>-32.511000000000003</v>
      </c>
      <c r="L31" s="19">
        <v>-37.350999999999999</v>
      </c>
      <c r="M31" s="19">
        <v>-29.568999999999999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</row>
    <row r="32" spans="2:124" x14ac:dyDescent="0.2">
      <c r="B32" s="18" t="s">
        <v>87</v>
      </c>
      <c r="C32" s="18" t="s">
        <v>88</v>
      </c>
      <c r="D32" s="19">
        <v>100.44799999999999</v>
      </c>
      <c r="E32" s="19">
        <v>156.16900000000001</v>
      </c>
      <c r="F32" s="19">
        <v>214.72200000000001</v>
      </c>
      <c r="G32" s="19">
        <v>229.946</v>
      </c>
      <c r="H32" s="19">
        <v>346.76600000000002</v>
      </c>
      <c r="I32" s="19">
        <v>486.964</v>
      </c>
      <c r="J32" s="19">
        <v>495.35599999999999</v>
      </c>
      <c r="K32" s="19">
        <v>222.80799999999999</v>
      </c>
      <c r="L32" s="19">
        <v>357.54500000000002</v>
      </c>
      <c r="M32" s="19">
        <v>166.61699999999999</v>
      </c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</row>
    <row r="33" spans="2:124" x14ac:dyDescent="0.2">
      <c r="B33" s="18" t="s">
        <v>89</v>
      </c>
      <c r="C33" s="18" t="s">
        <v>90</v>
      </c>
      <c r="D33" s="19">
        <v>-25.504999999999999</v>
      </c>
      <c r="E33" s="19">
        <v>-12.795</v>
      </c>
      <c r="F33" s="19">
        <v>-2.7440000000000002</v>
      </c>
      <c r="G33" s="19">
        <v>-25.916</v>
      </c>
      <c r="H33" s="19">
        <v>3.8759999999999999</v>
      </c>
      <c r="I33" s="19">
        <v>0.318</v>
      </c>
      <c r="J33" s="19">
        <v>-1.768</v>
      </c>
      <c r="K33" s="19">
        <v>6.7469999999999999</v>
      </c>
      <c r="L33" s="19">
        <v>54.134</v>
      </c>
      <c r="M33" s="19">
        <v>50.261000000000003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</row>
    <row r="34" spans="2:124" x14ac:dyDescent="0.2">
      <c r="B34" s="18" t="s">
        <v>91</v>
      </c>
      <c r="C34" s="18" t="s">
        <v>92</v>
      </c>
      <c r="D34" s="19">
        <v>0</v>
      </c>
      <c r="E34" s="19">
        <v>-12.569000000000001</v>
      </c>
      <c r="F34" s="19">
        <v>0.91300000000000003</v>
      </c>
      <c r="G34" s="19">
        <v>-12.029</v>
      </c>
      <c r="H34" s="19">
        <v>3.8759999999999999</v>
      </c>
      <c r="I34" s="19">
        <v>0.96399999999999997</v>
      </c>
      <c r="J34" s="19">
        <v>-1.768</v>
      </c>
      <c r="K34" s="19">
        <v>6.7469999999999999</v>
      </c>
      <c r="L34" s="19">
        <v>62.008000000000003</v>
      </c>
      <c r="M34" s="19">
        <v>50.261000000000003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</row>
    <row r="35" spans="2:124" x14ac:dyDescent="0.2">
      <c r="B35" s="18" t="s">
        <v>93</v>
      </c>
      <c r="C35" s="18" t="s">
        <v>94</v>
      </c>
      <c r="D35" s="19">
        <v>0</v>
      </c>
      <c r="E35" s="19">
        <v>-0.22600000000000001</v>
      </c>
      <c r="F35" s="19">
        <v>-3.657</v>
      </c>
      <c r="G35" s="19">
        <v>-13.887</v>
      </c>
      <c r="H35" s="19">
        <v>0</v>
      </c>
      <c r="I35" s="19">
        <v>-0.64600000000000002</v>
      </c>
      <c r="J35" s="19">
        <v>0</v>
      </c>
      <c r="K35" s="19">
        <v>0</v>
      </c>
      <c r="L35" s="19">
        <v>-7.8739999999999997</v>
      </c>
      <c r="M35" s="19">
        <v>0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</row>
    <row r="36" spans="2:124" x14ac:dyDescent="0.2">
      <c r="B36" s="18" t="s">
        <v>95</v>
      </c>
      <c r="C36" s="18" t="s">
        <v>96</v>
      </c>
      <c r="D36" s="19">
        <v>-51.179000000000002</v>
      </c>
      <c r="E36" s="19">
        <v>-56.655999999999999</v>
      </c>
      <c r="F36" s="19">
        <v>-55.851999999999997</v>
      </c>
      <c r="G36" s="19">
        <v>-55.249000000000002</v>
      </c>
      <c r="H36" s="19">
        <v>-37.451999999999998</v>
      </c>
      <c r="I36" s="19">
        <v>-31.321000000000002</v>
      </c>
      <c r="J36" s="19">
        <v>-30.837</v>
      </c>
      <c r="K36" s="19">
        <v>-47.05</v>
      </c>
      <c r="L36" s="19">
        <v>-88.025999999999996</v>
      </c>
      <c r="M36" s="19">
        <v>-97.028000000000006</v>
      </c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</row>
    <row r="37" spans="2:124" x14ac:dyDescent="0.2">
      <c r="B37" s="18" t="s">
        <v>97</v>
      </c>
      <c r="C37" s="18" t="s">
        <v>98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</row>
    <row r="38" spans="2:124" x14ac:dyDescent="0.2">
      <c r="B38" s="18" t="s">
        <v>99</v>
      </c>
      <c r="C38" s="18" t="s">
        <v>100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</row>
    <row r="39" spans="2:124" x14ac:dyDescent="0.2">
      <c r="B39" s="18" t="s">
        <v>101</v>
      </c>
      <c r="C39" s="18" t="s">
        <v>102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</row>
    <row r="40" spans="2:124" x14ac:dyDescent="0.2">
      <c r="B40" s="18" t="s">
        <v>103</v>
      </c>
      <c r="C40" s="18" t="s">
        <v>104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</row>
    <row r="41" spans="2:124" x14ac:dyDescent="0.2">
      <c r="B41" s="18" t="s">
        <v>105</v>
      </c>
      <c r="C41" s="18" t="s">
        <v>106</v>
      </c>
      <c r="D41" s="19">
        <v>23.763999999999999</v>
      </c>
      <c r="E41" s="19">
        <v>86.718000000000004</v>
      </c>
      <c r="F41" s="19">
        <v>156.126</v>
      </c>
      <c r="G41" s="19">
        <v>148.78100000000001</v>
      </c>
      <c r="H41" s="19">
        <v>313.19</v>
      </c>
      <c r="I41" s="19">
        <v>455.96100000000001</v>
      </c>
      <c r="J41" s="19">
        <v>462.75099999999998</v>
      </c>
      <c r="K41" s="19">
        <v>182.505</v>
      </c>
      <c r="L41" s="19">
        <v>323.65300000000002</v>
      </c>
      <c r="M41" s="19">
        <v>119.85</v>
      </c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</row>
    <row r="42" spans="2:124" x14ac:dyDescent="0.2">
      <c r="B42" s="18" t="s">
        <v>107</v>
      </c>
      <c r="C42" s="18" t="s">
        <v>108</v>
      </c>
      <c r="D42" s="19">
        <v>-12.097</v>
      </c>
      <c r="E42" s="19">
        <v>-14.134</v>
      </c>
      <c r="F42" s="19">
        <v>1105.827</v>
      </c>
      <c r="G42" s="19">
        <v>-493.471</v>
      </c>
      <c r="H42" s="19">
        <v>-59.756</v>
      </c>
      <c r="I42" s="19">
        <v>-94.67</v>
      </c>
      <c r="J42" s="19">
        <v>37.445</v>
      </c>
      <c r="K42" s="19">
        <v>-29.603000000000002</v>
      </c>
      <c r="L42" s="19">
        <v>-68.825999999999993</v>
      </c>
      <c r="M42" s="19">
        <v>-35.893999999999998</v>
      </c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</row>
    <row r="43" spans="2:124" x14ac:dyDescent="0.2">
      <c r="B43" s="18" t="s">
        <v>109</v>
      </c>
      <c r="C43" s="18" t="s">
        <v>110</v>
      </c>
      <c r="D43" s="19">
        <v>11.667</v>
      </c>
      <c r="E43" s="19">
        <v>72.584000000000003</v>
      </c>
      <c r="F43" s="19">
        <v>1261.953</v>
      </c>
      <c r="G43" s="19">
        <v>-344.69</v>
      </c>
      <c r="H43" s="19">
        <v>253.434</v>
      </c>
      <c r="I43" s="19">
        <v>361.291</v>
      </c>
      <c r="J43" s="19">
        <v>500.19600000000003</v>
      </c>
      <c r="K43" s="19">
        <v>152.90199999999999</v>
      </c>
      <c r="L43" s="19">
        <v>254.827</v>
      </c>
      <c r="M43" s="19">
        <v>83.956000000000003</v>
      </c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</row>
    <row r="44" spans="2:124" x14ac:dyDescent="0.2">
      <c r="B44" s="18" t="s">
        <v>111</v>
      </c>
      <c r="C44" s="18" t="s">
        <v>112</v>
      </c>
      <c r="D44" s="19" t="s">
        <v>18</v>
      </c>
      <c r="E44" s="19" t="s">
        <v>18</v>
      </c>
      <c r="F44" s="19" t="s">
        <v>18</v>
      </c>
      <c r="G44" s="19" t="s">
        <v>18</v>
      </c>
      <c r="H44" s="19" t="s">
        <v>18</v>
      </c>
      <c r="I44" s="19" t="s">
        <v>18</v>
      </c>
      <c r="J44" s="19" t="s">
        <v>18</v>
      </c>
      <c r="K44" s="19" t="s">
        <v>18</v>
      </c>
      <c r="L44" s="19" t="s">
        <v>18</v>
      </c>
      <c r="M44" s="19" t="s">
        <v>18</v>
      </c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</row>
    <row r="45" spans="2:124" x14ac:dyDescent="0.2">
      <c r="B45" s="18" t="s">
        <v>113</v>
      </c>
      <c r="C45" s="18" t="s">
        <v>114</v>
      </c>
      <c r="D45" s="19">
        <v>0.1</v>
      </c>
      <c r="E45" s="19">
        <v>0.52</v>
      </c>
      <c r="F45" s="19">
        <v>8.89</v>
      </c>
      <c r="G45" s="19">
        <v>-2.4</v>
      </c>
      <c r="H45" s="19">
        <v>1.63</v>
      </c>
      <c r="I45" s="19">
        <v>2.34</v>
      </c>
      <c r="J45" s="19">
        <v>3.22</v>
      </c>
      <c r="K45" s="19">
        <v>1.01</v>
      </c>
      <c r="L45" s="19">
        <v>1.71</v>
      </c>
      <c r="M45" s="19">
        <v>0.57999999999999996</v>
      </c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</row>
    <row r="46" spans="2:124" x14ac:dyDescent="0.2">
      <c r="B46" s="18" t="s">
        <v>115</v>
      </c>
      <c r="C46" s="18" t="s">
        <v>116</v>
      </c>
      <c r="D46" s="19">
        <v>0.1</v>
      </c>
      <c r="E46" s="19">
        <v>0.51</v>
      </c>
      <c r="F46" s="19">
        <v>7.53</v>
      </c>
      <c r="G46" s="19">
        <v>-2.4900000000000002</v>
      </c>
      <c r="H46" s="19">
        <v>1.61</v>
      </c>
      <c r="I46" s="19">
        <v>2.3199999999999998</v>
      </c>
      <c r="J46" s="19">
        <v>3.19</v>
      </c>
      <c r="K46" s="19">
        <v>1</v>
      </c>
      <c r="L46" s="19">
        <v>1.71</v>
      </c>
      <c r="M46" s="19">
        <v>0.57999999999999996</v>
      </c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</row>
    <row r="47" spans="2:124" x14ac:dyDescent="0.2">
      <c r="B47" s="18" t="s">
        <v>117</v>
      </c>
      <c r="C47" s="18" t="s">
        <v>118</v>
      </c>
      <c r="D47" s="19" t="s">
        <v>18</v>
      </c>
      <c r="E47" s="19" t="s">
        <v>18</v>
      </c>
      <c r="F47" s="19" t="s">
        <v>18</v>
      </c>
      <c r="G47" s="19" t="s">
        <v>18</v>
      </c>
      <c r="H47" s="19" t="s">
        <v>18</v>
      </c>
      <c r="I47" s="19" t="s">
        <v>18</v>
      </c>
      <c r="J47" s="19" t="s">
        <v>18</v>
      </c>
      <c r="K47" s="19" t="s">
        <v>18</v>
      </c>
      <c r="L47" s="19" t="s">
        <v>18</v>
      </c>
      <c r="M47" s="19" t="s">
        <v>18</v>
      </c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</row>
    <row r="48" spans="2:124" x14ac:dyDescent="0.2">
      <c r="B48" s="18" t="s">
        <v>113</v>
      </c>
      <c r="C48" s="18" t="s">
        <v>119</v>
      </c>
      <c r="D48" s="19">
        <v>118.416</v>
      </c>
      <c r="E48" s="19">
        <v>138.31200000000001</v>
      </c>
      <c r="F48" s="19">
        <v>141.99700000000001</v>
      </c>
      <c r="G48" s="19">
        <v>143.738</v>
      </c>
      <c r="H48" s="19">
        <v>155.72</v>
      </c>
      <c r="I48" s="19">
        <v>154.28700000000001</v>
      </c>
      <c r="J48" s="19">
        <v>155.279</v>
      </c>
      <c r="K48" s="19">
        <v>151.208</v>
      </c>
      <c r="L48" s="19">
        <v>148.971</v>
      </c>
      <c r="M48" s="19">
        <v>144.715</v>
      </c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</row>
    <row r="49" spans="2:124" x14ac:dyDescent="0.2">
      <c r="B49" s="18" t="s">
        <v>115</v>
      </c>
      <c r="C49" s="18" t="s">
        <v>120</v>
      </c>
      <c r="D49" s="19">
        <v>120.101</v>
      </c>
      <c r="E49" s="19">
        <v>150.70400000000001</v>
      </c>
      <c r="F49" s="19">
        <v>169.91900000000001</v>
      </c>
      <c r="G49" s="19">
        <v>143.738</v>
      </c>
      <c r="H49" s="19">
        <v>157.61199999999999</v>
      </c>
      <c r="I49" s="19">
        <v>155.95500000000001</v>
      </c>
      <c r="J49" s="19">
        <v>156.74299999999999</v>
      </c>
      <c r="K49" s="19">
        <v>152.19300000000001</v>
      </c>
      <c r="L49" s="19">
        <v>149.38</v>
      </c>
      <c r="M49" s="19">
        <v>145.964</v>
      </c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</row>
    <row r="50" spans="2:124" x14ac:dyDescent="0.2">
      <c r="B50" s="18"/>
      <c r="C50" s="18"/>
      <c r="D50" s="19" t="s">
        <v>18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</row>
    <row r="51" spans="2:124" x14ac:dyDescent="0.2">
      <c r="B51" s="18"/>
      <c r="C51" s="18"/>
      <c r="D51" s="19" t="s">
        <v>18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</row>
    <row r="52" spans="2:124" x14ac:dyDescent="0.2">
      <c r="D52" s="19" t="s">
        <v>18</v>
      </c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</row>
    <row r="53" spans="2:124" x14ac:dyDescent="0.2">
      <c r="D53" s="19" t="s">
        <v>18</v>
      </c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</row>
    <row r="54" spans="2:124" x14ac:dyDescent="0.2">
      <c r="D54" s="19" t="s">
        <v>18</v>
      </c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</row>
    <row r="55" spans="2:124" x14ac:dyDescent="0.2">
      <c r="D55" s="19" t="s">
        <v>18</v>
      </c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</row>
    <row r="56" spans="2:124" x14ac:dyDescent="0.2">
      <c r="D56" s="19" t="s">
        <v>18</v>
      </c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</row>
    <row r="57" spans="2:124" x14ac:dyDescent="0.2">
      <c r="D57" s="19" t="s">
        <v>18</v>
      </c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</row>
    <row r="58" spans="2:124" x14ac:dyDescent="0.2">
      <c r="D58" s="19" t="s">
        <v>18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</row>
    <row r="59" spans="2:124" x14ac:dyDescent="0.2">
      <c r="D59" s="19" t="s">
        <v>18</v>
      </c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</row>
    <row r="60" spans="2:124" x14ac:dyDescent="0.2">
      <c r="D60" s="19" t="s">
        <v>18</v>
      </c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</row>
    <row r="61" spans="2:124" x14ac:dyDescent="0.2">
      <c r="D61" s="19" t="s">
        <v>18</v>
      </c>
      <c r="E61" s="21"/>
      <c r="F61" s="21"/>
      <c r="G61" s="21"/>
      <c r="H61" s="21"/>
      <c r="I61" s="21"/>
      <c r="J61" s="21"/>
      <c r="K61" s="21"/>
      <c r="L61" s="21"/>
      <c r="M61" s="21"/>
      <c r="N61" s="19"/>
      <c r="O61" s="21"/>
      <c r="P61" s="21"/>
      <c r="Q61" s="21"/>
      <c r="R61" s="21"/>
      <c r="S61" s="21"/>
      <c r="T61" s="21"/>
      <c r="U61" s="21"/>
      <c r="V61" s="21"/>
      <c r="W61" s="21"/>
      <c r="X61" s="19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</row>
    <row r="62" spans="2:124" x14ac:dyDescent="0.2">
      <c r="D62" s="19" t="s">
        <v>18</v>
      </c>
      <c r="E62" s="21"/>
      <c r="F62" s="21"/>
      <c r="G62" s="21"/>
      <c r="H62" s="21"/>
      <c r="I62" s="21"/>
      <c r="J62" s="21"/>
      <c r="K62" s="21"/>
      <c r="L62" s="21"/>
      <c r="M62" s="21"/>
    </row>
    <row r="63" spans="2:124" x14ac:dyDescent="0.2">
      <c r="D63" s="19"/>
      <c r="E63" s="21"/>
      <c r="F63" s="21"/>
      <c r="G63" s="21"/>
      <c r="H63" s="21"/>
      <c r="I63" s="21"/>
      <c r="J63" s="21"/>
      <c r="K63" s="21"/>
      <c r="L63" s="21"/>
      <c r="M63" s="21"/>
    </row>
    <row r="64" spans="2:124" x14ac:dyDescent="0.2">
      <c r="D64" s="19"/>
      <c r="E64" s="21"/>
      <c r="F64" s="21"/>
      <c r="G64" s="21"/>
      <c r="H64" s="21"/>
      <c r="I64" s="21"/>
      <c r="J64" s="21"/>
      <c r="K64" s="21"/>
      <c r="L64" s="21"/>
      <c r="M64" s="21"/>
    </row>
    <row r="65" spans="4:13" x14ac:dyDescent="0.2">
      <c r="D65" s="19"/>
      <c r="E65" s="21"/>
      <c r="F65" s="21"/>
      <c r="G65" s="21"/>
      <c r="H65" s="21"/>
      <c r="I65" s="21"/>
      <c r="J65" s="21"/>
      <c r="K65" s="21"/>
      <c r="L65" s="21"/>
      <c r="M65" s="21"/>
    </row>
    <row r="66" spans="4:13" x14ac:dyDescent="0.2">
      <c r="D66" s="19"/>
      <c r="E66" s="21"/>
      <c r="F66" s="21"/>
      <c r="G66" s="21"/>
      <c r="H66" s="21"/>
      <c r="I66" s="21"/>
      <c r="J66" s="21"/>
      <c r="K66" s="21"/>
      <c r="L66" s="21"/>
      <c r="M66" s="21"/>
    </row>
    <row r="67" spans="4:13" x14ac:dyDescent="0.2">
      <c r="D67" s="19" t="s">
        <v>121</v>
      </c>
      <c r="E67" s="21"/>
      <c r="F67" s="21"/>
      <c r="G67" s="21"/>
      <c r="H67" s="21"/>
      <c r="I67" s="21"/>
      <c r="J67" s="21"/>
      <c r="K67" s="21"/>
      <c r="L67" s="21"/>
      <c r="M67" s="21"/>
    </row>
    <row r="68" spans="4:13" x14ac:dyDescent="0.2">
      <c r="D68" s="19" t="s">
        <v>121</v>
      </c>
      <c r="E68" s="21"/>
      <c r="F68" s="21"/>
      <c r="G68" s="21"/>
      <c r="H68" s="21"/>
      <c r="I68" s="21"/>
      <c r="J68" s="21"/>
      <c r="K68" s="21"/>
      <c r="L68" s="21"/>
      <c r="M68" s="21"/>
    </row>
    <row r="69" spans="4:13" x14ac:dyDescent="0.2">
      <c r="D69" s="19" t="s">
        <v>121</v>
      </c>
      <c r="E69" s="21"/>
      <c r="F69" s="21"/>
      <c r="G69" s="21"/>
      <c r="H69" s="21"/>
      <c r="I69" s="21"/>
      <c r="J69" s="21"/>
      <c r="K69" s="21"/>
      <c r="L69" s="21"/>
      <c r="M69" s="21"/>
    </row>
    <row r="70" spans="4:13" x14ac:dyDescent="0.2">
      <c r="D70" s="19" t="s">
        <v>121</v>
      </c>
      <c r="E70" s="21"/>
      <c r="F70" s="21"/>
      <c r="G70" s="21"/>
      <c r="H70" s="21"/>
      <c r="I70" s="21"/>
      <c r="J70" s="21"/>
      <c r="K70" s="21"/>
      <c r="L70" s="21"/>
      <c r="M70" s="21"/>
    </row>
    <row r="71" spans="4:13" x14ac:dyDescent="0.2">
      <c r="D71" s="19" t="s">
        <v>121</v>
      </c>
      <c r="E71" s="21"/>
      <c r="F71" s="21"/>
      <c r="G71" s="21"/>
      <c r="H71" s="21"/>
      <c r="I71" s="21"/>
      <c r="J71" s="21"/>
      <c r="K71" s="21"/>
      <c r="L71" s="21"/>
      <c r="M71" s="21"/>
    </row>
    <row r="72" spans="4:13" x14ac:dyDescent="0.2">
      <c r="D72" s="19" t="s">
        <v>121</v>
      </c>
      <c r="E72" s="21"/>
      <c r="F72" s="21"/>
      <c r="G72" s="21"/>
      <c r="H72" s="21"/>
      <c r="I72" s="21"/>
      <c r="J72" s="21"/>
      <c r="K72" s="21"/>
      <c r="L72" s="21"/>
      <c r="M72" s="21"/>
    </row>
    <row r="73" spans="4:13" x14ac:dyDescent="0.2">
      <c r="D73" s="19" t="s">
        <v>121</v>
      </c>
      <c r="E73" s="21"/>
      <c r="F73" s="21"/>
      <c r="G73" s="21"/>
      <c r="H73" s="21"/>
      <c r="I73" s="21"/>
      <c r="J73" s="21"/>
      <c r="K73" s="21"/>
      <c r="L73" s="21"/>
      <c r="M73" s="21"/>
    </row>
    <row r="74" spans="4:13" x14ac:dyDescent="0.2">
      <c r="D74" s="19" t="s">
        <v>121</v>
      </c>
      <c r="E74" s="21"/>
      <c r="F74" s="21"/>
      <c r="G74" s="21"/>
      <c r="H74" s="21"/>
      <c r="I74" s="21"/>
      <c r="J74" s="21"/>
      <c r="K74" s="21"/>
      <c r="L74" s="21"/>
      <c r="M74" s="21"/>
    </row>
    <row r="75" spans="4:13" x14ac:dyDescent="0.2">
      <c r="D75" s="19" t="s">
        <v>121</v>
      </c>
      <c r="E75" s="21"/>
      <c r="F75" s="21"/>
      <c r="G75" s="21"/>
      <c r="H75" s="21"/>
      <c r="I75" s="21"/>
      <c r="J75" s="21"/>
      <c r="K75" s="21"/>
      <c r="L75" s="21"/>
      <c r="M75" s="21"/>
    </row>
    <row r="76" spans="4:13" x14ac:dyDescent="0.2">
      <c r="D76" s="19" t="s">
        <v>121</v>
      </c>
      <c r="E76" s="21"/>
      <c r="F76" s="21"/>
      <c r="G76" s="21"/>
      <c r="H76" s="21"/>
      <c r="I76" s="21"/>
      <c r="J76" s="21"/>
      <c r="K76" s="21"/>
      <c r="L76" s="21"/>
      <c r="M76" s="21"/>
    </row>
    <row r="77" spans="4:13" x14ac:dyDescent="0.2">
      <c r="D77" s="19" t="s">
        <v>121</v>
      </c>
      <c r="E77" s="21"/>
      <c r="F77" s="21"/>
      <c r="G77" s="21"/>
      <c r="H77" s="21"/>
      <c r="I77" s="21"/>
      <c r="J77" s="21"/>
      <c r="K77" s="21"/>
      <c r="L77" s="21"/>
      <c r="M77" s="21"/>
    </row>
    <row r="78" spans="4:13" x14ac:dyDescent="0.2">
      <c r="D78" s="19" t="s">
        <v>121</v>
      </c>
      <c r="E78" s="21"/>
      <c r="F78" s="21"/>
      <c r="G78" s="21"/>
      <c r="H78" s="21"/>
      <c r="I78" s="21"/>
      <c r="J78" s="21"/>
      <c r="K78" s="21"/>
      <c r="L78" s="21"/>
      <c r="M78" s="21"/>
    </row>
    <row r="79" spans="4:13" x14ac:dyDescent="0.2">
      <c r="D79" s="19" t="s">
        <v>121</v>
      </c>
      <c r="E79" s="21"/>
      <c r="F79" s="21"/>
      <c r="G79" s="21"/>
      <c r="H79" s="21"/>
      <c r="I79" s="21"/>
      <c r="J79" s="21"/>
      <c r="K79" s="21"/>
      <c r="L79" s="21"/>
      <c r="M79" s="21"/>
    </row>
    <row r="80" spans="4:13" x14ac:dyDescent="0.2">
      <c r="D80" s="19" t="s">
        <v>121</v>
      </c>
      <c r="E80" s="21"/>
      <c r="F80" s="21"/>
      <c r="G80" s="21"/>
      <c r="H80" s="21"/>
      <c r="I80" s="21"/>
      <c r="J80" s="21"/>
      <c r="K80" s="21"/>
      <c r="L80" s="21"/>
      <c r="M80" s="21"/>
    </row>
    <row r="81" spans="4:13" x14ac:dyDescent="0.2">
      <c r="D81" s="19" t="s">
        <v>121</v>
      </c>
      <c r="E81" s="21"/>
      <c r="F81" s="21"/>
      <c r="G81" s="21"/>
      <c r="H81" s="21"/>
      <c r="I81" s="21"/>
      <c r="J81" s="21"/>
      <c r="K81" s="21"/>
      <c r="L81" s="21"/>
      <c r="M81" s="21"/>
    </row>
    <row r="82" spans="4:13" x14ac:dyDescent="0.2">
      <c r="D82" s="19" t="s">
        <v>121</v>
      </c>
      <c r="E82" s="21"/>
      <c r="F82" s="21"/>
      <c r="G82" s="21"/>
      <c r="H82" s="21"/>
      <c r="I82" s="21"/>
      <c r="J82" s="21"/>
      <c r="K82" s="21"/>
      <c r="L82" s="21"/>
      <c r="M82" s="21"/>
    </row>
    <row r="83" spans="4:13" x14ac:dyDescent="0.2">
      <c r="D83" s="19" t="s">
        <v>121</v>
      </c>
      <c r="E83" s="21"/>
      <c r="F83" s="21"/>
      <c r="G83" s="21"/>
      <c r="H83" s="21"/>
      <c r="I83" s="21"/>
      <c r="J83" s="21"/>
      <c r="K83" s="21"/>
      <c r="L83" s="21"/>
      <c r="M83" s="21"/>
    </row>
    <row r="84" spans="4:13" x14ac:dyDescent="0.2">
      <c r="D84" s="19" t="s">
        <v>121</v>
      </c>
      <c r="E84" s="21"/>
      <c r="F84" s="21"/>
      <c r="G84" s="21"/>
      <c r="H84" s="21"/>
      <c r="I84" s="21"/>
      <c r="J84" s="21"/>
      <c r="K84" s="21"/>
      <c r="L84" s="21"/>
      <c r="M84" s="21"/>
    </row>
    <row r="85" spans="4:13" x14ac:dyDescent="0.2">
      <c r="D85" s="19" t="s">
        <v>121</v>
      </c>
      <c r="E85" s="21"/>
      <c r="F85" s="21"/>
      <c r="G85" s="21"/>
      <c r="H85" s="21"/>
      <c r="I85" s="21"/>
      <c r="J85" s="21"/>
      <c r="K85" s="21"/>
      <c r="L85" s="21"/>
      <c r="M85" s="21"/>
    </row>
    <row r="86" spans="4:13" x14ac:dyDescent="0.2">
      <c r="D86" s="19" t="s">
        <v>121</v>
      </c>
      <c r="E86" s="21"/>
      <c r="F86" s="21"/>
      <c r="G86" s="21"/>
      <c r="H86" s="21"/>
      <c r="I86" s="21"/>
      <c r="J86" s="21"/>
      <c r="K86" s="21"/>
      <c r="L86" s="21"/>
      <c r="M86" s="21"/>
    </row>
    <row r="87" spans="4:13" x14ac:dyDescent="0.2">
      <c r="D87" s="19" t="s">
        <v>121</v>
      </c>
      <c r="E87" s="21"/>
      <c r="F87" s="21"/>
      <c r="G87" s="21"/>
      <c r="H87" s="21"/>
      <c r="I87" s="21"/>
      <c r="J87" s="21"/>
      <c r="K87" s="21"/>
      <c r="L87" s="21"/>
      <c r="M87" s="21"/>
    </row>
    <row r="88" spans="4:13" x14ac:dyDescent="0.2">
      <c r="D88" s="19" t="s">
        <v>121</v>
      </c>
      <c r="E88" s="21"/>
      <c r="F88" s="21"/>
      <c r="G88" s="21"/>
      <c r="H88" s="21"/>
      <c r="I88" s="21"/>
      <c r="J88" s="21"/>
      <c r="K88" s="21"/>
      <c r="L88" s="21"/>
      <c r="M88" s="21"/>
    </row>
    <row r="89" spans="4:13" x14ac:dyDescent="0.2">
      <c r="D89" s="19" t="s">
        <v>121</v>
      </c>
      <c r="E89" s="21"/>
      <c r="F89" s="21"/>
      <c r="G89" s="21"/>
      <c r="H89" s="21"/>
      <c r="I89" s="21"/>
      <c r="J89" s="21"/>
      <c r="K89" s="21"/>
      <c r="L89" s="21"/>
      <c r="M89" s="21"/>
    </row>
    <row r="90" spans="4:13" x14ac:dyDescent="0.2">
      <c r="D90" s="19" t="s">
        <v>121</v>
      </c>
      <c r="E90" s="21"/>
      <c r="F90" s="21"/>
      <c r="G90" s="21"/>
      <c r="H90" s="21"/>
      <c r="I90" s="21"/>
      <c r="J90" s="21"/>
      <c r="K90" s="21"/>
      <c r="L90" s="21"/>
      <c r="M90" s="21"/>
    </row>
    <row r="91" spans="4:13" x14ac:dyDescent="0.2">
      <c r="D91" s="19" t="s">
        <v>121</v>
      </c>
      <c r="E91" s="21"/>
      <c r="F91" s="21"/>
      <c r="G91" s="21"/>
      <c r="H91" s="21"/>
      <c r="I91" s="21"/>
      <c r="J91" s="21"/>
      <c r="K91" s="21"/>
      <c r="L91" s="21"/>
      <c r="M91" s="21"/>
    </row>
    <row r="92" spans="4:13" x14ac:dyDescent="0.2">
      <c r="D92" s="19" t="s">
        <v>121</v>
      </c>
      <c r="E92" s="21"/>
      <c r="F92" s="21"/>
      <c r="G92" s="21"/>
      <c r="H92" s="21"/>
      <c r="I92" s="21"/>
      <c r="J92" s="21"/>
      <c r="K92" s="21"/>
      <c r="L92" s="21"/>
      <c r="M92" s="21"/>
    </row>
    <row r="93" spans="4:13" x14ac:dyDescent="0.2">
      <c r="D93" s="19" t="s">
        <v>121</v>
      </c>
      <c r="E93" s="21"/>
      <c r="F93" s="21"/>
      <c r="G93" s="21"/>
      <c r="H93" s="21"/>
      <c r="I93" s="21"/>
      <c r="J93" s="21"/>
      <c r="K93" s="21"/>
      <c r="L93" s="21"/>
      <c r="M93" s="21"/>
    </row>
    <row r="94" spans="4:13" x14ac:dyDescent="0.2">
      <c r="D94" s="19" t="s">
        <v>121</v>
      </c>
      <c r="E94" s="21"/>
      <c r="F94" s="21"/>
      <c r="G94" s="21"/>
      <c r="H94" s="21"/>
      <c r="I94" s="21"/>
      <c r="J94" s="21"/>
      <c r="K94" s="21"/>
      <c r="L94" s="21"/>
      <c r="M94" s="21"/>
    </row>
    <row r="95" spans="4:13" x14ac:dyDescent="0.2">
      <c r="D95" s="19" t="s">
        <v>121</v>
      </c>
      <c r="E95" s="21"/>
      <c r="F95" s="21"/>
      <c r="G95" s="21"/>
      <c r="H95" s="21"/>
      <c r="I95" s="21"/>
      <c r="J95" s="21"/>
      <c r="K95" s="21"/>
      <c r="L95" s="21"/>
      <c r="M95" s="21"/>
    </row>
    <row r="96" spans="4:13" x14ac:dyDescent="0.2">
      <c r="D96" s="19" t="s">
        <v>121</v>
      </c>
      <c r="E96" s="21"/>
      <c r="F96" s="21"/>
      <c r="G96" s="21"/>
      <c r="H96" s="21"/>
      <c r="I96" s="21"/>
      <c r="J96" s="21"/>
      <c r="K96" s="21"/>
      <c r="L96" s="21"/>
      <c r="M96" s="21"/>
    </row>
    <row r="97" spans="4:13" x14ac:dyDescent="0.2">
      <c r="D97" s="19" t="s">
        <v>121</v>
      </c>
      <c r="E97" s="21"/>
      <c r="F97" s="21"/>
      <c r="G97" s="21"/>
      <c r="H97" s="21"/>
      <c r="I97" s="21"/>
      <c r="J97" s="21"/>
      <c r="K97" s="21"/>
      <c r="L97" s="21"/>
      <c r="M97" s="21"/>
    </row>
    <row r="98" spans="4:13" x14ac:dyDescent="0.2">
      <c r="D98" s="19" t="s">
        <v>121</v>
      </c>
      <c r="E98" s="21"/>
      <c r="F98" s="21"/>
      <c r="G98" s="21"/>
      <c r="H98" s="21"/>
      <c r="I98" s="21"/>
      <c r="J98" s="21"/>
      <c r="K98" s="21"/>
      <c r="L98" s="21"/>
      <c r="M98" s="21"/>
    </row>
    <row r="99" spans="4:13" x14ac:dyDescent="0.2">
      <c r="D99" s="19" t="s">
        <v>121</v>
      </c>
      <c r="E99" s="21"/>
      <c r="F99" s="21"/>
      <c r="G99" s="21"/>
      <c r="H99" s="21"/>
      <c r="I99" s="21"/>
      <c r="J99" s="21"/>
      <c r="K99" s="21"/>
      <c r="L99" s="21"/>
      <c r="M99" s="21"/>
    </row>
    <row r="100" spans="4:13" x14ac:dyDescent="0.2">
      <c r="D100" s="19" t="s">
        <v>121</v>
      </c>
      <c r="E100" s="21"/>
      <c r="F100" s="21"/>
      <c r="G100" s="21"/>
      <c r="H100" s="21"/>
      <c r="I100" s="21"/>
      <c r="J100" s="21"/>
      <c r="K100" s="21"/>
      <c r="L100" s="21"/>
      <c r="M100" s="21"/>
    </row>
    <row r="101" spans="4:13" x14ac:dyDescent="0.2">
      <c r="D101" s="19" t="s">
        <v>121</v>
      </c>
      <c r="E101" s="21"/>
      <c r="F101" s="21"/>
      <c r="G101" s="21"/>
      <c r="H101" s="21"/>
      <c r="I101" s="21"/>
      <c r="J101" s="21"/>
      <c r="K101" s="21"/>
      <c r="L101" s="21"/>
      <c r="M101" s="21"/>
    </row>
    <row r="102" spans="4:13" x14ac:dyDescent="0.2">
      <c r="D102" s="19" t="s">
        <v>121</v>
      </c>
      <c r="E102" s="21"/>
      <c r="F102" s="21"/>
      <c r="G102" s="21"/>
      <c r="H102" s="21"/>
      <c r="I102" s="21"/>
      <c r="J102" s="21"/>
      <c r="K102" s="21"/>
      <c r="L102" s="21"/>
      <c r="M102" s="21"/>
    </row>
    <row r="103" spans="4:13" x14ac:dyDescent="0.2">
      <c r="D103" s="19" t="s">
        <v>121</v>
      </c>
      <c r="E103" s="21"/>
      <c r="F103" s="21"/>
      <c r="G103" s="21"/>
      <c r="H103" s="21"/>
      <c r="I103" s="21"/>
      <c r="J103" s="21"/>
      <c r="K103" s="21"/>
      <c r="L103" s="21"/>
      <c r="M103" s="21"/>
    </row>
    <row r="104" spans="4:13" x14ac:dyDescent="0.2">
      <c r="D104" s="19" t="s">
        <v>121</v>
      </c>
      <c r="E104" s="21"/>
      <c r="F104" s="21"/>
      <c r="G104" s="21"/>
      <c r="H104" s="21"/>
      <c r="I104" s="21"/>
      <c r="J104" s="21"/>
      <c r="K104" s="21"/>
      <c r="L104" s="21"/>
      <c r="M104" s="21"/>
    </row>
    <row r="105" spans="4:13" x14ac:dyDescent="0.2">
      <c r="D105" s="19" t="s">
        <v>121</v>
      </c>
      <c r="E105" s="21"/>
      <c r="F105" s="21"/>
      <c r="G105" s="21"/>
      <c r="H105" s="21"/>
      <c r="I105" s="21"/>
      <c r="J105" s="21"/>
      <c r="K105" s="21"/>
      <c r="L105" s="21"/>
      <c r="M105" s="21"/>
    </row>
    <row r="106" spans="4:13" x14ac:dyDescent="0.2">
      <c r="D106" s="19" t="s">
        <v>121</v>
      </c>
      <c r="E106" s="21"/>
      <c r="F106" s="21"/>
      <c r="G106" s="21"/>
      <c r="H106" s="21"/>
      <c r="I106" s="21"/>
      <c r="J106" s="21"/>
      <c r="K106" s="21"/>
      <c r="L106" s="21"/>
      <c r="M106" s="21"/>
    </row>
    <row r="107" spans="4:13" x14ac:dyDescent="0.2">
      <c r="D107" s="19" t="s">
        <v>121</v>
      </c>
      <c r="E107" s="21"/>
      <c r="F107" s="21"/>
      <c r="G107" s="21"/>
      <c r="H107" s="21"/>
      <c r="I107" s="21"/>
      <c r="J107" s="21"/>
      <c r="K107" s="21"/>
      <c r="L107" s="21"/>
      <c r="M107" s="21"/>
    </row>
    <row r="108" spans="4:13" x14ac:dyDescent="0.2">
      <c r="D108" s="19" t="s">
        <v>121</v>
      </c>
      <c r="E108" s="21"/>
      <c r="F108" s="21"/>
      <c r="G108" s="21"/>
      <c r="H108" s="21"/>
      <c r="I108" s="21"/>
      <c r="J108" s="21"/>
      <c r="K108" s="21"/>
      <c r="L108" s="21"/>
      <c r="M108" s="21"/>
    </row>
    <row r="109" spans="4:13" x14ac:dyDescent="0.2">
      <c r="D109" s="19" t="s">
        <v>121</v>
      </c>
      <c r="E109" s="21"/>
      <c r="F109" s="21"/>
      <c r="G109" s="21"/>
      <c r="H109" s="21"/>
      <c r="I109" s="21"/>
      <c r="J109" s="21"/>
      <c r="K109" s="21"/>
      <c r="L109" s="21"/>
      <c r="M109" s="21"/>
    </row>
    <row r="110" spans="4:13" x14ac:dyDescent="0.2">
      <c r="D110" s="19" t="s">
        <v>121</v>
      </c>
      <c r="E110" s="21"/>
      <c r="F110" s="21"/>
      <c r="G110" s="21"/>
      <c r="H110" s="21"/>
      <c r="I110" s="21"/>
      <c r="J110" s="21"/>
      <c r="K110" s="21"/>
      <c r="L110" s="21"/>
      <c r="M110" s="21"/>
    </row>
    <row r="111" spans="4:13" x14ac:dyDescent="0.2">
      <c r="D111" s="22"/>
      <c r="E111" s="23"/>
      <c r="F111" s="23"/>
      <c r="G111" s="23"/>
      <c r="H111" s="23"/>
      <c r="I111" s="23"/>
      <c r="J111" s="23"/>
      <c r="K111" s="23"/>
      <c r="L111" s="23"/>
      <c r="M111" s="23"/>
    </row>
    <row r="112" spans="4:13" x14ac:dyDescent="0.2">
      <c r="D112" s="22"/>
      <c r="E112" s="23"/>
      <c r="F112" s="23"/>
      <c r="G112" s="23"/>
      <c r="H112" s="23"/>
      <c r="I112" s="23"/>
      <c r="J112" s="23"/>
      <c r="K112" s="23"/>
      <c r="L112" s="23"/>
      <c r="M112" s="23"/>
    </row>
    <row r="113" spans="4:13" x14ac:dyDescent="0.2">
      <c r="D113" s="22"/>
      <c r="E113" s="23"/>
      <c r="F113" s="23"/>
      <c r="G113" s="23"/>
      <c r="H113" s="23"/>
      <c r="I113" s="23"/>
      <c r="J113" s="23"/>
      <c r="K113" s="23"/>
      <c r="L113" s="23"/>
      <c r="M113" s="23"/>
    </row>
    <row r="114" spans="4:13" x14ac:dyDescent="0.2">
      <c r="D114" s="22"/>
      <c r="E114" s="23"/>
      <c r="F114" s="23"/>
      <c r="G114" s="23"/>
      <c r="H114" s="23"/>
      <c r="I114" s="23"/>
      <c r="J114" s="23"/>
      <c r="K114" s="23"/>
      <c r="L114" s="23"/>
      <c r="M114" s="23"/>
    </row>
    <row r="115" spans="4:13" x14ac:dyDescent="0.2">
      <c r="D115" s="22"/>
      <c r="E115" s="23"/>
      <c r="F115" s="23"/>
      <c r="G115" s="23"/>
      <c r="H115" s="23"/>
      <c r="I115" s="23"/>
      <c r="J115" s="23"/>
      <c r="K115" s="23"/>
      <c r="L115" s="23"/>
      <c r="M115" s="23"/>
    </row>
    <row r="116" spans="4:13" x14ac:dyDescent="0.2">
      <c r="D116" s="22"/>
      <c r="E116" s="23"/>
      <c r="F116" s="23"/>
      <c r="G116" s="23"/>
      <c r="H116" s="23"/>
      <c r="I116" s="23"/>
      <c r="J116" s="23"/>
      <c r="K116" s="23"/>
      <c r="L116" s="23"/>
      <c r="M116" s="23"/>
    </row>
    <row r="117" spans="4:13" x14ac:dyDescent="0.2">
      <c r="D117" s="22"/>
      <c r="E117" s="23"/>
      <c r="F117" s="23"/>
      <c r="G117" s="23"/>
      <c r="H117" s="23"/>
      <c r="I117" s="23"/>
      <c r="J117" s="23"/>
      <c r="K117" s="23"/>
      <c r="L117" s="23"/>
      <c r="M117" s="23"/>
    </row>
    <row r="118" spans="4:13" x14ac:dyDescent="0.2">
      <c r="D118" s="22"/>
      <c r="E118" s="23"/>
      <c r="F118" s="23"/>
      <c r="G118" s="23"/>
      <c r="H118" s="23"/>
      <c r="I118" s="23"/>
      <c r="J118" s="23"/>
      <c r="K118" s="23"/>
      <c r="L118" s="23"/>
      <c r="M118" s="23"/>
    </row>
    <row r="119" spans="4:13" x14ac:dyDescent="0.2">
      <c r="D119" s="22"/>
      <c r="E119" s="23"/>
      <c r="F119" s="23"/>
      <c r="G119" s="23"/>
      <c r="H119" s="23"/>
      <c r="I119" s="23"/>
      <c r="J119" s="23"/>
      <c r="K119" s="23"/>
      <c r="L119" s="23"/>
      <c r="M119" s="23"/>
    </row>
    <row r="120" spans="4:13" x14ac:dyDescent="0.2">
      <c r="D120" s="22"/>
      <c r="E120" s="23"/>
      <c r="F120" s="23"/>
      <c r="G120" s="23"/>
      <c r="H120" s="23"/>
      <c r="I120" s="23"/>
      <c r="J120" s="23"/>
      <c r="K120" s="23"/>
      <c r="L120" s="23"/>
      <c r="M120" s="23"/>
    </row>
    <row r="121" spans="4:13" x14ac:dyDescent="0.2">
      <c r="D121" s="22"/>
      <c r="E121" s="23"/>
      <c r="F121" s="23"/>
      <c r="G121" s="23"/>
      <c r="H121" s="23"/>
      <c r="I121" s="23"/>
      <c r="J121" s="23"/>
      <c r="K121" s="23"/>
      <c r="L121" s="23"/>
      <c r="M121" s="23"/>
    </row>
    <row r="122" spans="4:13" x14ac:dyDescent="0.2">
      <c r="D122" s="22"/>
      <c r="E122" s="23"/>
      <c r="F122" s="23"/>
      <c r="G122" s="23"/>
      <c r="H122" s="23"/>
      <c r="I122" s="23"/>
      <c r="J122" s="23"/>
      <c r="K122" s="23"/>
      <c r="L122" s="23"/>
      <c r="M122" s="23"/>
    </row>
    <row r="123" spans="4:13" x14ac:dyDescent="0.2">
      <c r="D123" s="22"/>
      <c r="E123" s="23"/>
      <c r="F123" s="23"/>
      <c r="G123" s="23"/>
      <c r="H123" s="23"/>
      <c r="I123" s="23"/>
      <c r="J123" s="23"/>
      <c r="K123" s="23"/>
      <c r="L123" s="23"/>
      <c r="M123" s="23"/>
    </row>
    <row r="124" spans="4:13" x14ac:dyDescent="0.2">
      <c r="D124" s="22"/>
      <c r="E124" s="23"/>
      <c r="F124" s="23"/>
      <c r="G124" s="23"/>
      <c r="H124" s="23"/>
      <c r="I124" s="23"/>
      <c r="J124" s="23"/>
      <c r="K124" s="23"/>
      <c r="L124" s="23"/>
      <c r="M124" s="23"/>
    </row>
    <row r="125" spans="4:13" x14ac:dyDescent="0.2">
      <c r="D125" s="22"/>
      <c r="E125" s="23"/>
      <c r="F125" s="23"/>
      <c r="G125" s="23"/>
      <c r="H125" s="23"/>
      <c r="I125" s="23"/>
      <c r="J125" s="23"/>
      <c r="K125" s="23"/>
      <c r="L125" s="23"/>
      <c r="M125" s="23"/>
    </row>
    <row r="126" spans="4:13" x14ac:dyDescent="0.2">
      <c r="D126" s="22"/>
      <c r="E126" s="23"/>
      <c r="F126" s="23"/>
      <c r="G126" s="23"/>
      <c r="H126" s="23"/>
      <c r="I126" s="23"/>
      <c r="J126" s="23"/>
      <c r="K126" s="23"/>
      <c r="L126" s="23"/>
      <c r="M126" s="23"/>
    </row>
    <row r="127" spans="4:13" x14ac:dyDescent="0.2">
      <c r="D127" s="22"/>
      <c r="E127" s="23"/>
      <c r="F127" s="23"/>
      <c r="G127" s="23"/>
      <c r="H127" s="23"/>
      <c r="I127" s="23"/>
      <c r="J127" s="23"/>
      <c r="K127" s="23"/>
      <c r="L127" s="23"/>
      <c r="M127" s="23"/>
    </row>
    <row r="128" spans="4:13" x14ac:dyDescent="0.2">
      <c r="D128" s="22"/>
      <c r="E128" s="23"/>
      <c r="F128" s="23"/>
      <c r="G128" s="23"/>
      <c r="H128" s="23"/>
      <c r="I128" s="23"/>
      <c r="J128" s="23"/>
      <c r="K128" s="23"/>
      <c r="L128" s="23"/>
      <c r="M128" s="23"/>
    </row>
    <row r="129" spans="4:13" x14ac:dyDescent="0.2">
      <c r="D129" s="22"/>
      <c r="E129" s="23"/>
      <c r="F129" s="23"/>
      <c r="G129" s="23"/>
      <c r="H129" s="23"/>
      <c r="I129" s="23"/>
      <c r="J129" s="23"/>
      <c r="K129" s="23"/>
      <c r="L129" s="23"/>
      <c r="M129" s="23"/>
    </row>
    <row r="130" spans="4:13" x14ac:dyDescent="0.2">
      <c r="D130" s="22"/>
      <c r="E130" s="23"/>
      <c r="F130" s="23"/>
      <c r="G130" s="23"/>
      <c r="H130" s="23"/>
      <c r="I130" s="23"/>
      <c r="J130" s="23"/>
      <c r="K130" s="23"/>
      <c r="L130" s="23"/>
      <c r="M130" s="23"/>
    </row>
    <row r="131" spans="4:13" x14ac:dyDescent="0.2">
      <c r="D131" s="22"/>
      <c r="E131" s="23"/>
      <c r="F131" s="23"/>
      <c r="G131" s="23"/>
      <c r="H131" s="23"/>
      <c r="I131" s="23"/>
      <c r="J131" s="23"/>
      <c r="K131" s="23"/>
      <c r="L131" s="23"/>
      <c r="M131" s="23"/>
    </row>
    <row r="132" spans="4:13" x14ac:dyDescent="0.2">
      <c r="D132" s="22"/>
      <c r="E132" s="23"/>
      <c r="F132" s="23"/>
      <c r="G132" s="23"/>
      <c r="H132" s="23"/>
      <c r="I132" s="23"/>
      <c r="J132" s="23"/>
      <c r="K132" s="23"/>
      <c r="L132" s="23"/>
      <c r="M132" s="23"/>
    </row>
    <row r="133" spans="4:13" x14ac:dyDescent="0.2">
      <c r="D133" s="22"/>
      <c r="E133" s="23"/>
      <c r="F133" s="23"/>
      <c r="G133" s="23"/>
      <c r="H133" s="23"/>
      <c r="I133" s="23"/>
      <c r="J133" s="23"/>
      <c r="K133" s="23"/>
      <c r="L133" s="23"/>
      <c r="M133" s="23"/>
    </row>
    <row r="134" spans="4:13" x14ac:dyDescent="0.2">
      <c r="D134" s="22"/>
      <c r="E134" s="23"/>
      <c r="F134" s="23"/>
      <c r="G134" s="23"/>
      <c r="H134" s="23"/>
      <c r="I134" s="23"/>
      <c r="J134" s="23"/>
      <c r="K134" s="23"/>
      <c r="L134" s="23"/>
      <c r="M134" s="23"/>
    </row>
    <row r="135" spans="4:13" x14ac:dyDescent="0.2">
      <c r="D135" s="22"/>
      <c r="E135" s="23"/>
      <c r="F135" s="23"/>
      <c r="G135" s="23"/>
      <c r="H135" s="23"/>
      <c r="I135" s="23"/>
      <c r="J135" s="23"/>
      <c r="K135" s="23"/>
      <c r="L135" s="23"/>
      <c r="M135" s="23"/>
    </row>
    <row r="136" spans="4:13" x14ac:dyDescent="0.2">
      <c r="D136" s="22"/>
      <c r="E136" s="23"/>
      <c r="F136" s="23"/>
      <c r="G136" s="23"/>
      <c r="H136" s="23"/>
      <c r="I136" s="23"/>
      <c r="J136" s="23"/>
      <c r="K136" s="23"/>
      <c r="L136" s="23"/>
      <c r="M136" s="23"/>
    </row>
    <row r="137" spans="4:13" x14ac:dyDescent="0.2">
      <c r="D137" s="22"/>
      <c r="E137" s="23"/>
      <c r="F137" s="23"/>
      <c r="G137" s="23"/>
      <c r="H137" s="23"/>
      <c r="I137" s="23"/>
      <c r="J137" s="23"/>
      <c r="K137" s="23"/>
      <c r="L137" s="23"/>
      <c r="M137" s="23"/>
    </row>
    <row r="138" spans="4:13" x14ac:dyDescent="0.2">
      <c r="D138" s="22"/>
      <c r="E138" s="23"/>
      <c r="F138" s="23"/>
      <c r="G138" s="23"/>
      <c r="H138" s="23"/>
      <c r="I138" s="23"/>
      <c r="J138" s="23"/>
      <c r="K138" s="23"/>
      <c r="L138" s="23"/>
      <c r="M138" s="23"/>
    </row>
    <row r="139" spans="4:13" x14ac:dyDescent="0.2">
      <c r="D139" s="22"/>
      <c r="E139" s="23"/>
      <c r="F139" s="23"/>
      <c r="G139" s="23"/>
      <c r="H139" s="23"/>
      <c r="I139" s="23"/>
      <c r="J139" s="23"/>
      <c r="K139" s="23"/>
      <c r="L139" s="23"/>
      <c r="M139" s="23"/>
    </row>
    <row r="140" spans="4:13" x14ac:dyDescent="0.2">
      <c r="D140" s="22"/>
      <c r="E140" s="23"/>
      <c r="F140" s="23"/>
      <c r="G140" s="23"/>
      <c r="H140" s="23"/>
      <c r="I140" s="23"/>
      <c r="J140" s="23"/>
      <c r="K140" s="23"/>
      <c r="L140" s="23"/>
      <c r="M140" s="23"/>
    </row>
    <row r="141" spans="4:13" x14ac:dyDescent="0.2">
      <c r="D141" s="22"/>
      <c r="E141" s="23"/>
      <c r="F141" s="23"/>
      <c r="G141" s="23"/>
      <c r="H141" s="23"/>
      <c r="I141" s="23"/>
      <c r="J141" s="23"/>
      <c r="K141" s="23"/>
      <c r="L141" s="23"/>
      <c r="M141" s="23"/>
    </row>
    <row r="142" spans="4:13" x14ac:dyDescent="0.2">
      <c r="D142" s="22"/>
      <c r="E142" s="23"/>
      <c r="F142" s="23"/>
      <c r="G142" s="23"/>
      <c r="H142" s="23"/>
      <c r="I142" s="23"/>
      <c r="J142" s="23"/>
      <c r="K142" s="23"/>
      <c r="L142" s="23"/>
      <c r="M142" s="23"/>
    </row>
    <row r="143" spans="4:13" x14ac:dyDescent="0.2">
      <c r="D143" s="22"/>
      <c r="E143" s="23"/>
      <c r="F143" s="23"/>
      <c r="G143" s="23"/>
      <c r="H143" s="23"/>
      <c r="I143" s="23"/>
      <c r="J143" s="23"/>
      <c r="K143" s="23"/>
      <c r="L143" s="23"/>
      <c r="M143" s="23"/>
    </row>
    <row r="144" spans="4:13" x14ac:dyDescent="0.2">
      <c r="D144" s="22"/>
      <c r="E144" s="23"/>
      <c r="F144" s="23"/>
      <c r="G144" s="23"/>
      <c r="H144" s="23"/>
      <c r="I144" s="23"/>
      <c r="J144" s="23"/>
      <c r="K144" s="23"/>
      <c r="L144" s="23"/>
      <c r="M144" s="23"/>
    </row>
    <row r="145" spans="4:13" x14ac:dyDescent="0.2">
      <c r="D145" s="22"/>
      <c r="E145" s="23"/>
      <c r="F145" s="23"/>
      <c r="G145" s="23"/>
      <c r="H145" s="23"/>
      <c r="I145" s="23"/>
      <c r="J145" s="23"/>
      <c r="K145" s="23"/>
      <c r="L145" s="23"/>
      <c r="M145" s="23"/>
    </row>
    <row r="146" spans="4:13" x14ac:dyDescent="0.2">
      <c r="D146" s="22"/>
      <c r="E146" s="23"/>
      <c r="F146" s="23"/>
      <c r="G146" s="23"/>
      <c r="H146" s="23"/>
      <c r="I146" s="23"/>
      <c r="J146" s="23"/>
      <c r="K146" s="23"/>
      <c r="L146" s="23"/>
      <c r="M146" s="23"/>
    </row>
    <row r="147" spans="4:13" x14ac:dyDescent="0.2">
      <c r="D147" s="22"/>
      <c r="E147" s="23"/>
      <c r="F147" s="23"/>
      <c r="G147" s="23"/>
      <c r="H147" s="23"/>
      <c r="I147" s="23"/>
      <c r="J147" s="23"/>
      <c r="K147" s="23"/>
      <c r="L147" s="23"/>
      <c r="M147" s="23"/>
    </row>
    <row r="148" spans="4:13" x14ac:dyDescent="0.2">
      <c r="D148" s="22"/>
      <c r="E148" s="23"/>
      <c r="F148" s="23"/>
      <c r="G148" s="23"/>
      <c r="H148" s="23"/>
      <c r="I148" s="23"/>
      <c r="J148" s="23"/>
      <c r="K148" s="23"/>
      <c r="L148" s="23"/>
      <c r="M148" s="23"/>
    </row>
    <row r="149" spans="4:13" x14ac:dyDescent="0.2">
      <c r="D149" s="22"/>
      <c r="E149" s="23"/>
      <c r="F149" s="23"/>
      <c r="G149" s="23"/>
      <c r="H149" s="23"/>
      <c r="I149" s="23"/>
      <c r="J149" s="23"/>
      <c r="K149" s="23"/>
      <c r="L149" s="23"/>
      <c r="M149" s="23"/>
    </row>
    <row r="150" spans="4:13" x14ac:dyDescent="0.2">
      <c r="D150" s="22"/>
      <c r="E150" s="23"/>
      <c r="F150" s="23"/>
      <c r="G150" s="23"/>
      <c r="H150" s="23"/>
      <c r="I150" s="23"/>
      <c r="J150" s="23"/>
      <c r="K150" s="23"/>
      <c r="L150" s="23"/>
      <c r="M150" s="23"/>
    </row>
    <row r="151" spans="4:13" x14ac:dyDescent="0.2">
      <c r="D151" s="22"/>
      <c r="E151" s="23"/>
      <c r="F151" s="23"/>
      <c r="G151" s="23"/>
      <c r="H151" s="23"/>
      <c r="I151" s="23"/>
      <c r="J151" s="23"/>
      <c r="K151" s="23"/>
      <c r="L151" s="23"/>
      <c r="M151" s="23"/>
    </row>
    <row r="152" spans="4:13" x14ac:dyDescent="0.2">
      <c r="D152" s="22"/>
      <c r="E152" s="23"/>
      <c r="F152" s="23"/>
      <c r="G152" s="23"/>
      <c r="H152" s="23"/>
      <c r="I152" s="23"/>
      <c r="J152" s="23"/>
      <c r="K152" s="23"/>
      <c r="L152" s="23"/>
      <c r="M152" s="23"/>
    </row>
    <row r="153" spans="4:13" x14ac:dyDescent="0.2">
      <c r="D153" s="22"/>
      <c r="E153" s="23"/>
      <c r="F153" s="23"/>
      <c r="G153" s="23"/>
      <c r="H153" s="23"/>
      <c r="I153" s="23"/>
      <c r="J153" s="23"/>
      <c r="K153" s="23"/>
      <c r="L153" s="23"/>
      <c r="M153" s="23"/>
    </row>
    <row r="154" spans="4:13" x14ac:dyDescent="0.2">
      <c r="D154" s="22"/>
      <c r="E154" s="23"/>
      <c r="F154" s="23"/>
      <c r="G154" s="23"/>
      <c r="H154" s="23"/>
      <c r="I154" s="23"/>
      <c r="J154" s="23"/>
      <c r="K154" s="23"/>
      <c r="L154" s="23"/>
      <c r="M154" s="23"/>
    </row>
    <row r="155" spans="4:13" x14ac:dyDescent="0.2">
      <c r="D155" s="22"/>
      <c r="E155" s="23"/>
      <c r="F155" s="23"/>
      <c r="G155" s="23"/>
      <c r="H155" s="23"/>
      <c r="I155" s="23"/>
      <c r="J155" s="23"/>
      <c r="K155" s="23"/>
      <c r="L155" s="23"/>
      <c r="M155" s="23"/>
    </row>
    <row r="156" spans="4:13" x14ac:dyDescent="0.2">
      <c r="D156" s="22"/>
      <c r="E156" s="23"/>
      <c r="F156" s="23"/>
      <c r="G156" s="23"/>
      <c r="H156" s="23"/>
      <c r="I156" s="23"/>
      <c r="J156" s="23"/>
      <c r="K156" s="23"/>
      <c r="L156" s="23"/>
      <c r="M156" s="23"/>
    </row>
    <row r="157" spans="4:13" x14ac:dyDescent="0.2">
      <c r="D157" s="22"/>
      <c r="E157" s="23"/>
      <c r="F157" s="23"/>
      <c r="G157" s="23"/>
      <c r="H157" s="23"/>
      <c r="I157" s="23"/>
      <c r="J157" s="23"/>
      <c r="K157" s="23"/>
      <c r="L157" s="23"/>
      <c r="M157" s="23"/>
    </row>
    <row r="158" spans="4:13" x14ac:dyDescent="0.2">
      <c r="D158" s="22"/>
      <c r="E158" s="23"/>
      <c r="F158" s="23"/>
      <c r="G158" s="23"/>
      <c r="H158" s="23"/>
      <c r="I158" s="23"/>
      <c r="J158" s="23"/>
      <c r="K158" s="23"/>
      <c r="L158" s="23"/>
      <c r="M158" s="23"/>
    </row>
    <row r="159" spans="4:13" x14ac:dyDescent="0.2">
      <c r="D159" s="22"/>
      <c r="E159" s="23"/>
      <c r="F159" s="23"/>
      <c r="G159" s="23"/>
      <c r="H159" s="23"/>
      <c r="I159" s="23"/>
      <c r="J159" s="23"/>
      <c r="K159" s="23"/>
      <c r="L159" s="23"/>
      <c r="M159" s="23"/>
    </row>
    <row r="160" spans="4:13" x14ac:dyDescent="0.2">
      <c r="D160" s="22"/>
      <c r="E160" s="23"/>
      <c r="F160" s="23"/>
      <c r="G160" s="23"/>
      <c r="H160" s="23"/>
      <c r="I160" s="23"/>
      <c r="J160" s="23"/>
      <c r="K160" s="23"/>
      <c r="L160" s="23"/>
      <c r="M160" s="23"/>
    </row>
    <row r="161" spans="4:13" x14ac:dyDescent="0.2">
      <c r="D161" s="22"/>
      <c r="E161" s="23"/>
      <c r="F161" s="23"/>
      <c r="G161" s="23"/>
      <c r="H161" s="23"/>
      <c r="I161" s="23"/>
      <c r="J161" s="23"/>
      <c r="K161" s="23"/>
      <c r="L161" s="23"/>
      <c r="M161" s="23"/>
    </row>
    <row r="162" spans="4:13" x14ac:dyDescent="0.2">
      <c r="D162" s="22"/>
      <c r="E162" s="23"/>
      <c r="F162" s="23"/>
      <c r="G162" s="23"/>
      <c r="H162" s="23"/>
      <c r="I162" s="23"/>
      <c r="J162" s="23"/>
      <c r="K162" s="23"/>
      <c r="L162" s="23"/>
      <c r="M162" s="23"/>
    </row>
    <row r="163" spans="4:13" x14ac:dyDescent="0.2">
      <c r="D163" s="22"/>
      <c r="E163" s="23"/>
      <c r="F163" s="23"/>
      <c r="G163" s="23"/>
      <c r="H163" s="23"/>
      <c r="I163" s="23"/>
      <c r="J163" s="23"/>
      <c r="K163" s="23"/>
      <c r="L163" s="23"/>
      <c r="M163" s="23"/>
    </row>
    <row r="164" spans="4:13" x14ac:dyDescent="0.2">
      <c r="D164" s="22"/>
      <c r="E164" s="23"/>
      <c r="F164" s="23"/>
      <c r="G164" s="23"/>
      <c r="H164" s="23"/>
      <c r="I164" s="23"/>
      <c r="J164" s="23"/>
      <c r="K164" s="23"/>
      <c r="L164" s="23"/>
      <c r="M164" s="23"/>
    </row>
    <row r="165" spans="4:13" x14ac:dyDescent="0.2">
      <c r="D165" s="22"/>
      <c r="E165" s="23"/>
      <c r="F165" s="23"/>
      <c r="G165" s="23"/>
      <c r="H165" s="23"/>
      <c r="I165" s="23"/>
      <c r="J165" s="23"/>
      <c r="K165" s="23"/>
      <c r="L165" s="23"/>
      <c r="M165" s="23"/>
    </row>
    <row r="166" spans="4:13" x14ac:dyDescent="0.2">
      <c r="D166" s="22"/>
      <c r="E166" s="23"/>
      <c r="F166" s="23"/>
      <c r="G166" s="23"/>
      <c r="H166" s="23"/>
      <c r="I166" s="23"/>
      <c r="J166" s="23"/>
      <c r="K166" s="23"/>
      <c r="L166" s="23"/>
      <c r="M166" s="23"/>
    </row>
    <row r="167" spans="4:13" x14ac:dyDescent="0.2">
      <c r="D167" s="22"/>
      <c r="E167" s="23"/>
      <c r="F167" s="23"/>
      <c r="G167" s="23"/>
      <c r="H167" s="23"/>
      <c r="I167" s="23"/>
      <c r="J167" s="23"/>
      <c r="K167" s="23"/>
      <c r="L167" s="23"/>
      <c r="M167" s="23"/>
    </row>
    <row r="168" spans="4:13" x14ac:dyDescent="0.2">
      <c r="D168" s="22"/>
      <c r="E168" s="23"/>
      <c r="F168" s="23"/>
      <c r="G168" s="23"/>
      <c r="H168" s="23"/>
      <c r="I168" s="23"/>
      <c r="J168" s="23"/>
      <c r="K168" s="23"/>
      <c r="L168" s="23"/>
      <c r="M168" s="23"/>
    </row>
    <row r="169" spans="4:13" x14ac:dyDescent="0.2">
      <c r="D169" s="22"/>
      <c r="E169" s="23"/>
      <c r="F169" s="23"/>
      <c r="G169" s="23"/>
      <c r="H169" s="23"/>
      <c r="I169" s="23"/>
      <c r="J169" s="23"/>
      <c r="K169" s="23"/>
      <c r="L169" s="23"/>
      <c r="M169" s="23"/>
    </row>
    <row r="170" spans="4:13" x14ac:dyDescent="0.2">
      <c r="D170" s="22"/>
      <c r="E170" s="23"/>
      <c r="F170" s="23"/>
      <c r="G170" s="23"/>
      <c r="H170" s="23"/>
      <c r="I170" s="23"/>
      <c r="J170" s="23"/>
      <c r="K170" s="23"/>
      <c r="L170" s="23"/>
      <c r="M170" s="23"/>
    </row>
    <row r="171" spans="4:13" x14ac:dyDescent="0.2">
      <c r="D171" s="22"/>
      <c r="E171" s="23"/>
      <c r="F171" s="23"/>
      <c r="G171" s="23"/>
      <c r="H171" s="23"/>
      <c r="I171" s="23"/>
      <c r="J171" s="23"/>
      <c r="K171" s="23"/>
      <c r="L171" s="23"/>
      <c r="M171" s="23"/>
    </row>
    <row r="172" spans="4:13" x14ac:dyDescent="0.2">
      <c r="D172" s="22"/>
      <c r="E172" s="23"/>
      <c r="F172" s="23"/>
      <c r="G172" s="23"/>
      <c r="H172" s="23"/>
      <c r="I172" s="23"/>
      <c r="J172" s="23"/>
      <c r="K172" s="23"/>
      <c r="L172" s="23"/>
      <c r="M172" s="23"/>
    </row>
    <row r="173" spans="4:13" x14ac:dyDescent="0.2">
      <c r="D173" s="22"/>
      <c r="E173" s="23"/>
      <c r="F173" s="23"/>
      <c r="G173" s="23"/>
      <c r="H173" s="23"/>
      <c r="I173" s="23"/>
      <c r="J173" s="23"/>
      <c r="K173" s="23"/>
      <c r="L173" s="23"/>
      <c r="M173" s="23"/>
    </row>
    <row r="174" spans="4:13" x14ac:dyDescent="0.2">
      <c r="D174" s="22"/>
      <c r="E174" s="23"/>
      <c r="F174" s="23"/>
      <c r="G174" s="23"/>
      <c r="H174" s="23"/>
      <c r="I174" s="23"/>
      <c r="J174" s="23"/>
      <c r="K174" s="23"/>
      <c r="L174" s="23"/>
      <c r="M174" s="23"/>
    </row>
    <row r="175" spans="4:13" x14ac:dyDescent="0.2">
      <c r="D175" s="22"/>
      <c r="E175" s="23"/>
      <c r="F175" s="23"/>
      <c r="G175" s="23"/>
      <c r="H175" s="23"/>
      <c r="I175" s="23"/>
      <c r="J175" s="23"/>
      <c r="K175" s="23"/>
      <c r="L175" s="23"/>
      <c r="M175" s="23"/>
    </row>
    <row r="176" spans="4:13" x14ac:dyDescent="0.2">
      <c r="D176" s="22"/>
      <c r="E176" s="23"/>
      <c r="F176" s="23"/>
      <c r="G176" s="23"/>
      <c r="H176" s="23"/>
      <c r="I176" s="23"/>
      <c r="J176" s="23"/>
      <c r="K176" s="23"/>
      <c r="L176" s="23"/>
      <c r="M176" s="23"/>
    </row>
    <row r="177" spans="4:13" x14ac:dyDescent="0.2">
      <c r="D177" s="22"/>
      <c r="E177" s="23"/>
      <c r="F177" s="23"/>
      <c r="G177" s="23"/>
      <c r="H177" s="23"/>
      <c r="I177" s="23"/>
      <c r="J177" s="23"/>
      <c r="K177" s="23"/>
      <c r="L177" s="23"/>
      <c r="M177" s="23"/>
    </row>
    <row r="178" spans="4:13" x14ac:dyDescent="0.2">
      <c r="D178" s="22"/>
      <c r="E178" s="23"/>
      <c r="F178" s="23"/>
      <c r="G178" s="23"/>
      <c r="H178" s="23"/>
      <c r="I178" s="23"/>
      <c r="J178" s="23"/>
      <c r="K178" s="23"/>
      <c r="L178" s="23"/>
      <c r="M178" s="23"/>
    </row>
    <row r="179" spans="4:13" x14ac:dyDescent="0.2">
      <c r="D179" s="22"/>
      <c r="E179" s="23"/>
      <c r="F179" s="23"/>
      <c r="G179" s="23"/>
      <c r="H179" s="23"/>
      <c r="I179" s="23"/>
      <c r="J179" s="23"/>
      <c r="K179" s="23"/>
      <c r="L179" s="23"/>
      <c r="M179" s="23"/>
    </row>
    <row r="180" spans="4:13" x14ac:dyDescent="0.2">
      <c r="D180" s="22"/>
      <c r="E180" s="23"/>
      <c r="F180" s="23"/>
      <c r="G180" s="23"/>
      <c r="H180" s="23"/>
      <c r="I180" s="23"/>
      <c r="J180" s="23"/>
      <c r="K180" s="23"/>
      <c r="L180" s="23"/>
      <c r="M180" s="23"/>
    </row>
    <row r="181" spans="4:13" x14ac:dyDescent="0.2">
      <c r="D181" s="22"/>
      <c r="E181" s="23"/>
      <c r="F181" s="23"/>
      <c r="G181" s="23"/>
      <c r="H181" s="23"/>
      <c r="I181" s="23"/>
      <c r="J181" s="23"/>
      <c r="K181" s="23"/>
      <c r="L181" s="23"/>
      <c r="M181" s="23"/>
    </row>
    <row r="182" spans="4:13" x14ac:dyDescent="0.2">
      <c r="D182" s="22"/>
      <c r="E182" s="23"/>
      <c r="F182" s="23"/>
      <c r="G182" s="23"/>
      <c r="H182" s="23"/>
      <c r="I182" s="23"/>
      <c r="J182" s="23"/>
      <c r="K182" s="23"/>
      <c r="L182" s="23"/>
      <c r="M182" s="23"/>
    </row>
  </sheetData>
  <conditionalFormatting sqref="B12:C78 E41:S60 D41:D182 E61:M78">
    <cfRule type="expression" dxfId="38" priority="11">
      <formula>AND(MOD(ROW(),2)=0,LEN($B12)&gt;0)</formula>
    </cfRule>
  </conditionalFormatting>
  <conditionalFormatting sqref="D33:S40">
    <cfRule type="expression" dxfId="37" priority="1">
      <formula>AND(MOD(ROW(),2)=0,LEN($B33)&gt;0)</formula>
    </cfRule>
  </conditionalFormatting>
  <conditionalFormatting sqref="D12:AG32">
    <cfRule type="expression" dxfId="36" priority="10">
      <formula>AND(MOD(ROW(),2)=0,LEN($B12)&gt;0)</formula>
    </cfRule>
  </conditionalFormatting>
  <conditionalFormatting sqref="Q9:R9">
    <cfRule type="containsText" dxfId="35" priority="12" operator="containsText" text="NO">
      <formula>NOT(ISERROR(SEARCH("NO",Q9)))</formula>
    </cfRule>
  </conditionalFormatting>
  <conditionalFormatting sqref="T33:W60 N61:W61">
    <cfRule type="expression" dxfId="34" priority="9">
      <formula>AND(MOD(ROW(),2)=0,LEN($B33)&gt;0)</formula>
    </cfRule>
  </conditionalFormatting>
  <conditionalFormatting sqref="X33:AG61">
    <cfRule type="expression" dxfId="33" priority="8">
      <formula>AND(MOD(ROW(),2)=0,LEN($B33)&gt;0)</formula>
    </cfRule>
  </conditionalFormatting>
  <conditionalFormatting sqref="AH12:DT61">
    <cfRule type="expression" dxfId="32" priority="7">
      <formula>AND(MOD(ROW(),2)=0,LEN($B12)&gt;0)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2E38-4928-4C71-A340-A6923135DDC5}">
  <dimension ref="A1:CF130"/>
  <sheetViews>
    <sheetView showGridLines="0" workbookViewId="0">
      <selection activeCell="D23" sqref="D23"/>
    </sheetView>
  </sheetViews>
  <sheetFormatPr defaultColWidth="9.140625" defaultRowHeight="12" outlineLevelCol="1" x14ac:dyDescent="0.2"/>
  <cols>
    <col min="1" max="1" width="4.7109375" style="3" customWidth="1"/>
    <col min="2" max="2" width="69.140625" style="3" customWidth="1"/>
    <col min="3" max="3" width="49.28515625" style="3" hidden="1" customWidth="1" outlineLevel="1"/>
    <col min="4" max="4" width="12.7109375" style="3" customWidth="1" collapsed="1"/>
    <col min="5" max="84" width="12.7109375" style="3" customWidth="1"/>
    <col min="85" max="16384" width="9.140625" style="3"/>
  </cols>
  <sheetData>
    <row r="1" spans="2:84" x14ac:dyDescent="0.2">
      <c r="I1" s="4" t="s">
        <v>26</v>
      </c>
      <c r="J1" s="5">
        <v>45904</v>
      </c>
      <c r="K1" s="4" t="s">
        <v>27</v>
      </c>
      <c r="L1" s="5">
        <v>45828</v>
      </c>
    </row>
    <row r="2" spans="2:84" x14ac:dyDescent="0.2">
      <c r="H2" s="4"/>
      <c r="I2" s="4" t="s">
        <v>28</v>
      </c>
      <c r="J2" s="5">
        <v>45598</v>
      </c>
      <c r="K2" s="4"/>
      <c r="L2" s="5"/>
    </row>
    <row r="3" spans="2:84" ht="15" x14ac:dyDescent="0.25">
      <c r="K3" s="6" t="s">
        <v>0</v>
      </c>
      <c r="L3" s="7" t="s">
        <v>15</v>
      </c>
      <c r="M3" s="8" t="s">
        <v>29</v>
      </c>
      <c r="P3" s="3" t="s">
        <v>30</v>
      </c>
      <c r="Q3" s="3" t="s">
        <v>31</v>
      </c>
      <c r="R3" s="3" t="s">
        <v>32</v>
      </c>
      <c r="S3" s="9" t="s">
        <v>33</v>
      </c>
    </row>
    <row r="4" spans="2:84" x14ac:dyDescent="0.2">
      <c r="K4" s="6" t="s">
        <v>1</v>
      </c>
      <c r="L4" s="7">
        <v>-9</v>
      </c>
      <c r="O4" s="3">
        <v>1</v>
      </c>
      <c r="P4" s="3" t="s">
        <v>34</v>
      </c>
      <c r="Q4" s="3" t="s">
        <v>16</v>
      </c>
      <c r="R4" s="3" t="s">
        <v>35</v>
      </c>
      <c r="S4" s="3" t="s">
        <v>36</v>
      </c>
    </row>
    <row r="5" spans="2:84" x14ac:dyDescent="0.2">
      <c r="K5" s="6" t="s">
        <v>2</v>
      </c>
      <c r="L5" s="7">
        <v>0</v>
      </c>
      <c r="O5" s="3">
        <v>2</v>
      </c>
      <c r="P5" s="3" t="s">
        <v>37</v>
      </c>
      <c r="Q5" s="3" t="s">
        <v>38</v>
      </c>
      <c r="R5" s="3" t="s">
        <v>39</v>
      </c>
      <c r="S5" s="3" t="s">
        <v>33</v>
      </c>
    </row>
    <row r="6" spans="2:84" x14ac:dyDescent="0.2">
      <c r="K6" s="6" t="s">
        <v>40</v>
      </c>
      <c r="L6" s="7" t="s">
        <v>41</v>
      </c>
      <c r="M6" s="3" t="s">
        <v>34</v>
      </c>
      <c r="N6" s="3" t="s">
        <v>16</v>
      </c>
      <c r="O6" s="3">
        <v>3</v>
      </c>
      <c r="P6" s="3" t="s">
        <v>42</v>
      </c>
      <c r="Q6" s="3" t="s">
        <v>43</v>
      </c>
      <c r="R6" s="3" t="s">
        <v>44</v>
      </c>
      <c r="S6" s="3" t="s">
        <v>45</v>
      </c>
    </row>
    <row r="7" spans="2:84" x14ac:dyDescent="0.2">
      <c r="K7" s="6" t="s">
        <v>3</v>
      </c>
      <c r="L7" s="7" t="s">
        <v>46</v>
      </c>
      <c r="M7" s="3" t="s">
        <v>16</v>
      </c>
      <c r="O7" s="3">
        <v>4</v>
      </c>
      <c r="P7" s="3" t="s">
        <v>47</v>
      </c>
      <c r="Q7" s="3" t="s">
        <v>48</v>
      </c>
    </row>
    <row r="8" spans="2:84" x14ac:dyDescent="0.2">
      <c r="K8" s="6" t="s">
        <v>32</v>
      </c>
      <c r="L8" s="7" t="s">
        <v>39</v>
      </c>
    </row>
    <row r="9" spans="2:84" s="14" customFormat="1" ht="15" x14ac:dyDescent="0.25">
      <c r="B9" s="1" t="s">
        <v>17</v>
      </c>
      <c r="C9" s="1"/>
      <c r="D9" s="10"/>
      <c r="E9" s="10"/>
      <c r="F9" s="11"/>
      <c r="G9" s="11"/>
      <c r="H9" s="12"/>
      <c r="I9" s="11"/>
      <c r="J9" s="11"/>
      <c r="K9" s="11"/>
      <c r="L9" s="11"/>
      <c r="M9" s="11"/>
      <c r="N9" s="11"/>
      <c r="O9" s="11"/>
      <c r="P9" s="11"/>
      <c r="Q9" s="13"/>
      <c r="R9" s="13"/>
      <c r="S9" s="13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</row>
    <row r="11" spans="2:84" x14ac:dyDescent="0.2">
      <c r="B11" s="24" t="s">
        <v>14</v>
      </c>
      <c r="C11" s="16"/>
      <c r="D11" s="17">
        <v>42307</v>
      </c>
      <c r="E11" s="17">
        <v>42674</v>
      </c>
      <c r="F11" s="17">
        <v>43039</v>
      </c>
      <c r="G11" s="17">
        <v>43404</v>
      </c>
      <c r="H11" s="17">
        <v>43769</v>
      </c>
      <c r="I11" s="17">
        <v>44134</v>
      </c>
      <c r="J11" s="17">
        <v>44498</v>
      </c>
      <c r="K11" s="17">
        <v>44865</v>
      </c>
      <c r="L11" s="17">
        <v>45230</v>
      </c>
      <c r="M11" s="17">
        <v>45596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</row>
    <row r="12" spans="2:84" x14ac:dyDescent="0.2">
      <c r="B12" s="18" t="s">
        <v>214</v>
      </c>
      <c r="C12" s="18" t="s">
        <v>215</v>
      </c>
      <c r="D12" s="19">
        <v>262.11200000000002</v>
      </c>
      <c r="E12" s="19">
        <v>289.52</v>
      </c>
      <c r="F12" s="19">
        <v>234.88200000000001</v>
      </c>
      <c r="G12" s="19">
        <v>229.261</v>
      </c>
      <c r="H12" s="19">
        <v>413.14</v>
      </c>
      <c r="I12" s="19">
        <v>493.654</v>
      </c>
      <c r="J12" s="19">
        <v>541.64599999999996</v>
      </c>
      <c r="K12" s="19">
        <v>-167.756</v>
      </c>
      <c r="L12" s="19">
        <v>168.33199999999999</v>
      </c>
      <c r="M12" s="19">
        <v>514.53200000000004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</row>
    <row r="13" spans="2:84" x14ac:dyDescent="0.2">
      <c r="B13" s="3" t="s">
        <v>216</v>
      </c>
      <c r="C13" s="3" t="s">
        <v>217</v>
      </c>
      <c r="D13" s="19">
        <v>11.667</v>
      </c>
      <c r="E13" s="19">
        <v>72.584000000000003</v>
      </c>
      <c r="F13" s="19">
        <v>1261.953</v>
      </c>
      <c r="G13" s="19">
        <v>-344.69</v>
      </c>
      <c r="H13" s="19">
        <v>253.434</v>
      </c>
      <c r="I13" s="19">
        <v>361.291</v>
      </c>
      <c r="J13" s="19">
        <v>500.19600000000003</v>
      </c>
      <c r="K13" s="19">
        <v>152.90199999999999</v>
      </c>
      <c r="L13" s="19">
        <v>254.827</v>
      </c>
      <c r="M13" s="19">
        <v>83.956000000000003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</row>
    <row r="14" spans="2:84" x14ac:dyDescent="0.2">
      <c r="B14" s="3" t="s">
        <v>218</v>
      </c>
      <c r="C14" s="3" t="s">
        <v>219</v>
      </c>
      <c r="D14" s="19">
        <v>250.44499999999999</v>
      </c>
      <c r="E14" s="19">
        <v>216.93600000000001</v>
      </c>
      <c r="F14" s="19">
        <v>-1027.0709999999999</v>
      </c>
      <c r="G14" s="19">
        <v>573.95100000000002</v>
      </c>
      <c r="H14" s="19">
        <v>159.70599999999999</v>
      </c>
      <c r="I14" s="19">
        <v>132.363</v>
      </c>
      <c r="J14" s="19">
        <v>41.45</v>
      </c>
      <c r="K14" s="19">
        <v>-320.65800000000002</v>
      </c>
      <c r="L14" s="19">
        <v>-86.495000000000005</v>
      </c>
      <c r="M14" s="19">
        <v>430.57600000000002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</row>
    <row r="15" spans="2:84" x14ac:dyDescent="0.2">
      <c r="B15" s="3" t="s">
        <v>220</v>
      </c>
      <c r="C15" s="3" t="s">
        <v>102</v>
      </c>
      <c r="D15" s="19" t="s">
        <v>18</v>
      </c>
      <c r="E15" s="19">
        <v>0</v>
      </c>
      <c r="F15" s="19">
        <v>0</v>
      </c>
      <c r="G15" s="19">
        <v>10.039</v>
      </c>
      <c r="H15" s="19" t="s">
        <v>18</v>
      </c>
      <c r="I15" s="19" t="s">
        <v>18</v>
      </c>
      <c r="J15" s="19">
        <v>0</v>
      </c>
      <c r="K15" s="19">
        <v>0</v>
      </c>
      <c r="L15" s="19">
        <v>1.8640000000000001</v>
      </c>
      <c r="M15" s="19">
        <v>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</row>
    <row r="16" spans="2:84" x14ac:dyDescent="0.2">
      <c r="B16" s="3" t="s">
        <v>221</v>
      </c>
      <c r="C16" s="3" t="s">
        <v>222</v>
      </c>
      <c r="D16" s="19" t="s">
        <v>18</v>
      </c>
      <c r="E16" s="19" t="s">
        <v>18</v>
      </c>
      <c r="F16" s="19" t="s">
        <v>18</v>
      </c>
      <c r="G16" s="19" t="s">
        <v>18</v>
      </c>
      <c r="H16" s="19" t="s">
        <v>18</v>
      </c>
      <c r="I16" s="19" t="s">
        <v>18</v>
      </c>
      <c r="J16" s="19" t="s">
        <v>18</v>
      </c>
      <c r="K16" s="19" t="s">
        <v>18</v>
      </c>
      <c r="L16" s="19" t="s">
        <v>18</v>
      </c>
      <c r="M16" s="19" t="s">
        <v>18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</row>
    <row r="17" spans="2:84" x14ac:dyDescent="0.2">
      <c r="B17" s="3" t="s">
        <v>223</v>
      </c>
      <c r="C17" s="3" t="s">
        <v>224</v>
      </c>
      <c r="D17" s="19" t="s">
        <v>18</v>
      </c>
      <c r="E17" s="19" t="s">
        <v>18</v>
      </c>
      <c r="F17" s="19" t="s">
        <v>18</v>
      </c>
      <c r="G17" s="19" t="s">
        <v>18</v>
      </c>
      <c r="H17" s="19" t="s">
        <v>18</v>
      </c>
      <c r="I17" s="19" t="s">
        <v>18</v>
      </c>
      <c r="J17" s="19" t="s">
        <v>18</v>
      </c>
      <c r="K17" s="19" t="s">
        <v>18</v>
      </c>
      <c r="L17" s="19" t="s">
        <v>18</v>
      </c>
      <c r="M17" s="19" t="s">
        <v>18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</row>
    <row r="18" spans="2:84" x14ac:dyDescent="0.2">
      <c r="B18" s="3" t="s">
        <v>225</v>
      </c>
      <c r="C18" s="3" t="s">
        <v>82</v>
      </c>
      <c r="D18" s="19" t="s">
        <v>18</v>
      </c>
      <c r="E18" s="19" t="s">
        <v>18</v>
      </c>
      <c r="F18" s="19" t="s">
        <v>18</v>
      </c>
      <c r="G18" s="19" t="s">
        <v>18</v>
      </c>
      <c r="H18" s="19" t="s">
        <v>18</v>
      </c>
      <c r="I18" s="19" t="s">
        <v>18</v>
      </c>
      <c r="J18" s="19" t="s">
        <v>18</v>
      </c>
      <c r="K18" s="19" t="s">
        <v>18</v>
      </c>
      <c r="L18" s="19" t="s">
        <v>18</v>
      </c>
      <c r="M18" s="19" t="s">
        <v>18</v>
      </c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</row>
    <row r="19" spans="2:84" x14ac:dyDescent="0.2">
      <c r="B19" s="3" t="s">
        <v>226</v>
      </c>
      <c r="C19" s="3" t="s">
        <v>227</v>
      </c>
      <c r="D19" s="19" t="s">
        <v>18</v>
      </c>
      <c r="E19" s="19">
        <v>0</v>
      </c>
      <c r="F19" s="19">
        <v>0</v>
      </c>
      <c r="G19" s="19">
        <v>12.07</v>
      </c>
      <c r="H19" s="19" t="s">
        <v>18</v>
      </c>
      <c r="I19" s="19" t="s">
        <v>18</v>
      </c>
      <c r="J19" s="19" t="s">
        <v>18</v>
      </c>
      <c r="K19" s="19" t="s">
        <v>18</v>
      </c>
      <c r="L19" s="19" t="s">
        <v>18</v>
      </c>
      <c r="M19" s="19" t="s">
        <v>18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</row>
    <row r="20" spans="2:84" x14ac:dyDescent="0.2">
      <c r="B20" s="3" t="s">
        <v>228</v>
      </c>
      <c r="C20" s="3" t="s">
        <v>229</v>
      </c>
      <c r="D20" s="19">
        <v>55.901000000000003</v>
      </c>
      <c r="E20" s="19">
        <v>63.393999999999998</v>
      </c>
      <c r="F20" s="19">
        <v>77.188999999999993</v>
      </c>
      <c r="G20" s="19">
        <v>84.213999999999999</v>
      </c>
      <c r="H20" s="19">
        <v>87.575999999999993</v>
      </c>
      <c r="I20" s="19">
        <v>93.908000000000001</v>
      </c>
      <c r="J20" s="19">
        <v>96.233000000000004</v>
      </c>
      <c r="K20" s="19">
        <v>95.921999999999997</v>
      </c>
      <c r="L20" s="19">
        <v>92.563999999999993</v>
      </c>
      <c r="M20" s="19">
        <v>92.846000000000004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</row>
    <row r="21" spans="2:84" x14ac:dyDescent="0.2">
      <c r="B21" s="3" t="s">
        <v>230</v>
      </c>
      <c r="C21" s="3" t="s">
        <v>231</v>
      </c>
      <c r="D21" s="19">
        <v>55.34</v>
      </c>
      <c r="E21" s="19">
        <v>51.993000000000002</v>
      </c>
      <c r="F21" s="19">
        <v>48.36</v>
      </c>
      <c r="G21" s="19">
        <v>52.972000000000001</v>
      </c>
      <c r="H21" s="19">
        <v>59.735999999999997</v>
      </c>
      <c r="I21" s="19">
        <v>67.757999999999996</v>
      </c>
      <c r="J21" s="19">
        <v>84.335999999999999</v>
      </c>
      <c r="K21" s="19">
        <v>105.131</v>
      </c>
      <c r="L21" s="19">
        <v>130.45500000000001</v>
      </c>
      <c r="M21" s="19">
        <v>156.404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</row>
    <row r="22" spans="2:84" x14ac:dyDescent="0.2">
      <c r="B22" s="3" t="s">
        <v>232</v>
      </c>
      <c r="C22" s="3" t="s">
        <v>233</v>
      </c>
      <c r="D22" s="19" t="s">
        <v>18</v>
      </c>
      <c r="E22" s="19" t="s">
        <v>18</v>
      </c>
      <c r="F22" s="19" t="s">
        <v>18</v>
      </c>
      <c r="G22" s="19" t="s">
        <v>18</v>
      </c>
      <c r="H22" s="19" t="s">
        <v>18</v>
      </c>
      <c r="I22" s="19" t="s">
        <v>18</v>
      </c>
      <c r="J22" s="19" t="s">
        <v>18</v>
      </c>
      <c r="K22" s="19" t="s">
        <v>18</v>
      </c>
      <c r="L22" s="19" t="s">
        <v>18</v>
      </c>
      <c r="M22" s="19" t="s">
        <v>18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</row>
    <row r="23" spans="2:84" x14ac:dyDescent="0.2">
      <c r="B23" s="3" t="s">
        <v>234</v>
      </c>
      <c r="C23" s="3" t="s">
        <v>86</v>
      </c>
      <c r="D23" s="19">
        <v>79.866</v>
      </c>
      <c r="E23" s="19">
        <v>78.298000000000002</v>
      </c>
      <c r="F23" s="19">
        <v>45.713000000000001</v>
      </c>
      <c r="G23" s="19">
        <v>25.806000000000001</v>
      </c>
      <c r="H23" s="19">
        <v>35.136000000000003</v>
      </c>
      <c r="I23" s="19">
        <v>38.619</v>
      </c>
      <c r="J23" s="19">
        <v>36.033000000000001</v>
      </c>
      <c r="K23" s="19">
        <v>44.280999999999999</v>
      </c>
      <c r="L23" s="19">
        <v>49.616</v>
      </c>
      <c r="M23" s="19">
        <v>40.624000000000002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</row>
    <row r="24" spans="2:84" x14ac:dyDescent="0.2">
      <c r="B24" s="3" t="s">
        <v>235</v>
      </c>
      <c r="C24" s="3" t="s">
        <v>236</v>
      </c>
      <c r="D24" s="19">
        <v>27.373000000000001</v>
      </c>
      <c r="E24" s="19">
        <v>25.513999999999999</v>
      </c>
      <c r="F24" s="19">
        <v>-1086.0940000000001</v>
      </c>
      <c r="G24" s="19">
        <v>488.01600000000002</v>
      </c>
      <c r="H24" s="19">
        <v>25.695</v>
      </c>
      <c r="I24" s="19">
        <v>84.822000000000003</v>
      </c>
      <c r="J24" s="19">
        <v>-141.94399999999999</v>
      </c>
      <c r="K24" s="19">
        <v>-27.501999999999999</v>
      </c>
      <c r="L24" s="19">
        <v>-25.449000000000002</v>
      </c>
      <c r="M24" s="19">
        <v>-65.042000000000002</v>
      </c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</row>
    <row r="25" spans="2:84" x14ac:dyDescent="0.2">
      <c r="B25" s="3" t="s">
        <v>237</v>
      </c>
      <c r="C25" s="3" t="s">
        <v>238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</row>
    <row r="26" spans="2:84" x14ac:dyDescent="0.2">
      <c r="B26" s="3" t="s">
        <v>239</v>
      </c>
      <c r="C26" s="3" t="s">
        <v>240</v>
      </c>
      <c r="D26" s="19">
        <v>27.373000000000001</v>
      </c>
      <c r="E26" s="19">
        <v>25.513999999999999</v>
      </c>
      <c r="F26" s="19">
        <v>-1086.0940000000001</v>
      </c>
      <c r="G26" s="19">
        <v>488.01600000000002</v>
      </c>
      <c r="H26" s="19">
        <v>25.695</v>
      </c>
      <c r="I26" s="19">
        <v>84.822000000000003</v>
      </c>
      <c r="J26" s="19">
        <v>-141.94399999999999</v>
      </c>
      <c r="K26" s="19">
        <v>-27.501999999999999</v>
      </c>
      <c r="L26" s="19">
        <v>-25.449000000000002</v>
      </c>
      <c r="M26" s="19">
        <v>-65.042000000000002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</row>
    <row r="27" spans="2:84" x14ac:dyDescent="0.2">
      <c r="B27" s="3" t="s">
        <v>241</v>
      </c>
      <c r="C27" s="3" t="s">
        <v>242</v>
      </c>
      <c r="D27" s="19" t="s">
        <v>18</v>
      </c>
      <c r="E27" s="19" t="s">
        <v>18</v>
      </c>
      <c r="F27" s="19" t="s">
        <v>18</v>
      </c>
      <c r="G27" s="19" t="s">
        <v>18</v>
      </c>
      <c r="H27" s="19" t="s">
        <v>18</v>
      </c>
      <c r="I27" s="19" t="s">
        <v>18</v>
      </c>
      <c r="J27" s="19" t="s">
        <v>18</v>
      </c>
      <c r="K27" s="19" t="s">
        <v>18</v>
      </c>
      <c r="L27" s="19" t="s">
        <v>18</v>
      </c>
      <c r="M27" s="19" t="s">
        <v>18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</row>
    <row r="28" spans="2:84" x14ac:dyDescent="0.2">
      <c r="B28" s="3" t="s">
        <v>243</v>
      </c>
      <c r="C28" s="3" t="s">
        <v>244</v>
      </c>
      <c r="D28" s="19">
        <v>27.373000000000001</v>
      </c>
      <c r="E28" s="19">
        <v>25.513999999999999</v>
      </c>
      <c r="F28" s="19">
        <v>-1086.0940000000001</v>
      </c>
      <c r="G28" s="19">
        <v>488.01600000000002</v>
      </c>
      <c r="H28" s="19">
        <v>25.695</v>
      </c>
      <c r="I28" s="19">
        <v>84.822000000000003</v>
      </c>
      <c r="J28" s="19">
        <v>-141.94399999999999</v>
      </c>
      <c r="K28" s="19">
        <v>-27.501999999999999</v>
      </c>
      <c r="L28" s="19">
        <v>-25.449000000000002</v>
      </c>
      <c r="M28" s="19">
        <v>-65.042000000000002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</row>
    <row r="29" spans="2:84" x14ac:dyDescent="0.2">
      <c r="B29" s="3" t="s">
        <v>245</v>
      </c>
      <c r="C29" s="3" t="s">
        <v>246</v>
      </c>
      <c r="D29" s="19">
        <v>0</v>
      </c>
      <c r="E29" s="19">
        <v>-1.1160000000000001</v>
      </c>
      <c r="F29" s="19">
        <v>-1126.732</v>
      </c>
      <c r="G29" s="19">
        <v>463.63099999999997</v>
      </c>
      <c r="H29" s="19">
        <v>19.864999999999998</v>
      </c>
      <c r="I29" s="19">
        <v>64.338999999999999</v>
      </c>
      <c r="J29" s="19">
        <v>-156.46899999999999</v>
      </c>
      <c r="K29" s="19">
        <v>-27.501999999999999</v>
      </c>
      <c r="L29" s="19">
        <v>-14.852</v>
      </c>
      <c r="M29" s="19">
        <v>-76.81</v>
      </c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</row>
    <row r="30" spans="2:84" x14ac:dyDescent="0.2">
      <c r="B30" s="18" t="s">
        <v>247</v>
      </c>
      <c r="C30" s="18" t="s">
        <v>248</v>
      </c>
      <c r="D30" s="19">
        <v>27.373000000000001</v>
      </c>
      <c r="E30" s="19">
        <v>26.63</v>
      </c>
      <c r="F30" s="19">
        <v>40.637999999999998</v>
      </c>
      <c r="G30" s="19">
        <v>24.385000000000002</v>
      </c>
      <c r="H30" s="19">
        <v>5.83</v>
      </c>
      <c r="I30" s="19">
        <v>20.483000000000001</v>
      </c>
      <c r="J30" s="19">
        <v>14.525</v>
      </c>
      <c r="K30" s="19">
        <v>0</v>
      </c>
      <c r="L30" s="19">
        <v>-10.597</v>
      </c>
      <c r="M30" s="19">
        <v>11.768000000000001</v>
      </c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</row>
    <row r="31" spans="2:84" x14ac:dyDescent="0.2">
      <c r="B31" s="3" t="s">
        <v>249</v>
      </c>
      <c r="C31" s="3" t="s">
        <v>250</v>
      </c>
      <c r="D31" s="19">
        <v>1.5760000000000001</v>
      </c>
      <c r="E31" s="19">
        <v>1.7010000000000001</v>
      </c>
      <c r="F31" s="19">
        <v>18.221</v>
      </c>
      <c r="G31" s="19">
        <v>2.7</v>
      </c>
      <c r="H31" s="19" t="s">
        <v>18</v>
      </c>
      <c r="I31" s="19" t="s">
        <v>18</v>
      </c>
      <c r="J31" s="19" t="s">
        <v>18</v>
      </c>
      <c r="K31" s="19" t="s">
        <v>18</v>
      </c>
      <c r="L31" s="19" t="s">
        <v>18</v>
      </c>
      <c r="M31" s="19" t="s">
        <v>18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</row>
    <row r="32" spans="2:84" x14ac:dyDescent="0.2">
      <c r="B32" s="3" t="s">
        <v>251</v>
      </c>
      <c r="C32" s="3" t="s">
        <v>252</v>
      </c>
      <c r="D32" s="19" t="s">
        <v>18</v>
      </c>
      <c r="E32" s="19" t="s">
        <v>18</v>
      </c>
      <c r="F32" s="19" t="s">
        <v>18</v>
      </c>
      <c r="G32" s="19" t="s">
        <v>18</v>
      </c>
      <c r="H32" s="19" t="s">
        <v>18</v>
      </c>
      <c r="I32" s="19" t="s">
        <v>18</v>
      </c>
      <c r="J32" s="19">
        <v>-0.16400000000000001</v>
      </c>
      <c r="K32" s="19">
        <v>-4.12</v>
      </c>
      <c r="L32" s="19">
        <v>-26.367999999999999</v>
      </c>
      <c r="M32" s="19">
        <v>0</v>
      </c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</row>
    <row r="33" spans="1:84" x14ac:dyDescent="0.2">
      <c r="B33" s="3" t="s">
        <v>253</v>
      </c>
      <c r="C33" s="3" t="s">
        <v>254</v>
      </c>
      <c r="D33" s="19">
        <v>25.797000000000001</v>
      </c>
      <c r="E33" s="19">
        <v>24.928999999999998</v>
      </c>
      <c r="F33" s="19">
        <v>22.417000000000002</v>
      </c>
      <c r="G33" s="19">
        <v>21.684999999999999</v>
      </c>
      <c r="H33" s="19" t="s">
        <v>18</v>
      </c>
      <c r="I33" s="19" t="s">
        <v>18</v>
      </c>
      <c r="J33" s="19">
        <v>14.689</v>
      </c>
      <c r="K33" s="19">
        <v>4.12</v>
      </c>
      <c r="L33" s="19">
        <v>15.771000000000001</v>
      </c>
      <c r="M33" s="19">
        <v>11.768000000000001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</row>
    <row r="34" spans="1:84" x14ac:dyDescent="0.2">
      <c r="B34" s="3" t="s">
        <v>255</v>
      </c>
      <c r="C34" s="3" t="s">
        <v>100</v>
      </c>
      <c r="D34" s="19" t="s">
        <v>18</v>
      </c>
      <c r="E34" s="19" t="s">
        <v>18</v>
      </c>
      <c r="F34" s="19" t="s">
        <v>18</v>
      </c>
      <c r="G34" s="19" t="s">
        <v>18</v>
      </c>
      <c r="H34" s="19" t="s">
        <v>18</v>
      </c>
      <c r="I34" s="19" t="s">
        <v>18</v>
      </c>
      <c r="J34" s="19" t="s">
        <v>18</v>
      </c>
      <c r="K34" s="19" t="s">
        <v>18</v>
      </c>
      <c r="L34" s="19" t="s">
        <v>18</v>
      </c>
      <c r="M34" s="19" t="s">
        <v>18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</row>
    <row r="35" spans="1:84" x14ac:dyDescent="0.2">
      <c r="B35" s="3" t="s">
        <v>256</v>
      </c>
      <c r="C35" s="3" t="s">
        <v>257</v>
      </c>
      <c r="D35" s="19">
        <v>26.846</v>
      </c>
      <c r="E35" s="19">
        <v>33.713000000000001</v>
      </c>
      <c r="F35" s="19">
        <v>35.459000000000003</v>
      </c>
      <c r="G35" s="19">
        <v>30.614999999999998</v>
      </c>
      <c r="H35" s="19">
        <v>28.085000000000001</v>
      </c>
      <c r="I35" s="19">
        <v>24.701000000000001</v>
      </c>
      <c r="J35" s="19">
        <v>17.850000000000001</v>
      </c>
      <c r="K35" s="19">
        <v>16.184000000000001</v>
      </c>
      <c r="L35" s="19">
        <v>29.463999999999999</v>
      </c>
      <c r="M35" s="19">
        <v>77.340999999999994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</row>
    <row r="36" spans="1:84" x14ac:dyDescent="0.2">
      <c r="B36" s="3" t="s">
        <v>258</v>
      </c>
      <c r="C36" s="3" t="s">
        <v>259</v>
      </c>
      <c r="D36" s="19">
        <v>17.881</v>
      </c>
      <c r="E36" s="19">
        <v>15.483000000000001</v>
      </c>
      <c r="F36" s="19">
        <v>7.9649999999999999</v>
      </c>
      <c r="G36" s="19">
        <v>20.992000000000001</v>
      </c>
      <c r="H36" s="19">
        <v>23.105</v>
      </c>
      <c r="I36" s="19">
        <v>22.417000000000002</v>
      </c>
      <c r="J36" s="19">
        <v>17.093</v>
      </c>
      <c r="K36" s="19">
        <v>17.440000000000001</v>
      </c>
      <c r="L36" s="19">
        <v>31.742000000000001</v>
      </c>
      <c r="M36" s="19">
        <v>25.643000000000001</v>
      </c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</row>
    <row r="37" spans="1:84" x14ac:dyDescent="0.2">
      <c r="B37" s="3" t="s">
        <v>260</v>
      </c>
      <c r="C37" s="3" t="s">
        <v>261</v>
      </c>
      <c r="D37" s="19">
        <v>-12.762</v>
      </c>
      <c r="E37" s="19">
        <v>-51.459000000000003</v>
      </c>
      <c r="F37" s="19">
        <v>-155.66300000000001</v>
      </c>
      <c r="G37" s="19">
        <v>-150.773</v>
      </c>
      <c r="H37" s="19">
        <v>-99.626999999999995</v>
      </c>
      <c r="I37" s="19">
        <v>-199.86199999999999</v>
      </c>
      <c r="J37" s="19">
        <v>-68.150999999999996</v>
      </c>
      <c r="K37" s="19">
        <v>-572.11400000000003</v>
      </c>
      <c r="L37" s="19">
        <v>-396.75099999999998</v>
      </c>
      <c r="M37" s="19">
        <v>102.76</v>
      </c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</row>
    <row r="38" spans="1:84" x14ac:dyDescent="0.2">
      <c r="B38" s="3" t="s">
        <v>262</v>
      </c>
      <c r="C38" s="3" t="s">
        <v>263</v>
      </c>
      <c r="D38" s="19">
        <v>-37.296999999999997</v>
      </c>
      <c r="E38" s="19">
        <v>-26.074000000000002</v>
      </c>
      <c r="F38" s="19">
        <v>-66.123000000000005</v>
      </c>
      <c r="G38" s="19">
        <v>-168.357</v>
      </c>
      <c r="H38" s="19">
        <v>65.712000000000003</v>
      </c>
      <c r="I38" s="19">
        <v>-17.298999999999999</v>
      </c>
      <c r="J38" s="19">
        <v>-174.37700000000001</v>
      </c>
      <c r="K38" s="19">
        <v>-47.069000000000003</v>
      </c>
      <c r="L38" s="19">
        <v>-94.564999999999998</v>
      </c>
      <c r="M38" s="19">
        <v>80.313000000000002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</row>
    <row r="39" spans="1:84" x14ac:dyDescent="0.2">
      <c r="B39" s="3" t="s">
        <v>264</v>
      </c>
      <c r="C39" s="3" t="s">
        <v>133</v>
      </c>
      <c r="D39" s="19">
        <v>46.898000000000003</v>
      </c>
      <c r="E39" s="19">
        <v>-53</v>
      </c>
      <c r="F39" s="19">
        <v>-91.566999999999993</v>
      </c>
      <c r="G39" s="19">
        <v>-27.445</v>
      </c>
      <c r="H39" s="19">
        <v>-112.941</v>
      </c>
      <c r="I39" s="19">
        <v>-25.044</v>
      </c>
      <c r="J39" s="19">
        <v>-47.567</v>
      </c>
      <c r="K39" s="19">
        <v>-589.11300000000006</v>
      </c>
      <c r="L39" s="19">
        <v>-132.49700000000001</v>
      </c>
      <c r="M39" s="19">
        <v>153.02099999999999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</row>
    <row r="40" spans="1:84" x14ac:dyDescent="0.2">
      <c r="B40" s="3" t="s">
        <v>265</v>
      </c>
      <c r="C40" s="3" t="s">
        <v>135</v>
      </c>
      <c r="D40" s="19">
        <v>-46.383000000000003</v>
      </c>
      <c r="E40" s="19">
        <v>30.047000000000001</v>
      </c>
      <c r="F40" s="19">
        <v>-33.834000000000003</v>
      </c>
      <c r="G40" s="19">
        <v>-21.425000000000001</v>
      </c>
      <c r="H40" s="19">
        <v>-96.617999999999995</v>
      </c>
      <c r="I40" s="19">
        <v>-38.997999999999998</v>
      </c>
      <c r="J40" s="19">
        <v>-19.690999999999999</v>
      </c>
      <c r="K40" s="19">
        <v>-58.996000000000002</v>
      </c>
      <c r="L40" s="19">
        <v>-51.965000000000003</v>
      </c>
      <c r="M40" s="19">
        <v>-198.91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</row>
    <row r="41" spans="1:84" x14ac:dyDescent="0.2">
      <c r="B41" s="3" t="s">
        <v>266</v>
      </c>
      <c r="C41" s="3" t="s">
        <v>141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16.786999999999999</v>
      </c>
      <c r="J41" s="19">
        <v>16.632000000000001</v>
      </c>
      <c r="K41" s="19">
        <v>16.452999999999999</v>
      </c>
      <c r="L41" s="19">
        <v>14.19</v>
      </c>
      <c r="M41" s="19">
        <v>11.837</v>
      </c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</row>
    <row r="42" spans="1:84" x14ac:dyDescent="0.2">
      <c r="B42" s="3" t="s">
        <v>267</v>
      </c>
      <c r="C42" s="3" t="s">
        <v>268</v>
      </c>
      <c r="D42" s="19">
        <v>-10.505000000000001</v>
      </c>
      <c r="E42" s="19">
        <v>7.1529999999999996</v>
      </c>
      <c r="F42" s="19">
        <v>33.896999999999998</v>
      </c>
      <c r="G42" s="19">
        <v>85.798000000000002</v>
      </c>
      <c r="H42" s="19">
        <v>27.74</v>
      </c>
      <c r="I42" s="19">
        <v>-117.931</v>
      </c>
      <c r="J42" s="19">
        <v>162.13399999999999</v>
      </c>
      <c r="K42" s="19">
        <v>100.327</v>
      </c>
      <c r="L42" s="19">
        <v>-138.46899999999999</v>
      </c>
      <c r="M42" s="19">
        <v>64.254999999999995</v>
      </c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</row>
    <row r="43" spans="1:84" x14ac:dyDescent="0.2">
      <c r="B43" s="3" t="s">
        <v>269</v>
      </c>
      <c r="C43" s="3" t="s">
        <v>270</v>
      </c>
      <c r="D43" s="19" t="s">
        <v>18</v>
      </c>
      <c r="E43" s="19" t="s">
        <v>18</v>
      </c>
      <c r="F43" s="19" t="s">
        <v>18</v>
      </c>
      <c r="G43" s="19" t="s">
        <v>18</v>
      </c>
      <c r="H43" s="19" t="s">
        <v>18</v>
      </c>
      <c r="I43" s="19" t="s">
        <v>18</v>
      </c>
      <c r="J43" s="19" t="s">
        <v>18</v>
      </c>
      <c r="K43" s="19" t="s">
        <v>18</v>
      </c>
      <c r="L43" s="19" t="s">
        <v>18</v>
      </c>
      <c r="M43" s="19" t="s">
        <v>18</v>
      </c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</row>
    <row r="44" spans="1:84" x14ac:dyDescent="0.2">
      <c r="B44" s="3" t="s">
        <v>271</v>
      </c>
      <c r="C44" s="3" t="s">
        <v>272</v>
      </c>
      <c r="D44" s="19" t="s">
        <v>18</v>
      </c>
      <c r="E44" s="19" t="s">
        <v>18</v>
      </c>
      <c r="F44" s="19" t="s">
        <v>18</v>
      </c>
      <c r="G44" s="19" t="s">
        <v>18</v>
      </c>
      <c r="H44" s="19" t="s">
        <v>18</v>
      </c>
      <c r="I44" s="19" t="s">
        <v>18</v>
      </c>
      <c r="J44" s="19" t="s">
        <v>18</v>
      </c>
      <c r="K44" s="19" t="s">
        <v>18</v>
      </c>
      <c r="L44" s="19" t="s">
        <v>18</v>
      </c>
      <c r="M44" s="19" t="s">
        <v>18</v>
      </c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</row>
    <row r="45" spans="1:84" x14ac:dyDescent="0.2">
      <c r="B45" s="3" t="s">
        <v>170</v>
      </c>
      <c r="C45" s="3" t="s">
        <v>171</v>
      </c>
      <c r="D45" s="19">
        <v>34.524999999999999</v>
      </c>
      <c r="E45" s="19">
        <v>-9.5850000000000009</v>
      </c>
      <c r="F45" s="19">
        <v>1.964</v>
      </c>
      <c r="G45" s="19">
        <v>-19.344000000000001</v>
      </c>
      <c r="H45" s="19">
        <v>16.48</v>
      </c>
      <c r="I45" s="19">
        <v>2.5190000000000001</v>
      </c>
      <c r="J45" s="19">
        <v>16.821999999999999</v>
      </c>
      <c r="K45" s="19">
        <v>26.38</v>
      </c>
      <c r="L45" s="19">
        <v>27.411999999999999</v>
      </c>
      <c r="M45" s="19">
        <v>9.8840000000000003</v>
      </c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</row>
    <row r="46" spans="1:84" x14ac:dyDescent="0.2">
      <c r="B46" s="3" t="s">
        <v>273</v>
      </c>
      <c r="C46" s="3" t="s">
        <v>274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-19.896000000000001</v>
      </c>
      <c r="J46" s="19">
        <v>-22.103999999999999</v>
      </c>
      <c r="K46" s="19">
        <v>-20.096</v>
      </c>
      <c r="L46" s="19">
        <v>-20.856999999999999</v>
      </c>
      <c r="M46" s="19">
        <v>-17.64</v>
      </c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</row>
    <row r="47" spans="1:84" s="26" customFormat="1" x14ac:dyDescent="0.2">
      <c r="A47" s="3"/>
      <c r="B47" s="26" t="s">
        <v>275</v>
      </c>
      <c r="C47" s="26" t="s">
        <v>276</v>
      </c>
      <c r="D47" s="27">
        <v>-43.127000000000002</v>
      </c>
      <c r="E47" s="27">
        <v>-296.25900000000001</v>
      </c>
      <c r="F47" s="27">
        <v>-61.372999999999998</v>
      </c>
      <c r="G47" s="27">
        <v>-19.382999999999999</v>
      </c>
      <c r="H47" s="27">
        <v>24.077000000000002</v>
      </c>
      <c r="I47" s="27">
        <v>-220.24199999999999</v>
      </c>
      <c r="J47" s="27">
        <v>-90.716999999999999</v>
      </c>
      <c r="K47" s="27">
        <v>-101.248</v>
      </c>
      <c r="L47" s="27">
        <v>-383.45400000000001</v>
      </c>
      <c r="M47" s="27">
        <v>-306.47699999999998</v>
      </c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</row>
    <row r="48" spans="1:84" s="26" customFormat="1" x14ac:dyDescent="0.2">
      <c r="A48" s="3"/>
      <c r="B48" s="3" t="s">
        <v>277</v>
      </c>
      <c r="C48" s="26" t="s">
        <v>278</v>
      </c>
      <c r="D48" s="27">
        <v>-62.109000000000002</v>
      </c>
      <c r="E48" s="27">
        <v>-107.185</v>
      </c>
      <c r="F48" s="27">
        <v>-94.6</v>
      </c>
      <c r="G48" s="27">
        <v>-67.616</v>
      </c>
      <c r="H48" s="27">
        <v>-62.579000000000001</v>
      </c>
      <c r="I48" s="27">
        <v>-82.667000000000002</v>
      </c>
      <c r="J48" s="27">
        <v>-79.55</v>
      </c>
      <c r="K48" s="27">
        <v>-90.817999999999998</v>
      </c>
      <c r="L48" s="27">
        <v>-106.197</v>
      </c>
      <c r="M48" s="27">
        <v>-136.64099999999999</v>
      </c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</row>
    <row r="49" spans="1:84" s="26" customFormat="1" x14ac:dyDescent="0.2">
      <c r="A49" s="3"/>
      <c r="B49" s="26" t="s">
        <v>279</v>
      </c>
      <c r="C49" s="26" t="s">
        <v>280</v>
      </c>
      <c r="D49" s="27" t="s">
        <v>18</v>
      </c>
      <c r="E49" s="27" t="s">
        <v>18</v>
      </c>
      <c r="F49" s="27" t="s">
        <v>18</v>
      </c>
      <c r="G49" s="27" t="s">
        <v>18</v>
      </c>
      <c r="H49" s="27" t="s">
        <v>18</v>
      </c>
      <c r="I49" s="27" t="s">
        <v>18</v>
      </c>
      <c r="J49" s="27" t="s">
        <v>18</v>
      </c>
      <c r="K49" s="27" t="s">
        <v>18</v>
      </c>
      <c r="L49" s="27" t="s">
        <v>18</v>
      </c>
      <c r="M49" s="27" t="s">
        <v>18</v>
      </c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</row>
    <row r="50" spans="1:84" s="26" customFormat="1" x14ac:dyDescent="0.2">
      <c r="A50" s="3"/>
      <c r="B50" s="3" t="s">
        <v>281</v>
      </c>
      <c r="C50" s="26" t="s">
        <v>282</v>
      </c>
      <c r="D50" s="27">
        <v>-0.04</v>
      </c>
      <c r="E50" s="27">
        <v>1.0999999999999999E-2</v>
      </c>
      <c r="F50" s="27" t="s">
        <v>18</v>
      </c>
      <c r="G50" s="27" t="s">
        <v>18</v>
      </c>
      <c r="H50" s="27" t="s">
        <v>18</v>
      </c>
      <c r="I50" s="27" t="s">
        <v>18</v>
      </c>
      <c r="J50" s="27" t="s">
        <v>18</v>
      </c>
      <c r="K50" s="27" t="s">
        <v>18</v>
      </c>
      <c r="L50" s="27" t="s">
        <v>18</v>
      </c>
      <c r="M50" s="27" t="s">
        <v>18</v>
      </c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</row>
    <row r="51" spans="1:84" s="26" customFormat="1" x14ac:dyDescent="0.2">
      <c r="A51" s="3"/>
      <c r="B51" s="26" t="s">
        <v>283</v>
      </c>
      <c r="C51" s="26" t="s">
        <v>284</v>
      </c>
      <c r="D51" s="27">
        <v>-245.32300000000001</v>
      </c>
      <c r="E51" s="27">
        <v>-365.19099999999997</v>
      </c>
      <c r="F51" s="27">
        <v>-299.03800000000001</v>
      </c>
      <c r="G51" s="27">
        <v>-286.82400000000001</v>
      </c>
      <c r="H51" s="27">
        <v>-158.07400000000001</v>
      </c>
      <c r="I51" s="27">
        <v>-223.196</v>
      </c>
      <c r="J51" s="27">
        <v>-170.52500000000001</v>
      </c>
      <c r="K51" s="27">
        <v>-647.52599999999995</v>
      </c>
      <c r="L51" s="27">
        <v>-252.32900000000001</v>
      </c>
      <c r="M51" s="27">
        <v>-287.536</v>
      </c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</row>
    <row r="52" spans="1:84" s="26" customFormat="1" x14ac:dyDescent="0.2">
      <c r="A52" s="3"/>
      <c r="B52" s="3" t="s">
        <v>285</v>
      </c>
      <c r="C52" s="26" t="s">
        <v>286</v>
      </c>
      <c r="D52" s="27">
        <v>229.13300000000001</v>
      </c>
      <c r="E52" s="27">
        <v>212.10599999999999</v>
      </c>
      <c r="F52" s="27">
        <v>332.26499999999999</v>
      </c>
      <c r="G52" s="27">
        <v>419.49400000000003</v>
      </c>
      <c r="H52" s="27">
        <v>247.39699999999999</v>
      </c>
      <c r="I52" s="27">
        <v>113.92100000000001</v>
      </c>
      <c r="J52" s="27">
        <v>154.68</v>
      </c>
      <c r="K52" s="27">
        <v>707.13900000000001</v>
      </c>
      <c r="L52" s="27">
        <v>205.12</v>
      </c>
      <c r="M52" s="27">
        <v>139.38200000000001</v>
      </c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</row>
    <row r="53" spans="1:84" s="26" customFormat="1" x14ac:dyDescent="0.2">
      <c r="A53" s="3"/>
      <c r="B53" s="26" t="s">
        <v>287</v>
      </c>
      <c r="C53" s="26" t="s">
        <v>288</v>
      </c>
      <c r="D53" s="27">
        <v>205</v>
      </c>
      <c r="E53" s="27">
        <v>230.61199999999999</v>
      </c>
      <c r="F53" s="27">
        <v>335.07499999999999</v>
      </c>
      <c r="G53" s="27">
        <v>410.10899999999998</v>
      </c>
      <c r="H53" s="27">
        <v>248.74799999999999</v>
      </c>
      <c r="I53" s="27">
        <v>110.39</v>
      </c>
      <c r="J53" s="27">
        <v>150</v>
      </c>
      <c r="K53" s="27">
        <v>702.197</v>
      </c>
      <c r="L53" s="27">
        <v>208.10400000000001</v>
      </c>
      <c r="M53" s="27">
        <v>140.83600000000001</v>
      </c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</row>
    <row r="54" spans="1:84" s="26" customFormat="1" x14ac:dyDescent="0.2">
      <c r="A54" s="3"/>
      <c r="B54" s="3" t="s">
        <v>289</v>
      </c>
      <c r="C54" s="26" t="s">
        <v>290</v>
      </c>
      <c r="D54" s="27">
        <v>24.132999999999999</v>
      </c>
      <c r="E54" s="27">
        <v>-18.506</v>
      </c>
      <c r="F54" s="27">
        <v>-2.81</v>
      </c>
      <c r="G54" s="27">
        <v>9.3849999999999998</v>
      </c>
      <c r="H54" s="27">
        <v>-1.351</v>
      </c>
      <c r="I54" s="27">
        <v>3.5310000000000001</v>
      </c>
      <c r="J54" s="27">
        <v>4.68</v>
      </c>
      <c r="K54" s="27">
        <v>4.9420000000000002</v>
      </c>
      <c r="L54" s="27">
        <v>-2.984</v>
      </c>
      <c r="M54" s="27">
        <v>-1.454</v>
      </c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</row>
    <row r="55" spans="1:84" s="26" customFormat="1" x14ac:dyDescent="0.2">
      <c r="A55" s="3"/>
      <c r="B55" s="26" t="s">
        <v>291</v>
      </c>
      <c r="C55" s="26" t="s">
        <v>292</v>
      </c>
      <c r="D55" s="27">
        <v>0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</row>
    <row r="56" spans="1:84" s="26" customFormat="1" x14ac:dyDescent="0.2">
      <c r="A56" s="3"/>
      <c r="B56" s="3" t="s">
        <v>293</v>
      </c>
      <c r="C56" s="26" t="s">
        <v>294</v>
      </c>
      <c r="D56" s="27">
        <v>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</row>
    <row r="57" spans="1:84" s="26" customFormat="1" x14ac:dyDescent="0.2">
      <c r="A57" s="3"/>
      <c r="B57" s="26" t="s">
        <v>295</v>
      </c>
      <c r="C57" s="26" t="s">
        <v>296</v>
      </c>
      <c r="D57" s="27">
        <v>0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4.6779999999999999</v>
      </c>
      <c r="K57" s="27">
        <v>0</v>
      </c>
      <c r="L57" s="27">
        <v>0</v>
      </c>
      <c r="M57" s="27">
        <v>0</v>
      </c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</row>
    <row r="58" spans="1:84" s="26" customFormat="1" x14ac:dyDescent="0.2">
      <c r="A58" s="3"/>
      <c r="B58" s="3" t="s">
        <v>297</v>
      </c>
      <c r="C58" s="26" t="s">
        <v>298</v>
      </c>
      <c r="D58" s="27">
        <v>-2</v>
      </c>
      <c r="E58" s="27">
        <v>-4</v>
      </c>
      <c r="F58" s="27">
        <v>0</v>
      </c>
      <c r="G58" s="27">
        <v>-1.7669999999999999</v>
      </c>
      <c r="H58" s="27">
        <v>-2.6669999999999998</v>
      </c>
      <c r="I58" s="27">
        <v>0</v>
      </c>
      <c r="J58" s="27">
        <v>0</v>
      </c>
      <c r="K58" s="27">
        <v>-8</v>
      </c>
      <c r="L58" s="27">
        <v>0</v>
      </c>
      <c r="M58" s="27">
        <v>-21.681999999999999</v>
      </c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</row>
    <row r="59" spans="1:84" s="26" customFormat="1" x14ac:dyDescent="0.2">
      <c r="A59" s="3"/>
      <c r="B59" s="26" t="s">
        <v>299</v>
      </c>
      <c r="C59" s="26" t="s">
        <v>300</v>
      </c>
      <c r="D59" s="27">
        <v>37.212000000000003</v>
      </c>
      <c r="E59" s="27">
        <v>-32</v>
      </c>
      <c r="F59" s="27">
        <v>0</v>
      </c>
      <c r="G59" s="27">
        <v>-82.67</v>
      </c>
      <c r="H59" s="27">
        <v>0</v>
      </c>
      <c r="I59" s="27">
        <v>-28.3</v>
      </c>
      <c r="J59" s="27">
        <v>0</v>
      </c>
      <c r="K59" s="27">
        <v>-62.042999999999999</v>
      </c>
      <c r="L59" s="27">
        <v>-230.048</v>
      </c>
      <c r="M59" s="27">
        <v>0</v>
      </c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</row>
    <row r="60" spans="1:84" s="26" customFormat="1" x14ac:dyDescent="0.2">
      <c r="A60" s="3"/>
      <c r="B60" s="3" t="s">
        <v>301</v>
      </c>
      <c r="C60" s="26" t="s">
        <v>302</v>
      </c>
      <c r="D60" s="27" t="s">
        <v>18</v>
      </c>
      <c r="E60" s="27" t="s">
        <v>18</v>
      </c>
      <c r="F60" s="27" t="s">
        <v>18</v>
      </c>
      <c r="G60" s="27" t="s">
        <v>18</v>
      </c>
      <c r="H60" s="27" t="s">
        <v>18</v>
      </c>
      <c r="I60" s="27" t="s">
        <v>18</v>
      </c>
      <c r="J60" s="27" t="s">
        <v>18</v>
      </c>
      <c r="K60" s="27" t="s">
        <v>18</v>
      </c>
      <c r="L60" s="27" t="s">
        <v>18</v>
      </c>
      <c r="M60" s="27" t="s">
        <v>18</v>
      </c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</row>
    <row r="61" spans="1:84" s="39" customFormat="1" x14ac:dyDescent="0.2">
      <c r="A61" s="38"/>
      <c r="B61" s="39" t="s">
        <v>303</v>
      </c>
      <c r="C61" s="39" t="s">
        <v>304</v>
      </c>
      <c r="D61" s="40">
        <v>-8.0510000000000002</v>
      </c>
      <c r="E61" s="40">
        <v>-4.2279999999999998</v>
      </c>
      <c r="F61" s="40">
        <v>-311.05099999999999</v>
      </c>
      <c r="G61" s="40">
        <v>-99.228999999999999</v>
      </c>
      <c r="H61" s="40">
        <v>-278.96600000000001</v>
      </c>
      <c r="I61" s="40">
        <v>-87.221999999999994</v>
      </c>
      <c r="J61" s="40">
        <v>-116.83499999999999</v>
      </c>
      <c r="K61" s="40">
        <v>-133.05500000000001</v>
      </c>
      <c r="L61" s="40">
        <v>229.38</v>
      </c>
      <c r="M61" s="40">
        <v>-285.06099999999998</v>
      </c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</row>
    <row r="62" spans="1:84" s="26" customFormat="1" x14ac:dyDescent="0.2">
      <c r="A62" s="3"/>
      <c r="B62" s="3" t="s">
        <v>305</v>
      </c>
      <c r="C62" s="26" t="s">
        <v>306</v>
      </c>
      <c r="D62" s="27">
        <v>0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  <c r="K62" s="27">
        <v>400</v>
      </c>
      <c r="L62" s="27">
        <v>0</v>
      </c>
      <c r="M62" s="27">
        <v>0</v>
      </c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</row>
    <row r="63" spans="1:84" s="26" customFormat="1" x14ac:dyDescent="0.2">
      <c r="A63" s="3"/>
      <c r="B63" s="26" t="s">
        <v>307</v>
      </c>
      <c r="C63" s="26" t="s">
        <v>308</v>
      </c>
      <c r="D63" s="27">
        <v>0</v>
      </c>
      <c r="E63" s="27">
        <v>248.75</v>
      </c>
      <c r="F63" s="27">
        <v>0</v>
      </c>
      <c r="G63" s="27">
        <v>305.125</v>
      </c>
      <c r="H63" s="27">
        <v>0</v>
      </c>
      <c r="I63" s="27">
        <v>0</v>
      </c>
      <c r="J63" s="27">
        <v>0</v>
      </c>
      <c r="K63" s="27">
        <v>0</v>
      </c>
      <c r="L63" s="27">
        <v>497.5</v>
      </c>
      <c r="M63" s="27">
        <v>0</v>
      </c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</row>
    <row r="64" spans="1:84" s="26" customFormat="1" x14ac:dyDescent="0.2">
      <c r="A64" s="3"/>
      <c r="B64" s="3" t="s">
        <v>309</v>
      </c>
      <c r="C64" s="26" t="s">
        <v>310</v>
      </c>
      <c r="D64" s="27">
        <v>0</v>
      </c>
      <c r="E64" s="27">
        <v>0</v>
      </c>
      <c r="F64" s="27">
        <v>0</v>
      </c>
      <c r="G64" s="27">
        <v>0</v>
      </c>
      <c r="H64" s="27">
        <v>-111.268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</row>
    <row r="65" spans="1:84" s="26" customFormat="1" x14ac:dyDescent="0.2">
      <c r="A65" s="3"/>
      <c r="B65" s="26" t="s">
        <v>311</v>
      </c>
      <c r="C65" s="26" t="s">
        <v>312</v>
      </c>
      <c r="D65" s="27">
        <v>0</v>
      </c>
      <c r="E65" s="27">
        <v>0</v>
      </c>
      <c r="F65" s="27">
        <v>0</v>
      </c>
      <c r="G65" s="27">
        <v>-13.452999999999999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</row>
    <row r="66" spans="1:84" s="26" customFormat="1" x14ac:dyDescent="0.2">
      <c r="A66" s="3"/>
      <c r="B66" s="3" t="s">
        <v>313</v>
      </c>
      <c r="C66" s="26" t="s">
        <v>314</v>
      </c>
      <c r="D66" s="27">
        <v>0</v>
      </c>
      <c r="E66" s="27">
        <v>0</v>
      </c>
      <c r="F66" s="27">
        <v>-93.625</v>
      </c>
      <c r="G66" s="27">
        <v>0</v>
      </c>
      <c r="H66" s="27">
        <v>0</v>
      </c>
      <c r="I66" s="27">
        <v>0</v>
      </c>
      <c r="J66" s="27">
        <v>0</v>
      </c>
      <c r="K66" s="27">
        <v>0</v>
      </c>
      <c r="L66" s="27">
        <v>0.83</v>
      </c>
      <c r="M66" s="27">
        <v>0</v>
      </c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</row>
    <row r="67" spans="1:84" s="26" customFormat="1" x14ac:dyDescent="0.2">
      <c r="A67" s="3"/>
      <c r="B67" s="26" t="s">
        <v>315</v>
      </c>
      <c r="C67" s="26" t="s">
        <v>316</v>
      </c>
      <c r="D67" s="27">
        <v>0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0.83</v>
      </c>
      <c r="M67" s="27">
        <v>0</v>
      </c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</row>
    <row r="68" spans="1:84" s="26" customFormat="1" x14ac:dyDescent="0.2">
      <c r="A68" s="3"/>
      <c r="B68" s="3" t="s">
        <v>317</v>
      </c>
      <c r="C68" s="26" t="s">
        <v>318</v>
      </c>
      <c r="D68" s="27">
        <v>0</v>
      </c>
      <c r="E68" s="27">
        <v>0</v>
      </c>
      <c r="F68" s="27">
        <v>0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</row>
    <row r="69" spans="1:84" s="26" customFormat="1" x14ac:dyDescent="0.2">
      <c r="A69" s="3"/>
      <c r="B69" s="26" t="s">
        <v>319</v>
      </c>
      <c r="C69" s="26" t="s">
        <v>320</v>
      </c>
      <c r="D69" s="27">
        <v>0</v>
      </c>
      <c r="E69" s="27">
        <v>0</v>
      </c>
      <c r="F69" s="27">
        <v>0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</row>
    <row r="70" spans="1:84" s="26" customFormat="1" x14ac:dyDescent="0.2">
      <c r="A70" s="3"/>
      <c r="B70" s="26" t="s">
        <v>321</v>
      </c>
      <c r="C70" s="26" t="s">
        <v>322</v>
      </c>
      <c r="D70" s="27">
        <v>-29.867000000000001</v>
      </c>
      <c r="E70" s="27">
        <v>-266.11599999999999</v>
      </c>
      <c r="F70" s="27">
        <v>-233.554</v>
      </c>
      <c r="G70" s="27">
        <v>-292.73</v>
      </c>
      <c r="H70" s="27">
        <v>-7</v>
      </c>
      <c r="I70" s="27">
        <v>-5.1980000000000004</v>
      </c>
      <c r="J70" s="27">
        <v>-6.9290000000000003</v>
      </c>
      <c r="K70" s="27">
        <v>-5.1970000000000001</v>
      </c>
      <c r="L70" s="27">
        <v>-9.43</v>
      </c>
      <c r="M70" s="27">
        <v>-11.7</v>
      </c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</row>
    <row r="71" spans="1:84" s="26" customFormat="1" x14ac:dyDescent="0.2">
      <c r="A71" s="3"/>
      <c r="B71" s="26" t="s">
        <v>323</v>
      </c>
      <c r="C71" s="26" t="s">
        <v>324</v>
      </c>
      <c r="D71" s="27">
        <v>-0.42099999999999999</v>
      </c>
      <c r="E71" s="27">
        <v>-3.9870000000000001</v>
      </c>
      <c r="F71" s="27">
        <v>-0.72199999999999998</v>
      </c>
      <c r="G71" s="27">
        <v>-1.9359999999999999</v>
      </c>
      <c r="H71" s="27">
        <v>-1.1910000000000001</v>
      </c>
      <c r="I71" s="27">
        <v>-0.38200000000000001</v>
      </c>
      <c r="J71" s="27">
        <v>0</v>
      </c>
      <c r="K71" s="27">
        <v>-5.484</v>
      </c>
      <c r="L71" s="27">
        <v>-6.3789999999999996</v>
      </c>
      <c r="M71" s="27">
        <v>-2.5539999999999998</v>
      </c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</row>
    <row r="72" spans="1:84" s="26" customFormat="1" x14ac:dyDescent="0.2">
      <c r="A72" s="3"/>
      <c r="B72" s="26" t="s">
        <v>325</v>
      </c>
      <c r="C72" s="26" t="s">
        <v>326</v>
      </c>
      <c r="D72" s="27">
        <v>0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</row>
    <row r="73" spans="1:84" s="26" customFormat="1" x14ac:dyDescent="0.2">
      <c r="A73" s="3"/>
      <c r="B73" s="26" t="s">
        <v>327</v>
      </c>
      <c r="C73" s="26" t="s">
        <v>328</v>
      </c>
      <c r="D73" s="27">
        <v>0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</row>
    <row r="74" spans="1:84" s="26" customFormat="1" x14ac:dyDescent="0.2">
      <c r="A74" s="3"/>
      <c r="B74" s="26" t="s">
        <v>329</v>
      </c>
      <c r="C74" s="26" t="s">
        <v>330</v>
      </c>
      <c r="D74" s="27">
        <v>0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</row>
    <row r="75" spans="1:84" s="26" customFormat="1" x14ac:dyDescent="0.2">
      <c r="A75" s="3"/>
      <c r="B75" s="26" t="s">
        <v>331</v>
      </c>
      <c r="C75" s="26" t="s">
        <v>332</v>
      </c>
      <c r="D75" s="27">
        <v>-8.0380000000000003</v>
      </c>
      <c r="E75" s="27">
        <v>-5.9660000000000002</v>
      </c>
      <c r="F75" s="27">
        <v>-3.5619999999999998</v>
      </c>
      <c r="G75" s="27">
        <v>-3.6240000000000001</v>
      </c>
      <c r="H75" s="27">
        <v>-3.319</v>
      </c>
      <c r="I75" s="27">
        <v>-2.7029999999999998</v>
      </c>
      <c r="J75" s="27">
        <v>-3.004</v>
      </c>
      <c r="K75" s="27">
        <v>-3.468</v>
      </c>
      <c r="L75" s="27">
        <v>-3.7909999999999999</v>
      </c>
      <c r="M75" s="27">
        <v>-4.0289999999999999</v>
      </c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</row>
    <row r="76" spans="1:84" s="26" customFormat="1" x14ac:dyDescent="0.2">
      <c r="A76" s="3"/>
      <c r="B76" s="26" t="s">
        <v>333</v>
      </c>
      <c r="C76" s="26" t="s">
        <v>334</v>
      </c>
      <c r="D76" s="27">
        <v>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</row>
    <row r="77" spans="1:84" s="26" customFormat="1" x14ac:dyDescent="0.2">
      <c r="A77" s="3"/>
      <c r="B77" s="26" t="s">
        <v>335</v>
      </c>
      <c r="C77" s="26" t="s">
        <v>336</v>
      </c>
      <c r="D77" s="27">
        <v>0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</row>
    <row r="78" spans="1:84" s="26" customFormat="1" x14ac:dyDescent="0.2">
      <c r="A78" s="3"/>
      <c r="B78" s="26" t="s">
        <v>337</v>
      </c>
      <c r="C78" s="26" t="s">
        <v>338</v>
      </c>
      <c r="D78" s="27">
        <v>0</v>
      </c>
      <c r="E78" s="27">
        <v>0</v>
      </c>
      <c r="F78" s="27">
        <v>0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</row>
    <row r="79" spans="1:84" s="26" customFormat="1" x14ac:dyDescent="0.2">
      <c r="A79" s="3"/>
      <c r="B79" s="26" t="s">
        <v>339</v>
      </c>
      <c r="C79" s="26" t="s">
        <v>340</v>
      </c>
      <c r="D79" s="27">
        <v>0</v>
      </c>
      <c r="E79" s="27">
        <v>0</v>
      </c>
      <c r="F79" s="27">
        <v>0</v>
      </c>
      <c r="G79" s="27">
        <v>-4.7569999999999997</v>
      </c>
      <c r="H79" s="27">
        <v>-29.059000000000001</v>
      </c>
      <c r="I79" s="27">
        <v>-32.472000000000001</v>
      </c>
      <c r="J79" s="27">
        <v>-44.070999999999998</v>
      </c>
      <c r="K79" s="27">
        <v>-48.454000000000001</v>
      </c>
      <c r="L79" s="27">
        <v>-38.506</v>
      </c>
      <c r="M79" s="27">
        <v>-46.567</v>
      </c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</row>
    <row r="80" spans="1:84" s="26" customFormat="1" x14ac:dyDescent="0.2">
      <c r="A80" s="3"/>
      <c r="B80" s="26" t="s">
        <v>341</v>
      </c>
      <c r="C80" s="26" t="s">
        <v>342</v>
      </c>
      <c r="D80" s="27">
        <v>0</v>
      </c>
      <c r="E80" s="27">
        <v>0</v>
      </c>
      <c r="F80" s="27">
        <v>0</v>
      </c>
      <c r="G80" s="27">
        <v>-110.98099999999999</v>
      </c>
      <c r="H80" s="27">
        <v>-150.07599999999999</v>
      </c>
      <c r="I80" s="27">
        <v>-74.534999999999997</v>
      </c>
      <c r="J80" s="27">
        <v>-91.287999999999997</v>
      </c>
      <c r="K80" s="27">
        <v>-500.8</v>
      </c>
      <c r="L80" s="27">
        <v>-242.20099999999999</v>
      </c>
      <c r="M80" s="27">
        <v>-254.50200000000001</v>
      </c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</row>
    <row r="81" spans="1:84" s="26" customFormat="1" x14ac:dyDescent="0.2">
      <c r="A81" s="3"/>
      <c r="B81" s="26" t="s">
        <v>343</v>
      </c>
      <c r="C81" s="26" t="s">
        <v>344</v>
      </c>
      <c r="D81" s="27">
        <v>30.274999999999999</v>
      </c>
      <c r="E81" s="27">
        <v>23.091000000000001</v>
      </c>
      <c r="F81" s="27">
        <v>20.411999999999999</v>
      </c>
      <c r="G81" s="27">
        <v>23.126999999999999</v>
      </c>
      <c r="H81" s="27">
        <v>22.946999999999999</v>
      </c>
      <c r="I81" s="27">
        <v>28.068000000000001</v>
      </c>
      <c r="J81" s="27">
        <v>28.457000000000001</v>
      </c>
      <c r="K81" s="27">
        <v>30.347999999999999</v>
      </c>
      <c r="L81" s="27">
        <v>31.356999999999999</v>
      </c>
      <c r="M81" s="27">
        <v>34.290999999999997</v>
      </c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</row>
    <row r="82" spans="1:84" s="36" customFormat="1" x14ac:dyDescent="0.2">
      <c r="A82" s="35"/>
      <c r="B82" s="36" t="s">
        <v>345</v>
      </c>
      <c r="C82" s="36" t="s">
        <v>346</v>
      </c>
      <c r="D82" s="27">
        <v>0</v>
      </c>
      <c r="E82" s="27">
        <v>0</v>
      </c>
      <c r="F82" s="27">
        <v>0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</row>
    <row r="83" spans="1:84" s="26" customFormat="1" x14ac:dyDescent="0.2">
      <c r="A83" s="3"/>
      <c r="B83" s="26" t="s">
        <v>347</v>
      </c>
      <c r="C83" s="26" t="s">
        <v>348</v>
      </c>
      <c r="D83" s="27">
        <v>210.934</v>
      </c>
      <c r="E83" s="27">
        <v>-10.967000000000001</v>
      </c>
      <c r="F83" s="27">
        <v>-137.542</v>
      </c>
      <c r="G83" s="27">
        <v>110.649</v>
      </c>
      <c r="H83" s="27">
        <v>158.251</v>
      </c>
      <c r="I83" s="27">
        <v>186.19</v>
      </c>
      <c r="J83" s="27">
        <v>334.09399999999999</v>
      </c>
      <c r="K83" s="27">
        <v>-402.05900000000003</v>
      </c>
      <c r="L83" s="27">
        <v>14.257999999999999</v>
      </c>
      <c r="M83" s="27">
        <v>-77.006</v>
      </c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</row>
    <row r="84" spans="1:84" s="26" customFormat="1" x14ac:dyDescent="0.2">
      <c r="A84" s="3"/>
      <c r="B84" s="26" t="s">
        <v>349</v>
      </c>
      <c r="C84" s="26" t="s">
        <v>350</v>
      </c>
      <c r="D84" s="27">
        <v>-6.6829999999999998</v>
      </c>
      <c r="E84" s="27">
        <v>-2.3889999999999998</v>
      </c>
      <c r="F84" s="27">
        <v>0.49399999999999999</v>
      </c>
      <c r="G84" s="27">
        <v>-5.8559999999999999</v>
      </c>
      <c r="H84" s="27">
        <v>0.47599999999999998</v>
      </c>
      <c r="I84" s="27">
        <v>-1.643</v>
      </c>
      <c r="J84" s="27">
        <v>-0.19800000000000001</v>
      </c>
      <c r="K84" s="27">
        <v>-26.167000000000002</v>
      </c>
      <c r="L84" s="27">
        <v>2.15</v>
      </c>
      <c r="M84" s="27">
        <v>1.246</v>
      </c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</row>
    <row r="85" spans="1:84" s="26" customFormat="1" x14ac:dyDescent="0.2">
      <c r="A85" s="3"/>
      <c r="B85" s="26" t="s">
        <v>351</v>
      </c>
      <c r="C85" s="26" t="s">
        <v>352</v>
      </c>
      <c r="D85" s="27">
        <v>204.251</v>
      </c>
      <c r="E85" s="27">
        <v>-13.356</v>
      </c>
      <c r="F85" s="27">
        <v>-137.048</v>
      </c>
      <c r="G85" s="27">
        <v>104.79300000000001</v>
      </c>
      <c r="H85" s="27">
        <v>158.727</v>
      </c>
      <c r="I85" s="27">
        <v>184.547</v>
      </c>
      <c r="J85" s="27">
        <v>333.89600000000002</v>
      </c>
      <c r="K85" s="27">
        <v>-428.226</v>
      </c>
      <c r="L85" s="27">
        <v>16.408000000000001</v>
      </c>
      <c r="M85" s="27">
        <v>-75.760000000000005</v>
      </c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</row>
    <row r="86" spans="1:84" s="26" customFormat="1" x14ac:dyDescent="0.2">
      <c r="A86" s="3"/>
      <c r="B86" s="26" t="s">
        <v>353</v>
      </c>
      <c r="C86" s="26" t="s">
        <v>354</v>
      </c>
      <c r="D86" s="27">
        <v>586.72</v>
      </c>
      <c r="E86" s="27">
        <v>790.971</v>
      </c>
      <c r="F86" s="27">
        <v>777.68899999999996</v>
      </c>
      <c r="G86" s="27">
        <v>640.64099999999996</v>
      </c>
      <c r="H86" s="27">
        <v>745.43399999999997</v>
      </c>
      <c r="I86" s="27">
        <v>904.16099999999994</v>
      </c>
      <c r="J86" s="27">
        <v>1088.7080000000001</v>
      </c>
      <c r="K86" s="27">
        <v>1422.604</v>
      </c>
      <c r="L86" s="27">
        <v>994.37800000000004</v>
      </c>
      <c r="M86" s="27">
        <v>1010.7859999999999</v>
      </c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</row>
    <row r="87" spans="1:84" s="26" customFormat="1" x14ac:dyDescent="0.2">
      <c r="A87" s="3"/>
      <c r="B87" s="26" t="s">
        <v>355</v>
      </c>
      <c r="C87" s="26" t="s">
        <v>356</v>
      </c>
      <c r="D87" s="27">
        <v>790.971</v>
      </c>
      <c r="E87" s="27">
        <v>777.61500000000001</v>
      </c>
      <c r="F87" s="27">
        <v>640.64099999999996</v>
      </c>
      <c r="G87" s="27">
        <v>745.43399999999997</v>
      </c>
      <c r="H87" s="27">
        <v>904.16099999999994</v>
      </c>
      <c r="I87" s="27">
        <v>1088.7080000000001</v>
      </c>
      <c r="J87" s="27">
        <v>1422.604</v>
      </c>
      <c r="K87" s="27">
        <v>994.37800000000004</v>
      </c>
      <c r="L87" s="27">
        <v>1010.7859999999999</v>
      </c>
      <c r="M87" s="27">
        <v>935.02599999999995</v>
      </c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</row>
    <row r="88" spans="1:84" s="26" customFormat="1" x14ac:dyDescent="0.2">
      <c r="A88" s="3"/>
      <c r="B88" s="26" t="s">
        <v>357</v>
      </c>
      <c r="C88" s="26" t="s">
        <v>358</v>
      </c>
      <c r="D88" s="27" t="s">
        <v>18</v>
      </c>
      <c r="E88" s="27" t="s">
        <v>18</v>
      </c>
      <c r="F88" s="27" t="s">
        <v>18</v>
      </c>
      <c r="G88" s="27" t="s">
        <v>18</v>
      </c>
      <c r="H88" s="27" t="s">
        <v>18</v>
      </c>
      <c r="I88" s="27" t="s">
        <v>18</v>
      </c>
      <c r="J88" s="27" t="s">
        <v>18</v>
      </c>
      <c r="K88" s="27" t="s">
        <v>18</v>
      </c>
      <c r="L88" s="27" t="s">
        <v>18</v>
      </c>
      <c r="M88" s="27" t="s">
        <v>18</v>
      </c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</row>
    <row r="89" spans="1:84" s="26" customFormat="1" x14ac:dyDescent="0.2">
      <c r="A89" s="3"/>
      <c r="B89" s="26" t="s">
        <v>359</v>
      </c>
      <c r="C89" s="26" t="s">
        <v>360</v>
      </c>
      <c r="D89" s="27">
        <v>-40.771999999999998</v>
      </c>
      <c r="E89" s="27">
        <v>-46.896999999999998</v>
      </c>
      <c r="F89" s="27">
        <v>-47.234999999999999</v>
      </c>
      <c r="G89" s="27">
        <v>-44.75</v>
      </c>
      <c r="H89" s="27">
        <v>-39.579000000000001</v>
      </c>
      <c r="I89" s="27">
        <v>-32.837000000000003</v>
      </c>
      <c r="J89" s="27">
        <v>-29.864000000000001</v>
      </c>
      <c r="K89" s="27">
        <v>-42.811999999999998</v>
      </c>
      <c r="L89" s="27">
        <v>-84.465000000000003</v>
      </c>
      <c r="M89" s="27">
        <v>-92.515000000000001</v>
      </c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</row>
    <row r="90" spans="1:84" s="26" customFormat="1" x14ac:dyDescent="0.2">
      <c r="A90" s="3"/>
      <c r="B90" s="26" t="s">
        <v>361</v>
      </c>
      <c r="C90" s="26" t="s">
        <v>362</v>
      </c>
      <c r="D90" s="27">
        <v>-10.667999999999999</v>
      </c>
      <c r="E90" s="27">
        <v>-15.268000000000001</v>
      </c>
      <c r="F90" s="27">
        <v>-22.135999999999999</v>
      </c>
      <c r="G90" s="27">
        <v>-26.9</v>
      </c>
      <c r="H90" s="27">
        <v>-33.57</v>
      </c>
      <c r="I90" s="27">
        <v>-53.076000000000001</v>
      </c>
      <c r="J90" s="27">
        <v>-73.126999999999995</v>
      </c>
      <c r="K90" s="27">
        <v>-34.966999999999999</v>
      </c>
      <c r="L90" s="27">
        <v>-78.242000000000004</v>
      </c>
      <c r="M90" s="27">
        <v>-54.956000000000003</v>
      </c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</row>
    <row r="91" spans="1:84" s="26" customFormat="1" x14ac:dyDescent="0.2">
      <c r="A91" s="3"/>
      <c r="B91" s="26" t="s">
        <v>363</v>
      </c>
      <c r="C91" s="26" t="s">
        <v>364</v>
      </c>
      <c r="D91" s="27" t="s">
        <v>18</v>
      </c>
      <c r="E91" s="27" t="s">
        <v>18</v>
      </c>
      <c r="F91" s="27" t="s">
        <v>18</v>
      </c>
      <c r="G91" s="27">
        <v>0</v>
      </c>
      <c r="H91" s="27">
        <v>0</v>
      </c>
      <c r="I91" s="27">
        <v>22.088999999999999</v>
      </c>
      <c r="J91" s="27">
        <v>24.058</v>
      </c>
      <c r="K91" s="27">
        <v>21.661000000000001</v>
      </c>
      <c r="L91" s="27">
        <v>22.782</v>
      </c>
      <c r="M91" s="27">
        <v>19.452000000000002</v>
      </c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</row>
    <row r="92" spans="1:84" s="26" customFormat="1" x14ac:dyDescent="0.2">
      <c r="A92" s="3"/>
      <c r="B92" s="26" t="s">
        <v>365</v>
      </c>
      <c r="C92" s="26" t="s">
        <v>366</v>
      </c>
      <c r="D92" s="27" t="s">
        <v>18</v>
      </c>
      <c r="E92" s="27" t="s">
        <v>18</v>
      </c>
      <c r="F92" s="27" t="s">
        <v>18</v>
      </c>
      <c r="G92" s="27" t="s">
        <v>18</v>
      </c>
      <c r="H92" s="27" t="s">
        <v>18</v>
      </c>
      <c r="I92" s="27" t="s">
        <v>18</v>
      </c>
      <c r="J92" s="27" t="s">
        <v>18</v>
      </c>
      <c r="K92" s="27" t="s">
        <v>18</v>
      </c>
      <c r="L92" s="27" t="s">
        <v>18</v>
      </c>
      <c r="M92" s="27" t="s">
        <v>18</v>
      </c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</row>
    <row r="93" spans="1:84" s="26" customFormat="1" x14ac:dyDescent="0.2">
      <c r="A93" s="3"/>
      <c r="B93" s="26" t="s">
        <v>367</v>
      </c>
      <c r="C93" s="26" t="s">
        <v>368</v>
      </c>
      <c r="D93" s="27">
        <v>20.922000000000001</v>
      </c>
      <c r="E93" s="27">
        <v>15.03</v>
      </c>
      <c r="F93" s="27">
        <v>6.2140000000000004</v>
      </c>
      <c r="G93" s="27">
        <v>5.1180000000000003</v>
      </c>
      <c r="H93" s="27">
        <v>16.548999999999999</v>
      </c>
      <c r="I93" s="27">
        <v>7.8540000000000001</v>
      </c>
      <c r="J93" s="27">
        <v>10.138</v>
      </c>
      <c r="K93" s="27">
        <v>12.372999999999999</v>
      </c>
      <c r="L93" s="27">
        <v>6.99</v>
      </c>
      <c r="M93" s="27">
        <v>14.682</v>
      </c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</row>
    <row r="94" spans="1:84" s="26" customFormat="1" x14ac:dyDescent="0.2">
      <c r="A94" s="3"/>
      <c r="B94" s="26" t="s">
        <v>369</v>
      </c>
      <c r="C94" s="26" t="s">
        <v>370</v>
      </c>
      <c r="D94" s="27" t="s">
        <v>18</v>
      </c>
      <c r="E94" s="27" t="s">
        <v>18</v>
      </c>
      <c r="F94" s="27" t="s">
        <v>18</v>
      </c>
      <c r="G94" s="27" t="s">
        <v>18</v>
      </c>
      <c r="H94" s="27" t="s">
        <v>18</v>
      </c>
      <c r="I94" s="27" t="s">
        <v>18</v>
      </c>
      <c r="J94" s="27" t="s">
        <v>18</v>
      </c>
      <c r="K94" s="27" t="s">
        <v>18</v>
      </c>
      <c r="L94" s="27" t="s">
        <v>18</v>
      </c>
      <c r="M94" s="27" t="s">
        <v>18</v>
      </c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</row>
    <row r="95" spans="1:84" s="26" customFormat="1" x14ac:dyDescent="0.2">
      <c r="A95" s="3"/>
      <c r="B95" s="26" t="s">
        <v>371</v>
      </c>
      <c r="C95" s="26" t="s">
        <v>372</v>
      </c>
      <c r="D95" s="27">
        <v>18.663</v>
      </c>
      <c r="E95" s="27">
        <v>39.914000000000001</v>
      </c>
      <c r="F95" s="27" t="s">
        <v>18</v>
      </c>
      <c r="G95" s="27" t="s">
        <v>18</v>
      </c>
      <c r="H95" s="27" t="s">
        <v>18</v>
      </c>
      <c r="I95" s="27" t="s">
        <v>18</v>
      </c>
      <c r="J95" s="27" t="s">
        <v>18</v>
      </c>
      <c r="K95" s="27" t="s">
        <v>18</v>
      </c>
      <c r="L95" s="27" t="s">
        <v>18</v>
      </c>
      <c r="M95" s="27" t="s">
        <v>18</v>
      </c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</row>
    <row r="96" spans="1:84" s="26" customFormat="1" x14ac:dyDescent="0.2">
      <c r="A96" s="3"/>
      <c r="B96" s="26" t="s">
        <v>373</v>
      </c>
      <c r="C96" s="26" t="s">
        <v>374</v>
      </c>
      <c r="D96" s="27">
        <v>14.939</v>
      </c>
      <c r="E96" s="27">
        <v>8.9930000000000003</v>
      </c>
      <c r="F96" s="27">
        <v>50.37</v>
      </c>
      <c r="G96" s="27" t="s">
        <v>18</v>
      </c>
      <c r="H96" s="27" t="s">
        <v>18</v>
      </c>
      <c r="I96" s="27" t="s">
        <v>18</v>
      </c>
      <c r="J96" s="27" t="s">
        <v>18</v>
      </c>
      <c r="K96" s="27" t="s">
        <v>18</v>
      </c>
      <c r="L96" s="27" t="s">
        <v>18</v>
      </c>
      <c r="M96" s="27" t="s">
        <v>18</v>
      </c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</row>
    <row r="97" spans="1:84" s="26" customFormat="1" x14ac:dyDescent="0.2">
      <c r="A97" s="3"/>
      <c r="B97" s="26" t="s">
        <v>375</v>
      </c>
      <c r="C97" s="26" t="s">
        <v>376</v>
      </c>
      <c r="D97" s="27" t="s">
        <v>18</v>
      </c>
      <c r="E97" s="27">
        <v>0</v>
      </c>
      <c r="F97" s="27">
        <v>0</v>
      </c>
      <c r="G97" s="27">
        <v>10.9</v>
      </c>
      <c r="H97" s="27" t="s">
        <v>18</v>
      </c>
      <c r="I97" s="27" t="s">
        <v>18</v>
      </c>
      <c r="J97" s="27" t="s">
        <v>18</v>
      </c>
      <c r="K97" s="27" t="s">
        <v>18</v>
      </c>
      <c r="L97" s="27" t="s">
        <v>18</v>
      </c>
      <c r="M97" s="27" t="s">
        <v>18</v>
      </c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</row>
    <row r="98" spans="1:84" s="26" customFormat="1" x14ac:dyDescent="0.2">
      <c r="A98" s="3"/>
      <c r="B98" s="26" t="s">
        <v>377</v>
      </c>
      <c r="C98" s="26" t="s">
        <v>378</v>
      </c>
      <c r="D98" s="27" t="s">
        <v>18</v>
      </c>
      <c r="E98" s="27" t="s">
        <v>18</v>
      </c>
      <c r="F98" s="27" t="s">
        <v>18</v>
      </c>
      <c r="G98" s="27" t="s">
        <v>18</v>
      </c>
      <c r="H98" s="27">
        <v>0</v>
      </c>
      <c r="I98" s="27">
        <v>0</v>
      </c>
      <c r="J98" s="27">
        <v>0.8</v>
      </c>
      <c r="K98" s="27">
        <v>0</v>
      </c>
      <c r="L98" s="27">
        <v>9.31</v>
      </c>
      <c r="M98" s="27">
        <v>6.1719999999999997</v>
      </c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</row>
    <row r="99" spans="1:84" s="26" customFormat="1" x14ac:dyDescent="0.2">
      <c r="A99" s="3"/>
      <c r="B99" s="26" t="s">
        <v>379</v>
      </c>
      <c r="C99" s="26" t="s">
        <v>380</v>
      </c>
      <c r="D99" s="27" t="s">
        <v>18</v>
      </c>
      <c r="E99" s="27" t="s">
        <v>18</v>
      </c>
      <c r="F99" s="27">
        <v>0</v>
      </c>
      <c r="G99" s="27">
        <v>0</v>
      </c>
      <c r="H99" s="27">
        <v>52.944000000000003</v>
      </c>
      <c r="I99" s="27" t="s">
        <v>18</v>
      </c>
      <c r="J99" s="27" t="s">
        <v>18</v>
      </c>
      <c r="K99" s="27" t="s">
        <v>18</v>
      </c>
      <c r="L99" s="27" t="s">
        <v>18</v>
      </c>
      <c r="M99" s="27" t="s">
        <v>18</v>
      </c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</row>
    <row r="100" spans="1:84" s="26" customFormat="1" x14ac:dyDescent="0.2">
      <c r="A100" s="3"/>
      <c r="B100" s="26" t="s">
        <v>381</v>
      </c>
      <c r="C100" s="26" t="s">
        <v>382</v>
      </c>
      <c r="D100" s="27" t="s">
        <v>18</v>
      </c>
      <c r="E100" s="27" t="s">
        <v>18</v>
      </c>
      <c r="F100" s="27" t="s">
        <v>18</v>
      </c>
      <c r="G100" s="27">
        <v>0</v>
      </c>
      <c r="H100" s="27">
        <v>0</v>
      </c>
      <c r="I100" s="27">
        <v>24.16</v>
      </c>
      <c r="J100" s="27">
        <v>4.3559999999999999</v>
      </c>
      <c r="K100" s="27">
        <v>23.242000000000001</v>
      </c>
      <c r="L100" s="27">
        <v>10.236000000000001</v>
      </c>
      <c r="M100" s="27">
        <v>6.9119999999999999</v>
      </c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</row>
    <row r="101" spans="1:84" s="26" customFormat="1" x14ac:dyDescent="0.2">
      <c r="A101" s="3"/>
      <c r="B101" s="26" t="s">
        <v>383</v>
      </c>
      <c r="C101" s="26" t="s">
        <v>384</v>
      </c>
      <c r="D101" s="27" t="s">
        <v>18</v>
      </c>
      <c r="E101" s="27" t="s">
        <v>18</v>
      </c>
      <c r="F101" s="27" t="s">
        <v>18</v>
      </c>
      <c r="G101" s="27">
        <v>0</v>
      </c>
      <c r="H101" s="27">
        <v>0</v>
      </c>
      <c r="I101" s="27">
        <v>2.681</v>
      </c>
      <c r="J101" s="27">
        <v>0.16400000000000001</v>
      </c>
      <c r="K101" s="27">
        <v>4.12</v>
      </c>
      <c r="L101" s="27">
        <v>26.367999999999999</v>
      </c>
      <c r="M101" s="27">
        <v>0</v>
      </c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</row>
    <row r="102" spans="1:84" s="26" customFormat="1" x14ac:dyDescent="0.2">
      <c r="A102" s="3"/>
      <c r="B102" s="26" t="s">
        <v>385</v>
      </c>
      <c r="C102" s="26" t="s">
        <v>386</v>
      </c>
      <c r="D102" s="27" t="s">
        <v>18</v>
      </c>
      <c r="E102" s="27">
        <v>0</v>
      </c>
      <c r="F102" s="27">
        <v>0</v>
      </c>
      <c r="G102" s="27">
        <v>61.27</v>
      </c>
      <c r="H102" s="27" t="s">
        <v>18</v>
      </c>
      <c r="I102" s="27" t="s">
        <v>18</v>
      </c>
      <c r="J102" s="27" t="s">
        <v>18</v>
      </c>
      <c r="K102" s="27" t="s">
        <v>18</v>
      </c>
      <c r="L102" s="27" t="s">
        <v>18</v>
      </c>
      <c r="M102" s="27" t="s">
        <v>18</v>
      </c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</row>
    <row r="103" spans="1:84" s="26" customFormat="1" x14ac:dyDescent="0.2">
      <c r="A103" s="3"/>
      <c r="B103" s="26" t="s">
        <v>387</v>
      </c>
      <c r="C103" s="26" t="s">
        <v>388</v>
      </c>
      <c r="D103" s="27">
        <v>180.64500000000001</v>
      </c>
      <c r="E103" s="27">
        <v>0</v>
      </c>
      <c r="F103" s="27">
        <v>0</v>
      </c>
      <c r="G103" s="27">
        <v>214.286</v>
      </c>
      <c r="H103" s="27" t="s">
        <v>18</v>
      </c>
      <c r="I103" s="27" t="s">
        <v>18</v>
      </c>
      <c r="J103" s="27" t="s">
        <v>18</v>
      </c>
      <c r="K103" s="27" t="s">
        <v>18</v>
      </c>
      <c r="L103" s="27" t="s">
        <v>18</v>
      </c>
      <c r="M103" s="27" t="s">
        <v>18</v>
      </c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</row>
    <row r="104" spans="1:84" s="26" customFormat="1" x14ac:dyDescent="0.2">
      <c r="A104" s="3"/>
      <c r="B104" s="26" t="s">
        <v>389</v>
      </c>
      <c r="C104" s="26" t="s">
        <v>390</v>
      </c>
      <c r="D104" s="27">
        <v>0.46400000000000002</v>
      </c>
      <c r="E104" s="27">
        <v>5.3220000000000001</v>
      </c>
      <c r="F104" s="27" t="s">
        <v>18</v>
      </c>
      <c r="G104" s="27" t="s">
        <v>18</v>
      </c>
      <c r="H104" s="27" t="s">
        <v>18</v>
      </c>
      <c r="I104" s="27" t="s">
        <v>18</v>
      </c>
      <c r="J104" s="27" t="s">
        <v>18</v>
      </c>
      <c r="K104" s="27" t="s">
        <v>18</v>
      </c>
      <c r="L104" s="27" t="s">
        <v>18</v>
      </c>
      <c r="M104" s="27" t="s">
        <v>18</v>
      </c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</row>
    <row r="105" spans="1:84" s="26" customFormat="1" x14ac:dyDescent="0.2">
      <c r="A105" s="3"/>
      <c r="B105" s="26" t="s">
        <v>391</v>
      </c>
      <c r="C105" s="26" t="s">
        <v>392</v>
      </c>
      <c r="D105" s="27">
        <v>117.14</v>
      </c>
      <c r="E105" s="27" t="s">
        <v>18</v>
      </c>
      <c r="F105" s="27" t="s">
        <v>18</v>
      </c>
      <c r="G105" s="27" t="s">
        <v>18</v>
      </c>
      <c r="H105" s="27" t="s">
        <v>18</v>
      </c>
      <c r="I105" s="27" t="s">
        <v>18</v>
      </c>
      <c r="J105" s="27" t="s">
        <v>18</v>
      </c>
      <c r="K105" s="27" t="s">
        <v>18</v>
      </c>
      <c r="L105" s="27" t="s">
        <v>18</v>
      </c>
      <c r="M105" s="27" t="s">
        <v>18</v>
      </c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</row>
    <row r="106" spans="1:84" s="26" customFormat="1" x14ac:dyDescent="0.2">
      <c r="A106" s="3"/>
      <c r="B106" s="26" t="s">
        <v>393</v>
      </c>
      <c r="C106" s="26" t="s">
        <v>394</v>
      </c>
      <c r="D106" s="27">
        <v>302.11399999999998</v>
      </c>
      <c r="E106" s="27" t="s">
        <v>18</v>
      </c>
      <c r="F106" s="27" t="s">
        <v>18</v>
      </c>
      <c r="G106" s="27" t="s">
        <v>18</v>
      </c>
      <c r="H106" s="27" t="s">
        <v>18</v>
      </c>
      <c r="I106" s="27" t="s">
        <v>18</v>
      </c>
      <c r="J106" s="27" t="s">
        <v>18</v>
      </c>
      <c r="K106" s="27" t="s">
        <v>18</v>
      </c>
      <c r="L106" s="27" t="s">
        <v>18</v>
      </c>
      <c r="M106" s="27" t="s">
        <v>18</v>
      </c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</row>
    <row r="107" spans="1:84" s="26" customFormat="1" x14ac:dyDescent="0.2">
      <c r="A107" s="3"/>
      <c r="D107" s="27" t="s">
        <v>18</v>
      </c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</row>
    <row r="108" spans="1:84" s="26" customFormat="1" x14ac:dyDescent="0.2">
      <c r="A108" s="3"/>
      <c r="D108" s="27" t="s">
        <v>18</v>
      </c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</row>
    <row r="109" spans="1:84" s="26" customFormat="1" x14ac:dyDescent="0.2">
      <c r="A109" s="3"/>
      <c r="D109" s="27" t="s">
        <v>18</v>
      </c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</row>
    <row r="110" spans="1:84" s="26" customFormat="1" x14ac:dyDescent="0.2">
      <c r="A110" s="3"/>
      <c r="D110" s="27" t="s">
        <v>18</v>
      </c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</row>
    <row r="111" spans="1:84" s="26" customFormat="1" x14ac:dyDescent="0.2">
      <c r="A111" s="3"/>
      <c r="D111" s="27" t="s">
        <v>18</v>
      </c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</row>
    <row r="112" spans="1:84" s="26" customFormat="1" x14ac:dyDescent="0.2">
      <c r="A112" s="3"/>
      <c r="D112" s="27" t="s">
        <v>18</v>
      </c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</row>
    <row r="113" spans="1:84" s="26" customFormat="1" x14ac:dyDescent="0.2">
      <c r="A113" s="3"/>
      <c r="D113" s="27" t="s">
        <v>18</v>
      </c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</row>
    <row r="114" spans="1:84" s="26" customFormat="1" x14ac:dyDescent="0.2">
      <c r="A114" s="3"/>
      <c r="D114" s="27" t="s">
        <v>18</v>
      </c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</row>
    <row r="115" spans="1:84" s="26" customFormat="1" x14ac:dyDescent="0.2">
      <c r="A115" s="3"/>
      <c r="D115" s="27" t="s">
        <v>18</v>
      </c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</row>
    <row r="116" spans="1:84" s="26" customFormat="1" x14ac:dyDescent="0.2">
      <c r="A116" s="3"/>
      <c r="D116" s="27" t="s">
        <v>18</v>
      </c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</row>
    <row r="117" spans="1:84" s="26" customFormat="1" x14ac:dyDescent="0.2">
      <c r="A117" s="3"/>
      <c r="D117" s="27" t="s">
        <v>18</v>
      </c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</row>
    <row r="118" spans="1:84" s="26" customFormat="1" x14ac:dyDescent="0.2">
      <c r="A118" s="3"/>
      <c r="D118" s="27" t="s">
        <v>18</v>
      </c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</row>
    <row r="119" spans="1:84" s="26" customFormat="1" x14ac:dyDescent="0.2">
      <c r="A119" s="3"/>
      <c r="D119" s="27" t="s">
        <v>18</v>
      </c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</row>
    <row r="120" spans="1:84" s="26" customFormat="1" x14ac:dyDescent="0.2">
      <c r="A120" s="3"/>
      <c r="D120" s="27" t="s">
        <v>18</v>
      </c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</row>
    <row r="121" spans="1:84" s="26" customFormat="1" x14ac:dyDescent="0.2">
      <c r="A121" s="3"/>
      <c r="D121" s="27" t="s">
        <v>18</v>
      </c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</row>
    <row r="122" spans="1:84" s="26" customFormat="1" x14ac:dyDescent="0.2">
      <c r="A122" s="3"/>
      <c r="D122" s="27" t="s">
        <v>18</v>
      </c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</row>
    <row r="123" spans="1:84" s="26" customFormat="1" x14ac:dyDescent="0.2">
      <c r="A123" s="3"/>
      <c r="D123" s="27" t="s">
        <v>18</v>
      </c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</row>
    <row r="124" spans="1:84" x14ac:dyDescent="0.2">
      <c r="D124" s="19" t="s">
        <v>18</v>
      </c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</row>
    <row r="125" spans="1:84" x14ac:dyDescent="0.2">
      <c r="D125" s="19" t="s">
        <v>18</v>
      </c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</row>
    <row r="126" spans="1:84" x14ac:dyDescent="0.2">
      <c r="D126" s="19" t="s">
        <v>18</v>
      </c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</row>
    <row r="127" spans="1:84" x14ac:dyDescent="0.2">
      <c r="D127" s="19" t="s">
        <v>18</v>
      </c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</row>
    <row r="128" spans="1:84" x14ac:dyDescent="0.2">
      <c r="D128" s="19" t="s">
        <v>18</v>
      </c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</row>
    <row r="129" spans="4:84" x14ac:dyDescent="0.2">
      <c r="D129" s="19" t="s">
        <v>18</v>
      </c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</row>
    <row r="130" spans="4:84" x14ac:dyDescent="0.2"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</row>
  </sheetData>
  <conditionalFormatting sqref="B48">
    <cfRule type="expression" dxfId="31" priority="26">
      <formula>AND(MOD(ROW(),2)=0,LEN($B48)&gt;0)</formula>
    </cfRule>
  </conditionalFormatting>
  <conditionalFormatting sqref="B50">
    <cfRule type="expression" dxfId="30" priority="25">
      <formula>AND(MOD(ROW(),2)=0,LEN($B50)&gt;0)</formula>
    </cfRule>
  </conditionalFormatting>
  <conditionalFormatting sqref="B52">
    <cfRule type="expression" dxfId="29" priority="24">
      <formula>AND(MOD(ROW(),2)=0,LEN($B52)&gt;0)</formula>
    </cfRule>
  </conditionalFormatting>
  <conditionalFormatting sqref="B54">
    <cfRule type="expression" dxfId="28" priority="23">
      <formula>AND(MOD(ROW(),2)=0,LEN($B54)&gt;0)</formula>
    </cfRule>
  </conditionalFormatting>
  <conditionalFormatting sqref="B56">
    <cfRule type="expression" dxfId="27" priority="22">
      <formula>AND(MOD(ROW(),2)=0,LEN($B56)&gt;0)</formula>
    </cfRule>
  </conditionalFormatting>
  <conditionalFormatting sqref="B58">
    <cfRule type="expression" dxfId="26" priority="21">
      <formula>AND(MOD(ROW(),2)=0,LEN($B58)&gt;0)</formula>
    </cfRule>
  </conditionalFormatting>
  <conditionalFormatting sqref="B60">
    <cfRule type="expression" dxfId="25" priority="20">
      <formula>AND(MOD(ROW(),2)=0,LEN($B60)&gt;0)</formula>
    </cfRule>
  </conditionalFormatting>
  <conditionalFormatting sqref="B62">
    <cfRule type="expression" dxfId="24" priority="19">
      <formula>AND(MOD(ROW(),2)=0,LEN($B62)&gt;0)</formula>
    </cfRule>
  </conditionalFormatting>
  <conditionalFormatting sqref="B64">
    <cfRule type="expression" dxfId="23" priority="18">
      <formula>AND(MOD(ROW(),2)=0,LEN($B64)&gt;0)</formula>
    </cfRule>
  </conditionalFormatting>
  <conditionalFormatting sqref="B66">
    <cfRule type="expression" dxfId="22" priority="17">
      <formula>AND(MOD(ROW(),2)=0,LEN($B66)&gt;0)</formula>
    </cfRule>
  </conditionalFormatting>
  <conditionalFormatting sqref="B68">
    <cfRule type="expression" dxfId="21" priority="16">
      <formula>AND(MOD(ROW(),2)=0,LEN($B68)&gt;0)</formula>
    </cfRule>
  </conditionalFormatting>
  <conditionalFormatting sqref="B31:C46">
    <cfRule type="expression" dxfId="20" priority="27">
      <formula>AND(MOD(ROW(),2)=0,LEN($B31)&gt;0)</formula>
    </cfRule>
  </conditionalFormatting>
  <conditionalFormatting sqref="B12:D30 D25:M25 D31:D40 D55:M56 D57:I57 D58:D61 D83:D129">
    <cfRule type="expression" dxfId="19" priority="29">
      <formula>AND(MOD(ROW(),2)=0,LEN($B12)&gt;0)</formula>
    </cfRule>
  </conditionalFormatting>
  <conditionalFormatting sqref="D63:G65">
    <cfRule type="expression" dxfId="18" priority="6">
      <formula>AND(MOD(ROW(),2)=0,LEN($B63)&gt;0)</formula>
    </cfRule>
  </conditionalFormatting>
  <conditionalFormatting sqref="D66:CF82">
    <cfRule type="expression" dxfId="17" priority="1">
      <formula>AND(MOD(ROW(),2)=0,LEN($B66)&gt;0)</formula>
    </cfRule>
  </conditionalFormatting>
  <conditionalFormatting sqref="E58:I59">
    <cfRule type="expression" dxfId="16" priority="14">
      <formula>AND(MOD(ROW(),2)=0,LEN($B58)&gt;0)</formula>
    </cfRule>
  </conditionalFormatting>
  <conditionalFormatting sqref="E12:CF40 D41:CF54 N55:CF55 E56:CF56 E60:CF61 D62:K62 N62:CF65 E83:CF130">
    <cfRule type="expression" dxfId="15" priority="28">
      <formula>AND(MOD(ROW(),2)=0,LEN($B12)&gt;0)</formula>
    </cfRule>
  </conditionalFormatting>
  <conditionalFormatting sqref="H63:K63">
    <cfRule type="expression" dxfId="14" priority="7">
      <formula>AND(MOD(ROW(),2)=0,LEN($B63)&gt;0)</formula>
    </cfRule>
  </conditionalFormatting>
  <conditionalFormatting sqref="H64:M65">
    <cfRule type="expression" dxfId="13" priority="8">
      <formula>AND(MOD(ROW(),2)=0,LEN($B64)&gt;0)</formula>
    </cfRule>
  </conditionalFormatting>
  <conditionalFormatting sqref="J57:CF59">
    <cfRule type="expression" dxfId="12" priority="11">
      <formula>AND(MOD(ROW(),2)=0,LEN($B57)&gt;0)</formula>
    </cfRule>
  </conditionalFormatting>
  <conditionalFormatting sqref="L62:M63">
    <cfRule type="expression" dxfId="11" priority="3">
      <formula>AND(MOD(ROW(),2)=0,LEN($B62)&gt;0)</formula>
    </cfRule>
  </conditionalFormatting>
  <conditionalFormatting sqref="Q9:R9">
    <cfRule type="containsText" dxfId="10" priority="30" operator="containsText" text="NO">
      <formula>NOT(ISERROR(SEARCH("NO",Q9)))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8DBD-D825-456D-B678-8C85F30D3618}">
  <dimension ref="B1:CI143"/>
  <sheetViews>
    <sheetView showGridLines="0" workbookViewId="0">
      <selection activeCell="M53" sqref="M53"/>
    </sheetView>
  </sheetViews>
  <sheetFormatPr defaultColWidth="9.140625" defaultRowHeight="12" outlineLevelCol="1" x14ac:dyDescent="0.2"/>
  <cols>
    <col min="1" max="1" width="4.7109375" style="3" customWidth="1"/>
    <col min="2" max="2" width="48.42578125" style="3" customWidth="1"/>
    <col min="3" max="3" width="57.5703125" style="3" hidden="1" customWidth="1" outlineLevel="1"/>
    <col min="4" max="4" width="14.140625" style="3" bestFit="1" customWidth="1" collapsed="1"/>
    <col min="5" max="8" width="14.140625" style="3" bestFit="1" customWidth="1"/>
    <col min="9" max="9" width="16.140625" style="3" bestFit="1" customWidth="1"/>
    <col min="10" max="13" width="14.140625" style="3" bestFit="1" customWidth="1"/>
    <col min="14" max="87" width="12.7109375" style="3" customWidth="1"/>
    <col min="88" max="16384" width="9.140625" style="3"/>
  </cols>
  <sheetData>
    <row r="1" spans="2:87" x14ac:dyDescent="0.2">
      <c r="I1" s="4" t="s">
        <v>26</v>
      </c>
      <c r="J1" s="5">
        <v>45904</v>
      </c>
      <c r="K1" s="4" t="s">
        <v>27</v>
      </c>
      <c r="L1" s="5">
        <v>45828</v>
      </c>
    </row>
    <row r="2" spans="2:87" x14ac:dyDescent="0.2">
      <c r="H2" s="4"/>
      <c r="I2" s="4" t="s">
        <v>28</v>
      </c>
      <c r="J2" s="5">
        <v>45598</v>
      </c>
      <c r="K2" s="4"/>
      <c r="L2" s="5"/>
    </row>
    <row r="3" spans="2:87" ht="15" x14ac:dyDescent="0.25">
      <c r="K3" s="6" t="s">
        <v>0</v>
      </c>
      <c r="L3" s="7" t="s">
        <v>15</v>
      </c>
      <c r="M3" s="8" t="s">
        <v>29</v>
      </c>
      <c r="P3" s="3" t="s">
        <v>30</v>
      </c>
      <c r="Q3" s="3" t="s">
        <v>31</v>
      </c>
      <c r="R3" s="3" t="s">
        <v>32</v>
      </c>
      <c r="S3" s="9" t="s">
        <v>33</v>
      </c>
    </row>
    <row r="4" spans="2:87" x14ac:dyDescent="0.2">
      <c r="K4" s="6" t="s">
        <v>1</v>
      </c>
      <c r="L4" s="7">
        <v>-9</v>
      </c>
      <c r="O4" s="3">
        <v>1</v>
      </c>
      <c r="P4" s="3" t="s">
        <v>34</v>
      </c>
      <c r="Q4" s="3" t="s">
        <v>16</v>
      </c>
      <c r="R4" s="3" t="s">
        <v>35</v>
      </c>
      <c r="S4" s="3" t="s">
        <v>36</v>
      </c>
    </row>
    <row r="5" spans="2:87" x14ac:dyDescent="0.2">
      <c r="K5" s="6" t="s">
        <v>2</v>
      </c>
      <c r="L5" s="7">
        <v>0</v>
      </c>
      <c r="O5" s="3">
        <v>2</v>
      </c>
      <c r="P5" s="3" t="s">
        <v>37</v>
      </c>
      <c r="Q5" s="3" t="s">
        <v>38</v>
      </c>
      <c r="R5" s="3" t="s">
        <v>39</v>
      </c>
      <c r="S5" s="3" t="s">
        <v>33</v>
      </c>
    </row>
    <row r="6" spans="2:87" x14ac:dyDescent="0.2">
      <c r="K6" s="6" t="s">
        <v>40</v>
      </c>
      <c r="L6" s="7" t="s">
        <v>41</v>
      </c>
      <c r="M6" s="3" t="s">
        <v>34</v>
      </c>
      <c r="N6" s="3" t="s">
        <v>16</v>
      </c>
      <c r="O6" s="3">
        <v>3</v>
      </c>
      <c r="P6" s="3" t="s">
        <v>42</v>
      </c>
      <c r="Q6" s="3" t="s">
        <v>43</v>
      </c>
      <c r="R6" s="3" t="s">
        <v>44</v>
      </c>
      <c r="S6" s="3" t="s">
        <v>45</v>
      </c>
    </row>
    <row r="7" spans="2:87" x14ac:dyDescent="0.2">
      <c r="K7" s="6" t="s">
        <v>3</v>
      </c>
      <c r="L7" s="7" t="s">
        <v>46</v>
      </c>
      <c r="M7" s="3" t="s">
        <v>16</v>
      </c>
      <c r="O7" s="3">
        <v>4</v>
      </c>
      <c r="P7" s="3" t="s">
        <v>47</v>
      </c>
      <c r="Q7" s="3" t="s">
        <v>48</v>
      </c>
    </row>
    <row r="8" spans="2:87" x14ac:dyDescent="0.2">
      <c r="K8" s="6" t="s">
        <v>32</v>
      </c>
      <c r="L8" s="7" t="s">
        <v>39</v>
      </c>
    </row>
    <row r="9" spans="2:87" s="14" customFormat="1" ht="15" x14ac:dyDescent="0.25">
      <c r="B9" s="1" t="s">
        <v>17</v>
      </c>
      <c r="C9" s="1"/>
      <c r="D9" s="10"/>
      <c r="E9" s="10"/>
      <c r="F9" s="11"/>
      <c r="G9" s="11"/>
      <c r="H9" s="12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</row>
    <row r="11" spans="2:87" x14ac:dyDescent="0.2">
      <c r="B11" s="24" t="s">
        <v>8</v>
      </c>
      <c r="C11" s="16"/>
      <c r="D11" s="17">
        <v>42307</v>
      </c>
      <c r="E11" s="16">
        <v>42674</v>
      </c>
      <c r="F11" s="16">
        <v>43039</v>
      </c>
      <c r="G11" s="16">
        <v>43404</v>
      </c>
      <c r="H11" s="16">
        <v>43769</v>
      </c>
      <c r="I11" s="16">
        <v>44134</v>
      </c>
      <c r="J11" s="16">
        <v>44498</v>
      </c>
      <c r="K11" s="16">
        <v>44865</v>
      </c>
      <c r="L11" s="16">
        <v>45230</v>
      </c>
      <c r="M11" s="16">
        <v>45596</v>
      </c>
      <c r="N11" s="17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</row>
    <row r="12" spans="2:87" x14ac:dyDescent="0.2">
      <c r="B12" s="25" t="s">
        <v>122</v>
      </c>
      <c r="C12" s="25" t="s">
        <v>123</v>
      </c>
      <c r="D12" s="19">
        <v>2695.0509999999999</v>
      </c>
      <c r="E12" s="19">
        <v>2873.5749999999998</v>
      </c>
      <c r="F12" s="19">
        <v>3951.7109999999998</v>
      </c>
      <c r="G12" s="19">
        <v>3756.5230000000001</v>
      </c>
      <c r="H12" s="19">
        <v>3893.346</v>
      </c>
      <c r="I12" s="19">
        <v>4180.9170000000004</v>
      </c>
      <c r="J12" s="19">
        <v>4865.2269999999999</v>
      </c>
      <c r="K12" s="19">
        <v>5069.6319999999996</v>
      </c>
      <c r="L12" s="19">
        <v>5601.4949999999999</v>
      </c>
      <c r="M12" s="19">
        <v>5641.3370000000004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</row>
    <row r="13" spans="2:87" x14ac:dyDescent="0.2">
      <c r="B13" s="25" t="s">
        <v>124</v>
      </c>
      <c r="C13" s="25" t="s">
        <v>125</v>
      </c>
      <c r="D13" s="19">
        <v>1864.21</v>
      </c>
      <c r="E13" s="19">
        <v>2013.192</v>
      </c>
      <c r="F13" s="19">
        <v>2006.3109999999999</v>
      </c>
      <c r="G13" s="19">
        <v>2142.6019999999999</v>
      </c>
      <c r="H13" s="19">
        <v>2381.8020000000001</v>
      </c>
      <c r="I13" s="19">
        <v>2611.1590000000001</v>
      </c>
      <c r="J13" s="19">
        <v>3188.9059999999999</v>
      </c>
      <c r="K13" s="19">
        <v>3385.8960000000002</v>
      </c>
      <c r="L13" s="19">
        <v>3575.779</v>
      </c>
      <c r="M13" s="19">
        <v>3544.4160000000002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</row>
    <row r="14" spans="2:87" x14ac:dyDescent="0.2">
      <c r="B14" s="25" t="s">
        <v>126</v>
      </c>
      <c r="C14" s="25" t="s">
        <v>127</v>
      </c>
      <c r="D14" s="19">
        <v>790.971</v>
      </c>
      <c r="E14" s="19">
        <v>777.61500000000001</v>
      </c>
      <c r="F14" s="19">
        <v>640.51300000000003</v>
      </c>
      <c r="G14" s="19">
        <v>745.423</v>
      </c>
      <c r="H14" s="19">
        <v>904.04499999999996</v>
      </c>
      <c r="I14" s="19">
        <v>1088.624</v>
      </c>
      <c r="J14" s="19">
        <v>1422.546</v>
      </c>
      <c r="K14" s="19">
        <v>994.35199999999998</v>
      </c>
      <c r="L14" s="19">
        <v>1010.6180000000001</v>
      </c>
      <c r="M14" s="19">
        <v>934.86300000000006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</row>
    <row r="15" spans="2:87" x14ac:dyDescent="0.2">
      <c r="B15" s="25" t="s">
        <v>128</v>
      </c>
      <c r="C15" s="25" t="s">
        <v>129</v>
      </c>
      <c r="D15" s="19">
        <v>135.107</v>
      </c>
      <c r="E15" s="19">
        <v>275.24799999999999</v>
      </c>
      <c r="F15" s="19">
        <v>279.13299999999998</v>
      </c>
      <c r="G15" s="19">
        <v>148.98099999999999</v>
      </c>
      <c r="H15" s="19">
        <v>109.94</v>
      </c>
      <c r="I15" s="19">
        <v>150.667</v>
      </c>
      <c r="J15" s="19">
        <v>181.483</v>
      </c>
      <c r="K15" s="19">
        <v>153.989</v>
      </c>
      <c r="L15" s="19">
        <v>104.753</v>
      </c>
      <c r="M15" s="19">
        <v>316.34300000000002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</row>
    <row r="16" spans="2:87" x14ac:dyDescent="0.2">
      <c r="B16" s="25" t="s">
        <v>130</v>
      </c>
      <c r="C16" s="25" t="s">
        <v>131</v>
      </c>
      <c r="D16" s="19">
        <v>550.79200000000003</v>
      </c>
      <c r="E16" s="19">
        <v>576.23500000000001</v>
      </c>
      <c r="F16" s="19">
        <v>622.18299999999999</v>
      </c>
      <c r="G16" s="19">
        <v>786.50199999999995</v>
      </c>
      <c r="H16" s="19">
        <v>724.85400000000004</v>
      </c>
      <c r="I16" s="19">
        <v>719.40499999999997</v>
      </c>
      <c r="J16" s="19">
        <v>884.95799999999997</v>
      </c>
      <c r="K16" s="19">
        <v>920.77200000000005</v>
      </c>
      <c r="L16" s="19">
        <v>1003.876</v>
      </c>
      <c r="M16" s="19">
        <v>908.59699999999998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</row>
    <row r="17" spans="2:87" x14ac:dyDescent="0.2">
      <c r="B17" s="25" t="s">
        <v>132</v>
      </c>
      <c r="C17" s="25" t="s">
        <v>133</v>
      </c>
      <c r="D17" s="19">
        <v>191.16200000000001</v>
      </c>
      <c r="E17" s="19">
        <v>211.251</v>
      </c>
      <c r="F17" s="19">
        <v>267.14299999999997</v>
      </c>
      <c r="G17" s="19">
        <v>262.75099999999998</v>
      </c>
      <c r="H17" s="19">
        <v>345.04899999999998</v>
      </c>
      <c r="I17" s="19">
        <v>344.37900000000002</v>
      </c>
      <c r="J17" s="19">
        <v>374.26499999999999</v>
      </c>
      <c r="K17" s="19">
        <v>946.73</v>
      </c>
      <c r="L17" s="19">
        <v>1050.838</v>
      </c>
      <c r="M17" s="19">
        <v>820.43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</row>
    <row r="18" spans="2:87" x14ac:dyDescent="0.2">
      <c r="B18" s="25" t="s">
        <v>134</v>
      </c>
      <c r="C18" s="25" t="s">
        <v>135</v>
      </c>
      <c r="D18" s="19">
        <v>196.178</v>
      </c>
      <c r="E18" s="19">
        <v>172.84299999999999</v>
      </c>
      <c r="F18" s="19">
        <v>197.339</v>
      </c>
      <c r="G18" s="19">
        <v>198.94499999999999</v>
      </c>
      <c r="H18" s="19">
        <v>297.91399999999999</v>
      </c>
      <c r="I18" s="19">
        <v>308.084</v>
      </c>
      <c r="J18" s="19">
        <v>325.654</v>
      </c>
      <c r="K18" s="19">
        <v>370.053</v>
      </c>
      <c r="L18" s="19">
        <v>405.69400000000002</v>
      </c>
      <c r="M18" s="19">
        <v>564.18299999999999</v>
      </c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</row>
    <row r="19" spans="2:87" x14ac:dyDescent="0.2">
      <c r="B19" s="25" t="s">
        <v>136</v>
      </c>
      <c r="C19" s="25" t="s">
        <v>137</v>
      </c>
      <c r="D19" s="19">
        <v>95.105000000000004</v>
      </c>
      <c r="E19" s="19">
        <v>90.171999999999997</v>
      </c>
      <c r="F19" s="19">
        <v>49.783000000000001</v>
      </c>
      <c r="G19" s="19">
        <v>58.97</v>
      </c>
      <c r="H19" s="19">
        <v>10.013999999999999</v>
      </c>
      <c r="I19" s="19">
        <v>82.225999999999999</v>
      </c>
      <c r="J19" s="19">
        <v>70.037999999999997</v>
      </c>
      <c r="K19" s="19">
        <v>35.384999999999998</v>
      </c>
      <c r="L19" s="19">
        <v>134.27799999999999</v>
      </c>
      <c r="M19" s="19">
        <v>80.92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</row>
    <row r="20" spans="2:87" x14ac:dyDescent="0.2">
      <c r="B20" s="25" t="s">
        <v>138</v>
      </c>
      <c r="C20" s="25" t="s">
        <v>139</v>
      </c>
      <c r="D20" s="19">
        <v>191.97300000000001</v>
      </c>
      <c r="E20" s="19">
        <v>288.40600000000001</v>
      </c>
      <c r="F20" s="19">
        <v>308.46499999999997</v>
      </c>
      <c r="G20" s="19">
        <v>292.06700000000001</v>
      </c>
      <c r="H20" s="19">
        <v>286.88400000000001</v>
      </c>
      <c r="I20" s="19">
        <v>272.37700000000001</v>
      </c>
      <c r="J20" s="19">
        <v>284.96800000000002</v>
      </c>
      <c r="K20" s="19">
        <v>267.779</v>
      </c>
      <c r="L20" s="19">
        <v>280.14699999999999</v>
      </c>
      <c r="M20" s="19">
        <v>337.72199999999998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</row>
    <row r="21" spans="2:87" x14ac:dyDescent="0.2">
      <c r="B21" s="25" t="s">
        <v>140</v>
      </c>
      <c r="C21" s="25" t="s">
        <v>141</v>
      </c>
      <c r="D21" s="19" t="s">
        <v>18</v>
      </c>
      <c r="E21" s="19" t="s">
        <v>18</v>
      </c>
      <c r="F21" s="19" t="s">
        <v>18</v>
      </c>
      <c r="G21" s="19" t="s">
        <v>18</v>
      </c>
      <c r="H21" s="19">
        <v>0</v>
      </c>
      <c r="I21" s="19">
        <v>57.026000000000003</v>
      </c>
      <c r="J21" s="19">
        <v>44.284999999999997</v>
      </c>
      <c r="K21" s="19">
        <v>45.107999999999997</v>
      </c>
      <c r="L21" s="19">
        <v>35.14</v>
      </c>
      <c r="M21" s="19">
        <v>27.417000000000002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</row>
    <row r="22" spans="2:87" x14ac:dyDescent="0.2">
      <c r="B22" s="25" t="s">
        <v>142</v>
      </c>
      <c r="C22" s="25" t="s">
        <v>143</v>
      </c>
      <c r="D22" s="19">
        <v>256.43400000000003</v>
      </c>
      <c r="E22" s="19">
        <v>266.97399999999999</v>
      </c>
      <c r="F22" s="19">
        <v>267.45800000000003</v>
      </c>
      <c r="G22" s="19">
        <v>297.96800000000002</v>
      </c>
      <c r="H22" s="19">
        <v>297.93700000000001</v>
      </c>
      <c r="I22" s="19">
        <v>310.84699999999998</v>
      </c>
      <c r="J22" s="19">
        <v>311.64499999999998</v>
      </c>
      <c r="K22" s="19">
        <v>328.322</v>
      </c>
      <c r="L22" s="19">
        <v>444.76499999999999</v>
      </c>
      <c r="M22" s="19">
        <v>444.70699999999999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</row>
    <row r="23" spans="2:87" x14ac:dyDescent="0.2">
      <c r="B23" s="25" t="s">
        <v>144</v>
      </c>
      <c r="C23" s="25" t="s">
        <v>145</v>
      </c>
      <c r="D23" s="19">
        <v>202.673</v>
      </c>
      <c r="E23" s="19">
        <v>146.71100000000001</v>
      </c>
      <c r="F23" s="19">
        <v>100.997</v>
      </c>
      <c r="G23" s="19">
        <v>148.22499999999999</v>
      </c>
      <c r="H23" s="19">
        <v>112.78100000000001</v>
      </c>
      <c r="I23" s="19">
        <v>96.647000000000006</v>
      </c>
      <c r="J23" s="19">
        <v>65.313999999999993</v>
      </c>
      <c r="K23" s="19">
        <v>69.516999999999996</v>
      </c>
      <c r="L23" s="19">
        <v>205.62700000000001</v>
      </c>
      <c r="M23" s="19">
        <v>165.02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</row>
    <row r="24" spans="2:87" x14ac:dyDescent="0.2">
      <c r="B24" s="25" t="s">
        <v>146</v>
      </c>
      <c r="C24" s="25" t="s">
        <v>147</v>
      </c>
      <c r="D24" s="19">
        <v>84.656000000000006</v>
      </c>
      <c r="E24" s="19">
        <v>68.12</v>
      </c>
      <c r="F24" s="19">
        <v>1218.6969999999999</v>
      </c>
      <c r="G24" s="19">
        <v>816.69100000000003</v>
      </c>
      <c r="H24" s="19">
        <v>803.928</v>
      </c>
      <c r="I24" s="19">
        <v>750.63499999999999</v>
      </c>
      <c r="J24" s="19">
        <v>900.07100000000003</v>
      </c>
      <c r="K24" s="19">
        <v>937.625</v>
      </c>
      <c r="L24" s="19">
        <v>925.75900000000001</v>
      </c>
      <c r="M24" s="19">
        <v>1041.135</v>
      </c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</row>
    <row r="25" spans="2:87" x14ac:dyDescent="0.2">
      <c r="B25" s="25" t="s">
        <v>148</v>
      </c>
      <c r="C25" s="25" t="s">
        <v>149</v>
      </c>
      <c r="D25" s="19">
        <v>0</v>
      </c>
      <c r="E25" s="19">
        <v>1.1160000000000001</v>
      </c>
      <c r="F25" s="19">
        <v>1155.104</v>
      </c>
      <c r="G25" s="19">
        <v>745.03899999999999</v>
      </c>
      <c r="H25" s="19">
        <v>714.94200000000001</v>
      </c>
      <c r="I25" s="19">
        <v>647.80499999999995</v>
      </c>
      <c r="J25" s="19">
        <v>800.18</v>
      </c>
      <c r="K25" s="19">
        <v>824.00800000000004</v>
      </c>
      <c r="L25" s="19">
        <v>809.30600000000004</v>
      </c>
      <c r="M25" s="19">
        <v>886.44100000000003</v>
      </c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</row>
    <row r="26" spans="2:87" x14ac:dyDescent="0.2">
      <c r="B26" s="25" t="s">
        <v>150</v>
      </c>
      <c r="C26" s="25" t="s">
        <v>151</v>
      </c>
      <c r="D26" s="19">
        <v>0</v>
      </c>
      <c r="E26" s="19">
        <v>67.004000000000005</v>
      </c>
      <c r="F26" s="19">
        <v>63.593000000000004</v>
      </c>
      <c r="G26" s="19">
        <v>71.652000000000001</v>
      </c>
      <c r="H26" s="19">
        <v>88.986000000000004</v>
      </c>
      <c r="I26" s="19">
        <v>102.83</v>
      </c>
      <c r="J26" s="19">
        <v>99.891000000000005</v>
      </c>
      <c r="K26" s="19">
        <v>113.617</v>
      </c>
      <c r="L26" s="19">
        <v>116.453</v>
      </c>
      <c r="M26" s="19">
        <v>154.69399999999999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</row>
    <row r="27" spans="2:87" x14ac:dyDescent="0.2">
      <c r="B27" s="25" t="s">
        <v>152</v>
      </c>
      <c r="C27" s="25" t="s">
        <v>153</v>
      </c>
      <c r="D27" s="19">
        <v>2695.0509999999999</v>
      </c>
      <c r="E27" s="19">
        <v>2873.5749999999998</v>
      </c>
      <c r="F27" s="19">
        <v>3951.7109999999998</v>
      </c>
      <c r="G27" s="19">
        <v>3756.5230000000001</v>
      </c>
      <c r="H27" s="19">
        <v>3893.346</v>
      </c>
      <c r="I27" s="19">
        <v>4180.9170000000004</v>
      </c>
      <c r="J27" s="19">
        <v>4865.2269999999999</v>
      </c>
      <c r="K27" s="19">
        <v>5069.6319999999996</v>
      </c>
      <c r="L27" s="19">
        <v>5601.4949999999999</v>
      </c>
      <c r="M27" s="19">
        <v>5641.3370000000004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</row>
    <row r="28" spans="2:87" x14ac:dyDescent="0.2">
      <c r="B28" s="25" t="s">
        <v>154</v>
      </c>
      <c r="C28" s="25" t="s">
        <v>155</v>
      </c>
      <c r="D28" s="19">
        <v>2074.1750000000002</v>
      </c>
      <c r="E28" s="19">
        <v>2107.2339999999999</v>
      </c>
      <c r="F28" s="19">
        <v>1815.3689999999999</v>
      </c>
      <c r="G28" s="19">
        <v>1827.1890000000001</v>
      </c>
      <c r="H28" s="19">
        <v>1720.585</v>
      </c>
      <c r="I28" s="19">
        <v>1671.32</v>
      </c>
      <c r="J28" s="19">
        <v>1845.2090000000001</v>
      </c>
      <c r="K28" s="19">
        <v>2356.7710000000002</v>
      </c>
      <c r="L28" s="19">
        <v>2753.134</v>
      </c>
      <c r="M28" s="19">
        <v>2825.1990000000001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</row>
    <row r="29" spans="2:87" x14ac:dyDescent="0.2">
      <c r="B29" s="25" t="s">
        <v>156</v>
      </c>
      <c r="C29" s="25" t="s">
        <v>157</v>
      </c>
      <c r="D29" s="19">
        <v>667.03399999999999</v>
      </c>
      <c r="E29" s="19">
        <v>891.54499999999996</v>
      </c>
      <c r="F29" s="19">
        <v>1037.7429999999999</v>
      </c>
      <c r="G29" s="19">
        <v>963.00300000000004</v>
      </c>
      <c r="H29" s="19">
        <v>845.94</v>
      </c>
      <c r="I29" s="19">
        <v>760.70100000000002</v>
      </c>
      <c r="J29" s="19">
        <v>909.03</v>
      </c>
      <c r="K29" s="19">
        <v>1040.5830000000001</v>
      </c>
      <c r="L29" s="19">
        <v>932.02099999999996</v>
      </c>
      <c r="M29" s="19">
        <v>999.84</v>
      </c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</row>
    <row r="30" spans="2:87" x14ac:dyDescent="0.2">
      <c r="B30" s="25" t="s">
        <v>158</v>
      </c>
      <c r="C30" s="25" t="s">
        <v>159</v>
      </c>
      <c r="D30" s="19">
        <v>222.14</v>
      </c>
      <c r="E30" s="19">
        <v>235.94200000000001</v>
      </c>
      <c r="F30" s="19">
        <v>260.09800000000001</v>
      </c>
      <c r="G30" s="19">
        <v>340.58199999999999</v>
      </c>
      <c r="H30" s="19">
        <v>344.81900000000002</v>
      </c>
      <c r="I30" s="19">
        <v>291.904</v>
      </c>
      <c r="J30" s="19">
        <v>356.17599999999999</v>
      </c>
      <c r="K30" s="19">
        <v>516.04700000000003</v>
      </c>
      <c r="L30" s="19">
        <v>317.82799999999997</v>
      </c>
      <c r="M30" s="19">
        <v>423.40100000000001</v>
      </c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</row>
    <row r="31" spans="2:87" x14ac:dyDescent="0.2">
      <c r="B31" s="25" t="s">
        <v>160</v>
      </c>
      <c r="C31" s="25" t="s">
        <v>161</v>
      </c>
      <c r="D31" s="19">
        <v>316.28300000000002</v>
      </c>
      <c r="E31" s="19">
        <v>310.35300000000001</v>
      </c>
      <c r="F31" s="19">
        <v>322.93400000000003</v>
      </c>
      <c r="G31" s="19">
        <v>340.07499999999999</v>
      </c>
      <c r="H31" s="19">
        <v>382.74</v>
      </c>
      <c r="I31" s="19">
        <v>334.13200000000001</v>
      </c>
      <c r="J31" s="19">
        <v>409.28500000000003</v>
      </c>
      <c r="K31" s="19">
        <v>360.78199999999998</v>
      </c>
      <c r="L31" s="19">
        <v>431.41899999999998</v>
      </c>
      <c r="M31" s="19">
        <v>393.90499999999997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</row>
    <row r="32" spans="2:87" x14ac:dyDescent="0.2">
      <c r="B32" s="25" t="s">
        <v>162</v>
      </c>
      <c r="C32" s="25" t="s">
        <v>163</v>
      </c>
      <c r="D32" s="19" t="s">
        <v>18</v>
      </c>
      <c r="E32" s="19" t="s">
        <v>18</v>
      </c>
      <c r="F32" s="19" t="s">
        <v>18</v>
      </c>
      <c r="G32" s="19" t="s">
        <v>18</v>
      </c>
      <c r="H32" s="19" t="s">
        <v>18</v>
      </c>
      <c r="I32" s="19" t="s">
        <v>18</v>
      </c>
      <c r="J32" s="19" t="s">
        <v>18</v>
      </c>
      <c r="K32" s="19" t="s">
        <v>18</v>
      </c>
      <c r="L32" s="19" t="s">
        <v>18</v>
      </c>
      <c r="M32" s="19" t="s">
        <v>18</v>
      </c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</row>
    <row r="33" spans="2:87" x14ac:dyDescent="0.2">
      <c r="B33" s="25" t="s">
        <v>164</v>
      </c>
      <c r="C33" s="25" t="s">
        <v>165</v>
      </c>
      <c r="D33" s="19" t="s">
        <v>18</v>
      </c>
      <c r="E33" s="19" t="s">
        <v>18</v>
      </c>
      <c r="F33" s="19" t="s">
        <v>18</v>
      </c>
      <c r="G33" s="19" t="s">
        <v>18</v>
      </c>
      <c r="H33" s="19" t="s">
        <v>18</v>
      </c>
      <c r="I33" s="19" t="s">
        <v>18</v>
      </c>
      <c r="J33" s="19" t="s">
        <v>18</v>
      </c>
      <c r="K33" s="19" t="s">
        <v>18</v>
      </c>
      <c r="L33" s="19" t="s">
        <v>18</v>
      </c>
      <c r="M33" s="19" t="s">
        <v>18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</row>
    <row r="34" spans="2:87" x14ac:dyDescent="0.2">
      <c r="B34" s="25" t="s">
        <v>166</v>
      </c>
      <c r="C34" s="25" t="s">
        <v>167</v>
      </c>
      <c r="D34" s="19" t="s">
        <v>18</v>
      </c>
      <c r="E34" s="19" t="s">
        <v>18</v>
      </c>
      <c r="F34" s="19" t="s">
        <v>18</v>
      </c>
      <c r="G34" s="19" t="s">
        <v>18</v>
      </c>
      <c r="H34" s="19" t="s">
        <v>18</v>
      </c>
      <c r="I34" s="19" t="s">
        <v>18</v>
      </c>
      <c r="J34" s="19" t="s">
        <v>18</v>
      </c>
      <c r="K34" s="19" t="s">
        <v>18</v>
      </c>
      <c r="L34" s="19" t="s">
        <v>18</v>
      </c>
      <c r="M34" s="19" t="s">
        <v>18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</row>
    <row r="35" spans="2:87" x14ac:dyDescent="0.2">
      <c r="B35" s="25" t="s">
        <v>168</v>
      </c>
      <c r="C35" s="25" t="s">
        <v>169</v>
      </c>
      <c r="D35" s="19" t="s">
        <v>18</v>
      </c>
      <c r="E35" s="19" t="s">
        <v>18</v>
      </c>
      <c r="F35" s="19" t="s">
        <v>18</v>
      </c>
      <c r="G35" s="19" t="s">
        <v>18</v>
      </c>
      <c r="H35" s="19" t="s">
        <v>18</v>
      </c>
      <c r="I35" s="19" t="s">
        <v>18</v>
      </c>
      <c r="J35" s="19" t="s">
        <v>18</v>
      </c>
      <c r="K35" s="19" t="s">
        <v>18</v>
      </c>
      <c r="L35" s="19" t="s">
        <v>18</v>
      </c>
      <c r="M35" s="19" t="s">
        <v>18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</row>
    <row r="36" spans="2:87" x14ac:dyDescent="0.2">
      <c r="B36" s="25" t="s">
        <v>170</v>
      </c>
      <c r="C36" s="25" t="s">
        <v>171</v>
      </c>
      <c r="D36" s="19">
        <v>126.111</v>
      </c>
      <c r="E36" s="19">
        <v>109.009</v>
      </c>
      <c r="F36" s="19">
        <v>102.41800000000001</v>
      </c>
      <c r="G36" s="19">
        <v>111.134</v>
      </c>
      <c r="H36" s="19">
        <v>111.381</v>
      </c>
      <c r="I36" s="19">
        <v>108.7</v>
      </c>
      <c r="J36" s="19">
        <v>118.00700000000001</v>
      </c>
      <c r="K36" s="19">
        <v>137.899</v>
      </c>
      <c r="L36" s="19">
        <v>154.41900000000001</v>
      </c>
      <c r="M36" s="19">
        <v>156.37899999999999</v>
      </c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</row>
    <row r="37" spans="2:87" x14ac:dyDescent="0.2">
      <c r="B37" s="25" t="s">
        <v>172</v>
      </c>
      <c r="C37" s="25" t="s">
        <v>173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</row>
    <row r="38" spans="2:87" x14ac:dyDescent="0.2">
      <c r="B38" s="25" t="s">
        <v>174</v>
      </c>
      <c r="C38" s="25" t="s">
        <v>175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</row>
    <row r="39" spans="2:87" x14ac:dyDescent="0.2">
      <c r="B39" s="25" t="s">
        <v>176</v>
      </c>
      <c r="C39" s="25" t="s">
        <v>177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19.035</v>
      </c>
      <c r="J39" s="19">
        <v>18.632000000000001</v>
      </c>
      <c r="K39" s="19">
        <v>18.925000000000001</v>
      </c>
      <c r="L39" s="19">
        <v>16.655000000000001</v>
      </c>
      <c r="M39" s="19">
        <v>14.455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</row>
    <row r="40" spans="2:87" x14ac:dyDescent="0.2">
      <c r="B40" s="25" t="s">
        <v>178</v>
      </c>
      <c r="C40" s="25" t="s">
        <v>179</v>
      </c>
      <c r="D40" s="19">
        <v>2.5</v>
      </c>
      <c r="E40" s="19">
        <v>236.24100000000001</v>
      </c>
      <c r="F40" s="19">
        <v>352.29300000000001</v>
      </c>
      <c r="G40" s="19">
        <v>7</v>
      </c>
      <c r="H40" s="19">
        <v>7</v>
      </c>
      <c r="I40" s="19">
        <v>6.93</v>
      </c>
      <c r="J40" s="19">
        <v>6.93</v>
      </c>
      <c r="K40" s="19">
        <v>6.93</v>
      </c>
      <c r="L40" s="19">
        <v>11.7</v>
      </c>
      <c r="M40" s="19">
        <v>11.7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</row>
    <row r="41" spans="2:87" x14ac:dyDescent="0.2">
      <c r="B41" s="25" t="s">
        <v>180</v>
      </c>
      <c r="C41" s="25" t="s">
        <v>181</v>
      </c>
      <c r="D41" s="19">
        <v>0</v>
      </c>
      <c r="E41" s="19">
        <v>0</v>
      </c>
      <c r="F41" s="19">
        <v>0</v>
      </c>
      <c r="G41" s="19">
        <v>164.21199999999999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</row>
    <row r="42" spans="2:87" x14ac:dyDescent="0.2">
      <c r="B42" s="25" t="s">
        <v>182</v>
      </c>
      <c r="C42" s="25" t="s">
        <v>183</v>
      </c>
      <c r="D42" s="19">
        <v>62.962000000000003</v>
      </c>
      <c r="E42" s="19">
        <v>73.853999999999999</v>
      </c>
      <c r="F42" s="19">
        <v>82.588999999999999</v>
      </c>
      <c r="G42" s="19">
        <v>58.323</v>
      </c>
      <c r="H42" s="19">
        <v>45.491999999999997</v>
      </c>
      <c r="I42" s="19">
        <v>49.662999999999997</v>
      </c>
      <c r="J42" s="19">
        <v>57.457000000000001</v>
      </c>
      <c r="K42" s="19">
        <v>62.335999999999999</v>
      </c>
      <c r="L42" s="19">
        <v>74.040999999999997</v>
      </c>
      <c r="M42" s="19">
        <v>81.239999999999995</v>
      </c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</row>
    <row r="43" spans="2:87" x14ac:dyDescent="0.2">
      <c r="B43" s="25" t="s">
        <v>184</v>
      </c>
      <c r="C43" s="25" t="s">
        <v>185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</row>
    <row r="44" spans="2:87" x14ac:dyDescent="0.2">
      <c r="B44" s="25" t="s">
        <v>186</v>
      </c>
      <c r="C44" s="25" t="s">
        <v>187</v>
      </c>
      <c r="D44" s="19">
        <v>72.540000000000006</v>
      </c>
      <c r="E44" s="19">
        <v>124.39400000000001</v>
      </c>
      <c r="F44" s="19">
        <v>111.349</v>
      </c>
      <c r="G44" s="19">
        <v>119.413</v>
      </c>
      <c r="H44" s="19">
        <v>148.74700000000001</v>
      </c>
      <c r="I44" s="19">
        <v>123.185</v>
      </c>
      <c r="J44" s="19">
        <v>166.803</v>
      </c>
      <c r="K44" s="19">
        <v>150.33500000000001</v>
      </c>
      <c r="L44" s="19">
        <v>170.40700000000001</v>
      </c>
      <c r="M44" s="19">
        <v>185.93799999999999</v>
      </c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</row>
    <row r="45" spans="2:87" x14ac:dyDescent="0.2">
      <c r="B45" s="25" t="s">
        <v>188</v>
      </c>
      <c r="C45" s="25" t="s">
        <v>189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</row>
    <row r="46" spans="2:87" x14ac:dyDescent="0.2">
      <c r="B46" s="25" t="s">
        <v>190</v>
      </c>
      <c r="C46" s="25" t="s">
        <v>191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</row>
    <row r="47" spans="2:87" x14ac:dyDescent="0.2">
      <c r="B47" s="25" t="s">
        <v>192</v>
      </c>
      <c r="C47" s="25" t="s">
        <v>193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</row>
    <row r="48" spans="2:87" x14ac:dyDescent="0.2">
      <c r="B48" s="25" t="s">
        <v>194</v>
      </c>
      <c r="C48" s="25" t="s">
        <v>195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61.414999999999999</v>
      </c>
      <c r="J48" s="19">
        <v>41.564</v>
      </c>
      <c r="K48" s="19">
        <v>42.392000000000003</v>
      </c>
      <c r="L48" s="19">
        <v>33.259</v>
      </c>
      <c r="M48" s="19">
        <v>25.106999999999999</v>
      </c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</row>
    <row r="49" spans="2:87" x14ac:dyDescent="0.2">
      <c r="B49" s="25" t="s">
        <v>196</v>
      </c>
      <c r="C49" s="25" t="s">
        <v>197</v>
      </c>
      <c r="D49" s="19">
        <v>1271.6389999999999</v>
      </c>
      <c r="E49" s="19">
        <v>1017.441</v>
      </c>
      <c r="F49" s="19">
        <v>583.68799999999999</v>
      </c>
      <c r="G49" s="19">
        <v>686.45</v>
      </c>
      <c r="H49" s="19">
        <v>680.40599999999995</v>
      </c>
      <c r="I49" s="19">
        <v>676.35599999999999</v>
      </c>
      <c r="J49" s="19">
        <v>670.35500000000002</v>
      </c>
      <c r="K49" s="19">
        <v>1061.125</v>
      </c>
      <c r="L49" s="19">
        <v>1543.4059999999999</v>
      </c>
      <c r="M49" s="19">
        <v>1533.0740000000001</v>
      </c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</row>
    <row r="50" spans="2:87" x14ac:dyDescent="0.2">
      <c r="B50" s="25" t="s">
        <v>198</v>
      </c>
      <c r="C50" s="25" t="s">
        <v>199</v>
      </c>
      <c r="D50" s="19">
        <v>620.87599999999998</v>
      </c>
      <c r="E50" s="19">
        <v>766.34100000000001</v>
      </c>
      <c r="F50" s="19">
        <v>2136.3420000000001</v>
      </c>
      <c r="G50" s="19">
        <v>1929.3340000000001</v>
      </c>
      <c r="H50" s="19">
        <v>2172.761</v>
      </c>
      <c r="I50" s="19">
        <v>2509.5970000000002</v>
      </c>
      <c r="J50" s="19">
        <v>3020.018</v>
      </c>
      <c r="K50" s="19">
        <v>2712.8609999999999</v>
      </c>
      <c r="L50" s="19">
        <v>2848.3609999999999</v>
      </c>
      <c r="M50" s="19">
        <v>2816.1379999999999</v>
      </c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</row>
    <row r="51" spans="2:87" x14ac:dyDescent="0.2">
      <c r="B51" s="25" t="s">
        <v>200</v>
      </c>
      <c r="C51" s="25" t="s">
        <v>201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</row>
    <row r="52" spans="2:87" x14ac:dyDescent="0.2">
      <c r="B52" s="25" t="s">
        <v>202</v>
      </c>
      <c r="C52" s="25" t="s">
        <v>203</v>
      </c>
      <c r="D52" s="19">
        <v>1.3560000000000001</v>
      </c>
      <c r="E52" s="19">
        <v>1.3979999999999999</v>
      </c>
      <c r="F52" s="19">
        <v>1.43</v>
      </c>
      <c r="G52" s="19">
        <v>1.5429999999999999</v>
      </c>
      <c r="H52" s="19">
        <v>1.544</v>
      </c>
      <c r="I52" s="19">
        <v>1.546</v>
      </c>
      <c r="J52" s="19">
        <v>1.5489999999999999</v>
      </c>
      <c r="K52" s="19">
        <v>1.484</v>
      </c>
      <c r="L52" s="19">
        <v>1.448</v>
      </c>
      <c r="M52" s="19">
        <v>1.427</v>
      </c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</row>
    <row r="53" spans="2:87" x14ac:dyDescent="0.2">
      <c r="B53" s="25" t="s">
        <v>204</v>
      </c>
      <c r="C53" s="25" t="s">
        <v>205</v>
      </c>
      <c r="D53" s="19">
        <v>6640.4359999999997</v>
      </c>
      <c r="E53" s="19">
        <v>6715.4780000000001</v>
      </c>
      <c r="F53" s="19">
        <v>6810.1819999999998</v>
      </c>
      <c r="G53" s="19">
        <v>6881.223</v>
      </c>
      <c r="H53" s="19">
        <v>6837.7139999999999</v>
      </c>
      <c r="I53" s="19">
        <v>6826.5309999999999</v>
      </c>
      <c r="J53" s="19">
        <v>6803.1620000000003</v>
      </c>
      <c r="K53" s="19">
        <v>6390.2520000000004</v>
      </c>
      <c r="L53" s="19">
        <v>6262.0829999999996</v>
      </c>
      <c r="M53" s="19">
        <v>6154.8689999999997</v>
      </c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</row>
    <row r="54" spans="2:87" x14ac:dyDescent="0.2">
      <c r="B54" s="25" t="s">
        <v>206</v>
      </c>
      <c r="C54" s="25" t="s">
        <v>207</v>
      </c>
      <c r="D54" s="19">
        <v>-22.126000000000001</v>
      </c>
      <c r="E54" s="19">
        <v>-24.329000000000001</v>
      </c>
      <c r="F54" s="19">
        <v>-11.016999999999999</v>
      </c>
      <c r="G54" s="19">
        <v>-5.78</v>
      </c>
      <c r="H54" s="19">
        <v>-22.084</v>
      </c>
      <c r="I54" s="19">
        <v>-35.357999999999997</v>
      </c>
      <c r="J54" s="19">
        <v>0.439</v>
      </c>
      <c r="K54" s="19">
        <v>-46.645000000000003</v>
      </c>
      <c r="L54" s="19">
        <v>-37.767000000000003</v>
      </c>
      <c r="M54" s="19">
        <v>-46.710999999999999</v>
      </c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</row>
    <row r="55" spans="2:87" x14ac:dyDescent="0.2">
      <c r="B55" s="25" t="s">
        <v>208</v>
      </c>
      <c r="C55" s="25" t="s">
        <v>209</v>
      </c>
      <c r="D55" s="19" t="s">
        <v>18</v>
      </c>
      <c r="E55" s="19" t="s">
        <v>18</v>
      </c>
      <c r="F55" s="19" t="s">
        <v>18</v>
      </c>
      <c r="G55" s="19" t="s">
        <v>18</v>
      </c>
      <c r="H55" s="19" t="s">
        <v>18</v>
      </c>
      <c r="I55" s="19" t="s">
        <v>18</v>
      </c>
      <c r="J55" s="19" t="s">
        <v>18</v>
      </c>
      <c r="K55" s="19" t="s">
        <v>18</v>
      </c>
      <c r="L55" s="19" t="s">
        <v>18</v>
      </c>
      <c r="M55" s="19" t="s">
        <v>18</v>
      </c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</row>
    <row r="56" spans="2:87" x14ac:dyDescent="0.2">
      <c r="B56" s="25" t="s">
        <v>210</v>
      </c>
      <c r="C56" s="25" t="s">
        <v>211</v>
      </c>
      <c r="D56" s="19" t="s">
        <v>18</v>
      </c>
      <c r="E56" s="19" t="s">
        <v>18</v>
      </c>
      <c r="F56" s="19" t="s">
        <v>18</v>
      </c>
      <c r="G56" s="19" t="s">
        <v>18</v>
      </c>
      <c r="H56" s="19" t="s">
        <v>18</v>
      </c>
      <c r="I56" s="19" t="s">
        <v>18</v>
      </c>
      <c r="J56" s="19" t="s">
        <v>18</v>
      </c>
      <c r="K56" s="19" t="s">
        <v>18</v>
      </c>
      <c r="L56" s="19" t="s">
        <v>18</v>
      </c>
      <c r="M56" s="19" t="s">
        <v>18</v>
      </c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</row>
    <row r="57" spans="2:87" x14ac:dyDescent="0.2">
      <c r="B57" s="25" t="s">
        <v>212</v>
      </c>
      <c r="C57" s="25" t="s">
        <v>213</v>
      </c>
      <c r="D57" s="19">
        <v>-5998.79</v>
      </c>
      <c r="E57" s="19">
        <v>-5926.2060000000001</v>
      </c>
      <c r="F57" s="19">
        <v>-4664.2529999999997</v>
      </c>
      <c r="G57" s="19">
        <v>-4947.652</v>
      </c>
      <c r="H57" s="19">
        <v>-4644.4129999999996</v>
      </c>
      <c r="I57" s="19">
        <v>-4283.1220000000003</v>
      </c>
      <c r="J57" s="19">
        <v>-3785.1320000000001</v>
      </c>
      <c r="K57" s="19">
        <v>-3632.23</v>
      </c>
      <c r="L57" s="19">
        <v>-3377.4029999999998</v>
      </c>
      <c r="M57" s="19">
        <v>-3293.4470000000001</v>
      </c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</row>
    <row r="58" spans="2:87" x14ac:dyDescent="0.2">
      <c r="B58" s="25"/>
      <c r="C58" s="25"/>
      <c r="D58" s="19" t="s">
        <v>18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</row>
    <row r="59" spans="2:87" x14ac:dyDescent="0.2">
      <c r="B59" s="25"/>
      <c r="C59" s="25"/>
      <c r="D59" s="19" t="s">
        <v>18</v>
      </c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</row>
    <row r="60" spans="2:87" x14ac:dyDescent="0.2">
      <c r="B60" s="25"/>
      <c r="C60" s="25"/>
      <c r="D60" s="19" t="s">
        <v>18</v>
      </c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</row>
    <row r="61" spans="2:87" x14ac:dyDescent="0.2">
      <c r="B61" s="25"/>
      <c r="C61" s="25"/>
      <c r="D61" s="19" t="s">
        <v>18</v>
      </c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</row>
    <row r="62" spans="2:87" x14ac:dyDescent="0.2">
      <c r="B62" s="25"/>
      <c r="C62" s="25"/>
      <c r="D62" s="19" t="s">
        <v>18</v>
      </c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</row>
    <row r="63" spans="2:87" x14ac:dyDescent="0.2">
      <c r="B63" s="25"/>
      <c r="C63" s="25"/>
      <c r="D63" s="19" t="s">
        <v>18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</row>
    <row r="64" spans="2:87" x14ac:dyDescent="0.2">
      <c r="B64" s="25"/>
      <c r="C64" s="25"/>
      <c r="D64" s="19" t="s">
        <v>18</v>
      </c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</row>
    <row r="65" spans="2:87" x14ac:dyDescent="0.2">
      <c r="B65" s="25"/>
      <c r="C65" s="25"/>
      <c r="D65" s="19" t="s">
        <v>18</v>
      </c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</row>
    <row r="66" spans="2:87" x14ac:dyDescent="0.2">
      <c r="B66" s="25"/>
      <c r="C66" s="25"/>
      <c r="D66" s="19" t="s">
        <v>18</v>
      </c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</row>
    <row r="67" spans="2:87" x14ac:dyDescent="0.2">
      <c r="B67" s="25"/>
      <c r="C67" s="25"/>
      <c r="D67" s="19" t="s">
        <v>18</v>
      </c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</row>
    <row r="68" spans="2:87" x14ac:dyDescent="0.2">
      <c r="B68" s="25"/>
      <c r="C68" s="25"/>
      <c r="D68" s="19" t="s">
        <v>18</v>
      </c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</row>
    <row r="69" spans="2:87" x14ac:dyDescent="0.2">
      <c r="D69" s="19" t="s">
        <v>18</v>
      </c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</row>
    <row r="70" spans="2:87" x14ac:dyDescent="0.2">
      <c r="D70" s="19" t="s">
        <v>18</v>
      </c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</row>
    <row r="71" spans="2:87" x14ac:dyDescent="0.2">
      <c r="D71" s="19" t="s">
        <v>18</v>
      </c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</row>
    <row r="72" spans="2:87" x14ac:dyDescent="0.2">
      <c r="D72" s="19" t="s">
        <v>18</v>
      </c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</row>
    <row r="73" spans="2:87" x14ac:dyDescent="0.2">
      <c r="D73" s="19" t="s">
        <v>18</v>
      </c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</row>
    <row r="74" spans="2:87" x14ac:dyDescent="0.2">
      <c r="D74" s="19" t="s">
        <v>18</v>
      </c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</row>
    <row r="75" spans="2:87" x14ac:dyDescent="0.2">
      <c r="D75" s="19" t="s">
        <v>18</v>
      </c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</row>
    <row r="76" spans="2:87" x14ac:dyDescent="0.2">
      <c r="D76" s="19" t="s">
        <v>18</v>
      </c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</row>
    <row r="77" spans="2:87" x14ac:dyDescent="0.2">
      <c r="D77" s="19" t="s">
        <v>18</v>
      </c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</row>
    <row r="78" spans="2:87" x14ac:dyDescent="0.2">
      <c r="D78" s="19" t="s">
        <v>18</v>
      </c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</row>
    <row r="79" spans="2:87" x14ac:dyDescent="0.2">
      <c r="D79" s="22"/>
    </row>
    <row r="80" spans="2:87" x14ac:dyDescent="0.2">
      <c r="D80" s="22"/>
    </row>
    <row r="81" spans="4:4" x14ac:dyDescent="0.2">
      <c r="D81" s="22"/>
    </row>
    <row r="82" spans="4:4" x14ac:dyDescent="0.2">
      <c r="D82" s="22"/>
    </row>
    <row r="83" spans="4:4" x14ac:dyDescent="0.2">
      <c r="D83" s="22"/>
    </row>
    <row r="84" spans="4:4" x14ac:dyDescent="0.2">
      <c r="D84" s="22"/>
    </row>
    <row r="85" spans="4:4" x14ac:dyDescent="0.2">
      <c r="D85" s="22"/>
    </row>
    <row r="86" spans="4:4" x14ac:dyDescent="0.2">
      <c r="D86" s="22"/>
    </row>
    <row r="87" spans="4:4" x14ac:dyDescent="0.2">
      <c r="D87" s="22"/>
    </row>
    <row r="88" spans="4:4" x14ac:dyDescent="0.2">
      <c r="D88" s="22"/>
    </row>
    <row r="89" spans="4:4" x14ac:dyDescent="0.2">
      <c r="D89" s="22"/>
    </row>
    <row r="90" spans="4:4" x14ac:dyDescent="0.2">
      <c r="D90" s="22"/>
    </row>
    <row r="91" spans="4:4" x14ac:dyDescent="0.2">
      <c r="D91" s="22"/>
    </row>
    <row r="92" spans="4:4" x14ac:dyDescent="0.2">
      <c r="D92" s="22"/>
    </row>
    <row r="93" spans="4:4" x14ac:dyDescent="0.2">
      <c r="D93" s="22"/>
    </row>
    <row r="94" spans="4:4" x14ac:dyDescent="0.2">
      <c r="D94" s="22"/>
    </row>
    <row r="95" spans="4:4" x14ac:dyDescent="0.2">
      <c r="D95" s="22"/>
    </row>
    <row r="96" spans="4:4" x14ac:dyDescent="0.2">
      <c r="D96" s="22"/>
    </row>
    <row r="97" spans="4:4" x14ac:dyDescent="0.2">
      <c r="D97" s="22"/>
    </row>
    <row r="98" spans="4:4" x14ac:dyDescent="0.2">
      <c r="D98" s="22"/>
    </row>
    <row r="99" spans="4:4" x14ac:dyDescent="0.2">
      <c r="D99" s="22"/>
    </row>
    <row r="100" spans="4:4" x14ac:dyDescent="0.2">
      <c r="D100" s="22"/>
    </row>
    <row r="101" spans="4:4" x14ac:dyDescent="0.2">
      <c r="D101" s="22"/>
    </row>
    <row r="102" spans="4:4" x14ac:dyDescent="0.2">
      <c r="D102" s="22"/>
    </row>
    <row r="103" spans="4:4" x14ac:dyDescent="0.2">
      <c r="D103" s="22"/>
    </row>
    <row r="104" spans="4:4" x14ac:dyDescent="0.2">
      <c r="D104" s="22"/>
    </row>
    <row r="105" spans="4:4" x14ac:dyDescent="0.2">
      <c r="D105" s="22"/>
    </row>
    <row r="106" spans="4:4" x14ac:dyDescent="0.2">
      <c r="D106" s="22"/>
    </row>
    <row r="107" spans="4:4" x14ac:dyDescent="0.2">
      <c r="D107" s="22"/>
    </row>
    <row r="108" spans="4:4" x14ac:dyDescent="0.2">
      <c r="D108" s="22"/>
    </row>
    <row r="109" spans="4:4" x14ac:dyDescent="0.2">
      <c r="D109" s="22"/>
    </row>
    <row r="110" spans="4:4" x14ac:dyDescent="0.2">
      <c r="D110" s="22"/>
    </row>
    <row r="111" spans="4:4" x14ac:dyDescent="0.2">
      <c r="D111" s="22"/>
    </row>
    <row r="112" spans="4:4" x14ac:dyDescent="0.2">
      <c r="D112" s="22"/>
    </row>
    <row r="113" spans="4:4" x14ac:dyDescent="0.2">
      <c r="D113" s="22"/>
    </row>
    <row r="114" spans="4:4" x14ac:dyDescent="0.2">
      <c r="D114" s="22"/>
    </row>
    <row r="115" spans="4:4" x14ac:dyDescent="0.2">
      <c r="D115" s="22"/>
    </row>
    <row r="116" spans="4:4" x14ac:dyDescent="0.2">
      <c r="D116" s="22"/>
    </row>
    <row r="117" spans="4:4" x14ac:dyDescent="0.2">
      <c r="D117" s="22"/>
    </row>
    <row r="118" spans="4:4" x14ac:dyDescent="0.2">
      <c r="D118" s="22"/>
    </row>
    <row r="119" spans="4:4" x14ac:dyDescent="0.2">
      <c r="D119" s="22"/>
    </row>
    <row r="120" spans="4:4" x14ac:dyDescent="0.2">
      <c r="D120" s="22"/>
    </row>
    <row r="121" spans="4:4" x14ac:dyDescent="0.2">
      <c r="D121" s="22"/>
    </row>
    <row r="122" spans="4:4" x14ac:dyDescent="0.2">
      <c r="D122" s="22"/>
    </row>
    <row r="123" spans="4:4" x14ac:dyDescent="0.2">
      <c r="D123" s="22"/>
    </row>
    <row r="124" spans="4:4" x14ac:dyDescent="0.2">
      <c r="D124" s="22"/>
    </row>
    <row r="125" spans="4:4" x14ac:dyDescent="0.2">
      <c r="D125" s="22"/>
    </row>
    <row r="126" spans="4:4" x14ac:dyDescent="0.2">
      <c r="D126" s="22"/>
    </row>
    <row r="127" spans="4:4" x14ac:dyDescent="0.2">
      <c r="D127" s="22"/>
    </row>
    <row r="128" spans="4:4" x14ac:dyDescent="0.2">
      <c r="D128" s="22"/>
    </row>
    <row r="129" spans="4:4" x14ac:dyDescent="0.2">
      <c r="D129" s="22"/>
    </row>
    <row r="130" spans="4:4" x14ac:dyDescent="0.2">
      <c r="D130" s="22"/>
    </row>
    <row r="131" spans="4:4" x14ac:dyDescent="0.2">
      <c r="D131" s="22"/>
    </row>
    <row r="132" spans="4:4" x14ac:dyDescent="0.2">
      <c r="D132" s="22"/>
    </row>
    <row r="133" spans="4:4" x14ac:dyDescent="0.2">
      <c r="D133" s="22"/>
    </row>
    <row r="134" spans="4:4" x14ac:dyDescent="0.2">
      <c r="D134" s="22"/>
    </row>
    <row r="135" spans="4:4" x14ac:dyDescent="0.2">
      <c r="D135" s="22"/>
    </row>
    <row r="136" spans="4:4" x14ac:dyDescent="0.2">
      <c r="D136" s="22"/>
    </row>
    <row r="137" spans="4:4" x14ac:dyDescent="0.2">
      <c r="D137" s="22"/>
    </row>
    <row r="138" spans="4:4" x14ac:dyDescent="0.2">
      <c r="D138" s="22"/>
    </row>
    <row r="139" spans="4:4" x14ac:dyDescent="0.2">
      <c r="D139" s="22"/>
    </row>
    <row r="140" spans="4:4" x14ac:dyDescent="0.2">
      <c r="D140" s="22"/>
    </row>
    <row r="141" spans="4:4" x14ac:dyDescent="0.2">
      <c r="D141" s="22"/>
    </row>
    <row r="142" spans="4:4" x14ac:dyDescent="0.2">
      <c r="D142" s="22"/>
    </row>
    <row r="143" spans="4:4" x14ac:dyDescent="0.2">
      <c r="D143" s="22"/>
    </row>
  </sheetData>
  <conditionalFormatting sqref="B12:C68">
    <cfRule type="expression" dxfId="9" priority="9">
      <formula>AND(MOD(ROW(),2)=0,LEN($B12)&gt;0)</formula>
    </cfRule>
  </conditionalFormatting>
  <conditionalFormatting sqref="D45:M47 D49:D143">
    <cfRule type="expression" dxfId="8" priority="10">
      <formula>AND(MOD(ROW(),2)=0,LEN($B45)&gt;0)</formula>
    </cfRule>
  </conditionalFormatting>
  <conditionalFormatting sqref="D12:CI48">
    <cfRule type="expression" dxfId="7" priority="1">
      <formula>AND(MOD(ROW(),2)=0,LEN($B12)&gt;0)</formula>
    </cfRule>
  </conditionalFormatting>
  <conditionalFormatting sqref="E49:CI78">
    <cfRule type="expression" dxfId="6" priority="8">
      <formula>AND(MOD(ROW(),2)=0,LEN($B49)&gt;0)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Financial Valuation</vt:lpstr>
      <vt:lpstr>Financial Output</vt:lpstr>
      <vt:lpstr>Scenario Manager</vt:lpstr>
      <vt:lpstr>model</vt:lpstr>
      <vt:lpstr>historical&gt;&gt;&gt;</vt:lpstr>
      <vt:lpstr>IS_Static</vt:lpstr>
      <vt:lpstr>CF_Static</vt:lpstr>
      <vt:lpstr>BS_Static</vt:lpstr>
      <vt:lpstr>estimate_start</vt:lpstr>
      <vt:lpstr>scenario_name</vt:lpstr>
      <vt:lpstr>scenario_number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tido</dc:creator>
  <cp:lastModifiedBy>Theodor Hogan</cp:lastModifiedBy>
  <dcterms:created xsi:type="dcterms:W3CDTF">2015-06-05T18:19:34Z</dcterms:created>
  <dcterms:modified xsi:type="dcterms:W3CDTF">2025-07-13T18:46:33Z</dcterms:modified>
</cp:coreProperties>
</file>