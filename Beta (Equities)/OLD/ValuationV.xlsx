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34" documentId="8_{A172214B-0CDE-4B8D-B57A-AF111C373C25}" xr6:coauthVersionLast="47" xr6:coauthVersionMax="47" xr10:uidLastSave="{B3887D99-71BA-4C4A-A3F4-2F6876251227}"/>
  <bookViews>
    <workbookView xWindow="-108" yWindow="-108" windowWidth="23256" windowHeight="12456" xr2:uid="{2E4F4A11-75CB-465D-8858-0E3281567DC9}"/>
  </bookViews>
  <sheets>
    <sheet name="Multiple Valuation" sheetId="1" r:id="rId1"/>
    <sheet name="Sheet3" sheetId="3" r:id="rId2"/>
    <sheet name="V" sheetId="2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6" i="1" l="1"/>
  <c r="Z26" i="1"/>
  <c r="AA25" i="1"/>
  <c r="Z25" i="1"/>
  <c r="AA24" i="1"/>
  <c r="Z24" i="1"/>
  <c r="AA23" i="1"/>
  <c r="Z23" i="1"/>
  <c r="AA22" i="1"/>
  <c r="Z22" i="1"/>
  <c r="AA21" i="1"/>
  <c r="N37" i="1"/>
  <c r="O37" i="1" s="1"/>
  <c r="P37" i="1" s="1"/>
  <c r="Q37" i="1" s="1"/>
  <c r="R37" i="1" s="1"/>
  <c r="S37" i="1" s="1"/>
  <c r="T37" i="1" s="1"/>
  <c r="U37" i="1" s="1"/>
  <c r="V37" i="1" s="1"/>
  <c r="W37" i="1" s="1"/>
  <c r="AA16" i="1" s="1"/>
  <c r="AA18" i="1" s="1"/>
  <c r="AA15" i="1"/>
  <c r="Z15" i="1"/>
  <c r="AA12" i="1"/>
  <c r="Z12" i="1"/>
  <c r="Z11" i="1"/>
  <c r="AA10" i="1"/>
  <c r="Z10" i="1"/>
  <c r="Z9" i="1"/>
  <c r="Z8" i="1"/>
  <c r="AA7" i="1"/>
  <c r="Z7" i="1"/>
  <c r="AA5" i="1"/>
  <c r="Z5" i="1"/>
  <c r="AA4" i="1"/>
  <c r="Z4" i="1"/>
  <c r="P8" i="1"/>
  <c r="Q8" i="1" s="1"/>
  <c r="R8" i="1" s="1"/>
  <c r="S8" i="1" s="1"/>
  <c r="T8" i="1" s="1"/>
  <c r="U8" i="1" s="1"/>
  <c r="V8" i="1" s="1"/>
  <c r="W8" i="1" s="1"/>
  <c r="O8" i="1"/>
  <c r="N8" i="1"/>
  <c r="W3" i="1"/>
  <c r="P3" i="1"/>
  <c r="Q3" i="1" s="1"/>
  <c r="R3" i="1" s="1"/>
  <c r="S3" i="1" s="1"/>
  <c r="T3" i="1" s="1"/>
  <c r="U3" i="1" s="1"/>
  <c r="V3" i="1" s="1"/>
  <c r="O3" i="1"/>
  <c r="N3" i="1"/>
  <c r="Z16" i="1" l="1"/>
  <c r="Z18" i="1" s="1"/>
  <c r="M41" i="1"/>
  <c r="M39" i="1"/>
  <c r="M37" i="1"/>
  <c r="M35" i="1"/>
  <c r="M29" i="1"/>
  <c r="M27" i="1"/>
  <c r="M25" i="1"/>
  <c r="M23" i="1"/>
  <c r="M21" i="1"/>
  <c r="M15" i="1"/>
  <c r="M13" i="1"/>
  <c r="M11" i="1"/>
  <c r="M9" i="1"/>
  <c r="M4" i="1"/>
  <c r="L27" i="1"/>
  <c r="K27" i="1"/>
  <c r="J27" i="1"/>
  <c r="I27" i="1"/>
  <c r="H27" i="1"/>
  <c r="G27" i="1"/>
  <c r="F27" i="1"/>
  <c r="E27" i="1"/>
  <c r="D27" i="1"/>
  <c r="C27" i="1"/>
  <c r="L25" i="1"/>
  <c r="I25" i="1"/>
  <c r="F25" i="1"/>
  <c r="E25" i="1"/>
  <c r="D25" i="1"/>
  <c r="L9" i="1"/>
  <c r="K9" i="1"/>
  <c r="J9" i="1"/>
  <c r="I9" i="1"/>
  <c r="H9" i="1"/>
  <c r="G9" i="1"/>
  <c r="F9" i="1"/>
  <c r="E9" i="1"/>
  <c r="D9" i="1"/>
  <c r="L8" i="1"/>
  <c r="K8" i="1"/>
  <c r="J8" i="1"/>
  <c r="I8" i="1"/>
  <c r="H8" i="1"/>
  <c r="G8" i="1"/>
  <c r="F8" i="1"/>
  <c r="E8" i="1"/>
  <c r="D8" i="1"/>
  <c r="C8" i="1"/>
  <c r="H23" i="1"/>
  <c r="H25" i="1" s="1"/>
  <c r="G23" i="1"/>
  <c r="G25" i="1" s="1"/>
  <c r="E23" i="1"/>
  <c r="L21" i="1"/>
  <c r="L23" i="1" s="1"/>
  <c r="K21" i="1"/>
  <c r="K23" i="1" s="1"/>
  <c r="K25" i="1" s="1"/>
  <c r="J21" i="1"/>
  <c r="J23" i="1" s="1"/>
  <c r="J25" i="1" s="1"/>
  <c r="I21" i="1"/>
  <c r="I23" i="1" s="1"/>
  <c r="H21" i="1"/>
  <c r="G21" i="1"/>
  <c r="F21" i="1"/>
  <c r="F23" i="1" s="1"/>
  <c r="E21" i="1"/>
  <c r="D21" i="1"/>
  <c r="D23" i="1" s="1"/>
  <c r="C21" i="1"/>
  <c r="C23" i="1" s="1"/>
  <c r="C25" i="1" s="1"/>
  <c r="D11" i="3" a="1"/>
  <c r="D11" i="3" s="1"/>
  <c r="K35" i="1"/>
  <c r="K37" i="1" s="1"/>
  <c r="K41" i="1" s="1"/>
  <c r="J35" i="1"/>
  <c r="J37" i="1" s="1"/>
  <c r="J41" i="1" s="1"/>
  <c r="I35" i="1"/>
  <c r="I37" i="1" s="1"/>
  <c r="I41" i="1" s="1"/>
  <c r="H35" i="1"/>
  <c r="H37" i="1" s="1"/>
  <c r="H41" i="1" s="1"/>
  <c r="G35" i="1"/>
  <c r="G37" i="1" s="1"/>
  <c r="G41" i="1" s="1"/>
  <c r="F35" i="1"/>
  <c r="F37" i="1" s="1"/>
  <c r="F41" i="1" s="1"/>
  <c r="E35" i="1"/>
  <c r="E37" i="1" s="1"/>
  <c r="E41" i="1" s="1"/>
  <c r="D35" i="1"/>
  <c r="D37" i="1" s="1"/>
  <c r="D41" i="1" s="1"/>
  <c r="C35" i="1"/>
  <c r="C37" i="1" s="1"/>
  <c r="C41" i="1" s="1"/>
  <c r="L35" i="1"/>
  <c r="L37" i="1" s="1"/>
  <c r="L41" i="1" s="1"/>
  <c r="F15" i="1"/>
  <c r="G15" i="1"/>
  <c r="I17" i="1"/>
  <c r="J17" i="1"/>
  <c r="J15" i="1"/>
  <c r="K17" i="1"/>
  <c r="L17" i="1"/>
  <c r="K15" i="1"/>
  <c r="L15" i="1"/>
  <c r="D3" i="1"/>
  <c r="E3" i="1" s="1"/>
  <c r="F3" i="1" s="1"/>
  <c r="G3" i="1" s="1"/>
  <c r="H3" i="1" s="1"/>
  <c r="I3" i="1" s="1"/>
  <c r="J3" i="1" s="1"/>
  <c r="K3" i="1" s="1"/>
  <c r="L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Theodor Hogan</author>
  </authors>
  <commentList>
    <comment ref="C7" authorId="0" shapeId="0" xr:uid="{CAB0BE22-323F-4DA7-A317-2A6F9241DB51}">
      <text>
        <r>
          <rPr>
            <b/>
            <sz val="9"/>
            <color indexed="81"/>
            <rFont val="Tahoma"/>
            <family val="2"/>
          </rPr>
          <t>Theodor Hogan:</t>
        </r>
        <r>
          <rPr>
            <sz val="9"/>
            <color indexed="81"/>
            <rFont val="Tahoma"/>
            <family val="2"/>
          </rPr>
          <t xml:space="preserve">
also Adj
</t>
        </r>
      </text>
    </comment>
    <comment ref="D7" authorId="0" shapeId="0" xr:uid="{2DF4FEAB-6AA3-47E6-AA67-1625BCDF4920}">
      <text>
        <r>
          <rPr>
            <b/>
            <sz val="9"/>
            <color indexed="81"/>
            <rFont val="Tahoma"/>
            <family val="2"/>
          </rPr>
          <t>Theodor Hogan:</t>
        </r>
        <r>
          <rPr>
            <sz val="9"/>
            <color indexed="81"/>
            <rFont val="Tahoma"/>
            <family val="2"/>
          </rPr>
          <t xml:space="preserve">
Adjusted for client armort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<sst xmlns="http://schemas.openxmlformats.org/spreadsheetml/2006/main" count="73" uniqueCount="63">
  <si>
    <t>Ticker</t>
  </si>
  <si>
    <t>Date</t>
  </si>
  <si>
    <t>23/01/2023</t>
  </si>
  <si>
    <t>V</t>
  </si>
  <si>
    <t>(VISA)</t>
  </si>
  <si>
    <t xml:space="preserve">Revenue </t>
  </si>
  <si>
    <t>EBIT</t>
  </si>
  <si>
    <t>D&amp;A</t>
  </si>
  <si>
    <t>EBITDA</t>
  </si>
  <si>
    <t>Cs Outstanding</t>
  </si>
  <si>
    <t>Excess Cash</t>
  </si>
  <si>
    <t>ST + LT Debt</t>
  </si>
  <si>
    <t>CA - Cash</t>
  </si>
  <si>
    <t>Working Capital</t>
  </si>
  <si>
    <t>Market Cap</t>
  </si>
  <si>
    <t>EV</t>
  </si>
  <si>
    <t>EV/EBTIDA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</si>
  <si>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</si>
  <si>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</si>
  <si>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</si>
  <si>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</si>
  <si>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</si>
  <si>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</si>
  <si>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</si>
  <si>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</si>
  <si>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AVG / CAGR</t>
  </si>
  <si>
    <t>CL - ST Debt</t>
  </si>
  <si>
    <t>Suspend until further understanding of Working Capital</t>
  </si>
  <si>
    <t>Adj Close</t>
  </si>
  <si>
    <t>Row Labels</t>
  </si>
  <si>
    <t>Grand Total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</si>
  <si>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</si>
  <si>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</si>
  <si>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</si>
  <si>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</si>
  <si>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</si>
  <si>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</si>
  <si>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</si>
  <si>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</si>
  <si>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</si>
  <si>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</si>
  <si>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</si>
  <si>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</si>
  <si>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</si>
  <si>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</si>
  <si>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</si>
  <si>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</si>
  <si>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Average of Adj Close</t>
  </si>
  <si>
    <t>% change</t>
  </si>
  <si>
    <t>EBITDA Multiple Method</t>
  </si>
  <si>
    <t>Year</t>
  </si>
  <si>
    <t>Multiple</t>
  </si>
  <si>
    <t>(-) Debt</t>
  </si>
  <si>
    <t>(+) Cash</t>
  </si>
  <si>
    <t>Shares</t>
  </si>
  <si>
    <t>FCFE Yield Method</t>
  </si>
  <si>
    <t>Return Calculation</t>
  </si>
  <si>
    <t>Current $/SHR</t>
  </si>
  <si>
    <t>16/03/2023</t>
  </si>
  <si>
    <t>EBITDA $/SHR</t>
  </si>
  <si>
    <t>FCFE $/SHR</t>
  </si>
  <si>
    <t>Average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</si>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</sst>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0.0%"/>
    <numFmt numFmtId="165" formatCode="0.0\x"/>
    <numFmt numFmtId="166" formatCode="_(&quot;$&quot;* #,##0.0_);_(&quot;$&quot;* \(#,##0.0\);_(&quot;$&quot;* &quot;-&quot;_);_(@_)"/>
    <numFmt numFmtId="168" formatCode="_(&quot;$&quot;* #,##0.00_);_(&quot;$&quot;* \(#,##0.00\);_(&quot;$&quot;* &quot;-&quot;_);_(@_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rgb="FF2D3B45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5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0" xfId="0" applyFill="1"/>
    <xf numFmtId="0" fontId="5" fillId="4" borderId="0" xfId="0" applyFont="1" applyFill="1"/>
    <xf numFmtId="0" fontId="0" fillId="5" borderId="0" xfId="0" applyFill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2" fontId="0" fillId="0" borderId="0" xfId="0" applyNumberFormat="1"/>
    <xf numFmtId="164" fontId="0" fillId="0" borderId="0" xfId="1" applyNumberFormat="1" applyFont="1"/>
    <xf numFmtId="0" fontId="7" fillId="0" borderId="0" xfId="0" applyFont="1" applyAlignment="1">
      <alignment horizontal="left" indent="1"/>
    </xf>
    <xf numFmtId="9" fontId="7" fillId="0" borderId="0" xfId="1" applyFont="1"/>
    <xf numFmtId="165" fontId="0" fillId="0" borderId="0" xfId="0" applyNumberFormat="1"/>
    <xf numFmtId="166" fontId="0" fillId="0" borderId="0" xfId="0" applyNumberFormat="1"/>
    <xf numFmtId="9" fontId="5" fillId="0" borderId="0" xfId="1" applyFont="1" applyAlignment="1">
      <alignment horizontal="center"/>
    </xf>
    <xf numFmtId="9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6" borderId="0" xfId="0" applyFont="1" applyFill="1" applyAlignment="1">
      <alignment horizontal="center"/>
    </xf>
    <xf numFmtId="9" fontId="8" fillId="0" borderId="0" xfId="1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0" fillId="7" borderId="0" xfId="0" applyFill="1"/>
    <xf numFmtId="42" fontId="0" fillId="7" borderId="0" xfId="0" applyNumberFormat="1" applyFill="1"/>
    <xf numFmtId="0" fontId="0" fillId="7" borderId="0" xfId="0" applyFill="1" applyAlignment="1">
      <alignment horizontal="center"/>
    </xf>
    <xf numFmtId="168" fontId="0" fillId="7" borderId="0" xfId="0" applyNumberFormat="1" applyFill="1"/>
    <xf numFmtId="1" fontId="0" fillId="7" borderId="0" xfId="0" applyNumberFormat="1" applyFill="1"/>
    <xf numFmtId="44" fontId="0" fillId="7" borderId="0" xfId="0" applyNumberFormat="1" applyFill="1"/>
    <xf numFmtId="42" fontId="0" fillId="7" borderId="0" xfId="0" applyNumberFormat="1" applyFill="1" applyAlignment="1">
      <alignment horizontal="center"/>
    </xf>
    <xf numFmtId="0" fontId="5" fillId="7" borderId="0" xfId="0" applyFont="1" applyFill="1" applyAlignment="1">
      <alignment horizontal="center"/>
    </xf>
    <xf numFmtId="44" fontId="0" fillId="7" borderId="1" xfId="0" applyNumberFormat="1" applyFill="1" applyBorder="1"/>
    <xf numFmtId="10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9" fontId="9" fillId="7" borderId="0" xfId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dor Hogan" refreshedDate="45001.504488773149" createdVersion="8" refreshedVersion="8" minRefreshableVersion="3" recordCount="181" xr:uid="{E70111E5-1410-40B5-96D6-82A15A27E4A0}">
  <cacheSource type="worksheet">
    <worksheetSource ref="A1:B182" sheet="V"/>
  </cacheSource>
  <cacheFields count="4">
    <cacheField name="Date" numFmtId="14">
      <sharedItems containsSemiMixedTypes="0" containsNonDate="0" containsDate="1" containsString="0" minDate="2008-04-01T00:00:00" maxDate="2023-03-16T00:00:00" count="181"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3-15T00:00:00"/>
      </sharedItems>
      <fieldGroup par="3" base="0">
        <rangePr groupBy="months" startDate="2008-04-01T00:00:00" endDate="2023-03-16T00:00:00"/>
        <groupItems count="14">
          <s v="&lt;4/1/200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6/2023"/>
        </groupItems>
      </fieldGroup>
    </cacheField>
    <cacheField name="Adj Close" numFmtId="0">
      <sharedItems containsSemiMixedTypes="0" containsString="0" containsNumber="1" minValue="11.154802999999999" maxValue="243.30159"/>
    </cacheField>
    <cacheField name="Quarters" numFmtId="0" databaseField="0">
      <fieldGroup base="0">
        <rangePr groupBy="quarters" startDate="2008-04-01T00:00:00" endDate="2023-03-16T00:00:00"/>
        <groupItems count="6">
          <s v="&lt;4/1/2008"/>
          <s v="Qtr1"/>
          <s v="Qtr2"/>
          <s v="Qtr3"/>
          <s v="Qtr4"/>
          <s v="&gt;3/16/2023"/>
        </groupItems>
      </fieldGroup>
    </cacheField>
    <cacheField name="Years" numFmtId="0" databaseField="0">
      <fieldGroup base="0">
        <rangePr groupBy="years" startDate="2008-04-01T00:00:00" endDate="2023-03-16T00:00:00"/>
        <groupItems count="18">
          <s v="&lt;4/1/2008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3/16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x v="0"/>
    <n v="18.798615000000002"/>
  </r>
  <r>
    <x v="1"/>
    <n v="19.454139999999999"/>
  </r>
  <r>
    <x v="2"/>
    <n v="18.316528000000002"/>
  </r>
  <r>
    <x v="3"/>
    <n v="16.458075999999998"/>
  </r>
  <r>
    <x v="4"/>
    <n v="17.097839"/>
  </r>
  <r>
    <x v="5"/>
    <n v="13.849171"/>
  </r>
  <r>
    <x v="6"/>
    <n v="12.486589"/>
  </r>
  <r>
    <x v="7"/>
    <n v="11.857182999999999"/>
  </r>
  <r>
    <x v="8"/>
    <n v="11.855513999999999"/>
  </r>
  <r>
    <x v="9"/>
    <n v="11.154802999999999"/>
  </r>
  <r>
    <x v="10"/>
    <n v="12.81842"/>
  </r>
  <r>
    <x v="11"/>
    <n v="12.592074999999999"/>
  </r>
  <r>
    <x v="12"/>
    <n v="14.711888"/>
  </r>
  <r>
    <x v="13"/>
    <n v="15.334694000000001"/>
  </r>
  <r>
    <x v="14"/>
    <n v="14.123141"/>
  </r>
  <r>
    <x v="15"/>
    <n v="14.849033"/>
  </r>
  <r>
    <x v="16"/>
    <n v="16.128409999999999"/>
  </r>
  <r>
    <x v="17"/>
    <n v="15.701034"/>
  </r>
  <r>
    <x v="18"/>
    <n v="17.211842000000001"/>
  </r>
  <r>
    <x v="19"/>
    <n v="18.402312999999999"/>
  </r>
  <r>
    <x v="20"/>
    <n v="19.900728000000001"/>
  </r>
  <r>
    <x v="21"/>
    <n v="18.665188000000001"/>
  </r>
  <r>
    <x v="22"/>
    <n v="19.404693999999999"/>
  </r>
  <r>
    <x v="23"/>
    <n v="20.744198000000001"/>
  </r>
  <r>
    <x v="24"/>
    <n v="20.561883999999999"/>
  </r>
  <r>
    <x v="25"/>
    <n v="16.512405000000001"/>
  </r>
  <r>
    <x v="26"/>
    <n v="16.146704"/>
  </r>
  <r>
    <x v="27"/>
    <n v="16.740084"/>
  </r>
  <r>
    <x v="28"/>
    <n v="15.742758"/>
  </r>
  <r>
    <x v="29"/>
    <n v="16.975960000000001"/>
  </r>
  <r>
    <x v="30"/>
    <n v="17.867508000000001"/>
  </r>
  <r>
    <x v="31"/>
    <n v="16.882235999999999"/>
  </r>
  <r>
    <x v="32"/>
    <n v="16.121234999999999"/>
  </r>
  <r>
    <x v="33"/>
    <n v="15.999829999999999"/>
  </r>
  <r>
    <x v="34"/>
    <n v="16.732821999999999"/>
  </r>
  <r>
    <x v="35"/>
    <n v="16.897373000000002"/>
  </r>
  <r>
    <x v="36"/>
    <n v="17.930225"/>
  </r>
  <r>
    <x v="37"/>
    <n v="18.605015000000002"/>
  </r>
  <r>
    <x v="38"/>
    <n v="19.375533999999998"/>
  </r>
  <r>
    <x v="39"/>
    <n v="19.669875999999999"/>
  </r>
  <r>
    <x v="40"/>
    <n v="20.207961999999998"/>
  </r>
  <r>
    <x v="41"/>
    <n v="19.745774999999998"/>
  </r>
  <r>
    <x v="42"/>
    <n v="21.482634999999998"/>
  </r>
  <r>
    <x v="43"/>
    <n v="22.337240000000001"/>
  </r>
  <r>
    <x v="44"/>
    <n v="23.441566000000002"/>
  </r>
  <r>
    <x v="45"/>
    <n v="23.236080000000001"/>
  </r>
  <r>
    <x v="46"/>
    <n v="26.867885999999999"/>
  </r>
  <r>
    <x v="47"/>
    <n v="27.296330999999999"/>
  </r>
  <r>
    <x v="48"/>
    <n v="28.448326000000002"/>
  </r>
  <r>
    <x v="49"/>
    <n v="26.648614999999999"/>
  </r>
  <r>
    <x v="50"/>
    <n v="28.652742"/>
  </r>
  <r>
    <x v="51"/>
    <n v="29.913532"/>
  </r>
  <r>
    <x v="52"/>
    <n v="29.723486000000001"/>
  </r>
  <r>
    <x v="53"/>
    <n v="31.173798000000001"/>
  </r>
  <r>
    <x v="54"/>
    <n v="32.213867"/>
  </r>
  <r>
    <x v="55"/>
    <n v="34.755977999999999"/>
  </r>
  <r>
    <x v="56"/>
    <n v="35.271801000000004"/>
  </r>
  <r>
    <x v="57"/>
    <n v="36.744765999999998"/>
  </r>
  <r>
    <x v="58"/>
    <n v="36.914642000000001"/>
  </r>
  <r>
    <x v="59"/>
    <n v="39.604163999999997"/>
  </r>
  <r>
    <x v="60"/>
    <n v="39.282372000000002"/>
  </r>
  <r>
    <x v="61"/>
    <n v="41.539588999999999"/>
  </r>
  <r>
    <x v="62"/>
    <n v="42.692706999999999"/>
  </r>
  <r>
    <x v="63"/>
    <n v="41.351765"/>
  </r>
  <r>
    <x v="64"/>
    <n v="40.746699999999997"/>
  </r>
  <r>
    <x v="65"/>
    <n v="44.725715999999998"/>
  </r>
  <r>
    <x v="66"/>
    <n v="46.029339"/>
  </r>
  <r>
    <x v="67"/>
    <n v="47.618499999999997"/>
  </r>
  <r>
    <x v="68"/>
    <n v="52.222175999999997"/>
  </r>
  <r>
    <x v="69"/>
    <n v="50.521918999999997"/>
  </r>
  <r>
    <x v="70"/>
    <n v="52.986697999999997"/>
  </r>
  <r>
    <x v="71"/>
    <n v="50.713993000000002"/>
  </r>
  <r>
    <x v="72"/>
    <n v="47.601067"/>
  </r>
  <r>
    <x v="73"/>
    <n v="50.472019000000003"/>
  </r>
  <r>
    <x v="74"/>
    <n v="49.597625999999998"/>
  </r>
  <r>
    <x v="75"/>
    <n v="49.668242999999997"/>
  </r>
  <r>
    <x v="76"/>
    <n v="50.023670000000003"/>
  </r>
  <r>
    <x v="77"/>
    <n v="50.319443"/>
  </r>
  <r>
    <x v="78"/>
    <n v="56.936897000000002"/>
  </r>
  <r>
    <x v="79"/>
    <n v="60.889439000000003"/>
  </r>
  <r>
    <x v="80"/>
    <n v="61.954208000000001"/>
  </r>
  <r>
    <x v="81"/>
    <n v="60.231667000000002"/>
  </r>
  <r>
    <x v="82"/>
    <n v="64.106780999999998"/>
  </r>
  <r>
    <x v="83"/>
    <n v="61.934249999999999"/>
  </r>
  <r>
    <x v="84"/>
    <n v="62.540256999999997"/>
  </r>
  <r>
    <x v="85"/>
    <n v="65.030479"/>
  </r>
  <r>
    <x v="86"/>
    <n v="63.693080999999999"/>
  </r>
  <r>
    <x v="87"/>
    <n v="71.461433"/>
  </r>
  <r>
    <x v="88"/>
    <n v="67.629409999999993"/>
  </r>
  <r>
    <x v="89"/>
    <n v="66.182143999999994"/>
  </r>
  <r>
    <x v="90"/>
    <n v="73.706710999999999"/>
  </r>
  <r>
    <x v="91"/>
    <n v="75.065291999999999"/>
  </r>
  <r>
    <x v="92"/>
    <n v="73.810608000000002"/>
  </r>
  <r>
    <x v="93"/>
    <n v="70.898139999999998"/>
  </r>
  <r>
    <x v="94"/>
    <n v="68.899428999999998"/>
  </r>
  <r>
    <x v="95"/>
    <n v="72.935828999999998"/>
  </r>
  <r>
    <x v="96"/>
    <n v="73.660590999999997"/>
  </r>
  <r>
    <x v="97"/>
    <n v="75.281807000000001"/>
  </r>
  <r>
    <x v="98"/>
    <n v="70.858108999999999"/>
  </r>
  <r>
    <x v="99"/>
    <n v="74.564887999999996"/>
  </r>
  <r>
    <x v="100"/>
    <n v="77.287612999999993"/>
  </r>
  <r>
    <x v="101"/>
    <n v="79.144347999999994"/>
  </r>
  <r>
    <x v="102"/>
    <n v="78.962524000000002"/>
  </r>
  <r>
    <x v="103"/>
    <n v="73.995650999999995"/>
  </r>
  <r>
    <x v="104"/>
    <n v="74.822677999999996"/>
  </r>
  <r>
    <x v="105"/>
    <n v="79.320473000000007"/>
  </r>
  <r>
    <x v="106"/>
    <n v="84.336151000000001"/>
  </r>
  <r>
    <x v="107"/>
    <n v="85.390288999999996"/>
  </r>
  <r>
    <x v="108"/>
    <n v="87.648262000000003"/>
  </r>
  <r>
    <x v="109"/>
    <n v="91.501244"/>
  </r>
  <r>
    <x v="110"/>
    <n v="90.267937000000003"/>
  </r>
  <r>
    <x v="111"/>
    <n v="95.831467000000004"/>
  </r>
  <r>
    <x v="112"/>
    <n v="99.643127000000007"/>
  </r>
  <r>
    <x v="113"/>
    <n v="101.461838"/>
  </r>
  <r>
    <x v="114"/>
    <n v="106.0317"/>
  </r>
  <r>
    <x v="115"/>
    <n v="108.547989"/>
  </r>
  <r>
    <x v="116"/>
    <n v="110.121437"/>
  </r>
  <r>
    <x v="117"/>
    <n v="119.98234600000001"/>
  </r>
  <r>
    <x v="118"/>
    <n v="118.73645"/>
  </r>
  <r>
    <x v="119"/>
    <n v="115.731087"/>
  </r>
  <r>
    <x v="120"/>
    <n v="122.755066"/>
  </r>
  <r>
    <x v="121"/>
    <n v="126.470215"/>
  </r>
  <r>
    <x v="122"/>
    <n v="128.34991500000001"/>
  </r>
  <r>
    <x v="123"/>
    <n v="132.50709499999999"/>
  </r>
  <r>
    <x v="124"/>
    <n v="142.34288000000001"/>
  </r>
  <r>
    <x v="125"/>
    <n v="145.66244499999999"/>
  </r>
  <r>
    <x v="126"/>
    <n v="133.783524"/>
  </r>
  <r>
    <x v="127"/>
    <n v="137.52967799999999"/>
  </r>
  <r>
    <x v="128"/>
    <n v="128.27780200000001"/>
  </r>
  <r>
    <x v="129"/>
    <n v="131.26254299999999"/>
  </r>
  <r>
    <x v="130"/>
    <n v="144.008667"/>
  </r>
  <r>
    <x v="131"/>
    <n v="152.11972"/>
  </r>
  <r>
    <x v="132"/>
    <n v="160.14497399999999"/>
  </r>
  <r>
    <x v="133"/>
    <n v="157.125778"/>
  </r>
  <r>
    <x v="134"/>
    <n v="169.28727699999999"/>
  </r>
  <r>
    <x v="135"/>
    <n v="173.62799100000001"/>
  </r>
  <r>
    <x v="136"/>
    <n v="176.37870799999999"/>
  </r>
  <r>
    <x v="137"/>
    <n v="168.02723700000001"/>
  </r>
  <r>
    <x v="138"/>
    <n v="174.71859699999999"/>
  </r>
  <r>
    <x v="139"/>
    <n v="180.23779300000001"/>
  </r>
  <r>
    <x v="140"/>
    <n v="183.85672"/>
  </r>
  <r>
    <x v="141"/>
    <n v="194.68852200000001"/>
  </r>
  <r>
    <x v="142"/>
    <n v="177.84884600000001"/>
  </r>
  <r>
    <x v="143"/>
    <n v="157.88130200000001"/>
  </r>
  <r>
    <x v="144"/>
    <n v="175.127533"/>
  </r>
  <r>
    <x v="145"/>
    <n v="191.31547499999999"/>
  </r>
  <r>
    <x v="146"/>
    <n v="189.60401899999999"/>
  </r>
  <r>
    <x v="147"/>
    <n v="186.88514699999999"/>
  </r>
  <r>
    <x v="148"/>
    <n v="208.07661400000001"/>
  </r>
  <r>
    <x v="149"/>
    <n v="196.575211"/>
  </r>
  <r>
    <x v="150"/>
    <n v="178.625168"/>
  </r>
  <r>
    <x v="151"/>
    <n v="206.77899199999999"/>
  </r>
  <r>
    <x v="152"/>
    <n v="215.34071399999999"/>
  </r>
  <r>
    <x v="153"/>
    <n v="190.25552400000001"/>
  </r>
  <r>
    <x v="154"/>
    <n v="209.098984"/>
  </r>
  <r>
    <x v="155"/>
    <n v="208.77278100000001"/>
  </r>
  <r>
    <x v="156"/>
    <n v="230.29789700000001"/>
  </r>
  <r>
    <x v="157"/>
    <n v="224.125336"/>
  </r>
  <r>
    <x v="158"/>
    <n v="230.88917499999999"/>
  </r>
  <r>
    <x v="159"/>
    <n v="243.30159"/>
  </r>
  <r>
    <x v="160"/>
    <n v="226.22830200000001"/>
  </r>
  <r>
    <x v="161"/>
    <n v="220.25775100000001"/>
  </r>
  <r>
    <x v="162"/>
    <n v="209.40062"/>
  </r>
  <r>
    <x v="163"/>
    <n v="191.60202000000001"/>
  </r>
  <r>
    <x v="164"/>
    <n v="214.662567"/>
  </r>
  <r>
    <x v="165"/>
    <n v="224.033188"/>
  </r>
  <r>
    <x v="166"/>
    <n v="214.07813999999999"/>
  </r>
  <r>
    <x v="167"/>
    <n v="220.03215"/>
  </r>
  <r>
    <x v="168"/>
    <n v="211.459869"/>
  </r>
  <r>
    <x v="169"/>
    <n v="210.50740099999999"/>
  </r>
  <r>
    <x v="170"/>
    <n v="195.720215"/>
  </r>
  <r>
    <x v="171"/>
    <n v="210.849808"/>
  </r>
  <r>
    <x v="172"/>
    <n v="197.529404"/>
  </r>
  <r>
    <x v="173"/>
    <n v="176.90730300000001"/>
  </r>
  <r>
    <x v="174"/>
    <n v="206.29394500000001"/>
  </r>
  <r>
    <x v="175"/>
    <n v="216.092804"/>
  </r>
  <r>
    <x v="176"/>
    <n v="207.35386700000001"/>
  </r>
  <r>
    <x v="177"/>
    <n v="229.759995"/>
  </r>
  <r>
    <x v="178"/>
    <n v="219.51007100000001"/>
  </r>
  <r>
    <x v="179"/>
    <n v="216.36999499999999"/>
  </r>
  <r>
    <x v="180"/>
    <n v="216.369994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DC2BB8-661B-4F19-9B10-F7D9C99FEF7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t="default"/>
      </items>
    </pivotField>
  </pivotFields>
  <rowFields count="3">
    <field x="3"/>
    <field x="2"/>
    <field x="0"/>
  </rowFields>
  <rowItems count="17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2D9F-3517-4AAD-9EA6-91367F4F0A26}">
  <dimension ref="A1:AB41"/>
  <sheetViews>
    <sheetView showGridLines="0" tabSelected="1" topLeftCell="A2" zoomScale="85" zoomScaleNormal="85" workbookViewId="0">
      <pane xSplit="1" topLeftCell="B1" activePane="topRight" state="frozen"/>
      <selection pane="topRight" activeCell="AA27" sqref="AA27"/>
    </sheetView>
  </sheetViews>
  <sheetFormatPr defaultRowHeight="14.4" x14ac:dyDescent="0.3"/>
  <cols>
    <col min="1" max="1" width="15.109375" bestFit="1" customWidth="1"/>
    <col min="3" max="13" width="10.77734375" customWidth="1"/>
    <col min="25" max="25" width="12.44140625" bestFit="1" customWidth="1"/>
    <col min="26" max="26" width="10.77734375" customWidth="1"/>
    <col min="27" max="27" width="11.6640625" bestFit="1" customWidth="1"/>
  </cols>
  <sheetData>
    <row r="1" spans="1:27" x14ac:dyDescent="0.3">
      <c r="A1" t="s">
        <v>0</v>
      </c>
      <c r="C1" t="s">
        <v>1</v>
      </c>
      <c r="D1" t="s">
        <v>2</v>
      </c>
    </row>
    <row r="2" spans="1:27" ht="25.8" x14ac:dyDescent="0.5">
      <c r="A2" s="1" t="s">
        <v>3</v>
      </c>
      <c r="B2" t="s">
        <v>4</v>
      </c>
    </row>
    <row r="3" spans="1:27" x14ac:dyDescent="0.3">
      <c r="C3" s="2">
        <v>2013</v>
      </c>
      <c r="D3" s="2">
        <f>C3+1</f>
        <v>2014</v>
      </c>
      <c r="E3" s="2">
        <f t="shared" ref="E3:L3" si="0">D3+1</f>
        <v>2015</v>
      </c>
      <c r="F3" s="2">
        <f t="shared" si="0"/>
        <v>2016</v>
      </c>
      <c r="G3" s="2">
        <f t="shared" si="0"/>
        <v>2017</v>
      </c>
      <c r="H3" s="2">
        <f t="shared" si="0"/>
        <v>2018</v>
      </c>
      <c r="I3" s="2">
        <f t="shared" si="0"/>
        <v>2019</v>
      </c>
      <c r="J3" s="2">
        <f t="shared" si="0"/>
        <v>2020</v>
      </c>
      <c r="K3" s="2">
        <f t="shared" si="0"/>
        <v>2021</v>
      </c>
      <c r="L3" s="2">
        <f t="shared" si="0"/>
        <v>2022</v>
      </c>
      <c r="M3" s="3" t="s">
        <v>25</v>
      </c>
      <c r="N3" s="21">
        <f>L3+1</f>
        <v>2023</v>
      </c>
      <c r="O3" s="21">
        <f>N3+1</f>
        <v>2024</v>
      </c>
      <c r="P3" s="21">
        <f t="shared" ref="P3:W3" si="1">O3+1</f>
        <v>2025</v>
      </c>
      <c r="Q3" s="21">
        <f t="shared" si="1"/>
        <v>2026</v>
      </c>
      <c r="R3" s="21">
        <f t="shared" si="1"/>
        <v>2027</v>
      </c>
      <c r="S3" s="21">
        <f t="shared" si="1"/>
        <v>2028</v>
      </c>
      <c r="T3" s="21">
        <f t="shared" si="1"/>
        <v>2029</v>
      </c>
      <c r="U3" s="21">
        <f t="shared" si="1"/>
        <v>2030</v>
      </c>
      <c r="V3" s="21">
        <f t="shared" si="1"/>
        <v>2031</v>
      </c>
      <c r="W3" s="21">
        <f t="shared" si="1"/>
        <v>2032</v>
      </c>
      <c r="Y3" s="24" t="s">
        <v>49</v>
      </c>
      <c r="Z3" s="24"/>
      <c r="AA3" s="24"/>
    </row>
    <row r="4" spans="1:27" x14ac:dyDescent="0.3">
      <c r="A4" t="s">
        <v>5</v>
      </c>
      <c r="C4" s="11">
        <v>11778</v>
      </c>
      <c r="D4" s="11">
        <v>12702</v>
      </c>
      <c r="E4" s="11">
        <v>13880</v>
      </c>
      <c r="F4" s="11">
        <v>15082</v>
      </c>
      <c r="G4" s="11">
        <v>18358</v>
      </c>
      <c r="H4" s="11">
        <v>20609</v>
      </c>
      <c r="I4" s="11">
        <v>22977</v>
      </c>
      <c r="J4" s="11">
        <v>21846</v>
      </c>
      <c r="K4" s="11">
        <v>24105</v>
      </c>
      <c r="L4" s="11">
        <v>29310</v>
      </c>
      <c r="M4" s="17">
        <f>(L4/C4)^(1/($L$3-$C$3))-1</f>
        <v>0.1066080052795364</v>
      </c>
      <c r="Y4" s="25" t="s">
        <v>50</v>
      </c>
      <c r="Z4" s="32">
        <f>R3</f>
        <v>2027</v>
      </c>
      <c r="AA4" s="32">
        <f>W3</f>
        <v>2032</v>
      </c>
    </row>
    <row r="5" spans="1:27" x14ac:dyDescent="0.3">
      <c r="Y5" s="25" t="s">
        <v>8</v>
      </c>
      <c r="Z5" s="26">
        <f>R8</f>
        <v>31685.173740000017</v>
      </c>
      <c r="AA5" s="26">
        <f>W8</f>
        <v>51029.289160007444</v>
      </c>
    </row>
    <row r="6" spans="1:27" x14ac:dyDescent="0.3">
      <c r="A6" t="s">
        <v>6</v>
      </c>
      <c r="C6">
        <v>7239</v>
      </c>
      <c r="D6">
        <v>7697</v>
      </c>
      <c r="E6">
        <v>9064</v>
      </c>
      <c r="F6">
        <v>7883</v>
      </c>
      <c r="G6">
        <v>12144</v>
      </c>
      <c r="H6">
        <v>12954</v>
      </c>
      <c r="I6">
        <v>15001</v>
      </c>
      <c r="J6">
        <v>14081</v>
      </c>
      <c r="K6">
        <v>15804</v>
      </c>
      <c r="L6">
        <v>18813</v>
      </c>
      <c r="Y6" s="25" t="s">
        <v>51</v>
      </c>
      <c r="Z6" s="27">
        <v>20</v>
      </c>
      <c r="AA6" s="27"/>
    </row>
    <row r="7" spans="1:27" x14ac:dyDescent="0.3">
      <c r="A7" t="s">
        <v>7</v>
      </c>
      <c r="C7">
        <v>397</v>
      </c>
      <c r="D7" s="6">
        <v>435</v>
      </c>
      <c r="E7">
        <v>494</v>
      </c>
      <c r="F7">
        <v>502</v>
      </c>
      <c r="G7">
        <v>556</v>
      </c>
      <c r="H7">
        <v>602</v>
      </c>
      <c r="I7">
        <v>656</v>
      </c>
      <c r="J7">
        <v>767</v>
      </c>
      <c r="K7">
        <v>804</v>
      </c>
      <c r="L7">
        <v>861</v>
      </c>
      <c r="Y7" s="25" t="s">
        <v>15</v>
      </c>
      <c r="Z7" s="26">
        <f>Z5*$Z$6</f>
        <v>633703.47480000032</v>
      </c>
      <c r="AA7" s="26">
        <f t="shared" ref="AA7" si="2">AA5*$Z$6</f>
        <v>1020585.7832001488</v>
      </c>
    </row>
    <row r="8" spans="1:27" x14ac:dyDescent="0.3">
      <c r="A8" t="s">
        <v>8</v>
      </c>
      <c r="C8" s="11">
        <f>C6+C7</f>
        <v>7636</v>
      </c>
      <c r="D8" s="11">
        <f t="shared" ref="D8:L8" si="3">D6+D7</f>
        <v>8132</v>
      </c>
      <c r="E8" s="11">
        <f t="shared" si="3"/>
        <v>9558</v>
      </c>
      <c r="F8" s="11">
        <f t="shared" si="3"/>
        <v>8385</v>
      </c>
      <c r="G8" s="11">
        <f t="shared" si="3"/>
        <v>12700</v>
      </c>
      <c r="H8" s="11">
        <f t="shared" si="3"/>
        <v>13556</v>
      </c>
      <c r="I8" s="11">
        <f t="shared" si="3"/>
        <v>15657</v>
      </c>
      <c r="J8" s="11">
        <f t="shared" si="3"/>
        <v>14848</v>
      </c>
      <c r="K8" s="11">
        <f t="shared" si="3"/>
        <v>16608</v>
      </c>
      <c r="L8" s="11">
        <f t="shared" si="3"/>
        <v>19674</v>
      </c>
      <c r="M8" s="17"/>
      <c r="N8" s="11">
        <f>L8*(1+N9)</f>
        <v>21641.4</v>
      </c>
      <c r="O8" s="11">
        <f>N8*(1+O9)</f>
        <v>23805.540000000005</v>
      </c>
      <c r="P8" s="11">
        <f t="shared" ref="P8:W8" si="4">O8*(1+P9)</f>
        <v>26186.094000000008</v>
      </c>
      <c r="Q8" s="11">
        <f t="shared" si="4"/>
        <v>28804.703400000013</v>
      </c>
      <c r="R8" s="11">
        <f t="shared" si="4"/>
        <v>31685.173740000017</v>
      </c>
      <c r="S8" s="11">
        <f t="shared" si="4"/>
        <v>34853.691114000023</v>
      </c>
      <c r="T8" s="11">
        <f t="shared" si="4"/>
        <v>38339.060225400026</v>
      </c>
      <c r="U8" s="11">
        <f t="shared" si="4"/>
        <v>42172.966247940029</v>
      </c>
      <c r="V8" s="11">
        <f t="shared" si="4"/>
        <v>46390.262872734034</v>
      </c>
      <c r="W8" s="11">
        <f t="shared" si="4"/>
        <v>51029.289160007444</v>
      </c>
      <c r="Y8" s="25" t="s">
        <v>52</v>
      </c>
      <c r="Z8" s="31">
        <f>L15</f>
        <v>22450</v>
      </c>
      <c r="AA8" s="27"/>
    </row>
    <row r="9" spans="1:27" x14ac:dyDescent="0.3">
      <c r="A9" s="13" t="s">
        <v>48</v>
      </c>
      <c r="D9" s="14">
        <f>D8/C8-1</f>
        <v>6.4955474070193864E-2</v>
      </c>
      <c r="E9" s="14">
        <f t="shared" ref="E9:L9" si="5">E8/D8-1</f>
        <v>0.17535661583866213</v>
      </c>
      <c r="F9" s="14">
        <f t="shared" si="5"/>
        <v>-0.12272441933458877</v>
      </c>
      <c r="G9" s="14">
        <f t="shared" si="5"/>
        <v>0.51460942158616585</v>
      </c>
      <c r="H9" s="14">
        <f t="shared" si="5"/>
        <v>6.7401574803149567E-2</v>
      </c>
      <c r="I9" s="14">
        <f t="shared" si="5"/>
        <v>0.15498672174682793</v>
      </c>
      <c r="J9" s="14">
        <f t="shared" si="5"/>
        <v>-5.1670179472440458E-2</v>
      </c>
      <c r="K9" s="14">
        <f t="shared" si="5"/>
        <v>0.11853448275862077</v>
      </c>
      <c r="L9" s="14">
        <f t="shared" si="5"/>
        <v>0.18460982658959546</v>
      </c>
      <c r="M9" s="18">
        <f>AVERAGE(D9:L9)</f>
        <v>0.12289550206513182</v>
      </c>
      <c r="N9" s="22">
        <v>0.1</v>
      </c>
      <c r="O9" s="22">
        <v>0.1</v>
      </c>
      <c r="P9" s="22">
        <v>0.1</v>
      </c>
      <c r="Q9" s="22">
        <v>0.1</v>
      </c>
      <c r="R9" s="22">
        <v>0.1</v>
      </c>
      <c r="S9" s="22">
        <v>0.1</v>
      </c>
      <c r="T9" s="22">
        <v>0.1</v>
      </c>
      <c r="U9" s="22">
        <v>0.1</v>
      </c>
      <c r="V9" s="22">
        <v>0.1</v>
      </c>
      <c r="W9" s="22">
        <v>0.1</v>
      </c>
      <c r="Y9" s="25" t="s">
        <v>53</v>
      </c>
      <c r="Z9" s="31">
        <f>L13</f>
        <v>1449</v>
      </c>
      <c r="AA9" s="27"/>
    </row>
    <row r="10" spans="1:27" x14ac:dyDescent="0.3">
      <c r="Y10" s="25" t="s">
        <v>14</v>
      </c>
      <c r="Z10" s="26">
        <f>Z7-$Z$8+$Z$9</f>
        <v>612702.47480000032</v>
      </c>
      <c r="AA10" s="26">
        <f t="shared" ref="AA10" si="6">AA7-$Z$8+$Z$9</f>
        <v>999584.78320014884</v>
      </c>
    </row>
    <row r="11" spans="1:27" x14ac:dyDescent="0.3">
      <c r="A11" t="s">
        <v>9</v>
      </c>
      <c r="C11">
        <v>2897</v>
      </c>
      <c r="D11">
        <v>2794</v>
      </c>
      <c r="E11">
        <v>2724</v>
      </c>
      <c r="F11">
        <v>2678</v>
      </c>
      <c r="G11">
        <v>2654</v>
      </c>
      <c r="H11">
        <v>2586</v>
      </c>
      <c r="I11">
        <v>2529</v>
      </c>
      <c r="J11">
        <v>2479</v>
      </c>
      <c r="K11">
        <v>2443</v>
      </c>
      <c r="L11">
        <v>2391</v>
      </c>
      <c r="M11" s="17">
        <f>(L11/C11)^(1/($L$3-$C$3))-1</f>
        <v>-2.110347507558985E-2</v>
      </c>
      <c r="Y11" s="25" t="s">
        <v>54</v>
      </c>
      <c r="Z11" s="35">
        <f>L11</f>
        <v>2391</v>
      </c>
      <c r="AA11" s="35"/>
    </row>
    <row r="12" spans="1:27" x14ac:dyDescent="0.3">
      <c r="Y12" s="25" t="s">
        <v>23</v>
      </c>
      <c r="Z12" s="30">
        <f>Z10/$Z$11</f>
        <v>256.25364901714778</v>
      </c>
      <c r="AA12" s="30">
        <f t="shared" ref="AA12" si="7">AA10/$Z$11</f>
        <v>418.06138987877409</v>
      </c>
    </row>
    <row r="13" spans="1:27" x14ac:dyDescent="0.3">
      <c r="A13" t="s">
        <v>10</v>
      </c>
      <c r="C13" s="11">
        <v>49</v>
      </c>
      <c r="D13" s="11">
        <v>1498</v>
      </c>
      <c r="E13" s="11">
        <v>1072</v>
      </c>
      <c r="F13" s="11">
        <v>1027</v>
      </c>
      <c r="G13" s="11">
        <v>1031</v>
      </c>
      <c r="H13" s="11">
        <v>1491</v>
      </c>
      <c r="I13" s="11">
        <v>1491</v>
      </c>
      <c r="J13" s="11">
        <v>1205</v>
      </c>
      <c r="K13" s="11">
        <v>894</v>
      </c>
      <c r="L13" s="11">
        <v>1449</v>
      </c>
      <c r="M13" s="17">
        <f>(L13/C13)^(1/($L$3-$C$3))-1</f>
        <v>0.45690172045580213</v>
      </c>
    </row>
    <row r="14" spans="1:27" x14ac:dyDescent="0.3">
      <c r="Y14" s="24" t="s">
        <v>55</v>
      </c>
      <c r="Z14" s="24"/>
      <c r="AA14" s="24"/>
    </row>
    <row r="15" spans="1:27" x14ac:dyDescent="0.3">
      <c r="A15" t="s">
        <v>11</v>
      </c>
      <c r="C15" s="11">
        <v>0</v>
      </c>
      <c r="D15" s="11">
        <v>0</v>
      </c>
      <c r="E15" s="11">
        <v>0</v>
      </c>
      <c r="F15" s="11">
        <f>15882</f>
        <v>15882</v>
      </c>
      <c r="G15" s="11">
        <f>16619+1749</f>
        <v>18368</v>
      </c>
      <c r="H15" s="11">
        <v>16630</v>
      </c>
      <c r="I15" s="11">
        <v>16630</v>
      </c>
      <c r="J15" s="11">
        <f>16729+1</f>
        <v>16730</v>
      </c>
      <c r="K15" s="11">
        <f>19978+999</f>
        <v>20977</v>
      </c>
      <c r="L15" s="11">
        <f>20200+2250</f>
        <v>22450</v>
      </c>
      <c r="M15" s="17">
        <f>(L15/F15)^(1/($L$3-$F$3))-1</f>
        <v>5.9380217822310621E-2</v>
      </c>
      <c r="Y15" s="25" t="s">
        <v>50</v>
      </c>
      <c r="Z15" s="32">
        <f>Z4</f>
        <v>2027</v>
      </c>
      <c r="AA15" s="32">
        <f>AA4</f>
        <v>2032</v>
      </c>
    </row>
    <row r="16" spans="1:27" x14ac:dyDescent="0.3">
      <c r="Y16" s="25" t="s">
        <v>22</v>
      </c>
      <c r="Z16" s="26">
        <f>R37</f>
        <v>13.536771003764123</v>
      </c>
      <c r="AA16" s="26">
        <f>W37</f>
        <v>21.801105069272165</v>
      </c>
    </row>
    <row r="17" spans="1:28" x14ac:dyDescent="0.3">
      <c r="A17" s="6" t="s">
        <v>12</v>
      </c>
      <c r="B17" s="4"/>
      <c r="C17" s="4"/>
      <c r="D17" s="4"/>
      <c r="E17" s="4"/>
      <c r="F17" s="4"/>
      <c r="G17" s="4"/>
      <c r="H17" s="4"/>
      <c r="I17" s="4">
        <f>18216-I13</f>
        <v>16725</v>
      </c>
      <c r="J17" s="4">
        <f>20970-J13</f>
        <v>19765</v>
      </c>
      <c r="K17" s="4">
        <f>27607-K13</f>
        <v>26713</v>
      </c>
      <c r="L17" s="4">
        <f>30205-L13</f>
        <v>28756</v>
      </c>
      <c r="Y17" s="25" t="s">
        <v>24</v>
      </c>
      <c r="Z17" s="34">
        <v>4.4999999999999998E-2</v>
      </c>
      <c r="AA17" s="35"/>
    </row>
    <row r="18" spans="1:28" x14ac:dyDescent="0.3">
      <c r="A18" s="6" t="s">
        <v>26</v>
      </c>
      <c r="B18" s="4"/>
      <c r="C18" s="5" t="s">
        <v>27</v>
      </c>
      <c r="D18" s="4"/>
      <c r="E18" s="4"/>
      <c r="F18" s="4"/>
      <c r="G18" s="4"/>
      <c r="H18" s="4"/>
      <c r="I18" s="4"/>
      <c r="J18" s="4"/>
      <c r="K18" s="4"/>
      <c r="L18" s="4"/>
      <c r="T18" s="23"/>
      <c r="Y18" s="25" t="s">
        <v>23</v>
      </c>
      <c r="Z18" s="28">
        <f>Z16/$Z$17</f>
        <v>300.81713341698054</v>
      </c>
      <c r="AA18" s="28">
        <f t="shared" ref="AA18" si="8">AA16/$Z$17</f>
        <v>484.46900153938145</v>
      </c>
    </row>
    <row r="19" spans="1:28" x14ac:dyDescent="0.3">
      <c r="A19" s="6" t="s">
        <v>13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28" x14ac:dyDescent="0.3">
      <c r="Y20" s="24" t="s">
        <v>56</v>
      </c>
      <c r="Z20" s="24"/>
      <c r="AA20" s="24"/>
    </row>
    <row r="21" spans="1:28" x14ac:dyDescent="0.3">
      <c r="A21" t="s">
        <v>14</v>
      </c>
      <c r="C21" s="11">
        <f>C39*C11</f>
        <v>122995.13725766663</v>
      </c>
      <c r="D21" s="11">
        <f t="shared" ref="D21:L21" si="9">D39*D11</f>
        <v>147077.37585566664</v>
      </c>
      <c r="E21" s="11">
        <f t="shared" si="9"/>
        <v>182824.009651</v>
      </c>
      <c r="F21" s="11">
        <f t="shared" si="9"/>
        <v>198911.04029550002</v>
      </c>
      <c r="G21" s="11">
        <f t="shared" si="9"/>
        <v>252152.53997966665</v>
      </c>
      <c r="H21" s="11">
        <f t="shared" si="9"/>
        <v>334483.69239650003</v>
      </c>
      <c r="I21" s="11">
        <f t="shared" si="9"/>
        <v>415345.25805375003</v>
      </c>
      <c r="J21" s="11">
        <f t="shared" si="9"/>
        <v>470751.26325808332</v>
      </c>
      <c r="K21" s="11">
        <f t="shared" si="9"/>
        <v>529091.20769341663</v>
      </c>
      <c r="L21" s="11">
        <f t="shared" si="9"/>
        <v>496303.47522949992</v>
      </c>
      <c r="M21" s="17">
        <f>(L21/C21)^(1/($L$3-$C$3))-1</f>
        <v>0.16766350940654773</v>
      </c>
      <c r="Y21" s="25" t="s">
        <v>57</v>
      </c>
      <c r="Z21" s="25"/>
      <c r="AA21" s="26">
        <f>214</f>
        <v>214</v>
      </c>
      <c r="AB21" t="s">
        <v>58</v>
      </c>
    </row>
    <row r="22" spans="1:28" x14ac:dyDescent="0.3">
      <c r="Y22" s="25" t="s">
        <v>50</v>
      </c>
      <c r="Z22" s="32">
        <f>Z15</f>
        <v>2027</v>
      </c>
      <c r="AA22" s="32">
        <f t="shared" ref="AA22" si="10">AA15</f>
        <v>2032</v>
      </c>
    </row>
    <row r="23" spans="1:28" x14ac:dyDescent="0.3">
      <c r="A23" t="s">
        <v>15</v>
      </c>
      <c r="C23" s="11">
        <f>C21-C13+C15</f>
        <v>122946.13725766663</v>
      </c>
      <c r="D23" s="11">
        <f t="shared" ref="D23:L23" si="11">D21-D13+D15</f>
        <v>145579.37585566664</v>
      </c>
      <c r="E23" s="11">
        <f t="shared" si="11"/>
        <v>181752.009651</v>
      </c>
      <c r="F23" s="11">
        <f t="shared" si="11"/>
        <v>213766.04029550002</v>
      </c>
      <c r="G23" s="11">
        <f t="shared" si="11"/>
        <v>269489.53997966665</v>
      </c>
      <c r="H23" s="11">
        <f t="shared" si="11"/>
        <v>349622.69239650003</v>
      </c>
      <c r="I23" s="11">
        <f t="shared" si="11"/>
        <v>430484.25805375003</v>
      </c>
      <c r="J23" s="11">
        <f t="shared" si="11"/>
        <v>486276.26325808332</v>
      </c>
      <c r="K23" s="11">
        <f t="shared" si="11"/>
        <v>549174.20769341663</v>
      </c>
      <c r="L23" s="11">
        <f t="shared" si="11"/>
        <v>517304.47522949992</v>
      </c>
      <c r="M23" s="17">
        <f>(L23/C23)^(1/($L$3-$C$3))-1</f>
        <v>0.17310481224175756</v>
      </c>
      <c r="Y23" s="25" t="s">
        <v>59</v>
      </c>
      <c r="Z23" s="29">
        <f>Z12</f>
        <v>256.25364901714778</v>
      </c>
      <c r="AA23" s="29">
        <f t="shared" ref="AA23" si="12">AA12</f>
        <v>418.06138987877409</v>
      </c>
    </row>
    <row r="24" spans="1:28" x14ac:dyDescent="0.3">
      <c r="Y24" s="25" t="s">
        <v>60</v>
      </c>
      <c r="Z24" s="29">
        <f>Z18</f>
        <v>300.81713341698054</v>
      </c>
      <c r="AA24" s="29">
        <f t="shared" ref="AA24" si="13">AA18</f>
        <v>484.46900153938145</v>
      </c>
    </row>
    <row r="25" spans="1:28" x14ac:dyDescent="0.3">
      <c r="A25" t="s">
        <v>16</v>
      </c>
      <c r="C25" s="15">
        <f>C23/C8</f>
        <v>16.1008561102235</v>
      </c>
      <c r="D25" s="15">
        <f t="shared" ref="D25:L25" si="14">D23/D8</f>
        <v>17.902038349196587</v>
      </c>
      <c r="E25" s="15">
        <f t="shared" si="14"/>
        <v>19.015694669491527</v>
      </c>
      <c r="F25" s="15">
        <f t="shared" si="14"/>
        <v>25.49386288556947</v>
      </c>
      <c r="G25" s="15">
        <f t="shared" si="14"/>
        <v>21.219648817296587</v>
      </c>
      <c r="H25" s="15">
        <f t="shared" si="14"/>
        <v>25.790992357369433</v>
      </c>
      <c r="I25" s="15">
        <f t="shared" si="14"/>
        <v>27.494683403828962</v>
      </c>
      <c r="J25" s="15">
        <f t="shared" si="14"/>
        <v>32.750287126756689</v>
      </c>
      <c r="K25" s="15">
        <f t="shared" si="14"/>
        <v>33.066847765740405</v>
      </c>
      <c r="L25" s="15">
        <f t="shared" si="14"/>
        <v>26.293812911939611</v>
      </c>
      <c r="M25" s="19">
        <f>AVERAGE(C25:L25)</f>
        <v>24.51287243974128</v>
      </c>
      <c r="Y25" s="25" t="s">
        <v>61</v>
      </c>
      <c r="Z25" s="33">
        <f>AVERAGE(Z23:Z24)</f>
        <v>278.53539121706416</v>
      </c>
      <c r="AA25" s="33">
        <f t="shared" ref="AA25" si="15">AVERAGE(AA23:AA24)</f>
        <v>451.26519570907777</v>
      </c>
    </row>
    <row r="26" spans="1:28" x14ac:dyDescent="0.3">
      <c r="Y26" s="25" t="s">
        <v>62</v>
      </c>
      <c r="Z26" s="36">
        <f>(Z25/AA21)^(1/5)-1</f>
        <v>5.4127934622119511E-2</v>
      </c>
      <c r="AA26" s="36">
        <f>(AA25/AA21)^(1/10)-1</f>
        <v>7.7461613539717034E-2</v>
      </c>
    </row>
    <row r="27" spans="1:28" x14ac:dyDescent="0.3">
      <c r="A27" t="s">
        <v>17</v>
      </c>
      <c r="C27" s="15">
        <f>C15/C8</f>
        <v>0</v>
      </c>
      <c r="D27" s="15">
        <f t="shared" ref="D27:L27" si="16">D15/D8</f>
        <v>0</v>
      </c>
      <c r="E27" s="15">
        <f t="shared" si="16"/>
        <v>0</v>
      </c>
      <c r="F27" s="15">
        <f t="shared" si="16"/>
        <v>1.8940966010733453</v>
      </c>
      <c r="G27" s="15">
        <f t="shared" si="16"/>
        <v>1.4462992125984251</v>
      </c>
      <c r="H27" s="15">
        <f t="shared" si="16"/>
        <v>1.2267630569489525</v>
      </c>
      <c r="I27" s="15">
        <f t="shared" si="16"/>
        <v>1.0621447275978795</v>
      </c>
      <c r="J27" s="15">
        <f t="shared" si="16"/>
        <v>1.1267510775862069</v>
      </c>
      <c r="K27" s="15">
        <f t="shared" si="16"/>
        <v>1.2630659922928709</v>
      </c>
      <c r="L27" s="15">
        <f t="shared" si="16"/>
        <v>1.1410999288400936</v>
      </c>
      <c r="M27" s="19">
        <f>AVERAGE(C27:L27)</f>
        <v>0.91602205969377748</v>
      </c>
    </row>
    <row r="29" spans="1:28" x14ac:dyDescent="0.3">
      <c r="A29" t="s">
        <v>18</v>
      </c>
      <c r="C29" s="11">
        <v>3022</v>
      </c>
      <c r="D29" s="11">
        <v>7205</v>
      </c>
      <c r="E29" s="11">
        <v>6584</v>
      </c>
      <c r="F29" s="11">
        <v>5574</v>
      </c>
      <c r="G29" s="11">
        <v>9317</v>
      </c>
      <c r="H29" s="11">
        <v>12941</v>
      </c>
      <c r="I29" s="11">
        <v>12784</v>
      </c>
      <c r="J29" s="11">
        <v>10440</v>
      </c>
      <c r="K29" s="11">
        <v>15227</v>
      </c>
      <c r="L29" s="11">
        <v>18849</v>
      </c>
      <c r="M29" s="17">
        <f>(L29/C29)^(1/($L$3-$C$3))-1</f>
        <v>0.2255545607964331</v>
      </c>
    </row>
    <row r="31" spans="1:28" x14ac:dyDescent="0.3">
      <c r="A31" t="s">
        <v>19</v>
      </c>
      <c r="C31" s="11">
        <v>-471</v>
      </c>
      <c r="D31" s="11">
        <v>-553</v>
      </c>
      <c r="E31" s="11">
        <v>-404</v>
      </c>
      <c r="F31" s="11">
        <v>-523</v>
      </c>
      <c r="G31" s="11">
        <v>-695</v>
      </c>
      <c r="H31" s="11">
        <v>-718</v>
      </c>
      <c r="I31" s="11">
        <v>-756</v>
      </c>
      <c r="J31" s="11">
        <v>-736</v>
      </c>
      <c r="K31" s="11">
        <v>-705</v>
      </c>
      <c r="L31" s="11">
        <v>-970</v>
      </c>
    </row>
    <row r="33" spans="1:23" x14ac:dyDescent="0.3">
      <c r="A33" t="s">
        <v>20</v>
      </c>
      <c r="C33" s="11">
        <v>-6</v>
      </c>
      <c r="D33" s="11">
        <v>0</v>
      </c>
      <c r="E33" s="11">
        <v>0</v>
      </c>
      <c r="F33" s="11">
        <v>15971</v>
      </c>
      <c r="G33" s="11">
        <v>2488</v>
      </c>
      <c r="H33" s="11">
        <v>-1750</v>
      </c>
      <c r="I33" s="11">
        <v>0</v>
      </c>
      <c r="J33" s="11">
        <v>7212</v>
      </c>
      <c r="K33" s="11">
        <v>-3000</v>
      </c>
      <c r="L33" s="11">
        <v>2218</v>
      </c>
    </row>
    <row r="35" spans="1:23" x14ac:dyDescent="0.3">
      <c r="A35" t="s">
        <v>21</v>
      </c>
      <c r="C35" s="11">
        <f t="shared" ref="C35:K35" si="17">C29+C31+C33</f>
        <v>2545</v>
      </c>
      <c r="D35" s="11">
        <f t="shared" si="17"/>
        <v>6652</v>
      </c>
      <c r="E35" s="11">
        <f t="shared" si="17"/>
        <v>6180</v>
      </c>
      <c r="F35" s="11">
        <f t="shared" si="17"/>
        <v>21022</v>
      </c>
      <c r="G35" s="11">
        <f t="shared" si="17"/>
        <v>11110</v>
      </c>
      <c r="H35" s="11">
        <f t="shared" si="17"/>
        <v>10473</v>
      </c>
      <c r="I35" s="11">
        <f t="shared" si="17"/>
        <v>12028</v>
      </c>
      <c r="J35" s="11">
        <f t="shared" si="17"/>
        <v>16916</v>
      </c>
      <c r="K35" s="11">
        <f t="shared" si="17"/>
        <v>11522</v>
      </c>
      <c r="L35" s="11">
        <f>L29+L31+L33</f>
        <v>20097</v>
      </c>
      <c r="M35" s="17">
        <f>(L35/C35)^(1/($L$3-$C$3))-1</f>
        <v>0.25810224820115812</v>
      </c>
    </row>
    <row r="37" spans="1:23" x14ac:dyDescent="0.3">
      <c r="A37" t="s">
        <v>22</v>
      </c>
      <c r="C37" s="16">
        <f t="shared" ref="C37:K37" si="18">C35/C11</f>
        <v>0.87849499482222992</v>
      </c>
      <c r="D37" s="16">
        <f t="shared" si="18"/>
        <v>2.3808160343593414</v>
      </c>
      <c r="E37" s="16">
        <f t="shared" si="18"/>
        <v>2.2687224669603525</v>
      </c>
      <c r="F37" s="16">
        <f t="shared" si="18"/>
        <v>7.8498879761015683</v>
      </c>
      <c r="G37" s="16">
        <f t="shared" si="18"/>
        <v>4.1861341371514698</v>
      </c>
      <c r="H37" s="16">
        <f t="shared" si="18"/>
        <v>4.0498839907192572</v>
      </c>
      <c r="I37" s="16">
        <f t="shared" si="18"/>
        <v>4.7560300514037168</v>
      </c>
      <c r="J37" s="16">
        <f t="shared" si="18"/>
        <v>6.8237192416296892</v>
      </c>
      <c r="K37" s="16">
        <f t="shared" si="18"/>
        <v>4.7163323782234956</v>
      </c>
      <c r="L37" s="16">
        <f>L35/L11</f>
        <v>8.4052697616060232</v>
      </c>
      <c r="M37" s="17">
        <f>(L37/C37)^(1/($L$3-$C$3))-1</f>
        <v>0.28522496113499662</v>
      </c>
      <c r="N37" s="11">
        <f>L37*(1+N38)</f>
        <v>9.2457967377666268</v>
      </c>
      <c r="O37" s="11">
        <f>N37*(1+O38)</f>
        <v>10.170376411543291</v>
      </c>
      <c r="P37" s="11">
        <f t="shared" ref="P37" si="19">O37*(1+P38)</f>
        <v>11.187414052697621</v>
      </c>
      <c r="Q37" s="11">
        <f t="shared" ref="Q37" si="20">P37*(1+Q38)</f>
        <v>12.306155457967384</v>
      </c>
      <c r="R37" s="11">
        <f t="shared" ref="R37" si="21">Q37*(1+R38)</f>
        <v>13.536771003764123</v>
      </c>
      <c r="S37" s="11">
        <f t="shared" ref="S37" si="22">R37*(1+S38)</f>
        <v>14.890448104140537</v>
      </c>
      <c r="T37" s="11">
        <f t="shared" ref="T37" si="23">S37*(1+T38)</f>
        <v>16.379492914554593</v>
      </c>
      <c r="U37" s="11">
        <f t="shared" ref="U37" si="24">T37*(1+U38)</f>
        <v>18.017442206010053</v>
      </c>
      <c r="V37" s="11">
        <f t="shared" ref="V37" si="25">U37*(1+V38)</f>
        <v>19.819186426611058</v>
      </c>
      <c r="W37" s="11">
        <f t="shared" ref="W37" si="26">V37*(1+W38)</f>
        <v>21.801105069272165</v>
      </c>
    </row>
    <row r="38" spans="1:23" x14ac:dyDescent="0.3">
      <c r="N38" s="22">
        <v>0.1</v>
      </c>
      <c r="O38" s="22">
        <v>0.1</v>
      </c>
      <c r="P38" s="22">
        <v>0.1</v>
      </c>
      <c r="Q38" s="22">
        <v>0.1</v>
      </c>
      <c r="R38" s="22">
        <v>0.1</v>
      </c>
      <c r="S38" s="22">
        <v>0.1</v>
      </c>
      <c r="T38" s="22">
        <v>0.1</v>
      </c>
      <c r="U38" s="22">
        <v>0.1</v>
      </c>
      <c r="V38" s="22">
        <v>0.1</v>
      </c>
      <c r="W38" s="22">
        <v>0.1</v>
      </c>
    </row>
    <row r="39" spans="1:23" x14ac:dyDescent="0.3">
      <c r="A39" t="s">
        <v>23</v>
      </c>
      <c r="C39" s="11">
        <v>42.456036333333323</v>
      </c>
      <c r="D39" s="11">
        <v>52.640435166666663</v>
      </c>
      <c r="E39" s="11">
        <v>67.116009416666671</v>
      </c>
      <c r="F39" s="11">
        <v>74.275967250000008</v>
      </c>
      <c r="G39" s="11">
        <v>95.008492833333321</v>
      </c>
      <c r="H39" s="11">
        <v>129.34404191666667</v>
      </c>
      <c r="I39" s="11">
        <v>164.23300041666667</v>
      </c>
      <c r="J39" s="11">
        <v>189.89562858333332</v>
      </c>
      <c r="K39" s="11">
        <v>216.57437891666666</v>
      </c>
      <c r="L39" s="11">
        <v>207.5715078333333</v>
      </c>
      <c r="M39" s="17">
        <f>(L39/C39)^(1/($L$3-$C$3))-1</f>
        <v>0.19283650485603054</v>
      </c>
    </row>
    <row r="41" spans="1:23" x14ac:dyDescent="0.3">
      <c r="A41" t="s">
        <v>24</v>
      </c>
      <c r="C41" s="12">
        <f>C37/C39</f>
        <v>2.0691874953303189E-2</v>
      </c>
      <c r="D41" s="12">
        <f t="shared" ref="D41:L41" si="27">D37/D39</f>
        <v>4.5227894237981868E-2</v>
      </c>
      <c r="E41" s="12">
        <f t="shared" si="27"/>
        <v>3.3803000009666385E-2</v>
      </c>
      <c r="F41" s="12">
        <f t="shared" si="27"/>
        <v>0.10568543590526676</v>
      </c>
      <c r="G41" s="12">
        <f t="shared" si="27"/>
        <v>4.4060630921647276E-2</v>
      </c>
      <c r="H41" s="12">
        <f t="shared" si="27"/>
        <v>3.1310943517046594E-2</v>
      </c>
      <c r="I41" s="12">
        <f t="shared" si="27"/>
        <v>2.8959040140151188E-2</v>
      </c>
      <c r="J41" s="12">
        <f t="shared" si="27"/>
        <v>3.5934051207688465E-2</v>
      </c>
      <c r="K41" s="12">
        <f t="shared" si="27"/>
        <v>2.1776963654773968E-2</v>
      </c>
      <c r="L41" s="12">
        <f t="shared" si="27"/>
        <v>4.0493369486697177E-2</v>
      </c>
      <c r="M41" s="20">
        <f>AVERAGE(C41:L41)</f>
        <v>4.0794320403422284E-2</v>
      </c>
    </row>
  </sheetData>
  <mergeCells count="8">
    <mergeCell ref="Z17:AA17"/>
    <mergeCell ref="Y20:AA20"/>
    <mergeCell ref="Y3:AA3"/>
    <mergeCell ref="Z6:AA6"/>
    <mergeCell ref="Z8:AA8"/>
    <mergeCell ref="Z9:AA9"/>
    <mergeCell ref="Z11:AA11"/>
    <mergeCell ref="Y14:AA1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4A519-4079-4BDE-960A-4EC919335053}">
  <dimension ref="A3:M20"/>
  <sheetViews>
    <sheetView workbookViewId="0">
      <selection activeCell="D11" sqref="D11:M11"/>
    </sheetView>
  </sheetViews>
  <sheetFormatPr defaultRowHeight="14.4" x14ac:dyDescent="0.3"/>
  <cols>
    <col min="1" max="1" width="12.5546875" bestFit="1" customWidth="1"/>
    <col min="2" max="2" width="18.5546875" bestFit="1" customWidth="1"/>
  </cols>
  <sheetData>
    <row r="3" spans="1:13" x14ac:dyDescent="0.3">
      <c r="A3" s="8" t="s">
        <v>29</v>
      </c>
      <c r="B3" t="s">
        <v>47</v>
      </c>
    </row>
    <row r="4" spans="1:13" x14ac:dyDescent="0.3">
      <c r="A4" s="9" t="s">
        <v>31</v>
      </c>
      <c r="B4" s="10">
        <v>15.574850555555551</v>
      </c>
    </row>
    <row r="5" spans="1:13" x14ac:dyDescent="0.3">
      <c r="A5" s="9" t="s">
        <v>32</v>
      </c>
      <c r="B5" s="10">
        <v>15.24403175</v>
      </c>
    </row>
    <row r="6" spans="1:13" x14ac:dyDescent="0.3">
      <c r="A6" s="9" t="s">
        <v>33</v>
      </c>
      <c r="B6" s="10">
        <v>17.697071166666664</v>
      </c>
    </row>
    <row r="7" spans="1:13" x14ac:dyDescent="0.3">
      <c r="A7" s="9" t="s">
        <v>34</v>
      </c>
      <c r="B7" s="10">
        <v>19.368821083333334</v>
      </c>
    </row>
    <row r="8" spans="1:13" x14ac:dyDescent="0.3">
      <c r="A8" s="9" t="s">
        <v>35</v>
      </c>
      <c r="B8" s="10">
        <v>29.516870166666667</v>
      </c>
    </row>
    <row r="9" spans="1:13" x14ac:dyDescent="0.3">
      <c r="A9" s="9" t="s">
        <v>36</v>
      </c>
      <c r="B9" s="10">
        <v>42.456036333333323</v>
      </c>
    </row>
    <row r="10" spans="1:13" x14ac:dyDescent="0.3">
      <c r="A10" s="9" t="s">
        <v>37</v>
      </c>
      <c r="B10" s="10">
        <v>52.640435166666663</v>
      </c>
    </row>
    <row r="11" spans="1:13" x14ac:dyDescent="0.3">
      <c r="A11" s="9" t="s">
        <v>38</v>
      </c>
      <c r="B11" s="10">
        <v>67.116009416666671</v>
      </c>
      <c r="D11" cm="1">
        <f t="array" ref="D11:M11">TRANSPOSE(B9:B18)</f>
        <v>42.456036333333323</v>
      </c>
      <c r="E11">
        <v>52.640435166666663</v>
      </c>
      <c r="F11">
        <v>67.116009416666671</v>
      </c>
      <c r="G11">
        <v>74.275967250000008</v>
      </c>
      <c r="H11">
        <v>95.008492833333321</v>
      </c>
      <c r="I11">
        <v>129.34404191666667</v>
      </c>
      <c r="J11">
        <v>164.23300041666667</v>
      </c>
      <c r="K11">
        <v>189.89562858333332</v>
      </c>
      <c r="L11">
        <v>216.57437891666666</v>
      </c>
      <c r="M11">
        <v>207.5715078333333</v>
      </c>
    </row>
    <row r="12" spans="1:13" x14ac:dyDescent="0.3">
      <c r="A12" s="9" t="s">
        <v>39</v>
      </c>
      <c r="B12" s="10">
        <v>74.275967250000008</v>
      </c>
    </row>
    <row r="13" spans="1:13" x14ac:dyDescent="0.3">
      <c r="A13" s="9" t="s">
        <v>40</v>
      </c>
      <c r="B13" s="10">
        <v>95.008492833333321</v>
      </c>
    </row>
    <row r="14" spans="1:13" x14ac:dyDescent="0.3">
      <c r="A14" s="9" t="s">
        <v>41</v>
      </c>
      <c r="B14" s="10">
        <v>129.34404191666667</v>
      </c>
    </row>
    <row r="15" spans="1:13" x14ac:dyDescent="0.3">
      <c r="A15" s="9" t="s">
        <v>42</v>
      </c>
      <c r="B15" s="10">
        <v>164.23300041666667</v>
      </c>
    </row>
    <row r="16" spans="1:13" x14ac:dyDescent="0.3">
      <c r="A16" s="9" t="s">
        <v>43</v>
      </c>
      <c r="B16" s="10">
        <v>189.89562858333332</v>
      </c>
    </row>
    <row r="17" spans="1:2" x14ac:dyDescent="0.3">
      <c r="A17" s="9" t="s">
        <v>44</v>
      </c>
      <c r="B17" s="10">
        <v>216.57437891666666</v>
      </c>
    </row>
    <row r="18" spans="1:2" x14ac:dyDescent="0.3">
      <c r="A18" s="9" t="s">
        <v>45</v>
      </c>
      <c r="B18" s="10">
        <v>207.5715078333333</v>
      </c>
    </row>
    <row r="19" spans="1:2" x14ac:dyDescent="0.3">
      <c r="A19" s="9" t="s">
        <v>46</v>
      </c>
      <c r="B19" s="10">
        <v>220.50251400000002</v>
      </c>
    </row>
    <row r="20" spans="1:2" x14ac:dyDescent="0.3">
      <c r="A20" s="9" t="s">
        <v>30</v>
      </c>
      <c r="B20" s="10">
        <v>93.223708425414358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70DC-6A67-41C1-9BA5-0B3A126787A9}">
  <dimension ref="A1:B182"/>
  <sheetViews>
    <sheetView workbookViewId="0">
      <selection activeCell="B3" sqref="B3"/>
    </sheetView>
  </sheetViews>
  <sheetFormatPr defaultRowHeight="14.4" x14ac:dyDescent="0.3"/>
  <sheetData>
    <row r="1" spans="1:2" x14ac:dyDescent="0.3">
      <c r="A1" t="s">
        <v>1</v>
      </c>
      <c r="B1" t="s">
        <v>28</v>
      </c>
    </row>
    <row r="2" spans="1:2" x14ac:dyDescent="0.3">
      <c r="A2" s="7">
        <v>39539</v>
      </c>
      <c r="B2">
        <v>18.798615000000002</v>
      </c>
    </row>
    <row r="3" spans="1:2" x14ac:dyDescent="0.3">
      <c r="A3" s="7">
        <v>39569</v>
      </c>
      <c r="B3">
        <v>19.454139999999999</v>
      </c>
    </row>
    <row r="4" spans="1:2" x14ac:dyDescent="0.3">
      <c r="A4" s="7">
        <v>39600</v>
      </c>
      <c r="B4">
        <v>18.316528000000002</v>
      </c>
    </row>
    <row r="5" spans="1:2" x14ac:dyDescent="0.3">
      <c r="A5" s="7">
        <v>39630</v>
      </c>
      <c r="B5">
        <v>16.458075999999998</v>
      </c>
    </row>
    <row r="6" spans="1:2" x14ac:dyDescent="0.3">
      <c r="A6" s="7">
        <v>39661</v>
      </c>
      <c r="B6">
        <v>17.097839</v>
      </c>
    </row>
    <row r="7" spans="1:2" x14ac:dyDescent="0.3">
      <c r="A7" s="7">
        <v>39692</v>
      </c>
      <c r="B7">
        <v>13.849171</v>
      </c>
    </row>
    <row r="8" spans="1:2" x14ac:dyDescent="0.3">
      <c r="A8" s="7">
        <v>39722</v>
      </c>
      <c r="B8">
        <v>12.486589</v>
      </c>
    </row>
    <row r="9" spans="1:2" x14ac:dyDescent="0.3">
      <c r="A9" s="7">
        <v>39753</v>
      </c>
      <c r="B9">
        <v>11.857182999999999</v>
      </c>
    </row>
    <row r="10" spans="1:2" x14ac:dyDescent="0.3">
      <c r="A10" s="7">
        <v>39783</v>
      </c>
      <c r="B10">
        <v>11.855513999999999</v>
      </c>
    </row>
    <row r="11" spans="1:2" x14ac:dyDescent="0.3">
      <c r="A11" s="7">
        <v>39814</v>
      </c>
      <c r="B11">
        <v>11.154802999999999</v>
      </c>
    </row>
    <row r="12" spans="1:2" x14ac:dyDescent="0.3">
      <c r="A12" s="7">
        <v>39845</v>
      </c>
      <c r="B12">
        <v>12.81842</v>
      </c>
    </row>
    <row r="13" spans="1:2" x14ac:dyDescent="0.3">
      <c r="A13" s="7">
        <v>39873</v>
      </c>
      <c r="B13">
        <v>12.592074999999999</v>
      </c>
    </row>
    <row r="14" spans="1:2" x14ac:dyDescent="0.3">
      <c r="A14" s="7">
        <v>39904</v>
      </c>
      <c r="B14">
        <v>14.711888</v>
      </c>
    </row>
    <row r="15" spans="1:2" x14ac:dyDescent="0.3">
      <c r="A15" s="7">
        <v>39934</v>
      </c>
      <c r="B15">
        <v>15.334694000000001</v>
      </c>
    </row>
    <row r="16" spans="1:2" x14ac:dyDescent="0.3">
      <c r="A16" s="7">
        <v>39965</v>
      </c>
      <c r="B16">
        <v>14.123141</v>
      </c>
    </row>
    <row r="17" spans="1:2" x14ac:dyDescent="0.3">
      <c r="A17" s="7">
        <v>39995</v>
      </c>
      <c r="B17">
        <v>14.849033</v>
      </c>
    </row>
    <row r="18" spans="1:2" x14ac:dyDescent="0.3">
      <c r="A18" s="7">
        <v>40026</v>
      </c>
      <c r="B18">
        <v>16.128409999999999</v>
      </c>
    </row>
    <row r="19" spans="1:2" x14ac:dyDescent="0.3">
      <c r="A19" s="7">
        <v>40057</v>
      </c>
      <c r="B19">
        <v>15.701034</v>
      </c>
    </row>
    <row r="20" spans="1:2" x14ac:dyDescent="0.3">
      <c r="A20" s="7">
        <v>40087</v>
      </c>
      <c r="B20">
        <v>17.211842000000001</v>
      </c>
    </row>
    <row r="21" spans="1:2" x14ac:dyDescent="0.3">
      <c r="A21" s="7">
        <v>40118</v>
      </c>
      <c r="B21">
        <v>18.402312999999999</v>
      </c>
    </row>
    <row r="22" spans="1:2" x14ac:dyDescent="0.3">
      <c r="A22" s="7">
        <v>40148</v>
      </c>
      <c r="B22">
        <v>19.900728000000001</v>
      </c>
    </row>
    <row r="23" spans="1:2" x14ac:dyDescent="0.3">
      <c r="A23" s="7">
        <v>40179</v>
      </c>
      <c r="B23">
        <v>18.665188000000001</v>
      </c>
    </row>
    <row r="24" spans="1:2" x14ac:dyDescent="0.3">
      <c r="A24" s="7">
        <v>40210</v>
      </c>
      <c r="B24">
        <v>19.404693999999999</v>
      </c>
    </row>
    <row r="25" spans="1:2" x14ac:dyDescent="0.3">
      <c r="A25" s="7">
        <v>40238</v>
      </c>
      <c r="B25">
        <v>20.744198000000001</v>
      </c>
    </row>
    <row r="26" spans="1:2" x14ac:dyDescent="0.3">
      <c r="A26" s="7">
        <v>40269</v>
      </c>
      <c r="B26">
        <v>20.561883999999999</v>
      </c>
    </row>
    <row r="27" spans="1:2" x14ac:dyDescent="0.3">
      <c r="A27" s="7">
        <v>40299</v>
      </c>
      <c r="B27">
        <v>16.512405000000001</v>
      </c>
    </row>
    <row r="28" spans="1:2" x14ac:dyDescent="0.3">
      <c r="A28" s="7">
        <v>40330</v>
      </c>
      <c r="B28">
        <v>16.146704</v>
      </c>
    </row>
    <row r="29" spans="1:2" x14ac:dyDescent="0.3">
      <c r="A29" s="7">
        <v>40360</v>
      </c>
      <c r="B29">
        <v>16.740084</v>
      </c>
    </row>
    <row r="30" spans="1:2" x14ac:dyDescent="0.3">
      <c r="A30" s="7">
        <v>40391</v>
      </c>
      <c r="B30">
        <v>15.742758</v>
      </c>
    </row>
    <row r="31" spans="1:2" x14ac:dyDescent="0.3">
      <c r="A31" s="7">
        <v>40422</v>
      </c>
      <c r="B31">
        <v>16.975960000000001</v>
      </c>
    </row>
    <row r="32" spans="1:2" x14ac:dyDescent="0.3">
      <c r="A32" s="7">
        <v>40452</v>
      </c>
      <c r="B32">
        <v>17.867508000000001</v>
      </c>
    </row>
    <row r="33" spans="1:2" x14ac:dyDescent="0.3">
      <c r="A33" s="7">
        <v>40483</v>
      </c>
      <c r="B33">
        <v>16.882235999999999</v>
      </c>
    </row>
    <row r="34" spans="1:2" x14ac:dyDescent="0.3">
      <c r="A34" s="7">
        <v>40513</v>
      </c>
      <c r="B34">
        <v>16.121234999999999</v>
      </c>
    </row>
    <row r="35" spans="1:2" x14ac:dyDescent="0.3">
      <c r="A35" s="7">
        <v>40544</v>
      </c>
      <c r="B35">
        <v>15.999829999999999</v>
      </c>
    </row>
    <row r="36" spans="1:2" x14ac:dyDescent="0.3">
      <c r="A36" s="7">
        <v>40575</v>
      </c>
      <c r="B36">
        <v>16.732821999999999</v>
      </c>
    </row>
    <row r="37" spans="1:2" x14ac:dyDescent="0.3">
      <c r="A37" s="7">
        <v>40603</v>
      </c>
      <c r="B37">
        <v>16.897373000000002</v>
      </c>
    </row>
    <row r="38" spans="1:2" x14ac:dyDescent="0.3">
      <c r="A38" s="7">
        <v>40634</v>
      </c>
      <c r="B38">
        <v>17.930225</v>
      </c>
    </row>
    <row r="39" spans="1:2" x14ac:dyDescent="0.3">
      <c r="A39" s="7">
        <v>40664</v>
      </c>
      <c r="B39">
        <v>18.605015000000002</v>
      </c>
    </row>
    <row r="40" spans="1:2" x14ac:dyDescent="0.3">
      <c r="A40" s="7">
        <v>40695</v>
      </c>
      <c r="B40">
        <v>19.375533999999998</v>
      </c>
    </row>
    <row r="41" spans="1:2" x14ac:dyDescent="0.3">
      <c r="A41" s="7">
        <v>40725</v>
      </c>
      <c r="B41">
        <v>19.669875999999999</v>
      </c>
    </row>
    <row r="42" spans="1:2" x14ac:dyDescent="0.3">
      <c r="A42" s="7">
        <v>40756</v>
      </c>
      <c r="B42">
        <v>20.207961999999998</v>
      </c>
    </row>
    <row r="43" spans="1:2" x14ac:dyDescent="0.3">
      <c r="A43" s="7">
        <v>40787</v>
      </c>
      <c r="B43">
        <v>19.745774999999998</v>
      </c>
    </row>
    <row r="44" spans="1:2" x14ac:dyDescent="0.3">
      <c r="A44" s="7">
        <v>40817</v>
      </c>
      <c r="B44">
        <v>21.482634999999998</v>
      </c>
    </row>
    <row r="45" spans="1:2" x14ac:dyDescent="0.3">
      <c r="A45" s="7">
        <v>40848</v>
      </c>
      <c r="B45">
        <v>22.337240000000001</v>
      </c>
    </row>
    <row r="46" spans="1:2" x14ac:dyDescent="0.3">
      <c r="A46" s="7">
        <v>40878</v>
      </c>
      <c r="B46">
        <v>23.441566000000002</v>
      </c>
    </row>
    <row r="47" spans="1:2" x14ac:dyDescent="0.3">
      <c r="A47" s="7">
        <v>40909</v>
      </c>
      <c r="B47">
        <v>23.236080000000001</v>
      </c>
    </row>
    <row r="48" spans="1:2" x14ac:dyDescent="0.3">
      <c r="A48" s="7">
        <v>40940</v>
      </c>
      <c r="B48">
        <v>26.867885999999999</v>
      </c>
    </row>
    <row r="49" spans="1:2" x14ac:dyDescent="0.3">
      <c r="A49" s="7">
        <v>40969</v>
      </c>
      <c r="B49">
        <v>27.296330999999999</v>
      </c>
    </row>
    <row r="50" spans="1:2" x14ac:dyDescent="0.3">
      <c r="A50" s="7">
        <v>41000</v>
      </c>
      <c r="B50">
        <v>28.448326000000002</v>
      </c>
    </row>
    <row r="51" spans="1:2" x14ac:dyDescent="0.3">
      <c r="A51" s="7">
        <v>41030</v>
      </c>
      <c r="B51">
        <v>26.648614999999999</v>
      </c>
    </row>
    <row r="52" spans="1:2" x14ac:dyDescent="0.3">
      <c r="A52" s="7">
        <v>41061</v>
      </c>
      <c r="B52">
        <v>28.652742</v>
      </c>
    </row>
    <row r="53" spans="1:2" x14ac:dyDescent="0.3">
      <c r="A53" s="7">
        <v>41091</v>
      </c>
      <c r="B53">
        <v>29.913532</v>
      </c>
    </row>
    <row r="54" spans="1:2" x14ac:dyDescent="0.3">
      <c r="A54" s="7">
        <v>41122</v>
      </c>
      <c r="B54">
        <v>29.723486000000001</v>
      </c>
    </row>
    <row r="55" spans="1:2" x14ac:dyDescent="0.3">
      <c r="A55" s="7">
        <v>41153</v>
      </c>
      <c r="B55">
        <v>31.173798000000001</v>
      </c>
    </row>
    <row r="56" spans="1:2" x14ac:dyDescent="0.3">
      <c r="A56" s="7">
        <v>41183</v>
      </c>
      <c r="B56">
        <v>32.213867</v>
      </c>
    </row>
    <row r="57" spans="1:2" x14ac:dyDescent="0.3">
      <c r="A57" s="7">
        <v>41214</v>
      </c>
      <c r="B57">
        <v>34.755977999999999</v>
      </c>
    </row>
    <row r="58" spans="1:2" x14ac:dyDescent="0.3">
      <c r="A58" s="7">
        <v>41244</v>
      </c>
      <c r="B58">
        <v>35.271801000000004</v>
      </c>
    </row>
    <row r="59" spans="1:2" x14ac:dyDescent="0.3">
      <c r="A59" s="7">
        <v>41275</v>
      </c>
      <c r="B59">
        <v>36.744765999999998</v>
      </c>
    </row>
    <row r="60" spans="1:2" x14ac:dyDescent="0.3">
      <c r="A60" s="7">
        <v>41306</v>
      </c>
      <c r="B60">
        <v>36.914642000000001</v>
      </c>
    </row>
    <row r="61" spans="1:2" x14ac:dyDescent="0.3">
      <c r="A61" s="7">
        <v>41334</v>
      </c>
      <c r="B61">
        <v>39.604163999999997</v>
      </c>
    </row>
    <row r="62" spans="1:2" x14ac:dyDescent="0.3">
      <c r="A62" s="7">
        <v>41365</v>
      </c>
      <c r="B62">
        <v>39.282372000000002</v>
      </c>
    </row>
    <row r="63" spans="1:2" x14ac:dyDescent="0.3">
      <c r="A63" s="7">
        <v>41395</v>
      </c>
      <c r="B63">
        <v>41.539588999999999</v>
      </c>
    </row>
    <row r="64" spans="1:2" x14ac:dyDescent="0.3">
      <c r="A64" s="7">
        <v>41426</v>
      </c>
      <c r="B64">
        <v>42.692706999999999</v>
      </c>
    </row>
    <row r="65" spans="1:2" x14ac:dyDescent="0.3">
      <c r="A65" s="7">
        <v>41456</v>
      </c>
      <c r="B65">
        <v>41.351765</v>
      </c>
    </row>
    <row r="66" spans="1:2" x14ac:dyDescent="0.3">
      <c r="A66" s="7">
        <v>41487</v>
      </c>
      <c r="B66">
        <v>40.746699999999997</v>
      </c>
    </row>
    <row r="67" spans="1:2" x14ac:dyDescent="0.3">
      <c r="A67" s="7">
        <v>41518</v>
      </c>
      <c r="B67">
        <v>44.725715999999998</v>
      </c>
    </row>
    <row r="68" spans="1:2" x14ac:dyDescent="0.3">
      <c r="A68" s="7">
        <v>41548</v>
      </c>
      <c r="B68">
        <v>46.029339</v>
      </c>
    </row>
    <row r="69" spans="1:2" x14ac:dyDescent="0.3">
      <c r="A69" s="7">
        <v>41579</v>
      </c>
      <c r="B69">
        <v>47.618499999999997</v>
      </c>
    </row>
    <row r="70" spans="1:2" x14ac:dyDescent="0.3">
      <c r="A70" s="7">
        <v>41609</v>
      </c>
      <c r="B70">
        <v>52.222175999999997</v>
      </c>
    </row>
    <row r="71" spans="1:2" x14ac:dyDescent="0.3">
      <c r="A71" s="7">
        <v>41640</v>
      </c>
      <c r="B71">
        <v>50.521918999999997</v>
      </c>
    </row>
    <row r="72" spans="1:2" x14ac:dyDescent="0.3">
      <c r="A72" s="7">
        <v>41671</v>
      </c>
      <c r="B72">
        <v>52.986697999999997</v>
      </c>
    </row>
    <row r="73" spans="1:2" x14ac:dyDescent="0.3">
      <c r="A73" s="7">
        <v>41699</v>
      </c>
      <c r="B73">
        <v>50.713993000000002</v>
      </c>
    </row>
    <row r="74" spans="1:2" x14ac:dyDescent="0.3">
      <c r="A74" s="7">
        <v>41730</v>
      </c>
      <c r="B74">
        <v>47.601067</v>
      </c>
    </row>
    <row r="75" spans="1:2" x14ac:dyDescent="0.3">
      <c r="A75" s="7">
        <v>41760</v>
      </c>
      <c r="B75">
        <v>50.472019000000003</v>
      </c>
    </row>
    <row r="76" spans="1:2" x14ac:dyDescent="0.3">
      <c r="A76" s="7">
        <v>41791</v>
      </c>
      <c r="B76">
        <v>49.597625999999998</v>
      </c>
    </row>
    <row r="77" spans="1:2" x14ac:dyDescent="0.3">
      <c r="A77" s="7">
        <v>41821</v>
      </c>
      <c r="B77">
        <v>49.668242999999997</v>
      </c>
    </row>
    <row r="78" spans="1:2" x14ac:dyDescent="0.3">
      <c r="A78" s="7">
        <v>41852</v>
      </c>
      <c r="B78">
        <v>50.023670000000003</v>
      </c>
    </row>
    <row r="79" spans="1:2" x14ac:dyDescent="0.3">
      <c r="A79" s="7">
        <v>41883</v>
      </c>
      <c r="B79">
        <v>50.319443</v>
      </c>
    </row>
    <row r="80" spans="1:2" x14ac:dyDescent="0.3">
      <c r="A80" s="7">
        <v>41913</v>
      </c>
      <c r="B80">
        <v>56.936897000000002</v>
      </c>
    </row>
    <row r="81" spans="1:2" x14ac:dyDescent="0.3">
      <c r="A81" s="7">
        <v>41944</v>
      </c>
      <c r="B81">
        <v>60.889439000000003</v>
      </c>
    </row>
    <row r="82" spans="1:2" x14ac:dyDescent="0.3">
      <c r="A82" s="7">
        <v>41974</v>
      </c>
      <c r="B82">
        <v>61.954208000000001</v>
      </c>
    </row>
    <row r="83" spans="1:2" x14ac:dyDescent="0.3">
      <c r="A83" s="7">
        <v>42005</v>
      </c>
      <c r="B83">
        <v>60.231667000000002</v>
      </c>
    </row>
    <row r="84" spans="1:2" x14ac:dyDescent="0.3">
      <c r="A84" s="7">
        <v>42036</v>
      </c>
      <c r="B84">
        <v>64.106780999999998</v>
      </c>
    </row>
    <row r="85" spans="1:2" x14ac:dyDescent="0.3">
      <c r="A85" s="7">
        <v>42064</v>
      </c>
      <c r="B85">
        <v>61.934249999999999</v>
      </c>
    </row>
    <row r="86" spans="1:2" x14ac:dyDescent="0.3">
      <c r="A86" s="7">
        <v>42095</v>
      </c>
      <c r="B86">
        <v>62.540256999999997</v>
      </c>
    </row>
    <row r="87" spans="1:2" x14ac:dyDescent="0.3">
      <c r="A87" s="7">
        <v>42125</v>
      </c>
      <c r="B87">
        <v>65.030479</v>
      </c>
    </row>
    <row r="88" spans="1:2" x14ac:dyDescent="0.3">
      <c r="A88" s="7">
        <v>42156</v>
      </c>
      <c r="B88">
        <v>63.693080999999999</v>
      </c>
    </row>
    <row r="89" spans="1:2" x14ac:dyDescent="0.3">
      <c r="A89" s="7">
        <v>42186</v>
      </c>
      <c r="B89">
        <v>71.461433</v>
      </c>
    </row>
    <row r="90" spans="1:2" x14ac:dyDescent="0.3">
      <c r="A90" s="7">
        <v>42217</v>
      </c>
      <c r="B90">
        <v>67.629409999999993</v>
      </c>
    </row>
    <row r="91" spans="1:2" x14ac:dyDescent="0.3">
      <c r="A91" s="7">
        <v>42248</v>
      </c>
      <c r="B91">
        <v>66.182143999999994</v>
      </c>
    </row>
    <row r="92" spans="1:2" x14ac:dyDescent="0.3">
      <c r="A92" s="7">
        <v>42278</v>
      </c>
      <c r="B92">
        <v>73.706710999999999</v>
      </c>
    </row>
    <row r="93" spans="1:2" x14ac:dyDescent="0.3">
      <c r="A93" s="7">
        <v>42309</v>
      </c>
      <c r="B93">
        <v>75.065291999999999</v>
      </c>
    </row>
    <row r="94" spans="1:2" x14ac:dyDescent="0.3">
      <c r="A94" s="7">
        <v>42339</v>
      </c>
      <c r="B94">
        <v>73.810608000000002</v>
      </c>
    </row>
    <row r="95" spans="1:2" x14ac:dyDescent="0.3">
      <c r="A95" s="7">
        <v>42370</v>
      </c>
      <c r="B95">
        <v>70.898139999999998</v>
      </c>
    </row>
    <row r="96" spans="1:2" x14ac:dyDescent="0.3">
      <c r="A96" s="7">
        <v>42401</v>
      </c>
      <c r="B96">
        <v>68.899428999999998</v>
      </c>
    </row>
    <row r="97" spans="1:2" x14ac:dyDescent="0.3">
      <c r="A97" s="7">
        <v>42430</v>
      </c>
      <c r="B97">
        <v>72.935828999999998</v>
      </c>
    </row>
    <row r="98" spans="1:2" x14ac:dyDescent="0.3">
      <c r="A98" s="7">
        <v>42461</v>
      </c>
      <c r="B98">
        <v>73.660590999999997</v>
      </c>
    </row>
    <row r="99" spans="1:2" x14ac:dyDescent="0.3">
      <c r="A99" s="7">
        <v>42491</v>
      </c>
      <c r="B99">
        <v>75.281807000000001</v>
      </c>
    </row>
    <row r="100" spans="1:2" x14ac:dyDescent="0.3">
      <c r="A100" s="7">
        <v>42522</v>
      </c>
      <c r="B100">
        <v>70.858108999999999</v>
      </c>
    </row>
    <row r="101" spans="1:2" x14ac:dyDescent="0.3">
      <c r="A101" s="7">
        <v>42552</v>
      </c>
      <c r="B101">
        <v>74.564887999999996</v>
      </c>
    </row>
    <row r="102" spans="1:2" x14ac:dyDescent="0.3">
      <c r="A102" s="7">
        <v>42583</v>
      </c>
      <c r="B102">
        <v>77.287612999999993</v>
      </c>
    </row>
    <row r="103" spans="1:2" x14ac:dyDescent="0.3">
      <c r="A103" s="7">
        <v>42614</v>
      </c>
      <c r="B103">
        <v>79.144347999999994</v>
      </c>
    </row>
    <row r="104" spans="1:2" x14ac:dyDescent="0.3">
      <c r="A104" s="7">
        <v>42644</v>
      </c>
      <c r="B104">
        <v>78.962524000000002</v>
      </c>
    </row>
    <row r="105" spans="1:2" x14ac:dyDescent="0.3">
      <c r="A105" s="7">
        <v>42675</v>
      </c>
      <c r="B105">
        <v>73.995650999999995</v>
      </c>
    </row>
    <row r="106" spans="1:2" x14ac:dyDescent="0.3">
      <c r="A106" s="7">
        <v>42705</v>
      </c>
      <c r="B106">
        <v>74.822677999999996</v>
      </c>
    </row>
    <row r="107" spans="1:2" x14ac:dyDescent="0.3">
      <c r="A107" s="7">
        <v>42736</v>
      </c>
      <c r="B107">
        <v>79.320473000000007</v>
      </c>
    </row>
    <row r="108" spans="1:2" x14ac:dyDescent="0.3">
      <c r="A108" s="7">
        <v>42767</v>
      </c>
      <c r="B108">
        <v>84.336151000000001</v>
      </c>
    </row>
    <row r="109" spans="1:2" x14ac:dyDescent="0.3">
      <c r="A109" s="7">
        <v>42795</v>
      </c>
      <c r="B109">
        <v>85.390288999999996</v>
      </c>
    </row>
    <row r="110" spans="1:2" x14ac:dyDescent="0.3">
      <c r="A110" s="7">
        <v>42826</v>
      </c>
      <c r="B110">
        <v>87.648262000000003</v>
      </c>
    </row>
    <row r="111" spans="1:2" x14ac:dyDescent="0.3">
      <c r="A111" s="7">
        <v>42856</v>
      </c>
      <c r="B111">
        <v>91.501244</v>
      </c>
    </row>
    <row r="112" spans="1:2" x14ac:dyDescent="0.3">
      <c r="A112" s="7">
        <v>42887</v>
      </c>
      <c r="B112">
        <v>90.267937000000003</v>
      </c>
    </row>
    <row r="113" spans="1:2" x14ac:dyDescent="0.3">
      <c r="A113" s="7">
        <v>42917</v>
      </c>
      <c r="B113">
        <v>95.831467000000004</v>
      </c>
    </row>
    <row r="114" spans="1:2" x14ac:dyDescent="0.3">
      <c r="A114" s="7">
        <v>42948</v>
      </c>
      <c r="B114">
        <v>99.643127000000007</v>
      </c>
    </row>
    <row r="115" spans="1:2" x14ac:dyDescent="0.3">
      <c r="A115" s="7">
        <v>42979</v>
      </c>
      <c r="B115">
        <v>101.461838</v>
      </c>
    </row>
    <row r="116" spans="1:2" x14ac:dyDescent="0.3">
      <c r="A116" s="7">
        <v>43009</v>
      </c>
      <c r="B116">
        <v>106.0317</v>
      </c>
    </row>
    <row r="117" spans="1:2" x14ac:dyDescent="0.3">
      <c r="A117" s="7">
        <v>43040</v>
      </c>
      <c r="B117">
        <v>108.547989</v>
      </c>
    </row>
    <row r="118" spans="1:2" x14ac:dyDescent="0.3">
      <c r="A118" s="7">
        <v>43070</v>
      </c>
      <c r="B118">
        <v>110.121437</v>
      </c>
    </row>
    <row r="119" spans="1:2" x14ac:dyDescent="0.3">
      <c r="A119" s="7">
        <v>43101</v>
      </c>
      <c r="B119">
        <v>119.98234600000001</v>
      </c>
    </row>
    <row r="120" spans="1:2" x14ac:dyDescent="0.3">
      <c r="A120" s="7">
        <v>43132</v>
      </c>
      <c r="B120">
        <v>118.73645</v>
      </c>
    </row>
    <row r="121" spans="1:2" x14ac:dyDescent="0.3">
      <c r="A121" s="7">
        <v>43160</v>
      </c>
      <c r="B121">
        <v>115.731087</v>
      </c>
    </row>
    <row r="122" spans="1:2" x14ac:dyDescent="0.3">
      <c r="A122" s="7">
        <v>43191</v>
      </c>
      <c r="B122">
        <v>122.755066</v>
      </c>
    </row>
    <row r="123" spans="1:2" x14ac:dyDescent="0.3">
      <c r="A123" s="7">
        <v>43221</v>
      </c>
      <c r="B123">
        <v>126.470215</v>
      </c>
    </row>
    <row r="124" spans="1:2" x14ac:dyDescent="0.3">
      <c r="A124" s="7">
        <v>43252</v>
      </c>
      <c r="B124">
        <v>128.34991500000001</v>
      </c>
    </row>
    <row r="125" spans="1:2" x14ac:dyDescent="0.3">
      <c r="A125" s="7">
        <v>43282</v>
      </c>
      <c r="B125">
        <v>132.50709499999999</v>
      </c>
    </row>
    <row r="126" spans="1:2" x14ac:dyDescent="0.3">
      <c r="A126" s="7">
        <v>43313</v>
      </c>
      <c r="B126">
        <v>142.34288000000001</v>
      </c>
    </row>
    <row r="127" spans="1:2" x14ac:dyDescent="0.3">
      <c r="A127" s="7">
        <v>43344</v>
      </c>
      <c r="B127">
        <v>145.66244499999999</v>
      </c>
    </row>
    <row r="128" spans="1:2" x14ac:dyDescent="0.3">
      <c r="A128" s="7">
        <v>43374</v>
      </c>
      <c r="B128">
        <v>133.783524</v>
      </c>
    </row>
    <row r="129" spans="1:2" x14ac:dyDescent="0.3">
      <c r="A129" s="7">
        <v>43405</v>
      </c>
      <c r="B129">
        <v>137.52967799999999</v>
      </c>
    </row>
    <row r="130" spans="1:2" x14ac:dyDescent="0.3">
      <c r="A130" s="7">
        <v>43435</v>
      </c>
      <c r="B130">
        <v>128.27780200000001</v>
      </c>
    </row>
    <row r="131" spans="1:2" x14ac:dyDescent="0.3">
      <c r="A131" s="7">
        <v>43466</v>
      </c>
      <c r="B131">
        <v>131.26254299999999</v>
      </c>
    </row>
    <row r="132" spans="1:2" x14ac:dyDescent="0.3">
      <c r="A132" s="7">
        <v>43497</v>
      </c>
      <c r="B132">
        <v>144.008667</v>
      </c>
    </row>
    <row r="133" spans="1:2" x14ac:dyDescent="0.3">
      <c r="A133" s="7">
        <v>43525</v>
      </c>
      <c r="B133">
        <v>152.11972</v>
      </c>
    </row>
    <row r="134" spans="1:2" x14ac:dyDescent="0.3">
      <c r="A134" s="7">
        <v>43556</v>
      </c>
      <c r="B134">
        <v>160.14497399999999</v>
      </c>
    </row>
    <row r="135" spans="1:2" x14ac:dyDescent="0.3">
      <c r="A135" s="7">
        <v>43586</v>
      </c>
      <c r="B135">
        <v>157.125778</v>
      </c>
    </row>
    <row r="136" spans="1:2" x14ac:dyDescent="0.3">
      <c r="A136" s="7">
        <v>43617</v>
      </c>
      <c r="B136">
        <v>169.28727699999999</v>
      </c>
    </row>
    <row r="137" spans="1:2" x14ac:dyDescent="0.3">
      <c r="A137" s="7">
        <v>43647</v>
      </c>
      <c r="B137">
        <v>173.62799100000001</v>
      </c>
    </row>
    <row r="138" spans="1:2" x14ac:dyDescent="0.3">
      <c r="A138" s="7">
        <v>43678</v>
      </c>
      <c r="B138">
        <v>176.37870799999999</v>
      </c>
    </row>
    <row r="139" spans="1:2" x14ac:dyDescent="0.3">
      <c r="A139" s="7">
        <v>43709</v>
      </c>
      <c r="B139">
        <v>168.02723700000001</v>
      </c>
    </row>
    <row r="140" spans="1:2" x14ac:dyDescent="0.3">
      <c r="A140" s="7">
        <v>43739</v>
      </c>
      <c r="B140">
        <v>174.71859699999999</v>
      </c>
    </row>
    <row r="141" spans="1:2" x14ac:dyDescent="0.3">
      <c r="A141" s="7">
        <v>43770</v>
      </c>
      <c r="B141">
        <v>180.23779300000001</v>
      </c>
    </row>
    <row r="142" spans="1:2" x14ac:dyDescent="0.3">
      <c r="A142" s="7">
        <v>43800</v>
      </c>
      <c r="B142">
        <v>183.85672</v>
      </c>
    </row>
    <row r="143" spans="1:2" x14ac:dyDescent="0.3">
      <c r="A143" s="7">
        <v>43831</v>
      </c>
      <c r="B143">
        <v>194.68852200000001</v>
      </c>
    </row>
    <row r="144" spans="1:2" x14ac:dyDescent="0.3">
      <c r="A144" s="7">
        <v>43862</v>
      </c>
      <c r="B144">
        <v>177.84884600000001</v>
      </c>
    </row>
    <row r="145" spans="1:2" x14ac:dyDescent="0.3">
      <c r="A145" s="7">
        <v>43891</v>
      </c>
      <c r="B145">
        <v>157.88130200000001</v>
      </c>
    </row>
    <row r="146" spans="1:2" x14ac:dyDescent="0.3">
      <c r="A146" s="7">
        <v>43922</v>
      </c>
      <c r="B146">
        <v>175.127533</v>
      </c>
    </row>
    <row r="147" spans="1:2" x14ac:dyDescent="0.3">
      <c r="A147" s="7">
        <v>43952</v>
      </c>
      <c r="B147">
        <v>191.31547499999999</v>
      </c>
    </row>
    <row r="148" spans="1:2" x14ac:dyDescent="0.3">
      <c r="A148" s="7">
        <v>43983</v>
      </c>
      <c r="B148">
        <v>189.60401899999999</v>
      </c>
    </row>
    <row r="149" spans="1:2" x14ac:dyDescent="0.3">
      <c r="A149" s="7">
        <v>44013</v>
      </c>
      <c r="B149">
        <v>186.88514699999999</v>
      </c>
    </row>
    <row r="150" spans="1:2" x14ac:dyDescent="0.3">
      <c r="A150" s="7">
        <v>44044</v>
      </c>
      <c r="B150">
        <v>208.07661400000001</v>
      </c>
    </row>
    <row r="151" spans="1:2" x14ac:dyDescent="0.3">
      <c r="A151" s="7">
        <v>44075</v>
      </c>
      <c r="B151">
        <v>196.575211</v>
      </c>
    </row>
    <row r="152" spans="1:2" x14ac:dyDescent="0.3">
      <c r="A152" s="7">
        <v>44105</v>
      </c>
      <c r="B152">
        <v>178.625168</v>
      </c>
    </row>
    <row r="153" spans="1:2" x14ac:dyDescent="0.3">
      <c r="A153" s="7">
        <v>44136</v>
      </c>
      <c r="B153">
        <v>206.77899199999999</v>
      </c>
    </row>
    <row r="154" spans="1:2" x14ac:dyDescent="0.3">
      <c r="A154" s="7">
        <v>44166</v>
      </c>
      <c r="B154">
        <v>215.34071399999999</v>
      </c>
    </row>
    <row r="155" spans="1:2" x14ac:dyDescent="0.3">
      <c r="A155" s="7">
        <v>44197</v>
      </c>
      <c r="B155">
        <v>190.25552400000001</v>
      </c>
    </row>
    <row r="156" spans="1:2" x14ac:dyDescent="0.3">
      <c r="A156" s="7">
        <v>44228</v>
      </c>
      <c r="B156">
        <v>209.098984</v>
      </c>
    </row>
    <row r="157" spans="1:2" x14ac:dyDescent="0.3">
      <c r="A157" s="7">
        <v>44256</v>
      </c>
      <c r="B157">
        <v>208.77278100000001</v>
      </c>
    </row>
    <row r="158" spans="1:2" x14ac:dyDescent="0.3">
      <c r="A158" s="7">
        <v>44287</v>
      </c>
      <c r="B158">
        <v>230.29789700000001</v>
      </c>
    </row>
    <row r="159" spans="1:2" x14ac:dyDescent="0.3">
      <c r="A159" s="7">
        <v>44317</v>
      </c>
      <c r="B159">
        <v>224.125336</v>
      </c>
    </row>
    <row r="160" spans="1:2" x14ac:dyDescent="0.3">
      <c r="A160" s="7">
        <v>44348</v>
      </c>
      <c r="B160">
        <v>230.88917499999999</v>
      </c>
    </row>
    <row r="161" spans="1:2" x14ac:dyDescent="0.3">
      <c r="A161" s="7">
        <v>44378</v>
      </c>
      <c r="B161">
        <v>243.30159</v>
      </c>
    </row>
    <row r="162" spans="1:2" x14ac:dyDescent="0.3">
      <c r="A162" s="7">
        <v>44409</v>
      </c>
      <c r="B162">
        <v>226.22830200000001</v>
      </c>
    </row>
    <row r="163" spans="1:2" x14ac:dyDescent="0.3">
      <c r="A163" s="7">
        <v>44440</v>
      </c>
      <c r="B163">
        <v>220.25775100000001</v>
      </c>
    </row>
    <row r="164" spans="1:2" x14ac:dyDescent="0.3">
      <c r="A164" s="7">
        <v>44470</v>
      </c>
      <c r="B164">
        <v>209.40062</v>
      </c>
    </row>
    <row r="165" spans="1:2" x14ac:dyDescent="0.3">
      <c r="A165" s="7">
        <v>44501</v>
      </c>
      <c r="B165">
        <v>191.60202000000001</v>
      </c>
    </row>
    <row r="166" spans="1:2" x14ac:dyDescent="0.3">
      <c r="A166" s="7">
        <v>44531</v>
      </c>
      <c r="B166">
        <v>214.662567</v>
      </c>
    </row>
    <row r="167" spans="1:2" x14ac:dyDescent="0.3">
      <c r="A167" s="7">
        <v>44562</v>
      </c>
      <c r="B167">
        <v>224.033188</v>
      </c>
    </row>
    <row r="168" spans="1:2" x14ac:dyDescent="0.3">
      <c r="A168" s="7">
        <v>44593</v>
      </c>
      <c r="B168">
        <v>214.07813999999999</v>
      </c>
    </row>
    <row r="169" spans="1:2" x14ac:dyDescent="0.3">
      <c r="A169" s="7">
        <v>44621</v>
      </c>
      <c r="B169">
        <v>220.03215</v>
      </c>
    </row>
    <row r="170" spans="1:2" x14ac:dyDescent="0.3">
      <c r="A170" s="7">
        <v>44652</v>
      </c>
      <c r="B170">
        <v>211.459869</v>
      </c>
    </row>
    <row r="171" spans="1:2" x14ac:dyDescent="0.3">
      <c r="A171" s="7">
        <v>44682</v>
      </c>
      <c r="B171">
        <v>210.50740099999999</v>
      </c>
    </row>
    <row r="172" spans="1:2" x14ac:dyDescent="0.3">
      <c r="A172" s="7">
        <v>44713</v>
      </c>
      <c r="B172">
        <v>195.720215</v>
      </c>
    </row>
    <row r="173" spans="1:2" x14ac:dyDescent="0.3">
      <c r="A173" s="7">
        <v>44743</v>
      </c>
      <c r="B173">
        <v>210.849808</v>
      </c>
    </row>
    <row r="174" spans="1:2" x14ac:dyDescent="0.3">
      <c r="A174" s="7">
        <v>44774</v>
      </c>
      <c r="B174">
        <v>197.529404</v>
      </c>
    </row>
    <row r="175" spans="1:2" x14ac:dyDescent="0.3">
      <c r="A175" s="7">
        <v>44805</v>
      </c>
      <c r="B175">
        <v>176.90730300000001</v>
      </c>
    </row>
    <row r="176" spans="1:2" x14ac:dyDescent="0.3">
      <c r="A176" s="7">
        <v>44835</v>
      </c>
      <c r="B176">
        <v>206.29394500000001</v>
      </c>
    </row>
    <row r="177" spans="1:2" x14ac:dyDescent="0.3">
      <c r="A177" s="7">
        <v>44866</v>
      </c>
      <c r="B177">
        <v>216.092804</v>
      </c>
    </row>
    <row r="178" spans="1:2" x14ac:dyDescent="0.3">
      <c r="A178" s="7">
        <v>44896</v>
      </c>
      <c r="B178">
        <v>207.35386700000001</v>
      </c>
    </row>
    <row r="179" spans="1:2" x14ac:dyDescent="0.3">
      <c r="A179" s="7">
        <v>44927</v>
      </c>
      <c r="B179">
        <v>229.759995</v>
      </c>
    </row>
    <row r="180" spans="1:2" x14ac:dyDescent="0.3">
      <c r="A180" s="7">
        <v>44958</v>
      </c>
      <c r="B180">
        <v>219.51007100000001</v>
      </c>
    </row>
    <row r="181" spans="1:2" x14ac:dyDescent="0.3">
      <c r="A181" s="7">
        <v>44986</v>
      </c>
      <c r="B181">
        <v>216.36999499999999</v>
      </c>
    </row>
    <row r="182" spans="1:2" x14ac:dyDescent="0.3">
      <c r="A182" s="7">
        <v>45000</v>
      </c>
      <c r="B182">
        <v>216.36999499999999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Multiple Valuation</vt:lpstr>
      <vt:lpstr>Sheet3</vt:lpstr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2023-01-23T11:05:15Z</dcterms:created>
  <dcterms:modified xsi:type="dcterms:W3CDTF">2023-03-16T17:12:56Z</dcterms:modified>
</cp:coreProperties>
</file>