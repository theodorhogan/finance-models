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Tido\Documents\#BackUp\Stocks 10ks\DDD\"/>
    </mc:Choice>
  </mc:AlternateContent>
  <xr:revisionPtr revIDLastSave="0" documentId="13_ncr:1_{18692583-F200-4809-A7B7-7738D60A2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otr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7" i="1" l="1"/>
  <c r="W7" i="1"/>
  <c r="V7" i="1"/>
  <c r="U7" i="1"/>
  <c r="T7" i="1"/>
  <c r="S7" i="1"/>
  <c r="R7" i="1"/>
  <c r="Q7" i="1"/>
  <c r="P7" i="1"/>
  <c r="O7" i="1"/>
  <c r="Q3" i="1"/>
  <c r="R3" i="1" s="1"/>
  <c r="S3" i="1" s="1"/>
  <c r="T3" i="1" s="1"/>
  <c r="U3" i="1" s="1"/>
  <c r="V3" i="1" s="1"/>
  <c r="W3" i="1" s="1"/>
  <c r="X3" i="1" s="1"/>
  <c r="P3" i="1"/>
  <c r="O3" i="1"/>
  <c r="N45" i="1"/>
  <c r="N43" i="1"/>
  <c r="N41" i="1"/>
  <c r="N39" i="1"/>
  <c r="N37" i="1"/>
  <c r="M37" i="1"/>
  <c r="L37" i="1"/>
  <c r="K37" i="1"/>
  <c r="J37" i="1"/>
  <c r="I37" i="1"/>
  <c r="H37" i="1"/>
  <c r="G37" i="1"/>
  <c r="F37" i="1"/>
  <c r="E37" i="1"/>
  <c r="D37" i="1"/>
  <c r="L29" i="1"/>
  <c r="K29" i="1"/>
  <c r="J29" i="1"/>
  <c r="I29" i="1"/>
  <c r="H29" i="1"/>
  <c r="G29" i="1"/>
  <c r="F29" i="1"/>
  <c r="E29" i="1"/>
  <c r="D29" i="1"/>
  <c r="P2" i="1" l="1"/>
  <c r="Q2" i="1" s="1"/>
  <c r="R2" i="1" s="1"/>
  <c r="S2" i="1" s="1"/>
  <c r="T2" i="1" s="1"/>
  <c r="U2" i="1" s="1"/>
  <c r="V2" i="1" s="1"/>
  <c r="W2" i="1" s="1"/>
  <c r="X2" i="1" s="1"/>
  <c r="M27" i="1"/>
  <c r="M29" i="1" s="1"/>
  <c r="N29" i="1" s="1"/>
  <c r="M31" i="1"/>
  <c r="N31" i="1" s="1"/>
  <c r="M19" i="1"/>
  <c r="M16" i="1"/>
  <c r="M15" i="1"/>
  <c r="M12" i="1"/>
  <c r="M11" i="1"/>
  <c r="M5" i="1"/>
  <c r="M6" i="1"/>
  <c r="M3" i="1"/>
  <c r="N3" i="1" s="1"/>
  <c r="L19" i="1"/>
  <c r="K19" i="1"/>
  <c r="J19" i="1"/>
  <c r="I19" i="1"/>
  <c r="H19" i="1"/>
  <c r="G19" i="1"/>
  <c r="F19" i="1"/>
  <c r="E19" i="1"/>
  <c r="D19" i="1"/>
  <c r="C19" i="1"/>
  <c r="L33" i="1"/>
  <c r="C16" i="1"/>
  <c r="D16" i="1"/>
  <c r="C12" i="1"/>
  <c r="D12" i="1"/>
  <c r="E16" i="1"/>
  <c r="F16" i="1"/>
  <c r="L12" i="1"/>
  <c r="J12" i="1"/>
  <c r="K12" i="1"/>
  <c r="K11" i="1"/>
  <c r="J11" i="1"/>
  <c r="I12" i="1"/>
  <c r="I33" i="1"/>
  <c r="J33" i="1"/>
  <c r="K33" i="1"/>
  <c r="G16" i="1"/>
  <c r="H16" i="1"/>
  <c r="N19" i="1" l="1"/>
  <c r="M17" i="1"/>
  <c r="M35" i="1"/>
  <c r="M41" i="1" s="1"/>
  <c r="M45" i="1" s="1"/>
  <c r="M13" i="1"/>
  <c r="M7" i="1"/>
  <c r="J16" i="1"/>
  <c r="I16" i="1"/>
  <c r="J5" i="1"/>
  <c r="M21" i="1" l="1"/>
  <c r="M25" i="1"/>
  <c r="K13" i="1"/>
  <c r="J13" i="1"/>
  <c r="I13" i="1"/>
  <c r="H13" i="1"/>
  <c r="G13" i="1"/>
  <c r="F13" i="1"/>
  <c r="E13" i="1"/>
  <c r="D13" i="1"/>
  <c r="C13" i="1"/>
  <c r="N13" i="1" s="1"/>
  <c r="L13" i="1"/>
  <c r="J17" i="1"/>
  <c r="I17" i="1"/>
  <c r="H17" i="1"/>
  <c r="G17" i="1"/>
  <c r="F17" i="1"/>
  <c r="E17" i="1"/>
  <c r="D17" i="1"/>
  <c r="C17" i="1"/>
  <c r="N17" i="1" s="1"/>
  <c r="K16" i="1"/>
  <c r="K17" i="1" s="1"/>
  <c r="L16" i="1"/>
  <c r="L17" i="1" s="1"/>
  <c r="K35" i="1"/>
  <c r="K41" i="1" s="1"/>
  <c r="K45" i="1" s="1"/>
  <c r="J35" i="1"/>
  <c r="J41" i="1" s="1"/>
  <c r="J45" i="1" s="1"/>
  <c r="I35" i="1"/>
  <c r="I41" i="1" s="1"/>
  <c r="I45" i="1" s="1"/>
  <c r="H35" i="1"/>
  <c r="H41" i="1" s="1"/>
  <c r="H45" i="1" s="1"/>
  <c r="G35" i="1"/>
  <c r="G41" i="1" s="1"/>
  <c r="G45" i="1" s="1"/>
  <c r="F35" i="1"/>
  <c r="F41" i="1" s="1"/>
  <c r="F45" i="1" s="1"/>
  <c r="E35" i="1"/>
  <c r="E41" i="1" s="1"/>
  <c r="E45" i="1" s="1"/>
  <c r="D35" i="1"/>
  <c r="D41" i="1" s="1"/>
  <c r="D45" i="1" s="1"/>
  <c r="C35" i="1"/>
  <c r="C41" i="1" s="1"/>
  <c r="C45" i="1" s="1"/>
  <c r="L35" i="1"/>
  <c r="L41" i="1" s="1"/>
  <c r="L45" i="1" s="1"/>
  <c r="J7" i="1"/>
  <c r="I7" i="1"/>
  <c r="H7" i="1"/>
  <c r="G7" i="1"/>
  <c r="F7" i="1"/>
  <c r="E7" i="1"/>
  <c r="D7" i="1"/>
  <c r="C7" i="1"/>
  <c r="L5" i="1"/>
  <c r="L7" i="1" s="1"/>
  <c r="M9" i="1" s="1"/>
  <c r="K5" i="1"/>
  <c r="K7" i="1" s="1"/>
  <c r="D2" i="1"/>
  <c r="E2" i="1" s="1"/>
  <c r="F2" i="1" s="1"/>
  <c r="G2" i="1" s="1"/>
  <c r="H2" i="1" s="1"/>
  <c r="I2" i="1" s="1"/>
  <c r="J2" i="1" s="1"/>
  <c r="K2" i="1" s="1"/>
  <c r="L2" i="1" s="1"/>
  <c r="K9" i="1" l="1"/>
  <c r="D9" i="1"/>
  <c r="H9" i="1"/>
  <c r="J9" i="1"/>
  <c r="G9" i="1"/>
  <c r="E9" i="1"/>
  <c r="I9" i="1"/>
  <c r="F9" i="1"/>
  <c r="L9" i="1"/>
  <c r="M23" i="1"/>
  <c r="D25" i="1"/>
  <c r="D21" i="1"/>
  <c r="D23" i="1" s="1"/>
  <c r="E25" i="1"/>
  <c r="E21" i="1"/>
  <c r="E23" i="1" s="1"/>
  <c r="F25" i="1"/>
  <c r="F21" i="1"/>
  <c r="F23" i="1" s="1"/>
  <c r="G25" i="1"/>
  <c r="G21" i="1"/>
  <c r="G23" i="1" s="1"/>
  <c r="H25" i="1"/>
  <c r="H21" i="1"/>
  <c r="H23" i="1" s="1"/>
  <c r="I21" i="1"/>
  <c r="I23" i="1" s="1"/>
  <c r="I25" i="1"/>
  <c r="L21" i="1"/>
  <c r="J21" i="1"/>
  <c r="J23" i="1" s="1"/>
  <c r="J25" i="1"/>
  <c r="C25" i="1"/>
  <c r="C21" i="1"/>
  <c r="C23" i="1" s="1"/>
  <c r="K25" i="1"/>
  <c r="K21" i="1"/>
  <c r="K23" i="1" s="1"/>
  <c r="N9" i="1" l="1"/>
  <c r="N23" i="1"/>
  <c r="N25" i="1"/>
  <c r="N21" i="1"/>
</calcChain>
</file>

<file path=xl/sharedStrings.xml><?xml version="1.0" encoding="utf-8"?>
<sst xmlns="http://schemas.openxmlformats.org/spreadsheetml/2006/main" count="33" uniqueCount="33">
  <si>
    <t>DDD</t>
  </si>
  <si>
    <t>Revenue</t>
  </si>
  <si>
    <t>EBIT</t>
  </si>
  <si>
    <t>Depr. &amp; Amort.</t>
  </si>
  <si>
    <t>2x</t>
  </si>
  <si>
    <t>EBITDA</t>
  </si>
  <si>
    <t>LT Debt</t>
  </si>
  <si>
    <t>ST Debt</t>
  </si>
  <si>
    <t>ST + LT Debt</t>
  </si>
  <si>
    <t>Total Cash &amp; ST inv.</t>
  </si>
  <si>
    <t>Current Liablilites</t>
  </si>
  <si>
    <t>Excess Cash</t>
  </si>
  <si>
    <t>Market Cap</t>
  </si>
  <si>
    <t>EV</t>
  </si>
  <si>
    <t>EV/EBITDA</t>
  </si>
  <si>
    <t>Net Debt/EBITDA</t>
  </si>
  <si>
    <t>CFO</t>
  </si>
  <si>
    <t>CapEx</t>
  </si>
  <si>
    <t>FCFE</t>
  </si>
  <si>
    <t>CS Oustanding</t>
  </si>
  <si>
    <t>FCFE/Shr</t>
  </si>
  <si>
    <t>Share Price</t>
  </si>
  <si>
    <t>FCFE Yield</t>
  </si>
  <si>
    <t>2022 EST</t>
  </si>
  <si>
    <t>in thousands</t>
  </si>
  <si>
    <t>maybe to much Stock based comp for positive CFO?</t>
  </si>
  <si>
    <t>Debt Issuance &amp; rep</t>
  </si>
  <si>
    <t>$1 rev estimated for 2027 by  CEO</t>
  </si>
  <si>
    <t>2022 is investment year apparently. Will this continue tho?</t>
  </si>
  <si>
    <t>CGAR/AVG</t>
  </si>
  <si>
    <t>Margin Goal</t>
  </si>
  <si>
    <t>#=L21/L7</t>
  </si>
  <si>
    <t>#=L13/L7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</si>
</sst>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_);_([$$-409]* \(#,##0\);_([$$-409]* &quot;-&quot;??_);_(@_)"/>
    <numFmt numFmtId="165" formatCode="_([$$-409]* #,##0.00_);_([$$-409]* \(#,##0.00\);_([$$-409]* &quot;-&quot;??_);_(@_)"/>
    <numFmt numFmtId="168" formatCode="_(&quot;$&quot;* #,##0.0_);_(&quot;$&quot;* \(#,##0.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left" indent="1"/>
    </xf>
    <xf numFmtId="164" fontId="0" fillId="3" borderId="0" xfId="0" applyNumberFormat="1" applyFill="1"/>
    <xf numFmtId="0" fontId="0" fillId="3" borderId="0" xfId="0" applyFill="1"/>
    <xf numFmtId="0" fontId="1" fillId="2" borderId="0" xfId="0" applyFont="1" applyFill="1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10" fontId="5" fillId="0" borderId="0" xfId="1" applyNumberFormat="1" applyFont="1"/>
    <xf numFmtId="0" fontId="4" fillId="0" borderId="0" xfId="0" applyFont="1" applyAlignment="1">
      <alignment horizontal="center"/>
    </xf>
    <xf numFmtId="9" fontId="0" fillId="0" borderId="0" xfId="1" applyFont="1"/>
    <xf numFmtId="164" fontId="0" fillId="0" borderId="0" xfId="0" applyNumberFormat="1" applyAlignment="1">
      <alignment horizontal="left" indent="2"/>
    </xf>
    <xf numFmtId="14" fontId="0" fillId="0" borderId="0" xfId="0" applyNumberFormat="1"/>
    <xf numFmtId="1" fontId="0" fillId="0" borderId="0" xfId="0" applyNumberFormat="1"/>
    <xf numFmtId="2" fontId="0" fillId="4" borderId="0" xfId="0" applyNumberFormat="1" applyFill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9" fontId="2" fillId="0" borderId="0" xfId="1" applyFont="1" applyAlignment="1">
      <alignment horizontal="center"/>
    </xf>
    <xf numFmtId="9" fontId="6" fillId="0" borderId="0" xfId="1" applyFont="1"/>
    <xf numFmtId="168" fontId="0" fillId="0" borderId="0" xfId="0" applyNumberForma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Border="1"/>
    <xf numFmtId="0" fontId="1" fillId="5" borderId="0" xfId="0" applyFont="1" applyFill="1" applyBorder="1" applyAlignment="1">
      <alignment horizontal="center"/>
    </xf>
    <xf numFmtId="164" fontId="0" fillId="0" borderId="0" xfId="0" applyNumberFormat="1" applyBorder="1"/>
    <xf numFmtId="9" fontId="8" fillId="0" borderId="0" xfId="1" applyFont="1"/>
    <xf numFmtId="9" fontId="8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showGridLines="0" tabSelected="1" topLeftCell="A6" workbookViewId="0">
      <pane xSplit="2" topLeftCell="C1" activePane="topRight" state="frozen"/>
      <selection pane="topRight" activeCell="O35" sqref="O35"/>
    </sheetView>
  </sheetViews>
  <sheetFormatPr defaultRowHeight="15" x14ac:dyDescent="0.25"/>
  <cols>
    <col min="1" max="1" width="3" bestFit="1" customWidth="1"/>
    <col min="2" max="2" width="18.28515625" bestFit="1" customWidth="1"/>
    <col min="3" max="12" width="11.5703125" bestFit="1" customWidth="1"/>
    <col min="13" max="13" width="12.5703125" bestFit="1" customWidth="1"/>
    <col min="14" max="14" width="10.85546875" style="17" bestFit="1" customWidth="1"/>
    <col min="15" max="15" width="12.7109375" style="29" bestFit="1" customWidth="1"/>
    <col min="16" max="16" width="12.7109375" bestFit="1" customWidth="1"/>
    <col min="17" max="24" width="11.5703125" bestFit="1" customWidth="1"/>
  </cols>
  <sheetData>
    <row r="1" spans="1:24" x14ac:dyDescent="0.25">
      <c r="B1" s="11" t="s">
        <v>0</v>
      </c>
      <c r="C1" t="s">
        <v>24</v>
      </c>
      <c r="E1" s="14">
        <v>44073</v>
      </c>
    </row>
    <row r="2" spans="1:24" x14ac:dyDescent="0.25">
      <c r="B2" s="11"/>
      <c r="C2" s="7">
        <v>2012</v>
      </c>
      <c r="D2" s="7">
        <f>C2+1</f>
        <v>2013</v>
      </c>
      <c r="E2" s="7">
        <f t="shared" ref="E2:L2" si="0">D2+1</f>
        <v>2014</v>
      </c>
      <c r="F2" s="7">
        <f t="shared" si="0"/>
        <v>2015</v>
      </c>
      <c r="G2" s="7">
        <f t="shared" si="0"/>
        <v>2016</v>
      </c>
      <c r="H2" s="7">
        <f t="shared" si="0"/>
        <v>2017</v>
      </c>
      <c r="I2" s="7">
        <f t="shared" si="0"/>
        <v>2018</v>
      </c>
      <c r="J2" s="7">
        <f t="shared" si="0"/>
        <v>2019</v>
      </c>
      <c r="K2" s="7">
        <f t="shared" si="0"/>
        <v>2020</v>
      </c>
      <c r="L2" s="7">
        <f t="shared" si="0"/>
        <v>2021</v>
      </c>
      <c r="M2" s="7" t="s">
        <v>23</v>
      </c>
      <c r="N2" s="19" t="s">
        <v>29</v>
      </c>
      <c r="O2" s="30">
        <v>2023</v>
      </c>
      <c r="P2" s="18">
        <f>O2+1</f>
        <v>2024</v>
      </c>
      <c r="Q2" s="18">
        <f t="shared" ref="Q2:X2" si="1">P2+1</f>
        <v>2025</v>
      </c>
      <c r="R2" s="18">
        <f t="shared" si="1"/>
        <v>2026</v>
      </c>
      <c r="S2" s="18">
        <f t="shared" si="1"/>
        <v>2027</v>
      </c>
      <c r="T2" s="18">
        <f t="shared" si="1"/>
        <v>2028</v>
      </c>
      <c r="U2" s="18">
        <f t="shared" si="1"/>
        <v>2029</v>
      </c>
      <c r="V2" s="18">
        <f t="shared" si="1"/>
        <v>2030</v>
      </c>
      <c r="W2" s="18">
        <f t="shared" si="1"/>
        <v>2031</v>
      </c>
      <c r="X2" s="18">
        <f t="shared" si="1"/>
        <v>2032</v>
      </c>
    </row>
    <row r="3" spans="1:24" x14ac:dyDescent="0.25">
      <c r="B3" s="2" t="s">
        <v>1</v>
      </c>
      <c r="C3" s="3">
        <v>353633</v>
      </c>
      <c r="D3" s="3">
        <v>513400</v>
      </c>
      <c r="E3" s="3">
        <v>653652</v>
      </c>
      <c r="F3" s="3">
        <v>666163</v>
      </c>
      <c r="G3" s="3">
        <v>632965</v>
      </c>
      <c r="H3" s="3">
        <v>646069</v>
      </c>
      <c r="I3" s="3">
        <v>687660</v>
      </c>
      <c r="J3" s="3">
        <v>629094</v>
      </c>
      <c r="K3" s="3">
        <v>557240</v>
      </c>
      <c r="L3" s="3">
        <v>615639</v>
      </c>
      <c r="M3" s="13">
        <f>AVERAGE(530000,570000)</f>
        <v>550000</v>
      </c>
      <c r="N3" s="20">
        <f>(M3/C3)^(1/10)-1</f>
        <v>4.5155692756208454E-2</v>
      </c>
      <c r="O3" s="31">
        <f>M3*(1+$N$3)</f>
        <v>574835.63101591461</v>
      </c>
      <c r="P3" s="31">
        <f>O3*(1+$N$3)</f>
        <v>600792.73215539043</v>
      </c>
      <c r="Q3" s="31">
        <f t="shared" ref="Q3:X3" si="2">P3*(1+$N$3)</f>
        <v>627921.94417876226</v>
      </c>
      <c r="R3" s="31">
        <f t="shared" si="2"/>
        <v>656276.19456497952</v>
      </c>
      <c r="S3" s="31">
        <f t="shared" si="2"/>
        <v>685910.80076996947</v>
      </c>
      <c r="T3" s="31">
        <f t="shared" si="2"/>
        <v>716883.57814770308</v>
      </c>
      <c r="U3" s="31">
        <f t="shared" si="2"/>
        <v>749254.95274451212</v>
      </c>
      <c r="V3" s="31">
        <f t="shared" si="2"/>
        <v>783088.07918671076</v>
      </c>
      <c r="W3" s="31">
        <f t="shared" si="2"/>
        <v>818448.96389151528</v>
      </c>
      <c r="X3" s="31">
        <f t="shared" si="2"/>
        <v>855406.59384163772</v>
      </c>
    </row>
    <row r="4" spans="1:24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1:24" x14ac:dyDescent="0.25">
      <c r="B5" s="4" t="s">
        <v>2</v>
      </c>
      <c r="C5">
        <v>60571</v>
      </c>
      <c r="D5">
        <v>80861</v>
      </c>
      <c r="E5">
        <v>26315</v>
      </c>
      <c r="F5">
        <v>-641924</v>
      </c>
      <c r="G5">
        <v>-38420</v>
      </c>
      <c r="H5">
        <v>-53973</v>
      </c>
      <c r="I5">
        <v>-43191</v>
      </c>
      <c r="J5">
        <f>-65100+7996</f>
        <v>-57104</v>
      </c>
      <c r="K5">
        <f>-143410+24447</f>
        <v>-118963</v>
      </c>
      <c r="L5">
        <f>319540-352609</f>
        <v>-33069</v>
      </c>
      <c r="M5" s="15">
        <f>(55270+1954+2573)*-2</f>
        <v>-119594</v>
      </c>
      <c r="N5" s="25"/>
    </row>
    <row r="6" spans="1:24" x14ac:dyDescent="0.25">
      <c r="B6" s="4" t="s">
        <v>3</v>
      </c>
      <c r="C6">
        <v>21229</v>
      </c>
      <c r="D6">
        <v>30444</v>
      </c>
      <c r="E6">
        <v>55188</v>
      </c>
      <c r="F6">
        <v>83069</v>
      </c>
      <c r="G6">
        <v>60535</v>
      </c>
      <c r="H6">
        <v>62041</v>
      </c>
      <c r="I6">
        <v>59293</v>
      </c>
      <c r="J6">
        <v>50396</v>
      </c>
      <c r="K6">
        <v>44595</v>
      </c>
      <c r="L6">
        <v>34623</v>
      </c>
      <c r="M6">
        <f>10900*2</f>
        <v>21800</v>
      </c>
    </row>
    <row r="7" spans="1:24" x14ac:dyDescent="0.25">
      <c r="B7" s="2" t="s">
        <v>5</v>
      </c>
      <c r="C7" s="3">
        <f t="shared" ref="C7:K7" si="3">C5+C6</f>
        <v>81800</v>
      </c>
      <c r="D7" s="3">
        <f t="shared" si="3"/>
        <v>111305</v>
      </c>
      <c r="E7" s="3">
        <f t="shared" si="3"/>
        <v>81503</v>
      </c>
      <c r="F7" s="3">
        <f t="shared" si="3"/>
        <v>-558855</v>
      </c>
      <c r="G7" s="3">
        <f t="shared" si="3"/>
        <v>22115</v>
      </c>
      <c r="H7" s="3">
        <f t="shared" si="3"/>
        <v>8068</v>
      </c>
      <c r="I7" s="3">
        <f t="shared" si="3"/>
        <v>16102</v>
      </c>
      <c r="J7" s="3">
        <f t="shared" si="3"/>
        <v>-6708</v>
      </c>
      <c r="K7" s="3">
        <f t="shared" si="3"/>
        <v>-74368</v>
      </c>
      <c r="L7" s="3">
        <f t="shared" ref="L7:M7" si="4">L5+L6</f>
        <v>1554</v>
      </c>
      <c r="M7" s="3">
        <f t="shared" si="4"/>
        <v>-97794</v>
      </c>
      <c r="N7" s="26"/>
      <c r="O7" s="31">
        <f>O3*$N$8</f>
        <v>114967.12620318292</v>
      </c>
      <c r="P7" s="31">
        <f t="shared" ref="P7:X7" si="5">P3*$N$8</f>
        <v>120158.5464310781</v>
      </c>
      <c r="Q7" s="31">
        <f t="shared" si="5"/>
        <v>125584.38883575246</v>
      </c>
      <c r="R7" s="31">
        <f t="shared" si="5"/>
        <v>131255.2389129959</v>
      </c>
      <c r="S7" s="31">
        <f t="shared" si="5"/>
        <v>137182.1601539939</v>
      </c>
      <c r="T7" s="31">
        <f t="shared" si="5"/>
        <v>143376.71562954062</v>
      </c>
      <c r="U7" s="31">
        <f t="shared" si="5"/>
        <v>149850.99054890242</v>
      </c>
      <c r="V7" s="31">
        <f t="shared" si="5"/>
        <v>156617.61583734216</v>
      </c>
      <c r="W7" s="31">
        <f t="shared" si="5"/>
        <v>163689.79277830306</v>
      </c>
      <c r="X7" s="31">
        <f t="shared" si="5"/>
        <v>171081.31876832756</v>
      </c>
    </row>
    <row r="8" spans="1:24" x14ac:dyDescent="0.25">
      <c r="B8" s="2"/>
      <c r="C8" s="12"/>
      <c r="D8" s="12"/>
      <c r="E8" s="12"/>
      <c r="F8" s="12"/>
      <c r="G8" s="12"/>
      <c r="H8" s="12"/>
      <c r="I8" s="12"/>
      <c r="J8" s="12"/>
      <c r="K8" s="12"/>
      <c r="L8" s="12"/>
      <c r="M8" s="32" t="s">
        <v>30</v>
      </c>
      <c r="N8" s="33">
        <v>0.2</v>
      </c>
    </row>
    <row r="9" spans="1:24" x14ac:dyDescent="0.25">
      <c r="B9" s="2"/>
      <c r="C9" s="3"/>
      <c r="D9" s="21">
        <f>D7/C7-1</f>
        <v>0.36069682151589233</v>
      </c>
      <c r="E9" s="21">
        <f t="shared" ref="E9:M9" si="6">E7/D7-1</f>
        <v>-0.2677507748978033</v>
      </c>
      <c r="F9" s="21">
        <f t="shared" si="6"/>
        <v>-7.8568641645092816</v>
      </c>
      <c r="G9" s="21">
        <f t="shared" si="6"/>
        <v>-1.0395719819989084</v>
      </c>
      <c r="H9" s="21">
        <f t="shared" si="6"/>
        <v>-0.63517974225638707</v>
      </c>
      <c r="I9" s="21">
        <f t="shared" si="6"/>
        <v>0.99578582052553299</v>
      </c>
      <c r="J9" s="21">
        <f t="shared" si="6"/>
        <v>-1.416594211899143</v>
      </c>
      <c r="K9" s="21">
        <f t="shared" si="6"/>
        <v>10.086463923673225</v>
      </c>
      <c r="L9" s="21">
        <f t="shared" si="6"/>
        <v>-1.0208960843373494</v>
      </c>
      <c r="M9" s="21">
        <f t="shared" si="6"/>
        <v>-63.930501930501933</v>
      </c>
      <c r="N9" s="20">
        <f>AVERAGE(D9:M9)</f>
        <v>-6.4724412324686158</v>
      </c>
    </row>
    <row r="11" spans="1:24" x14ac:dyDescent="0.25">
      <c r="B11" s="4" t="s">
        <v>7</v>
      </c>
      <c r="C11">
        <v>174</v>
      </c>
      <c r="D11">
        <v>187</v>
      </c>
      <c r="E11">
        <v>684</v>
      </c>
      <c r="F11">
        <v>529</v>
      </c>
      <c r="G11">
        <v>572</v>
      </c>
      <c r="H11">
        <v>644</v>
      </c>
      <c r="I11">
        <v>654</v>
      </c>
      <c r="J11" s="6">
        <f>9569+2506</f>
        <v>12075</v>
      </c>
      <c r="K11" s="6">
        <f>9534+2051</f>
        <v>11585</v>
      </c>
      <c r="L11" s="6">
        <v>8344</v>
      </c>
      <c r="M11">
        <f>8465</f>
        <v>8465</v>
      </c>
    </row>
    <row r="12" spans="1:24" x14ac:dyDescent="0.25">
      <c r="B12" s="4" t="s">
        <v>6</v>
      </c>
      <c r="C12">
        <f>7443+80531</f>
        <v>87974</v>
      </c>
      <c r="D12">
        <f>7277+11416</f>
        <v>18693</v>
      </c>
      <c r="E12">
        <v>8905</v>
      </c>
      <c r="F12">
        <v>8187</v>
      </c>
      <c r="G12">
        <v>7587</v>
      </c>
      <c r="H12">
        <v>7078</v>
      </c>
      <c r="I12">
        <f>6392+25000</f>
        <v>31392</v>
      </c>
      <c r="J12" s="6">
        <f>35402+45215</f>
        <v>80617</v>
      </c>
      <c r="K12" s="6">
        <f>48469+19218</f>
        <v>67687</v>
      </c>
      <c r="L12" s="6">
        <f>47420+446859</f>
        <v>494279</v>
      </c>
      <c r="M12">
        <f>448081+46139</f>
        <v>494220</v>
      </c>
    </row>
    <row r="13" spans="1:24" x14ac:dyDescent="0.25">
      <c r="B13" s="2" t="s">
        <v>8</v>
      </c>
      <c r="C13" s="3">
        <f t="shared" ref="C13:K13" si="7">SUM(C11:C12)</f>
        <v>88148</v>
      </c>
      <c r="D13" s="3">
        <f t="shared" si="7"/>
        <v>18880</v>
      </c>
      <c r="E13" s="3">
        <f t="shared" si="7"/>
        <v>9589</v>
      </c>
      <c r="F13" s="3">
        <f t="shared" si="7"/>
        <v>8716</v>
      </c>
      <c r="G13" s="3">
        <f t="shared" si="7"/>
        <v>8159</v>
      </c>
      <c r="H13" s="3">
        <f t="shared" si="7"/>
        <v>7722</v>
      </c>
      <c r="I13" s="5">
        <f t="shared" si="7"/>
        <v>32046</v>
      </c>
      <c r="J13" s="3">
        <f t="shared" si="7"/>
        <v>92692</v>
      </c>
      <c r="K13" s="3">
        <f t="shared" si="7"/>
        <v>79272</v>
      </c>
      <c r="L13" s="3">
        <f>SUM(L11:L12)</f>
        <v>502623</v>
      </c>
      <c r="M13" s="3">
        <f t="shared" ref="M13" si="8">SUM(M11:M12)</f>
        <v>502685</v>
      </c>
      <c r="N13" s="20">
        <f>(M13/C13)^(1/10)-1</f>
        <v>0.19016821126674865</v>
      </c>
    </row>
    <row r="15" spans="1:24" x14ac:dyDescent="0.25">
      <c r="B15" s="4" t="s">
        <v>9</v>
      </c>
      <c r="C15">
        <v>155859</v>
      </c>
      <c r="D15">
        <v>306316</v>
      </c>
      <c r="E15">
        <v>284862</v>
      </c>
      <c r="F15">
        <v>155643</v>
      </c>
      <c r="G15">
        <v>184947</v>
      </c>
      <c r="H15">
        <v>136344</v>
      </c>
      <c r="I15">
        <v>109998</v>
      </c>
      <c r="J15">
        <v>133665</v>
      </c>
      <c r="K15">
        <v>75010</v>
      </c>
      <c r="L15">
        <v>789657</v>
      </c>
      <c r="M15">
        <f>298834+339386</f>
        <v>638220</v>
      </c>
    </row>
    <row r="16" spans="1:24" x14ac:dyDescent="0.25">
      <c r="A16" t="s">
        <v>4</v>
      </c>
      <c r="B16" s="4" t="s">
        <v>10</v>
      </c>
      <c r="C16">
        <f>2*75153</f>
        <v>150306</v>
      </c>
      <c r="D16">
        <f>2*110456</f>
        <v>220912</v>
      </c>
      <c r="E16">
        <f>2*147826</f>
        <v>295652</v>
      </c>
      <c r="F16">
        <f>2*145471</f>
        <v>290942</v>
      </c>
      <c r="G16">
        <f>2*130405</f>
        <v>260810</v>
      </c>
      <c r="H16">
        <f>2*207129</f>
        <v>414258</v>
      </c>
      <c r="I16">
        <f>2*164040</f>
        <v>328080</v>
      </c>
      <c r="J16">
        <f>2*162964</f>
        <v>325928</v>
      </c>
      <c r="K16">
        <f>2*175730</f>
        <v>351460</v>
      </c>
      <c r="L16">
        <f>2*178012</f>
        <v>356024</v>
      </c>
      <c r="M16">
        <f>162368*2</f>
        <v>324736</v>
      </c>
    </row>
    <row r="17" spans="2:15" x14ac:dyDescent="0.25">
      <c r="B17" s="2" t="s">
        <v>11</v>
      </c>
      <c r="C17" s="3">
        <f t="shared" ref="C17:H17" si="9">IF(C15&gt;C16,C15-C16,0)</f>
        <v>5553</v>
      </c>
      <c r="D17" s="3">
        <f t="shared" si="9"/>
        <v>85404</v>
      </c>
      <c r="E17" s="3">
        <f t="shared" si="9"/>
        <v>0</v>
      </c>
      <c r="F17" s="3">
        <f t="shared" si="9"/>
        <v>0</v>
      </c>
      <c r="G17" s="3">
        <f t="shared" si="9"/>
        <v>0</v>
      </c>
      <c r="H17" s="3">
        <f t="shared" si="9"/>
        <v>0</v>
      </c>
      <c r="I17" s="3">
        <f>IF(I15&gt;J16,I15-J16,0)</f>
        <v>0</v>
      </c>
      <c r="J17" s="3">
        <f>IF(J15&gt;I16,J15-I16,0)</f>
        <v>0</v>
      </c>
      <c r="K17" s="3">
        <f t="shared" ref="K17" si="10">IF(K15&gt;K16,K15-K16,0)</f>
        <v>0</v>
      </c>
      <c r="L17" s="3">
        <f t="shared" ref="L17:M17" si="11">IF(L15&gt;L16,L15-L16,0)</f>
        <v>433633</v>
      </c>
      <c r="M17" s="3">
        <f t="shared" si="11"/>
        <v>313484</v>
      </c>
      <c r="N17" s="20">
        <f>(M17/C17)^(1/10)-1</f>
        <v>0.49681721929388578</v>
      </c>
    </row>
    <row r="19" spans="2:15" x14ac:dyDescent="0.25">
      <c r="B19" s="2" t="s">
        <v>12</v>
      </c>
      <c r="C19" s="3">
        <f>C39*C43</f>
        <v>1331923.9270124645</v>
      </c>
      <c r="D19" s="3">
        <f t="shared" ref="D19:M19" si="12">D39*D43</f>
        <v>5148412.4121784503</v>
      </c>
      <c r="E19" s="3">
        <f t="shared" si="12"/>
        <v>5927060.5334364278</v>
      </c>
      <c r="F19" s="3">
        <f t="shared" si="12"/>
        <v>2154427.6787430709</v>
      </c>
      <c r="G19" s="3">
        <f t="shared" si="12"/>
        <v>1544167.5127380961</v>
      </c>
      <c r="H19" s="3">
        <f t="shared" si="12"/>
        <v>1694071.3078997217</v>
      </c>
      <c r="I19" s="3">
        <f t="shared" si="12"/>
        <v>1546591.9966999998</v>
      </c>
      <c r="J19" s="3">
        <f t="shared" si="12"/>
        <v>1125445.6269047614</v>
      </c>
      <c r="K19" s="3">
        <f t="shared" si="12"/>
        <v>968855.83683794446</v>
      </c>
      <c r="L19" s="3">
        <f t="shared" si="12"/>
        <v>3661388.9581757635</v>
      </c>
      <c r="M19" s="3">
        <f t="shared" si="12"/>
        <v>1329965</v>
      </c>
      <c r="N19" s="20">
        <f>(M19/C19)^(1/10)-1</f>
        <v>-1.4717242275896769E-4</v>
      </c>
    </row>
    <row r="20" spans="2:15" x14ac:dyDescent="0.25">
      <c r="N20" s="20"/>
    </row>
    <row r="21" spans="2:15" x14ac:dyDescent="0.25">
      <c r="B21" s="2" t="s">
        <v>13</v>
      </c>
      <c r="C21" s="3">
        <f>C19+C13-C17</f>
        <v>1414518.9270124645</v>
      </c>
      <c r="D21" s="3">
        <f t="shared" ref="D21:M21" si="13">D19+D13-D17</f>
        <v>5081888.4121784503</v>
      </c>
      <c r="E21" s="3">
        <f t="shared" si="13"/>
        <v>5936649.5334364278</v>
      </c>
      <c r="F21" s="3">
        <f t="shared" si="13"/>
        <v>2163143.6787430709</v>
      </c>
      <c r="G21" s="3">
        <f t="shared" si="13"/>
        <v>1552326.5127380961</v>
      </c>
      <c r="H21" s="3">
        <f t="shared" si="13"/>
        <v>1701793.3078997217</v>
      </c>
      <c r="I21" s="3">
        <f t="shared" si="13"/>
        <v>1578637.9966999998</v>
      </c>
      <c r="J21" s="3">
        <f t="shared" si="13"/>
        <v>1218137.6269047614</v>
      </c>
      <c r="K21" s="3">
        <f t="shared" si="13"/>
        <v>1048127.8368379445</v>
      </c>
      <c r="L21" s="3">
        <f t="shared" si="13"/>
        <v>3730378.9581757635</v>
      </c>
      <c r="M21" s="3">
        <f t="shared" si="13"/>
        <v>1519166</v>
      </c>
      <c r="N21" s="20">
        <f>(M21/C21)^(1/10)-1</f>
        <v>7.162731288751667E-3</v>
      </c>
      <c r="O21" s="31"/>
    </row>
    <row r="22" spans="2:15" x14ac:dyDescent="0.25">
      <c r="B22" s="2"/>
    </row>
    <row r="23" spans="2:15" x14ac:dyDescent="0.25">
      <c r="B23" s="2" t="s">
        <v>14</v>
      </c>
      <c r="C23" s="9">
        <f>C21/C7</f>
        <v>17.292407420690274</v>
      </c>
      <c r="D23" s="9">
        <f t="shared" ref="D23:M23" si="14">D21/D7</f>
        <v>45.657323679784831</v>
      </c>
      <c r="E23" s="9">
        <f t="shared" si="14"/>
        <v>72.839644349734712</v>
      </c>
      <c r="F23" s="9">
        <f t="shared" si="14"/>
        <v>-3.870670708400338</v>
      </c>
      <c r="G23" s="9">
        <f t="shared" si="14"/>
        <v>70.193376112959356</v>
      </c>
      <c r="H23" s="9">
        <f t="shared" si="14"/>
        <v>210.93124788048112</v>
      </c>
      <c r="I23" s="9">
        <f t="shared" si="14"/>
        <v>98.039870618556691</v>
      </c>
      <c r="J23" s="9">
        <f t="shared" si="14"/>
        <v>-181.59475654513437</v>
      </c>
      <c r="K23" s="9">
        <f t="shared" si="14"/>
        <v>-14.093801592592841</v>
      </c>
      <c r="L23" s="16" t="s">
        <v>31</v>
      </c>
      <c r="M23" s="9">
        <f t="shared" si="14"/>
        <v>-15.534347710493487</v>
      </c>
      <c r="N23" s="23">
        <f>AVERAGE(C23:M23)</f>
        <v>29.986029350558596</v>
      </c>
      <c r="O23" s="31"/>
    </row>
    <row r="24" spans="2:15" x14ac:dyDescent="0.25">
      <c r="N24" s="24"/>
    </row>
    <row r="25" spans="2:15" x14ac:dyDescent="0.25">
      <c r="B25" s="2" t="s">
        <v>15</v>
      </c>
      <c r="C25" s="9">
        <f>C13/C7</f>
        <v>1.0776039119804401</v>
      </c>
      <c r="D25" s="9">
        <f t="shared" ref="D25:M25" si="15">D13/D7</f>
        <v>0.1696240061093392</v>
      </c>
      <c r="E25" s="9">
        <f t="shared" si="15"/>
        <v>0.11765211096524054</v>
      </c>
      <c r="F25" s="9">
        <f t="shared" si="15"/>
        <v>-1.5596174320709307E-2</v>
      </c>
      <c r="G25" s="9">
        <f t="shared" si="15"/>
        <v>0.36893511191498984</v>
      </c>
      <c r="H25" s="9">
        <f t="shared" si="15"/>
        <v>0.95711452652454143</v>
      </c>
      <c r="I25" s="9">
        <f t="shared" si="15"/>
        <v>1.9901875543410756</v>
      </c>
      <c r="J25" s="9">
        <f t="shared" si="15"/>
        <v>-13.818127608825284</v>
      </c>
      <c r="K25" s="9">
        <f t="shared" si="15"/>
        <v>-1.0659423407917383</v>
      </c>
      <c r="L25" s="16" t="s">
        <v>32</v>
      </c>
      <c r="M25" s="9">
        <f t="shared" si="15"/>
        <v>-5.1402437777368757</v>
      </c>
      <c r="N25" s="23">
        <f>AVERAGE(C25:M25)</f>
        <v>-1.5358792679838982</v>
      </c>
    </row>
    <row r="27" spans="2:15" x14ac:dyDescent="0.25">
      <c r="B27" s="2" t="s">
        <v>16</v>
      </c>
      <c r="C27" s="3">
        <v>51350</v>
      </c>
      <c r="D27" s="3">
        <v>25184</v>
      </c>
      <c r="E27" s="3">
        <v>51111</v>
      </c>
      <c r="F27" s="3">
        <v>-3128</v>
      </c>
      <c r="G27" s="3">
        <v>57481</v>
      </c>
      <c r="H27" s="3">
        <v>26127</v>
      </c>
      <c r="I27" s="3">
        <v>4796</v>
      </c>
      <c r="J27" s="3">
        <v>31581</v>
      </c>
      <c r="K27" s="3">
        <v>-20121</v>
      </c>
      <c r="L27" s="3">
        <v>48147</v>
      </c>
      <c r="M27" s="3">
        <f>-38211*2</f>
        <v>-76422</v>
      </c>
      <c r="N27" s="20"/>
    </row>
    <row r="28" spans="2:15" x14ac:dyDescent="0.25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0"/>
    </row>
    <row r="29" spans="2:15" x14ac:dyDescent="0.25">
      <c r="B29" s="2"/>
      <c r="C29" s="3"/>
      <c r="D29" s="21">
        <f>D27/C27-1</f>
        <v>-0.50956183057448878</v>
      </c>
      <c r="E29" s="21">
        <f t="shared" ref="E29:M29" si="16">E27/D27-1</f>
        <v>1.0295028589580686</v>
      </c>
      <c r="F29" s="21">
        <f t="shared" si="16"/>
        <v>-1.0612001330437675</v>
      </c>
      <c r="G29" s="21">
        <f t="shared" si="16"/>
        <v>-19.376278772378516</v>
      </c>
      <c r="H29" s="21">
        <f t="shared" si="16"/>
        <v>-0.54546719785668307</v>
      </c>
      <c r="I29" s="21">
        <f t="shared" si="16"/>
        <v>-0.81643510544647302</v>
      </c>
      <c r="J29" s="21">
        <f t="shared" si="16"/>
        <v>5.5848623853211006</v>
      </c>
      <c r="K29" s="21">
        <f t="shared" si="16"/>
        <v>-1.637123586966847</v>
      </c>
      <c r="L29" s="21">
        <f t="shared" si="16"/>
        <v>-3.3928731176382882</v>
      </c>
      <c r="M29" s="21">
        <f t="shared" si="16"/>
        <v>-2.5872640039877872</v>
      </c>
      <c r="N29" s="20">
        <f>AVERAGE(D29:M29)</f>
        <v>-2.3311838503613682</v>
      </c>
    </row>
    <row r="30" spans="2:15" x14ac:dyDescent="0.25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0"/>
    </row>
    <row r="31" spans="2:15" x14ac:dyDescent="0.25">
      <c r="B31" s="2" t="s">
        <v>17</v>
      </c>
      <c r="C31" s="3">
        <v>-3224</v>
      </c>
      <c r="D31" s="3">
        <v>-6972</v>
      </c>
      <c r="E31" s="3">
        <v>-22727</v>
      </c>
      <c r="F31" s="3">
        <v>-22399</v>
      </c>
      <c r="G31" s="3">
        <v>-16567</v>
      </c>
      <c r="H31" s="3">
        <v>-30881</v>
      </c>
      <c r="I31" s="3">
        <v>-40694</v>
      </c>
      <c r="J31" s="3">
        <v>-23985</v>
      </c>
      <c r="K31" s="3">
        <v>-13643</v>
      </c>
      <c r="L31" s="3">
        <v>-18791</v>
      </c>
      <c r="M31" s="22">
        <f>-10368*2</f>
        <v>-20736</v>
      </c>
      <c r="N31" s="20">
        <f>(M31/C31)^(1/10)-1</f>
        <v>0.20457264134522002</v>
      </c>
    </row>
    <row r="33" spans="2:14" x14ac:dyDescent="0.25">
      <c r="B33" s="2" t="s">
        <v>26</v>
      </c>
      <c r="C33" s="3">
        <v>-163</v>
      </c>
      <c r="D33" s="3">
        <v>-157</v>
      </c>
      <c r="E33" s="3">
        <v>-696</v>
      </c>
      <c r="F33" s="3">
        <v>-1049</v>
      </c>
      <c r="G33" s="3">
        <v>-1055</v>
      </c>
      <c r="H33" s="3">
        <v>-437</v>
      </c>
      <c r="I33" s="3">
        <f>25000-694</f>
        <v>24306</v>
      </c>
      <c r="J33" s="3">
        <f>100000-76768</f>
        <v>23232</v>
      </c>
      <c r="K33" s="3">
        <f>20000-46840</f>
        <v>-26840</v>
      </c>
      <c r="L33" s="3">
        <f>460000-21392</f>
        <v>438608</v>
      </c>
      <c r="M33" s="3">
        <v>0</v>
      </c>
      <c r="N33" s="26"/>
    </row>
    <row r="35" spans="2:14" x14ac:dyDescent="0.25">
      <c r="B35" s="2" t="s">
        <v>18</v>
      </c>
      <c r="C35" s="3">
        <f>C27+C31+C33</f>
        <v>47963</v>
      </c>
      <c r="D35" s="3">
        <f>D27+D31+D33</f>
        <v>18055</v>
      </c>
      <c r="E35" s="3">
        <f>E27+E31+E33</f>
        <v>27688</v>
      </c>
      <c r="F35" s="3">
        <f>F27+F31+F33</f>
        <v>-26576</v>
      </c>
      <c r="G35" s="3">
        <f>G27+G31+G33</f>
        <v>39859</v>
      </c>
      <c r="H35" s="3">
        <f>H27+H31+H33</f>
        <v>-5191</v>
      </c>
      <c r="I35" s="3">
        <f>I27+I31+I33</f>
        <v>-11592</v>
      </c>
      <c r="J35" s="3">
        <f>J27+J31+J33</f>
        <v>30828</v>
      </c>
      <c r="K35" s="3">
        <f>K27+K31+K33</f>
        <v>-60604</v>
      </c>
      <c r="L35" s="3">
        <f>L27+L31+L33</f>
        <v>467964</v>
      </c>
      <c r="M35" s="3">
        <f>M27+M31+M33</f>
        <v>-97158</v>
      </c>
      <c r="N35" s="20"/>
    </row>
    <row r="36" spans="2:14" x14ac:dyDescent="0.25"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6"/>
    </row>
    <row r="37" spans="2:14" x14ac:dyDescent="0.25">
      <c r="B37" s="2"/>
      <c r="C37" s="3"/>
      <c r="D37" s="21">
        <f>D35/C35-1</f>
        <v>-0.62356399724787859</v>
      </c>
      <c r="E37" s="21">
        <f t="shared" ref="E37:M37" si="17">E35/D35-1</f>
        <v>0.53353641650512329</v>
      </c>
      <c r="F37" s="21">
        <f t="shared" si="17"/>
        <v>-1.9598381970528749</v>
      </c>
      <c r="G37" s="21">
        <f t="shared" si="17"/>
        <v>-2.4998118603251056</v>
      </c>
      <c r="H37" s="21">
        <f t="shared" si="17"/>
        <v>-1.1302340751147797</v>
      </c>
      <c r="I37" s="21">
        <f t="shared" si="17"/>
        <v>1.2330957426314777</v>
      </c>
      <c r="J37" s="21">
        <f t="shared" si="17"/>
        <v>-3.6594202898550723</v>
      </c>
      <c r="K37" s="21">
        <f t="shared" si="17"/>
        <v>-2.9658751784092381</v>
      </c>
      <c r="L37" s="21">
        <f t="shared" si="17"/>
        <v>-8.7216685367302489</v>
      </c>
      <c r="M37" s="21">
        <f t="shared" si="17"/>
        <v>-1.207618534759084</v>
      </c>
      <c r="N37" s="20">
        <f>AVERAGE(D37:M37)</f>
        <v>-2.1001398510357681</v>
      </c>
    </row>
    <row r="39" spans="2:14" x14ac:dyDescent="0.25">
      <c r="B39" s="2" t="s">
        <v>19</v>
      </c>
      <c r="C39" s="1">
        <v>61382</v>
      </c>
      <c r="D39" s="1">
        <v>103210</v>
      </c>
      <c r="E39" s="1">
        <v>111210</v>
      </c>
      <c r="F39" s="1">
        <v>111627</v>
      </c>
      <c r="G39" s="1">
        <v>113163</v>
      </c>
      <c r="H39" s="1">
        <v>113805</v>
      </c>
      <c r="I39" s="1">
        <v>114340</v>
      </c>
      <c r="J39" s="1">
        <v>118514</v>
      </c>
      <c r="K39" s="1">
        <v>124128</v>
      </c>
      <c r="L39" s="1">
        <v>128309</v>
      </c>
      <c r="M39" s="1">
        <v>128375</v>
      </c>
      <c r="N39" s="20">
        <f>(M39/C39)^(1/10)-1</f>
        <v>7.6574136528447578E-2</v>
      </c>
    </row>
    <row r="41" spans="2:14" x14ac:dyDescent="0.25">
      <c r="B41" s="2" t="s">
        <v>20</v>
      </c>
      <c r="C41" s="8">
        <f>C35/C39</f>
        <v>0.78138542243654496</v>
      </c>
      <c r="D41" s="8">
        <f>D35/D39</f>
        <v>0.17493459936052708</v>
      </c>
      <c r="E41" s="8">
        <f>E35/E39</f>
        <v>0.24897041632946679</v>
      </c>
      <c r="F41" s="8">
        <f>F35/F39</f>
        <v>-0.23807860105530024</v>
      </c>
      <c r="G41" s="8">
        <f>G35/G39</f>
        <v>0.35222643443528362</v>
      </c>
      <c r="H41" s="8">
        <f>H35/H39</f>
        <v>-4.5613110144545492E-2</v>
      </c>
      <c r="I41" s="8">
        <f>I35/I39</f>
        <v>-0.10138184362427846</v>
      </c>
      <c r="J41" s="8">
        <f>J35/J39</f>
        <v>0.26012116711949645</v>
      </c>
      <c r="K41" s="8">
        <f>K35/K39</f>
        <v>-0.48823794792472286</v>
      </c>
      <c r="L41" s="8">
        <f>L35/L39</f>
        <v>3.6471642675104632</v>
      </c>
      <c r="M41" s="8">
        <f>M35/M39</f>
        <v>-0.75682960077896788</v>
      </c>
      <c r="N41" s="27">
        <f>AVERAGE(C41:M41)</f>
        <v>0.34860556396945164</v>
      </c>
    </row>
    <row r="43" spans="2:14" x14ac:dyDescent="0.25">
      <c r="B43" s="2" t="s">
        <v>21</v>
      </c>
      <c r="C43" s="8">
        <v>21.698933352000008</v>
      </c>
      <c r="D43" s="8">
        <v>49.88288355952379</v>
      </c>
      <c r="E43" s="8">
        <v>53.296111261904755</v>
      </c>
      <c r="F43" s="8">
        <v>19.3002381031746</v>
      </c>
      <c r="G43" s="8">
        <v>13.64551587301588</v>
      </c>
      <c r="H43" s="8">
        <v>14.885737075697216</v>
      </c>
      <c r="I43" s="8">
        <v>13.526254999999997</v>
      </c>
      <c r="J43" s="8">
        <v>9.4963095238095203</v>
      </c>
      <c r="K43" s="8">
        <v>7.8052964426877454</v>
      </c>
      <c r="L43" s="8">
        <v>28.535714238095249</v>
      </c>
      <c r="M43" s="8">
        <v>10.36</v>
      </c>
      <c r="N43" s="20">
        <f>(M43/C43)^(1/10)-1</f>
        <v>-7.1264306235894082E-2</v>
      </c>
    </row>
    <row r="45" spans="2:14" x14ac:dyDescent="0.25">
      <c r="B45" s="2" t="s">
        <v>22</v>
      </c>
      <c r="C45" s="10">
        <f>C41/C43</f>
        <v>3.6010314874049973E-2</v>
      </c>
      <c r="D45" s="10">
        <f t="shared" ref="D45:M45" si="18">D41/D43</f>
        <v>3.5069063149042439E-3</v>
      </c>
      <c r="E45" s="10">
        <f t="shared" si="18"/>
        <v>4.671455579676167E-3</v>
      </c>
      <c r="F45" s="10">
        <f t="shared" si="18"/>
        <v>-1.2335526628354906E-2</v>
      </c>
      <c r="G45" s="10">
        <f t="shared" si="18"/>
        <v>2.5812614027426718E-2</v>
      </c>
      <c r="H45" s="10">
        <f t="shared" si="18"/>
        <v>-3.0642157598641498E-3</v>
      </c>
      <c r="I45" s="10">
        <f t="shared" si="18"/>
        <v>-7.4951894389303237E-3</v>
      </c>
      <c r="J45" s="10">
        <f t="shared" si="18"/>
        <v>2.739181641745253E-2</v>
      </c>
      <c r="K45" s="10">
        <f t="shared" si="18"/>
        <v>-6.2552133863169282E-2</v>
      </c>
      <c r="L45" s="10">
        <f t="shared" si="18"/>
        <v>0.12781051271677965</v>
      </c>
      <c r="M45" s="10">
        <f t="shared" si="18"/>
        <v>-7.3053050268240147E-2</v>
      </c>
      <c r="N45" s="28">
        <f>AVERAGE(C45:M45)</f>
        <v>6.0639549065209528E-3</v>
      </c>
    </row>
    <row r="46" spans="2:14" x14ac:dyDescent="0.25">
      <c r="C46" t="s">
        <v>25</v>
      </c>
    </row>
    <row r="47" spans="2:14" x14ac:dyDescent="0.25">
      <c r="C47" t="s">
        <v>27</v>
      </c>
    </row>
    <row r="48" spans="2:14" x14ac:dyDescent="0.25">
      <c r="C48" t="s">
        <v>28</v>
      </c>
    </row>
  </sheetData>
  <mergeCells count="1"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Hisotrical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Tido</cp:lastModifiedBy>
  <dcterms:created xsi:type="dcterms:W3CDTF">2015-06-05T18:17:20Z</dcterms:created>
  <dcterms:modified xsi:type="dcterms:W3CDTF">2022-08-30T16:01:04Z</dcterms:modified>
</cp:coreProperties>
</file>