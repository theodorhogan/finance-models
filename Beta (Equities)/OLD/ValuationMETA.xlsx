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698" documentId="11_F25DC773A252ABDACC10487EA91866DC5BDE58E7" xr6:coauthVersionLast="47" xr6:coauthVersionMax="47" xr10:uidLastSave="{A2162BA6-54C3-4B84-906B-CEF46455A498}"/>
  <bookViews>
    <workbookView xWindow="11424" yWindow="0" windowWidth="11712" windowHeight="12336" xr2:uid="{00000000-000D-0000-FFFF-FFFF00000000}"/>
  </bookViews>
  <sheets>
    <sheet name="Sheet1" sheetId="2" r:id="rId1"/>
    <sheet name="Old_Historical" sheetId="1" r:id="rId2"/>
  </sheets>
  <definedNames>
    <definedName name="FCFE_Multiple">Old_Historical!$AB$15:$AC$15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" i="2" l="1"/>
  <c r="M2" i="2" s="1"/>
  <c r="N2" i="2" s="1"/>
  <c r="O2" i="2" s="1"/>
  <c r="P2" i="2" s="1"/>
  <c r="Q2" i="2" s="1"/>
  <c r="R2" i="2" s="1"/>
  <c r="S2" i="2" s="1"/>
  <c r="T2" i="2" s="1"/>
  <c r="P8" i="1" l="1"/>
  <c r="Q8" i="1" s="1"/>
  <c r="R8" i="1" s="1"/>
  <c r="S8" i="1" s="1"/>
  <c r="T8" i="1" s="1"/>
  <c r="U8" i="1" s="1"/>
  <c r="V8" i="1" s="1"/>
  <c r="W8" i="1" s="1"/>
  <c r="X8" i="1" s="1"/>
  <c r="M38" i="1"/>
  <c r="L38" i="1"/>
  <c r="K38" i="1"/>
  <c r="J38" i="1"/>
  <c r="I38" i="1"/>
  <c r="H38" i="1"/>
  <c r="G38" i="1"/>
  <c r="F38" i="1"/>
  <c r="E38" i="1"/>
  <c r="D38" i="1"/>
  <c r="L26" i="1"/>
  <c r="K26" i="1"/>
  <c r="J26" i="1"/>
  <c r="I26" i="1"/>
  <c r="H26" i="1"/>
  <c r="G26" i="1"/>
  <c r="F26" i="1"/>
  <c r="E26" i="1"/>
  <c r="D26" i="1"/>
  <c r="P2" i="1"/>
  <c r="Q2" i="1" s="1"/>
  <c r="R2" i="1" s="1"/>
  <c r="S2" i="1" s="1"/>
  <c r="T2" i="1" s="1"/>
  <c r="U2" i="1" s="1"/>
  <c r="V2" i="1" s="1"/>
  <c r="W2" i="1" s="1"/>
  <c r="X2" i="1" s="1"/>
  <c r="N37" i="1"/>
  <c r="N27" i="1"/>
  <c r="N3" i="1"/>
  <c r="M33" i="1"/>
  <c r="M17" i="1" s="1"/>
  <c r="M29" i="1"/>
  <c r="N29" i="1" s="1"/>
  <c r="M14" i="1"/>
  <c r="M13" i="1"/>
  <c r="M11" i="1"/>
  <c r="AB7" i="1" s="1"/>
  <c r="AC7" i="1" s="1"/>
  <c r="L33" i="1"/>
  <c r="L17" i="1" s="1"/>
  <c r="K33" i="1"/>
  <c r="K17" i="1" s="1"/>
  <c r="J33" i="1"/>
  <c r="I33" i="1"/>
  <c r="I17" i="1" s="1"/>
  <c r="G33" i="1"/>
  <c r="G17" i="1" s="1"/>
  <c r="H33" i="1"/>
  <c r="H17" i="1" s="1"/>
  <c r="F33" i="1"/>
  <c r="E33" i="1"/>
  <c r="E17" i="1" s="1"/>
  <c r="C33" i="1"/>
  <c r="C17" i="1" s="1"/>
  <c r="D33" i="1"/>
  <c r="D17" i="1" s="1"/>
  <c r="L31" i="1"/>
  <c r="K31" i="1"/>
  <c r="J31" i="1"/>
  <c r="I31" i="1"/>
  <c r="H31" i="1"/>
  <c r="G31" i="1"/>
  <c r="F31" i="1"/>
  <c r="E31" i="1"/>
  <c r="C31" i="1"/>
  <c r="D29" i="1"/>
  <c r="D31" i="1" s="1"/>
  <c r="D14" i="1"/>
  <c r="C14" i="1"/>
  <c r="H14" i="1"/>
  <c r="G14" i="1"/>
  <c r="F14" i="1"/>
  <c r="E14" i="1"/>
  <c r="D13" i="1"/>
  <c r="C13" i="1"/>
  <c r="C10" i="1"/>
  <c r="C11" i="1" s="1"/>
  <c r="F13" i="1"/>
  <c r="E13" i="1"/>
  <c r="H13" i="1"/>
  <c r="G13" i="1"/>
  <c r="I7" i="1"/>
  <c r="H7" i="1"/>
  <c r="G7" i="1"/>
  <c r="F7" i="1"/>
  <c r="E7" i="1"/>
  <c r="D7" i="1"/>
  <c r="C7" i="1"/>
  <c r="I14" i="1"/>
  <c r="I13" i="1"/>
  <c r="J14" i="1"/>
  <c r="J13" i="1"/>
  <c r="J11" i="1"/>
  <c r="I11" i="1"/>
  <c r="H11" i="1"/>
  <c r="G11" i="1"/>
  <c r="F11" i="1"/>
  <c r="E11" i="1"/>
  <c r="D11" i="1"/>
  <c r="K14" i="1"/>
  <c r="K13" i="1"/>
  <c r="L11" i="1"/>
  <c r="K11" i="1"/>
  <c r="K7" i="1"/>
  <c r="J7" i="1"/>
  <c r="L7" i="1"/>
  <c r="L14" i="1"/>
  <c r="L13" i="1"/>
  <c r="M15" i="1" l="1"/>
  <c r="G23" i="1"/>
  <c r="L32" i="1"/>
  <c r="K15" i="1"/>
  <c r="K19" i="1" s="1"/>
  <c r="G8" i="1"/>
  <c r="E8" i="1"/>
  <c r="M18" i="1"/>
  <c r="K8" i="1"/>
  <c r="F23" i="1"/>
  <c r="K35" i="1"/>
  <c r="K39" i="1" s="1"/>
  <c r="G32" i="1"/>
  <c r="D18" i="1"/>
  <c r="L18" i="1"/>
  <c r="C23" i="1"/>
  <c r="E18" i="1"/>
  <c r="K23" i="1"/>
  <c r="D23" i="1"/>
  <c r="D15" i="1"/>
  <c r="D19" i="1" s="1"/>
  <c r="D8" i="1"/>
  <c r="C15" i="1"/>
  <c r="N15" i="1" s="1"/>
  <c r="E23" i="1"/>
  <c r="I15" i="1"/>
  <c r="I19" i="1" s="1"/>
  <c r="E15" i="1"/>
  <c r="H32" i="1"/>
  <c r="I8" i="1"/>
  <c r="I32" i="1"/>
  <c r="J32" i="1"/>
  <c r="K32" i="1"/>
  <c r="G35" i="1"/>
  <c r="G39" i="1" s="1"/>
  <c r="N33" i="1"/>
  <c r="L23" i="1"/>
  <c r="E32" i="1"/>
  <c r="J35" i="1"/>
  <c r="J39" i="1" s="1"/>
  <c r="M7" i="1"/>
  <c r="M8" i="1"/>
  <c r="M25" i="1"/>
  <c r="M31" i="1" s="1"/>
  <c r="M32" i="1" s="1"/>
  <c r="F8" i="1"/>
  <c r="F32" i="1"/>
  <c r="N17" i="1"/>
  <c r="H8" i="1"/>
  <c r="H18" i="1"/>
  <c r="AB8" i="1"/>
  <c r="AC8" i="1" s="1"/>
  <c r="M19" i="1"/>
  <c r="D35" i="1"/>
  <c r="D39" i="1" s="1"/>
  <c r="D32" i="1"/>
  <c r="I18" i="1"/>
  <c r="I23" i="1"/>
  <c r="E19" i="1"/>
  <c r="J15" i="1"/>
  <c r="F35" i="1"/>
  <c r="L8" i="1"/>
  <c r="AB10" i="1"/>
  <c r="AC10" i="1" s="1"/>
  <c r="H23" i="1"/>
  <c r="H35" i="1"/>
  <c r="N11" i="1"/>
  <c r="J23" i="1"/>
  <c r="J8" i="1"/>
  <c r="L35" i="1"/>
  <c r="J17" i="1"/>
  <c r="I35" i="1"/>
  <c r="F17" i="1"/>
  <c r="G18" i="1" s="1"/>
  <c r="E35" i="1"/>
  <c r="C35" i="1"/>
  <c r="C39" i="1" s="1"/>
  <c r="H15" i="1"/>
  <c r="H19" i="1" s="1"/>
  <c r="G15" i="1"/>
  <c r="G19" i="1" s="1"/>
  <c r="F15" i="1"/>
  <c r="L15" i="1"/>
  <c r="L19" i="1" s="1"/>
  <c r="D2" i="1"/>
  <c r="E2" i="1" s="1"/>
  <c r="F2" i="1" s="1"/>
  <c r="G2" i="1" s="1"/>
  <c r="H2" i="1" s="1"/>
  <c r="I2" i="1" s="1"/>
  <c r="J2" i="1" s="1"/>
  <c r="K2" i="1" s="1"/>
  <c r="L2" i="1" s="1"/>
  <c r="J36" i="1" l="1"/>
  <c r="C19" i="1"/>
  <c r="C21" i="1" s="1"/>
  <c r="M35" i="1"/>
  <c r="M39" i="1" s="1"/>
  <c r="M26" i="1"/>
  <c r="N31" i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N25" i="1"/>
  <c r="N8" i="1"/>
  <c r="K36" i="1"/>
  <c r="N7" i="1"/>
  <c r="M23" i="1"/>
  <c r="N23" i="1" s="1"/>
  <c r="O7" i="1"/>
  <c r="P7" i="1" s="1"/>
  <c r="Q7" i="1" s="1"/>
  <c r="R7" i="1" s="1"/>
  <c r="S7" i="1" s="1"/>
  <c r="G21" i="1"/>
  <c r="L21" i="1"/>
  <c r="L20" i="1"/>
  <c r="H21" i="1"/>
  <c r="H20" i="1"/>
  <c r="L39" i="1"/>
  <c r="L36" i="1"/>
  <c r="D21" i="1"/>
  <c r="H39" i="1"/>
  <c r="H36" i="1"/>
  <c r="M20" i="1"/>
  <c r="M21" i="1"/>
  <c r="E39" i="1"/>
  <c r="E36" i="1"/>
  <c r="I21" i="1"/>
  <c r="I20" i="1"/>
  <c r="E21" i="1"/>
  <c r="E20" i="1"/>
  <c r="F19" i="1"/>
  <c r="G20" i="1" s="1"/>
  <c r="F18" i="1"/>
  <c r="J19" i="1"/>
  <c r="K18" i="1"/>
  <c r="J18" i="1"/>
  <c r="K21" i="1"/>
  <c r="F39" i="1"/>
  <c r="F36" i="1"/>
  <c r="G36" i="1"/>
  <c r="I39" i="1"/>
  <c r="I36" i="1"/>
  <c r="D20" i="1" l="1"/>
  <c r="N39" i="1"/>
  <c r="AB18" i="1" s="1"/>
  <c r="AC18" i="1" s="1"/>
  <c r="O31" i="1"/>
  <c r="P31" i="1" s="1"/>
  <c r="Q31" i="1" s="1"/>
  <c r="R31" i="1" s="1"/>
  <c r="S31" i="1" s="1"/>
  <c r="T31" i="1" s="1"/>
  <c r="U31" i="1" s="1"/>
  <c r="V31" i="1" s="1"/>
  <c r="W31" i="1" s="1"/>
  <c r="X31" i="1" s="1"/>
  <c r="N35" i="1"/>
  <c r="M36" i="1"/>
  <c r="N36" i="1" s="1"/>
  <c r="O36" i="1" s="1"/>
  <c r="N19" i="1"/>
  <c r="J21" i="1"/>
  <c r="J20" i="1"/>
  <c r="F21" i="1"/>
  <c r="F20" i="1"/>
  <c r="K20" i="1"/>
  <c r="T7" i="1"/>
  <c r="U7" i="1" s="1"/>
  <c r="V7" i="1" s="1"/>
  <c r="W7" i="1" s="1"/>
  <c r="X7" i="1" s="1"/>
  <c r="AC4" i="1" s="1"/>
  <c r="AC6" i="1" s="1"/>
  <c r="AC9" i="1" s="1"/>
  <c r="AC11" i="1" s="1"/>
  <c r="AB4" i="1"/>
  <c r="AB6" i="1" s="1"/>
  <c r="AB9" i="1" s="1"/>
  <c r="AB11" i="1" s="1"/>
  <c r="N21" i="1" l="1"/>
  <c r="O35" i="1"/>
  <c r="P36" i="1"/>
  <c r="Q36" i="1" s="1"/>
  <c r="R36" i="1" s="1"/>
  <c r="S36" i="1" s="1"/>
  <c r="T36" i="1" s="1"/>
  <c r="U36" i="1" s="1"/>
  <c r="V36" i="1" s="1"/>
  <c r="W36" i="1" s="1"/>
  <c r="X36" i="1" s="1"/>
  <c r="P35" i="1" l="1"/>
  <c r="Q35" i="1" s="1"/>
  <c r="R35" i="1" s="1"/>
  <c r="S35" i="1" s="1"/>
  <c r="AB17" i="1" l="1"/>
  <c r="AB19" i="1" s="1"/>
  <c r="AB24" i="1" s="1"/>
  <c r="AB25" i="1" s="1"/>
  <c r="T35" i="1"/>
  <c r="U35" i="1" s="1"/>
  <c r="V35" i="1" s="1"/>
  <c r="W35" i="1" s="1"/>
  <c r="X35" i="1" s="1"/>
  <c r="AC17" i="1" s="1"/>
  <c r="AC19" i="1" s="1"/>
  <c r="AC24" i="1" s="1"/>
  <c r="AC25" i="1" s="1"/>
</calcChain>
</file>

<file path=xl/sharedStrings.xml><?xml version="1.0" encoding="utf-8"?>
<sst xmlns="http://schemas.openxmlformats.org/spreadsheetml/2006/main" count="55" uniqueCount="49">
  <si>
    <t>CAGR or AVG</t>
  </si>
  <si>
    <t>Revenue</t>
  </si>
  <si>
    <t>EBIT</t>
  </si>
  <si>
    <t>EBITDA</t>
  </si>
  <si>
    <t>ST Debt</t>
  </si>
  <si>
    <t>LT Debt</t>
  </si>
  <si>
    <t>ST + LT Debt</t>
  </si>
  <si>
    <t>Total Cash &amp; ST inv.</t>
  </si>
  <si>
    <t>Current Liabilities</t>
  </si>
  <si>
    <t>Excess Cash</t>
  </si>
  <si>
    <t>Market Cap</t>
  </si>
  <si>
    <t>EV</t>
  </si>
  <si>
    <t>EV/EBITDA</t>
  </si>
  <si>
    <t>Net Debt/EBITDA</t>
  </si>
  <si>
    <t>CFO</t>
  </si>
  <si>
    <t>CapEx</t>
  </si>
  <si>
    <t>FCFE</t>
  </si>
  <si>
    <t>FCFE/Shr</t>
  </si>
  <si>
    <t>Share Price</t>
  </si>
  <si>
    <t>2x</t>
  </si>
  <si>
    <t>Deprc. &amp; Armor</t>
  </si>
  <si>
    <t>FCFE Yield</t>
  </si>
  <si>
    <t>META</t>
  </si>
  <si>
    <t>Debt Issuance</t>
  </si>
  <si>
    <t>CS Outstanding</t>
  </si>
  <si>
    <t>2022 (EST).</t>
  </si>
  <si>
    <t>EBITDA Multiple</t>
  </si>
  <si>
    <t>Mulitple</t>
  </si>
  <si>
    <t>Less Debt</t>
  </si>
  <si>
    <t>Add Cash</t>
  </si>
  <si>
    <t>Shares</t>
  </si>
  <si>
    <t>Price</t>
  </si>
  <si>
    <t>FCFE Multiple</t>
  </si>
  <si>
    <t>FCFE/SHR</t>
  </si>
  <si>
    <t>Yield</t>
  </si>
  <si>
    <t>AVG Price</t>
  </si>
  <si>
    <t>Return Caclulations</t>
  </si>
  <si>
    <t>CAGR</t>
  </si>
  <si>
    <t>COGS</t>
  </si>
  <si>
    <t>Gross Margin</t>
  </si>
  <si>
    <t>R&amp;D</t>
  </si>
  <si>
    <t>SG&amp;A</t>
  </si>
  <si>
    <t>OpEx</t>
  </si>
  <si>
    <t>OI</t>
  </si>
  <si>
    <t>Interest</t>
  </si>
  <si>
    <t>Pretax</t>
  </si>
  <si>
    <t>Taxes</t>
  </si>
  <si>
    <t>NI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</si>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</sst>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[$$-409]* #,##0.00_);_([$$-409]* \(#,##0.00\);_([$$-409]* &quot;-&quot;??_);_(@_)"/>
    <numFmt numFmtId="166" formatCode="_([$$-409]* #,##0_);_([$$-409]* \(#,##0\);_([$$-409]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6" fillId="0" borderId="0"/>
  </cellStyleXfs>
  <cellXfs count="6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44" fontId="0" fillId="0" borderId="0" xfId="0" applyNumberFormat="1"/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164" fontId="3" fillId="3" borderId="0" xfId="0" applyNumberFormat="1" applyFont="1" applyFill="1"/>
    <xf numFmtId="164" fontId="3" fillId="3" borderId="1" xfId="0" applyNumberFormat="1" applyFont="1" applyFill="1" applyBorder="1"/>
    <xf numFmtId="166" fontId="3" fillId="3" borderId="0" xfId="0" applyNumberFormat="1" applyFont="1" applyFill="1"/>
    <xf numFmtId="165" fontId="3" fillId="3" borderId="0" xfId="0" applyNumberFormat="1" applyFont="1" applyFill="1"/>
    <xf numFmtId="10" fontId="4" fillId="3" borderId="0" xfId="1" applyNumberFormat="1" applyFont="1" applyFill="1"/>
    <xf numFmtId="4" fontId="3" fillId="3" borderId="0" xfId="0" applyNumberFormat="1" applyFont="1" applyFill="1"/>
    <xf numFmtId="4" fontId="0" fillId="0" borderId="0" xfId="0" applyNumberFormat="1"/>
    <xf numFmtId="10" fontId="5" fillId="0" borderId="0" xfId="1" applyNumberFormat="1" applyFont="1"/>
    <xf numFmtId="166" fontId="0" fillId="0" borderId="0" xfId="0" applyNumberFormat="1"/>
    <xf numFmtId="166" fontId="0" fillId="4" borderId="0" xfId="0" applyNumberFormat="1" applyFill="1"/>
    <xf numFmtId="4" fontId="0" fillId="4" borderId="0" xfId="0" applyNumberFormat="1" applyFill="1"/>
    <xf numFmtId="165" fontId="0" fillId="4" borderId="0" xfId="0" applyNumberFormat="1" applyFill="1"/>
    <xf numFmtId="10" fontId="5" fillId="4" borderId="0" xfId="1" applyNumberFormat="1" applyFont="1" applyFill="1"/>
    <xf numFmtId="4" fontId="0" fillId="0" borderId="0" xfId="1" applyNumberFormat="1" applyFont="1"/>
    <xf numFmtId="9" fontId="5" fillId="0" borderId="0" xfId="1" applyFont="1"/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9" fontId="5" fillId="0" borderId="0" xfId="0" applyNumberFormat="1" applyFont="1"/>
    <xf numFmtId="0" fontId="0" fillId="7" borderId="3" xfId="0" applyFill="1" applyBorder="1"/>
    <xf numFmtId="0" fontId="0" fillId="7" borderId="6" xfId="0" applyFill="1" applyBorder="1"/>
    <xf numFmtId="166" fontId="0" fillId="7" borderId="0" xfId="0" applyNumberFormat="1" applyFill="1"/>
    <xf numFmtId="166" fontId="0" fillId="7" borderId="7" xfId="0" applyNumberFormat="1" applyFill="1" applyBorder="1"/>
    <xf numFmtId="0" fontId="0" fillId="7" borderId="0" xfId="0" applyFill="1"/>
    <xf numFmtId="0" fontId="0" fillId="7" borderId="7" xfId="0" applyFill="1" applyBorder="1"/>
    <xf numFmtId="0" fontId="0" fillId="7" borderId="6" xfId="0" applyFill="1" applyBorder="1" applyAlignment="1">
      <alignment horizontal="left" indent="1"/>
    </xf>
    <xf numFmtId="0" fontId="0" fillId="8" borderId="3" xfId="0" applyFill="1" applyBorder="1"/>
    <xf numFmtId="0" fontId="0" fillId="8" borderId="6" xfId="0" applyFill="1" applyBorder="1"/>
    <xf numFmtId="165" fontId="0" fillId="8" borderId="0" xfId="0" applyNumberFormat="1" applyFill="1"/>
    <xf numFmtId="165" fontId="0" fillId="8" borderId="7" xfId="0" applyNumberFormat="1" applyFill="1" applyBorder="1"/>
    <xf numFmtId="10" fontId="0" fillId="8" borderId="0" xfId="0" applyNumberFormat="1" applyFill="1"/>
    <xf numFmtId="10" fontId="0" fillId="8" borderId="7" xfId="0" applyNumberFormat="1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165" fontId="0" fillId="6" borderId="0" xfId="0" applyNumberFormat="1" applyFill="1"/>
    <xf numFmtId="165" fontId="0" fillId="6" borderId="7" xfId="0" applyNumberFormat="1" applyFill="1" applyBorder="1"/>
    <xf numFmtId="0" fontId="0" fillId="6" borderId="8" xfId="0" applyFill="1" applyBorder="1"/>
    <xf numFmtId="9" fontId="0" fillId="6" borderId="2" xfId="1" applyFont="1" applyFill="1" applyBorder="1"/>
    <xf numFmtId="9" fontId="0" fillId="6" borderId="9" xfId="1" applyFont="1" applyFill="1" applyBorder="1"/>
    <xf numFmtId="0" fontId="3" fillId="7" borderId="4" xfId="0" applyFont="1" applyFill="1" applyBorder="1"/>
    <xf numFmtId="0" fontId="3" fillId="7" borderId="5" xfId="0" applyFont="1" applyFill="1" applyBorder="1"/>
    <xf numFmtId="0" fontId="3" fillId="8" borderId="4" xfId="0" applyFont="1" applyFill="1" applyBorder="1"/>
    <xf numFmtId="0" fontId="3" fillId="8" borderId="5" xfId="0" applyFont="1" applyFill="1" applyBorder="1"/>
    <xf numFmtId="165" fontId="0" fillId="8" borderId="12" xfId="0" applyNumberFormat="1" applyFill="1" applyBorder="1"/>
    <xf numFmtId="0" fontId="0" fillId="8" borderId="11" xfId="0" applyFill="1" applyBorder="1"/>
    <xf numFmtId="165" fontId="0" fillId="8" borderId="10" xfId="0" applyNumberFormat="1" applyFill="1" applyBorder="1"/>
    <xf numFmtId="0" fontId="0" fillId="7" borderId="11" xfId="0" applyFill="1" applyBorder="1"/>
    <xf numFmtId="165" fontId="0" fillId="7" borderId="10" xfId="0" applyNumberFormat="1" applyFill="1" applyBorder="1"/>
    <xf numFmtId="165" fontId="0" fillId="7" borderId="12" xfId="0" applyNumberFormat="1" applyFill="1" applyBorder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3" fontId="0" fillId="0" borderId="0" xfId="0" applyNumberFormat="1"/>
  </cellXfs>
  <cellStyles count="3">
    <cellStyle name="Normal" xfId="0" builtinId="0"/>
    <cellStyle name="Normal 2" xfId="2" xr:uid="{6E59D557-AD63-4BAF-9DBA-82FC64DAB93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38100</xdr:rowOff>
    </xdr:from>
    <xdr:to>
      <xdr:col>14</xdr:col>
      <xdr:colOff>9525</xdr:colOff>
      <xdr:row>40</xdr:row>
      <xdr:rowOff>9525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FBD906F-003D-7317-82C9-14197999F35F}"/>
            </a:ext>
          </a:extLst>
        </xdr:cNvPr>
        <xdr:cNvCxnSpPr/>
      </xdr:nvCxnSpPr>
      <xdr:spPr>
        <a:xfrm>
          <a:off x="11401425" y="38100"/>
          <a:ext cx="0" cy="7648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1089*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4411-E8EA-44C5-8EB7-2F35CA9D6121}">
  <dimension ref="A2:T15"/>
  <sheetViews>
    <sheetView tabSelected="1" workbookViewId="0">
      <pane xSplit="1" topLeftCell="G1" activePane="topRight" state="frozen"/>
      <selection pane="topRight" activeCell="K3" sqref="K3"/>
    </sheetView>
  </sheetViews>
  <sheetFormatPr defaultRowHeight="14.4" x14ac:dyDescent="0.3"/>
  <cols>
    <col min="1" max="1" width="15.77734375" customWidth="1"/>
    <col min="9" max="17" width="9" bestFit="1" customWidth="1"/>
    <col min="18" max="18" width="10" bestFit="1" customWidth="1"/>
  </cols>
  <sheetData>
    <row r="2" spans="1:20" x14ac:dyDescent="0.3">
      <c r="K2">
        <v>2014</v>
      </c>
      <c r="L2">
        <f t="shared" ref="K2:T2" si="0">K2+1</f>
        <v>2015</v>
      </c>
      <c r="M2">
        <f t="shared" si="0"/>
        <v>2016</v>
      </c>
      <c r="N2">
        <f t="shared" si="0"/>
        <v>2017</v>
      </c>
      <c r="O2">
        <f t="shared" si="0"/>
        <v>2018</v>
      </c>
      <c r="P2">
        <f t="shared" si="0"/>
        <v>2019</v>
      </c>
      <c r="Q2">
        <f t="shared" si="0"/>
        <v>2020</v>
      </c>
      <c r="R2">
        <f t="shared" si="0"/>
        <v>2021</v>
      </c>
      <c r="S2">
        <f t="shared" si="0"/>
        <v>2022</v>
      </c>
      <c r="T2">
        <f t="shared" si="0"/>
        <v>2023</v>
      </c>
    </row>
    <row r="3" spans="1:20" x14ac:dyDescent="0.3">
      <c r="A3" t="s">
        <v>1</v>
      </c>
      <c r="I3" s="60"/>
      <c r="J3" s="60"/>
      <c r="K3" s="60">
        <v>12466</v>
      </c>
      <c r="L3" s="60">
        <v>17928</v>
      </c>
      <c r="M3" s="60">
        <v>27638</v>
      </c>
      <c r="N3" s="60">
        <v>40653</v>
      </c>
      <c r="O3" s="60">
        <v>55838</v>
      </c>
      <c r="P3" s="60">
        <v>70697</v>
      </c>
      <c r="Q3" s="60">
        <v>85965</v>
      </c>
      <c r="R3" s="60">
        <v>117292</v>
      </c>
      <c r="S3">
        <v>116609</v>
      </c>
      <c r="T3">
        <v>134902</v>
      </c>
    </row>
    <row r="4" spans="1:20" x14ac:dyDescent="0.3">
      <c r="A4" t="s">
        <v>38</v>
      </c>
    </row>
    <row r="5" spans="1:20" x14ac:dyDescent="0.3">
      <c r="A5" t="s">
        <v>39</v>
      </c>
    </row>
    <row r="6" spans="1:20" x14ac:dyDescent="0.3">
      <c r="A6" t="s">
        <v>40</v>
      </c>
    </row>
    <row r="7" spans="1:20" x14ac:dyDescent="0.3">
      <c r="A7" t="s">
        <v>41</v>
      </c>
    </row>
    <row r="8" spans="1:20" x14ac:dyDescent="0.3">
      <c r="A8" t="s">
        <v>42</v>
      </c>
    </row>
    <row r="9" spans="1:20" x14ac:dyDescent="0.3">
      <c r="A9" t="s">
        <v>43</v>
      </c>
    </row>
    <row r="10" spans="1:20" x14ac:dyDescent="0.3">
      <c r="A10" t="s">
        <v>44</v>
      </c>
    </row>
    <row r="11" spans="1:20" x14ac:dyDescent="0.3">
      <c r="A11" t="s">
        <v>45</v>
      </c>
    </row>
    <row r="12" spans="1:20" x14ac:dyDescent="0.3">
      <c r="A12" t="s">
        <v>46</v>
      </c>
    </row>
    <row r="13" spans="1:20" x14ac:dyDescent="0.3">
      <c r="A13" t="s">
        <v>47</v>
      </c>
    </row>
    <row r="14" spans="1:20" x14ac:dyDescent="0.3">
      <c r="A14" t="s">
        <v>48</v>
      </c>
    </row>
    <row r="15" spans="1:20" x14ac:dyDescent="0.3">
      <c r="A1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39"/>
  <sheetViews>
    <sheetView showGridLines="0" zoomScaleNormal="100" workbookViewId="0">
      <pane xSplit="2" topLeftCell="I1" activePane="topRight" state="frozen"/>
      <selection pane="topRight" activeCell="C3" sqref="C3:L3"/>
    </sheetView>
  </sheetViews>
  <sheetFormatPr defaultRowHeight="14.4" x14ac:dyDescent="0.3"/>
  <cols>
    <col min="1" max="1" width="3" bestFit="1" customWidth="1"/>
    <col min="2" max="2" width="19.5546875" bestFit="1" customWidth="1"/>
    <col min="3" max="4" width="11.5546875" bestFit="1" customWidth="1"/>
    <col min="5" max="12" width="12.5546875" bestFit="1" customWidth="1"/>
    <col min="13" max="13" width="13.6640625" bestFit="1" customWidth="1"/>
    <col min="14" max="14" width="12.44140625" bestFit="1" customWidth="1"/>
    <col min="15" max="15" width="11.5546875" bestFit="1" customWidth="1"/>
    <col min="16" max="21" width="12.5546875" bestFit="1" customWidth="1"/>
    <col min="22" max="24" width="14.33203125" bestFit="1" customWidth="1"/>
    <col min="27" max="27" width="11" bestFit="1" customWidth="1"/>
    <col min="28" max="29" width="14.33203125" bestFit="1" customWidth="1"/>
  </cols>
  <sheetData>
    <row r="2" spans="1:29" x14ac:dyDescent="0.3">
      <c r="B2" s="57" t="s">
        <v>22</v>
      </c>
      <c r="C2" s="1">
        <v>2012</v>
      </c>
      <c r="D2" s="1">
        <f>C2+1</f>
        <v>2013</v>
      </c>
      <c r="E2" s="1">
        <f t="shared" ref="E2:L2" si="0">D2+1</f>
        <v>2014</v>
      </c>
      <c r="F2" s="1">
        <f t="shared" si="0"/>
        <v>2015</v>
      </c>
      <c r="G2" s="1">
        <f t="shared" si="0"/>
        <v>2016</v>
      </c>
      <c r="H2" s="1">
        <f t="shared" si="0"/>
        <v>2017</v>
      </c>
      <c r="I2" s="1">
        <f t="shared" si="0"/>
        <v>2018</v>
      </c>
      <c r="J2" s="1">
        <f t="shared" si="0"/>
        <v>2019</v>
      </c>
      <c r="K2" s="1">
        <f t="shared" si="0"/>
        <v>2020</v>
      </c>
      <c r="L2" s="1">
        <f t="shared" si="0"/>
        <v>2021</v>
      </c>
      <c r="M2" s="1" t="s">
        <v>25</v>
      </c>
      <c r="N2" s="22" t="s">
        <v>0</v>
      </c>
      <c r="O2" s="23">
        <v>2023</v>
      </c>
      <c r="P2" s="23">
        <f>O2+1</f>
        <v>2024</v>
      </c>
      <c r="Q2" s="23">
        <f t="shared" ref="Q2:X2" si="1">P2+1</f>
        <v>2025</v>
      </c>
      <c r="R2" s="23">
        <f t="shared" si="1"/>
        <v>2026</v>
      </c>
      <c r="S2" s="23">
        <f t="shared" si="1"/>
        <v>2027</v>
      </c>
      <c r="T2" s="23">
        <f t="shared" si="1"/>
        <v>2028</v>
      </c>
      <c r="U2" s="23">
        <f t="shared" si="1"/>
        <v>2029</v>
      </c>
      <c r="V2" s="23">
        <f t="shared" si="1"/>
        <v>2030</v>
      </c>
      <c r="W2" s="23">
        <f t="shared" si="1"/>
        <v>2031</v>
      </c>
      <c r="X2" s="23">
        <f t="shared" si="1"/>
        <v>2032</v>
      </c>
      <c r="AA2" s="58" t="s">
        <v>26</v>
      </c>
      <c r="AB2" s="58"/>
      <c r="AC2" s="58"/>
    </row>
    <row r="3" spans="1:29" x14ac:dyDescent="0.3">
      <c r="B3" t="s">
        <v>1</v>
      </c>
      <c r="C3" s="7">
        <v>5089</v>
      </c>
      <c r="D3" s="7">
        <v>7872</v>
      </c>
      <c r="E3" s="7">
        <v>12466</v>
      </c>
      <c r="F3" s="7">
        <v>17928</v>
      </c>
      <c r="G3" s="7">
        <v>27638</v>
      </c>
      <c r="H3" s="7">
        <v>40653</v>
      </c>
      <c r="I3" s="7">
        <v>55838</v>
      </c>
      <c r="J3" s="7">
        <v>70697</v>
      </c>
      <c r="K3" s="7">
        <v>85965</v>
      </c>
      <c r="L3" s="7">
        <v>117292</v>
      </c>
      <c r="M3" s="16">
        <v>126000</v>
      </c>
      <c r="N3" s="21">
        <f>(M3/C3)^(1/10)-1</f>
        <v>0.37839538195820688</v>
      </c>
      <c r="AA3" s="25"/>
      <c r="AB3" s="47">
        <v>2027</v>
      </c>
      <c r="AC3" s="48">
        <v>2032</v>
      </c>
    </row>
    <row r="4" spans="1:29" x14ac:dyDescent="0.3">
      <c r="C4" s="4"/>
      <c r="D4" s="4"/>
      <c r="E4" s="4"/>
      <c r="F4" s="4"/>
      <c r="G4" s="4"/>
      <c r="H4" s="4"/>
      <c r="I4" s="4"/>
      <c r="J4" s="4"/>
      <c r="K4" s="4"/>
      <c r="L4" s="4"/>
      <c r="M4" s="15"/>
      <c r="N4" s="21"/>
      <c r="AA4" s="26" t="s">
        <v>3</v>
      </c>
      <c r="AB4" s="27">
        <f>S7</f>
        <v>88881.779687791495</v>
      </c>
      <c r="AC4" s="28">
        <f>X7</f>
        <v>124664.5351703679</v>
      </c>
    </row>
    <row r="5" spans="1:29" x14ac:dyDescent="0.3">
      <c r="B5" s="2" t="s">
        <v>2</v>
      </c>
      <c r="C5" s="4">
        <v>538</v>
      </c>
      <c r="D5" s="4">
        <v>2804</v>
      </c>
      <c r="E5" s="4">
        <v>4994</v>
      </c>
      <c r="F5" s="4">
        <v>6225</v>
      </c>
      <c r="G5" s="4">
        <v>12427</v>
      </c>
      <c r="H5" s="4">
        <v>20203</v>
      </c>
      <c r="I5" s="4">
        <v>24913</v>
      </c>
      <c r="J5" s="4">
        <v>23986</v>
      </c>
      <c r="K5" s="4">
        <v>32671</v>
      </c>
      <c r="L5" s="4">
        <v>46753</v>
      </c>
      <c r="M5" s="15"/>
      <c r="N5" s="21"/>
      <c r="AA5" s="26" t="s">
        <v>27</v>
      </c>
      <c r="AB5" s="29">
        <v>18</v>
      </c>
      <c r="AC5" s="30">
        <v>18</v>
      </c>
    </row>
    <row r="6" spans="1:29" x14ac:dyDescent="0.3">
      <c r="B6" s="2" t="s">
        <v>20</v>
      </c>
      <c r="C6" s="4">
        <v>649</v>
      </c>
      <c r="D6" s="4">
        <v>1011</v>
      </c>
      <c r="E6" s="4">
        <v>1243</v>
      </c>
      <c r="F6" s="4">
        <v>1945</v>
      </c>
      <c r="G6" s="4">
        <v>2342</v>
      </c>
      <c r="H6" s="4">
        <v>3025</v>
      </c>
      <c r="I6" s="4">
        <v>4315</v>
      </c>
      <c r="J6" s="4">
        <v>5741</v>
      </c>
      <c r="K6" s="4">
        <v>6862</v>
      </c>
      <c r="L6" s="4">
        <v>7967</v>
      </c>
      <c r="M6" s="15"/>
      <c r="N6" s="21"/>
      <c r="AA6" s="26" t="s">
        <v>11</v>
      </c>
      <c r="AB6" s="27">
        <f>AB4*AB5</f>
        <v>1599872.0343802469</v>
      </c>
      <c r="AC6" s="28">
        <f t="shared" ref="AC6" si="2">AC4*AC5</f>
        <v>2243961.6330666221</v>
      </c>
    </row>
    <row r="7" spans="1:29" ht="15" thickBot="1" x14ac:dyDescent="0.35">
      <c r="B7" s="57" t="s">
        <v>3</v>
      </c>
      <c r="C7" s="8">
        <f t="shared" ref="C7" si="3">SUM(C5:C6)</f>
        <v>1187</v>
      </c>
      <c r="D7" s="8">
        <f t="shared" ref="D7" si="4">SUM(D5:D6)</f>
        <v>3815</v>
      </c>
      <c r="E7" s="8">
        <f t="shared" ref="E7" si="5">SUM(E5:E6)</f>
        <v>6237</v>
      </c>
      <c r="F7" s="8">
        <f t="shared" ref="F7" si="6">SUM(F5:F6)</f>
        <v>8170</v>
      </c>
      <c r="G7" s="8">
        <f t="shared" ref="G7" si="7">SUM(G5:G6)</f>
        <v>14769</v>
      </c>
      <c r="H7" s="8">
        <f t="shared" ref="H7" si="8">SUM(H5:H6)</f>
        <v>23228</v>
      </c>
      <c r="I7" s="8">
        <f t="shared" ref="I7" si="9">SUM(I5:I6)</f>
        <v>29228</v>
      </c>
      <c r="J7" s="8">
        <f t="shared" ref="J7:K7" si="10">SUM(J5:J6)</f>
        <v>29727</v>
      </c>
      <c r="K7" s="8">
        <f t="shared" si="10"/>
        <v>39533</v>
      </c>
      <c r="L7" s="8">
        <f>SUM(L5:L6)</f>
        <v>54720</v>
      </c>
      <c r="M7" s="16">
        <f>21.03*L33</f>
        <v>57643.23</v>
      </c>
      <c r="N7" s="21">
        <f>(M7/D7)^(1/9)-1</f>
        <v>0.35216034825223641</v>
      </c>
      <c r="O7" s="5">
        <f>M7*(1+O8)</f>
        <v>63407.553000000007</v>
      </c>
      <c r="P7" s="5">
        <f>O7*(1+P8)</f>
        <v>69431.270535000003</v>
      </c>
      <c r="Q7" s="5">
        <f t="shared" ref="Q7:X7" si="11">P7*(1+Q8)</f>
        <v>75697.442700783751</v>
      </c>
      <c r="R7" s="5">
        <f t="shared" si="11"/>
        <v>82187.552194342206</v>
      </c>
      <c r="S7" s="5">
        <f t="shared" si="11"/>
        <v>88881.779687791495</v>
      </c>
      <c r="T7" s="5">
        <f t="shared" si="11"/>
        <v>95759.282369140259</v>
      </c>
      <c r="U7" s="5">
        <f t="shared" si="11"/>
        <v>102798.4695613027</v>
      </c>
      <c r="V7" s="5">
        <f t="shared" si="11"/>
        <v>109977.27008890428</v>
      </c>
      <c r="W7" s="5">
        <f t="shared" si="11"/>
        <v>117273.38688434171</v>
      </c>
      <c r="X7" s="5">
        <f t="shared" si="11"/>
        <v>124664.5351703679</v>
      </c>
      <c r="AA7" s="31" t="s">
        <v>28</v>
      </c>
      <c r="AB7" s="27">
        <f>M11</f>
        <v>14053</v>
      </c>
      <c r="AC7" s="28">
        <f>AB7</f>
        <v>14053</v>
      </c>
    </row>
    <row r="8" spans="1:29" ht="15" thickTop="1" x14ac:dyDescent="0.3">
      <c r="C8" s="4"/>
      <c r="D8" s="21">
        <f>(D7/C7)-1</f>
        <v>2.2139848357203031</v>
      </c>
      <c r="E8" s="21">
        <f t="shared" ref="E8:M8" si="12">(E7/D7)-1</f>
        <v>0.63486238532110084</v>
      </c>
      <c r="F8" s="21">
        <f t="shared" si="12"/>
        <v>0.30992464325797653</v>
      </c>
      <c r="G8" s="21">
        <f t="shared" si="12"/>
        <v>0.80771113831089347</v>
      </c>
      <c r="H8" s="21">
        <f t="shared" si="12"/>
        <v>0.57275374094386899</v>
      </c>
      <c r="I8" s="21">
        <f t="shared" si="12"/>
        <v>0.25830893748923711</v>
      </c>
      <c r="J8" s="21">
        <f t="shared" si="12"/>
        <v>1.7072670042425075E-2</v>
      </c>
      <c r="K8" s="21">
        <f t="shared" si="12"/>
        <v>0.32986846974131256</v>
      </c>
      <c r="L8" s="21">
        <f t="shared" si="12"/>
        <v>0.38416006880327824</v>
      </c>
      <c r="M8" s="21">
        <f t="shared" si="12"/>
        <v>5.3421600877193054E-2</v>
      </c>
      <c r="N8" s="21">
        <f>AVERAGE(J8:M8)</f>
        <v>0.19613070236605223</v>
      </c>
      <c r="O8" s="24">
        <v>0.1</v>
      </c>
      <c r="P8" s="24">
        <f>O8*0.95</f>
        <v>9.5000000000000001E-2</v>
      </c>
      <c r="Q8" s="24">
        <f t="shared" ref="Q8:X8" si="13">P8*0.95</f>
        <v>9.0249999999999997E-2</v>
      </c>
      <c r="R8" s="24">
        <f t="shared" si="13"/>
        <v>8.5737499999999994E-2</v>
      </c>
      <c r="S8" s="24">
        <f t="shared" si="13"/>
        <v>8.1450624999999985E-2</v>
      </c>
      <c r="T8" s="24">
        <f t="shared" si="13"/>
        <v>7.7378093749999988E-2</v>
      </c>
      <c r="U8" s="24">
        <f t="shared" si="13"/>
        <v>7.350918906249998E-2</v>
      </c>
      <c r="V8" s="24">
        <f t="shared" si="13"/>
        <v>6.9833729609374978E-2</v>
      </c>
      <c r="W8" s="24">
        <f t="shared" si="13"/>
        <v>6.6342043128906222E-2</v>
      </c>
      <c r="X8" s="24">
        <f t="shared" si="13"/>
        <v>6.3024940972460905E-2</v>
      </c>
      <c r="AA8" s="31" t="s">
        <v>29</v>
      </c>
      <c r="AB8" s="27">
        <f>M15</f>
        <v>13102</v>
      </c>
      <c r="AC8" s="28">
        <f>AB8</f>
        <v>13102</v>
      </c>
    </row>
    <row r="9" spans="1:29" x14ac:dyDescent="0.3">
      <c r="B9" s="2" t="s">
        <v>4</v>
      </c>
      <c r="C9" s="4">
        <v>365</v>
      </c>
      <c r="D9" s="4">
        <v>239</v>
      </c>
      <c r="E9" s="4">
        <v>114</v>
      </c>
      <c r="F9" s="4">
        <v>7</v>
      </c>
      <c r="G9" s="4">
        <v>0</v>
      </c>
      <c r="H9" s="4">
        <v>0</v>
      </c>
      <c r="I9" s="4">
        <v>0</v>
      </c>
      <c r="J9" s="4">
        <v>800</v>
      </c>
      <c r="K9" s="4">
        <v>1023</v>
      </c>
      <c r="L9" s="4">
        <v>1127</v>
      </c>
      <c r="M9" s="16">
        <v>1159</v>
      </c>
      <c r="N9" s="21"/>
      <c r="AA9" s="26" t="s">
        <v>10</v>
      </c>
      <c r="AB9" s="27">
        <f>AB6-AB7+AB8</f>
        <v>1598921.0343802469</v>
      </c>
      <c r="AC9" s="28">
        <f t="shared" ref="AC9" si="14">AC6-AC7+AC8</f>
        <v>2243010.6330666221</v>
      </c>
    </row>
    <row r="10" spans="1:29" x14ac:dyDescent="0.3">
      <c r="B10" s="2" t="s">
        <v>5</v>
      </c>
      <c r="C10" s="4">
        <f>491+1500</f>
        <v>1991</v>
      </c>
      <c r="D10" s="4">
        <v>237</v>
      </c>
      <c r="E10" s="4">
        <v>119</v>
      </c>
      <c r="F10" s="4">
        <v>107</v>
      </c>
      <c r="G10" s="4">
        <v>0</v>
      </c>
      <c r="H10" s="4">
        <v>0</v>
      </c>
      <c r="I10" s="4">
        <v>0</v>
      </c>
      <c r="J10" s="4">
        <v>9524</v>
      </c>
      <c r="K10" s="4">
        <v>9631</v>
      </c>
      <c r="L10" s="4">
        <v>12746</v>
      </c>
      <c r="M10" s="16">
        <v>12894</v>
      </c>
      <c r="N10" s="21"/>
      <c r="AA10" s="26" t="s">
        <v>30</v>
      </c>
      <c r="AB10" s="29">
        <f>M33</f>
        <v>2714</v>
      </c>
      <c r="AC10" s="30">
        <f>AB10</f>
        <v>2714</v>
      </c>
    </row>
    <row r="11" spans="1:29" ht="15" thickBot="1" x14ac:dyDescent="0.35">
      <c r="B11" s="57" t="s">
        <v>6</v>
      </c>
      <c r="C11" s="8">
        <f t="shared" ref="C11:J11" si="15">SUM(C9:C10)</f>
        <v>2356</v>
      </c>
      <c r="D11" s="8">
        <f t="shared" si="15"/>
        <v>476</v>
      </c>
      <c r="E11" s="8">
        <f t="shared" si="15"/>
        <v>233</v>
      </c>
      <c r="F11" s="8">
        <f t="shared" si="15"/>
        <v>114</v>
      </c>
      <c r="G11" s="8">
        <f t="shared" si="15"/>
        <v>0</v>
      </c>
      <c r="H11" s="8">
        <f t="shared" si="15"/>
        <v>0</v>
      </c>
      <c r="I11" s="8">
        <f t="shared" si="15"/>
        <v>0</v>
      </c>
      <c r="J11" s="8">
        <f t="shared" si="15"/>
        <v>10324</v>
      </c>
      <c r="K11" s="8">
        <f>SUM(K9:K10)</f>
        <v>10654</v>
      </c>
      <c r="L11" s="8">
        <f t="shared" ref="L11:M11" si="16">SUM(L9:L10)</f>
        <v>13873</v>
      </c>
      <c r="M11" s="16">
        <f t="shared" si="16"/>
        <v>14053</v>
      </c>
      <c r="N11" s="21">
        <f t="shared" ref="N11:N37" si="17">(M11/C11)^(1/10)-1</f>
        <v>0.19552696494609378</v>
      </c>
      <c r="AA11" s="54" t="s">
        <v>31</v>
      </c>
      <c r="AB11" s="55">
        <f>AB9/AB10</f>
        <v>589.13818510694432</v>
      </c>
      <c r="AC11" s="56">
        <f t="shared" ref="AC11" si="18">AC9/AC10</f>
        <v>826.45933421762049</v>
      </c>
    </row>
    <row r="12" spans="1:29" ht="15" thickTop="1" x14ac:dyDescent="0.3">
      <c r="C12" s="4"/>
      <c r="D12" s="21"/>
      <c r="E12" s="21"/>
      <c r="F12" s="21"/>
      <c r="G12" s="21"/>
      <c r="H12" s="21"/>
      <c r="I12" s="21"/>
      <c r="J12" s="21"/>
      <c r="K12" s="21"/>
      <c r="L12" s="21"/>
      <c r="M12" s="15"/>
      <c r="N12" s="21"/>
    </row>
    <row r="13" spans="1:29" x14ac:dyDescent="0.3">
      <c r="B13" s="2" t="s">
        <v>7</v>
      </c>
      <c r="C13" s="4">
        <f>11267-471</f>
        <v>10796</v>
      </c>
      <c r="D13" s="4">
        <f>13070-461</f>
        <v>12609</v>
      </c>
      <c r="E13" s="4">
        <f>13390-513</f>
        <v>12877</v>
      </c>
      <c r="F13" s="4">
        <f>21652-659</f>
        <v>20993</v>
      </c>
      <c r="G13" s="4">
        <f>34401-959</f>
        <v>33442</v>
      </c>
      <c r="H13" s="4">
        <f>48563-1020</f>
        <v>47543</v>
      </c>
      <c r="I13" s="4">
        <f>50480-1779</f>
        <v>48701</v>
      </c>
      <c r="J13" s="4">
        <f>66225-1852</f>
        <v>64373</v>
      </c>
      <c r="K13" s="4">
        <f>75670-2381</f>
        <v>73289</v>
      </c>
      <c r="L13" s="4">
        <f>66666-4629</f>
        <v>62037</v>
      </c>
      <c r="M13" s="16">
        <f>59265-3985</f>
        <v>55280</v>
      </c>
      <c r="N13" s="21"/>
    </row>
    <row r="14" spans="1:29" x14ac:dyDescent="0.3">
      <c r="A14" t="s">
        <v>19</v>
      </c>
      <c r="B14" s="2" t="s">
        <v>8</v>
      </c>
      <c r="C14" s="4">
        <f>2*1052</f>
        <v>2104</v>
      </c>
      <c r="D14" s="4">
        <f>2*1100</f>
        <v>2200</v>
      </c>
      <c r="E14" s="4">
        <f>2*1424</f>
        <v>2848</v>
      </c>
      <c r="F14" s="4">
        <f>2*1925</f>
        <v>3850</v>
      </c>
      <c r="G14" s="4">
        <f>2*2875</f>
        <v>5750</v>
      </c>
      <c r="H14" s="4">
        <f>2*3760</f>
        <v>7520</v>
      </c>
      <c r="I14" s="4">
        <f>7017*2</f>
        <v>14034</v>
      </c>
      <c r="J14" s="4">
        <f>2*15053</f>
        <v>30106</v>
      </c>
      <c r="K14" s="4">
        <f>14981*2</f>
        <v>29962</v>
      </c>
      <c r="L14" s="4">
        <f>21135*2</f>
        <v>42270</v>
      </c>
      <c r="M14" s="16">
        <f>21089*2</f>
        <v>42178</v>
      </c>
      <c r="N14" s="21"/>
    </row>
    <row r="15" spans="1:29" ht="15" thickBot="1" x14ac:dyDescent="0.35">
      <c r="B15" s="57" t="s">
        <v>9</v>
      </c>
      <c r="C15" s="8">
        <f t="shared" ref="C15:M15" si="19">C13-C14</f>
        <v>8692</v>
      </c>
      <c r="D15" s="8">
        <f t="shared" si="19"/>
        <v>10409</v>
      </c>
      <c r="E15" s="8">
        <f t="shared" si="19"/>
        <v>10029</v>
      </c>
      <c r="F15" s="8">
        <f t="shared" si="19"/>
        <v>17143</v>
      </c>
      <c r="G15" s="8">
        <f t="shared" si="19"/>
        <v>27692</v>
      </c>
      <c r="H15" s="8">
        <f t="shared" si="19"/>
        <v>40023</v>
      </c>
      <c r="I15" s="8">
        <f t="shared" si="19"/>
        <v>34667</v>
      </c>
      <c r="J15" s="8">
        <f t="shared" si="19"/>
        <v>34267</v>
      </c>
      <c r="K15" s="8">
        <f t="shared" si="19"/>
        <v>43327</v>
      </c>
      <c r="L15" s="8">
        <f t="shared" si="19"/>
        <v>19767</v>
      </c>
      <c r="M15" s="16">
        <f t="shared" si="19"/>
        <v>13102</v>
      </c>
      <c r="N15" s="21">
        <f t="shared" si="17"/>
        <v>4.1889803345042331E-2</v>
      </c>
      <c r="AA15" s="58" t="s">
        <v>32</v>
      </c>
      <c r="AB15" s="58"/>
      <c r="AC15" s="58"/>
    </row>
    <row r="16" spans="1:29" ht="15" thickTop="1" x14ac:dyDescent="0.3">
      <c r="C16" s="4"/>
      <c r="D16" s="4"/>
      <c r="E16" s="4"/>
      <c r="F16" s="4"/>
      <c r="G16" s="4"/>
      <c r="H16" s="4"/>
      <c r="I16" s="4"/>
      <c r="J16" s="4"/>
      <c r="K16" s="4"/>
      <c r="L16" s="4"/>
      <c r="M16" s="15"/>
      <c r="N16" s="21"/>
      <c r="AA16" s="32"/>
      <c r="AB16" s="49">
        <v>2027</v>
      </c>
      <c r="AC16" s="50">
        <v>2032</v>
      </c>
    </row>
    <row r="17" spans="2:29" x14ac:dyDescent="0.3">
      <c r="B17" s="57" t="s">
        <v>10</v>
      </c>
      <c r="C17" s="9">
        <f>C37*C33</f>
        <v>57016.102857142854</v>
      </c>
      <c r="D17" s="9">
        <f t="shared" ref="D17:L17" si="20">D37*D33</f>
        <v>93602.249575499998</v>
      </c>
      <c r="E17" s="9">
        <f t="shared" si="20"/>
        <v>195524.28383458339</v>
      </c>
      <c r="F17" s="9">
        <f t="shared" si="20"/>
        <v>252503.23546708337</v>
      </c>
      <c r="G17" s="9">
        <f t="shared" si="20"/>
        <v>343832.29216900008</v>
      </c>
      <c r="H17" s="9">
        <f t="shared" si="20"/>
        <v>461664.11166666663</v>
      </c>
      <c r="I17" s="9">
        <f t="shared" si="20"/>
        <v>480271.12</v>
      </c>
      <c r="J17" s="9">
        <f t="shared" si="20"/>
        <v>526483.94976833323</v>
      </c>
      <c r="K17" s="9">
        <f t="shared" si="20"/>
        <v>674277.58118233341</v>
      </c>
      <c r="L17" s="9">
        <f t="shared" si="20"/>
        <v>884303.70005516673</v>
      </c>
      <c r="M17" s="16">
        <f>M37*M33</f>
        <v>466265.2</v>
      </c>
      <c r="N17" s="21">
        <f t="shared" si="17"/>
        <v>0.23385335792369721</v>
      </c>
      <c r="AA17" s="33" t="s">
        <v>33</v>
      </c>
      <c r="AB17" s="34">
        <f>S35</f>
        <v>8.7909975176296467</v>
      </c>
      <c r="AC17" s="35">
        <f>X35</f>
        <v>12.31771579624462</v>
      </c>
    </row>
    <row r="18" spans="2:29" x14ac:dyDescent="0.3">
      <c r="C18" s="4"/>
      <c r="D18" s="21">
        <f t="shared" ref="D18:M18" si="21">(D17/C17)-1</f>
        <v>0.64168094424176725</v>
      </c>
      <c r="E18" s="21">
        <f t="shared" si="21"/>
        <v>1.0888844522574495</v>
      </c>
      <c r="F18" s="21">
        <f t="shared" si="21"/>
        <v>0.29141624004466404</v>
      </c>
      <c r="G18" s="21">
        <f t="shared" si="21"/>
        <v>0.36169459980572194</v>
      </c>
      <c r="H18" s="21">
        <f t="shared" si="21"/>
        <v>0.34270143375523898</v>
      </c>
      <c r="I18" s="21">
        <f t="shared" si="21"/>
        <v>4.0304212225116709E-2</v>
      </c>
      <c r="J18" s="21">
        <f t="shared" si="21"/>
        <v>9.6222379076912334E-2</v>
      </c>
      <c r="K18" s="21">
        <f t="shared" si="21"/>
        <v>0.28071820893881627</v>
      </c>
      <c r="L18" s="21">
        <f t="shared" si="21"/>
        <v>0.31148317063212505</v>
      </c>
      <c r="M18" s="21">
        <f t="shared" si="21"/>
        <v>-0.4727318228218288</v>
      </c>
      <c r="N18" s="21"/>
      <c r="AA18" s="33" t="s">
        <v>34</v>
      </c>
      <c r="AB18" s="36">
        <f>N39</f>
        <v>2.9148407611814888E-2</v>
      </c>
      <c r="AC18" s="37">
        <f>AB18</f>
        <v>2.9148407611814888E-2</v>
      </c>
    </row>
    <row r="19" spans="2:29" x14ac:dyDescent="0.3">
      <c r="B19" s="57" t="s">
        <v>11</v>
      </c>
      <c r="C19" s="7">
        <f>C17+C11-C15</f>
        <v>50680.102857142854</v>
      </c>
      <c r="D19" s="7">
        <f t="shared" ref="D19:L19" si="22">D17+D11-D15</f>
        <v>83669.249575499998</v>
      </c>
      <c r="E19" s="7">
        <f t="shared" si="22"/>
        <v>185728.28383458339</v>
      </c>
      <c r="F19" s="7">
        <f t="shared" si="22"/>
        <v>235474.23546708337</v>
      </c>
      <c r="G19" s="7">
        <f t="shared" si="22"/>
        <v>316140.29216900008</v>
      </c>
      <c r="H19" s="7">
        <f t="shared" si="22"/>
        <v>421641.11166666663</v>
      </c>
      <c r="I19" s="7">
        <f t="shared" si="22"/>
        <v>445604.12</v>
      </c>
      <c r="J19" s="7">
        <f t="shared" si="22"/>
        <v>502540.94976833323</v>
      </c>
      <c r="K19" s="7">
        <f t="shared" si="22"/>
        <v>641604.58118233341</v>
      </c>
      <c r="L19" s="7">
        <f t="shared" si="22"/>
        <v>878409.70005516673</v>
      </c>
      <c r="M19" s="16">
        <f>M17+M11-M15</f>
        <v>467216.2</v>
      </c>
      <c r="N19" s="21">
        <f t="shared" si="17"/>
        <v>0.24872854800443522</v>
      </c>
      <c r="AA19" s="52" t="s">
        <v>31</v>
      </c>
      <c r="AB19" s="53">
        <f>AB17/AB18</f>
        <v>301.5944347528042</v>
      </c>
      <c r="AC19" s="51">
        <f t="shared" ref="AC19" si="23">AC17/AC18</f>
        <v>422.58623387892419</v>
      </c>
    </row>
    <row r="20" spans="2:29" x14ac:dyDescent="0.3">
      <c r="C20" s="4"/>
      <c r="D20" s="21">
        <f t="shared" ref="D20:M20" si="24">(D19/C19)-1</f>
        <v>0.65092896143772627</v>
      </c>
      <c r="E20" s="21">
        <f t="shared" si="24"/>
        <v>1.2197914380358954</v>
      </c>
      <c r="F20" s="21">
        <f t="shared" si="24"/>
        <v>0.26784262798016045</v>
      </c>
      <c r="G20" s="21">
        <f t="shared" si="24"/>
        <v>0.34256850454109622</v>
      </c>
      <c r="H20" s="21">
        <f t="shared" si="24"/>
        <v>0.33371519578804176</v>
      </c>
      <c r="I20" s="21">
        <f t="shared" si="24"/>
        <v>5.6832713106680144E-2</v>
      </c>
      <c r="J20" s="21">
        <f t="shared" si="24"/>
        <v>0.12777446889030841</v>
      </c>
      <c r="K20" s="21">
        <f t="shared" si="24"/>
        <v>0.2767209945340916</v>
      </c>
      <c r="L20" s="21">
        <f t="shared" si="24"/>
        <v>0.3690826496850359</v>
      </c>
      <c r="M20" s="21">
        <f t="shared" si="24"/>
        <v>-0.46811129252026995</v>
      </c>
      <c r="N20" s="6"/>
    </row>
    <row r="21" spans="2:29" x14ac:dyDescent="0.3">
      <c r="B21" s="57" t="s">
        <v>12</v>
      </c>
      <c r="C21" s="12">
        <f>C19/C7</f>
        <v>42.695958599109396</v>
      </c>
      <c r="D21" s="12">
        <f t="shared" ref="D21:L21" si="25">D19/D7</f>
        <v>21.931651264875491</v>
      </c>
      <c r="E21" s="12">
        <f t="shared" si="25"/>
        <v>29.778464619942824</v>
      </c>
      <c r="F21" s="12">
        <f t="shared" si="25"/>
        <v>28.821815846644231</v>
      </c>
      <c r="G21" s="12">
        <f t="shared" si="25"/>
        <v>21.405666745818952</v>
      </c>
      <c r="H21" s="12">
        <f t="shared" si="25"/>
        <v>18.15227792606624</v>
      </c>
      <c r="I21" s="12">
        <f t="shared" si="25"/>
        <v>15.245795812234842</v>
      </c>
      <c r="J21" s="12">
        <f t="shared" si="25"/>
        <v>16.90520233351274</v>
      </c>
      <c r="K21" s="12">
        <f t="shared" si="25"/>
        <v>16.22959505178796</v>
      </c>
      <c r="L21" s="12">
        <f t="shared" si="25"/>
        <v>16.052808846037404</v>
      </c>
      <c r="M21" s="17">
        <f t="shared" ref="M21" si="26">M19/M7</f>
        <v>8.1053091577276284</v>
      </c>
      <c r="N21" s="20">
        <f>AVERAGE(C21:M21)</f>
        <v>21.393140563977969</v>
      </c>
    </row>
    <row r="22" spans="2:29" x14ac:dyDescent="0.3">
      <c r="B22" s="57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20"/>
      <c r="AA22" s="59" t="s">
        <v>36</v>
      </c>
      <c r="AB22" s="59"/>
      <c r="AC22" s="59"/>
    </row>
    <row r="23" spans="2:29" x14ac:dyDescent="0.3">
      <c r="B23" s="57" t="s">
        <v>13</v>
      </c>
      <c r="C23" s="12">
        <f>C11/C7</f>
        <v>1.9848357203032856</v>
      </c>
      <c r="D23" s="12">
        <f t="shared" ref="D23:L23" si="27">D11/D7</f>
        <v>0.12477064220183487</v>
      </c>
      <c r="E23" s="12">
        <f t="shared" si="27"/>
        <v>3.7357704024370691E-2</v>
      </c>
      <c r="F23" s="12">
        <f t="shared" si="27"/>
        <v>1.3953488372093023E-2</v>
      </c>
      <c r="G23" s="12">
        <f t="shared" si="27"/>
        <v>0</v>
      </c>
      <c r="H23" s="12">
        <f t="shared" si="27"/>
        <v>0</v>
      </c>
      <c r="I23" s="12">
        <f t="shared" si="27"/>
        <v>0</v>
      </c>
      <c r="J23" s="12">
        <f t="shared" si="27"/>
        <v>0.34729370605846538</v>
      </c>
      <c r="K23" s="12">
        <f t="shared" si="27"/>
        <v>0.26949637012116462</v>
      </c>
      <c r="L23" s="12">
        <f t="shared" si="27"/>
        <v>0.25352704678362575</v>
      </c>
      <c r="M23" s="17">
        <f t="shared" ref="M23" si="28">M11/M7</f>
        <v>0.24379272292687276</v>
      </c>
      <c r="N23" s="20">
        <f>AVERAGE(C23:M23)</f>
        <v>0.29772976370833754</v>
      </c>
      <c r="AA23" s="38"/>
      <c r="AB23" s="39">
        <v>2027</v>
      </c>
      <c r="AC23" s="40">
        <v>2032</v>
      </c>
    </row>
    <row r="24" spans="2:29" x14ac:dyDescent="0.3">
      <c r="B24" s="57"/>
      <c r="C24" s="4"/>
      <c r="D24" s="4"/>
      <c r="E24" s="4"/>
      <c r="F24" s="4"/>
      <c r="G24" s="4"/>
      <c r="H24" s="4"/>
      <c r="I24" s="4"/>
      <c r="J24" s="4"/>
      <c r="K24" s="4"/>
      <c r="L24" s="4"/>
      <c r="M24" s="5"/>
      <c r="N24" s="6"/>
      <c r="AA24" s="41" t="s">
        <v>35</v>
      </c>
      <c r="AB24" s="42">
        <f>(AB11+AB19)/2</f>
        <v>445.36630992987426</v>
      </c>
      <c r="AC24" s="43">
        <f t="shared" ref="AC24" si="29">(AC11+AC19)/2</f>
        <v>624.52278404827234</v>
      </c>
    </row>
    <row r="25" spans="2:29" x14ac:dyDescent="0.3">
      <c r="B25" s="57" t="s">
        <v>14</v>
      </c>
      <c r="C25" s="7">
        <v>1612</v>
      </c>
      <c r="D25" s="7">
        <v>4222</v>
      </c>
      <c r="E25" s="7">
        <v>7326</v>
      </c>
      <c r="F25" s="7">
        <v>10320</v>
      </c>
      <c r="G25" s="7">
        <v>16108</v>
      </c>
      <c r="H25" s="7">
        <v>24216</v>
      </c>
      <c r="I25" s="7">
        <v>29274</v>
      </c>
      <c r="J25" s="7">
        <v>36314</v>
      </c>
      <c r="K25" s="7">
        <v>38747</v>
      </c>
      <c r="L25" s="7">
        <v>57683</v>
      </c>
      <c r="M25" s="18">
        <f>16.93*L33</f>
        <v>46405.13</v>
      </c>
      <c r="N25" s="21">
        <f t="shared" si="17"/>
        <v>0.39932984089246482</v>
      </c>
      <c r="AA25" s="44" t="s">
        <v>37</v>
      </c>
      <c r="AB25" s="45">
        <f>(AB24/M37)^(1/5)-1</f>
        <v>0.20987036859404817</v>
      </c>
      <c r="AC25" s="46">
        <f>(AC24/M37)^(1/10)-1</f>
        <v>0.13776485044999709</v>
      </c>
    </row>
    <row r="26" spans="2:29" x14ac:dyDescent="0.3">
      <c r="B26" s="57"/>
      <c r="C26" s="4"/>
      <c r="D26" s="21">
        <f t="shared" ref="D26:M26" si="30">(D25/C25)-1</f>
        <v>1.6191066997518608</v>
      </c>
      <c r="E26" s="21">
        <f t="shared" si="30"/>
        <v>0.73519658929417342</v>
      </c>
      <c r="F26" s="21">
        <f t="shared" si="30"/>
        <v>0.40868140868140879</v>
      </c>
      <c r="G26" s="21">
        <f t="shared" si="30"/>
        <v>0.56085271317829455</v>
      </c>
      <c r="H26" s="21">
        <f t="shared" si="30"/>
        <v>0.50335237149242618</v>
      </c>
      <c r="I26" s="21">
        <f t="shared" si="30"/>
        <v>0.20887016848364715</v>
      </c>
      <c r="J26" s="21">
        <f t="shared" si="30"/>
        <v>0.24048643847783024</v>
      </c>
      <c r="K26" s="21">
        <f t="shared" si="30"/>
        <v>6.699895357162533E-2</v>
      </c>
      <c r="L26" s="21">
        <f t="shared" si="30"/>
        <v>0.48870880326218802</v>
      </c>
      <c r="M26" s="21">
        <f t="shared" si="30"/>
        <v>-0.19551462302584821</v>
      </c>
      <c r="N26" s="21"/>
    </row>
    <row r="27" spans="2:29" x14ac:dyDescent="0.3">
      <c r="B27" s="57" t="s">
        <v>15</v>
      </c>
      <c r="C27" s="7">
        <v>-1235</v>
      </c>
      <c r="D27" s="7">
        <v>-1362</v>
      </c>
      <c r="E27" s="7">
        <v>-1831</v>
      </c>
      <c r="F27" s="7">
        <v>-2523</v>
      </c>
      <c r="G27" s="7">
        <v>-4491</v>
      </c>
      <c r="H27" s="7">
        <v>-6733</v>
      </c>
      <c r="I27" s="7">
        <v>-13915</v>
      </c>
      <c r="J27" s="7">
        <v>-15102</v>
      </c>
      <c r="K27" s="7">
        <v>-15115</v>
      </c>
      <c r="L27" s="7">
        <v>-18567</v>
      </c>
      <c r="M27" s="16">
        <v>-29980</v>
      </c>
      <c r="N27" s="21">
        <f t="shared" si="17"/>
        <v>0.37567697066472849</v>
      </c>
    </row>
    <row r="28" spans="2:29" x14ac:dyDescent="0.3">
      <c r="B28" s="57"/>
      <c r="C28" s="4"/>
      <c r="D28" s="4"/>
      <c r="E28" s="4"/>
      <c r="F28" s="4"/>
      <c r="G28" s="4"/>
      <c r="H28" s="4"/>
      <c r="I28" s="4"/>
      <c r="J28" s="4"/>
      <c r="K28" s="4"/>
      <c r="L28" s="4"/>
      <c r="M28" s="15"/>
      <c r="N28" s="21"/>
    </row>
    <row r="29" spans="2:29" x14ac:dyDescent="0.3">
      <c r="B29" s="57" t="s">
        <v>23</v>
      </c>
      <c r="C29" s="7">
        <v>-366</v>
      </c>
      <c r="D29" s="7">
        <f>-391-1500</f>
        <v>-1891</v>
      </c>
      <c r="E29" s="7">
        <v>-243</v>
      </c>
      <c r="F29" s="7">
        <v>-119</v>
      </c>
      <c r="G29" s="7">
        <v>-312</v>
      </c>
      <c r="H29" s="7">
        <v>0</v>
      </c>
      <c r="I29" s="7">
        <v>0</v>
      </c>
      <c r="J29" s="7">
        <v>-552</v>
      </c>
      <c r="K29" s="7">
        <v>-604</v>
      </c>
      <c r="L29" s="7">
        <v>-677</v>
      </c>
      <c r="M29" s="16">
        <f>-233*4</f>
        <v>-932</v>
      </c>
      <c r="N29" s="21">
        <f t="shared" si="17"/>
        <v>9.7977606563467212E-2</v>
      </c>
    </row>
    <row r="30" spans="2:29" x14ac:dyDescent="0.3">
      <c r="B30" s="57"/>
      <c r="C30" s="4"/>
      <c r="D30" s="4"/>
      <c r="E30" s="4"/>
      <c r="F30" s="4"/>
      <c r="G30" s="4"/>
      <c r="H30" s="4"/>
      <c r="I30" s="4"/>
      <c r="J30" s="4"/>
      <c r="K30" s="4"/>
      <c r="L30" s="4"/>
      <c r="M30" s="15"/>
      <c r="N30" s="21"/>
    </row>
    <row r="31" spans="2:29" x14ac:dyDescent="0.3">
      <c r="B31" s="57" t="s">
        <v>16</v>
      </c>
      <c r="C31" s="7">
        <f>C25+C27+C29</f>
        <v>11</v>
      </c>
      <c r="D31" s="7">
        <f t="shared" ref="D31:M31" si="31">D25+D27+D29</f>
        <v>969</v>
      </c>
      <c r="E31" s="7">
        <f t="shared" si="31"/>
        <v>5252</v>
      </c>
      <c r="F31" s="7">
        <f t="shared" si="31"/>
        <v>7678</v>
      </c>
      <c r="G31" s="7">
        <f t="shared" si="31"/>
        <v>11305</v>
      </c>
      <c r="H31" s="7">
        <f t="shared" si="31"/>
        <v>17483</v>
      </c>
      <c r="I31" s="7">
        <f t="shared" si="31"/>
        <v>15359</v>
      </c>
      <c r="J31" s="7">
        <f t="shared" si="31"/>
        <v>20660</v>
      </c>
      <c r="K31" s="7">
        <f t="shared" si="31"/>
        <v>23028</v>
      </c>
      <c r="L31" s="7">
        <f t="shared" si="31"/>
        <v>38439</v>
      </c>
      <c r="M31" s="16">
        <f t="shared" si="31"/>
        <v>15493.129999999997</v>
      </c>
      <c r="N31" s="21">
        <f>(M31/D31)^(1/10)-1</f>
        <v>0.31941536963369166</v>
      </c>
      <c r="O31" s="5">
        <f>M31*(1+O32)</f>
        <v>20441.873845732833</v>
      </c>
      <c r="P31" s="5">
        <f>O31*(1+P32)</f>
        <v>26971.32253617288</v>
      </c>
      <c r="Q31" s="5">
        <f t="shared" ref="Q31:X31" si="32">P31*(1+Q32)</f>
        <v>35586.377493574058</v>
      </c>
      <c r="R31" s="5">
        <f t="shared" si="32"/>
        <v>46953.213414608101</v>
      </c>
      <c r="S31" s="5">
        <f t="shared" si="32"/>
        <v>61950.791432924758</v>
      </c>
      <c r="T31" s="5">
        <f t="shared" si="32"/>
        <v>81738.826377572157</v>
      </c>
      <c r="U31" s="5">
        <f t="shared" si="32"/>
        <v>107847.46381838851</v>
      </c>
      <c r="V31" s="5">
        <f t="shared" si="32"/>
        <v>142295.60133799526</v>
      </c>
      <c r="W31" s="5">
        <f t="shared" si="32"/>
        <v>187747.00343661944</v>
      </c>
      <c r="X31" s="5">
        <f t="shared" si="32"/>
        <v>247716.28193694522</v>
      </c>
    </row>
    <row r="32" spans="2:29" x14ac:dyDescent="0.3">
      <c r="B32" s="57"/>
      <c r="C32" s="4"/>
      <c r="D32" s="21">
        <f t="shared" ref="D32:M32" si="33">(D31/C31)-1</f>
        <v>87.090909090909093</v>
      </c>
      <c r="E32" s="21">
        <f t="shared" si="33"/>
        <v>4.4200206398348811</v>
      </c>
      <c r="F32" s="21">
        <f t="shared" si="33"/>
        <v>0.46191926884996182</v>
      </c>
      <c r="G32" s="21">
        <f t="shared" si="33"/>
        <v>0.47238864287574889</v>
      </c>
      <c r="H32" s="21">
        <f t="shared" si="33"/>
        <v>0.54648385670057498</v>
      </c>
      <c r="I32" s="21">
        <f t="shared" si="33"/>
        <v>-0.12148944689126584</v>
      </c>
      <c r="J32" s="21">
        <f t="shared" si="33"/>
        <v>0.34513965752978715</v>
      </c>
      <c r="K32" s="21">
        <f t="shared" si="33"/>
        <v>0.11461761858664077</v>
      </c>
      <c r="L32" s="21">
        <f t="shared" si="33"/>
        <v>0.66922876498176143</v>
      </c>
      <c r="M32" s="21">
        <f t="shared" si="33"/>
        <v>-0.59694242826296218</v>
      </c>
      <c r="N32" s="21"/>
      <c r="O32" s="24">
        <f>N31</f>
        <v>0.31941536963369166</v>
      </c>
      <c r="P32" s="24">
        <f>O32</f>
        <v>0.31941536963369166</v>
      </c>
      <c r="Q32" s="24">
        <f t="shared" ref="Q32:X32" si="34">P32</f>
        <v>0.31941536963369166</v>
      </c>
      <c r="R32" s="24">
        <f t="shared" si="34"/>
        <v>0.31941536963369166</v>
      </c>
      <c r="S32" s="24">
        <f t="shared" si="34"/>
        <v>0.31941536963369166</v>
      </c>
      <c r="T32" s="24">
        <f t="shared" si="34"/>
        <v>0.31941536963369166</v>
      </c>
      <c r="U32" s="24">
        <f t="shared" si="34"/>
        <v>0.31941536963369166</v>
      </c>
      <c r="V32" s="24">
        <f t="shared" si="34"/>
        <v>0.31941536963369166</v>
      </c>
      <c r="W32" s="24">
        <f t="shared" si="34"/>
        <v>0.31941536963369166</v>
      </c>
      <c r="X32" s="24">
        <f t="shared" si="34"/>
        <v>0.31941536963369166</v>
      </c>
    </row>
    <row r="33" spans="2:24" x14ac:dyDescent="0.3">
      <c r="B33" s="57" t="s">
        <v>24</v>
      </c>
      <c r="C33" s="7">
        <f>701+1671</f>
        <v>2372</v>
      </c>
      <c r="D33" s="7">
        <f>577+1970</f>
        <v>2547</v>
      </c>
      <c r="E33" s="7">
        <f>563+2234</f>
        <v>2797</v>
      </c>
      <c r="F33" s="7">
        <f>552+2293</f>
        <v>2845</v>
      </c>
      <c r="G33" s="7">
        <f>538+2354</f>
        <v>2892</v>
      </c>
      <c r="H33" s="7">
        <f>509+2397</f>
        <v>2906</v>
      </c>
      <c r="I33" s="7">
        <f>469+2385</f>
        <v>2854</v>
      </c>
      <c r="J33" s="7">
        <f>445+2407</f>
        <v>2852</v>
      </c>
      <c r="K33" s="7">
        <f>443+2406</f>
        <v>2849</v>
      </c>
      <c r="L33" s="7">
        <f>413+2328</f>
        <v>2741</v>
      </c>
      <c r="M33" s="16">
        <f>2301+413</f>
        <v>2714</v>
      </c>
      <c r="N33" s="21">
        <f t="shared" si="17"/>
        <v>1.3560123736178431E-2</v>
      </c>
    </row>
    <row r="34" spans="2:24" x14ac:dyDescent="0.3">
      <c r="B34" s="57"/>
      <c r="C34" s="4"/>
      <c r="D34" s="4"/>
      <c r="E34" s="4"/>
      <c r="F34" s="4"/>
      <c r="G34" s="4"/>
      <c r="H34" s="4"/>
      <c r="I34" s="4"/>
      <c r="J34" s="4"/>
      <c r="K34" s="4"/>
      <c r="L34" s="4"/>
      <c r="M34" s="15"/>
      <c r="N34" s="6"/>
    </row>
    <row r="35" spans="2:24" x14ac:dyDescent="0.3">
      <c r="B35" s="57" t="s">
        <v>17</v>
      </c>
      <c r="C35" s="10">
        <f>C31/C33</f>
        <v>4.6374367622259698E-3</v>
      </c>
      <c r="D35" s="10">
        <f t="shared" ref="D35:L35" si="35">D31/D33</f>
        <v>0.38044758539458184</v>
      </c>
      <c r="E35" s="10">
        <f t="shared" si="35"/>
        <v>1.877726135144798</v>
      </c>
      <c r="F35" s="10">
        <f t="shared" si="35"/>
        <v>2.6987697715289984</v>
      </c>
      <c r="G35" s="10">
        <f t="shared" si="35"/>
        <v>3.9090594744121714</v>
      </c>
      <c r="H35" s="10">
        <f t="shared" si="35"/>
        <v>6.0161734342739157</v>
      </c>
      <c r="I35" s="10">
        <f t="shared" si="35"/>
        <v>5.3815697266993689</v>
      </c>
      <c r="J35" s="10">
        <f t="shared" si="35"/>
        <v>7.244039270687237</v>
      </c>
      <c r="K35" s="10">
        <f t="shared" si="35"/>
        <v>8.0828360828360832</v>
      </c>
      <c r="L35" s="10">
        <f t="shared" si="35"/>
        <v>14.023713973002554</v>
      </c>
      <c r="M35" s="18">
        <f>M31/M33</f>
        <v>5.7085961680176851</v>
      </c>
      <c r="N35" s="21">
        <f>(M35/D35)^(1/9)-1</f>
        <v>0.35111626166531695</v>
      </c>
      <c r="O35" s="5">
        <f>M35*(1+O36)</f>
        <v>6.2776950862647842</v>
      </c>
      <c r="P35" s="5">
        <f>O35*(1+P36)</f>
        <v>6.8722367053688496</v>
      </c>
      <c r="Q35" s="5">
        <f t="shared" ref="Q35:X35" si="36">P35*(1+Q36)</f>
        <v>7.4905431295348039</v>
      </c>
      <c r="R35" s="5">
        <f t="shared" si="36"/>
        <v>8.130782774826999</v>
      </c>
      <c r="S35" s="5">
        <f t="shared" si="36"/>
        <v>8.7909975176296467</v>
      </c>
      <c r="T35" s="5">
        <f t="shared" si="36"/>
        <v>9.4691301168545543</v>
      </c>
      <c r="U35" s="5">
        <f t="shared" si="36"/>
        <v>10.163051314691407</v>
      </c>
      <c r="V35" s="5">
        <f t="shared" si="36"/>
        <v>10.870586095837194</v>
      </c>
      <c r="W35" s="5">
        <f t="shared" si="36"/>
        <v>11.589538666308815</v>
      </c>
      <c r="X35" s="5">
        <f t="shared" si="36"/>
        <v>12.31771579624462</v>
      </c>
    </row>
    <row r="36" spans="2:24" x14ac:dyDescent="0.3">
      <c r="B36" s="57"/>
      <c r="C36" s="4"/>
      <c r="D36" s="4"/>
      <c r="E36" s="21">
        <f>(E35/D35)-1</f>
        <v>3.9355711725632618</v>
      </c>
      <c r="F36" s="21">
        <f t="shared" ref="F36:M36" si="37">(F35/E35)-1</f>
        <v>0.4372541985846552</v>
      </c>
      <c r="G36" s="21">
        <f t="shared" si="37"/>
        <v>0.44845978180549961</v>
      </c>
      <c r="H36" s="21">
        <f t="shared" si="37"/>
        <v>0.53903348712252663</v>
      </c>
      <c r="I36" s="21">
        <f t="shared" si="37"/>
        <v>-0.10548294767554955</v>
      </c>
      <c r="J36" s="21">
        <f t="shared" si="37"/>
        <v>0.34608295322230465</v>
      </c>
      <c r="K36" s="21">
        <f t="shared" si="37"/>
        <v>0.1157913121127061</v>
      </c>
      <c r="L36" s="21">
        <f t="shared" si="37"/>
        <v>0.73499917965451944</v>
      </c>
      <c r="M36" s="21">
        <f t="shared" si="37"/>
        <v>-0.59293264401944712</v>
      </c>
      <c r="N36" s="21">
        <f>AVERAGE(I36:M36)</f>
        <v>9.9691570658906728E-2</v>
      </c>
      <c r="O36" s="24">
        <f>N36</f>
        <v>9.9691570658906728E-2</v>
      </c>
      <c r="P36" s="24">
        <f>O36*0.95</f>
        <v>9.4706992125961384E-2</v>
      </c>
      <c r="Q36" s="24">
        <f t="shared" ref="Q36:X36" si="38">P36*0.95</f>
        <v>8.9971642519663317E-2</v>
      </c>
      <c r="R36" s="24">
        <f t="shared" si="38"/>
        <v>8.5473060393680148E-2</v>
      </c>
      <c r="S36" s="24">
        <f t="shared" si="38"/>
        <v>8.1199407373996141E-2</v>
      </c>
      <c r="T36" s="24">
        <f t="shared" si="38"/>
        <v>7.7139437005296324E-2</v>
      </c>
      <c r="U36" s="24">
        <f t="shared" si="38"/>
        <v>7.3282465155031506E-2</v>
      </c>
      <c r="V36" s="24">
        <f t="shared" si="38"/>
        <v>6.9618341897279931E-2</v>
      </c>
      <c r="W36" s="24">
        <f t="shared" si="38"/>
        <v>6.6137424802415926E-2</v>
      </c>
      <c r="X36" s="24">
        <f t="shared" si="38"/>
        <v>6.2830553562295124E-2</v>
      </c>
    </row>
    <row r="37" spans="2:24" x14ac:dyDescent="0.3">
      <c r="B37" s="57" t="s">
        <v>18</v>
      </c>
      <c r="C37" s="10">
        <v>24.037142857142857</v>
      </c>
      <c r="D37" s="10">
        <v>36.749999833333334</v>
      </c>
      <c r="E37" s="10">
        <v>69.90499958333335</v>
      </c>
      <c r="F37" s="10">
        <v>88.753334083333343</v>
      </c>
      <c r="G37" s="10">
        <v>118.89083408333336</v>
      </c>
      <c r="H37" s="10">
        <v>158.86583333333331</v>
      </c>
      <c r="I37" s="10">
        <v>168.28</v>
      </c>
      <c r="J37" s="10">
        <v>184.60166541666663</v>
      </c>
      <c r="K37" s="10">
        <v>236.67166766666671</v>
      </c>
      <c r="L37" s="10">
        <v>322.62083183333334</v>
      </c>
      <c r="M37" s="16">
        <v>171.8</v>
      </c>
      <c r="N37" s="21">
        <f t="shared" si="17"/>
        <v>0.21734599559370515</v>
      </c>
    </row>
    <row r="38" spans="2:24" x14ac:dyDescent="0.3">
      <c r="B38" s="57"/>
      <c r="C38" s="3"/>
      <c r="D38" s="21">
        <f t="shared" ref="D38:M38" si="39">(D37/C37)-1</f>
        <v>0.52888386326716597</v>
      </c>
      <c r="E38" s="21">
        <f t="shared" si="39"/>
        <v>0.90217686803708363</v>
      </c>
      <c r="F38" s="21">
        <f t="shared" si="39"/>
        <v>0.26962784653951677</v>
      </c>
      <c r="G38" s="21">
        <f t="shared" si="39"/>
        <v>0.33956470831510344</v>
      </c>
      <c r="H38" s="21">
        <f t="shared" si="39"/>
        <v>0.33623281019275675</v>
      </c>
      <c r="I38" s="21">
        <f t="shared" si="39"/>
        <v>5.9258598712750521E-2</v>
      </c>
      <c r="J38" s="21">
        <f t="shared" si="39"/>
        <v>9.6991118473179316E-2</v>
      </c>
      <c r="K38" s="21">
        <f t="shared" si="39"/>
        <v>0.28206680656142646</v>
      </c>
      <c r="L38" s="21">
        <f t="shared" si="39"/>
        <v>0.36315780851182922</v>
      </c>
      <c r="M38" s="21">
        <f t="shared" si="39"/>
        <v>-0.46748633985063837</v>
      </c>
      <c r="N38" s="21"/>
    </row>
    <row r="39" spans="2:24" x14ac:dyDescent="0.3">
      <c r="B39" s="57" t="s">
        <v>21</v>
      </c>
      <c r="C39" s="11">
        <f>C35/C37</f>
        <v>1.9292795278486741E-4</v>
      </c>
      <c r="D39" s="11">
        <f t="shared" ref="D39:M39" si="40">D35/D37</f>
        <v>1.0352315295781435E-2</v>
      </c>
      <c r="E39" s="11">
        <f t="shared" si="40"/>
        <v>2.6861113601844334E-2</v>
      </c>
      <c r="F39" s="11">
        <f t="shared" si="40"/>
        <v>3.040753115815387E-2</v>
      </c>
      <c r="G39" s="11">
        <f t="shared" si="40"/>
        <v>3.2879401549763043E-2</v>
      </c>
      <c r="H39" s="11">
        <f t="shared" si="40"/>
        <v>3.7869523660576797E-2</v>
      </c>
      <c r="I39" s="11">
        <f t="shared" si="40"/>
        <v>3.1979853379482823E-2</v>
      </c>
      <c r="J39" s="11">
        <f t="shared" si="40"/>
        <v>3.9241462173900919E-2</v>
      </c>
      <c r="K39" s="11">
        <f t="shared" si="40"/>
        <v>3.4152106851336836E-2</v>
      </c>
      <c r="L39" s="11">
        <f t="shared" si="40"/>
        <v>4.3468098117877385E-2</v>
      </c>
      <c r="M39" s="19">
        <f t="shared" si="40"/>
        <v>3.3228149988461492E-2</v>
      </c>
      <c r="N39" s="14">
        <f>AVERAGE(C39:M39)</f>
        <v>2.9148407611814888E-2</v>
      </c>
    </row>
  </sheetData>
  <mergeCells count="3">
    <mergeCell ref="AA2:AC2"/>
    <mergeCell ref="AA15:AC15"/>
    <mergeCell ref="AA22:AC22"/>
  </mergeCells>
  <hyperlinks>
    <hyperlink ref="M14" r:id="rId1" display="21089*@" xr:uid="{E631AC0F-82AA-432D-9551-358319091270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Old_Historical</vt:lpstr>
      <vt:lpstr>FCFE_Multiple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Tido</dc:creator>
  <cp:lastModifiedBy>Theodor Hogan</cp:lastModifiedBy>
  <cp:lastPrinted>2022-07-07T16:58:39Z</cp:lastPrinted>
  <dcterms:created xsi:type="dcterms:W3CDTF">2015-06-05T18:17:20Z</dcterms:created>
  <dcterms:modified xsi:type="dcterms:W3CDTF">2024-05-19T12:31:07Z</dcterms:modified>
</cp:coreProperties>
</file>