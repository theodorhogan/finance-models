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491" documentId="11_F25DC773A252ABDACC10487EA91866DC5BDE58E7" xr6:coauthVersionLast="47" xr6:coauthVersionMax="47" xr10:uidLastSave="{9020DB22-CD9F-42FB-8E6B-DD2F2D3639DC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  <sheet name="Sheet2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16" i="1" l="1"/>
  <c r="AB10" i="1"/>
  <c r="AA10" i="1"/>
  <c r="AB8" i="1"/>
  <c r="AA8" i="1"/>
  <c r="AB7" i="1"/>
  <c r="AA7" i="1"/>
  <c r="Z8" i="1"/>
  <c r="Z7" i="1"/>
  <c r="O7" i="1"/>
  <c r="P7" i="1" s="1"/>
  <c r="Q7" i="1" s="1"/>
  <c r="R7" i="1" s="1"/>
  <c r="S7" i="1" s="1"/>
  <c r="T7" i="1" s="1"/>
  <c r="U7" i="1" s="1"/>
  <c r="V7" i="1" s="1"/>
  <c r="W7" i="1" s="1"/>
  <c r="X7" i="1" s="1"/>
  <c r="AB4" i="1" s="1"/>
  <c r="AB6" i="1" s="1"/>
  <c r="AB9" i="1" s="1"/>
  <c r="AB11" i="1" s="1"/>
  <c r="O33" i="1"/>
  <c r="P33" i="1"/>
  <c r="Q33" i="1" s="1"/>
  <c r="R33" i="1" s="1"/>
  <c r="S33" i="1" s="1"/>
  <c r="T33" i="1" s="1"/>
  <c r="U33" i="1" s="1"/>
  <c r="V33" i="1" s="1"/>
  <c r="W33" i="1" s="1"/>
  <c r="X33" i="1" s="1"/>
  <c r="AB15" i="1" s="1"/>
  <c r="N35" i="1"/>
  <c r="K35" i="1"/>
  <c r="J35" i="1"/>
  <c r="I35" i="1"/>
  <c r="H35" i="1"/>
  <c r="G35" i="1"/>
  <c r="F35" i="1"/>
  <c r="E35" i="1"/>
  <c r="D35" i="1"/>
  <c r="C35" i="1"/>
  <c r="N37" i="1"/>
  <c r="N5" i="1"/>
  <c r="P3" i="1"/>
  <c r="Q3" i="1" s="1"/>
  <c r="R3" i="1" s="1"/>
  <c r="S3" i="1" s="1"/>
  <c r="T3" i="1" s="1"/>
  <c r="U3" i="1" s="1"/>
  <c r="V3" i="1" s="1"/>
  <c r="W3" i="1" s="1"/>
  <c r="X3" i="1" s="1"/>
  <c r="K17" i="1"/>
  <c r="J17" i="1"/>
  <c r="I17" i="1"/>
  <c r="H17" i="1"/>
  <c r="G17" i="1"/>
  <c r="F17" i="1"/>
  <c r="F19" i="1" s="1"/>
  <c r="E17" i="1"/>
  <c r="D17" i="1"/>
  <c r="D19" i="1" s="1"/>
  <c r="C17" i="1"/>
  <c r="B17" i="1"/>
  <c r="D6" i="3" a="1"/>
  <c r="D6" i="3" s="1"/>
  <c r="B29" i="1"/>
  <c r="B31" i="1" s="1"/>
  <c r="B33" i="1" s="1"/>
  <c r="B39" i="1" s="1"/>
  <c r="B11" i="1"/>
  <c r="C11" i="1"/>
  <c r="B7" i="1"/>
  <c r="I7" i="1"/>
  <c r="J7" i="1"/>
  <c r="K7" i="1"/>
  <c r="C7" i="1"/>
  <c r="D7" i="1"/>
  <c r="D11" i="1"/>
  <c r="E11" i="1"/>
  <c r="D31" i="1"/>
  <c r="D33" i="1" s="1"/>
  <c r="D39" i="1" s="1"/>
  <c r="C31" i="1"/>
  <c r="C33" i="1" s="1"/>
  <c r="C39" i="1" s="1"/>
  <c r="E29" i="1"/>
  <c r="E31" i="1" s="1"/>
  <c r="E33" i="1" s="1"/>
  <c r="E39" i="1" s="1"/>
  <c r="F29" i="1"/>
  <c r="F31" i="1" s="1"/>
  <c r="F33" i="1" s="1"/>
  <c r="F39" i="1" s="1"/>
  <c r="E7" i="1"/>
  <c r="F7" i="1"/>
  <c r="F23" i="1" s="1"/>
  <c r="G11" i="1"/>
  <c r="H31" i="1"/>
  <c r="H33" i="1" s="1"/>
  <c r="H39" i="1" s="1"/>
  <c r="G29" i="1"/>
  <c r="G31" i="1" s="1"/>
  <c r="G33" i="1" s="1"/>
  <c r="G39" i="1" s="1"/>
  <c r="I29" i="1"/>
  <c r="I31" i="1" s="1"/>
  <c r="I33" i="1" s="1"/>
  <c r="I39" i="1" s="1"/>
  <c r="N39" i="1" s="1"/>
  <c r="H7" i="1"/>
  <c r="G7" i="1"/>
  <c r="H11" i="1"/>
  <c r="I11" i="1"/>
  <c r="J13" i="1"/>
  <c r="K31" i="1"/>
  <c r="K33" i="1" s="1"/>
  <c r="K39" i="1" s="1"/>
  <c r="J31" i="1"/>
  <c r="J33" i="1" s="1"/>
  <c r="J39" i="1" s="1"/>
  <c r="K13" i="1"/>
  <c r="J11" i="1"/>
  <c r="K11" i="1"/>
  <c r="M27" i="1"/>
  <c r="M25" i="1"/>
  <c r="M13" i="1"/>
  <c r="M11" i="1"/>
  <c r="N11" i="1" s="1"/>
  <c r="L7" i="1"/>
  <c r="M7" i="1"/>
  <c r="L31" i="1"/>
  <c r="L33" i="1" s="1"/>
  <c r="L13" i="1"/>
  <c r="L11" i="1"/>
  <c r="C3" i="1"/>
  <c r="D3" i="1" s="1"/>
  <c r="E3" i="1" s="1"/>
  <c r="F3" i="1" s="1"/>
  <c r="G3" i="1" s="1"/>
  <c r="H3" i="1" s="1"/>
  <c r="I3" i="1" s="1"/>
  <c r="J3" i="1" s="1"/>
  <c r="K3" i="1" s="1"/>
  <c r="N25" i="1" s="1"/>
  <c r="AA15" i="1" l="1"/>
  <c r="AA17" i="1" s="1"/>
  <c r="AA22" i="1" s="1" a="1"/>
  <c r="AA22" i="1" s="1"/>
  <c r="AB17" i="1"/>
  <c r="AA4" i="1"/>
  <c r="AA6" i="1" s="1"/>
  <c r="AA9" i="1" s="1"/>
  <c r="AA11" i="1" s="1"/>
  <c r="AA21" i="1" s="1" a="1"/>
  <c r="D21" i="1"/>
  <c r="D9" i="1"/>
  <c r="B19" i="1"/>
  <c r="B21" i="1" s="1"/>
  <c r="D23" i="1"/>
  <c r="B23" i="1"/>
  <c r="H19" i="1"/>
  <c r="H21" i="1" s="1"/>
  <c r="E9" i="1"/>
  <c r="C9" i="1"/>
  <c r="I19" i="1"/>
  <c r="I21" i="1" s="1"/>
  <c r="I9" i="1"/>
  <c r="H9" i="1"/>
  <c r="K9" i="1"/>
  <c r="J19" i="1"/>
  <c r="J21" i="1" s="1"/>
  <c r="J9" i="1"/>
  <c r="E23" i="1"/>
  <c r="N33" i="1"/>
  <c r="C23" i="1"/>
  <c r="G23" i="1"/>
  <c r="M31" i="1"/>
  <c r="M33" i="1" s="1"/>
  <c r="F9" i="1"/>
  <c r="G9" i="1"/>
  <c r="C19" i="1"/>
  <c r="C21" i="1" s="1"/>
  <c r="E19" i="1"/>
  <c r="E21" i="1" s="1"/>
  <c r="I23" i="1"/>
  <c r="F21" i="1"/>
  <c r="H23" i="1"/>
  <c r="G19" i="1"/>
  <c r="G21" i="1" s="1"/>
  <c r="K23" i="1"/>
  <c r="J23" i="1"/>
  <c r="K19" i="1"/>
  <c r="K21" i="1" s="1"/>
  <c r="AA21" i="1" l="1"/>
  <c r="AA23" i="1" s="1"/>
  <c r="AA25" i="1" s="1"/>
  <c r="AB23" i="1"/>
  <c r="AB25" i="1" s="1"/>
  <c r="N21" i="1"/>
  <c r="N23" i="1"/>
  <c r="N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<sst xmlns="http://schemas.openxmlformats.org/spreadsheetml/2006/main" count="64" uniqueCount="54">
  <si>
    <t>Ticker</t>
  </si>
  <si>
    <t>Date</t>
  </si>
  <si>
    <t>26/09/2022</t>
  </si>
  <si>
    <t>AMD</t>
  </si>
  <si>
    <t>Revenue</t>
  </si>
  <si>
    <t>EBITDA</t>
  </si>
  <si>
    <t>ST + LT Debt</t>
  </si>
  <si>
    <t>Excess Cash</t>
  </si>
  <si>
    <t>EV</t>
  </si>
  <si>
    <t>Market Cap</t>
  </si>
  <si>
    <t>EV/EBITDA</t>
  </si>
  <si>
    <t>Net Debt/EBITDA</t>
  </si>
  <si>
    <t>CFO</t>
  </si>
  <si>
    <t>CapEx</t>
  </si>
  <si>
    <t>Debt Issuance</t>
  </si>
  <si>
    <t>FCFE</t>
  </si>
  <si>
    <t>CS Outstanding</t>
  </si>
  <si>
    <t>FCFE/Shr</t>
  </si>
  <si>
    <t>$/Shr</t>
  </si>
  <si>
    <t>FCFE Yield</t>
  </si>
  <si>
    <t>Q122</t>
  </si>
  <si>
    <t>Q222</t>
  </si>
  <si>
    <t>Notes</t>
  </si>
  <si>
    <t>FY 2017 is stated different in FY2020 Statement</t>
  </si>
  <si>
    <t>2015 payable to global foundries prob for chips</t>
  </si>
  <si>
    <t>Adj Close</t>
  </si>
  <si>
    <t>Row Labels</t>
  </si>
  <si>
    <t>Grand Total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</si>
  <si>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</si>
  <si>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</si>
  <si>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</si>
  <si>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</si>
  <si>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</si>
  <si>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</si>
  <si>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</si>
  <si>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</si>
  <si>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</si>
  <si>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</si>
  <si>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</si>
  <si>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</si>
  <si>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</si>
  <si>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Average of Adj Close</t>
  </si>
  <si>
    <t>AVG</t>
  </si>
  <si>
    <t>EBITDA Multiple</t>
  </si>
  <si>
    <t>$/SHR</t>
  </si>
  <si>
    <t>Year</t>
  </si>
  <si>
    <t>EBITDA Multiple Method</t>
  </si>
  <si>
    <t>FCFE/SHR</t>
  </si>
  <si>
    <t>FCFE Yield Method</t>
  </si>
  <si>
    <t>Return Calculation</t>
  </si>
  <si>
    <t>FCFE Multiple</t>
  </si>
  <si>
    <t>Average Price</t>
  </si>
  <si>
    <t>Current $/SHR</t>
  </si>
  <si>
    <t>Rate of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</si>
</sst>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(&quot;$&quot;* #,##0_);_(&quot;$&quot;* \(#,##0\);_(&quot;$&quot;* &quot;-&quot;??_);_(@_)"/>
    <numFmt numFmtId="166" formatCode="_([$$-409]* #,##0_);_([$$-409]* \(#,##0\);_([$$-409]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42" fontId="0" fillId="0" borderId="0" xfId="0" applyNumberFormat="1" applyAlignment="1">
      <alignment horizontal="center"/>
    </xf>
    <xf numFmtId="3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2" fontId="1" fillId="0" borderId="0" xfId="0" applyNumberFormat="1" applyFont="1" applyAlignment="1">
      <alignment horizontal="center"/>
    </xf>
    <xf numFmtId="3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2" fontId="1" fillId="0" borderId="0" xfId="0" applyNumberFormat="1" applyFont="1" applyAlignment="1">
      <alignment horizontal="center"/>
    </xf>
    <xf numFmtId="44" fontId="1" fillId="0" borderId="0" xfId="0" applyNumberFormat="1" applyFont="1"/>
    <xf numFmtId="10" fontId="1" fillId="0" borderId="0" xfId="1" applyNumberFormat="1" applyFont="1"/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9" fontId="5" fillId="0" borderId="0" xfId="1" applyFont="1" applyAlignment="1">
      <alignment horizontal="center"/>
    </xf>
    <xf numFmtId="2" fontId="0" fillId="0" borderId="0" xfId="0" applyNumberFormat="1"/>
    <xf numFmtId="9" fontId="6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4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42" fontId="0" fillId="0" borderId="0" xfId="0" applyNumberFormat="1"/>
    <xf numFmtId="9" fontId="0" fillId="6" borderId="0" xfId="1" applyFont="1" applyFill="1"/>
    <xf numFmtId="42" fontId="5" fillId="0" borderId="0" xfId="0" applyNumberFormat="1" applyFont="1" applyAlignment="1">
      <alignment horizontal="center"/>
    </xf>
    <xf numFmtId="165" fontId="0" fillId="0" borderId="0" xfId="0" applyNumberFormat="1"/>
    <xf numFmtId="0" fontId="4" fillId="7" borderId="0" xfId="0" applyFont="1" applyFill="1" applyAlignment="1">
      <alignment horizontal="center"/>
    </xf>
    <xf numFmtId="0" fontId="0" fillId="8" borderId="0" xfId="0" applyFill="1"/>
    <xf numFmtId="165" fontId="0" fillId="8" borderId="0" xfId="0" applyNumberFormat="1" applyFill="1"/>
    <xf numFmtId="0" fontId="0" fillId="8" borderId="0" xfId="0" applyFill="1" applyAlignment="1">
      <alignment horizontal="left" indent="1"/>
    </xf>
    <xf numFmtId="42" fontId="0" fillId="8" borderId="0" xfId="0" applyNumberFormat="1" applyFill="1"/>
    <xf numFmtId="37" fontId="0" fillId="8" borderId="0" xfId="0" applyNumberFormat="1" applyFill="1"/>
    <xf numFmtId="44" fontId="0" fillId="8" borderId="0" xfId="0" applyNumberFormat="1" applyFill="1"/>
    <xf numFmtId="10" fontId="0" fillId="8" borderId="0" xfId="0" applyNumberFormat="1" applyFill="1"/>
    <xf numFmtId="166" fontId="0" fillId="8" borderId="0" xfId="0" applyNumberFormat="1" applyFill="1"/>
    <xf numFmtId="9" fontId="0" fillId="8" borderId="0" xfId="1" applyFont="1" applyFill="1"/>
    <xf numFmtId="0" fontId="1" fillId="8" borderId="0" xfId="0" applyFont="1" applyFill="1"/>
    <xf numFmtId="0" fontId="1" fillId="0" borderId="1" xfId="0" applyFont="1" applyBorder="1" applyAlignment="1">
      <alignment horizontal="center"/>
    </xf>
    <xf numFmtId="2" fontId="0" fillId="8" borderId="0" xfId="0" applyNumberFormat="1" applyFill="1" applyAlignment="1">
      <alignment horizontal="center"/>
    </xf>
  </cellXfs>
  <cellStyles count="2">
    <cellStyle name="Normal" xfId="0" builtinId="0"/>
    <cellStyle name="Percent" xfId="1" builtinId="5"/>
  </cellStyles>
  <dxfs count="1"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do" refreshedDate="44830.811779861113" createdVersion="8" refreshedVersion="8" minRefreshableVersion="3" recordCount="153" xr:uid="{9AE2A05D-6AFD-4084-9E94-862C6C2573F0}">
  <cacheSource type="worksheet">
    <worksheetSource ref="A1:B154" sheet="Sheet2"/>
  </cacheSource>
  <cacheFields count="4">
    <cacheField name="Date" numFmtId="14">
      <sharedItems containsSemiMixedTypes="0" containsNonDate="0" containsDate="1" containsString="0" minDate="2010-01-01T00:00:00" maxDate="2022-09-02T00:00:00" count="153"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</sharedItems>
      <fieldGroup par="3" base="0">
        <rangePr groupBy="months" startDate="2010-01-01T00:00:00" endDate="2022-09-02T00:00:00"/>
        <groupItems count="14">
          <s v="&lt;1/1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/2022"/>
        </groupItems>
      </fieldGroup>
    </cacheField>
    <cacheField name="Adj Close" numFmtId="0">
      <sharedItems containsSemiMixedTypes="0" containsString="0" containsNumber="1" minValue="1.72" maxValue="158.36999499999999"/>
    </cacheField>
    <cacheField name="Quarters" numFmtId="0" databaseField="0">
      <fieldGroup base="0">
        <rangePr groupBy="quarters" startDate="2010-01-01T00:00:00" endDate="2022-09-02T00:00:00"/>
        <groupItems count="6">
          <s v="&lt;1/1/2010"/>
          <s v="Qtr1"/>
          <s v="Qtr2"/>
          <s v="Qtr3"/>
          <s v="Qtr4"/>
          <s v="&gt;9/2/2022"/>
        </groupItems>
      </fieldGroup>
    </cacheField>
    <cacheField name="Years" numFmtId="0" databaseField="0">
      <fieldGroup base="0">
        <rangePr groupBy="years" startDate="2010-01-01T00:00:00" endDate="2022-09-02T00:00:00"/>
        <groupItems count="15">
          <s v="&lt;1/1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&gt;9/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7.46"/>
  </r>
  <r>
    <x v="1"/>
    <n v="7.91"/>
  </r>
  <r>
    <x v="2"/>
    <n v="9.27"/>
  </r>
  <r>
    <x v="3"/>
    <n v="9.07"/>
  </r>
  <r>
    <x v="4"/>
    <n v="8.57"/>
  </r>
  <r>
    <x v="5"/>
    <n v="7.32"/>
  </r>
  <r>
    <x v="6"/>
    <n v="7.49"/>
  </r>
  <r>
    <x v="7"/>
    <n v="5.61"/>
  </r>
  <r>
    <x v="8"/>
    <n v="7.11"/>
  </r>
  <r>
    <x v="9"/>
    <n v="7.34"/>
  </r>
  <r>
    <x v="10"/>
    <n v="7.29"/>
  </r>
  <r>
    <x v="11"/>
    <n v="8.18"/>
  </r>
  <r>
    <x v="12"/>
    <n v="7.83"/>
  </r>
  <r>
    <x v="13"/>
    <n v="9.2100000000000009"/>
  </r>
  <r>
    <x v="14"/>
    <n v="8.6"/>
  </r>
  <r>
    <x v="15"/>
    <n v="9.1"/>
  </r>
  <r>
    <x v="16"/>
    <n v="8.68"/>
  </r>
  <r>
    <x v="17"/>
    <n v="6.99"/>
  </r>
  <r>
    <x v="18"/>
    <n v="7.34"/>
  </r>
  <r>
    <x v="19"/>
    <n v="6.83"/>
  </r>
  <r>
    <x v="20"/>
    <n v="5.08"/>
  </r>
  <r>
    <x v="21"/>
    <n v="5.83"/>
  </r>
  <r>
    <x v="22"/>
    <n v="5.69"/>
  </r>
  <r>
    <x v="23"/>
    <n v="5.4"/>
  </r>
  <r>
    <x v="24"/>
    <n v="6.71"/>
  </r>
  <r>
    <x v="25"/>
    <n v="7.35"/>
  </r>
  <r>
    <x v="26"/>
    <n v="8.02"/>
  </r>
  <r>
    <x v="27"/>
    <n v="7.36"/>
  </r>
  <r>
    <x v="28"/>
    <n v="6.08"/>
  </r>
  <r>
    <x v="29"/>
    <n v="5.73"/>
  </r>
  <r>
    <x v="30"/>
    <n v="4.0599999999999996"/>
  </r>
  <r>
    <x v="31"/>
    <n v="3.72"/>
  </r>
  <r>
    <x v="32"/>
    <n v="3.37"/>
  </r>
  <r>
    <x v="33"/>
    <n v="2.0499999999999998"/>
  </r>
  <r>
    <x v="34"/>
    <n v="2.2000000000000002"/>
  </r>
  <r>
    <x v="35"/>
    <n v="2.4"/>
  </r>
  <r>
    <x v="36"/>
    <n v="2.6"/>
  </r>
  <r>
    <x v="37"/>
    <n v="2.4900000000000002"/>
  </r>
  <r>
    <x v="38"/>
    <n v="2.5499999999999998"/>
  </r>
  <r>
    <x v="39"/>
    <n v="2.82"/>
  </r>
  <r>
    <x v="40"/>
    <n v="4"/>
  </r>
  <r>
    <x v="41"/>
    <n v="4.08"/>
  </r>
  <r>
    <x v="42"/>
    <n v="3.77"/>
  </r>
  <r>
    <x v="43"/>
    <n v="3.27"/>
  </r>
  <r>
    <x v="44"/>
    <n v="3.81"/>
  </r>
  <r>
    <x v="45"/>
    <n v="3.34"/>
  </r>
  <r>
    <x v="46"/>
    <n v="3.64"/>
  </r>
  <r>
    <x v="47"/>
    <n v="3.87"/>
  </r>
  <r>
    <x v="48"/>
    <n v="3.43"/>
  </r>
  <r>
    <x v="49"/>
    <n v="3.71"/>
  </r>
  <r>
    <x v="50"/>
    <n v="4.01"/>
  </r>
  <r>
    <x v="51"/>
    <n v="4.09"/>
  </r>
  <r>
    <x v="52"/>
    <n v="4"/>
  </r>
  <r>
    <x v="53"/>
    <n v="4.1900000000000004"/>
  </r>
  <r>
    <x v="54"/>
    <n v="3.91"/>
  </r>
  <r>
    <x v="55"/>
    <n v="4.17"/>
  </r>
  <r>
    <x v="56"/>
    <n v="3.41"/>
  </r>
  <r>
    <x v="57"/>
    <n v="2.8"/>
  </r>
  <r>
    <x v="58"/>
    <n v="2.79"/>
  </r>
  <r>
    <x v="59"/>
    <n v="2.67"/>
  </r>
  <r>
    <x v="60"/>
    <n v="2.57"/>
  </r>
  <r>
    <x v="61"/>
    <n v="3.11"/>
  </r>
  <r>
    <x v="62"/>
    <n v="2.68"/>
  </r>
  <r>
    <x v="63"/>
    <n v="2.2599999999999998"/>
  </r>
  <r>
    <x v="64"/>
    <n v="2.2799999999999998"/>
  </r>
  <r>
    <x v="65"/>
    <n v="2.4"/>
  </r>
  <r>
    <x v="66"/>
    <n v="1.93"/>
  </r>
  <r>
    <x v="67"/>
    <n v="1.81"/>
  </r>
  <r>
    <x v="68"/>
    <n v="1.72"/>
  </r>
  <r>
    <x v="69"/>
    <n v="2.12"/>
  </r>
  <r>
    <x v="70"/>
    <n v="2.36"/>
  </r>
  <r>
    <x v="71"/>
    <n v="2.87"/>
  </r>
  <r>
    <x v="72"/>
    <n v="2.2000000000000002"/>
  </r>
  <r>
    <x v="73"/>
    <n v="2.14"/>
  </r>
  <r>
    <x v="74"/>
    <n v="2.85"/>
  </r>
  <r>
    <x v="75"/>
    <n v="3.55"/>
  </r>
  <r>
    <x v="76"/>
    <n v="4.57"/>
  </r>
  <r>
    <x v="77"/>
    <n v="5.14"/>
  </r>
  <r>
    <x v="78"/>
    <n v="6.86"/>
  </r>
  <r>
    <x v="79"/>
    <n v="7.4"/>
  </r>
  <r>
    <x v="80"/>
    <n v="6.91"/>
  </r>
  <r>
    <x v="81"/>
    <n v="7.23"/>
  </r>
  <r>
    <x v="82"/>
    <n v="8.91"/>
  </r>
  <r>
    <x v="83"/>
    <n v="11.34"/>
  </r>
  <r>
    <x v="84"/>
    <n v="10.37"/>
  </r>
  <r>
    <x v="85"/>
    <n v="14.46"/>
  </r>
  <r>
    <x v="86"/>
    <n v="14.55"/>
  </r>
  <r>
    <x v="87"/>
    <n v="13.3"/>
  </r>
  <r>
    <x v="88"/>
    <n v="11.19"/>
  </r>
  <r>
    <x v="89"/>
    <n v="12.48"/>
  </r>
  <r>
    <x v="90"/>
    <n v="13.61"/>
  </r>
  <r>
    <x v="91"/>
    <n v="13"/>
  </r>
  <r>
    <x v="92"/>
    <n v="12.75"/>
  </r>
  <r>
    <x v="93"/>
    <n v="10.99"/>
  </r>
  <r>
    <x v="94"/>
    <n v="10.89"/>
  </r>
  <r>
    <x v="95"/>
    <n v="10.28"/>
  </r>
  <r>
    <x v="96"/>
    <n v="13.74"/>
  </r>
  <r>
    <x v="97"/>
    <n v="12.11"/>
  </r>
  <r>
    <x v="98"/>
    <n v="10.050000000000001"/>
  </r>
  <r>
    <x v="99"/>
    <n v="10.88"/>
  </r>
  <r>
    <x v="100"/>
    <n v="13.73"/>
  </r>
  <r>
    <x v="101"/>
    <n v="14.99"/>
  </r>
  <r>
    <x v="102"/>
    <n v="18.329999999999998"/>
  </r>
  <r>
    <x v="103"/>
    <n v="25.17"/>
  </r>
  <r>
    <x v="104"/>
    <n v="30.889999"/>
  </r>
  <r>
    <x v="105"/>
    <n v="18.209999"/>
  </r>
  <r>
    <x v="106"/>
    <n v="21.299999"/>
  </r>
  <r>
    <x v="107"/>
    <n v="18.459999"/>
  </r>
  <r>
    <x v="108"/>
    <n v="24.41"/>
  </r>
  <r>
    <x v="109"/>
    <n v="23.530000999999999"/>
  </r>
  <r>
    <x v="110"/>
    <n v="25.52"/>
  </r>
  <r>
    <x v="111"/>
    <n v="27.629999000000002"/>
  </r>
  <r>
    <x v="112"/>
    <n v="27.41"/>
  </r>
  <r>
    <x v="113"/>
    <n v="30.370000999999998"/>
  </r>
  <r>
    <x v="114"/>
    <n v="30.450001"/>
  </r>
  <r>
    <x v="115"/>
    <n v="31.450001"/>
  </r>
  <r>
    <x v="116"/>
    <n v="28.99"/>
  </r>
  <r>
    <x v="117"/>
    <n v="33.93"/>
  </r>
  <r>
    <x v="118"/>
    <n v="39.150002000000001"/>
  </r>
  <r>
    <x v="119"/>
    <n v="45.860000999999997"/>
  </r>
  <r>
    <x v="120"/>
    <n v="47"/>
  </r>
  <r>
    <x v="121"/>
    <n v="45.48"/>
  </r>
  <r>
    <x v="122"/>
    <n v="45.48"/>
  </r>
  <r>
    <x v="123"/>
    <n v="52.389999000000003"/>
  </r>
  <r>
    <x v="124"/>
    <n v="53.799999"/>
  </r>
  <r>
    <x v="125"/>
    <n v="52.610000999999997"/>
  </r>
  <r>
    <x v="126"/>
    <n v="77.430000000000007"/>
  </r>
  <r>
    <x v="127"/>
    <n v="90.82"/>
  </r>
  <r>
    <x v="128"/>
    <n v="81.989998"/>
  </r>
  <r>
    <x v="129"/>
    <n v="75.290001000000004"/>
  </r>
  <r>
    <x v="130"/>
    <n v="92.660004000000001"/>
  </r>
  <r>
    <x v="131"/>
    <n v="91.709998999999996"/>
  </r>
  <r>
    <x v="132"/>
    <n v="85.639999000000003"/>
  </r>
  <r>
    <x v="133"/>
    <n v="84.510002"/>
  </r>
  <r>
    <x v="134"/>
    <n v="78.5"/>
  </r>
  <r>
    <x v="135"/>
    <n v="81.620002999999997"/>
  </r>
  <r>
    <x v="136"/>
    <n v="80.080001999999993"/>
  </r>
  <r>
    <x v="137"/>
    <n v="93.93"/>
  </r>
  <r>
    <x v="138"/>
    <n v="106.19000200000001"/>
  </r>
  <r>
    <x v="139"/>
    <n v="110.720001"/>
  </r>
  <r>
    <x v="140"/>
    <n v="102.900002"/>
  </r>
  <r>
    <x v="141"/>
    <n v="120.230003"/>
  </r>
  <r>
    <x v="142"/>
    <n v="158.36999499999999"/>
  </r>
  <r>
    <x v="143"/>
    <n v="143.89999399999999"/>
  </r>
  <r>
    <x v="144"/>
    <n v="114.25"/>
  </r>
  <r>
    <x v="145"/>
    <n v="123.339996"/>
  </r>
  <r>
    <x v="146"/>
    <n v="109.339996"/>
  </r>
  <r>
    <x v="147"/>
    <n v="85.519997000000004"/>
  </r>
  <r>
    <x v="148"/>
    <n v="101.860001"/>
  </r>
  <r>
    <x v="149"/>
    <n v="76.470000999999996"/>
  </r>
  <r>
    <x v="150"/>
    <n v="94.470000999999996"/>
  </r>
  <r>
    <x v="151"/>
    <n v="84.870002999999997"/>
  </r>
  <r>
    <x v="152"/>
    <n v="67.959998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0A73E-4892-402E-B54C-8EA5EF99695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t="default"/>
      </items>
    </pivotField>
  </pivotFields>
  <rowFields count="3">
    <field x="3"/>
    <field x="2"/>
    <field x="0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Adj Close" fld="1" subtotal="average" baseField="3" baseItem="1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2"/>
  <sheetViews>
    <sheetView showGridLines="0" tabSelected="1" zoomScale="90" zoomScaleNormal="90" workbookViewId="0">
      <pane xSplit="1" topLeftCell="I1" activePane="topRight" state="frozen"/>
      <selection pane="topRight" activeCell="Z1" sqref="Z1"/>
    </sheetView>
  </sheetViews>
  <sheetFormatPr defaultRowHeight="14.4" x14ac:dyDescent="0.3"/>
  <cols>
    <col min="1" max="1" width="16.33203125" bestFit="1" customWidth="1"/>
    <col min="2" max="13" width="10.6640625" customWidth="1"/>
    <col min="14" max="14" width="13.88671875" bestFit="1" customWidth="1"/>
    <col min="15" max="25" width="9.5546875" bestFit="1" customWidth="1"/>
    <col min="26" max="26" width="15.44140625" bestFit="1" customWidth="1"/>
    <col min="27" max="29" width="10.6640625" bestFit="1" customWidth="1"/>
  </cols>
  <sheetData>
    <row r="1" spans="1:28" x14ac:dyDescent="0.3">
      <c r="A1" t="s">
        <v>0</v>
      </c>
      <c r="C1" t="s">
        <v>1</v>
      </c>
      <c r="D1" t="s">
        <v>2</v>
      </c>
    </row>
    <row r="2" spans="1:28" ht="25.8" x14ac:dyDescent="0.5">
      <c r="A2" s="2" t="s">
        <v>3</v>
      </c>
      <c r="Z2" s="45" t="s">
        <v>46</v>
      </c>
      <c r="AA2" s="45"/>
      <c r="AB2" s="45"/>
    </row>
    <row r="3" spans="1:28" x14ac:dyDescent="0.3">
      <c r="B3" s="3">
        <v>2012</v>
      </c>
      <c r="C3" s="3">
        <f>B3+1</f>
        <v>2013</v>
      </c>
      <c r="D3" s="3">
        <f t="shared" ref="D3:K3" si="0">C3+1</f>
        <v>2014</v>
      </c>
      <c r="E3" s="3">
        <f t="shared" si="0"/>
        <v>2015</v>
      </c>
      <c r="F3" s="3">
        <f t="shared" si="0"/>
        <v>2016</v>
      </c>
      <c r="G3" s="3">
        <f t="shared" si="0"/>
        <v>2017</v>
      </c>
      <c r="H3" s="3">
        <f t="shared" si="0"/>
        <v>2018</v>
      </c>
      <c r="I3" s="3">
        <f t="shared" si="0"/>
        <v>2019</v>
      </c>
      <c r="J3" s="3">
        <f t="shared" si="0"/>
        <v>2020</v>
      </c>
      <c r="K3" s="3">
        <f t="shared" si="0"/>
        <v>2021</v>
      </c>
      <c r="L3" s="4" t="s">
        <v>20</v>
      </c>
      <c r="M3" s="4" t="s">
        <v>21</v>
      </c>
      <c r="N3" s="20" t="s">
        <v>42</v>
      </c>
      <c r="O3" s="19">
        <v>2022</v>
      </c>
      <c r="P3" s="19">
        <f>O3+1</f>
        <v>2023</v>
      </c>
      <c r="Q3" s="19">
        <f t="shared" ref="Q3:X3" si="1">P3+1</f>
        <v>2024</v>
      </c>
      <c r="R3" s="19">
        <f t="shared" si="1"/>
        <v>2025</v>
      </c>
      <c r="S3" s="19">
        <f t="shared" si="1"/>
        <v>2026</v>
      </c>
      <c r="T3" s="34">
        <f t="shared" si="1"/>
        <v>2027</v>
      </c>
      <c r="U3" s="34">
        <f t="shared" si="1"/>
        <v>2028</v>
      </c>
      <c r="V3" s="34">
        <f t="shared" si="1"/>
        <v>2029</v>
      </c>
      <c r="W3" s="34">
        <f t="shared" si="1"/>
        <v>2030</v>
      </c>
      <c r="X3" s="34">
        <f t="shared" si="1"/>
        <v>2031</v>
      </c>
      <c r="Z3" s="44" t="s">
        <v>45</v>
      </c>
      <c r="AA3" s="44">
        <v>2026</v>
      </c>
      <c r="AB3" s="44">
        <v>2031</v>
      </c>
    </row>
    <row r="4" spans="1:28" x14ac:dyDescent="0.3">
      <c r="A4" s="1"/>
      <c r="Z4" s="35" t="s">
        <v>5</v>
      </c>
      <c r="AA4" s="36">
        <f>S7</f>
        <v>12944.104992000004</v>
      </c>
      <c r="AB4" s="36">
        <f>X7</f>
        <v>22811.935779118819</v>
      </c>
    </row>
    <row r="5" spans="1:28" x14ac:dyDescent="0.3">
      <c r="A5" s="1" t="s">
        <v>4</v>
      </c>
      <c r="B5" s="12">
        <v>5422</v>
      </c>
      <c r="C5" s="12">
        <v>5299</v>
      </c>
      <c r="D5" s="12">
        <v>5506</v>
      </c>
      <c r="E5" s="12">
        <v>3991</v>
      </c>
      <c r="F5" s="12">
        <v>4272</v>
      </c>
      <c r="G5" s="12">
        <v>5253</v>
      </c>
      <c r="H5" s="12">
        <v>6475</v>
      </c>
      <c r="I5" s="12">
        <v>6731</v>
      </c>
      <c r="J5" s="12">
        <v>9763</v>
      </c>
      <c r="K5" s="12">
        <v>16434</v>
      </c>
      <c r="L5" s="5">
        <v>5887</v>
      </c>
      <c r="M5" s="5">
        <v>6550</v>
      </c>
      <c r="N5" s="21">
        <f>(K5/B5)^(1/9)-1</f>
        <v>0.13112163104096153</v>
      </c>
      <c r="Z5" s="35" t="s">
        <v>43</v>
      </c>
      <c r="AA5" s="35">
        <v>25</v>
      </c>
      <c r="AB5" s="35">
        <v>22</v>
      </c>
    </row>
    <row r="6" spans="1:28" x14ac:dyDescent="0.3">
      <c r="A6" s="1"/>
      <c r="B6" s="12"/>
      <c r="C6" s="12"/>
      <c r="D6" s="12"/>
      <c r="E6" s="12"/>
      <c r="F6" s="12"/>
      <c r="G6" s="12"/>
      <c r="H6" s="12"/>
      <c r="I6" s="12"/>
      <c r="J6" s="12"/>
      <c r="K6" s="12"/>
      <c r="L6" s="5"/>
      <c r="M6" s="5"/>
      <c r="N6" s="24"/>
      <c r="Z6" s="35" t="s">
        <v>8</v>
      </c>
      <c r="AA6" s="36">
        <f>AA4*AA5</f>
        <v>323602.62480000011</v>
      </c>
      <c r="AB6" s="36">
        <f t="shared" ref="AB6" si="2">AB4*AB5</f>
        <v>501862.58714061405</v>
      </c>
    </row>
    <row r="7" spans="1:28" x14ac:dyDescent="0.3">
      <c r="A7" s="1" t="s">
        <v>5</v>
      </c>
      <c r="B7" s="12">
        <f>-1056</f>
        <v>-1056</v>
      </c>
      <c r="C7" s="12">
        <f>103+236</f>
        <v>339</v>
      </c>
      <c r="D7" s="12">
        <f>-155+203</f>
        <v>48</v>
      </c>
      <c r="E7" s="12">
        <f>-481+167</f>
        <v>-314</v>
      </c>
      <c r="F7" s="12">
        <f>-372+133</f>
        <v>-239</v>
      </c>
      <c r="G7" s="12">
        <f>127+144</f>
        <v>271</v>
      </c>
      <c r="H7" s="12">
        <f>451+170</f>
        <v>621</v>
      </c>
      <c r="I7" s="12">
        <f>631+222</f>
        <v>853</v>
      </c>
      <c r="J7" s="12">
        <f>1369+312</f>
        <v>1681</v>
      </c>
      <c r="K7" s="12">
        <f>3648+407</f>
        <v>4055</v>
      </c>
      <c r="L7" s="5">
        <f>951+609</f>
        <v>1560</v>
      </c>
      <c r="M7" s="5">
        <f>526+(1789-609)</f>
        <v>1706</v>
      </c>
      <c r="N7" s="21"/>
      <c r="O7" s="30">
        <f>K7*(1+O8)</f>
        <v>5879.75</v>
      </c>
      <c r="P7" s="33">
        <f>O7*(1+P8)</f>
        <v>7937.6625000000004</v>
      </c>
      <c r="Q7" s="33">
        <f t="shared" ref="Q7:X7" si="3">P7*(1+Q8)</f>
        <v>10318.96125</v>
      </c>
      <c r="R7" s="33">
        <f t="shared" si="3"/>
        <v>11557.236600000002</v>
      </c>
      <c r="S7" s="33">
        <f t="shared" si="3"/>
        <v>12944.104992000004</v>
      </c>
      <c r="T7" s="33">
        <f t="shared" si="3"/>
        <v>14497.397591040006</v>
      </c>
      <c r="U7" s="33">
        <f t="shared" si="3"/>
        <v>16237.085301964808</v>
      </c>
      <c r="V7" s="33">
        <f t="shared" si="3"/>
        <v>18185.535538200587</v>
      </c>
      <c r="W7" s="33">
        <f t="shared" si="3"/>
        <v>20367.799802784659</v>
      </c>
      <c r="X7" s="33">
        <f t="shared" si="3"/>
        <v>22811.935779118819</v>
      </c>
      <c r="Z7" s="37" t="str">
        <f>"+ "&amp;"Cash"</f>
        <v>+ Cash</v>
      </c>
      <c r="AA7" s="38">
        <f>M13</f>
        <v>2416</v>
      </c>
      <c r="AB7" s="38">
        <f>AA7</f>
        <v>2416</v>
      </c>
    </row>
    <row r="8" spans="1:28" x14ac:dyDescent="0.3">
      <c r="A8" s="1"/>
      <c r="B8" s="12"/>
      <c r="C8" s="12"/>
      <c r="D8" s="12"/>
      <c r="E8" s="12"/>
      <c r="F8" s="12"/>
      <c r="G8" s="12"/>
      <c r="H8" s="12"/>
      <c r="I8" s="12"/>
      <c r="J8" s="12"/>
      <c r="K8" s="12"/>
      <c r="L8" s="5"/>
      <c r="M8" s="5"/>
      <c r="N8" s="24"/>
      <c r="O8" s="31">
        <v>0.45</v>
      </c>
      <c r="P8" s="31">
        <v>0.35</v>
      </c>
      <c r="Q8" s="31">
        <v>0.3</v>
      </c>
      <c r="R8" s="31">
        <v>0.12</v>
      </c>
      <c r="S8" s="31">
        <v>0.12</v>
      </c>
      <c r="T8" s="31">
        <v>0.12</v>
      </c>
      <c r="U8" s="31">
        <v>0.12</v>
      </c>
      <c r="V8" s="31">
        <v>0.12</v>
      </c>
      <c r="W8" s="31">
        <v>0.12</v>
      </c>
      <c r="X8" s="31">
        <v>0.12</v>
      </c>
      <c r="Z8" s="37" t="str">
        <f>"- "&amp;"Debt"</f>
        <v>- Debt</v>
      </c>
      <c r="AA8" s="38">
        <f>M11</f>
        <v>3199</v>
      </c>
      <c r="AB8" s="38">
        <f>AA8</f>
        <v>3199</v>
      </c>
    </row>
    <row r="9" spans="1:28" x14ac:dyDescent="0.3">
      <c r="A9" s="1"/>
      <c r="B9" s="12"/>
      <c r="C9" s="23">
        <f t="shared" ref="C9:D9" si="4">(C7/B7)-1</f>
        <v>-1.3210227272727273</v>
      </c>
      <c r="D9" s="23">
        <f t="shared" si="4"/>
        <v>-0.8584070796460177</v>
      </c>
      <c r="E9" s="23">
        <f>(E7/D7)-1</f>
        <v>-7.541666666666667</v>
      </c>
      <c r="F9" s="23">
        <f t="shared" ref="F9:K9" si="5">(F7/E7)-1</f>
        <v>-0.23885350318471332</v>
      </c>
      <c r="G9" s="23">
        <f t="shared" si="5"/>
        <v>-2.1338912133891212</v>
      </c>
      <c r="H9" s="23">
        <f t="shared" si="5"/>
        <v>1.2915129151291511</v>
      </c>
      <c r="I9" s="23">
        <f t="shared" si="5"/>
        <v>0.37359098228663457</v>
      </c>
      <c r="J9" s="23">
        <f t="shared" si="5"/>
        <v>0.97069167643610776</v>
      </c>
      <c r="K9" s="23">
        <f t="shared" si="5"/>
        <v>1.4122546103509817</v>
      </c>
      <c r="L9" s="5"/>
      <c r="M9" s="5"/>
      <c r="N9" s="25">
        <f>AVERAGE(E9:K9)</f>
        <v>-0.83805159986251831</v>
      </c>
      <c r="Z9" s="35" t="s">
        <v>9</v>
      </c>
      <c r="AA9" s="36">
        <f>AA6+AA7-AA8</f>
        <v>322819.62480000011</v>
      </c>
      <c r="AB9" s="36">
        <f>AB6+AB7-AB8</f>
        <v>501079.58714061405</v>
      </c>
    </row>
    <row r="10" spans="1:28" x14ac:dyDescent="0.3">
      <c r="A10" s="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5"/>
      <c r="M10" s="5"/>
      <c r="N10" s="24"/>
      <c r="Z10" s="35" t="s">
        <v>16</v>
      </c>
      <c r="AA10" s="39">
        <f>M15</f>
        <v>1632</v>
      </c>
      <c r="AB10" s="39">
        <f>AA10</f>
        <v>1632</v>
      </c>
    </row>
    <row r="11" spans="1:28" x14ac:dyDescent="0.3">
      <c r="A11" s="1" t="s">
        <v>6</v>
      </c>
      <c r="B11" s="12">
        <f>5+2037</f>
        <v>2042</v>
      </c>
      <c r="C11" s="12">
        <f>60+1998</f>
        <v>2058</v>
      </c>
      <c r="D11" s="12">
        <f>177+1440</f>
        <v>1617</v>
      </c>
      <c r="E11" s="12">
        <f>230+1403</f>
        <v>1633</v>
      </c>
      <c r="F11" s="12">
        <v>1435</v>
      </c>
      <c r="G11" s="12">
        <f>70+1325</f>
        <v>1395</v>
      </c>
      <c r="H11" s="12">
        <f>136+1114</f>
        <v>1250</v>
      </c>
      <c r="I11" s="12">
        <f>0+486+199</f>
        <v>685</v>
      </c>
      <c r="J11" s="12">
        <f>0+330+201</f>
        <v>531</v>
      </c>
      <c r="K11" s="12">
        <f>312+1+348</f>
        <v>661</v>
      </c>
      <c r="L11" s="5">
        <f>312+1475+370</f>
        <v>2157</v>
      </c>
      <c r="M11" s="5">
        <f>312+2465+422</f>
        <v>3199</v>
      </c>
      <c r="N11" s="32">
        <f>M11</f>
        <v>3199</v>
      </c>
      <c r="Q11" s="22"/>
      <c r="Z11" s="35" t="s">
        <v>44</v>
      </c>
      <c r="AA11" s="40">
        <f>AA9/AA10</f>
        <v>197.80614264705889</v>
      </c>
      <c r="AB11" s="40">
        <f t="shared" ref="AB11" si="6">AB9/AB10</f>
        <v>307.03406074792525</v>
      </c>
    </row>
    <row r="12" spans="1:28" x14ac:dyDescent="0.3">
      <c r="A12" s="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5"/>
      <c r="M12" s="5"/>
      <c r="N12" s="24"/>
    </row>
    <row r="13" spans="1:28" x14ac:dyDescent="0.3">
      <c r="A13" s="1" t="s">
        <v>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f>6143-2*2417</f>
        <v>1309</v>
      </c>
      <c r="K13" s="12">
        <f>8583-2*4240</f>
        <v>103</v>
      </c>
      <c r="L13" s="5">
        <f>13369-2*5581</f>
        <v>2207</v>
      </c>
      <c r="M13" s="5">
        <f>13462-2*5523</f>
        <v>2416</v>
      </c>
      <c r="N13" s="24"/>
      <c r="Z13" s="45" t="s">
        <v>48</v>
      </c>
      <c r="AA13" s="45"/>
      <c r="AB13" s="45"/>
    </row>
    <row r="14" spans="1:28" x14ac:dyDescent="0.3">
      <c r="A14" s="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5"/>
      <c r="M14" s="5"/>
      <c r="N14" s="24"/>
      <c r="Z14" s="44" t="s">
        <v>45</v>
      </c>
      <c r="AA14" s="44">
        <v>2026</v>
      </c>
      <c r="AB14" s="44">
        <v>2031</v>
      </c>
    </row>
    <row r="15" spans="1:28" x14ac:dyDescent="0.3">
      <c r="A15" s="1" t="s">
        <v>16</v>
      </c>
      <c r="B15" s="13">
        <v>741</v>
      </c>
      <c r="C15" s="13">
        <v>753</v>
      </c>
      <c r="D15" s="13">
        <v>768</v>
      </c>
      <c r="E15" s="13">
        <v>783</v>
      </c>
      <c r="F15" s="13">
        <v>835</v>
      </c>
      <c r="G15" s="13">
        <v>1039</v>
      </c>
      <c r="H15" s="13">
        <v>1064</v>
      </c>
      <c r="I15" s="13">
        <v>1120</v>
      </c>
      <c r="J15" s="13">
        <v>1207</v>
      </c>
      <c r="K15" s="13">
        <v>1229</v>
      </c>
      <c r="L15" s="6">
        <v>1410</v>
      </c>
      <c r="M15" s="6">
        <v>1632</v>
      </c>
      <c r="N15" s="24"/>
      <c r="Z15" s="35" t="s">
        <v>47</v>
      </c>
      <c r="AA15" s="40">
        <f>S33</f>
        <v>5.7678924654190418</v>
      </c>
      <c r="AB15" s="40">
        <f>X33</f>
        <v>10.164997316023197</v>
      </c>
    </row>
    <row r="16" spans="1:28" x14ac:dyDescent="0.3">
      <c r="A16" s="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5"/>
      <c r="M16" s="5"/>
      <c r="N16" s="24"/>
      <c r="Z16" s="35" t="s">
        <v>19</v>
      </c>
      <c r="AA16" s="41">
        <v>0.03</v>
      </c>
      <c r="AB16" s="41">
        <f>AA16</f>
        <v>0.03</v>
      </c>
    </row>
    <row r="17" spans="1:29" x14ac:dyDescent="0.3">
      <c r="A17" s="1" t="s">
        <v>9</v>
      </c>
      <c r="B17" s="12">
        <f>B37*B15</f>
        <v>3646.3375000000001</v>
      </c>
      <c r="C17" s="12">
        <f t="shared" ref="C17:K17" si="7">C37*C15</f>
        <v>2525.06</v>
      </c>
      <c r="D17" s="12">
        <f t="shared" si="7"/>
        <v>2763.52</v>
      </c>
      <c r="E17" s="12">
        <f t="shared" si="7"/>
        <v>1834.1774999999998</v>
      </c>
      <c r="F17" s="12">
        <f t="shared" si="7"/>
        <v>4808.2083333333339</v>
      </c>
      <c r="G17" s="12">
        <f t="shared" si="7"/>
        <v>12803.077499999998</v>
      </c>
      <c r="H17" s="12">
        <f t="shared" si="7"/>
        <v>18430.252978666667</v>
      </c>
      <c r="I17" s="12">
        <f t="shared" si="7"/>
        <v>34412.000560000008</v>
      </c>
      <c r="J17" s="12">
        <f t="shared" si="7"/>
        <v>81136.551767249999</v>
      </c>
      <c r="K17" s="12">
        <f t="shared" si="7"/>
        <v>127671.59280724997</v>
      </c>
      <c r="L17" s="5"/>
      <c r="M17" s="5"/>
      <c r="N17" s="24"/>
      <c r="Z17" s="35" t="s">
        <v>44</v>
      </c>
      <c r="AA17" s="40">
        <f>AA15/AA16</f>
        <v>192.26308218063474</v>
      </c>
      <c r="AB17" s="40">
        <f t="shared" ref="AB17" si="8">AB15/AB16</f>
        <v>338.83324386743988</v>
      </c>
    </row>
    <row r="18" spans="1:29" x14ac:dyDescent="0.3">
      <c r="A18" s="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5"/>
      <c r="M18" s="5"/>
      <c r="N18" s="24"/>
      <c r="AA18" s="30"/>
      <c r="AB18" s="30"/>
    </row>
    <row r="19" spans="1:29" x14ac:dyDescent="0.3">
      <c r="A19" s="1" t="s">
        <v>8</v>
      </c>
      <c r="B19" s="12">
        <f t="shared" ref="B19:K19" si="9">B17+B11-B13</f>
        <v>5688.3374999999996</v>
      </c>
      <c r="C19" s="12">
        <f t="shared" si="9"/>
        <v>4583.0599999999995</v>
      </c>
      <c r="D19" s="12">
        <f t="shared" si="9"/>
        <v>4380.5200000000004</v>
      </c>
      <c r="E19" s="12">
        <f t="shared" si="9"/>
        <v>3467.1774999999998</v>
      </c>
      <c r="F19" s="12">
        <f t="shared" si="9"/>
        <v>6243.2083333333339</v>
      </c>
      <c r="G19" s="12">
        <f t="shared" si="9"/>
        <v>14198.077499999998</v>
      </c>
      <c r="H19" s="12">
        <f t="shared" si="9"/>
        <v>19680.252978666667</v>
      </c>
      <c r="I19" s="12">
        <f t="shared" si="9"/>
        <v>35097.000560000008</v>
      </c>
      <c r="J19" s="12">
        <f t="shared" si="9"/>
        <v>80358.551767249999</v>
      </c>
      <c r="K19" s="12">
        <f t="shared" si="9"/>
        <v>128229.59280724997</v>
      </c>
      <c r="L19" s="5"/>
      <c r="M19" s="5"/>
      <c r="N19" s="24"/>
      <c r="Z19" s="45" t="s">
        <v>49</v>
      </c>
      <c r="AA19" s="45"/>
      <c r="AB19" s="45"/>
    </row>
    <row r="20" spans="1:29" x14ac:dyDescent="0.3">
      <c r="A20" s="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5"/>
      <c r="M20" s="5"/>
      <c r="N20" s="24"/>
      <c r="Z20" s="44" t="s">
        <v>45</v>
      </c>
      <c r="AA20" s="44">
        <v>2026</v>
      </c>
      <c r="AB20" s="44">
        <v>2031</v>
      </c>
    </row>
    <row r="21" spans="1:29" x14ac:dyDescent="0.3">
      <c r="A21" s="1" t="s">
        <v>10</v>
      </c>
      <c r="B21" s="16">
        <f t="shared" ref="B21:K21" si="10">B19/B7</f>
        <v>-5.3866832386363637</v>
      </c>
      <c r="C21" s="16">
        <f t="shared" si="10"/>
        <v>13.519351032448377</v>
      </c>
      <c r="D21" s="16">
        <f t="shared" si="10"/>
        <v>91.260833333333338</v>
      </c>
      <c r="E21" s="16">
        <f t="shared" si="10"/>
        <v>-11.041966560509554</v>
      </c>
      <c r="F21" s="16">
        <f t="shared" si="10"/>
        <v>-26.122210599721061</v>
      </c>
      <c r="G21" s="16">
        <f t="shared" si="10"/>
        <v>52.391429889298884</v>
      </c>
      <c r="H21" s="16">
        <f t="shared" si="10"/>
        <v>31.691228629092862</v>
      </c>
      <c r="I21" s="16">
        <f t="shared" si="10"/>
        <v>41.145369941383365</v>
      </c>
      <c r="J21" s="16">
        <f t="shared" si="10"/>
        <v>47.804016518292684</v>
      </c>
      <c r="K21" s="16">
        <f t="shared" si="10"/>
        <v>31.622587622009856</v>
      </c>
      <c r="L21" s="5"/>
      <c r="M21" s="5"/>
      <c r="N21" s="26">
        <f>AVERAGE(B21:J21)</f>
        <v>26.140152104998059</v>
      </c>
      <c r="Z21" s="35" t="s">
        <v>43</v>
      </c>
      <c r="AA21" s="42" cm="1">
        <f t="array" ref="AA21:AB21">AA11:AB11</f>
        <v>197.80614264705889</v>
      </c>
      <c r="AB21" s="42">
        <v>307.03406074792525</v>
      </c>
    </row>
    <row r="22" spans="1:29" x14ac:dyDescent="0.3">
      <c r="A22" s="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5"/>
      <c r="M22" s="5"/>
      <c r="N22" s="24"/>
      <c r="Z22" s="35" t="s">
        <v>50</v>
      </c>
      <c r="AA22" s="38" cm="1">
        <f t="array" ref="AA22:AB22">AA17:AB17</f>
        <v>192.26308218063474</v>
      </c>
      <c r="AB22" s="38">
        <v>338.83324386743988</v>
      </c>
    </row>
    <row r="23" spans="1:29" x14ac:dyDescent="0.3">
      <c r="A23" s="1" t="s">
        <v>11</v>
      </c>
      <c r="B23" s="16">
        <f t="shared" ref="B23:K23" si="11">B11/B7</f>
        <v>-1.9337121212121211</v>
      </c>
      <c r="C23" s="16">
        <f t="shared" si="11"/>
        <v>6.0707964601769913</v>
      </c>
      <c r="D23" s="16">
        <f t="shared" si="11"/>
        <v>33.6875</v>
      </c>
      <c r="E23" s="16">
        <f t="shared" si="11"/>
        <v>-5.2006369426751595</v>
      </c>
      <c r="F23" s="16">
        <f t="shared" si="11"/>
        <v>-6.00418410041841</v>
      </c>
      <c r="G23" s="16">
        <f t="shared" si="11"/>
        <v>5.1476014760147599</v>
      </c>
      <c r="H23" s="16">
        <f t="shared" si="11"/>
        <v>2.0128824476650564</v>
      </c>
      <c r="I23" s="16">
        <f t="shared" si="11"/>
        <v>0.80304806565064479</v>
      </c>
      <c r="J23" s="16">
        <f t="shared" si="11"/>
        <v>0.31588340273646637</v>
      </c>
      <c r="K23" s="16">
        <f t="shared" si="11"/>
        <v>0.1630086313193588</v>
      </c>
      <c r="L23" s="5"/>
      <c r="M23" s="5"/>
      <c r="N23" s="26">
        <f>AVERAGE(B23:K23)</f>
        <v>3.5062187319257583</v>
      </c>
      <c r="Z23" s="35" t="s">
        <v>51</v>
      </c>
      <c r="AA23" s="42">
        <f>AVERAGE(AA21:AA22)</f>
        <v>195.03461241384682</v>
      </c>
      <c r="AB23" s="42">
        <f t="shared" ref="AB23" si="12">AVERAGE(AB21:AB22)</f>
        <v>322.93365230768256</v>
      </c>
    </row>
    <row r="24" spans="1:29" x14ac:dyDescent="0.3">
      <c r="A24" s="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5"/>
      <c r="M24" s="5"/>
      <c r="N24" s="24"/>
      <c r="Z24" s="35" t="s">
        <v>52</v>
      </c>
      <c r="AA24" s="46">
        <v>63.36</v>
      </c>
      <c r="AB24" s="46"/>
      <c r="AC24" s="8">
        <v>44571</v>
      </c>
    </row>
    <row r="25" spans="1:29" x14ac:dyDescent="0.3">
      <c r="A25" s="1" t="s">
        <v>12</v>
      </c>
      <c r="B25" s="12">
        <v>-338</v>
      </c>
      <c r="C25" s="12">
        <v>-148</v>
      </c>
      <c r="D25" s="12">
        <v>-98</v>
      </c>
      <c r="E25" s="12">
        <v>-226</v>
      </c>
      <c r="F25" s="12">
        <v>90</v>
      </c>
      <c r="G25" s="12">
        <v>12</v>
      </c>
      <c r="H25" s="12">
        <v>34</v>
      </c>
      <c r="I25" s="12">
        <v>493</v>
      </c>
      <c r="J25" s="12">
        <v>1071</v>
      </c>
      <c r="K25" s="12">
        <v>3521</v>
      </c>
      <c r="L25" s="5">
        <v>995</v>
      </c>
      <c r="M25" s="5">
        <f>2033-L25</f>
        <v>1038</v>
      </c>
      <c r="N25" s="21">
        <f>(K25/F25)^(1/(K3-F3))-1</f>
        <v>1.0820190703166173</v>
      </c>
      <c r="Z25" s="35" t="s">
        <v>53</v>
      </c>
      <c r="AA25" s="43">
        <f>(AA23/$AA$24)^(1/5)-1</f>
        <v>0.25215849607285579</v>
      </c>
      <c r="AB25" s="43">
        <f>(AB23/$AA$24)^(1/10)-1</f>
        <v>0.17687358063215908</v>
      </c>
    </row>
    <row r="26" spans="1:29" x14ac:dyDescent="0.3">
      <c r="A26" s="1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7"/>
      <c r="M26" s="7"/>
      <c r="N26" s="24"/>
    </row>
    <row r="27" spans="1:29" x14ac:dyDescent="0.3">
      <c r="A27" s="1" t="s">
        <v>13</v>
      </c>
      <c r="B27" s="12">
        <v>-133</v>
      </c>
      <c r="C27" s="12">
        <v>-84</v>
      </c>
      <c r="D27" s="12">
        <v>-95</v>
      </c>
      <c r="E27" s="12">
        <v>-96</v>
      </c>
      <c r="F27" s="12">
        <v>-77</v>
      </c>
      <c r="G27" s="12">
        <v>-113</v>
      </c>
      <c r="H27" s="12">
        <v>-163</v>
      </c>
      <c r="I27" s="12">
        <v>-217</v>
      </c>
      <c r="J27" s="12">
        <v>-294</v>
      </c>
      <c r="K27" s="12">
        <v>-301</v>
      </c>
      <c r="L27" s="5">
        <v>-71</v>
      </c>
      <c r="M27" s="5">
        <f>-203-L27</f>
        <v>-132</v>
      </c>
      <c r="N27" s="24"/>
    </row>
    <row r="28" spans="1:29" x14ac:dyDescent="0.3">
      <c r="A28" s="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7"/>
      <c r="M28" s="7"/>
      <c r="N28" s="24"/>
    </row>
    <row r="29" spans="1:29" x14ac:dyDescent="0.3">
      <c r="A29" s="1" t="s">
        <v>14</v>
      </c>
      <c r="B29" s="12">
        <f>491-489</f>
        <v>2</v>
      </c>
      <c r="C29" s="12">
        <v>0</v>
      </c>
      <c r="D29" s="12">
        <v>0</v>
      </c>
      <c r="E29" s="12">
        <f>100-44</f>
        <v>56</v>
      </c>
      <c r="F29" s="12">
        <f>782-230-1113</f>
        <v>-561</v>
      </c>
      <c r="G29" s="12">
        <f>70-110</f>
        <v>-40</v>
      </c>
      <c r="H29" s="12">
        <v>-41</v>
      </c>
      <c r="I29" s="12">
        <f>-70+449-403</f>
        <v>-24</v>
      </c>
      <c r="J29" s="12">
        <v>0</v>
      </c>
      <c r="K29" s="12">
        <v>0</v>
      </c>
      <c r="L29" s="5">
        <v>0</v>
      </c>
      <c r="M29" s="5">
        <v>991</v>
      </c>
      <c r="N29" s="24"/>
    </row>
    <row r="30" spans="1:29" x14ac:dyDescent="0.3">
      <c r="A30" s="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7"/>
      <c r="M30" s="7"/>
      <c r="N30" s="24"/>
    </row>
    <row r="31" spans="1:29" x14ac:dyDescent="0.3">
      <c r="A31" s="1" t="s">
        <v>15</v>
      </c>
      <c r="B31" s="12">
        <f t="shared" ref="B31:F31" si="13">B25+B27+B29</f>
        <v>-469</v>
      </c>
      <c r="C31" s="12">
        <f t="shared" si="13"/>
        <v>-232</v>
      </c>
      <c r="D31" s="12">
        <f t="shared" si="13"/>
        <v>-193</v>
      </c>
      <c r="E31" s="12">
        <f t="shared" si="13"/>
        <v>-266</v>
      </c>
      <c r="F31" s="12">
        <f t="shared" si="13"/>
        <v>-548</v>
      </c>
      <c r="G31" s="12">
        <f t="shared" ref="G31:K31" si="14">G25+G27+G29</f>
        <v>-141</v>
      </c>
      <c r="H31" s="12">
        <f t="shared" si="14"/>
        <v>-170</v>
      </c>
      <c r="I31" s="12">
        <f t="shared" si="14"/>
        <v>252</v>
      </c>
      <c r="J31" s="12">
        <f t="shared" si="14"/>
        <v>777</v>
      </c>
      <c r="K31" s="12">
        <f t="shared" si="14"/>
        <v>3220</v>
      </c>
      <c r="L31" s="5">
        <f>L25+L27+L29</f>
        <v>924</v>
      </c>
      <c r="M31" s="5">
        <f t="shared" ref="M31" si="15">M25+M27+M29</f>
        <v>1897</v>
      </c>
      <c r="N31" s="21"/>
    </row>
    <row r="32" spans="1:2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N32" s="24"/>
    </row>
    <row r="33" spans="1:24" x14ac:dyDescent="0.3">
      <c r="A33" s="1" t="s">
        <v>17</v>
      </c>
      <c r="B33" s="17">
        <f>B31/B15</f>
        <v>-0.63292847503373817</v>
      </c>
      <c r="C33" s="17">
        <f t="shared" ref="C33:M33" si="16">C31/C15</f>
        <v>-0.30810092961487384</v>
      </c>
      <c r="D33" s="17">
        <f t="shared" si="16"/>
        <v>-0.25130208333333331</v>
      </c>
      <c r="E33" s="17">
        <f t="shared" si="16"/>
        <v>-0.33971902937420179</v>
      </c>
      <c r="F33" s="17">
        <f t="shared" si="16"/>
        <v>-0.65628742514970062</v>
      </c>
      <c r="G33" s="17">
        <f t="shared" si="16"/>
        <v>-0.13570741097208855</v>
      </c>
      <c r="H33" s="17">
        <f t="shared" si="16"/>
        <v>-0.15977443609022557</v>
      </c>
      <c r="I33" s="17">
        <f t="shared" si="16"/>
        <v>0.22500000000000001</v>
      </c>
      <c r="J33" s="17">
        <f t="shared" si="16"/>
        <v>0.64374482187241089</v>
      </c>
      <c r="K33" s="17">
        <f t="shared" si="16"/>
        <v>2.6200162733930026</v>
      </c>
      <c r="L33" s="11">
        <f t="shared" si="16"/>
        <v>0.65531914893617016</v>
      </c>
      <c r="M33" s="11">
        <f t="shared" si="16"/>
        <v>1.1623774509803921</v>
      </c>
      <c r="N33" s="27">
        <f>AVERAGE(B33:K33)</f>
        <v>0.1004941305697252</v>
      </c>
      <c r="O33" s="11">
        <f>K33</f>
        <v>2.6200162733930026</v>
      </c>
      <c r="P33" s="11">
        <f>O33*(1+P34)</f>
        <v>3.5370219690805538</v>
      </c>
      <c r="Q33" s="11">
        <f t="shared" ref="Q33:X33" si="17">P33*(1+Q34)</f>
        <v>4.5981285598047199</v>
      </c>
      <c r="R33" s="11">
        <f t="shared" si="17"/>
        <v>5.149903986981287</v>
      </c>
      <c r="S33" s="11">
        <f t="shared" si="17"/>
        <v>5.7678924654190418</v>
      </c>
      <c r="T33" s="11">
        <f t="shared" si="17"/>
        <v>6.4600395612693271</v>
      </c>
      <c r="U33" s="11">
        <f t="shared" si="17"/>
        <v>7.2352443086216471</v>
      </c>
      <c r="V33" s="11">
        <f t="shared" si="17"/>
        <v>8.1034736256562461</v>
      </c>
      <c r="W33" s="11">
        <f t="shared" si="17"/>
        <v>9.0758904607349962</v>
      </c>
      <c r="X33" s="11">
        <f t="shared" si="17"/>
        <v>10.164997316023197</v>
      </c>
    </row>
    <row r="34" spans="1:24" x14ac:dyDescent="0.3">
      <c r="A34" s="1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1"/>
      <c r="M34" s="11"/>
      <c r="N34" s="27"/>
      <c r="O34" s="31">
        <v>0.45</v>
      </c>
      <c r="P34" s="31">
        <v>0.35</v>
      </c>
      <c r="Q34" s="31">
        <v>0.3</v>
      </c>
      <c r="R34" s="31">
        <v>0.12</v>
      </c>
      <c r="S34" s="31">
        <v>0.12</v>
      </c>
      <c r="T34" s="31">
        <v>0.12</v>
      </c>
      <c r="U34" s="31">
        <v>0.12</v>
      </c>
      <c r="V34" s="31">
        <v>0.12</v>
      </c>
      <c r="W34" s="31">
        <v>0.12</v>
      </c>
      <c r="X34" s="31">
        <v>0.12</v>
      </c>
    </row>
    <row r="35" spans="1:24" x14ac:dyDescent="0.3">
      <c r="A35" s="1"/>
      <c r="B35" s="17"/>
      <c r="C35" s="23">
        <f t="shared" ref="C35:K35" si="18">(C33/B33)-1</f>
        <v>-0.51321366984089223</v>
      </c>
      <c r="D35" s="23">
        <f t="shared" si="18"/>
        <v>-0.1843514278017242</v>
      </c>
      <c r="E35" s="23">
        <f t="shared" si="18"/>
        <v>0.35183530859786005</v>
      </c>
      <c r="F35" s="23">
        <f t="shared" si="18"/>
        <v>0.93185358606096091</v>
      </c>
      <c r="G35" s="23">
        <f t="shared" si="18"/>
        <v>-0.79321954715019349</v>
      </c>
      <c r="H35" s="23">
        <f t="shared" si="18"/>
        <v>0.17734495814003104</v>
      </c>
      <c r="I35" s="23">
        <f t="shared" si="18"/>
        <v>-2.408235294117647</v>
      </c>
      <c r="J35" s="23">
        <f t="shared" si="18"/>
        <v>1.8610880972107151</v>
      </c>
      <c r="K35" s="23">
        <f t="shared" si="18"/>
        <v>3.0699609291960801</v>
      </c>
      <c r="L35" s="11"/>
      <c r="M35" s="11"/>
      <c r="N35" s="25">
        <f>AVERAGE(I35:K35)</f>
        <v>0.84093791076304936</v>
      </c>
    </row>
    <row r="36" spans="1:2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N36" s="24"/>
    </row>
    <row r="37" spans="1:24" x14ac:dyDescent="0.3">
      <c r="A37" s="1" t="s">
        <v>18</v>
      </c>
      <c r="B37" s="15">
        <v>4.9208333333333334</v>
      </c>
      <c r="C37" s="15">
        <v>3.3533333333333331</v>
      </c>
      <c r="D37" s="15">
        <v>3.5983333333333332</v>
      </c>
      <c r="E37" s="15">
        <v>2.3424999999999998</v>
      </c>
      <c r="F37" s="15">
        <v>5.7583333333333337</v>
      </c>
      <c r="G37" s="15">
        <v>12.322499999999998</v>
      </c>
      <c r="H37" s="15">
        <v>17.321666333333333</v>
      </c>
      <c r="I37" s="15">
        <v>30.725000500000004</v>
      </c>
      <c r="J37" s="15">
        <v>67.221666749999997</v>
      </c>
      <c r="K37" s="15">
        <v>103.88250024999998</v>
      </c>
      <c r="N37" s="28">
        <f>AVERAGE(B37:K37)</f>
        <v>25.144666716666666</v>
      </c>
    </row>
    <row r="38" spans="1:2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N38" s="24"/>
    </row>
    <row r="39" spans="1:24" x14ac:dyDescent="0.3">
      <c r="A39" s="1" t="s">
        <v>19</v>
      </c>
      <c r="B39" s="18">
        <f>B33/B37</f>
        <v>-0.12862221338534899</v>
      </c>
      <c r="C39" s="18">
        <f t="shared" ref="C39:K39" si="19">C33/C37</f>
        <v>-9.1879004855330182E-2</v>
      </c>
      <c r="D39" s="18">
        <f t="shared" si="19"/>
        <v>-6.9838466882816114E-2</v>
      </c>
      <c r="E39" s="18">
        <f t="shared" si="19"/>
        <v>-0.14502413207009682</v>
      </c>
      <c r="F39" s="18">
        <f t="shared" si="19"/>
        <v>-0.11397176703033873</v>
      </c>
      <c r="G39" s="18">
        <f t="shared" si="19"/>
        <v>-1.1012977153344579E-2</v>
      </c>
      <c r="H39" s="18">
        <f t="shared" si="19"/>
        <v>-9.2239645433395794E-3</v>
      </c>
      <c r="I39" s="18">
        <f t="shared" si="19"/>
        <v>7.3230267319279617E-3</v>
      </c>
      <c r="J39" s="18">
        <f t="shared" si="19"/>
        <v>9.5764483833244273E-3</v>
      </c>
      <c r="K39" s="18">
        <f t="shared" si="19"/>
        <v>2.5220958940030933E-2</v>
      </c>
      <c r="N39" s="29">
        <f>AVERAGE(I39:K39)</f>
        <v>1.4040144685094439E-2</v>
      </c>
    </row>
    <row r="40" spans="1:24" x14ac:dyDescent="0.3"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24" x14ac:dyDescent="0.3">
      <c r="A41" t="s">
        <v>22</v>
      </c>
      <c r="B41" s="1" t="s">
        <v>23</v>
      </c>
      <c r="C41" s="1"/>
      <c r="D41" s="1"/>
      <c r="E41" s="1"/>
      <c r="F41" s="1"/>
      <c r="G41" s="1"/>
      <c r="H41" s="1"/>
      <c r="I41" s="1"/>
      <c r="J41" s="1"/>
      <c r="K41" s="1"/>
    </row>
    <row r="42" spans="1:24" x14ac:dyDescent="0.3">
      <c r="B42" s="1" t="s">
        <v>24</v>
      </c>
      <c r="C42" s="1"/>
      <c r="D42" s="1"/>
      <c r="E42" s="1"/>
      <c r="F42" s="1"/>
      <c r="G42" s="1"/>
      <c r="H42" s="1"/>
      <c r="I42" s="1"/>
      <c r="J42" s="1"/>
      <c r="K42" s="1"/>
    </row>
  </sheetData>
  <mergeCells count="4">
    <mergeCell ref="Z2:AB2"/>
    <mergeCell ref="Z13:AB13"/>
    <mergeCell ref="Z19:AB19"/>
    <mergeCell ref="AA24:AB24"/>
  </mergeCells>
  <pageMargins left="0.7" right="0.7" top="0.75" bottom="0.75" header="0.3" footer="0.3"/>
  <pageSetup orientation="portrait" r:id="rId1"/>
  <ignoredErrors>
    <ignoredError sqref="AB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635F-26F5-4D19-8820-12F2ABFE3095}">
  <dimension ref="A3:M17"/>
  <sheetViews>
    <sheetView workbookViewId="0">
      <selection activeCell="D6" sqref="D6:M6"/>
    </sheetView>
  </sheetViews>
  <sheetFormatPr defaultRowHeight="14.4" x14ac:dyDescent="0.3"/>
  <cols>
    <col min="1" max="1" width="13.109375" bestFit="1" customWidth="1"/>
    <col min="2" max="2" width="19.5546875" bestFit="1" customWidth="1"/>
  </cols>
  <sheetData>
    <row r="3" spans="1:13" x14ac:dyDescent="0.3">
      <c r="A3" s="9" t="s">
        <v>26</v>
      </c>
      <c r="B3" t="s">
        <v>41</v>
      </c>
    </row>
    <row r="4" spans="1:13" x14ac:dyDescent="0.3">
      <c r="A4" s="10" t="s">
        <v>28</v>
      </c>
      <c r="B4" s="11">
        <v>7.7183333333333337</v>
      </c>
    </row>
    <row r="5" spans="1:13" x14ac:dyDescent="0.3">
      <c r="A5" s="10" t="s">
        <v>29</v>
      </c>
      <c r="B5" s="11">
        <v>7.2149999999999999</v>
      </c>
    </row>
    <row r="6" spans="1:13" x14ac:dyDescent="0.3">
      <c r="A6" s="10" t="s">
        <v>30</v>
      </c>
      <c r="B6" s="11">
        <v>4.9208333333333334</v>
      </c>
      <c r="D6" cm="1">
        <f t="array" ref="D6:M6">TRANSPOSE(B6:B15)</f>
        <v>4.9208333333333334</v>
      </c>
      <c r="E6">
        <v>3.3533333333333331</v>
      </c>
      <c r="F6">
        <v>3.5983333333333332</v>
      </c>
      <c r="G6">
        <v>2.3424999999999998</v>
      </c>
      <c r="H6">
        <v>5.7583333333333337</v>
      </c>
      <c r="I6">
        <v>12.322499999999998</v>
      </c>
      <c r="J6">
        <v>17.321666333333333</v>
      </c>
      <c r="K6">
        <v>30.725000500000004</v>
      </c>
      <c r="L6">
        <v>67.221666749999997</v>
      </c>
      <c r="M6">
        <v>103.88250024999998</v>
      </c>
    </row>
    <row r="7" spans="1:13" x14ac:dyDescent="0.3">
      <c r="A7" s="10" t="s">
        <v>31</v>
      </c>
      <c r="B7" s="11">
        <v>3.3533333333333331</v>
      </c>
    </row>
    <row r="8" spans="1:13" x14ac:dyDescent="0.3">
      <c r="A8" s="10" t="s">
        <v>32</v>
      </c>
      <c r="B8" s="11">
        <v>3.5983333333333332</v>
      </c>
    </row>
    <row r="9" spans="1:13" x14ac:dyDescent="0.3">
      <c r="A9" s="10" t="s">
        <v>33</v>
      </c>
      <c r="B9" s="11">
        <v>2.3424999999999998</v>
      </c>
    </row>
    <row r="10" spans="1:13" x14ac:dyDescent="0.3">
      <c r="A10" s="10" t="s">
        <v>34</v>
      </c>
      <c r="B10" s="11">
        <v>5.7583333333333337</v>
      </c>
    </row>
    <row r="11" spans="1:13" x14ac:dyDescent="0.3">
      <c r="A11" s="10" t="s">
        <v>35</v>
      </c>
      <c r="B11" s="11">
        <v>12.322499999999998</v>
      </c>
    </row>
    <row r="12" spans="1:13" x14ac:dyDescent="0.3">
      <c r="A12" s="10" t="s">
        <v>36</v>
      </c>
      <c r="B12" s="11">
        <v>17.321666333333333</v>
      </c>
    </row>
    <row r="13" spans="1:13" x14ac:dyDescent="0.3">
      <c r="A13" s="10" t="s">
        <v>37</v>
      </c>
      <c r="B13" s="11">
        <v>30.725000500000004</v>
      </c>
    </row>
    <row r="14" spans="1:13" x14ac:dyDescent="0.3">
      <c r="A14" s="10" t="s">
        <v>38</v>
      </c>
      <c r="B14" s="11">
        <v>67.221666749999997</v>
      </c>
    </row>
    <row r="15" spans="1:13" x14ac:dyDescent="0.3">
      <c r="A15" s="10" t="s">
        <v>39</v>
      </c>
      <c r="B15" s="11">
        <v>103.88250024999998</v>
      </c>
    </row>
    <row r="16" spans="1:13" x14ac:dyDescent="0.3">
      <c r="A16" s="10" t="s">
        <v>40</v>
      </c>
      <c r="B16" s="11">
        <v>95.342221555555568</v>
      </c>
    </row>
    <row r="17" spans="1:2" x14ac:dyDescent="0.3">
      <c r="A17" s="10" t="s">
        <v>27</v>
      </c>
      <c r="B17" s="11">
        <v>26.500915032679742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29AA-C96C-437C-B99B-B4CB03A481AB}">
  <dimension ref="A1:B154"/>
  <sheetViews>
    <sheetView workbookViewId="0">
      <selection activeCell="B1" sqref="B1"/>
    </sheetView>
  </sheetViews>
  <sheetFormatPr defaultRowHeight="14.4" x14ac:dyDescent="0.3"/>
  <cols>
    <col min="1" max="1" width="9.6640625" bestFit="1" customWidth="1"/>
    <col min="2" max="5" width="11" bestFit="1" customWidth="1"/>
  </cols>
  <sheetData>
    <row r="1" spans="1:2" x14ac:dyDescent="0.3">
      <c r="A1" t="s">
        <v>1</v>
      </c>
      <c r="B1" t="s">
        <v>25</v>
      </c>
    </row>
    <row r="2" spans="1:2" x14ac:dyDescent="0.3">
      <c r="A2" s="8">
        <v>40179</v>
      </c>
      <c r="B2">
        <v>7.46</v>
      </c>
    </row>
    <row r="3" spans="1:2" x14ac:dyDescent="0.3">
      <c r="A3" s="8">
        <v>40210</v>
      </c>
      <c r="B3">
        <v>7.91</v>
      </c>
    </row>
    <row r="4" spans="1:2" x14ac:dyDescent="0.3">
      <c r="A4" s="8">
        <v>40238</v>
      </c>
      <c r="B4">
        <v>9.27</v>
      </c>
    </row>
    <row r="5" spans="1:2" x14ac:dyDescent="0.3">
      <c r="A5" s="8">
        <v>40269</v>
      </c>
      <c r="B5">
        <v>9.07</v>
      </c>
    </row>
    <row r="6" spans="1:2" x14ac:dyDescent="0.3">
      <c r="A6" s="8">
        <v>40299</v>
      </c>
      <c r="B6">
        <v>8.57</v>
      </c>
    </row>
    <row r="7" spans="1:2" x14ac:dyDescent="0.3">
      <c r="A7" s="8">
        <v>40330</v>
      </c>
      <c r="B7">
        <v>7.32</v>
      </c>
    </row>
    <row r="8" spans="1:2" x14ac:dyDescent="0.3">
      <c r="A8" s="8">
        <v>40360</v>
      </c>
      <c r="B8">
        <v>7.49</v>
      </c>
    </row>
    <row r="9" spans="1:2" x14ac:dyDescent="0.3">
      <c r="A9" s="8">
        <v>40391</v>
      </c>
      <c r="B9">
        <v>5.61</v>
      </c>
    </row>
    <row r="10" spans="1:2" x14ac:dyDescent="0.3">
      <c r="A10" s="8">
        <v>40422</v>
      </c>
      <c r="B10">
        <v>7.11</v>
      </c>
    </row>
    <row r="11" spans="1:2" x14ac:dyDescent="0.3">
      <c r="A11" s="8">
        <v>40452</v>
      </c>
      <c r="B11">
        <v>7.34</v>
      </c>
    </row>
    <row r="12" spans="1:2" x14ac:dyDescent="0.3">
      <c r="A12" s="8">
        <v>40483</v>
      </c>
      <c r="B12">
        <v>7.29</v>
      </c>
    </row>
    <row r="13" spans="1:2" x14ac:dyDescent="0.3">
      <c r="A13" s="8">
        <v>40513</v>
      </c>
      <c r="B13">
        <v>8.18</v>
      </c>
    </row>
    <row r="14" spans="1:2" x14ac:dyDescent="0.3">
      <c r="A14" s="8">
        <v>40544</v>
      </c>
      <c r="B14">
        <v>7.83</v>
      </c>
    </row>
    <row r="15" spans="1:2" x14ac:dyDescent="0.3">
      <c r="A15" s="8">
        <v>40575</v>
      </c>
      <c r="B15">
        <v>9.2100000000000009</v>
      </c>
    </row>
    <row r="16" spans="1:2" x14ac:dyDescent="0.3">
      <c r="A16" s="8">
        <v>40603</v>
      </c>
      <c r="B16">
        <v>8.6</v>
      </c>
    </row>
    <row r="17" spans="1:2" x14ac:dyDescent="0.3">
      <c r="A17" s="8">
        <v>40634</v>
      </c>
      <c r="B17">
        <v>9.1</v>
      </c>
    </row>
    <row r="18" spans="1:2" x14ac:dyDescent="0.3">
      <c r="A18" s="8">
        <v>40664</v>
      </c>
      <c r="B18">
        <v>8.68</v>
      </c>
    </row>
    <row r="19" spans="1:2" x14ac:dyDescent="0.3">
      <c r="A19" s="8">
        <v>40695</v>
      </c>
      <c r="B19">
        <v>6.99</v>
      </c>
    </row>
    <row r="20" spans="1:2" x14ac:dyDescent="0.3">
      <c r="A20" s="8">
        <v>40725</v>
      </c>
      <c r="B20">
        <v>7.34</v>
      </c>
    </row>
    <row r="21" spans="1:2" x14ac:dyDescent="0.3">
      <c r="A21" s="8">
        <v>40756</v>
      </c>
      <c r="B21">
        <v>6.83</v>
      </c>
    </row>
    <row r="22" spans="1:2" x14ac:dyDescent="0.3">
      <c r="A22" s="8">
        <v>40787</v>
      </c>
      <c r="B22">
        <v>5.08</v>
      </c>
    </row>
    <row r="23" spans="1:2" x14ac:dyDescent="0.3">
      <c r="A23" s="8">
        <v>40817</v>
      </c>
      <c r="B23">
        <v>5.83</v>
      </c>
    </row>
    <row r="24" spans="1:2" x14ac:dyDescent="0.3">
      <c r="A24" s="8">
        <v>40848</v>
      </c>
      <c r="B24">
        <v>5.69</v>
      </c>
    </row>
    <row r="25" spans="1:2" x14ac:dyDescent="0.3">
      <c r="A25" s="8">
        <v>40878</v>
      </c>
      <c r="B25">
        <v>5.4</v>
      </c>
    </row>
    <row r="26" spans="1:2" x14ac:dyDescent="0.3">
      <c r="A26" s="8">
        <v>40909</v>
      </c>
      <c r="B26">
        <v>6.71</v>
      </c>
    </row>
    <row r="27" spans="1:2" x14ac:dyDescent="0.3">
      <c r="A27" s="8">
        <v>40940</v>
      </c>
      <c r="B27">
        <v>7.35</v>
      </c>
    </row>
    <row r="28" spans="1:2" x14ac:dyDescent="0.3">
      <c r="A28" s="8">
        <v>40969</v>
      </c>
      <c r="B28">
        <v>8.02</v>
      </c>
    </row>
    <row r="29" spans="1:2" x14ac:dyDescent="0.3">
      <c r="A29" s="8">
        <v>41000</v>
      </c>
      <c r="B29">
        <v>7.36</v>
      </c>
    </row>
    <row r="30" spans="1:2" x14ac:dyDescent="0.3">
      <c r="A30" s="8">
        <v>41030</v>
      </c>
      <c r="B30">
        <v>6.08</v>
      </c>
    </row>
    <row r="31" spans="1:2" x14ac:dyDescent="0.3">
      <c r="A31" s="8">
        <v>41061</v>
      </c>
      <c r="B31">
        <v>5.73</v>
      </c>
    </row>
    <row r="32" spans="1:2" x14ac:dyDescent="0.3">
      <c r="A32" s="8">
        <v>41091</v>
      </c>
      <c r="B32">
        <v>4.0599999999999996</v>
      </c>
    </row>
    <row r="33" spans="1:2" x14ac:dyDescent="0.3">
      <c r="A33" s="8">
        <v>41122</v>
      </c>
      <c r="B33">
        <v>3.72</v>
      </c>
    </row>
    <row r="34" spans="1:2" x14ac:dyDescent="0.3">
      <c r="A34" s="8">
        <v>41153</v>
      </c>
      <c r="B34">
        <v>3.37</v>
      </c>
    </row>
    <row r="35" spans="1:2" x14ac:dyDescent="0.3">
      <c r="A35" s="8">
        <v>41183</v>
      </c>
      <c r="B35">
        <v>2.0499999999999998</v>
      </c>
    </row>
    <row r="36" spans="1:2" x14ac:dyDescent="0.3">
      <c r="A36" s="8">
        <v>41214</v>
      </c>
      <c r="B36">
        <v>2.2000000000000002</v>
      </c>
    </row>
    <row r="37" spans="1:2" x14ac:dyDescent="0.3">
      <c r="A37" s="8">
        <v>41244</v>
      </c>
      <c r="B37">
        <v>2.4</v>
      </c>
    </row>
    <row r="38" spans="1:2" x14ac:dyDescent="0.3">
      <c r="A38" s="8">
        <v>41275</v>
      </c>
      <c r="B38">
        <v>2.6</v>
      </c>
    </row>
    <row r="39" spans="1:2" x14ac:dyDescent="0.3">
      <c r="A39" s="8">
        <v>41306</v>
      </c>
      <c r="B39">
        <v>2.4900000000000002</v>
      </c>
    </row>
    <row r="40" spans="1:2" x14ac:dyDescent="0.3">
      <c r="A40" s="8">
        <v>41334</v>
      </c>
      <c r="B40">
        <v>2.5499999999999998</v>
      </c>
    </row>
    <row r="41" spans="1:2" x14ac:dyDescent="0.3">
      <c r="A41" s="8">
        <v>41365</v>
      </c>
      <c r="B41">
        <v>2.82</v>
      </c>
    </row>
    <row r="42" spans="1:2" x14ac:dyDescent="0.3">
      <c r="A42" s="8">
        <v>41395</v>
      </c>
      <c r="B42">
        <v>4</v>
      </c>
    </row>
    <row r="43" spans="1:2" x14ac:dyDescent="0.3">
      <c r="A43" s="8">
        <v>41426</v>
      </c>
      <c r="B43">
        <v>4.08</v>
      </c>
    </row>
    <row r="44" spans="1:2" x14ac:dyDescent="0.3">
      <c r="A44" s="8">
        <v>41456</v>
      </c>
      <c r="B44">
        <v>3.77</v>
      </c>
    </row>
    <row r="45" spans="1:2" x14ac:dyDescent="0.3">
      <c r="A45" s="8">
        <v>41487</v>
      </c>
      <c r="B45">
        <v>3.27</v>
      </c>
    </row>
    <row r="46" spans="1:2" x14ac:dyDescent="0.3">
      <c r="A46" s="8">
        <v>41518</v>
      </c>
      <c r="B46">
        <v>3.81</v>
      </c>
    </row>
    <row r="47" spans="1:2" x14ac:dyDescent="0.3">
      <c r="A47" s="8">
        <v>41548</v>
      </c>
      <c r="B47">
        <v>3.34</v>
      </c>
    </row>
    <row r="48" spans="1:2" x14ac:dyDescent="0.3">
      <c r="A48" s="8">
        <v>41579</v>
      </c>
      <c r="B48">
        <v>3.64</v>
      </c>
    </row>
    <row r="49" spans="1:2" x14ac:dyDescent="0.3">
      <c r="A49" s="8">
        <v>41609</v>
      </c>
      <c r="B49">
        <v>3.87</v>
      </c>
    </row>
    <row r="50" spans="1:2" x14ac:dyDescent="0.3">
      <c r="A50" s="8">
        <v>41640</v>
      </c>
      <c r="B50">
        <v>3.43</v>
      </c>
    </row>
    <row r="51" spans="1:2" x14ac:dyDescent="0.3">
      <c r="A51" s="8">
        <v>41671</v>
      </c>
      <c r="B51">
        <v>3.71</v>
      </c>
    </row>
    <row r="52" spans="1:2" x14ac:dyDescent="0.3">
      <c r="A52" s="8">
        <v>41699</v>
      </c>
      <c r="B52">
        <v>4.01</v>
      </c>
    </row>
    <row r="53" spans="1:2" x14ac:dyDescent="0.3">
      <c r="A53" s="8">
        <v>41730</v>
      </c>
      <c r="B53">
        <v>4.09</v>
      </c>
    </row>
    <row r="54" spans="1:2" x14ac:dyDescent="0.3">
      <c r="A54" s="8">
        <v>41760</v>
      </c>
      <c r="B54">
        <v>4</v>
      </c>
    </row>
    <row r="55" spans="1:2" x14ac:dyDescent="0.3">
      <c r="A55" s="8">
        <v>41791</v>
      </c>
      <c r="B55">
        <v>4.1900000000000004</v>
      </c>
    </row>
    <row r="56" spans="1:2" x14ac:dyDescent="0.3">
      <c r="A56" s="8">
        <v>41821</v>
      </c>
      <c r="B56">
        <v>3.91</v>
      </c>
    </row>
    <row r="57" spans="1:2" x14ac:dyDescent="0.3">
      <c r="A57" s="8">
        <v>41852</v>
      </c>
      <c r="B57">
        <v>4.17</v>
      </c>
    </row>
    <row r="58" spans="1:2" x14ac:dyDescent="0.3">
      <c r="A58" s="8">
        <v>41883</v>
      </c>
      <c r="B58">
        <v>3.41</v>
      </c>
    </row>
    <row r="59" spans="1:2" x14ac:dyDescent="0.3">
      <c r="A59" s="8">
        <v>41913</v>
      </c>
      <c r="B59">
        <v>2.8</v>
      </c>
    </row>
    <row r="60" spans="1:2" x14ac:dyDescent="0.3">
      <c r="A60" s="8">
        <v>41944</v>
      </c>
      <c r="B60">
        <v>2.79</v>
      </c>
    </row>
    <row r="61" spans="1:2" x14ac:dyDescent="0.3">
      <c r="A61" s="8">
        <v>41974</v>
      </c>
      <c r="B61">
        <v>2.67</v>
      </c>
    </row>
    <row r="62" spans="1:2" x14ac:dyDescent="0.3">
      <c r="A62" s="8">
        <v>42005</v>
      </c>
      <c r="B62">
        <v>2.57</v>
      </c>
    </row>
    <row r="63" spans="1:2" x14ac:dyDescent="0.3">
      <c r="A63" s="8">
        <v>42036</v>
      </c>
      <c r="B63">
        <v>3.11</v>
      </c>
    </row>
    <row r="64" spans="1:2" x14ac:dyDescent="0.3">
      <c r="A64" s="8">
        <v>42064</v>
      </c>
      <c r="B64">
        <v>2.68</v>
      </c>
    </row>
    <row r="65" spans="1:2" x14ac:dyDescent="0.3">
      <c r="A65" s="8">
        <v>42095</v>
      </c>
      <c r="B65">
        <v>2.2599999999999998</v>
      </c>
    </row>
    <row r="66" spans="1:2" x14ac:dyDescent="0.3">
      <c r="A66" s="8">
        <v>42125</v>
      </c>
      <c r="B66">
        <v>2.2799999999999998</v>
      </c>
    </row>
    <row r="67" spans="1:2" x14ac:dyDescent="0.3">
      <c r="A67" s="8">
        <v>42156</v>
      </c>
      <c r="B67">
        <v>2.4</v>
      </c>
    </row>
    <row r="68" spans="1:2" x14ac:dyDescent="0.3">
      <c r="A68" s="8">
        <v>42186</v>
      </c>
      <c r="B68">
        <v>1.93</v>
      </c>
    </row>
    <row r="69" spans="1:2" x14ac:dyDescent="0.3">
      <c r="A69" s="8">
        <v>42217</v>
      </c>
      <c r="B69">
        <v>1.81</v>
      </c>
    </row>
    <row r="70" spans="1:2" x14ac:dyDescent="0.3">
      <c r="A70" s="8">
        <v>42248</v>
      </c>
      <c r="B70">
        <v>1.72</v>
      </c>
    </row>
    <row r="71" spans="1:2" x14ac:dyDescent="0.3">
      <c r="A71" s="8">
        <v>42278</v>
      </c>
      <c r="B71">
        <v>2.12</v>
      </c>
    </row>
    <row r="72" spans="1:2" x14ac:dyDescent="0.3">
      <c r="A72" s="8">
        <v>42309</v>
      </c>
      <c r="B72">
        <v>2.36</v>
      </c>
    </row>
    <row r="73" spans="1:2" x14ac:dyDescent="0.3">
      <c r="A73" s="8">
        <v>42339</v>
      </c>
      <c r="B73">
        <v>2.87</v>
      </c>
    </row>
    <row r="74" spans="1:2" x14ac:dyDescent="0.3">
      <c r="A74" s="8">
        <v>42370</v>
      </c>
      <c r="B74">
        <v>2.2000000000000002</v>
      </c>
    </row>
    <row r="75" spans="1:2" x14ac:dyDescent="0.3">
      <c r="A75" s="8">
        <v>42401</v>
      </c>
      <c r="B75">
        <v>2.14</v>
      </c>
    </row>
    <row r="76" spans="1:2" x14ac:dyDescent="0.3">
      <c r="A76" s="8">
        <v>42430</v>
      </c>
      <c r="B76">
        <v>2.85</v>
      </c>
    </row>
    <row r="77" spans="1:2" x14ac:dyDescent="0.3">
      <c r="A77" s="8">
        <v>42461</v>
      </c>
      <c r="B77">
        <v>3.55</v>
      </c>
    </row>
    <row r="78" spans="1:2" x14ac:dyDescent="0.3">
      <c r="A78" s="8">
        <v>42491</v>
      </c>
      <c r="B78">
        <v>4.57</v>
      </c>
    </row>
    <row r="79" spans="1:2" x14ac:dyDescent="0.3">
      <c r="A79" s="8">
        <v>42522</v>
      </c>
      <c r="B79">
        <v>5.14</v>
      </c>
    </row>
    <row r="80" spans="1:2" x14ac:dyDescent="0.3">
      <c r="A80" s="8">
        <v>42552</v>
      </c>
      <c r="B80">
        <v>6.86</v>
      </c>
    </row>
    <row r="81" spans="1:2" x14ac:dyDescent="0.3">
      <c r="A81" s="8">
        <v>42583</v>
      </c>
      <c r="B81">
        <v>7.4</v>
      </c>
    </row>
    <row r="82" spans="1:2" x14ac:dyDescent="0.3">
      <c r="A82" s="8">
        <v>42614</v>
      </c>
      <c r="B82">
        <v>6.91</v>
      </c>
    </row>
    <row r="83" spans="1:2" x14ac:dyDescent="0.3">
      <c r="A83" s="8">
        <v>42644</v>
      </c>
      <c r="B83">
        <v>7.23</v>
      </c>
    </row>
    <row r="84" spans="1:2" x14ac:dyDescent="0.3">
      <c r="A84" s="8">
        <v>42675</v>
      </c>
      <c r="B84">
        <v>8.91</v>
      </c>
    </row>
    <row r="85" spans="1:2" x14ac:dyDescent="0.3">
      <c r="A85" s="8">
        <v>42705</v>
      </c>
      <c r="B85">
        <v>11.34</v>
      </c>
    </row>
    <row r="86" spans="1:2" x14ac:dyDescent="0.3">
      <c r="A86" s="8">
        <v>42736</v>
      </c>
      <c r="B86">
        <v>10.37</v>
      </c>
    </row>
    <row r="87" spans="1:2" x14ac:dyDescent="0.3">
      <c r="A87" s="8">
        <v>42767</v>
      </c>
      <c r="B87">
        <v>14.46</v>
      </c>
    </row>
    <row r="88" spans="1:2" x14ac:dyDescent="0.3">
      <c r="A88" s="8">
        <v>42795</v>
      </c>
      <c r="B88">
        <v>14.55</v>
      </c>
    </row>
    <row r="89" spans="1:2" x14ac:dyDescent="0.3">
      <c r="A89" s="8">
        <v>42826</v>
      </c>
      <c r="B89">
        <v>13.3</v>
      </c>
    </row>
    <row r="90" spans="1:2" x14ac:dyDescent="0.3">
      <c r="A90" s="8">
        <v>42856</v>
      </c>
      <c r="B90">
        <v>11.19</v>
      </c>
    </row>
    <row r="91" spans="1:2" x14ac:dyDescent="0.3">
      <c r="A91" s="8">
        <v>42887</v>
      </c>
      <c r="B91">
        <v>12.48</v>
      </c>
    </row>
    <row r="92" spans="1:2" x14ac:dyDescent="0.3">
      <c r="A92" s="8">
        <v>42917</v>
      </c>
      <c r="B92">
        <v>13.61</v>
      </c>
    </row>
    <row r="93" spans="1:2" x14ac:dyDescent="0.3">
      <c r="A93" s="8">
        <v>42948</v>
      </c>
      <c r="B93">
        <v>13</v>
      </c>
    </row>
    <row r="94" spans="1:2" x14ac:dyDescent="0.3">
      <c r="A94" s="8">
        <v>42979</v>
      </c>
      <c r="B94">
        <v>12.75</v>
      </c>
    </row>
    <row r="95" spans="1:2" x14ac:dyDescent="0.3">
      <c r="A95" s="8">
        <v>43009</v>
      </c>
      <c r="B95">
        <v>10.99</v>
      </c>
    </row>
    <row r="96" spans="1:2" x14ac:dyDescent="0.3">
      <c r="A96" s="8">
        <v>43040</v>
      </c>
      <c r="B96">
        <v>10.89</v>
      </c>
    </row>
    <row r="97" spans="1:2" x14ac:dyDescent="0.3">
      <c r="A97" s="8">
        <v>43070</v>
      </c>
      <c r="B97">
        <v>10.28</v>
      </c>
    </row>
    <row r="98" spans="1:2" x14ac:dyDescent="0.3">
      <c r="A98" s="8">
        <v>43101</v>
      </c>
      <c r="B98">
        <v>13.74</v>
      </c>
    </row>
    <row r="99" spans="1:2" x14ac:dyDescent="0.3">
      <c r="A99" s="8">
        <v>43132</v>
      </c>
      <c r="B99">
        <v>12.11</v>
      </c>
    </row>
    <row r="100" spans="1:2" x14ac:dyDescent="0.3">
      <c r="A100" s="8">
        <v>43160</v>
      </c>
      <c r="B100">
        <v>10.050000000000001</v>
      </c>
    </row>
    <row r="101" spans="1:2" x14ac:dyDescent="0.3">
      <c r="A101" s="8">
        <v>43191</v>
      </c>
      <c r="B101">
        <v>10.88</v>
      </c>
    </row>
    <row r="102" spans="1:2" x14ac:dyDescent="0.3">
      <c r="A102" s="8">
        <v>43221</v>
      </c>
      <c r="B102">
        <v>13.73</v>
      </c>
    </row>
    <row r="103" spans="1:2" x14ac:dyDescent="0.3">
      <c r="A103" s="8">
        <v>43252</v>
      </c>
      <c r="B103">
        <v>14.99</v>
      </c>
    </row>
    <row r="104" spans="1:2" x14ac:dyDescent="0.3">
      <c r="A104" s="8">
        <v>43282</v>
      </c>
      <c r="B104">
        <v>18.329999999999998</v>
      </c>
    </row>
    <row r="105" spans="1:2" x14ac:dyDescent="0.3">
      <c r="A105" s="8">
        <v>43313</v>
      </c>
      <c r="B105">
        <v>25.17</v>
      </c>
    </row>
    <row r="106" spans="1:2" x14ac:dyDescent="0.3">
      <c r="A106" s="8">
        <v>43344</v>
      </c>
      <c r="B106">
        <v>30.889999</v>
      </c>
    </row>
    <row r="107" spans="1:2" x14ac:dyDescent="0.3">
      <c r="A107" s="8">
        <v>43374</v>
      </c>
      <c r="B107">
        <v>18.209999</v>
      </c>
    </row>
    <row r="108" spans="1:2" x14ac:dyDescent="0.3">
      <c r="A108" s="8">
        <v>43405</v>
      </c>
      <c r="B108">
        <v>21.299999</v>
      </c>
    </row>
    <row r="109" spans="1:2" x14ac:dyDescent="0.3">
      <c r="A109" s="8">
        <v>43435</v>
      </c>
      <c r="B109">
        <v>18.459999</v>
      </c>
    </row>
    <row r="110" spans="1:2" x14ac:dyDescent="0.3">
      <c r="A110" s="8">
        <v>43466</v>
      </c>
      <c r="B110">
        <v>24.41</v>
      </c>
    </row>
    <row r="111" spans="1:2" x14ac:dyDescent="0.3">
      <c r="A111" s="8">
        <v>43497</v>
      </c>
      <c r="B111">
        <v>23.530000999999999</v>
      </c>
    </row>
    <row r="112" spans="1:2" x14ac:dyDescent="0.3">
      <c r="A112" s="8">
        <v>43525</v>
      </c>
      <c r="B112">
        <v>25.52</v>
      </c>
    </row>
    <row r="113" spans="1:2" x14ac:dyDescent="0.3">
      <c r="A113" s="8">
        <v>43556</v>
      </c>
      <c r="B113">
        <v>27.629999000000002</v>
      </c>
    </row>
    <row r="114" spans="1:2" x14ac:dyDescent="0.3">
      <c r="A114" s="8">
        <v>43586</v>
      </c>
      <c r="B114">
        <v>27.41</v>
      </c>
    </row>
    <row r="115" spans="1:2" x14ac:dyDescent="0.3">
      <c r="A115" s="8">
        <v>43617</v>
      </c>
      <c r="B115">
        <v>30.370000999999998</v>
      </c>
    </row>
    <row r="116" spans="1:2" x14ac:dyDescent="0.3">
      <c r="A116" s="8">
        <v>43647</v>
      </c>
      <c r="B116">
        <v>30.450001</v>
      </c>
    </row>
    <row r="117" spans="1:2" x14ac:dyDescent="0.3">
      <c r="A117" s="8">
        <v>43678</v>
      </c>
      <c r="B117">
        <v>31.450001</v>
      </c>
    </row>
    <row r="118" spans="1:2" x14ac:dyDescent="0.3">
      <c r="A118" s="8">
        <v>43709</v>
      </c>
      <c r="B118">
        <v>28.99</v>
      </c>
    </row>
    <row r="119" spans="1:2" x14ac:dyDescent="0.3">
      <c r="A119" s="8">
        <v>43739</v>
      </c>
      <c r="B119">
        <v>33.93</v>
      </c>
    </row>
    <row r="120" spans="1:2" x14ac:dyDescent="0.3">
      <c r="A120" s="8">
        <v>43770</v>
      </c>
      <c r="B120">
        <v>39.150002000000001</v>
      </c>
    </row>
    <row r="121" spans="1:2" x14ac:dyDescent="0.3">
      <c r="A121" s="8">
        <v>43800</v>
      </c>
      <c r="B121">
        <v>45.860000999999997</v>
      </c>
    </row>
    <row r="122" spans="1:2" x14ac:dyDescent="0.3">
      <c r="A122" s="8">
        <v>43831</v>
      </c>
      <c r="B122">
        <v>47</v>
      </c>
    </row>
    <row r="123" spans="1:2" x14ac:dyDescent="0.3">
      <c r="A123" s="8">
        <v>43862</v>
      </c>
      <c r="B123">
        <v>45.48</v>
      </c>
    </row>
    <row r="124" spans="1:2" x14ac:dyDescent="0.3">
      <c r="A124" s="8">
        <v>43891</v>
      </c>
      <c r="B124">
        <v>45.48</v>
      </c>
    </row>
    <row r="125" spans="1:2" x14ac:dyDescent="0.3">
      <c r="A125" s="8">
        <v>43922</v>
      </c>
      <c r="B125">
        <v>52.389999000000003</v>
      </c>
    </row>
    <row r="126" spans="1:2" x14ac:dyDescent="0.3">
      <c r="A126" s="8">
        <v>43952</v>
      </c>
      <c r="B126">
        <v>53.799999</v>
      </c>
    </row>
    <row r="127" spans="1:2" x14ac:dyDescent="0.3">
      <c r="A127" s="8">
        <v>43983</v>
      </c>
      <c r="B127">
        <v>52.610000999999997</v>
      </c>
    </row>
    <row r="128" spans="1:2" x14ac:dyDescent="0.3">
      <c r="A128" s="8">
        <v>44013</v>
      </c>
      <c r="B128">
        <v>77.430000000000007</v>
      </c>
    </row>
    <row r="129" spans="1:2" x14ac:dyDescent="0.3">
      <c r="A129" s="8">
        <v>44044</v>
      </c>
      <c r="B129">
        <v>90.82</v>
      </c>
    </row>
    <row r="130" spans="1:2" x14ac:dyDescent="0.3">
      <c r="A130" s="8">
        <v>44075</v>
      </c>
      <c r="B130">
        <v>81.989998</v>
      </c>
    </row>
    <row r="131" spans="1:2" x14ac:dyDescent="0.3">
      <c r="A131" s="8">
        <v>44105</v>
      </c>
      <c r="B131">
        <v>75.290001000000004</v>
      </c>
    </row>
    <row r="132" spans="1:2" x14ac:dyDescent="0.3">
      <c r="A132" s="8">
        <v>44136</v>
      </c>
      <c r="B132">
        <v>92.660004000000001</v>
      </c>
    </row>
    <row r="133" spans="1:2" x14ac:dyDescent="0.3">
      <c r="A133" s="8">
        <v>44166</v>
      </c>
      <c r="B133">
        <v>91.709998999999996</v>
      </c>
    </row>
    <row r="134" spans="1:2" x14ac:dyDescent="0.3">
      <c r="A134" s="8">
        <v>44197</v>
      </c>
      <c r="B134">
        <v>85.639999000000003</v>
      </c>
    </row>
    <row r="135" spans="1:2" x14ac:dyDescent="0.3">
      <c r="A135" s="8">
        <v>44228</v>
      </c>
      <c r="B135">
        <v>84.510002</v>
      </c>
    </row>
    <row r="136" spans="1:2" x14ac:dyDescent="0.3">
      <c r="A136" s="8">
        <v>44256</v>
      </c>
      <c r="B136">
        <v>78.5</v>
      </c>
    </row>
    <row r="137" spans="1:2" x14ac:dyDescent="0.3">
      <c r="A137" s="8">
        <v>44287</v>
      </c>
      <c r="B137">
        <v>81.620002999999997</v>
      </c>
    </row>
    <row r="138" spans="1:2" x14ac:dyDescent="0.3">
      <c r="A138" s="8">
        <v>44317</v>
      </c>
      <c r="B138">
        <v>80.080001999999993</v>
      </c>
    </row>
    <row r="139" spans="1:2" x14ac:dyDescent="0.3">
      <c r="A139" s="8">
        <v>44348</v>
      </c>
      <c r="B139">
        <v>93.93</v>
      </c>
    </row>
    <row r="140" spans="1:2" x14ac:dyDescent="0.3">
      <c r="A140" s="8">
        <v>44378</v>
      </c>
      <c r="B140">
        <v>106.19000200000001</v>
      </c>
    </row>
    <row r="141" spans="1:2" x14ac:dyDescent="0.3">
      <c r="A141" s="8">
        <v>44409</v>
      </c>
      <c r="B141">
        <v>110.720001</v>
      </c>
    </row>
    <row r="142" spans="1:2" x14ac:dyDescent="0.3">
      <c r="A142" s="8">
        <v>44440</v>
      </c>
      <c r="B142">
        <v>102.900002</v>
      </c>
    </row>
    <row r="143" spans="1:2" x14ac:dyDescent="0.3">
      <c r="A143" s="8">
        <v>44470</v>
      </c>
      <c r="B143">
        <v>120.230003</v>
      </c>
    </row>
    <row r="144" spans="1:2" x14ac:dyDescent="0.3">
      <c r="A144" s="8">
        <v>44501</v>
      </c>
      <c r="B144">
        <v>158.36999499999999</v>
      </c>
    </row>
    <row r="145" spans="1:2" x14ac:dyDescent="0.3">
      <c r="A145" s="8">
        <v>44531</v>
      </c>
      <c r="B145">
        <v>143.89999399999999</v>
      </c>
    </row>
    <row r="146" spans="1:2" x14ac:dyDescent="0.3">
      <c r="A146" s="8">
        <v>44562</v>
      </c>
      <c r="B146">
        <v>114.25</v>
      </c>
    </row>
    <row r="147" spans="1:2" x14ac:dyDescent="0.3">
      <c r="A147" s="8">
        <v>44593</v>
      </c>
      <c r="B147">
        <v>123.339996</v>
      </c>
    </row>
    <row r="148" spans="1:2" x14ac:dyDescent="0.3">
      <c r="A148" s="8">
        <v>44621</v>
      </c>
      <c r="B148">
        <v>109.339996</v>
      </c>
    </row>
    <row r="149" spans="1:2" x14ac:dyDescent="0.3">
      <c r="A149" s="8">
        <v>44652</v>
      </c>
      <c r="B149">
        <v>85.519997000000004</v>
      </c>
    </row>
    <row r="150" spans="1:2" x14ac:dyDescent="0.3">
      <c r="A150" s="8">
        <v>44682</v>
      </c>
      <c r="B150">
        <v>101.860001</v>
      </c>
    </row>
    <row r="151" spans="1:2" x14ac:dyDescent="0.3">
      <c r="A151" s="8">
        <v>44713</v>
      </c>
      <c r="B151">
        <v>76.470000999999996</v>
      </c>
    </row>
    <row r="152" spans="1:2" x14ac:dyDescent="0.3">
      <c r="A152" s="8">
        <v>44743</v>
      </c>
      <c r="B152">
        <v>94.470000999999996</v>
      </c>
    </row>
    <row r="153" spans="1:2" x14ac:dyDescent="0.3">
      <c r="A153" s="8">
        <v>44774</v>
      </c>
      <c r="B153">
        <v>84.870002999999997</v>
      </c>
    </row>
    <row r="154" spans="1:2" x14ac:dyDescent="0.3">
      <c r="A154" s="8">
        <v>44805</v>
      </c>
      <c r="B154">
        <v>67.959998999999996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</cp:lastModifiedBy>
  <cp:lastPrinted>2022-10-01T20:49:15Z</cp:lastPrinted>
  <dcterms:created xsi:type="dcterms:W3CDTF">2015-06-05T18:17:20Z</dcterms:created>
  <dcterms:modified xsi:type="dcterms:W3CDTF">2023-03-23T14:49:56Z</dcterms:modified>
</cp:coreProperties>
</file>