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msuni-my.sharepoint.com/personal/theodor_hogan_student_uva_nl/Documents/"/>
    </mc:Choice>
  </mc:AlternateContent>
  <xr:revisionPtr revIDLastSave="463" documentId="8_{8BFFFE1E-9AB8-4649-A17C-57A3A27A0D37}" xr6:coauthVersionLast="47" xr6:coauthVersionMax="47" xr10:uidLastSave="{A6D8FBFB-19DC-4A34-81EF-E28E30A50342}"/>
  <bookViews>
    <workbookView xWindow="-120" yWindow="-120" windowWidth="29040" windowHeight="15720" xr2:uid="{5ACFCA26-3E33-4700-BF69-1478B0C77106}"/>
  </bookViews>
  <sheets>
    <sheet name="Valuation" sheetId="1" r:id="rId1"/>
    <sheet name="Sheet3" sheetId="3" r:id="rId2"/>
    <sheet name="NFLX" sheetId="2" r:id="rId3"/>
  </sheets>
  <calcPr calcId="191029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B11" i="1" l="1"/>
  <c r="AB8" i="1"/>
  <c r="AB9" i="1"/>
  <c r="Q31" i="1"/>
  <c r="R31" i="1" s="1"/>
  <c r="S31" i="1" s="1"/>
  <c r="T31" i="1" s="1"/>
  <c r="U31" i="1" s="1"/>
  <c r="V31" i="1" s="1"/>
  <c r="W31" i="1" s="1"/>
  <c r="X31" i="1" s="1"/>
  <c r="Y31" i="1" s="1"/>
  <c r="AC16" i="1" s="1"/>
  <c r="AC18" i="1" s="1"/>
  <c r="AC24" i="1" s="1"/>
  <c r="P31" i="1"/>
  <c r="Q6" i="1"/>
  <c r="R6" i="1" s="1"/>
  <c r="S6" i="1" s="1"/>
  <c r="T6" i="1" s="1"/>
  <c r="U6" i="1" s="1"/>
  <c r="V6" i="1" s="1"/>
  <c r="W6" i="1" s="1"/>
  <c r="X6" i="1" s="1"/>
  <c r="Y6" i="1" s="1"/>
  <c r="AC5" i="1" s="1"/>
  <c r="AC7" i="1" s="1"/>
  <c r="AC10" i="1" s="1"/>
  <c r="P6" i="1"/>
  <c r="L7" i="1"/>
  <c r="K7" i="1"/>
  <c r="D7" i="1"/>
  <c r="Q3" i="1"/>
  <c r="R3" i="1" s="1"/>
  <c r="S3" i="1" s="1"/>
  <c r="T3" i="1" s="1"/>
  <c r="U3" i="1" s="1"/>
  <c r="V3" i="1" s="1"/>
  <c r="W3" i="1" s="1"/>
  <c r="X3" i="1" s="1"/>
  <c r="Y3" i="1" s="1"/>
  <c r="L29" i="1"/>
  <c r="L31" i="1" s="1"/>
  <c r="L35" i="1" s="1"/>
  <c r="K29" i="1"/>
  <c r="K31" i="1" s="1"/>
  <c r="K35" i="1" s="1"/>
  <c r="J29" i="1"/>
  <c r="J31" i="1" s="1"/>
  <c r="J35" i="1" s="1"/>
  <c r="L15" i="1"/>
  <c r="K15" i="1"/>
  <c r="J15" i="1"/>
  <c r="J17" i="1" s="1"/>
  <c r="I15" i="1"/>
  <c r="I17" i="1" s="1"/>
  <c r="H15" i="1"/>
  <c r="H17" i="1" s="1"/>
  <c r="G15" i="1"/>
  <c r="G17" i="1" s="1"/>
  <c r="F15" i="1"/>
  <c r="F17" i="1" s="1"/>
  <c r="E15" i="1"/>
  <c r="E17" i="1" s="1"/>
  <c r="D15" i="1"/>
  <c r="D17" i="1" s="1"/>
  <c r="D4" i="3" a="1"/>
  <c r="D4" i="3" s="1"/>
  <c r="C11" i="1"/>
  <c r="C25" i="1"/>
  <c r="C29" i="1" s="1"/>
  <c r="C31" i="1" s="1"/>
  <c r="C35" i="1" s="1"/>
  <c r="C6" i="1"/>
  <c r="C13" i="1"/>
  <c r="C15" i="1" s="1"/>
  <c r="D27" i="1"/>
  <c r="D25" i="1"/>
  <c r="E25" i="1"/>
  <c r="E29" i="1" s="1"/>
  <c r="E31" i="1" s="1"/>
  <c r="E35" i="1" s="1"/>
  <c r="D6" i="1"/>
  <c r="D21" i="1" s="1"/>
  <c r="E6" i="1"/>
  <c r="E21" i="1" s="1"/>
  <c r="I25" i="1"/>
  <c r="I29" i="1" s="1"/>
  <c r="I31" i="1" s="1"/>
  <c r="I35" i="1" s="1"/>
  <c r="F25" i="1"/>
  <c r="F29" i="1" s="1"/>
  <c r="F31" i="1" s="1"/>
  <c r="F35" i="1" s="1"/>
  <c r="G25" i="1"/>
  <c r="G29" i="1" s="1"/>
  <c r="G31" i="1" s="1"/>
  <c r="G35" i="1" s="1"/>
  <c r="H25" i="1"/>
  <c r="H29" i="1" s="1"/>
  <c r="H31" i="1" s="1"/>
  <c r="H35" i="1" s="1"/>
  <c r="L6" i="1"/>
  <c r="K6" i="1"/>
  <c r="J6" i="1"/>
  <c r="J21" i="1" s="1"/>
  <c r="I6" i="1"/>
  <c r="I21" i="1" s="1"/>
  <c r="F6" i="1"/>
  <c r="F21" i="1" s="1"/>
  <c r="G6" i="1"/>
  <c r="G21" i="1" s="1"/>
  <c r="H6" i="1"/>
  <c r="H21" i="1" s="1"/>
  <c r="K11" i="1"/>
  <c r="L11" i="1"/>
  <c r="L21" i="1" s="1"/>
  <c r="N25" i="1"/>
  <c r="N23" i="1"/>
  <c r="M6" i="1"/>
  <c r="N6" i="1"/>
  <c r="AB16" i="1" l="1"/>
  <c r="AB18" i="1" s="1"/>
  <c r="AB24" i="1" s="1"/>
  <c r="AB5" i="1"/>
  <c r="AB7" i="1" s="1"/>
  <c r="AB10" i="1" s="1"/>
  <c r="AB12" i="1" s="1"/>
  <c r="AB23" i="1" s="1"/>
  <c r="AC12" i="1"/>
  <c r="AC23" i="1" s="1"/>
  <c r="AC25" i="1" s="1"/>
  <c r="AC26" i="1" s="1"/>
  <c r="E7" i="1"/>
  <c r="O7" i="1" s="1"/>
  <c r="D19" i="1"/>
  <c r="F7" i="1"/>
  <c r="H7" i="1"/>
  <c r="L17" i="1"/>
  <c r="O31" i="1"/>
  <c r="G19" i="1"/>
  <c r="I7" i="1"/>
  <c r="G7" i="1"/>
  <c r="J7" i="1"/>
  <c r="K21" i="1"/>
  <c r="F19" i="1"/>
  <c r="C17" i="1"/>
  <c r="C19" i="1" s="1"/>
  <c r="I19" i="1"/>
  <c r="J19" i="1"/>
  <c r="H19" i="1"/>
  <c r="K17" i="1"/>
  <c r="K19" i="1" s="1"/>
  <c r="D29" i="1"/>
  <c r="D31" i="1" s="1"/>
  <c r="D35" i="1" s="1"/>
  <c r="O35" i="1" s="1"/>
  <c r="E19" i="1"/>
  <c r="C21" i="1"/>
  <c r="O21" i="1" s="1"/>
  <c r="D3" i="1"/>
  <c r="E3" i="1" s="1"/>
  <c r="F3" i="1" s="1"/>
  <c r="G3" i="1" s="1"/>
  <c r="H3" i="1" s="1"/>
  <c r="I3" i="1" s="1"/>
  <c r="J3" i="1" s="1"/>
  <c r="K3" i="1" s="1"/>
  <c r="L3" i="1" s="1"/>
  <c r="AB25" i="1" l="1"/>
  <c r="AB26" i="1" s="1"/>
  <c r="O4" i="1"/>
  <c r="O33" i="1"/>
  <c r="O13" i="1"/>
  <c r="O23" i="1"/>
  <c r="L19" i="1"/>
  <c r="O19" i="1" s="1"/>
  <c r="O17" i="1"/>
  <c r="O11" i="1"/>
  <c r="O25" i="1"/>
  <c r="O6" i="1"/>
  <c r="O29" i="1"/>
  <c r="O15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<sst xmlns="http://schemas.openxmlformats.org/spreadsheetml/2006/main" count="59" uniqueCount="53">
  <si>
    <t>Ticker</t>
  </si>
  <si>
    <t>Date</t>
  </si>
  <si>
    <t>NFLX</t>
  </si>
  <si>
    <t>Revenue</t>
  </si>
  <si>
    <t>EBITDA</t>
  </si>
  <si>
    <t>ST + LT Debt</t>
  </si>
  <si>
    <t>Excess Cash</t>
  </si>
  <si>
    <t>Q122</t>
  </si>
  <si>
    <t>Q222</t>
  </si>
  <si>
    <t>CS Oustanding</t>
  </si>
  <si>
    <t>Market Cap</t>
  </si>
  <si>
    <t>EV</t>
  </si>
  <si>
    <t>EV/EBTIDA</t>
  </si>
  <si>
    <t>CFO</t>
  </si>
  <si>
    <t>CapEx</t>
  </si>
  <si>
    <t xml:space="preserve">Debt Issuance </t>
  </si>
  <si>
    <t>FCFE</t>
  </si>
  <si>
    <t>FCFE/Shr</t>
  </si>
  <si>
    <t>$/shr</t>
  </si>
  <si>
    <t>FCFE Yield</t>
  </si>
  <si>
    <t>Net Debt/EBITDA</t>
  </si>
  <si>
    <t xml:space="preserve"> </t>
  </si>
  <si>
    <t>Stock split at end between 2012 and 2013, 7 for 1</t>
  </si>
  <si>
    <t>Adj Close</t>
  </si>
  <si>
    <t>Row Labels</t>
  </si>
  <si>
    <t>Grand Total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</si>
  <si>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</si>
  <si>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</si>
  <si>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</si>
  <si>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</si>
  <si>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</si>
  <si>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</si>
  <si>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</si>
  <si>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</si>
  <si>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</si>
  <si>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</si>
  <si>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</si>
  <si>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Average of Adj Close</t>
  </si>
  <si>
    <t>AVG/CAGR</t>
  </si>
  <si>
    <t>EBITDA Multiple Method</t>
  </si>
  <si>
    <t>Multiple</t>
  </si>
  <si>
    <t>Less Debt</t>
  </si>
  <si>
    <t>Add Cash</t>
  </si>
  <si>
    <t>Shares</t>
  </si>
  <si>
    <t>$/SHR</t>
  </si>
  <si>
    <t>FCFE Yield Method</t>
  </si>
  <si>
    <t>FCFE/SHR</t>
  </si>
  <si>
    <t>Estimated Return Calcuation</t>
  </si>
  <si>
    <t>Current share price</t>
  </si>
  <si>
    <t>EBITDA SHR</t>
  </si>
  <si>
    <t>FCFE SHR</t>
  </si>
  <si>
    <t>Average Price</t>
  </si>
  <si>
    <t>Annual Return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</si>
</sst>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65" formatCode="_(&quot;$&quot;* #,##0_);_(&quot;$&quot;* \(#,##0\);_(&quot;$&quot;* &quot;-&quot;??_);_(@_)"/>
  </numFmts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4"/>
      <name val="Calibri"/>
      <family val="2"/>
      <scheme val="minor"/>
    </font>
    <font>
      <b/>
      <sz val="11"/>
      <color theme="4"/>
      <name val="Calibri"/>
      <family val="2"/>
      <scheme val="minor"/>
    </font>
    <font>
      <sz val="11"/>
      <color theme="5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40">
    <xf numFmtId="0" fontId="0" fillId="0" borderId="0" xfId="0"/>
    <xf numFmtId="14" fontId="0" fillId="0" borderId="0" xfId="0" applyNumberFormat="1"/>
    <xf numFmtId="0" fontId="2" fillId="0" borderId="0" xfId="0" applyFont="1"/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42" fontId="0" fillId="0" borderId="0" xfId="0" applyNumberFormat="1"/>
    <xf numFmtId="0" fontId="4" fillId="0" borderId="0" xfId="0" applyFont="1"/>
    <xf numFmtId="3" fontId="0" fillId="0" borderId="0" xfId="0" applyNumberFormat="1"/>
    <xf numFmtId="0" fontId="0" fillId="0" borderId="0" xfId="0" applyFont="1"/>
    <xf numFmtId="42" fontId="0" fillId="0" borderId="0" xfId="0" applyNumberFormat="1" applyFont="1"/>
    <xf numFmtId="42" fontId="0" fillId="4" borderId="0" xfId="0" applyNumberFormat="1" applyFont="1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44" fontId="0" fillId="0" borderId="0" xfId="0" applyNumberFormat="1"/>
    <xf numFmtId="2" fontId="0" fillId="0" borderId="0" xfId="0" applyNumberFormat="1"/>
    <xf numFmtId="42" fontId="0" fillId="4" borderId="0" xfId="0" applyNumberFormat="1" applyFill="1"/>
    <xf numFmtId="10" fontId="0" fillId="0" borderId="0" xfId="1" applyNumberFormat="1" applyFont="1"/>
    <xf numFmtId="0" fontId="1" fillId="5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9" fontId="0" fillId="0" borderId="0" xfId="1" applyFont="1"/>
    <xf numFmtId="9" fontId="5" fillId="0" borderId="0" xfId="1" applyFont="1" applyAlignment="1">
      <alignment horizontal="center"/>
    </xf>
    <xf numFmtId="0" fontId="0" fillId="0" borderId="0" xfId="0" applyAlignment="1">
      <alignment horizontal="center"/>
    </xf>
    <xf numFmtId="44" fontId="0" fillId="0" borderId="0" xfId="0" applyNumberFormat="1" applyAlignment="1">
      <alignment horizontal="center"/>
    </xf>
    <xf numFmtId="0" fontId="4" fillId="0" borderId="0" xfId="0" applyFont="1" applyAlignment="1">
      <alignment horizontal="center"/>
    </xf>
    <xf numFmtId="9" fontId="6" fillId="0" borderId="0" xfId="1" applyFont="1" applyAlignment="1">
      <alignment horizontal="center"/>
    </xf>
    <xf numFmtId="0" fontId="6" fillId="0" borderId="0" xfId="0" applyFont="1" applyAlignment="1">
      <alignment horizontal="center"/>
    </xf>
    <xf numFmtId="2" fontId="6" fillId="0" borderId="0" xfId="0" applyNumberFormat="1" applyFont="1" applyAlignment="1">
      <alignment horizontal="center"/>
    </xf>
    <xf numFmtId="44" fontId="6" fillId="0" borderId="0" xfId="0" applyNumberFormat="1" applyFont="1" applyAlignment="1">
      <alignment horizontal="center"/>
    </xf>
    <xf numFmtId="10" fontId="6" fillId="0" borderId="0" xfId="0" applyNumberFormat="1" applyFont="1" applyAlignment="1">
      <alignment horizontal="center"/>
    </xf>
    <xf numFmtId="0" fontId="1" fillId="7" borderId="0" xfId="0" applyFont="1" applyFill="1" applyAlignment="1">
      <alignment horizontal="center"/>
    </xf>
    <xf numFmtId="165" fontId="0" fillId="0" borderId="0" xfId="0" applyNumberFormat="1"/>
    <xf numFmtId="9" fontId="7" fillId="0" borderId="0" xfId="1" applyFont="1" applyAlignment="1">
      <alignment horizontal="center"/>
    </xf>
    <xf numFmtId="0" fontId="0" fillId="0" borderId="0" xfId="0" applyAlignment="1">
      <alignment horizontal="center"/>
    </xf>
    <xf numFmtId="42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4" fillId="0" borderId="0" xfId="0" applyFont="1" applyAlignment="1">
      <alignment horizontal="left" indent="1"/>
    </xf>
    <xf numFmtId="10" fontId="0" fillId="0" borderId="0" xfId="1" applyNumberFormat="1" applyFont="1" applyAlignment="1">
      <alignment horizontal="center"/>
    </xf>
    <xf numFmtId="0" fontId="4" fillId="0" borderId="1" xfId="0" applyFont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ido" refreshedDate="44843.928823958333" createdVersion="8" refreshedVersion="8" minRefreshableVersion="3" recordCount="131" xr:uid="{81BE97B1-11B7-482F-A49C-2D1A8942A780}">
  <cacheSource type="worksheet">
    <worksheetSource ref="A1:B132" sheet="NFLX"/>
  </cacheSource>
  <cacheFields count="4">
    <cacheField name="Date" numFmtId="14">
      <sharedItems containsSemiMixedTypes="0" containsNonDate="0" containsDate="1" containsString="0" minDate="2012-01-01T00:00:00" maxDate="2022-10-08T00:00:00" count="131">
        <d v="2012-01-01T00:00:00"/>
        <d v="2012-02-01T00:00:00"/>
        <d v="2012-03-01T00:00:00"/>
        <d v="2012-04-01T00:00:00"/>
        <d v="2012-05-01T00:00:00"/>
        <d v="2012-06-01T00:00:00"/>
        <d v="2012-07-01T00:00:00"/>
        <d v="2012-08-01T00:00:00"/>
        <d v="2012-09-01T00:00:00"/>
        <d v="2012-10-01T00:00:00"/>
        <d v="2012-11-01T00:00:00"/>
        <d v="2012-12-01T00:00:00"/>
        <d v="2013-01-01T00:00:00"/>
        <d v="2013-02-01T00:00:00"/>
        <d v="2013-03-01T00:00:00"/>
        <d v="2013-04-01T00:00:00"/>
        <d v="2013-05-01T00:00:00"/>
        <d v="2013-06-01T00:00:00"/>
        <d v="2013-07-01T00:00:00"/>
        <d v="2013-08-01T00:00:00"/>
        <d v="2013-09-01T00:00:00"/>
        <d v="2013-10-01T00:00:00"/>
        <d v="2013-11-01T00:00:00"/>
        <d v="2013-12-01T00:00:00"/>
        <d v="2014-01-01T00:00:00"/>
        <d v="2014-02-01T00:00:00"/>
        <d v="2014-03-01T00:00:00"/>
        <d v="2014-04-01T00:00:00"/>
        <d v="2014-05-01T00:00:00"/>
        <d v="2014-06-01T00:00:00"/>
        <d v="2014-07-01T00:00:00"/>
        <d v="2014-08-01T00:00:00"/>
        <d v="2014-09-01T00:00:00"/>
        <d v="2014-10-01T00:00:00"/>
        <d v="2014-11-01T00:00:00"/>
        <d v="2014-12-01T00:00:00"/>
        <d v="2015-01-01T00:00:00"/>
        <d v="2015-02-01T00:00:00"/>
        <d v="2015-03-01T00:00:00"/>
        <d v="2015-04-01T00:00:00"/>
        <d v="2015-05-01T00:00:00"/>
        <d v="2015-06-01T00:00:00"/>
        <d v="2015-07-01T00:00:00"/>
        <d v="2015-08-01T00:00:00"/>
        <d v="2015-09-01T00:00:00"/>
        <d v="2015-10-01T00:00:00"/>
        <d v="2015-11-01T00:00:00"/>
        <d v="2015-12-01T00:00:00"/>
        <d v="2016-01-01T00:00:00"/>
        <d v="2016-02-01T00:00:00"/>
        <d v="2016-03-01T00:00:00"/>
        <d v="2016-04-01T00:00:00"/>
        <d v="2016-05-01T00:00:00"/>
        <d v="2016-06-01T00:00:00"/>
        <d v="2016-07-01T00:00:00"/>
        <d v="2016-08-01T00:00:00"/>
        <d v="2016-09-01T00:00:00"/>
        <d v="2016-10-01T00:00:00"/>
        <d v="2016-11-01T00:00:00"/>
        <d v="2016-12-01T00:00:00"/>
        <d v="2017-01-01T00:00:00"/>
        <d v="2017-02-01T00:00:00"/>
        <d v="2017-03-01T00:00:00"/>
        <d v="2017-04-01T00:00:00"/>
        <d v="2017-05-01T00:00:00"/>
        <d v="2017-06-01T00:00:00"/>
        <d v="2017-07-01T00:00:00"/>
        <d v="2017-08-01T00:00:00"/>
        <d v="2017-09-01T00:00:00"/>
        <d v="2017-10-01T00:00:00"/>
        <d v="2017-11-01T00:00:00"/>
        <d v="2017-12-01T00:00:00"/>
        <d v="2018-01-01T00:00:00"/>
        <d v="2018-02-01T00:00:00"/>
        <d v="2018-03-01T00:00:00"/>
        <d v="2018-04-01T00:00:00"/>
        <d v="2018-05-01T00:00:00"/>
        <d v="2018-06-01T00:00:00"/>
        <d v="2018-07-01T00:00:00"/>
        <d v="2018-08-01T00:00:00"/>
        <d v="2018-09-01T00:00:00"/>
        <d v="2018-10-01T00:00:00"/>
        <d v="2018-11-01T00:00:00"/>
        <d v="2018-12-01T00:00:00"/>
        <d v="2019-01-01T00:00:00"/>
        <d v="2019-02-01T00:00:00"/>
        <d v="2019-03-01T00:00:00"/>
        <d v="2019-04-01T00:00:00"/>
        <d v="2019-05-01T00:00:00"/>
        <d v="2019-06-01T00:00:00"/>
        <d v="2019-07-01T00:00:00"/>
        <d v="2019-08-01T00:00:00"/>
        <d v="2019-09-01T00:00:00"/>
        <d v="2019-10-01T00:00:00"/>
        <d v="2019-11-01T00:00:00"/>
        <d v="2019-12-01T00:00:00"/>
        <d v="2020-01-01T00:00:00"/>
        <d v="2020-02-01T00:00:00"/>
        <d v="2020-03-01T00:00:00"/>
        <d v="2020-04-01T00:00:00"/>
        <d v="2020-05-01T00:00:00"/>
        <d v="2020-06-01T00:00:00"/>
        <d v="2020-07-01T00:00:00"/>
        <d v="2020-08-01T00:00:00"/>
        <d v="2020-09-01T00:00:00"/>
        <d v="2020-10-01T00:00:00"/>
        <d v="2020-11-01T00:00:00"/>
        <d v="2020-12-01T00:00:00"/>
        <d v="2021-01-01T00:00:00"/>
        <d v="2021-02-01T00:00:00"/>
        <d v="2021-03-01T00:00:00"/>
        <d v="2021-04-01T00:00:00"/>
        <d v="2021-05-01T00:00:00"/>
        <d v="2021-06-01T00:00:00"/>
        <d v="2021-07-01T00:00:00"/>
        <d v="2021-08-01T00:00:00"/>
        <d v="2021-09-01T00:00:00"/>
        <d v="2021-10-01T00:00:00"/>
        <d v="2021-11-01T00:00:00"/>
        <d v="2021-12-01T00:00:00"/>
        <d v="2022-01-01T00:00:00"/>
        <d v="2022-02-01T00:00:00"/>
        <d v="2022-03-01T00:00:00"/>
        <d v="2022-04-01T00:00:00"/>
        <d v="2022-05-01T00:00:00"/>
        <d v="2022-06-01T00:00:00"/>
        <d v="2022-07-01T00:00:00"/>
        <d v="2022-08-01T00:00:00"/>
        <d v="2022-09-01T00:00:00"/>
        <d v="2022-10-01T00:00:00"/>
        <d v="2022-10-07T00:00:00"/>
      </sharedItems>
      <fieldGroup par="3" base="0">
        <rangePr groupBy="months" startDate="2012-01-01T00:00:00" endDate="2022-10-08T00:00:00"/>
        <groupItems count="14">
          <s v="&lt;1/1/2012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0/8/2022"/>
        </groupItems>
      </fieldGroup>
    </cacheField>
    <cacheField name="Adj Close" numFmtId="0">
      <sharedItems containsSemiMixedTypes="0" containsString="0" containsNumber="1" minValue="7.7771429999999997" maxValue="690.30999799999995"/>
    </cacheField>
    <cacheField name="Quarters" numFmtId="0" databaseField="0">
      <fieldGroup base="0">
        <rangePr groupBy="quarters" startDate="2012-01-01T00:00:00" endDate="2022-10-08T00:00:00"/>
        <groupItems count="6">
          <s v="&lt;1/1/2012"/>
          <s v="Qtr1"/>
          <s v="Qtr2"/>
          <s v="Qtr3"/>
          <s v="Qtr4"/>
          <s v="&gt;10/8/2022"/>
        </groupItems>
      </fieldGroup>
    </cacheField>
    <cacheField name="Years" numFmtId="0" databaseField="0">
      <fieldGroup base="0">
        <rangePr groupBy="years" startDate="2012-01-01T00:00:00" endDate="2022-10-08T00:00:00"/>
        <groupItems count="13">
          <s v="&lt;1/1/2012"/>
          <s v="2012"/>
          <s v="2013"/>
          <s v="2014"/>
          <s v="2015"/>
          <s v="2016"/>
          <s v="2017"/>
          <s v="2018"/>
          <s v="2019"/>
          <s v="2020"/>
          <s v="2021"/>
          <s v="2022"/>
          <s v="&gt;10/8/2022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1">
  <r>
    <x v="0"/>
    <n v="17.171429"/>
  </r>
  <r>
    <x v="1"/>
    <n v="15.818571"/>
  </r>
  <r>
    <x v="2"/>
    <n v="16.434286"/>
  </r>
  <r>
    <x v="3"/>
    <n v="11.448570999999999"/>
  </r>
  <r>
    <x v="4"/>
    <n v="9.0628569999999993"/>
  </r>
  <r>
    <x v="5"/>
    <n v="9.7842859999999998"/>
  </r>
  <r>
    <x v="6"/>
    <n v="8.1214289999999991"/>
  </r>
  <r>
    <x v="7"/>
    <n v="8.5314289999999993"/>
  </r>
  <r>
    <x v="8"/>
    <n v="7.7771429999999997"/>
  </r>
  <r>
    <x v="9"/>
    <n v="11.32"/>
  </r>
  <r>
    <x v="10"/>
    <n v="11.672857"/>
  </r>
  <r>
    <x v="11"/>
    <n v="13.227143"/>
  </r>
  <r>
    <x v="12"/>
    <n v="23.605715"/>
  </r>
  <r>
    <x v="13"/>
    <n v="26.868569999999998"/>
  </r>
  <r>
    <x v="14"/>
    <n v="27.040001"/>
  </r>
  <r>
    <x v="15"/>
    <n v="30.867144"/>
  </r>
  <r>
    <x v="16"/>
    <n v="32.321429999999999"/>
  </r>
  <r>
    <x v="17"/>
    <n v="30.155714"/>
  </r>
  <r>
    <x v="18"/>
    <n v="34.925713000000002"/>
  </r>
  <r>
    <x v="19"/>
    <n v="40.558571000000001"/>
  </r>
  <r>
    <x v="20"/>
    <n v="44.172854999999998"/>
  </r>
  <r>
    <x v="21"/>
    <n v="46.068568999999997"/>
  </r>
  <r>
    <x v="22"/>
    <n v="52.257140999999997"/>
  </r>
  <r>
    <x v="23"/>
    <n v="52.595714999999998"/>
  </r>
  <r>
    <x v="24"/>
    <n v="58.475715999999998"/>
  </r>
  <r>
    <x v="25"/>
    <n v="63.661430000000003"/>
  </r>
  <r>
    <x v="26"/>
    <n v="50.290000999999997"/>
  </r>
  <r>
    <x v="27"/>
    <n v="46.005713999999998"/>
  </r>
  <r>
    <x v="28"/>
    <n v="59.689999"/>
  </r>
  <r>
    <x v="29"/>
    <n v="62.942855999999999"/>
  </r>
  <r>
    <x v="30"/>
    <n v="60.388573000000001"/>
  </r>
  <r>
    <x v="31"/>
    <n v="68.234283000000005"/>
  </r>
  <r>
    <x v="32"/>
    <n v="64.454284999999999"/>
  </r>
  <r>
    <x v="33"/>
    <n v="56.110000999999997"/>
  </r>
  <r>
    <x v="34"/>
    <n v="49.512855999999999"/>
  </r>
  <r>
    <x v="35"/>
    <n v="48.801430000000003"/>
  </r>
  <r>
    <x v="36"/>
    <n v="63.114285000000002"/>
  </r>
  <r>
    <x v="37"/>
    <n v="67.844284000000002"/>
  </r>
  <r>
    <x v="38"/>
    <n v="59.527141999999998"/>
  </r>
  <r>
    <x v="39"/>
    <n v="79.5"/>
  </r>
  <r>
    <x v="40"/>
    <n v="89.151427999999996"/>
  </r>
  <r>
    <x v="41"/>
    <n v="93.848572000000004"/>
  </r>
  <r>
    <x v="42"/>
    <n v="114.30999799999999"/>
  </r>
  <r>
    <x v="43"/>
    <n v="115.029999"/>
  </r>
  <r>
    <x v="44"/>
    <n v="103.260002"/>
  </r>
  <r>
    <x v="45"/>
    <n v="108.379997"/>
  </r>
  <r>
    <x v="46"/>
    <n v="123.33000199999999"/>
  </r>
  <r>
    <x v="47"/>
    <n v="114.379997"/>
  </r>
  <r>
    <x v="48"/>
    <n v="91.839995999999999"/>
  </r>
  <r>
    <x v="49"/>
    <n v="93.410004000000001"/>
  </r>
  <r>
    <x v="50"/>
    <n v="102.230003"/>
  </r>
  <r>
    <x v="51"/>
    <n v="90.029999000000004"/>
  </r>
  <r>
    <x v="52"/>
    <n v="102.57"/>
  </r>
  <r>
    <x v="53"/>
    <n v="91.480002999999996"/>
  </r>
  <r>
    <x v="54"/>
    <n v="91.25"/>
  </r>
  <r>
    <x v="55"/>
    <n v="97.449996999999996"/>
  </r>
  <r>
    <x v="56"/>
    <n v="98.550003000000004"/>
  </r>
  <r>
    <x v="57"/>
    <n v="124.870003"/>
  </r>
  <r>
    <x v="58"/>
    <n v="117"/>
  </r>
  <r>
    <x v="59"/>
    <n v="123.800003"/>
  </r>
  <r>
    <x v="60"/>
    <n v="140.71000699999999"/>
  </r>
  <r>
    <x v="61"/>
    <n v="142.13000500000001"/>
  </r>
  <r>
    <x v="62"/>
    <n v="147.80999800000001"/>
  </r>
  <r>
    <x v="63"/>
    <n v="152.199997"/>
  </r>
  <r>
    <x v="64"/>
    <n v="163.070007"/>
  </r>
  <r>
    <x v="65"/>
    <n v="149.41000399999999"/>
  </r>
  <r>
    <x v="66"/>
    <n v="181.66000399999999"/>
  </r>
  <r>
    <x v="67"/>
    <n v="174.71000699999999"/>
  </r>
  <r>
    <x v="68"/>
    <n v="181.35000600000001"/>
  </r>
  <r>
    <x v="69"/>
    <n v="196.429993"/>
  </r>
  <r>
    <x v="70"/>
    <n v="187.58000200000001"/>
  </r>
  <r>
    <x v="71"/>
    <n v="191.96000699999999"/>
  </r>
  <r>
    <x v="72"/>
    <n v="270.29998799999998"/>
  </r>
  <r>
    <x v="73"/>
    <n v="291.38000499999998"/>
  </r>
  <r>
    <x v="74"/>
    <n v="295.35000600000001"/>
  </r>
  <r>
    <x v="75"/>
    <n v="312.459991"/>
  </r>
  <r>
    <x v="76"/>
    <n v="351.60000600000001"/>
  </r>
  <r>
    <x v="77"/>
    <n v="391.42999300000002"/>
  </r>
  <r>
    <x v="78"/>
    <n v="337.45001200000002"/>
  </r>
  <r>
    <x v="79"/>
    <n v="367.67999300000002"/>
  </r>
  <r>
    <x v="80"/>
    <n v="374.13000499999998"/>
  </r>
  <r>
    <x v="81"/>
    <n v="301.77999899999998"/>
  </r>
  <r>
    <x v="82"/>
    <n v="286.13000499999998"/>
  </r>
  <r>
    <x v="83"/>
    <n v="267.66000400000001"/>
  </r>
  <r>
    <x v="84"/>
    <n v="339.5"/>
  </r>
  <r>
    <x v="85"/>
    <n v="358.10000600000001"/>
  </r>
  <r>
    <x v="86"/>
    <n v="356.55999800000001"/>
  </r>
  <r>
    <x v="87"/>
    <n v="370.540009"/>
  </r>
  <r>
    <x v="88"/>
    <n v="343.27999899999998"/>
  </r>
  <r>
    <x v="89"/>
    <n v="367.32000699999998"/>
  </r>
  <r>
    <x v="90"/>
    <n v="322.98998999999998"/>
  </r>
  <r>
    <x v="91"/>
    <n v="293.75"/>
  </r>
  <r>
    <x v="92"/>
    <n v="267.61999500000002"/>
  </r>
  <r>
    <x v="93"/>
    <n v="287.41000400000001"/>
  </r>
  <r>
    <x v="94"/>
    <n v="314.66000400000001"/>
  </r>
  <r>
    <x v="95"/>
    <n v="323.57000699999998"/>
  </r>
  <r>
    <x v="96"/>
    <n v="345.08999599999999"/>
  </r>
  <r>
    <x v="97"/>
    <n v="369.02999899999998"/>
  </r>
  <r>
    <x v="98"/>
    <n v="375.5"/>
  </r>
  <r>
    <x v="99"/>
    <n v="419.85000600000001"/>
  </r>
  <r>
    <x v="100"/>
    <n v="419.73001099999999"/>
  </r>
  <r>
    <x v="101"/>
    <n v="455.040009"/>
  </r>
  <r>
    <x v="102"/>
    <n v="488.88000499999998"/>
  </r>
  <r>
    <x v="103"/>
    <n v="529.55999799999995"/>
  </r>
  <r>
    <x v="104"/>
    <n v="500.02999899999998"/>
  </r>
  <r>
    <x v="105"/>
    <n v="475.73998999999998"/>
  </r>
  <r>
    <x v="106"/>
    <n v="490.70001200000002"/>
  </r>
  <r>
    <x v="107"/>
    <n v="540.72997999999995"/>
  </r>
  <r>
    <x v="108"/>
    <n v="532.39001499999995"/>
  </r>
  <r>
    <x v="109"/>
    <n v="538.84997599999997"/>
  </r>
  <r>
    <x v="110"/>
    <n v="521.65997300000004"/>
  </r>
  <r>
    <x v="111"/>
    <n v="513.46997099999999"/>
  </r>
  <r>
    <x v="112"/>
    <n v="502.80999800000001"/>
  </r>
  <r>
    <x v="113"/>
    <n v="528.21002199999998"/>
  </r>
  <r>
    <x v="114"/>
    <n v="517.57000700000003"/>
  </r>
  <r>
    <x v="115"/>
    <n v="569.19000200000005"/>
  </r>
  <r>
    <x v="116"/>
    <n v="610.34002699999996"/>
  </r>
  <r>
    <x v="117"/>
    <n v="690.30999799999995"/>
  </r>
  <r>
    <x v="118"/>
    <n v="641.90002400000003"/>
  </r>
  <r>
    <x v="119"/>
    <n v="602.44000200000005"/>
  </r>
  <r>
    <x v="120"/>
    <n v="427.14001500000001"/>
  </r>
  <r>
    <x v="121"/>
    <n v="394.51998900000001"/>
  </r>
  <r>
    <x v="122"/>
    <n v="374.58999599999999"/>
  </r>
  <r>
    <x v="123"/>
    <n v="190.36000100000001"/>
  </r>
  <r>
    <x v="124"/>
    <n v="197.44000199999999"/>
  </r>
  <r>
    <x v="125"/>
    <n v="174.86999499999999"/>
  </r>
  <r>
    <x v="126"/>
    <n v="224.89999399999999"/>
  </r>
  <r>
    <x v="127"/>
    <n v="223.55999800000001"/>
  </r>
  <r>
    <x v="128"/>
    <n v="235.44000199999999"/>
  </r>
  <r>
    <x v="129"/>
    <n v="224.75"/>
  </r>
  <r>
    <x v="130"/>
    <n v="224.7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C27AE5-3C89-4754-8F42-98ADFA2A70C4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5" firstHeaderRow="1" firstDataRow="1" firstDataCol="1"/>
  <pivotFields count="4">
    <pivotField axis="axisRow"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dataField="1" showAll="0"/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t="default"/>
      </items>
    </pivotField>
  </pivotFields>
  <rowFields count="3">
    <field x="3"/>
    <field x="2"/>
    <field x="0"/>
  </rowFields>
  <rowItems count="12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Average of Adj Close" fld="1" subtotal="average" baseField="3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F095E5-901A-4CA3-ABEF-F53277523792}">
  <dimension ref="A1:AD37"/>
  <sheetViews>
    <sheetView showGridLines="0" tabSelected="1" workbookViewId="0">
      <pane xSplit="1" topLeftCell="L1" activePane="topRight" state="frozen"/>
      <selection activeCell="A3" sqref="A3"/>
      <selection pane="topRight" activeCell="W17" sqref="W17"/>
    </sheetView>
  </sheetViews>
  <sheetFormatPr defaultRowHeight="15" x14ac:dyDescent="0.25"/>
  <cols>
    <col min="1" max="1" width="16.28515625" bestFit="1" customWidth="1"/>
    <col min="3" max="3" width="14.42578125" bestFit="1" customWidth="1"/>
    <col min="4" max="7" width="12.5703125" bestFit="1" customWidth="1"/>
    <col min="8" max="8" width="13.140625" bestFit="1" customWidth="1"/>
    <col min="9" max="13" width="13.7109375" bestFit="1" customWidth="1"/>
    <col min="14" max="14" width="12.5703125" bestFit="1" customWidth="1"/>
    <col min="15" max="15" width="12.5703125" style="24" customWidth="1"/>
    <col min="16" max="25" width="12.5703125" bestFit="1" customWidth="1"/>
    <col min="27" max="27" width="13.28515625" bestFit="1" customWidth="1"/>
    <col min="28" max="28" width="16.28515625" bestFit="1" customWidth="1"/>
    <col min="29" max="29" width="15.28515625" bestFit="1" customWidth="1"/>
    <col min="30" max="30" width="10.7109375" bestFit="1" customWidth="1"/>
  </cols>
  <sheetData>
    <row r="1" spans="1:29" x14ac:dyDescent="0.25">
      <c r="A1" t="s">
        <v>0</v>
      </c>
      <c r="C1" t="s">
        <v>1</v>
      </c>
      <c r="D1" s="1">
        <v>44661</v>
      </c>
    </row>
    <row r="2" spans="1:29" ht="26.25" x14ac:dyDescent="0.4">
      <c r="A2" s="2" t="s">
        <v>2</v>
      </c>
    </row>
    <row r="3" spans="1:29" x14ac:dyDescent="0.25">
      <c r="C3" s="3">
        <v>2012</v>
      </c>
      <c r="D3" s="3">
        <f>C3+1</f>
        <v>2013</v>
      </c>
      <c r="E3" s="3">
        <f t="shared" ref="E3:L3" si="0">D3+1</f>
        <v>2014</v>
      </c>
      <c r="F3" s="3">
        <f t="shared" si="0"/>
        <v>2015</v>
      </c>
      <c r="G3" s="3">
        <f t="shared" si="0"/>
        <v>2016</v>
      </c>
      <c r="H3" s="3">
        <f t="shared" si="0"/>
        <v>2017</v>
      </c>
      <c r="I3" s="3">
        <f t="shared" si="0"/>
        <v>2018</v>
      </c>
      <c r="J3" s="3">
        <f t="shared" si="0"/>
        <v>2019</v>
      </c>
      <c r="K3" s="3">
        <f t="shared" si="0"/>
        <v>2020</v>
      </c>
      <c r="L3" s="3">
        <f t="shared" si="0"/>
        <v>2021</v>
      </c>
      <c r="M3" s="4" t="s">
        <v>7</v>
      </c>
      <c r="N3" s="4" t="s">
        <v>8</v>
      </c>
      <c r="O3" s="19" t="s">
        <v>38</v>
      </c>
      <c r="P3" s="18">
        <v>2022</v>
      </c>
      <c r="Q3" s="18">
        <f>P3+1</f>
        <v>2023</v>
      </c>
      <c r="R3" s="18">
        <f t="shared" ref="R3:Y3" si="1">Q3+1</f>
        <v>2024</v>
      </c>
      <c r="S3" s="18">
        <f t="shared" si="1"/>
        <v>2025</v>
      </c>
      <c r="T3" s="30">
        <f t="shared" si="1"/>
        <v>2026</v>
      </c>
      <c r="U3" s="18">
        <f t="shared" si="1"/>
        <v>2027</v>
      </c>
      <c r="V3" s="18">
        <f t="shared" si="1"/>
        <v>2028</v>
      </c>
      <c r="W3" s="18">
        <f t="shared" si="1"/>
        <v>2029</v>
      </c>
      <c r="X3" s="18">
        <f t="shared" si="1"/>
        <v>2030</v>
      </c>
      <c r="Y3" s="18">
        <f t="shared" si="1"/>
        <v>2031</v>
      </c>
      <c r="AA3" s="39" t="s">
        <v>39</v>
      </c>
      <c r="AB3" s="39"/>
      <c r="AC3" s="39"/>
    </row>
    <row r="4" spans="1:29" x14ac:dyDescent="0.25">
      <c r="A4" s="8" t="s">
        <v>3</v>
      </c>
      <c r="B4" s="8"/>
      <c r="C4" s="9">
        <v>3609282</v>
      </c>
      <c r="D4" s="9">
        <v>4374562</v>
      </c>
      <c r="E4" s="9">
        <v>5504656</v>
      </c>
      <c r="F4" s="9">
        <v>6779511</v>
      </c>
      <c r="G4" s="9">
        <v>8830669</v>
      </c>
      <c r="H4" s="9">
        <v>11692713</v>
      </c>
      <c r="I4" s="9">
        <v>15794341</v>
      </c>
      <c r="J4" s="9">
        <v>20156447</v>
      </c>
      <c r="K4" s="9">
        <v>24996056</v>
      </c>
      <c r="L4" s="9">
        <v>29697844</v>
      </c>
      <c r="M4" s="8">
        <v>7867767</v>
      </c>
      <c r="N4" s="8">
        <v>7970141</v>
      </c>
      <c r="O4" s="25">
        <f>(L4/C4)^(1/($L$3-$C$3))-1</f>
        <v>0.26386432790138903</v>
      </c>
      <c r="AA4" s="6"/>
      <c r="AB4" s="24">
        <v>2026</v>
      </c>
      <c r="AC4" s="24">
        <v>2031</v>
      </c>
    </row>
    <row r="5" spans="1:29" x14ac:dyDescent="0.25">
      <c r="O5" s="26"/>
      <c r="AA5" s="6" t="s">
        <v>4</v>
      </c>
      <c r="AB5" s="36">
        <f>T6</f>
        <v>35624233.620690018</v>
      </c>
      <c r="AC5" s="36">
        <f>Y6</f>
        <v>57373184.488457501</v>
      </c>
    </row>
    <row r="6" spans="1:29" x14ac:dyDescent="0.25">
      <c r="A6" s="8" t="s">
        <v>4</v>
      </c>
      <c r="B6" s="8"/>
      <c r="C6" s="9">
        <f>49992+1591218+65396+45469</f>
        <v>1752075</v>
      </c>
      <c r="D6" s="9">
        <f>228347+2121981+71325+73100</f>
        <v>2494753</v>
      </c>
      <c r="E6" s="9">
        <f>402648+2656279+71491+54028</f>
        <v>3184446</v>
      </c>
      <c r="F6" s="9">
        <f>305826+3405382+79380+62283</f>
        <v>3852871</v>
      </c>
      <c r="G6" s="9">
        <f>379793+4788498+78952+57528</f>
        <v>5304771</v>
      </c>
      <c r="H6" s="9">
        <f>838679+6197817+60657+71911</f>
        <v>7169064</v>
      </c>
      <c r="I6" s="10">
        <f>1605226+7532088+83157+41212</f>
        <v>9261683</v>
      </c>
      <c r="J6" s="10">
        <f>2604254+9216247+103579</f>
        <v>11924080</v>
      </c>
      <c r="K6" s="10">
        <f>4585289+10806912+115710</f>
        <v>15507911</v>
      </c>
      <c r="L6" s="10">
        <f>6278014+12230367+208412</f>
        <v>18716793</v>
      </c>
      <c r="M6" s="8">
        <f>1971626+74602+3166365</f>
        <v>5212593</v>
      </c>
      <c r="N6" s="8">
        <f>1578283+83505</f>
        <v>1661788</v>
      </c>
      <c r="O6" s="25">
        <f>(L6/C6)^(1/($L$3-$C$3))-1</f>
        <v>0.30106093834171177</v>
      </c>
      <c r="P6" s="5">
        <f>L6*(1+P7)</f>
        <v>24331830.900000002</v>
      </c>
      <c r="Q6" s="31">
        <f>P6*(1+Q7)</f>
        <v>26765013.990000006</v>
      </c>
      <c r="R6" s="31">
        <f t="shared" ref="R6:Y6" si="2">Q6*(1+R7)</f>
        <v>29441515.38900001</v>
      </c>
      <c r="S6" s="31">
        <f t="shared" si="2"/>
        <v>32385666.927900013</v>
      </c>
      <c r="T6" s="31">
        <f t="shared" si="2"/>
        <v>35624233.620690018</v>
      </c>
      <c r="U6" s="31">
        <f t="shared" si="2"/>
        <v>39186656.982759021</v>
      </c>
      <c r="V6" s="31">
        <f t="shared" si="2"/>
        <v>43105322.68103493</v>
      </c>
      <c r="W6" s="31">
        <f t="shared" si="2"/>
        <v>47415854.949138425</v>
      </c>
      <c r="X6" s="31">
        <f t="shared" si="2"/>
        <v>52157440.444052272</v>
      </c>
      <c r="Y6" s="31">
        <f t="shared" si="2"/>
        <v>57373184.488457501</v>
      </c>
      <c r="AA6" s="6" t="s">
        <v>40</v>
      </c>
      <c r="AB6" s="22">
        <v>10</v>
      </c>
      <c r="AC6" s="22">
        <v>10</v>
      </c>
    </row>
    <row r="7" spans="1:29" x14ac:dyDescent="0.25">
      <c r="A7" s="8"/>
      <c r="B7" s="8"/>
      <c r="C7" s="9"/>
      <c r="D7" s="21">
        <f>D6/C6-1</f>
        <v>0.42388482228215119</v>
      </c>
      <c r="E7" s="21">
        <f>E6/D6-1</f>
        <v>0.2764574288516739</v>
      </c>
      <c r="F7" s="21">
        <f>F6/E6-1</f>
        <v>0.20990307262236518</v>
      </c>
      <c r="G7" s="21">
        <f>G6/F6-1</f>
        <v>0.37683587122434159</v>
      </c>
      <c r="H7" s="21">
        <f>H6/G6-1</f>
        <v>0.351437036584614</v>
      </c>
      <c r="I7" s="21">
        <f>I6/H6-1</f>
        <v>0.29189570632930595</v>
      </c>
      <c r="J7" s="21">
        <f>J6/I6-1</f>
        <v>0.28746362837078321</v>
      </c>
      <c r="K7" s="21">
        <f>K6/J6-1</f>
        <v>0.30055408886891066</v>
      </c>
      <c r="L7" s="21">
        <f>L6/K6-1</f>
        <v>0.20691903635505771</v>
      </c>
      <c r="M7" s="8"/>
      <c r="N7" s="8"/>
      <c r="O7" s="25">
        <f>AVERAGE(D7:L7)</f>
        <v>0.30281674349880039</v>
      </c>
      <c r="P7" s="32">
        <v>0.3</v>
      </c>
      <c r="Q7" s="32">
        <v>0.1</v>
      </c>
      <c r="R7" s="32">
        <v>0.1</v>
      </c>
      <c r="S7" s="32">
        <v>0.1</v>
      </c>
      <c r="T7" s="32">
        <v>0.1</v>
      </c>
      <c r="U7" s="32">
        <v>0.1</v>
      </c>
      <c r="V7" s="32">
        <v>0.1</v>
      </c>
      <c r="W7" s="32">
        <v>0.1</v>
      </c>
      <c r="X7" s="32">
        <v>0.1</v>
      </c>
      <c r="Y7" s="32">
        <v>0.1</v>
      </c>
      <c r="AA7" s="6" t="s">
        <v>11</v>
      </c>
      <c r="AB7" s="36">
        <f>AB5*AB6</f>
        <v>356242336.20690018</v>
      </c>
      <c r="AC7" s="36">
        <f t="shared" ref="AC7" si="3">AC5*AC6</f>
        <v>573731844.88457501</v>
      </c>
    </row>
    <row r="8" spans="1:29" x14ac:dyDescent="0.25">
      <c r="O8" s="26"/>
      <c r="AA8" s="37" t="s">
        <v>41</v>
      </c>
      <c r="AB8" s="34">
        <f>N11</f>
        <v>14233303</v>
      </c>
      <c r="AC8" s="33"/>
    </row>
    <row r="9" spans="1:29" x14ac:dyDescent="0.25">
      <c r="A9" t="s">
        <v>6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 s="26"/>
      <c r="AA9" s="37" t="s">
        <v>42</v>
      </c>
      <c r="AB9" s="33">
        <f>N9</f>
        <v>0</v>
      </c>
      <c r="AC9" s="33"/>
    </row>
    <row r="10" spans="1:29" x14ac:dyDescent="0.25">
      <c r="O10" s="26"/>
      <c r="AA10" s="6" t="s">
        <v>10</v>
      </c>
      <c r="AB10" s="36">
        <f>AB7-AB8+AB9</f>
        <v>342009033.20690018</v>
      </c>
      <c r="AC10" s="36">
        <f t="shared" ref="AC10" si="4">AC7-AC8+AC9</f>
        <v>573731844.88457501</v>
      </c>
    </row>
    <row r="11" spans="1:29" x14ac:dyDescent="0.25">
      <c r="A11" t="s">
        <v>5</v>
      </c>
      <c r="C11" s="5">
        <f>200000+200000</f>
        <v>400000</v>
      </c>
      <c r="D11" s="5">
        <v>500000</v>
      </c>
      <c r="E11" s="5">
        <v>1575832</v>
      </c>
      <c r="F11" s="5">
        <v>2026360</v>
      </c>
      <c r="G11" s="5">
        <v>3364311</v>
      </c>
      <c r="H11" s="5">
        <v>6499432</v>
      </c>
      <c r="I11" s="5">
        <v>10360058</v>
      </c>
      <c r="J11" s="5">
        <v>14759260</v>
      </c>
      <c r="K11" s="5">
        <f>499878+15809095</f>
        <v>16308973</v>
      </c>
      <c r="L11" s="5">
        <f>699823+14693027</f>
        <v>15392850</v>
      </c>
      <c r="M11" s="5">
        <v>14534561</v>
      </c>
      <c r="N11" s="5">
        <v>14233303</v>
      </c>
      <c r="O11" s="25">
        <f>(L11/C11)^(1/($L$3-$C$3))-1</f>
        <v>0.50016798853801214</v>
      </c>
      <c r="Q11" s="20"/>
      <c r="AA11" s="6" t="s">
        <v>43</v>
      </c>
      <c r="AB11" s="35">
        <f>N13</f>
        <v>450109</v>
      </c>
      <c r="AC11" s="33"/>
    </row>
    <row r="12" spans="1:29" x14ac:dyDescent="0.25">
      <c r="O12" s="26"/>
      <c r="AA12" s="6" t="s">
        <v>44</v>
      </c>
      <c r="AB12" s="23">
        <f>AB10/AB11</f>
        <v>759.83602462270289</v>
      </c>
      <c r="AC12" s="23">
        <f>AC10/AB11</f>
        <v>1274.6509065239197</v>
      </c>
    </row>
    <row r="13" spans="1:29" x14ac:dyDescent="0.25">
      <c r="A13" t="s">
        <v>9</v>
      </c>
      <c r="C13" s="7">
        <f>58904*7</f>
        <v>412328</v>
      </c>
      <c r="D13" s="7">
        <v>425327</v>
      </c>
      <c r="E13" s="7">
        <v>431894</v>
      </c>
      <c r="F13" s="7">
        <v>436456</v>
      </c>
      <c r="G13" s="7">
        <v>438652</v>
      </c>
      <c r="H13" s="7">
        <v>446814</v>
      </c>
      <c r="I13" s="7">
        <v>451244</v>
      </c>
      <c r="J13" s="7">
        <v>451765</v>
      </c>
      <c r="K13" s="7">
        <v>454208</v>
      </c>
      <c r="L13" s="7">
        <v>455372</v>
      </c>
      <c r="M13" s="7">
        <v>452984</v>
      </c>
      <c r="N13" s="7">
        <v>450109</v>
      </c>
      <c r="O13" s="25">
        <f>(L13/C13)^(1/($L$3-$C$3))-1</f>
        <v>1.1093921529016892E-2</v>
      </c>
    </row>
    <row r="14" spans="1:29" x14ac:dyDescent="0.25">
      <c r="O14" s="26"/>
      <c r="AA14" s="39" t="s">
        <v>45</v>
      </c>
      <c r="AB14" s="39"/>
      <c r="AC14" s="39"/>
    </row>
    <row r="15" spans="1:29" x14ac:dyDescent="0.25">
      <c r="A15" t="s">
        <v>10</v>
      </c>
      <c r="C15" s="5">
        <f>C13*C33</f>
        <v>4823206.8143606661</v>
      </c>
      <c r="D15" s="5">
        <f t="shared" ref="D15:L15" si="5">D13*D33</f>
        <v>15646261.132843833</v>
      </c>
      <c r="E15" s="5">
        <f t="shared" si="5"/>
        <v>24782334.840894669</v>
      </c>
      <c r="F15" s="5">
        <f t="shared" si="5"/>
        <v>41160554.328161336</v>
      </c>
      <c r="G15" s="5">
        <f t="shared" si="5"/>
        <v>44760050.48209767</v>
      </c>
      <c r="H15" s="5">
        <f t="shared" si="5"/>
        <v>74804856.567676485</v>
      </c>
      <c r="I15" s="5">
        <f t="shared" si="5"/>
        <v>144674467.21322566</v>
      </c>
      <c r="J15" s="5">
        <f t="shared" si="5"/>
        <v>148529038.59029457</v>
      </c>
      <c r="K15" s="5">
        <f t="shared" si="5"/>
        <v>204767564.77592</v>
      </c>
      <c r="L15" s="5">
        <f t="shared" si="5"/>
        <v>256873068.909215</v>
      </c>
      <c r="M15" s="5"/>
      <c r="O15" s="25">
        <f>(L15/C15)^(1/($L$3-$C$3))-1</f>
        <v>0.55532194180124517</v>
      </c>
      <c r="AA15" s="6"/>
      <c r="AB15" s="24">
        <v>2026</v>
      </c>
      <c r="AC15" s="24">
        <v>2031</v>
      </c>
    </row>
    <row r="16" spans="1:29" x14ac:dyDescent="0.25">
      <c r="O16" s="26"/>
      <c r="AA16" s="6" t="s">
        <v>46</v>
      </c>
      <c r="AB16" s="23">
        <f>T31</f>
        <v>2.5793683636026294</v>
      </c>
      <c r="AC16" s="23">
        <f>Y31</f>
        <v>4.1540985432656727</v>
      </c>
    </row>
    <row r="17" spans="1:30" x14ac:dyDescent="0.25">
      <c r="A17" t="s">
        <v>11</v>
      </c>
      <c r="C17" s="5">
        <f>C15+C11-C9</f>
        <v>5223206.8143606661</v>
      </c>
      <c r="D17" s="5">
        <f t="shared" ref="D17:L17" si="6">D15+D11-D9</f>
        <v>16146261.132843833</v>
      </c>
      <c r="E17" s="5">
        <f t="shared" si="6"/>
        <v>26358166.840894669</v>
      </c>
      <c r="F17" s="5">
        <f t="shared" si="6"/>
        <v>43186914.328161336</v>
      </c>
      <c r="G17" s="5">
        <f t="shared" si="6"/>
        <v>48124361.48209767</v>
      </c>
      <c r="H17" s="5">
        <f t="shared" si="6"/>
        <v>81304288.567676485</v>
      </c>
      <c r="I17" s="5">
        <f t="shared" si="6"/>
        <v>155034525.21322566</v>
      </c>
      <c r="J17" s="5">
        <f t="shared" si="6"/>
        <v>163288298.59029457</v>
      </c>
      <c r="K17" s="5">
        <f t="shared" si="6"/>
        <v>221076537.77592</v>
      </c>
      <c r="L17" s="5">
        <f t="shared" si="6"/>
        <v>272265918.90921497</v>
      </c>
      <c r="O17" s="25">
        <f>(L17/C17)^(1/($L$3-$C$3))-1</f>
        <v>0.55161513282636188</v>
      </c>
      <c r="AA17" s="6" t="s">
        <v>19</v>
      </c>
      <c r="AB17" s="38">
        <v>0.01</v>
      </c>
      <c r="AC17" s="38">
        <v>0.01</v>
      </c>
    </row>
    <row r="18" spans="1:30" x14ac:dyDescent="0.25">
      <c r="O18" s="26"/>
      <c r="AA18" s="6" t="s">
        <v>44</v>
      </c>
      <c r="AB18" s="23">
        <f>AB16/AB17</f>
        <v>257.93683636026293</v>
      </c>
      <c r="AC18" s="23">
        <f>AC16/AC17</f>
        <v>415.40985432656726</v>
      </c>
    </row>
    <row r="19" spans="1:30" x14ac:dyDescent="0.25">
      <c r="A19" t="s">
        <v>12</v>
      </c>
      <c r="C19" s="15">
        <f>C17/C6</f>
        <v>2.9811548103595258</v>
      </c>
      <c r="D19" s="15">
        <f>D17/D6</f>
        <v>6.4720880715821698</v>
      </c>
      <c r="E19" s="15">
        <f>E17/E6</f>
        <v>8.2771593052275563</v>
      </c>
      <c r="F19" s="15">
        <f>F17/F6</f>
        <v>11.209021617427974</v>
      </c>
      <c r="G19" s="15">
        <f>G17/G6</f>
        <v>9.0719017808869928</v>
      </c>
      <c r="H19" s="15">
        <f>H17/H6</f>
        <v>11.340990758023151</v>
      </c>
      <c r="I19" s="15">
        <f>I17/I6</f>
        <v>16.739346964609528</v>
      </c>
      <c r="J19" s="15">
        <f>J17/J6</f>
        <v>13.693995561107823</v>
      </c>
      <c r="K19" s="15">
        <f>K17/K6</f>
        <v>14.255726498296257</v>
      </c>
      <c r="L19" s="15">
        <f>L17/L6</f>
        <v>14.546611639569608</v>
      </c>
      <c r="N19" t="s">
        <v>21</v>
      </c>
      <c r="O19" s="27">
        <f>AVERAGE(C19:L19)</f>
        <v>10.858799700709058</v>
      </c>
    </row>
    <row r="20" spans="1:30" x14ac:dyDescent="0.25">
      <c r="C20" s="15"/>
      <c r="D20" s="15"/>
      <c r="E20" s="15"/>
      <c r="F20" s="15"/>
      <c r="G20" s="15"/>
      <c r="H20" s="15"/>
      <c r="I20" s="15"/>
      <c r="J20" s="15"/>
      <c r="K20" s="15"/>
      <c r="L20" s="15"/>
      <c r="O20" s="26"/>
      <c r="AA20" s="39" t="s">
        <v>47</v>
      </c>
      <c r="AB20" s="39"/>
      <c r="AC20" s="39"/>
    </row>
    <row r="21" spans="1:30" x14ac:dyDescent="0.25">
      <c r="A21" t="s">
        <v>20</v>
      </c>
      <c r="C21" s="15">
        <f>C11/C6</f>
        <v>0.22830072913545368</v>
      </c>
      <c r="D21" s="15">
        <f>D11/D6</f>
        <v>0.2004206428452035</v>
      </c>
      <c r="E21" s="15">
        <f>E11/E6</f>
        <v>0.49485279386116143</v>
      </c>
      <c r="F21" s="15">
        <f>F11/F6</f>
        <v>0.52593507542816775</v>
      </c>
      <c r="G21" s="15">
        <f>G11/G6</f>
        <v>0.63420475643529195</v>
      </c>
      <c r="H21" s="15">
        <f>H11/H6</f>
        <v>0.90659422206301965</v>
      </c>
      <c r="I21" s="15">
        <f>I11/I6</f>
        <v>1.118593456502452</v>
      </c>
      <c r="J21" s="15">
        <f>J11/J6</f>
        <v>1.2377692870225627</v>
      </c>
      <c r="K21" s="15">
        <f>K11/K6</f>
        <v>1.0516550552811401</v>
      </c>
      <c r="L21" s="15">
        <f>L11/L6</f>
        <v>0.82240851838239593</v>
      </c>
      <c r="O21" s="27">
        <f>AVERAGE(C21:L21)</f>
        <v>0.72207345369568487</v>
      </c>
      <c r="AA21" s="6" t="s">
        <v>48</v>
      </c>
      <c r="AC21" s="5">
        <v>219</v>
      </c>
      <c r="AD21" s="1">
        <v>44875</v>
      </c>
    </row>
    <row r="22" spans="1:30" x14ac:dyDescent="0.25">
      <c r="O22" s="26"/>
      <c r="AA22" s="6"/>
      <c r="AB22" s="22">
        <v>2026</v>
      </c>
      <c r="AC22" s="22">
        <v>2031</v>
      </c>
    </row>
    <row r="23" spans="1:30" x14ac:dyDescent="0.25">
      <c r="A23" t="s">
        <v>13</v>
      </c>
      <c r="C23" s="5">
        <v>21586</v>
      </c>
      <c r="D23" s="5">
        <v>97931</v>
      </c>
      <c r="E23" s="5">
        <v>16483</v>
      </c>
      <c r="F23" s="5">
        <v>-749439</v>
      </c>
      <c r="G23" s="5">
        <v>-1473984</v>
      </c>
      <c r="H23" s="5">
        <v>-1785948</v>
      </c>
      <c r="I23" s="5">
        <v>-2680479</v>
      </c>
      <c r="J23" s="5">
        <v>-2887322</v>
      </c>
      <c r="K23" s="5">
        <v>2427077</v>
      </c>
      <c r="L23" s="5">
        <v>392610</v>
      </c>
      <c r="M23" s="5">
        <v>922839</v>
      </c>
      <c r="N23" s="5">
        <f>102750-M23</f>
        <v>-820089</v>
      </c>
      <c r="O23" s="25">
        <f>(L23/C23)^(1/($L$3-$C$3))-1</f>
        <v>0.38030981468960423</v>
      </c>
      <c r="AA23" s="6" t="s">
        <v>49</v>
      </c>
      <c r="AB23" s="14">
        <f>AB12</f>
        <v>759.83602462270289</v>
      </c>
      <c r="AC23" s="14">
        <f t="shared" ref="AC23" si="7">AC12</f>
        <v>1274.6509065239197</v>
      </c>
    </row>
    <row r="24" spans="1:30" x14ac:dyDescent="0.25">
      <c r="O24" s="26"/>
      <c r="AA24" s="6" t="s">
        <v>50</v>
      </c>
      <c r="AB24" s="14">
        <f>AB18</f>
        <v>257.93683636026293</v>
      </c>
      <c r="AC24" s="14">
        <f t="shared" ref="AC24" si="8">AC18</f>
        <v>415.40985432656726</v>
      </c>
    </row>
    <row r="25" spans="1:30" x14ac:dyDescent="0.25">
      <c r="A25" t="s">
        <v>14</v>
      </c>
      <c r="C25" s="5">
        <f>-48275-40278</f>
        <v>-88553</v>
      </c>
      <c r="D25" s="5">
        <f>-65927-54143</f>
        <v>-120070</v>
      </c>
      <c r="E25" s="5">
        <f>-74790-69726</f>
        <v>-144516</v>
      </c>
      <c r="F25" s="5">
        <f>-77958-91248</f>
        <v>-169206</v>
      </c>
      <c r="G25" s="5">
        <f>-77177-107653</f>
        <v>-184830</v>
      </c>
      <c r="H25" s="5">
        <f>-173302-53720</f>
        <v>-227022</v>
      </c>
      <c r="I25" s="16">
        <f>-173946-38586</f>
        <v>-212532</v>
      </c>
      <c r="J25" s="16">
        <v>-253035</v>
      </c>
      <c r="K25" s="16">
        <v>-497923</v>
      </c>
      <c r="L25" s="16">
        <v>-524585</v>
      </c>
      <c r="M25" s="5">
        <v>-121158</v>
      </c>
      <c r="N25" s="5">
        <f>-90018-M25</f>
        <v>31140</v>
      </c>
      <c r="O25" s="25">
        <f>(L25/C25)^(1/($L$3-$C$3))-1</f>
        <v>0.2185569843823969</v>
      </c>
      <c r="AA25" s="6" t="s">
        <v>51</v>
      </c>
      <c r="AB25" s="14">
        <f>AVERAGE(AB23:AB24)</f>
        <v>508.88643049148288</v>
      </c>
      <c r="AC25" s="14">
        <f t="shared" ref="AC25" si="9">AVERAGE(AC23:AC24)</f>
        <v>845.03038042524349</v>
      </c>
    </row>
    <row r="26" spans="1:30" x14ac:dyDescent="0.25">
      <c r="O26" s="26"/>
      <c r="AA26" s="6" t="s">
        <v>52</v>
      </c>
      <c r="AB26" s="20">
        <f>(AB25/$AC$21)^(1/5)-1</f>
        <v>0.18368283863900214</v>
      </c>
      <c r="AC26" s="20">
        <f>(AC25/AC21)^(1/10)-1</f>
        <v>0.1445712182653478</v>
      </c>
    </row>
    <row r="27" spans="1:30" x14ac:dyDescent="0.25">
      <c r="A27" t="s">
        <v>15</v>
      </c>
      <c r="C27" s="5">
        <v>-295</v>
      </c>
      <c r="D27" s="5">
        <f>500000-219362</f>
        <v>280638</v>
      </c>
      <c r="E27" s="5">
        <v>400000</v>
      </c>
      <c r="F27" s="5">
        <v>1500000</v>
      </c>
      <c r="G27" s="5">
        <v>1000000</v>
      </c>
      <c r="H27" s="5">
        <v>3020510</v>
      </c>
      <c r="I27" s="5">
        <v>3961852</v>
      </c>
      <c r="J27" s="5">
        <v>4469406</v>
      </c>
      <c r="K27" s="5">
        <v>1009464</v>
      </c>
      <c r="L27" s="5">
        <v>-500000</v>
      </c>
      <c r="M27" s="5">
        <v>-700000</v>
      </c>
      <c r="N27" s="5">
        <v>0</v>
      </c>
      <c r="O27" s="25"/>
    </row>
    <row r="28" spans="1:30" x14ac:dyDescent="0.25">
      <c r="O28" s="26"/>
    </row>
    <row r="29" spans="1:30" x14ac:dyDescent="0.25">
      <c r="A29" t="s">
        <v>16</v>
      </c>
      <c r="C29" s="5">
        <f>C27+C25+C23</f>
        <v>-67262</v>
      </c>
      <c r="D29" s="5">
        <f t="shared" ref="D29:L29" si="10">D27+D25+D23</f>
        <v>258499</v>
      </c>
      <c r="E29" s="5">
        <f t="shared" si="10"/>
        <v>271967</v>
      </c>
      <c r="F29" s="5">
        <f t="shared" si="10"/>
        <v>581355</v>
      </c>
      <c r="G29" s="5">
        <f t="shared" si="10"/>
        <v>-658814</v>
      </c>
      <c r="H29" s="5">
        <f t="shared" si="10"/>
        <v>1007540</v>
      </c>
      <c r="I29" s="5">
        <f t="shared" si="10"/>
        <v>1068841</v>
      </c>
      <c r="J29" s="5">
        <f t="shared" si="10"/>
        <v>1329049</v>
      </c>
      <c r="K29" s="5">
        <f t="shared" si="10"/>
        <v>2938618</v>
      </c>
      <c r="L29" s="5">
        <f t="shared" si="10"/>
        <v>-631975</v>
      </c>
      <c r="M29" s="5"/>
      <c r="N29" s="5"/>
      <c r="O29" s="25">
        <f>(L29/C29)^(1/($L$3-$C$3))-1</f>
        <v>0.2826357687331118</v>
      </c>
    </row>
    <row r="30" spans="1:30" x14ac:dyDescent="0.25">
      <c r="O30" s="26"/>
    </row>
    <row r="31" spans="1:30" x14ac:dyDescent="0.25">
      <c r="A31" t="s">
        <v>17</v>
      </c>
      <c r="C31" s="14">
        <f>C29/C13</f>
        <v>-0.16312741312741313</v>
      </c>
      <c r="D31" s="14">
        <f t="shared" ref="D31:L31" si="11">D29/D13</f>
        <v>0.60776531938955203</v>
      </c>
      <c r="E31" s="14">
        <f t="shared" si="11"/>
        <v>0.62970775236516363</v>
      </c>
      <c r="F31" s="14">
        <f t="shared" si="11"/>
        <v>1.3319899371299742</v>
      </c>
      <c r="G31" s="14">
        <f t="shared" si="11"/>
        <v>-1.5019058387970419</v>
      </c>
      <c r="H31" s="14">
        <f t="shared" si="11"/>
        <v>2.2549427726078415</v>
      </c>
      <c r="I31" s="14">
        <f t="shared" si="11"/>
        <v>2.3686542092526439</v>
      </c>
      <c r="J31" s="14">
        <f t="shared" si="11"/>
        <v>2.941903423239959</v>
      </c>
      <c r="K31" s="14">
        <f t="shared" si="11"/>
        <v>6.4697627518669858</v>
      </c>
      <c r="L31" s="14">
        <f t="shared" si="11"/>
        <v>-1.3878213855924386</v>
      </c>
      <c r="O31" s="28">
        <f>AVERAGE(C31:L31)</f>
        <v>1.3551871528335226</v>
      </c>
      <c r="P31" s="14">
        <f>O31*(1+P32)</f>
        <v>1.7617432986835795</v>
      </c>
      <c r="Q31" s="14">
        <f t="shared" ref="Q31:Y31" si="12">P31*(1+Q32)</f>
        <v>1.9379176285519375</v>
      </c>
      <c r="R31" s="14">
        <f t="shared" si="12"/>
        <v>2.1317093914071314</v>
      </c>
      <c r="S31" s="14">
        <f t="shared" si="12"/>
        <v>2.3448803305478449</v>
      </c>
      <c r="T31" s="14">
        <f t="shared" si="12"/>
        <v>2.5793683636026294</v>
      </c>
      <c r="U31" s="14">
        <f t="shared" si="12"/>
        <v>2.8373051999628927</v>
      </c>
      <c r="V31" s="14">
        <f t="shared" si="12"/>
        <v>3.1210357199591821</v>
      </c>
      <c r="W31" s="14">
        <f t="shared" si="12"/>
        <v>3.4331392919551007</v>
      </c>
      <c r="X31" s="14">
        <f t="shared" si="12"/>
        <v>3.7764532211506112</v>
      </c>
      <c r="Y31" s="14">
        <f t="shared" si="12"/>
        <v>4.1540985432656727</v>
      </c>
    </row>
    <row r="32" spans="1:30" x14ac:dyDescent="0.25">
      <c r="O32" s="26"/>
      <c r="P32" s="32">
        <v>0.3</v>
      </c>
      <c r="Q32" s="32">
        <v>0.1</v>
      </c>
      <c r="R32" s="32">
        <v>0.1</v>
      </c>
      <c r="S32" s="32">
        <v>0.1</v>
      </c>
      <c r="T32" s="32">
        <v>0.1</v>
      </c>
      <c r="U32" s="32">
        <v>0.1</v>
      </c>
      <c r="V32" s="32">
        <v>0.1</v>
      </c>
      <c r="W32" s="32">
        <v>0.1</v>
      </c>
      <c r="X32" s="32">
        <v>0.1</v>
      </c>
      <c r="Y32" s="32">
        <v>0.1</v>
      </c>
    </row>
    <row r="33" spans="1:15" x14ac:dyDescent="0.25">
      <c r="A33" t="s">
        <v>18</v>
      </c>
      <c r="C33" s="5">
        <v>11.697500083333333</v>
      </c>
      <c r="D33" s="5">
        <v>36.786428166666667</v>
      </c>
      <c r="E33" s="5">
        <v>57.380595333333339</v>
      </c>
      <c r="F33" s="5">
        <v>94.306308833333333</v>
      </c>
      <c r="G33" s="5">
        <v>102.04000091666667</v>
      </c>
      <c r="H33" s="5">
        <v>167.41833641666662</v>
      </c>
      <c r="I33" s="5">
        <v>320.61250058333331</v>
      </c>
      <c r="J33" s="5">
        <v>328.77500158333328</v>
      </c>
      <c r="K33" s="5">
        <v>450.82333375000002</v>
      </c>
      <c r="L33" s="5">
        <v>564.09500125</v>
      </c>
      <c r="M33" s="5"/>
      <c r="O33" s="25">
        <f>(L33/C33)^(1/($L$3-$C$3))-1</f>
        <v>0.53825664330888734</v>
      </c>
    </row>
    <row r="34" spans="1:15" x14ac:dyDescent="0.25">
      <c r="O34" s="26"/>
    </row>
    <row r="35" spans="1:15" x14ac:dyDescent="0.25">
      <c r="A35" t="s">
        <v>19</v>
      </c>
      <c r="C35" s="17">
        <f>C31/C33</f>
        <v>-1.3945493649522434E-2</v>
      </c>
      <c r="D35" s="17">
        <f t="shared" ref="D35:L35" si="13">D31/D33</f>
        <v>1.652145504956274E-2</v>
      </c>
      <c r="E35" s="17">
        <f t="shared" si="13"/>
        <v>1.0974228285835786E-2</v>
      </c>
      <c r="F35" s="17">
        <f t="shared" si="13"/>
        <v>1.4124080918955144E-2</v>
      </c>
      <c r="G35" s="17">
        <f t="shared" si="13"/>
        <v>-1.4718794838345876E-2</v>
      </c>
      <c r="H35" s="17">
        <f t="shared" si="13"/>
        <v>1.3468911595177937E-2</v>
      </c>
      <c r="I35" s="17">
        <f t="shared" si="13"/>
        <v>7.387903481439537E-3</v>
      </c>
      <c r="J35" s="17">
        <f t="shared" si="13"/>
        <v>8.9480751549606084E-3</v>
      </c>
      <c r="K35" s="17">
        <f t="shared" si="13"/>
        <v>1.43509935434148E-2</v>
      </c>
      <c r="L35" s="17">
        <f t="shared" si="13"/>
        <v>-2.4602618043363467E-3</v>
      </c>
      <c r="O35" s="29">
        <f>AVERAGE(C35:L35)</f>
        <v>5.4651097737141892E-3</v>
      </c>
    </row>
    <row r="37" spans="1:15" x14ac:dyDescent="0.25">
      <c r="A37" s="6" t="s">
        <v>22</v>
      </c>
    </row>
  </sheetData>
  <mergeCells count="6">
    <mergeCell ref="AA20:AC20"/>
    <mergeCell ref="AA3:AC3"/>
    <mergeCell ref="AB8:AC8"/>
    <mergeCell ref="AB9:AC9"/>
    <mergeCell ref="AB11:AC11"/>
    <mergeCell ref="AA14:AC14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DF884E-B952-4192-8A6F-C79AE2D01B15}">
  <dimension ref="A3:N15"/>
  <sheetViews>
    <sheetView workbookViewId="0">
      <selection activeCell="M4" sqref="D4:M4"/>
    </sheetView>
  </sheetViews>
  <sheetFormatPr defaultRowHeight="15" x14ac:dyDescent="0.25"/>
  <cols>
    <col min="1" max="1" width="13.140625" bestFit="1" customWidth="1"/>
    <col min="2" max="2" width="19.5703125" bestFit="1" customWidth="1"/>
    <col min="4" max="4" width="12" bestFit="1" customWidth="1"/>
  </cols>
  <sheetData>
    <row r="3" spans="1:14" x14ac:dyDescent="0.25">
      <c r="A3" s="11" t="s">
        <v>24</v>
      </c>
      <c r="B3" t="s">
        <v>37</v>
      </c>
    </row>
    <row r="4" spans="1:14" x14ac:dyDescent="0.25">
      <c r="A4" s="12" t="s">
        <v>26</v>
      </c>
      <c r="B4" s="13">
        <v>11.697500083333333</v>
      </c>
      <c r="D4" cm="1">
        <f t="array" ref="D4:N4">TRANSPOSE(B4:B14)</f>
        <v>11.697500083333333</v>
      </c>
      <c r="E4">
        <v>36.786428166666667</v>
      </c>
      <c r="F4">
        <v>57.380595333333339</v>
      </c>
      <c r="G4">
        <v>94.306308833333333</v>
      </c>
      <c r="H4">
        <v>102.04000091666667</v>
      </c>
      <c r="I4">
        <v>167.41833641666662</v>
      </c>
      <c r="J4">
        <v>320.61250058333331</v>
      </c>
      <c r="K4">
        <v>328.77500158333328</v>
      </c>
      <c r="L4">
        <v>450.82333375000002</v>
      </c>
      <c r="M4">
        <v>564.09500125</v>
      </c>
      <c r="N4">
        <v>262.9381810909091</v>
      </c>
    </row>
    <row r="5" spans="1:14" x14ac:dyDescent="0.25">
      <c r="A5" s="12" t="s">
        <v>27</v>
      </c>
      <c r="B5" s="13">
        <v>36.786428166666667</v>
      </c>
    </row>
    <row r="6" spans="1:14" x14ac:dyDescent="0.25">
      <c r="A6" s="12" t="s">
        <v>28</v>
      </c>
      <c r="B6" s="13">
        <v>57.380595333333339</v>
      </c>
    </row>
    <row r="7" spans="1:14" x14ac:dyDescent="0.25">
      <c r="A7" s="12" t="s">
        <v>29</v>
      </c>
      <c r="B7" s="13">
        <v>94.306308833333333</v>
      </c>
    </row>
    <row r="8" spans="1:14" x14ac:dyDescent="0.25">
      <c r="A8" s="12" t="s">
        <v>30</v>
      </c>
      <c r="B8" s="13">
        <v>102.04000091666667</v>
      </c>
    </row>
    <row r="9" spans="1:14" x14ac:dyDescent="0.25">
      <c r="A9" s="12" t="s">
        <v>31</v>
      </c>
      <c r="B9" s="13">
        <v>167.41833641666662</v>
      </c>
    </row>
    <row r="10" spans="1:14" x14ac:dyDescent="0.25">
      <c r="A10" s="12" t="s">
        <v>32</v>
      </c>
      <c r="B10" s="13">
        <v>320.61250058333331</v>
      </c>
    </row>
    <row r="11" spans="1:14" x14ac:dyDescent="0.25">
      <c r="A11" s="12" t="s">
        <v>33</v>
      </c>
      <c r="B11" s="13">
        <v>328.77500158333328</v>
      </c>
    </row>
    <row r="12" spans="1:14" x14ac:dyDescent="0.25">
      <c r="A12" s="12" t="s">
        <v>34</v>
      </c>
      <c r="B12" s="13">
        <v>450.82333375000002</v>
      </c>
    </row>
    <row r="13" spans="1:14" x14ac:dyDescent="0.25">
      <c r="A13" s="12" t="s">
        <v>35</v>
      </c>
      <c r="B13" s="13">
        <v>564.09500125</v>
      </c>
    </row>
    <row r="14" spans="1:14" x14ac:dyDescent="0.25">
      <c r="A14" s="12" t="s">
        <v>36</v>
      </c>
      <c r="B14" s="13">
        <v>262.9381810909091</v>
      </c>
    </row>
    <row r="15" spans="1:14" x14ac:dyDescent="0.25">
      <c r="A15" s="12" t="s">
        <v>25</v>
      </c>
      <c r="B15" s="13">
        <v>217.55374103053435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BA8A7C-0EE0-4A04-BE80-89AB1CD89426}">
  <dimension ref="A1:B132"/>
  <sheetViews>
    <sheetView workbookViewId="0">
      <selection activeCell="D8" sqref="D8"/>
    </sheetView>
  </sheetViews>
  <sheetFormatPr defaultRowHeight="15" x14ac:dyDescent="0.25"/>
  <cols>
    <col min="1" max="1" width="10" bestFit="1" customWidth="1"/>
    <col min="2" max="5" width="11.42578125" bestFit="1" customWidth="1"/>
    <col min="7" max="7" width="11.42578125" bestFit="1" customWidth="1"/>
  </cols>
  <sheetData>
    <row r="1" spans="1:2" x14ac:dyDescent="0.25">
      <c r="A1" t="s">
        <v>1</v>
      </c>
      <c r="B1" t="s">
        <v>23</v>
      </c>
    </row>
    <row r="2" spans="1:2" x14ac:dyDescent="0.25">
      <c r="A2" s="1">
        <v>40909</v>
      </c>
      <c r="B2">
        <v>17.171429</v>
      </c>
    </row>
    <row r="3" spans="1:2" x14ac:dyDescent="0.25">
      <c r="A3" s="1">
        <v>40940</v>
      </c>
      <c r="B3">
        <v>15.818571</v>
      </c>
    </row>
    <row r="4" spans="1:2" x14ac:dyDescent="0.25">
      <c r="A4" s="1">
        <v>40969</v>
      </c>
      <c r="B4">
        <v>16.434286</v>
      </c>
    </row>
    <row r="5" spans="1:2" x14ac:dyDescent="0.25">
      <c r="A5" s="1">
        <v>41000</v>
      </c>
      <c r="B5">
        <v>11.448570999999999</v>
      </c>
    </row>
    <row r="6" spans="1:2" x14ac:dyDescent="0.25">
      <c r="A6" s="1">
        <v>41030</v>
      </c>
      <c r="B6">
        <v>9.0628569999999993</v>
      </c>
    </row>
    <row r="7" spans="1:2" x14ac:dyDescent="0.25">
      <c r="A7" s="1">
        <v>41061</v>
      </c>
      <c r="B7">
        <v>9.7842859999999998</v>
      </c>
    </row>
    <row r="8" spans="1:2" x14ac:dyDescent="0.25">
      <c r="A8" s="1">
        <v>41091</v>
      </c>
      <c r="B8">
        <v>8.1214289999999991</v>
      </c>
    </row>
    <row r="9" spans="1:2" x14ac:dyDescent="0.25">
      <c r="A9" s="1">
        <v>41122</v>
      </c>
      <c r="B9">
        <v>8.5314289999999993</v>
      </c>
    </row>
    <row r="10" spans="1:2" x14ac:dyDescent="0.25">
      <c r="A10" s="1">
        <v>41153</v>
      </c>
      <c r="B10">
        <v>7.7771429999999997</v>
      </c>
    </row>
    <row r="11" spans="1:2" x14ac:dyDescent="0.25">
      <c r="A11" s="1">
        <v>41183</v>
      </c>
      <c r="B11">
        <v>11.32</v>
      </c>
    </row>
    <row r="12" spans="1:2" x14ac:dyDescent="0.25">
      <c r="A12" s="1">
        <v>41214</v>
      </c>
      <c r="B12">
        <v>11.672857</v>
      </c>
    </row>
    <row r="13" spans="1:2" x14ac:dyDescent="0.25">
      <c r="A13" s="1">
        <v>41244</v>
      </c>
      <c r="B13">
        <v>13.227143</v>
      </c>
    </row>
    <row r="14" spans="1:2" x14ac:dyDescent="0.25">
      <c r="A14" s="1">
        <v>41275</v>
      </c>
      <c r="B14">
        <v>23.605715</v>
      </c>
    </row>
    <row r="15" spans="1:2" x14ac:dyDescent="0.25">
      <c r="A15" s="1">
        <v>41306</v>
      </c>
      <c r="B15">
        <v>26.868569999999998</v>
      </c>
    </row>
    <row r="16" spans="1:2" x14ac:dyDescent="0.25">
      <c r="A16" s="1">
        <v>41334</v>
      </c>
      <c r="B16">
        <v>27.040001</v>
      </c>
    </row>
    <row r="17" spans="1:2" x14ac:dyDescent="0.25">
      <c r="A17" s="1">
        <v>41365</v>
      </c>
      <c r="B17">
        <v>30.867144</v>
      </c>
    </row>
    <row r="18" spans="1:2" x14ac:dyDescent="0.25">
      <c r="A18" s="1">
        <v>41395</v>
      </c>
      <c r="B18">
        <v>32.321429999999999</v>
      </c>
    </row>
    <row r="19" spans="1:2" x14ac:dyDescent="0.25">
      <c r="A19" s="1">
        <v>41426</v>
      </c>
      <c r="B19">
        <v>30.155714</v>
      </c>
    </row>
    <row r="20" spans="1:2" x14ac:dyDescent="0.25">
      <c r="A20" s="1">
        <v>41456</v>
      </c>
      <c r="B20">
        <v>34.925713000000002</v>
      </c>
    </row>
    <row r="21" spans="1:2" x14ac:dyDescent="0.25">
      <c r="A21" s="1">
        <v>41487</v>
      </c>
      <c r="B21">
        <v>40.558571000000001</v>
      </c>
    </row>
    <row r="22" spans="1:2" x14ac:dyDescent="0.25">
      <c r="A22" s="1">
        <v>41518</v>
      </c>
      <c r="B22">
        <v>44.172854999999998</v>
      </c>
    </row>
    <row r="23" spans="1:2" x14ac:dyDescent="0.25">
      <c r="A23" s="1">
        <v>41548</v>
      </c>
      <c r="B23">
        <v>46.068568999999997</v>
      </c>
    </row>
    <row r="24" spans="1:2" x14ac:dyDescent="0.25">
      <c r="A24" s="1">
        <v>41579</v>
      </c>
      <c r="B24">
        <v>52.257140999999997</v>
      </c>
    </row>
    <row r="25" spans="1:2" x14ac:dyDescent="0.25">
      <c r="A25" s="1">
        <v>41609</v>
      </c>
      <c r="B25">
        <v>52.595714999999998</v>
      </c>
    </row>
    <row r="26" spans="1:2" x14ac:dyDescent="0.25">
      <c r="A26" s="1">
        <v>41640</v>
      </c>
      <c r="B26">
        <v>58.475715999999998</v>
      </c>
    </row>
    <row r="27" spans="1:2" x14ac:dyDescent="0.25">
      <c r="A27" s="1">
        <v>41671</v>
      </c>
      <c r="B27">
        <v>63.661430000000003</v>
      </c>
    </row>
    <row r="28" spans="1:2" x14ac:dyDescent="0.25">
      <c r="A28" s="1">
        <v>41699</v>
      </c>
      <c r="B28">
        <v>50.290000999999997</v>
      </c>
    </row>
    <row r="29" spans="1:2" x14ac:dyDescent="0.25">
      <c r="A29" s="1">
        <v>41730</v>
      </c>
      <c r="B29">
        <v>46.005713999999998</v>
      </c>
    </row>
    <row r="30" spans="1:2" x14ac:dyDescent="0.25">
      <c r="A30" s="1">
        <v>41760</v>
      </c>
      <c r="B30">
        <v>59.689999</v>
      </c>
    </row>
    <row r="31" spans="1:2" x14ac:dyDescent="0.25">
      <c r="A31" s="1">
        <v>41791</v>
      </c>
      <c r="B31">
        <v>62.942855999999999</v>
      </c>
    </row>
    <row r="32" spans="1:2" x14ac:dyDescent="0.25">
      <c r="A32" s="1">
        <v>41821</v>
      </c>
      <c r="B32">
        <v>60.388573000000001</v>
      </c>
    </row>
    <row r="33" spans="1:2" x14ac:dyDescent="0.25">
      <c r="A33" s="1">
        <v>41852</v>
      </c>
      <c r="B33">
        <v>68.234283000000005</v>
      </c>
    </row>
    <row r="34" spans="1:2" x14ac:dyDescent="0.25">
      <c r="A34" s="1">
        <v>41883</v>
      </c>
      <c r="B34">
        <v>64.454284999999999</v>
      </c>
    </row>
    <row r="35" spans="1:2" x14ac:dyDescent="0.25">
      <c r="A35" s="1">
        <v>41913</v>
      </c>
      <c r="B35">
        <v>56.110000999999997</v>
      </c>
    </row>
    <row r="36" spans="1:2" x14ac:dyDescent="0.25">
      <c r="A36" s="1">
        <v>41944</v>
      </c>
      <c r="B36">
        <v>49.512855999999999</v>
      </c>
    </row>
    <row r="37" spans="1:2" x14ac:dyDescent="0.25">
      <c r="A37" s="1">
        <v>41974</v>
      </c>
      <c r="B37">
        <v>48.801430000000003</v>
      </c>
    </row>
    <row r="38" spans="1:2" x14ac:dyDescent="0.25">
      <c r="A38" s="1">
        <v>42005</v>
      </c>
      <c r="B38">
        <v>63.114285000000002</v>
      </c>
    </row>
    <row r="39" spans="1:2" x14ac:dyDescent="0.25">
      <c r="A39" s="1">
        <v>42036</v>
      </c>
      <c r="B39">
        <v>67.844284000000002</v>
      </c>
    </row>
    <row r="40" spans="1:2" x14ac:dyDescent="0.25">
      <c r="A40" s="1">
        <v>42064</v>
      </c>
      <c r="B40">
        <v>59.527141999999998</v>
      </c>
    </row>
    <row r="41" spans="1:2" x14ac:dyDescent="0.25">
      <c r="A41" s="1">
        <v>42095</v>
      </c>
      <c r="B41">
        <v>79.5</v>
      </c>
    </row>
    <row r="42" spans="1:2" x14ac:dyDescent="0.25">
      <c r="A42" s="1">
        <v>42125</v>
      </c>
      <c r="B42">
        <v>89.151427999999996</v>
      </c>
    </row>
    <row r="43" spans="1:2" x14ac:dyDescent="0.25">
      <c r="A43" s="1">
        <v>42156</v>
      </c>
      <c r="B43">
        <v>93.848572000000004</v>
      </c>
    </row>
    <row r="44" spans="1:2" x14ac:dyDescent="0.25">
      <c r="A44" s="1">
        <v>42186</v>
      </c>
      <c r="B44">
        <v>114.30999799999999</v>
      </c>
    </row>
    <row r="45" spans="1:2" x14ac:dyDescent="0.25">
      <c r="A45" s="1">
        <v>42217</v>
      </c>
      <c r="B45">
        <v>115.029999</v>
      </c>
    </row>
    <row r="46" spans="1:2" x14ac:dyDescent="0.25">
      <c r="A46" s="1">
        <v>42248</v>
      </c>
      <c r="B46">
        <v>103.260002</v>
      </c>
    </row>
    <row r="47" spans="1:2" x14ac:dyDescent="0.25">
      <c r="A47" s="1">
        <v>42278</v>
      </c>
      <c r="B47">
        <v>108.379997</v>
      </c>
    </row>
    <row r="48" spans="1:2" x14ac:dyDescent="0.25">
      <c r="A48" s="1">
        <v>42309</v>
      </c>
      <c r="B48">
        <v>123.33000199999999</v>
      </c>
    </row>
    <row r="49" spans="1:2" x14ac:dyDescent="0.25">
      <c r="A49" s="1">
        <v>42339</v>
      </c>
      <c r="B49">
        <v>114.379997</v>
      </c>
    </row>
    <row r="50" spans="1:2" x14ac:dyDescent="0.25">
      <c r="A50" s="1">
        <v>42370</v>
      </c>
      <c r="B50">
        <v>91.839995999999999</v>
      </c>
    </row>
    <row r="51" spans="1:2" x14ac:dyDescent="0.25">
      <c r="A51" s="1">
        <v>42401</v>
      </c>
      <c r="B51">
        <v>93.410004000000001</v>
      </c>
    </row>
    <row r="52" spans="1:2" x14ac:dyDescent="0.25">
      <c r="A52" s="1">
        <v>42430</v>
      </c>
      <c r="B52">
        <v>102.230003</v>
      </c>
    </row>
    <row r="53" spans="1:2" x14ac:dyDescent="0.25">
      <c r="A53" s="1">
        <v>42461</v>
      </c>
      <c r="B53">
        <v>90.029999000000004</v>
      </c>
    </row>
    <row r="54" spans="1:2" x14ac:dyDescent="0.25">
      <c r="A54" s="1">
        <v>42491</v>
      </c>
      <c r="B54">
        <v>102.57</v>
      </c>
    </row>
    <row r="55" spans="1:2" x14ac:dyDescent="0.25">
      <c r="A55" s="1">
        <v>42522</v>
      </c>
      <c r="B55">
        <v>91.480002999999996</v>
      </c>
    </row>
    <row r="56" spans="1:2" x14ac:dyDescent="0.25">
      <c r="A56" s="1">
        <v>42552</v>
      </c>
      <c r="B56">
        <v>91.25</v>
      </c>
    </row>
    <row r="57" spans="1:2" x14ac:dyDescent="0.25">
      <c r="A57" s="1">
        <v>42583</v>
      </c>
      <c r="B57">
        <v>97.449996999999996</v>
      </c>
    </row>
    <row r="58" spans="1:2" x14ac:dyDescent="0.25">
      <c r="A58" s="1">
        <v>42614</v>
      </c>
      <c r="B58">
        <v>98.550003000000004</v>
      </c>
    </row>
    <row r="59" spans="1:2" x14ac:dyDescent="0.25">
      <c r="A59" s="1">
        <v>42644</v>
      </c>
      <c r="B59">
        <v>124.870003</v>
      </c>
    </row>
    <row r="60" spans="1:2" x14ac:dyDescent="0.25">
      <c r="A60" s="1">
        <v>42675</v>
      </c>
      <c r="B60">
        <v>117</v>
      </c>
    </row>
    <row r="61" spans="1:2" x14ac:dyDescent="0.25">
      <c r="A61" s="1">
        <v>42705</v>
      </c>
      <c r="B61">
        <v>123.800003</v>
      </c>
    </row>
    <row r="62" spans="1:2" x14ac:dyDescent="0.25">
      <c r="A62" s="1">
        <v>42736</v>
      </c>
      <c r="B62">
        <v>140.71000699999999</v>
      </c>
    </row>
    <row r="63" spans="1:2" x14ac:dyDescent="0.25">
      <c r="A63" s="1">
        <v>42767</v>
      </c>
      <c r="B63">
        <v>142.13000500000001</v>
      </c>
    </row>
    <row r="64" spans="1:2" x14ac:dyDescent="0.25">
      <c r="A64" s="1">
        <v>42795</v>
      </c>
      <c r="B64">
        <v>147.80999800000001</v>
      </c>
    </row>
    <row r="65" spans="1:2" x14ac:dyDescent="0.25">
      <c r="A65" s="1">
        <v>42826</v>
      </c>
      <c r="B65">
        <v>152.199997</v>
      </c>
    </row>
    <row r="66" spans="1:2" x14ac:dyDescent="0.25">
      <c r="A66" s="1">
        <v>42856</v>
      </c>
      <c r="B66">
        <v>163.070007</v>
      </c>
    </row>
    <row r="67" spans="1:2" x14ac:dyDescent="0.25">
      <c r="A67" s="1">
        <v>42887</v>
      </c>
      <c r="B67">
        <v>149.41000399999999</v>
      </c>
    </row>
    <row r="68" spans="1:2" x14ac:dyDescent="0.25">
      <c r="A68" s="1">
        <v>42917</v>
      </c>
      <c r="B68">
        <v>181.66000399999999</v>
      </c>
    </row>
    <row r="69" spans="1:2" x14ac:dyDescent="0.25">
      <c r="A69" s="1">
        <v>42948</v>
      </c>
      <c r="B69">
        <v>174.71000699999999</v>
      </c>
    </row>
    <row r="70" spans="1:2" x14ac:dyDescent="0.25">
      <c r="A70" s="1">
        <v>42979</v>
      </c>
      <c r="B70">
        <v>181.35000600000001</v>
      </c>
    </row>
    <row r="71" spans="1:2" x14ac:dyDescent="0.25">
      <c r="A71" s="1">
        <v>43009</v>
      </c>
      <c r="B71">
        <v>196.429993</v>
      </c>
    </row>
    <row r="72" spans="1:2" x14ac:dyDescent="0.25">
      <c r="A72" s="1">
        <v>43040</v>
      </c>
      <c r="B72">
        <v>187.58000200000001</v>
      </c>
    </row>
    <row r="73" spans="1:2" x14ac:dyDescent="0.25">
      <c r="A73" s="1">
        <v>43070</v>
      </c>
      <c r="B73">
        <v>191.96000699999999</v>
      </c>
    </row>
    <row r="74" spans="1:2" x14ac:dyDescent="0.25">
      <c r="A74" s="1">
        <v>43101</v>
      </c>
      <c r="B74">
        <v>270.29998799999998</v>
      </c>
    </row>
    <row r="75" spans="1:2" x14ac:dyDescent="0.25">
      <c r="A75" s="1">
        <v>43132</v>
      </c>
      <c r="B75">
        <v>291.38000499999998</v>
      </c>
    </row>
    <row r="76" spans="1:2" x14ac:dyDescent="0.25">
      <c r="A76" s="1">
        <v>43160</v>
      </c>
      <c r="B76">
        <v>295.35000600000001</v>
      </c>
    </row>
    <row r="77" spans="1:2" x14ac:dyDescent="0.25">
      <c r="A77" s="1">
        <v>43191</v>
      </c>
      <c r="B77">
        <v>312.459991</v>
      </c>
    </row>
    <row r="78" spans="1:2" x14ac:dyDescent="0.25">
      <c r="A78" s="1">
        <v>43221</v>
      </c>
      <c r="B78">
        <v>351.60000600000001</v>
      </c>
    </row>
    <row r="79" spans="1:2" x14ac:dyDescent="0.25">
      <c r="A79" s="1">
        <v>43252</v>
      </c>
      <c r="B79">
        <v>391.42999300000002</v>
      </c>
    </row>
    <row r="80" spans="1:2" x14ac:dyDescent="0.25">
      <c r="A80" s="1">
        <v>43282</v>
      </c>
      <c r="B80">
        <v>337.45001200000002</v>
      </c>
    </row>
    <row r="81" spans="1:2" x14ac:dyDescent="0.25">
      <c r="A81" s="1">
        <v>43313</v>
      </c>
      <c r="B81">
        <v>367.67999300000002</v>
      </c>
    </row>
    <row r="82" spans="1:2" x14ac:dyDescent="0.25">
      <c r="A82" s="1">
        <v>43344</v>
      </c>
      <c r="B82">
        <v>374.13000499999998</v>
      </c>
    </row>
    <row r="83" spans="1:2" x14ac:dyDescent="0.25">
      <c r="A83" s="1">
        <v>43374</v>
      </c>
      <c r="B83">
        <v>301.77999899999998</v>
      </c>
    </row>
    <row r="84" spans="1:2" x14ac:dyDescent="0.25">
      <c r="A84" s="1">
        <v>43405</v>
      </c>
      <c r="B84">
        <v>286.13000499999998</v>
      </c>
    </row>
    <row r="85" spans="1:2" x14ac:dyDescent="0.25">
      <c r="A85" s="1">
        <v>43435</v>
      </c>
      <c r="B85">
        <v>267.66000400000001</v>
      </c>
    </row>
    <row r="86" spans="1:2" x14ac:dyDescent="0.25">
      <c r="A86" s="1">
        <v>43466</v>
      </c>
      <c r="B86">
        <v>339.5</v>
      </c>
    </row>
    <row r="87" spans="1:2" x14ac:dyDescent="0.25">
      <c r="A87" s="1">
        <v>43497</v>
      </c>
      <c r="B87">
        <v>358.10000600000001</v>
      </c>
    </row>
    <row r="88" spans="1:2" x14ac:dyDescent="0.25">
      <c r="A88" s="1">
        <v>43525</v>
      </c>
      <c r="B88">
        <v>356.55999800000001</v>
      </c>
    </row>
    <row r="89" spans="1:2" x14ac:dyDescent="0.25">
      <c r="A89" s="1">
        <v>43556</v>
      </c>
      <c r="B89">
        <v>370.540009</v>
      </c>
    </row>
    <row r="90" spans="1:2" x14ac:dyDescent="0.25">
      <c r="A90" s="1">
        <v>43586</v>
      </c>
      <c r="B90">
        <v>343.27999899999998</v>
      </c>
    </row>
    <row r="91" spans="1:2" x14ac:dyDescent="0.25">
      <c r="A91" s="1">
        <v>43617</v>
      </c>
      <c r="B91">
        <v>367.32000699999998</v>
      </c>
    </row>
    <row r="92" spans="1:2" x14ac:dyDescent="0.25">
      <c r="A92" s="1">
        <v>43647</v>
      </c>
      <c r="B92">
        <v>322.98998999999998</v>
      </c>
    </row>
    <row r="93" spans="1:2" x14ac:dyDescent="0.25">
      <c r="A93" s="1">
        <v>43678</v>
      </c>
      <c r="B93">
        <v>293.75</v>
      </c>
    </row>
    <row r="94" spans="1:2" x14ac:dyDescent="0.25">
      <c r="A94" s="1">
        <v>43709</v>
      </c>
      <c r="B94">
        <v>267.61999500000002</v>
      </c>
    </row>
    <row r="95" spans="1:2" x14ac:dyDescent="0.25">
      <c r="A95" s="1">
        <v>43739</v>
      </c>
      <c r="B95">
        <v>287.41000400000001</v>
      </c>
    </row>
    <row r="96" spans="1:2" x14ac:dyDescent="0.25">
      <c r="A96" s="1">
        <v>43770</v>
      </c>
      <c r="B96">
        <v>314.66000400000001</v>
      </c>
    </row>
    <row r="97" spans="1:2" x14ac:dyDescent="0.25">
      <c r="A97" s="1">
        <v>43800</v>
      </c>
      <c r="B97">
        <v>323.57000699999998</v>
      </c>
    </row>
    <row r="98" spans="1:2" x14ac:dyDescent="0.25">
      <c r="A98" s="1">
        <v>43831</v>
      </c>
      <c r="B98">
        <v>345.08999599999999</v>
      </c>
    </row>
    <row r="99" spans="1:2" x14ac:dyDescent="0.25">
      <c r="A99" s="1">
        <v>43862</v>
      </c>
      <c r="B99">
        <v>369.02999899999998</v>
      </c>
    </row>
    <row r="100" spans="1:2" x14ac:dyDescent="0.25">
      <c r="A100" s="1">
        <v>43891</v>
      </c>
      <c r="B100">
        <v>375.5</v>
      </c>
    </row>
    <row r="101" spans="1:2" x14ac:dyDescent="0.25">
      <c r="A101" s="1">
        <v>43922</v>
      </c>
      <c r="B101">
        <v>419.85000600000001</v>
      </c>
    </row>
    <row r="102" spans="1:2" x14ac:dyDescent="0.25">
      <c r="A102" s="1">
        <v>43952</v>
      </c>
      <c r="B102">
        <v>419.73001099999999</v>
      </c>
    </row>
    <row r="103" spans="1:2" x14ac:dyDescent="0.25">
      <c r="A103" s="1">
        <v>43983</v>
      </c>
      <c r="B103">
        <v>455.040009</v>
      </c>
    </row>
    <row r="104" spans="1:2" x14ac:dyDescent="0.25">
      <c r="A104" s="1">
        <v>44013</v>
      </c>
      <c r="B104">
        <v>488.88000499999998</v>
      </c>
    </row>
    <row r="105" spans="1:2" x14ac:dyDescent="0.25">
      <c r="A105" s="1">
        <v>44044</v>
      </c>
      <c r="B105">
        <v>529.55999799999995</v>
      </c>
    </row>
    <row r="106" spans="1:2" x14ac:dyDescent="0.25">
      <c r="A106" s="1">
        <v>44075</v>
      </c>
      <c r="B106">
        <v>500.02999899999998</v>
      </c>
    </row>
    <row r="107" spans="1:2" x14ac:dyDescent="0.25">
      <c r="A107" s="1">
        <v>44105</v>
      </c>
      <c r="B107">
        <v>475.73998999999998</v>
      </c>
    </row>
    <row r="108" spans="1:2" x14ac:dyDescent="0.25">
      <c r="A108" s="1">
        <v>44136</v>
      </c>
      <c r="B108">
        <v>490.70001200000002</v>
      </c>
    </row>
    <row r="109" spans="1:2" x14ac:dyDescent="0.25">
      <c r="A109" s="1">
        <v>44166</v>
      </c>
      <c r="B109">
        <v>540.72997999999995</v>
      </c>
    </row>
    <row r="110" spans="1:2" x14ac:dyDescent="0.25">
      <c r="A110" s="1">
        <v>44197</v>
      </c>
      <c r="B110">
        <v>532.39001499999995</v>
      </c>
    </row>
    <row r="111" spans="1:2" x14ac:dyDescent="0.25">
      <c r="A111" s="1">
        <v>44228</v>
      </c>
      <c r="B111">
        <v>538.84997599999997</v>
      </c>
    </row>
    <row r="112" spans="1:2" x14ac:dyDescent="0.25">
      <c r="A112" s="1">
        <v>44256</v>
      </c>
      <c r="B112">
        <v>521.65997300000004</v>
      </c>
    </row>
    <row r="113" spans="1:2" x14ac:dyDescent="0.25">
      <c r="A113" s="1">
        <v>44287</v>
      </c>
      <c r="B113">
        <v>513.46997099999999</v>
      </c>
    </row>
    <row r="114" spans="1:2" x14ac:dyDescent="0.25">
      <c r="A114" s="1">
        <v>44317</v>
      </c>
      <c r="B114">
        <v>502.80999800000001</v>
      </c>
    </row>
    <row r="115" spans="1:2" x14ac:dyDescent="0.25">
      <c r="A115" s="1">
        <v>44348</v>
      </c>
      <c r="B115">
        <v>528.21002199999998</v>
      </c>
    </row>
    <row r="116" spans="1:2" x14ac:dyDescent="0.25">
      <c r="A116" s="1">
        <v>44378</v>
      </c>
      <c r="B116">
        <v>517.57000700000003</v>
      </c>
    </row>
    <row r="117" spans="1:2" x14ac:dyDescent="0.25">
      <c r="A117" s="1">
        <v>44409</v>
      </c>
      <c r="B117">
        <v>569.19000200000005</v>
      </c>
    </row>
    <row r="118" spans="1:2" x14ac:dyDescent="0.25">
      <c r="A118" s="1">
        <v>44440</v>
      </c>
      <c r="B118">
        <v>610.34002699999996</v>
      </c>
    </row>
    <row r="119" spans="1:2" x14ac:dyDescent="0.25">
      <c r="A119" s="1">
        <v>44470</v>
      </c>
      <c r="B119">
        <v>690.30999799999995</v>
      </c>
    </row>
    <row r="120" spans="1:2" x14ac:dyDescent="0.25">
      <c r="A120" s="1">
        <v>44501</v>
      </c>
      <c r="B120">
        <v>641.90002400000003</v>
      </c>
    </row>
    <row r="121" spans="1:2" x14ac:dyDescent="0.25">
      <c r="A121" s="1">
        <v>44531</v>
      </c>
      <c r="B121">
        <v>602.44000200000005</v>
      </c>
    </row>
    <row r="122" spans="1:2" x14ac:dyDescent="0.25">
      <c r="A122" s="1">
        <v>44562</v>
      </c>
      <c r="B122">
        <v>427.14001500000001</v>
      </c>
    </row>
    <row r="123" spans="1:2" x14ac:dyDescent="0.25">
      <c r="A123" s="1">
        <v>44593</v>
      </c>
      <c r="B123">
        <v>394.51998900000001</v>
      </c>
    </row>
    <row r="124" spans="1:2" x14ac:dyDescent="0.25">
      <c r="A124" s="1">
        <v>44621</v>
      </c>
      <c r="B124">
        <v>374.58999599999999</v>
      </c>
    </row>
    <row r="125" spans="1:2" x14ac:dyDescent="0.25">
      <c r="A125" s="1">
        <v>44652</v>
      </c>
      <c r="B125">
        <v>190.36000100000001</v>
      </c>
    </row>
    <row r="126" spans="1:2" x14ac:dyDescent="0.25">
      <c r="A126" s="1">
        <v>44682</v>
      </c>
      <c r="B126">
        <v>197.44000199999999</v>
      </c>
    </row>
    <row r="127" spans="1:2" x14ac:dyDescent="0.25">
      <c r="A127" s="1">
        <v>44713</v>
      </c>
      <c r="B127">
        <v>174.86999499999999</v>
      </c>
    </row>
    <row r="128" spans="1:2" x14ac:dyDescent="0.25">
      <c r="A128" s="1">
        <v>44743</v>
      </c>
      <c r="B128">
        <v>224.89999399999999</v>
      </c>
    </row>
    <row r="129" spans="1:2" x14ac:dyDescent="0.25">
      <c r="A129" s="1">
        <v>44774</v>
      </c>
      <c r="B129">
        <v>223.55999800000001</v>
      </c>
    </row>
    <row r="130" spans="1:2" x14ac:dyDescent="0.25">
      <c r="A130" s="1">
        <v>44805</v>
      </c>
      <c r="B130">
        <v>235.44000199999999</v>
      </c>
    </row>
    <row r="131" spans="1:2" x14ac:dyDescent="0.25">
      <c r="A131" s="1">
        <v>44835</v>
      </c>
      <c r="B131">
        <v>224.75</v>
      </c>
    </row>
    <row r="132" spans="1:2" x14ac:dyDescent="0.25">
      <c r="A132" s="1">
        <v>44841</v>
      </c>
      <c r="B132">
        <v>224.75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Valuation</vt:lpstr>
      <vt:lpstr>Sheet3</vt:lpstr>
      <vt:lpstr>NFLX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Tido</dc:creator>
  <cp:lastModifiedBy>Theodor Hogan</cp:lastModifiedBy>
  <dcterms:created xsi:type="dcterms:W3CDTF">2022-10-04T08:02:06Z</dcterms:created>
  <dcterms:modified xsi:type="dcterms:W3CDTF">2022-10-11T14:13:51Z</dcterms:modified>
</cp:coreProperties>
</file>