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154" documentId="11_F25DC773A252ABDACC104830195C761C5ADE58EE" xr6:coauthVersionLast="47" xr6:coauthVersionMax="47" xr10:uidLastSave="{22159AFD-3F13-4DD8-9A19-9887F45F750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P25" i="1"/>
  <c r="P22" i="1"/>
  <c r="U21" i="1"/>
  <c r="U20" i="1"/>
  <c r="T21" i="1"/>
  <c r="S21" i="1"/>
  <c r="R21" i="1"/>
  <c r="Q21" i="1"/>
  <c r="P21" i="1"/>
  <c r="U14" i="1"/>
  <c r="U15" i="1" s="1"/>
  <c r="P16" i="1" s="1"/>
  <c r="T15" i="1"/>
  <c r="S15" i="1"/>
  <c r="R15" i="1"/>
  <c r="Q15" i="1"/>
  <c r="P15" i="1"/>
  <c r="S11" i="1"/>
  <c r="T11" i="1" s="1"/>
  <c r="U11" i="1" s="1"/>
  <c r="R11" i="1"/>
  <c r="Q11" i="1"/>
  <c r="R13" i="1"/>
  <c r="S13" i="1" s="1"/>
  <c r="T13" i="1" s="1"/>
  <c r="U13" i="1" s="1"/>
  <c r="Q13" i="1"/>
  <c r="S12" i="1"/>
  <c r="T12" i="1" s="1"/>
  <c r="U12" i="1" s="1"/>
  <c r="R12" i="1"/>
  <c r="Q12" i="1"/>
  <c r="K12" i="1"/>
  <c r="L12" i="1"/>
  <c r="K10" i="1"/>
  <c r="J10" i="1"/>
  <c r="I10" i="1"/>
  <c r="H10" i="1"/>
  <c r="G10" i="1"/>
  <c r="F10" i="1"/>
  <c r="E10" i="1"/>
  <c r="D10" i="1"/>
  <c r="C10" i="1"/>
  <c r="L10" i="1"/>
  <c r="E5" i="1"/>
  <c r="F5" i="1" s="1"/>
  <c r="G5" i="1" s="1"/>
  <c r="H5" i="1" s="1"/>
  <c r="I5" i="1" s="1"/>
  <c r="J5" i="1" s="1"/>
  <c r="K5" i="1" s="1"/>
  <c r="L5" i="1" s="1"/>
  <c r="D5" i="1"/>
</calcChain>
</file>

<file path=xl/sharedStrings.xml><?xml version="1.0" encoding="utf-8"?>
<sst xmlns="http://schemas.openxmlformats.org/spreadsheetml/2006/main" count="38" uniqueCount="34">
  <si>
    <t>Ticker</t>
  </si>
  <si>
    <t>SQ  (BLOCK)</t>
  </si>
  <si>
    <t>Year</t>
  </si>
  <si>
    <t>Revenue</t>
  </si>
  <si>
    <t>EBIT</t>
  </si>
  <si>
    <t>D&amp;A</t>
  </si>
  <si>
    <t>EBITDA</t>
  </si>
  <si>
    <t>ST + LT Debt</t>
  </si>
  <si>
    <t>Excess Cash</t>
  </si>
  <si>
    <t>CS Outstanding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</si>
  <si>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</si>
  <si>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</si>
  <si>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</si>
  <si>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</si>
  <si>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</si>
  <si>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</si>
  <si>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</si>
  <si>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</si>
  <si>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</si>
  <si>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</si>
  <si>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</si>
  <si>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Date</t>
  </si>
  <si>
    <t>23/03/2023</t>
  </si>
  <si>
    <t>in USD millions</t>
  </si>
  <si>
    <t>Div</t>
  </si>
  <si>
    <t>PV</t>
  </si>
  <si>
    <t>Infinity div</t>
  </si>
  <si>
    <t>PV0</t>
  </si>
  <si>
    <t>FCF ($ million)</t>
  </si>
  <si>
    <t>Perpetuitly</t>
  </si>
  <si>
    <t>PV p</t>
  </si>
  <si>
    <t>Less Debt</t>
  </si>
  <si>
    <t>Add Cash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</si>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</sst>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showGridLines="0" tabSelected="1" topLeftCell="A2" workbookViewId="0">
      <pane xSplit="1" topLeftCell="D1" activePane="topRight" state="frozen"/>
      <selection pane="topRight" activeCell="P27" sqref="P27"/>
    </sheetView>
  </sheetViews>
  <sheetFormatPr defaultRowHeight="14.4" x14ac:dyDescent="0.3"/>
  <cols>
    <col min="1" max="1" width="19.44140625" bestFit="1" customWidth="1"/>
    <col min="15" max="15" width="12.33203125" bestFit="1" customWidth="1"/>
  </cols>
  <sheetData>
    <row r="1" spans="1:21" x14ac:dyDescent="0.3">
      <c r="A1" t="s">
        <v>0</v>
      </c>
      <c r="B1" t="s">
        <v>21</v>
      </c>
      <c r="C1" t="s">
        <v>22</v>
      </c>
    </row>
    <row r="2" spans="1:21" ht="25.8" x14ac:dyDescent="0.5">
      <c r="A2" s="1" t="s">
        <v>1</v>
      </c>
    </row>
    <row r="3" spans="1:21" x14ac:dyDescent="0.3">
      <c r="A3" t="s">
        <v>23</v>
      </c>
    </row>
    <row r="5" spans="1:21" x14ac:dyDescent="0.3">
      <c r="A5" s="3" t="s">
        <v>2</v>
      </c>
      <c r="B5" s="4"/>
      <c r="C5" s="2">
        <v>2013</v>
      </c>
      <c r="D5" s="2">
        <f>C5+1</f>
        <v>2014</v>
      </c>
      <c r="E5" s="2">
        <f t="shared" ref="E5:L5" si="0">D5+1</f>
        <v>2015</v>
      </c>
      <c r="F5" s="2">
        <f t="shared" si="0"/>
        <v>2016</v>
      </c>
      <c r="G5" s="2">
        <f t="shared" si="0"/>
        <v>2017</v>
      </c>
      <c r="H5" s="2">
        <f t="shared" si="0"/>
        <v>2018</v>
      </c>
      <c r="I5" s="2">
        <f t="shared" si="0"/>
        <v>2019</v>
      </c>
      <c r="J5" s="2">
        <f t="shared" si="0"/>
        <v>2020</v>
      </c>
      <c r="K5" s="2">
        <f t="shared" si="0"/>
        <v>2021</v>
      </c>
      <c r="L5" s="2">
        <f t="shared" si="0"/>
        <v>2022</v>
      </c>
    </row>
    <row r="6" spans="1:21" x14ac:dyDescent="0.3">
      <c r="A6" s="3" t="s">
        <v>3</v>
      </c>
      <c r="C6">
        <v>552</v>
      </c>
      <c r="D6">
        <v>850</v>
      </c>
      <c r="E6">
        <v>1267</v>
      </c>
      <c r="F6">
        <v>1709</v>
      </c>
      <c r="G6">
        <v>2214</v>
      </c>
      <c r="H6">
        <v>3298</v>
      </c>
      <c r="I6">
        <v>4714</v>
      </c>
      <c r="J6">
        <v>9498</v>
      </c>
      <c r="K6">
        <v>17661</v>
      </c>
      <c r="L6">
        <v>17532</v>
      </c>
    </row>
    <row r="7" spans="1:21" x14ac:dyDescent="0.3">
      <c r="A7" s="3"/>
    </row>
    <row r="8" spans="1:21" x14ac:dyDescent="0.3">
      <c r="A8" s="3" t="s">
        <v>4</v>
      </c>
      <c r="C8">
        <v>-85</v>
      </c>
      <c r="D8">
        <v>-105</v>
      </c>
      <c r="E8">
        <v>-174</v>
      </c>
      <c r="F8">
        <v>-170</v>
      </c>
      <c r="G8">
        <v>-54</v>
      </c>
      <c r="H8">
        <v>-37</v>
      </c>
      <c r="I8">
        <v>27</v>
      </c>
      <c r="J8">
        <v>-19</v>
      </c>
      <c r="K8">
        <v>161</v>
      </c>
      <c r="L8">
        <v>-625</v>
      </c>
    </row>
    <row r="9" spans="1:21" x14ac:dyDescent="0.3">
      <c r="A9" s="3" t="s">
        <v>5</v>
      </c>
      <c r="C9">
        <v>11</v>
      </c>
      <c r="D9">
        <v>19</v>
      </c>
      <c r="E9">
        <v>28</v>
      </c>
      <c r="F9">
        <v>38</v>
      </c>
      <c r="G9">
        <v>37</v>
      </c>
      <c r="H9">
        <v>61</v>
      </c>
      <c r="I9">
        <v>76</v>
      </c>
      <c r="J9">
        <v>160</v>
      </c>
      <c r="K9">
        <v>166</v>
      </c>
      <c r="L9">
        <v>-252</v>
      </c>
    </row>
    <row r="10" spans="1:21" x14ac:dyDescent="0.3">
      <c r="A10" s="3" t="s">
        <v>6</v>
      </c>
      <c r="C10">
        <f t="shared" ref="C10:K10" si="1">C8+C9</f>
        <v>-74</v>
      </c>
      <c r="D10">
        <f t="shared" si="1"/>
        <v>-86</v>
      </c>
      <c r="E10">
        <f t="shared" si="1"/>
        <v>-146</v>
      </c>
      <c r="F10">
        <f t="shared" si="1"/>
        <v>-132</v>
      </c>
      <c r="G10">
        <f t="shared" si="1"/>
        <v>-17</v>
      </c>
      <c r="H10">
        <f t="shared" si="1"/>
        <v>24</v>
      </c>
      <c r="I10">
        <f t="shared" si="1"/>
        <v>103</v>
      </c>
      <c r="J10">
        <f t="shared" si="1"/>
        <v>141</v>
      </c>
      <c r="K10">
        <f t="shared" si="1"/>
        <v>327</v>
      </c>
      <c r="L10">
        <f>L8+L9</f>
        <v>-877</v>
      </c>
    </row>
    <row r="11" spans="1:21" x14ac:dyDescent="0.3">
      <c r="A11" s="3"/>
      <c r="P11">
        <v>0</v>
      </c>
      <c r="Q11">
        <f>P11+1</f>
        <v>1</v>
      </c>
      <c r="R11">
        <f t="shared" ref="R11:U11" si="2">Q11+1</f>
        <v>2</v>
      </c>
      <c r="S11">
        <f t="shared" si="2"/>
        <v>3</v>
      </c>
      <c r="T11">
        <f t="shared" si="2"/>
        <v>4</v>
      </c>
      <c r="U11">
        <f t="shared" si="2"/>
        <v>5</v>
      </c>
    </row>
    <row r="12" spans="1:21" x14ac:dyDescent="0.3">
      <c r="A12" s="3" t="s">
        <v>7</v>
      </c>
      <c r="K12">
        <f>455+4559</f>
        <v>5014</v>
      </c>
      <c r="L12">
        <f>460+4110</f>
        <v>4570</v>
      </c>
      <c r="P12">
        <v>2021</v>
      </c>
      <c r="Q12">
        <f>P12+1</f>
        <v>2022</v>
      </c>
      <c r="R12">
        <f t="shared" ref="R12:U12" si="3">Q12+1</f>
        <v>2023</v>
      </c>
      <c r="S12">
        <f t="shared" si="3"/>
        <v>2024</v>
      </c>
      <c r="T12">
        <f t="shared" si="3"/>
        <v>2025</v>
      </c>
      <c r="U12">
        <f t="shared" si="3"/>
        <v>2026</v>
      </c>
    </row>
    <row r="13" spans="1:21" x14ac:dyDescent="0.3">
      <c r="A13" s="3"/>
      <c r="O13" t="s">
        <v>24</v>
      </c>
      <c r="P13">
        <v>2.85</v>
      </c>
      <c r="Q13">
        <f>P13*1.074</f>
        <v>3.0609000000000002</v>
      </c>
      <c r="R13">
        <f t="shared" ref="R13:U13" si="4">Q13*1.074</f>
        <v>3.2874066000000002</v>
      </c>
      <c r="S13">
        <f t="shared" si="4"/>
        <v>3.5306746884000004</v>
      </c>
      <c r="T13">
        <f t="shared" si="4"/>
        <v>3.7919446153416008</v>
      </c>
      <c r="U13">
        <f t="shared" si="4"/>
        <v>4.0725485168768794</v>
      </c>
    </row>
    <row r="14" spans="1:21" x14ac:dyDescent="0.3">
      <c r="A14" s="3" t="s">
        <v>8</v>
      </c>
      <c r="O14" t="s">
        <v>26</v>
      </c>
      <c r="U14">
        <f>(4.07*1.034)/(0.088-0.034)*(1/(1.088)^5)</f>
        <v>51.118336363506593</v>
      </c>
    </row>
    <row r="15" spans="1:21" x14ac:dyDescent="0.3">
      <c r="A15" s="3"/>
      <c r="O15" t="s">
        <v>25</v>
      </c>
      <c r="P15">
        <f>P13/(1+0.088)^P11</f>
        <v>2.85</v>
      </c>
      <c r="Q15">
        <f t="shared" ref="Q15:T15" si="5">Q13/(1+0.088)^Q11</f>
        <v>2.8133272058823531</v>
      </c>
      <c r="R15">
        <f t="shared" si="5"/>
        <v>2.7771263043360723</v>
      </c>
      <c r="S15">
        <f t="shared" si="5"/>
        <v>2.7413912232141007</v>
      </c>
      <c r="T15">
        <f t="shared" si="5"/>
        <v>2.7061159685036253</v>
      </c>
      <c r="U15">
        <f>U14+U13/1.088^U11</f>
        <v>53.78963098682727</v>
      </c>
    </row>
    <row r="16" spans="1:21" x14ac:dyDescent="0.3">
      <c r="A16" s="3" t="s">
        <v>9</v>
      </c>
      <c r="C16">
        <v>128</v>
      </c>
      <c r="D16">
        <v>142</v>
      </c>
      <c r="E16">
        <v>170</v>
      </c>
      <c r="F16">
        <v>342</v>
      </c>
      <c r="G16">
        <v>379</v>
      </c>
      <c r="H16">
        <v>406</v>
      </c>
      <c r="I16">
        <v>466</v>
      </c>
      <c r="J16">
        <v>482</v>
      </c>
      <c r="K16">
        <v>502</v>
      </c>
      <c r="L16">
        <v>579</v>
      </c>
      <c r="O16" t="s">
        <v>27</v>
      </c>
      <c r="P16">
        <f>SUM(P15:U15)-2.85</f>
        <v>64.82759168876342</v>
      </c>
    </row>
    <row r="17" spans="1:21" x14ac:dyDescent="0.3">
      <c r="A17" s="3"/>
    </row>
    <row r="18" spans="1:21" x14ac:dyDescent="0.3">
      <c r="A18" s="3" t="s">
        <v>10</v>
      </c>
    </row>
    <row r="19" spans="1:21" x14ac:dyDescent="0.3">
      <c r="A19" s="3"/>
      <c r="O19" t="s">
        <v>2</v>
      </c>
      <c r="P19">
        <v>1</v>
      </c>
      <c r="Q19">
        <v>2</v>
      </c>
      <c r="R19">
        <v>3</v>
      </c>
      <c r="S19">
        <v>4</v>
      </c>
      <c r="T19">
        <v>5</v>
      </c>
      <c r="U19" t="s">
        <v>29</v>
      </c>
    </row>
    <row r="20" spans="1:21" x14ac:dyDescent="0.3">
      <c r="A20" s="3" t="s">
        <v>11</v>
      </c>
      <c r="O20" t="s">
        <v>28</v>
      </c>
      <c r="P20">
        <v>51.8</v>
      </c>
      <c r="Q20">
        <v>68.400000000000006</v>
      </c>
      <c r="R20">
        <v>77.099999999999994</v>
      </c>
      <c r="S20">
        <v>74.900000000000006</v>
      </c>
      <c r="T20">
        <v>83.1</v>
      </c>
      <c r="U20">
        <f>(T20*1.044)/(0.142-0.044)</f>
        <v>885.26938775510212</v>
      </c>
    </row>
    <row r="21" spans="1:21" x14ac:dyDescent="0.3">
      <c r="A21" s="3"/>
      <c r="O21" t="s">
        <v>25</v>
      </c>
      <c r="P21">
        <f>P20/1.142^P19</f>
        <v>45.359019264448335</v>
      </c>
      <c r="Q21">
        <f t="shared" ref="Q21:T21" si="6">Q20/1.142^Q19</f>
        <v>52.447391585720823</v>
      </c>
      <c r="R21">
        <f t="shared" si="6"/>
        <v>51.767365799959478</v>
      </c>
      <c r="S21">
        <f t="shared" si="6"/>
        <v>44.036967234048696</v>
      </c>
      <c r="T21">
        <f t="shared" si="6"/>
        <v>42.78292805058755</v>
      </c>
      <c r="U21">
        <f>U20/1.142^5</f>
        <v>455.7691518858511</v>
      </c>
    </row>
    <row r="22" spans="1:21" x14ac:dyDescent="0.3">
      <c r="A22" s="3" t="s">
        <v>12</v>
      </c>
      <c r="O22" t="s">
        <v>30</v>
      </c>
      <c r="P22">
        <f>SUM(P21:U21)</f>
        <v>692.16282382061604</v>
      </c>
    </row>
    <row r="23" spans="1:21" x14ac:dyDescent="0.3">
      <c r="A23" s="3"/>
      <c r="O23" t="s">
        <v>31</v>
      </c>
      <c r="P23">
        <v>283</v>
      </c>
    </row>
    <row r="24" spans="1:21" x14ac:dyDescent="0.3">
      <c r="A24" s="3" t="s">
        <v>13</v>
      </c>
      <c r="O24" t="s">
        <v>32</v>
      </c>
      <c r="P24">
        <v>0</v>
      </c>
    </row>
    <row r="25" spans="1:21" x14ac:dyDescent="0.3">
      <c r="A25" s="3"/>
      <c r="O25" t="s">
        <v>10</v>
      </c>
      <c r="P25">
        <f>P22-P23</f>
        <v>409.16282382061604</v>
      </c>
    </row>
    <row r="26" spans="1:21" x14ac:dyDescent="0.3">
      <c r="A26" s="3" t="s">
        <v>14</v>
      </c>
      <c r="O26" t="s">
        <v>33</v>
      </c>
      <c r="P26">
        <v>39</v>
      </c>
    </row>
    <row r="27" spans="1:21" x14ac:dyDescent="0.3">
      <c r="A27" s="3"/>
      <c r="O27" t="s">
        <v>19</v>
      </c>
      <c r="P27">
        <f>P25/P26</f>
        <v>10.491354456938874</v>
      </c>
    </row>
    <row r="28" spans="1:21" x14ac:dyDescent="0.3">
      <c r="A28" s="3" t="s">
        <v>15</v>
      </c>
    </row>
    <row r="29" spans="1:21" x14ac:dyDescent="0.3">
      <c r="A29" s="3"/>
    </row>
    <row r="30" spans="1:21" x14ac:dyDescent="0.3">
      <c r="A30" s="3" t="s">
        <v>16</v>
      </c>
    </row>
    <row r="31" spans="1:21" x14ac:dyDescent="0.3">
      <c r="A31" s="3"/>
    </row>
    <row r="32" spans="1:21" x14ac:dyDescent="0.3">
      <c r="A32" s="3" t="s">
        <v>17</v>
      </c>
    </row>
    <row r="33" spans="1:1" x14ac:dyDescent="0.3">
      <c r="A33" s="3"/>
    </row>
    <row r="34" spans="1:1" x14ac:dyDescent="0.3">
      <c r="A34" s="3" t="s">
        <v>18</v>
      </c>
    </row>
    <row r="35" spans="1:1" x14ac:dyDescent="0.3">
      <c r="A35" s="3"/>
    </row>
    <row r="36" spans="1:1" x14ac:dyDescent="0.3">
      <c r="A36" s="3" t="s">
        <v>19</v>
      </c>
    </row>
    <row r="37" spans="1:1" x14ac:dyDescent="0.3">
      <c r="A37" s="3"/>
    </row>
    <row r="38" spans="1:1" x14ac:dyDescent="0.3">
      <c r="A38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2023-05-10T17:03:21Z</dcterms:modified>
</cp:coreProperties>
</file>