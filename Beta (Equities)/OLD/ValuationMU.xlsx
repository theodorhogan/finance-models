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441" documentId="11_F25DC773A252ABDACC10487EA91866DC5BDE58E7" xr6:coauthVersionLast="47" xr6:coauthVersionMax="47" xr10:uidLastSave="{F03A4D35-AA66-4B9C-8873-D88C864C2E42}"/>
  <bookViews>
    <workbookView xWindow="-120" yWindow="-120" windowWidth="29040" windowHeight="15720" activeTab="2" xr2:uid="{00000000-000D-0000-FFFF-FFFF00000000}"/>
  </bookViews>
  <sheets>
    <sheet name="Sheet2" sheetId="3" r:id="rId1"/>
    <sheet name="Stock Price" sheetId="2" r:id="rId2"/>
    <sheet name="Valuation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28" i="1" l="1"/>
  <c r="Z28" i="1"/>
  <c r="AA26" i="1" l="1"/>
  <c r="Z26" i="1"/>
  <c r="AA25" i="1"/>
  <c r="Z25" i="1"/>
  <c r="AA24" i="1"/>
  <c r="Z24" i="1"/>
  <c r="AA20" i="1" l="1"/>
  <c r="Z20" i="1"/>
  <c r="AA18" i="1"/>
  <c r="Z18" i="1"/>
  <c r="AA14" i="1"/>
  <c r="Z14" i="1"/>
  <c r="Z13" i="1"/>
  <c r="AA12" i="1"/>
  <c r="Z12" i="1"/>
  <c r="Z11" i="1"/>
  <c r="Z10" i="1"/>
  <c r="AA9" i="1"/>
  <c r="Z9" i="1"/>
  <c r="AA7" i="1"/>
  <c r="Z7" i="1"/>
  <c r="N32" i="1"/>
  <c r="O32" i="1" s="1"/>
  <c r="P32" i="1" s="1"/>
  <c r="Q32" i="1" s="1"/>
  <c r="R32" i="1" s="1"/>
  <c r="S32" i="1" s="1"/>
  <c r="T32" i="1" s="1"/>
  <c r="U32" i="1" s="1"/>
  <c r="V32" i="1" s="1"/>
  <c r="W32" i="1" s="1"/>
  <c r="N6" i="1"/>
  <c r="O6" i="1" s="1"/>
  <c r="P6" i="1" s="1"/>
  <c r="Q6" i="1" s="1"/>
  <c r="R6" i="1" s="1"/>
  <c r="S6" i="1" s="1"/>
  <c r="T6" i="1" s="1"/>
  <c r="U6" i="1" s="1"/>
  <c r="V6" i="1" s="1"/>
  <c r="W6" i="1" s="1"/>
  <c r="W3" i="1"/>
  <c r="P3" i="1"/>
  <c r="Q3" i="1" s="1"/>
  <c r="R3" i="1" s="1"/>
  <c r="S3" i="1" s="1"/>
  <c r="T3" i="1" s="1"/>
  <c r="U3" i="1" s="1"/>
  <c r="V3" i="1" s="1"/>
  <c r="O3" i="1"/>
  <c r="N3" i="1"/>
  <c r="M36" i="1"/>
  <c r="M34" i="1"/>
  <c r="M32" i="1"/>
  <c r="M30" i="1"/>
  <c r="M24" i="1"/>
  <c r="M22" i="1"/>
  <c r="M20" i="1"/>
  <c r="M18" i="1"/>
  <c r="M16" i="1"/>
  <c r="M14" i="1"/>
  <c r="M6" i="1"/>
  <c r="M4" i="1"/>
  <c r="M8" i="1"/>
  <c r="L8" i="1"/>
  <c r="K8" i="1"/>
  <c r="J8" i="1"/>
  <c r="I8" i="1"/>
  <c r="H8" i="1"/>
  <c r="G8" i="1"/>
  <c r="F8" i="1"/>
  <c r="E8" i="1"/>
  <c r="D8" i="1"/>
  <c r="L16" i="1"/>
  <c r="K16" i="1"/>
  <c r="J16" i="1"/>
  <c r="I16" i="1"/>
  <c r="H16" i="1"/>
  <c r="G16" i="1"/>
  <c r="F16" i="1"/>
  <c r="E16" i="1"/>
  <c r="D16" i="1"/>
  <c r="C16" i="1"/>
  <c r="D4" i="3" a="1"/>
  <c r="D4" i="3" s="1"/>
  <c r="C28" i="1"/>
  <c r="C30" i="1" s="1"/>
  <c r="C32" i="1" s="1"/>
  <c r="C36" i="1" s="1"/>
  <c r="C6" i="1"/>
  <c r="C12" i="1"/>
  <c r="D12" i="1"/>
  <c r="C10" i="1"/>
  <c r="D10" i="1"/>
  <c r="D28" i="1"/>
  <c r="D30" i="1" s="1"/>
  <c r="D32" i="1" s="1"/>
  <c r="D36" i="1" s="1"/>
  <c r="E28" i="1"/>
  <c r="E30" i="1" s="1"/>
  <c r="E32" i="1" s="1"/>
  <c r="E36" i="1" s="1"/>
  <c r="D6" i="1"/>
  <c r="E6" i="1"/>
  <c r="E12" i="1"/>
  <c r="F12" i="1"/>
  <c r="E10" i="1"/>
  <c r="F28" i="1"/>
  <c r="F30" i="1" s="1"/>
  <c r="F32" i="1" s="1"/>
  <c r="F36" i="1" s="1"/>
  <c r="G28" i="1"/>
  <c r="G30" i="1" s="1"/>
  <c r="G32" i="1" s="1"/>
  <c r="G36" i="1" s="1"/>
  <c r="F6" i="1"/>
  <c r="G6" i="1"/>
  <c r="G12" i="1"/>
  <c r="H12" i="1"/>
  <c r="H22" i="1" s="1"/>
  <c r="G10" i="1"/>
  <c r="H10" i="1"/>
  <c r="H28" i="1"/>
  <c r="H30" i="1" s="1"/>
  <c r="H32" i="1" s="1"/>
  <c r="H36" i="1" s="1"/>
  <c r="I28" i="1"/>
  <c r="I30" i="1" s="1"/>
  <c r="I32" i="1" s="1"/>
  <c r="I36" i="1" s="1"/>
  <c r="H6" i="1"/>
  <c r="I6" i="1"/>
  <c r="I12" i="1"/>
  <c r="J12" i="1"/>
  <c r="I10" i="1"/>
  <c r="J10" i="1"/>
  <c r="J6" i="1"/>
  <c r="K6" i="1"/>
  <c r="L6" i="1"/>
  <c r="J28" i="1"/>
  <c r="J30" i="1" s="1"/>
  <c r="J32" i="1" s="1"/>
  <c r="J36" i="1" s="1"/>
  <c r="K28" i="1"/>
  <c r="K30" i="1" s="1"/>
  <c r="K32" i="1" s="1"/>
  <c r="K36" i="1" s="1"/>
  <c r="L28" i="1"/>
  <c r="L30" i="1" s="1"/>
  <c r="L32" i="1" s="1"/>
  <c r="L36" i="1" s="1"/>
  <c r="G22" i="1" l="1"/>
  <c r="H18" i="1"/>
  <c r="H20" i="1" s="1"/>
  <c r="J18" i="1"/>
  <c r="J20" i="1" s="1"/>
  <c r="I18" i="1"/>
  <c r="I20" i="1" s="1"/>
  <c r="C18" i="1"/>
  <c r="C20" i="1" s="1"/>
  <c r="E18" i="1"/>
  <c r="E20" i="1" s="1"/>
  <c r="G18" i="1"/>
  <c r="G20" i="1" s="1"/>
  <c r="F22" i="1"/>
  <c r="D22" i="1"/>
  <c r="F18" i="1"/>
  <c r="F20" i="1" s="1"/>
  <c r="I22" i="1"/>
  <c r="J22" i="1"/>
  <c r="E22" i="1"/>
  <c r="C22" i="1"/>
  <c r="D18" i="1"/>
  <c r="D20" i="1" s="1"/>
  <c r="K12" i="1"/>
  <c r="L12" i="1"/>
  <c r="K10" i="1"/>
  <c r="L10" i="1"/>
  <c r="D3" i="1"/>
  <c r="E3" i="1" s="1"/>
  <c r="F3" i="1" s="1"/>
  <c r="G3" i="1" s="1"/>
  <c r="H3" i="1" s="1"/>
  <c r="I3" i="1" s="1"/>
  <c r="J3" i="1" s="1"/>
  <c r="K3" i="1" s="1"/>
  <c r="L3" i="1" s="1"/>
  <c r="K18" i="1" l="1"/>
  <c r="K20" i="1" s="1"/>
  <c r="K22" i="1"/>
  <c r="L18" i="1"/>
  <c r="L20" i="1" s="1"/>
  <c r="L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<sst xmlns="http://schemas.openxmlformats.org/spreadsheetml/2006/main" count="63" uniqueCount="54">
  <si>
    <t>Ticker</t>
  </si>
  <si>
    <t xml:space="preserve">Date </t>
  </si>
  <si>
    <t>19/10/2022</t>
  </si>
  <si>
    <t>MU</t>
  </si>
  <si>
    <t>Revenue</t>
  </si>
  <si>
    <t>EBITDA</t>
  </si>
  <si>
    <t>Excess Cash</t>
  </si>
  <si>
    <t>ST + LT Debt</t>
  </si>
  <si>
    <t>CS Outstanding</t>
  </si>
  <si>
    <t>Market Cap</t>
  </si>
  <si>
    <t>EV/EBTIDA</t>
  </si>
  <si>
    <t>Net Debt/EBTIDA</t>
  </si>
  <si>
    <t>CFO</t>
  </si>
  <si>
    <t>CapEx</t>
  </si>
  <si>
    <t>Debt Issuance</t>
  </si>
  <si>
    <t>FCFE</t>
  </si>
  <si>
    <t>FCFE/SHR</t>
  </si>
  <si>
    <t>$/SHR</t>
  </si>
  <si>
    <t>FCFE Yield</t>
  </si>
  <si>
    <t>Fiscal Year usually ends first week of september</t>
  </si>
  <si>
    <t>Adj Close</t>
  </si>
  <si>
    <t>Date</t>
  </si>
  <si>
    <t>Row Labels</t>
  </si>
  <si>
    <t>Grand Total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</si>
  <si>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</si>
  <si>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</si>
  <si>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</si>
  <si>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</si>
  <si>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</si>
  <si>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</si>
  <si>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</si>
  <si>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</si>
  <si>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</si>
  <si>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</si>
  <si>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</si>
  <si>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</si>
  <si>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</si>
  <si>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Average of Adj Close</t>
  </si>
  <si>
    <t>EV</t>
  </si>
  <si>
    <t>AVG/CAGR</t>
  </si>
  <si>
    <t>EBITDA Multiple Method</t>
  </si>
  <si>
    <t>EBTIDA*</t>
  </si>
  <si>
    <t>Multiple</t>
  </si>
  <si>
    <t>Less Debt</t>
  </si>
  <si>
    <t>Add Cash</t>
  </si>
  <si>
    <t>FCFE Yield Method</t>
  </si>
  <si>
    <t>Year</t>
  </si>
  <si>
    <t>Return Caclulation</t>
  </si>
  <si>
    <t>FCFE Method</t>
  </si>
  <si>
    <t>EBITDA Method</t>
  </si>
  <si>
    <t>Average</t>
  </si>
  <si>
    <t>Current $/SHR</t>
  </si>
  <si>
    <t>23/10/2022</t>
  </si>
  <si>
    <t>Rate of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</si>
</sst>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.00_);_(&quot;$&quot;* \(#,##0.00\);_(&quot;$&quot;* &quot;-&quot;_);_(@_)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/>
    </xf>
    <xf numFmtId="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2" fontId="0" fillId="0" borderId="0" xfId="0" applyNumberFormat="1"/>
    <xf numFmtId="1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0" fontId="5" fillId="3" borderId="0" xfId="0" applyFont="1" applyFill="1" applyAlignment="1">
      <alignment horizontal="center"/>
    </xf>
    <xf numFmtId="9" fontId="7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9" fontId="8" fillId="0" borderId="0" xfId="0" applyNumberFormat="1" applyFont="1" applyAlignment="1">
      <alignment horizontal="center"/>
    </xf>
    <xf numFmtId="9" fontId="6" fillId="0" borderId="0" xfId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42" fontId="0" fillId="7" borderId="0" xfId="0" applyNumberFormat="1" applyFill="1" applyAlignment="1">
      <alignment horizontal="center"/>
    </xf>
    <xf numFmtId="0" fontId="9" fillId="7" borderId="0" xfId="0" applyFont="1" applyFill="1" applyAlignment="1">
      <alignment horizontal="center"/>
    </xf>
    <xf numFmtId="42" fontId="0" fillId="7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44" fontId="0" fillId="7" borderId="0" xfId="0" applyNumberFormat="1" applyFill="1" applyAlignment="1">
      <alignment horizontal="center"/>
    </xf>
    <xf numFmtId="9" fontId="9" fillId="7" borderId="0" xfId="0" applyNumberFormat="1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6" borderId="0" xfId="0" applyFill="1" applyBorder="1"/>
    <xf numFmtId="0" fontId="2" fillId="7" borderId="0" xfId="0" applyFont="1" applyFill="1"/>
    <xf numFmtId="44" fontId="2" fillId="7" borderId="0" xfId="0" applyNumberFormat="1" applyFont="1" applyFill="1" applyAlignment="1">
      <alignment horizontal="center"/>
    </xf>
    <xf numFmtId="9" fontId="7" fillId="7" borderId="0" xfId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do" refreshedDate="44857.415456712966" createdVersion="8" refreshedVersion="8" minRefreshableVersion="3" recordCount="155" xr:uid="{A075BBC6-BC1C-4B3A-A3D4-4FCB837DFEA4}">
  <cacheSource type="worksheet">
    <worksheetSource ref="A1:B156" sheet="Stock Price"/>
  </cacheSource>
  <cacheFields count="4">
    <cacheField name="Date" numFmtId="14">
      <sharedItems containsSemiMixedTypes="0" containsNonDate="0" containsDate="1" containsString="0" minDate="2010-01-01T00:00:00" maxDate="2022-10-22T00:00:00" count="155"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0-21T00:00:00"/>
      </sharedItems>
      <fieldGroup par="3" base="0">
        <rangePr groupBy="months" startDate="2010-01-01T00:00:00" endDate="2022-10-22T00:00:00"/>
        <groupItems count="14">
          <s v="&lt;1/1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2/2022"/>
        </groupItems>
      </fieldGroup>
    </cacheField>
    <cacheField name="Adj Close" numFmtId="0">
      <sharedItems containsSemiMixedTypes="0" containsString="0" containsNumber="1" minValue="5.0003820000000001" maxValue="92.546959000000001"/>
    </cacheField>
    <cacheField name="Quarters" numFmtId="0" databaseField="0">
      <fieldGroup base="0">
        <rangePr groupBy="quarters" startDate="2010-01-01T00:00:00" endDate="2022-10-22T00:00:00"/>
        <groupItems count="6">
          <s v="&lt;1/1/2010"/>
          <s v="Qtr1"/>
          <s v="Qtr2"/>
          <s v="Qtr3"/>
          <s v="Qtr4"/>
          <s v="&gt;10/22/2022"/>
        </groupItems>
      </fieldGroup>
    </cacheField>
    <cacheField name="Years" numFmtId="0" databaseField="0">
      <fieldGroup base="0">
        <rangePr groupBy="years" startDate="2010-01-01T00:00:00" endDate="2022-10-22T00:00:00"/>
        <groupItems count="15">
          <s v="&lt;1/1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&gt;10/2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n v="8.6514530000000001"/>
  </r>
  <r>
    <x v="1"/>
    <n v="8.9887809999999995"/>
  </r>
  <r>
    <x v="2"/>
    <n v="10.288484"/>
  </r>
  <r>
    <x v="3"/>
    <n v="9.2765029999999999"/>
  </r>
  <r>
    <x v="4"/>
    <n v="9.0185449999999996"/>
  </r>
  <r>
    <x v="5"/>
    <n v="8.4232619999999994"/>
  </r>
  <r>
    <x v="6"/>
    <n v="7.2227740000000002"/>
  </r>
  <r>
    <x v="7"/>
    <n v="6.4092190000000002"/>
  </r>
  <r>
    <x v="8"/>
    <n v="7.1533239999999996"/>
  </r>
  <r>
    <x v="9"/>
    <n v="8.1950699999999994"/>
  </r>
  <r>
    <x v="10"/>
    <n v="7.2128519999999998"/>
  </r>
  <r>
    <x v="11"/>
    <n v="7.9569570000000001"/>
  </r>
  <r>
    <x v="12"/>
    <n v="10.457148"/>
  </r>
  <r>
    <x v="13"/>
    <n v="11.042509000000001"/>
  </r>
  <r>
    <x v="14"/>
    <n v="11.379837"/>
  </r>
  <r>
    <x v="15"/>
    <n v="11.231014999999999"/>
  </r>
  <r>
    <x v="16"/>
    <n v="10.119821"/>
  </r>
  <r>
    <x v="17"/>
    <n v="7.4212020000000001"/>
  </r>
  <r>
    <x v="18"/>
    <n v="7.3120659999999997"/>
  </r>
  <r>
    <x v="19"/>
    <n v="5.8635429999999999"/>
  </r>
  <r>
    <x v="20"/>
    <n v="5.0003820000000001"/>
  </r>
  <r>
    <x v="21"/>
    <n v="5.5460580000000004"/>
  </r>
  <r>
    <x v="22"/>
    <n v="5.942914"/>
  </r>
  <r>
    <x v="23"/>
    <n v="6.2405559999999998"/>
  </r>
  <r>
    <x v="24"/>
    <n v="7.5402579999999997"/>
  </r>
  <r>
    <x v="25"/>
    <n v="8.4827910000000006"/>
  </r>
  <r>
    <x v="26"/>
    <n v="8.0363279999999992"/>
  </r>
  <r>
    <x v="27"/>
    <n v="6.5381980000000004"/>
  </r>
  <r>
    <x v="28"/>
    <n v="5.7940930000000002"/>
  </r>
  <r>
    <x v="29"/>
    <n v="6.2603980000000004"/>
  </r>
  <r>
    <x v="30"/>
    <n v="6.1611849999999997"/>
  </r>
  <r>
    <x v="31"/>
    <n v="6.1611849999999997"/>
  </r>
  <r>
    <x v="32"/>
    <n v="5.9329919999999996"/>
  </r>
  <r>
    <x v="33"/>
    <n v="5.3873160000000002"/>
  </r>
  <r>
    <x v="34"/>
    <n v="5.9230710000000002"/>
  </r>
  <r>
    <x v="35"/>
    <n v="6.2901629999999997"/>
  </r>
  <r>
    <x v="36"/>
    <n v="7.5005730000000002"/>
  </r>
  <r>
    <x v="37"/>
    <n v="8.3141269999999992"/>
  </r>
  <r>
    <x v="38"/>
    <n v="9.901548"/>
  </r>
  <r>
    <x v="39"/>
    <n v="9.3459520000000005"/>
  </r>
  <r>
    <x v="40"/>
    <n v="11.588186"/>
  </r>
  <r>
    <x v="41"/>
    <n v="14.217355"/>
  </r>
  <r>
    <x v="42"/>
    <n v="13.135922000000001"/>
  </r>
  <r>
    <x v="43"/>
    <n v="13.463329"/>
  </r>
  <r>
    <x v="44"/>
    <n v="17.332671999999999"/>
  </r>
  <r>
    <x v="45"/>
    <n v="17.541021000000001"/>
  </r>
  <r>
    <x v="46"/>
    <n v="20.934138999999998"/>
  </r>
  <r>
    <x v="47"/>
    <n v="21.579025000000001"/>
  </r>
  <r>
    <x v="48"/>
    <n v="22.858886999999999"/>
  </r>
  <r>
    <x v="49"/>
    <n v="23.999849000000001"/>
  </r>
  <r>
    <x v="50"/>
    <n v="23.474015999999999"/>
  </r>
  <r>
    <x v="51"/>
    <n v="25.914677000000001"/>
  </r>
  <r>
    <x v="52"/>
    <n v="28.365261"/>
  </r>
  <r>
    <x v="53"/>
    <n v="32.690989999999999"/>
  </r>
  <r>
    <x v="54"/>
    <n v="30.309854999999999"/>
  </r>
  <r>
    <x v="55"/>
    <n v="32.343738999999999"/>
  </r>
  <r>
    <x v="56"/>
    <n v="33.990687999999999"/>
  </r>
  <r>
    <x v="57"/>
    <n v="32.829886999999999"/>
  </r>
  <r>
    <x v="58"/>
    <n v="35.667403999999998"/>
  </r>
  <r>
    <x v="59"/>
    <n v="34.734794999999998"/>
  </r>
  <r>
    <x v="60"/>
    <n v="29.039916999999999"/>
  </r>
  <r>
    <x v="61"/>
    <n v="30.428909000000001"/>
  </r>
  <r>
    <x v="62"/>
    <n v="26.916737000000001"/>
  </r>
  <r>
    <x v="63"/>
    <n v="27.908875999999999"/>
  </r>
  <r>
    <x v="64"/>
    <n v="27.710449000000001"/>
  </r>
  <r>
    <x v="65"/>
    <n v="18.691904000000001"/>
  </r>
  <r>
    <x v="66"/>
    <n v="18.364495999999999"/>
  </r>
  <r>
    <x v="67"/>
    <n v="16.281003999999999"/>
  </r>
  <r>
    <x v="68"/>
    <n v="14.862246000000001"/>
  </r>
  <r>
    <x v="69"/>
    <n v="16.429825000000001"/>
  </r>
  <r>
    <x v="70"/>
    <n v="15.804778000000001"/>
  </r>
  <r>
    <x v="71"/>
    <n v="14.048692000000001"/>
  </r>
  <r>
    <x v="72"/>
    <n v="10.943295000000001"/>
  </r>
  <r>
    <x v="73"/>
    <n v="10.546438999999999"/>
  </r>
  <r>
    <x v="74"/>
    <n v="10.387696999999999"/>
  </r>
  <r>
    <x v="75"/>
    <n v="10.665497999999999"/>
  </r>
  <r>
    <x v="76"/>
    <n v="12.620011"/>
  </r>
  <r>
    <x v="77"/>
    <n v="13.651835999999999"/>
  </r>
  <r>
    <x v="78"/>
    <n v="13.631993"/>
  </r>
  <r>
    <x v="79"/>
    <n v="16.360374"/>
  </r>
  <r>
    <x v="80"/>
    <n v="17.640236000000002"/>
  </r>
  <r>
    <x v="81"/>
    <n v="17.025107999999999"/>
  </r>
  <r>
    <x v="82"/>
    <n v="19.376480000000001"/>
  </r>
  <r>
    <x v="83"/>
    <n v="21.747692000000001"/>
  </r>
  <r>
    <x v="84"/>
    <n v="23.920477000000002"/>
  </r>
  <r>
    <x v="85"/>
    <n v="23.255742999999999"/>
  </r>
  <r>
    <x v="86"/>
    <n v="28.672825"/>
  </r>
  <r>
    <x v="87"/>
    <n v="27.452491999999999"/>
  </r>
  <r>
    <x v="88"/>
    <n v="30.528123999999998"/>
  </r>
  <r>
    <x v="89"/>
    <n v="29.625277000000001"/>
  </r>
  <r>
    <x v="90"/>
    <n v="27.898955999999998"/>
  </r>
  <r>
    <x v="91"/>
    <n v="31.718692999999998"/>
  </r>
  <r>
    <x v="92"/>
    <n v="39.020836000000003"/>
  </r>
  <r>
    <x v="93"/>
    <n v="43.961697000000001"/>
  </r>
  <r>
    <x v="94"/>
    <n v="42.056778000000001"/>
  </r>
  <r>
    <x v="95"/>
    <n v="40.796768"/>
  </r>
  <r>
    <x v="96"/>
    <n v="43.376328000000001"/>
  </r>
  <r>
    <x v="97"/>
    <n v="48.426315000000002"/>
  </r>
  <r>
    <x v="98"/>
    <n v="51.730136999999999"/>
  </r>
  <r>
    <x v="99"/>
    <n v="45.618561"/>
  </r>
  <r>
    <x v="100"/>
    <n v="57.137298999999999"/>
  </r>
  <r>
    <x v="101"/>
    <n v="52.027779000000002"/>
  </r>
  <r>
    <x v="102"/>
    <n v="52.375027000000003"/>
  </r>
  <r>
    <x v="103"/>
    <n v="52.107154999999999"/>
  </r>
  <r>
    <x v="104"/>
    <n v="44.874454"/>
  </r>
  <r>
    <x v="105"/>
    <n v="37.423492000000003"/>
  </r>
  <r>
    <x v="106"/>
    <n v="38.256892999999998"/>
  </r>
  <r>
    <x v="107"/>
    <n v="31.480577"/>
  </r>
  <r>
    <x v="108"/>
    <n v="37.919567000000001"/>
  </r>
  <r>
    <x v="109"/>
    <n v="40.558650999999998"/>
  </r>
  <r>
    <x v="110"/>
    <n v="41.005116000000001"/>
  </r>
  <r>
    <x v="111"/>
    <n v="41.729377999999997"/>
  </r>
  <r>
    <x v="112"/>
    <n v="32.353661000000002"/>
  </r>
  <r>
    <x v="113"/>
    <n v="38.286659"/>
  </r>
  <r>
    <x v="114"/>
    <n v="44.537125000000003"/>
  </r>
  <r>
    <x v="115"/>
    <n v="44.914146000000002"/>
  </r>
  <r>
    <x v="116"/>
    <n v="42.513168"/>
  </r>
  <r>
    <x v="117"/>
    <n v="47.176223999999998"/>
  </r>
  <r>
    <x v="118"/>
    <n v="47.136536"/>
  </r>
  <r>
    <x v="119"/>
    <n v="53.357246000000004"/>
  </r>
  <r>
    <x v="120"/>
    <n v="52.672676000000003"/>
  </r>
  <r>
    <x v="121"/>
    <n v="52.146835000000003"/>
  </r>
  <r>
    <x v="122"/>
    <n v="41.729377999999997"/>
  </r>
  <r>
    <x v="123"/>
    <n v="47.513550000000002"/>
  </r>
  <r>
    <x v="124"/>
    <n v="47.533394000000001"/>
  </r>
  <r>
    <x v="125"/>
    <n v="51.115017000000002"/>
  </r>
  <r>
    <x v="126"/>
    <n v="49.666488999999999"/>
  </r>
  <r>
    <x v="127"/>
    <n v="45.152251999999997"/>
  </r>
  <r>
    <x v="128"/>
    <n v="46.590857999999997"/>
  </r>
  <r>
    <x v="129"/>
    <n v="49.944290000000002"/>
  </r>
  <r>
    <x v="130"/>
    <n v="63.586201000000003"/>
  </r>
  <r>
    <x v="131"/>
    <n v="74.589020000000005"/>
  </r>
  <r>
    <x v="132"/>
    <n v="77.654739000000006"/>
  </r>
  <r>
    <x v="133"/>
    <n v="90.810492999999994"/>
  </r>
  <r>
    <x v="134"/>
    <n v="87.516609000000003"/>
  </r>
  <r>
    <x v="135"/>
    <n v="85.393424999999993"/>
  </r>
  <r>
    <x v="136"/>
    <n v="83.478592000000006"/>
  </r>
  <r>
    <x v="137"/>
    <n v="84.311995999999994"/>
  </r>
  <r>
    <x v="138"/>
    <n v="76.970168999999999"/>
  </r>
  <r>
    <x v="139"/>
    <n v="73.120650999999995"/>
  </r>
  <r>
    <x v="140"/>
    <n v="70.422049999999999"/>
  </r>
  <r>
    <x v="141"/>
    <n v="68.652648999999997"/>
  </r>
  <r>
    <x v="142"/>
    <n v="83.456183999999993"/>
  </r>
  <r>
    <x v="143"/>
    <n v="92.546959000000001"/>
  </r>
  <r>
    <x v="144"/>
    <n v="81.824532000000005"/>
  </r>
  <r>
    <x v="145"/>
    <n v="88.378860000000003"/>
  </r>
  <r>
    <x v="146"/>
    <n v="77.468254000000002"/>
  </r>
  <r>
    <x v="147"/>
    <n v="67.820778000000004"/>
  </r>
  <r>
    <x v="148"/>
    <n v="73.540535000000006"/>
  </r>
  <r>
    <x v="149"/>
    <n v="55.055813000000001"/>
  </r>
  <r>
    <x v="150"/>
    <n v="61.609127000000001"/>
  </r>
  <r>
    <x v="151"/>
    <n v="56.410975999999998"/>
  </r>
  <r>
    <x v="152"/>
    <n v="49.994514000000002"/>
  </r>
  <r>
    <x v="153"/>
    <n v="55.931987999999997"/>
  </r>
  <r>
    <x v="154"/>
    <n v="56.04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844C1-BB9E-4852-98CC-03258CE7E94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t="default"/>
      </items>
    </pivotField>
  </pivotFields>
  <rowFields count="3">
    <field x="3"/>
    <field x="2"/>
    <field x="0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Adj Close" fld="1" subtotal="average" baseField="3" baseItem="1" numFmtId="2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252D-BDE5-412D-A3FF-8F3AFBFF874E}">
  <dimension ref="A3:M17"/>
  <sheetViews>
    <sheetView workbookViewId="0">
      <selection activeCell="D4" sqref="D4:M4"/>
    </sheetView>
  </sheetViews>
  <sheetFormatPr defaultRowHeight="15" x14ac:dyDescent="0.25"/>
  <cols>
    <col min="1" max="1" width="13.140625" bestFit="1" customWidth="1"/>
    <col min="2" max="2" width="19.5703125" style="4" bestFit="1" customWidth="1"/>
  </cols>
  <sheetData>
    <row r="3" spans="1:13" x14ac:dyDescent="0.25">
      <c r="A3" s="6" t="s">
        <v>22</v>
      </c>
      <c r="B3" s="4" t="s">
        <v>37</v>
      </c>
    </row>
    <row r="4" spans="1:13" x14ac:dyDescent="0.25">
      <c r="A4" s="7" t="s">
        <v>24</v>
      </c>
      <c r="B4" s="4">
        <v>8.2331020000000006</v>
      </c>
      <c r="D4" cm="1">
        <f t="array" ref="D4:M4">TRANSPOSE(B7:B16)</f>
        <v>13.737820749999999</v>
      </c>
      <c r="E4">
        <v>29.765004000000001</v>
      </c>
      <c r="F4">
        <v>21.373986083333335</v>
      </c>
      <c r="G4">
        <v>14.549721583333335</v>
      </c>
      <c r="H4">
        <v>32.409055500000001</v>
      </c>
      <c r="I4">
        <v>46.236168083333332</v>
      </c>
      <c r="J4">
        <v>42.623956416666665</v>
      </c>
      <c r="K4">
        <v>51.85333</v>
      </c>
      <c r="L4">
        <v>81.194542999999996</v>
      </c>
      <c r="M4">
        <v>65.825943272727272</v>
      </c>
    </row>
    <row r="5" spans="1:13" x14ac:dyDescent="0.25">
      <c r="A5" s="7" t="s">
        <v>25</v>
      </c>
      <c r="B5" s="4">
        <v>8.1297542500000013</v>
      </c>
    </row>
    <row r="6" spans="1:13" x14ac:dyDescent="0.25">
      <c r="A6" s="7" t="s">
        <v>26</v>
      </c>
      <c r="B6" s="4">
        <v>6.5423315000000004</v>
      </c>
    </row>
    <row r="7" spans="1:13" x14ac:dyDescent="0.25">
      <c r="A7" s="7" t="s">
        <v>27</v>
      </c>
      <c r="B7" s="4">
        <v>13.737820749999999</v>
      </c>
    </row>
    <row r="8" spans="1:13" x14ac:dyDescent="0.25">
      <c r="A8" s="7" t="s">
        <v>28</v>
      </c>
      <c r="B8" s="4">
        <v>29.765004000000001</v>
      </c>
    </row>
    <row r="9" spans="1:13" x14ac:dyDescent="0.25">
      <c r="A9" s="7" t="s">
        <v>29</v>
      </c>
      <c r="B9" s="4">
        <v>21.373986083333335</v>
      </c>
    </row>
    <row r="10" spans="1:13" x14ac:dyDescent="0.25">
      <c r="A10" s="7" t="s">
        <v>30</v>
      </c>
      <c r="B10" s="4">
        <v>14.549721583333335</v>
      </c>
    </row>
    <row r="11" spans="1:13" x14ac:dyDescent="0.25">
      <c r="A11" s="7" t="s">
        <v>31</v>
      </c>
      <c r="B11" s="4">
        <v>32.409055500000001</v>
      </c>
    </row>
    <row r="12" spans="1:13" x14ac:dyDescent="0.25">
      <c r="A12" s="7" t="s">
        <v>32</v>
      </c>
      <c r="B12" s="4">
        <v>46.236168083333332</v>
      </c>
    </row>
    <row r="13" spans="1:13" x14ac:dyDescent="0.25">
      <c r="A13" s="7" t="s">
        <v>33</v>
      </c>
      <c r="B13" s="4">
        <v>42.623956416666665</v>
      </c>
    </row>
    <row r="14" spans="1:13" x14ac:dyDescent="0.25">
      <c r="A14" s="7" t="s">
        <v>34</v>
      </c>
      <c r="B14" s="4">
        <v>51.85333</v>
      </c>
    </row>
    <row r="15" spans="1:13" x14ac:dyDescent="0.25">
      <c r="A15" s="7" t="s">
        <v>35</v>
      </c>
      <c r="B15" s="4">
        <v>81.194542999999996</v>
      </c>
    </row>
    <row r="16" spans="1:13" x14ac:dyDescent="0.25">
      <c r="A16" s="7" t="s">
        <v>36</v>
      </c>
      <c r="B16" s="4">
        <v>65.825943272727272</v>
      </c>
    </row>
    <row r="17" spans="1:2" x14ac:dyDescent="0.25">
      <c r="A17" s="7" t="s">
        <v>23</v>
      </c>
      <c r="B17" s="4">
        <v>32.283036477419344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353D-4DA2-402E-8082-720B5743BC23}">
  <dimension ref="A1:B156"/>
  <sheetViews>
    <sheetView workbookViewId="0">
      <selection activeCell="A2" sqref="A2"/>
    </sheetView>
  </sheetViews>
  <sheetFormatPr defaultRowHeight="15" x14ac:dyDescent="0.25"/>
  <cols>
    <col min="1" max="1" width="10.7109375" bestFit="1" customWidth="1"/>
    <col min="2" max="2" width="10" bestFit="1" customWidth="1"/>
  </cols>
  <sheetData>
    <row r="1" spans="1:2" x14ac:dyDescent="0.25">
      <c r="A1" t="s">
        <v>21</v>
      </c>
      <c r="B1" t="s">
        <v>20</v>
      </c>
    </row>
    <row r="2" spans="1:2" x14ac:dyDescent="0.25">
      <c r="A2" s="5">
        <v>40179</v>
      </c>
      <c r="B2">
        <v>8.6514530000000001</v>
      </c>
    </row>
    <row r="3" spans="1:2" x14ac:dyDescent="0.25">
      <c r="A3" s="5">
        <v>40210</v>
      </c>
      <c r="B3">
        <v>8.9887809999999995</v>
      </c>
    </row>
    <row r="4" spans="1:2" x14ac:dyDescent="0.25">
      <c r="A4" s="5">
        <v>40238</v>
      </c>
      <c r="B4">
        <v>10.288484</v>
      </c>
    </row>
    <row r="5" spans="1:2" x14ac:dyDescent="0.25">
      <c r="A5" s="5">
        <v>40269</v>
      </c>
      <c r="B5">
        <v>9.2765029999999999</v>
      </c>
    </row>
    <row r="6" spans="1:2" x14ac:dyDescent="0.25">
      <c r="A6" s="5">
        <v>40299</v>
      </c>
      <c r="B6">
        <v>9.0185449999999996</v>
      </c>
    </row>
    <row r="7" spans="1:2" x14ac:dyDescent="0.25">
      <c r="A7" s="5">
        <v>40330</v>
      </c>
      <c r="B7">
        <v>8.4232619999999994</v>
      </c>
    </row>
    <row r="8" spans="1:2" x14ac:dyDescent="0.25">
      <c r="A8" s="5">
        <v>40360</v>
      </c>
      <c r="B8">
        <v>7.2227740000000002</v>
      </c>
    </row>
    <row r="9" spans="1:2" x14ac:dyDescent="0.25">
      <c r="A9" s="5">
        <v>40391</v>
      </c>
      <c r="B9">
        <v>6.4092190000000002</v>
      </c>
    </row>
    <row r="10" spans="1:2" x14ac:dyDescent="0.25">
      <c r="A10" s="5">
        <v>40422</v>
      </c>
      <c r="B10">
        <v>7.1533239999999996</v>
      </c>
    </row>
    <row r="11" spans="1:2" x14ac:dyDescent="0.25">
      <c r="A11" s="5">
        <v>40452</v>
      </c>
      <c r="B11">
        <v>8.1950699999999994</v>
      </c>
    </row>
    <row r="12" spans="1:2" x14ac:dyDescent="0.25">
      <c r="A12" s="5">
        <v>40483</v>
      </c>
      <c r="B12">
        <v>7.2128519999999998</v>
      </c>
    </row>
    <row r="13" spans="1:2" x14ac:dyDescent="0.25">
      <c r="A13" s="5">
        <v>40513</v>
      </c>
      <c r="B13">
        <v>7.9569570000000001</v>
      </c>
    </row>
    <row r="14" spans="1:2" x14ac:dyDescent="0.25">
      <c r="A14" s="5">
        <v>40544</v>
      </c>
      <c r="B14">
        <v>10.457148</v>
      </c>
    </row>
    <row r="15" spans="1:2" x14ac:dyDescent="0.25">
      <c r="A15" s="5">
        <v>40575</v>
      </c>
      <c r="B15">
        <v>11.042509000000001</v>
      </c>
    </row>
    <row r="16" spans="1:2" x14ac:dyDescent="0.25">
      <c r="A16" s="5">
        <v>40603</v>
      </c>
      <c r="B16">
        <v>11.379837</v>
      </c>
    </row>
    <row r="17" spans="1:2" x14ac:dyDescent="0.25">
      <c r="A17" s="5">
        <v>40634</v>
      </c>
      <c r="B17">
        <v>11.231014999999999</v>
      </c>
    </row>
    <row r="18" spans="1:2" x14ac:dyDescent="0.25">
      <c r="A18" s="5">
        <v>40664</v>
      </c>
      <c r="B18">
        <v>10.119821</v>
      </c>
    </row>
    <row r="19" spans="1:2" x14ac:dyDescent="0.25">
      <c r="A19" s="5">
        <v>40695</v>
      </c>
      <c r="B19">
        <v>7.4212020000000001</v>
      </c>
    </row>
    <row r="20" spans="1:2" x14ac:dyDescent="0.25">
      <c r="A20" s="5">
        <v>40725</v>
      </c>
      <c r="B20">
        <v>7.3120659999999997</v>
      </c>
    </row>
    <row r="21" spans="1:2" x14ac:dyDescent="0.25">
      <c r="A21" s="5">
        <v>40756</v>
      </c>
      <c r="B21">
        <v>5.8635429999999999</v>
      </c>
    </row>
    <row r="22" spans="1:2" x14ac:dyDescent="0.25">
      <c r="A22" s="5">
        <v>40787</v>
      </c>
      <c r="B22">
        <v>5.0003820000000001</v>
      </c>
    </row>
    <row r="23" spans="1:2" x14ac:dyDescent="0.25">
      <c r="A23" s="5">
        <v>40817</v>
      </c>
      <c r="B23">
        <v>5.5460580000000004</v>
      </c>
    </row>
    <row r="24" spans="1:2" x14ac:dyDescent="0.25">
      <c r="A24" s="5">
        <v>40848</v>
      </c>
      <c r="B24">
        <v>5.942914</v>
      </c>
    </row>
    <row r="25" spans="1:2" x14ac:dyDescent="0.25">
      <c r="A25" s="5">
        <v>40878</v>
      </c>
      <c r="B25">
        <v>6.2405559999999998</v>
      </c>
    </row>
    <row r="26" spans="1:2" x14ac:dyDescent="0.25">
      <c r="A26" s="5">
        <v>40909</v>
      </c>
      <c r="B26">
        <v>7.5402579999999997</v>
      </c>
    </row>
    <row r="27" spans="1:2" x14ac:dyDescent="0.25">
      <c r="A27" s="5">
        <v>40940</v>
      </c>
      <c r="B27">
        <v>8.4827910000000006</v>
      </c>
    </row>
    <row r="28" spans="1:2" x14ac:dyDescent="0.25">
      <c r="A28" s="5">
        <v>40969</v>
      </c>
      <c r="B28">
        <v>8.0363279999999992</v>
      </c>
    </row>
    <row r="29" spans="1:2" x14ac:dyDescent="0.25">
      <c r="A29" s="5">
        <v>41000</v>
      </c>
      <c r="B29">
        <v>6.5381980000000004</v>
      </c>
    </row>
    <row r="30" spans="1:2" x14ac:dyDescent="0.25">
      <c r="A30" s="5">
        <v>41030</v>
      </c>
      <c r="B30">
        <v>5.7940930000000002</v>
      </c>
    </row>
    <row r="31" spans="1:2" x14ac:dyDescent="0.25">
      <c r="A31" s="5">
        <v>41061</v>
      </c>
      <c r="B31">
        <v>6.2603980000000004</v>
      </c>
    </row>
    <row r="32" spans="1:2" x14ac:dyDescent="0.25">
      <c r="A32" s="5">
        <v>41091</v>
      </c>
      <c r="B32">
        <v>6.1611849999999997</v>
      </c>
    </row>
    <row r="33" spans="1:2" x14ac:dyDescent="0.25">
      <c r="A33" s="5">
        <v>41122</v>
      </c>
      <c r="B33">
        <v>6.1611849999999997</v>
      </c>
    </row>
    <row r="34" spans="1:2" x14ac:dyDescent="0.25">
      <c r="A34" s="5">
        <v>41153</v>
      </c>
      <c r="B34">
        <v>5.9329919999999996</v>
      </c>
    </row>
    <row r="35" spans="1:2" x14ac:dyDescent="0.25">
      <c r="A35" s="5">
        <v>41183</v>
      </c>
      <c r="B35">
        <v>5.3873160000000002</v>
      </c>
    </row>
    <row r="36" spans="1:2" x14ac:dyDescent="0.25">
      <c r="A36" s="5">
        <v>41214</v>
      </c>
      <c r="B36">
        <v>5.9230710000000002</v>
      </c>
    </row>
    <row r="37" spans="1:2" x14ac:dyDescent="0.25">
      <c r="A37" s="5">
        <v>41244</v>
      </c>
      <c r="B37">
        <v>6.2901629999999997</v>
      </c>
    </row>
    <row r="38" spans="1:2" x14ac:dyDescent="0.25">
      <c r="A38" s="5">
        <v>41275</v>
      </c>
      <c r="B38">
        <v>7.5005730000000002</v>
      </c>
    </row>
    <row r="39" spans="1:2" x14ac:dyDescent="0.25">
      <c r="A39" s="5">
        <v>41306</v>
      </c>
      <c r="B39">
        <v>8.3141269999999992</v>
      </c>
    </row>
    <row r="40" spans="1:2" x14ac:dyDescent="0.25">
      <c r="A40" s="5">
        <v>41334</v>
      </c>
      <c r="B40">
        <v>9.901548</v>
      </c>
    </row>
    <row r="41" spans="1:2" x14ac:dyDescent="0.25">
      <c r="A41" s="5">
        <v>41365</v>
      </c>
      <c r="B41">
        <v>9.3459520000000005</v>
      </c>
    </row>
    <row r="42" spans="1:2" x14ac:dyDescent="0.25">
      <c r="A42" s="5">
        <v>41395</v>
      </c>
      <c r="B42">
        <v>11.588186</v>
      </c>
    </row>
    <row r="43" spans="1:2" x14ac:dyDescent="0.25">
      <c r="A43" s="5">
        <v>41426</v>
      </c>
      <c r="B43">
        <v>14.217355</v>
      </c>
    </row>
    <row r="44" spans="1:2" x14ac:dyDescent="0.25">
      <c r="A44" s="5">
        <v>41456</v>
      </c>
      <c r="B44">
        <v>13.135922000000001</v>
      </c>
    </row>
    <row r="45" spans="1:2" x14ac:dyDescent="0.25">
      <c r="A45" s="5">
        <v>41487</v>
      </c>
      <c r="B45">
        <v>13.463329</v>
      </c>
    </row>
    <row r="46" spans="1:2" x14ac:dyDescent="0.25">
      <c r="A46" s="5">
        <v>41518</v>
      </c>
      <c r="B46">
        <v>17.332671999999999</v>
      </c>
    </row>
    <row r="47" spans="1:2" x14ac:dyDescent="0.25">
      <c r="A47" s="5">
        <v>41548</v>
      </c>
      <c r="B47">
        <v>17.541021000000001</v>
      </c>
    </row>
    <row r="48" spans="1:2" x14ac:dyDescent="0.25">
      <c r="A48" s="5">
        <v>41579</v>
      </c>
      <c r="B48">
        <v>20.934138999999998</v>
      </c>
    </row>
    <row r="49" spans="1:2" x14ac:dyDescent="0.25">
      <c r="A49" s="5">
        <v>41609</v>
      </c>
      <c r="B49">
        <v>21.579025000000001</v>
      </c>
    </row>
    <row r="50" spans="1:2" x14ac:dyDescent="0.25">
      <c r="A50" s="5">
        <v>41640</v>
      </c>
      <c r="B50">
        <v>22.858886999999999</v>
      </c>
    </row>
    <row r="51" spans="1:2" x14ac:dyDescent="0.25">
      <c r="A51" s="5">
        <v>41671</v>
      </c>
      <c r="B51">
        <v>23.999849000000001</v>
      </c>
    </row>
    <row r="52" spans="1:2" x14ac:dyDescent="0.25">
      <c r="A52" s="5">
        <v>41699</v>
      </c>
      <c r="B52">
        <v>23.474015999999999</v>
      </c>
    </row>
    <row r="53" spans="1:2" x14ac:dyDescent="0.25">
      <c r="A53" s="5">
        <v>41730</v>
      </c>
      <c r="B53">
        <v>25.914677000000001</v>
      </c>
    </row>
    <row r="54" spans="1:2" x14ac:dyDescent="0.25">
      <c r="A54" s="5">
        <v>41760</v>
      </c>
      <c r="B54">
        <v>28.365261</v>
      </c>
    </row>
    <row r="55" spans="1:2" x14ac:dyDescent="0.25">
      <c r="A55" s="5">
        <v>41791</v>
      </c>
      <c r="B55">
        <v>32.690989999999999</v>
      </c>
    </row>
    <row r="56" spans="1:2" x14ac:dyDescent="0.25">
      <c r="A56" s="5">
        <v>41821</v>
      </c>
      <c r="B56">
        <v>30.309854999999999</v>
      </c>
    </row>
    <row r="57" spans="1:2" x14ac:dyDescent="0.25">
      <c r="A57" s="5">
        <v>41852</v>
      </c>
      <c r="B57">
        <v>32.343738999999999</v>
      </c>
    </row>
    <row r="58" spans="1:2" x14ac:dyDescent="0.25">
      <c r="A58" s="5">
        <v>41883</v>
      </c>
      <c r="B58">
        <v>33.990687999999999</v>
      </c>
    </row>
    <row r="59" spans="1:2" x14ac:dyDescent="0.25">
      <c r="A59" s="5">
        <v>41913</v>
      </c>
      <c r="B59">
        <v>32.829886999999999</v>
      </c>
    </row>
    <row r="60" spans="1:2" x14ac:dyDescent="0.25">
      <c r="A60" s="5">
        <v>41944</v>
      </c>
      <c r="B60">
        <v>35.667403999999998</v>
      </c>
    </row>
    <row r="61" spans="1:2" x14ac:dyDescent="0.25">
      <c r="A61" s="5">
        <v>41974</v>
      </c>
      <c r="B61">
        <v>34.734794999999998</v>
      </c>
    </row>
    <row r="62" spans="1:2" x14ac:dyDescent="0.25">
      <c r="A62" s="5">
        <v>42005</v>
      </c>
      <c r="B62">
        <v>29.039916999999999</v>
      </c>
    </row>
    <row r="63" spans="1:2" x14ac:dyDescent="0.25">
      <c r="A63" s="5">
        <v>42036</v>
      </c>
      <c r="B63">
        <v>30.428909000000001</v>
      </c>
    </row>
    <row r="64" spans="1:2" x14ac:dyDescent="0.25">
      <c r="A64" s="5">
        <v>42064</v>
      </c>
      <c r="B64">
        <v>26.916737000000001</v>
      </c>
    </row>
    <row r="65" spans="1:2" x14ac:dyDescent="0.25">
      <c r="A65" s="5">
        <v>42095</v>
      </c>
      <c r="B65">
        <v>27.908875999999999</v>
      </c>
    </row>
    <row r="66" spans="1:2" x14ac:dyDescent="0.25">
      <c r="A66" s="5">
        <v>42125</v>
      </c>
      <c r="B66">
        <v>27.710449000000001</v>
      </c>
    </row>
    <row r="67" spans="1:2" x14ac:dyDescent="0.25">
      <c r="A67" s="5">
        <v>42156</v>
      </c>
      <c r="B67">
        <v>18.691904000000001</v>
      </c>
    </row>
    <row r="68" spans="1:2" x14ac:dyDescent="0.25">
      <c r="A68" s="5">
        <v>42186</v>
      </c>
      <c r="B68">
        <v>18.364495999999999</v>
      </c>
    </row>
    <row r="69" spans="1:2" x14ac:dyDescent="0.25">
      <c r="A69" s="5">
        <v>42217</v>
      </c>
      <c r="B69">
        <v>16.281003999999999</v>
      </c>
    </row>
    <row r="70" spans="1:2" x14ac:dyDescent="0.25">
      <c r="A70" s="5">
        <v>42248</v>
      </c>
      <c r="B70">
        <v>14.862246000000001</v>
      </c>
    </row>
    <row r="71" spans="1:2" x14ac:dyDescent="0.25">
      <c r="A71" s="5">
        <v>42278</v>
      </c>
      <c r="B71">
        <v>16.429825000000001</v>
      </c>
    </row>
    <row r="72" spans="1:2" x14ac:dyDescent="0.25">
      <c r="A72" s="5">
        <v>42309</v>
      </c>
      <c r="B72">
        <v>15.804778000000001</v>
      </c>
    </row>
    <row r="73" spans="1:2" x14ac:dyDescent="0.25">
      <c r="A73" s="5">
        <v>42339</v>
      </c>
      <c r="B73">
        <v>14.048692000000001</v>
      </c>
    </row>
    <row r="74" spans="1:2" x14ac:dyDescent="0.25">
      <c r="A74" s="5">
        <v>42370</v>
      </c>
      <c r="B74">
        <v>10.943295000000001</v>
      </c>
    </row>
    <row r="75" spans="1:2" x14ac:dyDescent="0.25">
      <c r="A75" s="5">
        <v>42401</v>
      </c>
      <c r="B75">
        <v>10.546438999999999</v>
      </c>
    </row>
    <row r="76" spans="1:2" x14ac:dyDescent="0.25">
      <c r="A76" s="5">
        <v>42430</v>
      </c>
      <c r="B76">
        <v>10.387696999999999</v>
      </c>
    </row>
    <row r="77" spans="1:2" x14ac:dyDescent="0.25">
      <c r="A77" s="5">
        <v>42461</v>
      </c>
      <c r="B77">
        <v>10.665497999999999</v>
      </c>
    </row>
    <row r="78" spans="1:2" x14ac:dyDescent="0.25">
      <c r="A78" s="5">
        <v>42491</v>
      </c>
      <c r="B78">
        <v>12.620011</v>
      </c>
    </row>
    <row r="79" spans="1:2" x14ac:dyDescent="0.25">
      <c r="A79" s="5">
        <v>42522</v>
      </c>
      <c r="B79">
        <v>13.651835999999999</v>
      </c>
    </row>
    <row r="80" spans="1:2" x14ac:dyDescent="0.25">
      <c r="A80" s="5">
        <v>42552</v>
      </c>
      <c r="B80">
        <v>13.631993</v>
      </c>
    </row>
    <row r="81" spans="1:2" x14ac:dyDescent="0.25">
      <c r="A81" s="5">
        <v>42583</v>
      </c>
      <c r="B81">
        <v>16.360374</v>
      </c>
    </row>
    <row r="82" spans="1:2" x14ac:dyDescent="0.25">
      <c r="A82" s="5">
        <v>42614</v>
      </c>
      <c r="B82">
        <v>17.640236000000002</v>
      </c>
    </row>
    <row r="83" spans="1:2" x14ac:dyDescent="0.25">
      <c r="A83" s="5">
        <v>42644</v>
      </c>
      <c r="B83">
        <v>17.025107999999999</v>
      </c>
    </row>
    <row r="84" spans="1:2" x14ac:dyDescent="0.25">
      <c r="A84" s="5">
        <v>42675</v>
      </c>
      <c r="B84">
        <v>19.376480000000001</v>
      </c>
    </row>
    <row r="85" spans="1:2" x14ac:dyDescent="0.25">
      <c r="A85" s="5">
        <v>42705</v>
      </c>
      <c r="B85">
        <v>21.747692000000001</v>
      </c>
    </row>
    <row r="86" spans="1:2" x14ac:dyDescent="0.25">
      <c r="A86" s="5">
        <v>42736</v>
      </c>
      <c r="B86">
        <v>23.920477000000002</v>
      </c>
    </row>
    <row r="87" spans="1:2" x14ac:dyDescent="0.25">
      <c r="A87" s="5">
        <v>42767</v>
      </c>
      <c r="B87">
        <v>23.255742999999999</v>
      </c>
    </row>
    <row r="88" spans="1:2" x14ac:dyDescent="0.25">
      <c r="A88" s="5">
        <v>42795</v>
      </c>
      <c r="B88">
        <v>28.672825</v>
      </c>
    </row>
    <row r="89" spans="1:2" x14ac:dyDescent="0.25">
      <c r="A89" s="5">
        <v>42826</v>
      </c>
      <c r="B89">
        <v>27.452491999999999</v>
      </c>
    </row>
    <row r="90" spans="1:2" x14ac:dyDescent="0.25">
      <c r="A90" s="5">
        <v>42856</v>
      </c>
      <c r="B90">
        <v>30.528123999999998</v>
      </c>
    </row>
    <row r="91" spans="1:2" x14ac:dyDescent="0.25">
      <c r="A91" s="5">
        <v>42887</v>
      </c>
      <c r="B91">
        <v>29.625277000000001</v>
      </c>
    </row>
    <row r="92" spans="1:2" x14ac:dyDescent="0.25">
      <c r="A92" s="5">
        <v>42917</v>
      </c>
      <c r="B92">
        <v>27.898955999999998</v>
      </c>
    </row>
    <row r="93" spans="1:2" x14ac:dyDescent="0.25">
      <c r="A93" s="5">
        <v>42948</v>
      </c>
      <c r="B93">
        <v>31.718692999999998</v>
      </c>
    </row>
    <row r="94" spans="1:2" x14ac:dyDescent="0.25">
      <c r="A94" s="5">
        <v>42979</v>
      </c>
      <c r="B94">
        <v>39.020836000000003</v>
      </c>
    </row>
    <row r="95" spans="1:2" x14ac:dyDescent="0.25">
      <c r="A95" s="5">
        <v>43009</v>
      </c>
      <c r="B95">
        <v>43.961697000000001</v>
      </c>
    </row>
    <row r="96" spans="1:2" x14ac:dyDescent="0.25">
      <c r="A96" s="5">
        <v>43040</v>
      </c>
      <c r="B96">
        <v>42.056778000000001</v>
      </c>
    </row>
    <row r="97" spans="1:2" x14ac:dyDescent="0.25">
      <c r="A97" s="5">
        <v>43070</v>
      </c>
      <c r="B97">
        <v>40.796768</v>
      </c>
    </row>
    <row r="98" spans="1:2" x14ac:dyDescent="0.25">
      <c r="A98" s="5">
        <v>43101</v>
      </c>
      <c r="B98">
        <v>43.376328000000001</v>
      </c>
    </row>
    <row r="99" spans="1:2" x14ac:dyDescent="0.25">
      <c r="A99" s="5">
        <v>43132</v>
      </c>
      <c r="B99">
        <v>48.426315000000002</v>
      </c>
    </row>
    <row r="100" spans="1:2" x14ac:dyDescent="0.25">
      <c r="A100" s="5">
        <v>43160</v>
      </c>
      <c r="B100">
        <v>51.730136999999999</v>
      </c>
    </row>
    <row r="101" spans="1:2" x14ac:dyDescent="0.25">
      <c r="A101" s="5">
        <v>43191</v>
      </c>
      <c r="B101">
        <v>45.618561</v>
      </c>
    </row>
    <row r="102" spans="1:2" x14ac:dyDescent="0.25">
      <c r="A102" s="5">
        <v>43221</v>
      </c>
      <c r="B102">
        <v>57.137298999999999</v>
      </c>
    </row>
    <row r="103" spans="1:2" x14ac:dyDescent="0.25">
      <c r="A103" s="5">
        <v>43252</v>
      </c>
      <c r="B103">
        <v>52.027779000000002</v>
      </c>
    </row>
    <row r="104" spans="1:2" x14ac:dyDescent="0.25">
      <c r="A104" s="5">
        <v>43282</v>
      </c>
      <c r="B104">
        <v>52.375027000000003</v>
      </c>
    </row>
    <row r="105" spans="1:2" x14ac:dyDescent="0.25">
      <c r="A105" s="5">
        <v>43313</v>
      </c>
      <c r="B105">
        <v>52.107154999999999</v>
      </c>
    </row>
    <row r="106" spans="1:2" x14ac:dyDescent="0.25">
      <c r="A106" s="5">
        <v>43344</v>
      </c>
      <c r="B106">
        <v>44.874454</v>
      </c>
    </row>
    <row r="107" spans="1:2" x14ac:dyDescent="0.25">
      <c r="A107" s="5">
        <v>43374</v>
      </c>
      <c r="B107">
        <v>37.423492000000003</v>
      </c>
    </row>
    <row r="108" spans="1:2" x14ac:dyDescent="0.25">
      <c r="A108" s="5">
        <v>43405</v>
      </c>
      <c r="B108">
        <v>38.256892999999998</v>
      </c>
    </row>
    <row r="109" spans="1:2" x14ac:dyDescent="0.25">
      <c r="A109" s="5">
        <v>43435</v>
      </c>
      <c r="B109">
        <v>31.480577</v>
      </c>
    </row>
    <row r="110" spans="1:2" x14ac:dyDescent="0.25">
      <c r="A110" s="5">
        <v>43466</v>
      </c>
      <c r="B110">
        <v>37.919567000000001</v>
      </c>
    </row>
    <row r="111" spans="1:2" x14ac:dyDescent="0.25">
      <c r="A111" s="5">
        <v>43497</v>
      </c>
      <c r="B111">
        <v>40.558650999999998</v>
      </c>
    </row>
    <row r="112" spans="1:2" x14ac:dyDescent="0.25">
      <c r="A112" s="5">
        <v>43525</v>
      </c>
      <c r="B112">
        <v>41.005116000000001</v>
      </c>
    </row>
    <row r="113" spans="1:2" x14ac:dyDescent="0.25">
      <c r="A113" s="5">
        <v>43556</v>
      </c>
      <c r="B113">
        <v>41.729377999999997</v>
      </c>
    </row>
    <row r="114" spans="1:2" x14ac:dyDescent="0.25">
      <c r="A114" s="5">
        <v>43586</v>
      </c>
      <c r="B114">
        <v>32.353661000000002</v>
      </c>
    </row>
    <row r="115" spans="1:2" x14ac:dyDescent="0.25">
      <c r="A115" s="5">
        <v>43617</v>
      </c>
      <c r="B115">
        <v>38.286659</v>
      </c>
    </row>
    <row r="116" spans="1:2" x14ac:dyDescent="0.25">
      <c r="A116" s="5">
        <v>43647</v>
      </c>
      <c r="B116">
        <v>44.537125000000003</v>
      </c>
    </row>
    <row r="117" spans="1:2" x14ac:dyDescent="0.25">
      <c r="A117" s="5">
        <v>43678</v>
      </c>
      <c r="B117">
        <v>44.914146000000002</v>
      </c>
    </row>
    <row r="118" spans="1:2" x14ac:dyDescent="0.25">
      <c r="A118" s="5">
        <v>43709</v>
      </c>
      <c r="B118">
        <v>42.513168</v>
      </c>
    </row>
    <row r="119" spans="1:2" x14ac:dyDescent="0.25">
      <c r="A119" s="5">
        <v>43739</v>
      </c>
      <c r="B119">
        <v>47.176223999999998</v>
      </c>
    </row>
    <row r="120" spans="1:2" x14ac:dyDescent="0.25">
      <c r="A120" s="5">
        <v>43770</v>
      </c>
      <c r="B120">
        <v>47.136536</v>
      </c>
    </row>
    <row r="121" spans="1:2" x14ac:dyDescent="0.25">
      <c r="A121" s="5">
        <v>43800</v>
      </c>
      <c r="B121">
        <v>53.357246000000004</v>
      </c>
    </row>
    <row r="122" spans="1:2" x14ac:dyDescent="0.25">
      <c r="A122" s="5">
        <v>43831</v>
      </c>
      <c r="B122">
        <v>52.672676000000003</v>
      </c>
    </row>
    <row r="123" spans="1:2" x14ac:dyDescent="0.25">
      <c r="A123" s="5">
        <v>43862</v>
      </c>
      <c r="B123">
        <v>52.146835000000003</v>
      </c>
    </row>
    <row r="124" spans="1:2" x14ac:dyDescent="0.25">
      <c r="A124" s="5">
        <v>43891</v>
      </c>
      <c r="B124">
        <v>41.729377999999997</v>
      </c>
    </row>
    <row r="125" spans="1:2" x14ac:dyDescent="0.25">
      <c r="A125" s="5">
        <v>43922</v>
      </c>
      <c r="B125">
        <v>47.513550000000002</v>
      </c>
    </row>
    <row r="126" spans="1:2" x14ac:dyDescent="0.25">
      <c r="A126" s="5">
        <v>43952</v>
      </c>
      <c r="B126">
        <v>47.533394000000001</v>
      </c>
    </row>
    <row r="127" spans="1:2" x14ac:dyDescent="0.25">
      <c r="A127" s="5">
        <v>43983</v>
      </c>
      <c r="B127">
        <v>51.115017000000002</v>
      </c>
    </row>
    <row r="128" spans="1:2" x14ac:dyDescent="0.25">
      <c r="A128" s="5">
        <v>44013</v>
      </c>
      <c r="B128">
        <v>49.666488999999999</v>
      </c>
    </row>
    <row r="129" spans="1:2" x14ac:dyDescent="0.25">
      <c r="A129" s="5">
        <v>44044</v>
      </c>
      <c r="B129">
        <v>45.152251999999997</v>
      </c>
    </row>
    <row r="130" spans="1:2" x14ac:dyDescent="0.25">
      <c r="A130" s="5">
        <v>44075</v>
      </c>
      <c r="B130">
        <v>46.590857999999997</v>
      </c>
    </row>
    <row r="131" spans="1:2" x14ac:dyDescent="0.25">
      <c r="A131" s="5">
        <v>44105</v>
      </c>
      <c r="B131">
        <v>49.944290000000002</v>
      </c>
    </row>
    <row r="132" spans="1:2" x14ac:dyDescent="0.25">
      <c r="A132" s="5">
        <v>44136</v>
      </c>
      <c r="B132">
        <v>63.586201000000003</v>
      </c>
    </row>
    <row r="133" spans="1:2" x14ac:dyDescent="0.25">
      <c r="A133" s="5">
        <v>44166</v>
      </c>
      <c r="B133">
        <v>74.589020000000005</v>
      </c>
    </row>
    <row r="134" spans="1:2" x14ac:dyDescent="0.25">
      <c r="A134" s="5">
        <v>44197</v>
      </c>
      <c r="B134">
        <v>77.654739000000006</v>
      </c>
    </row>
    <row r="135" spans="1:2" x14ac:dyDescent="0.25">
      <c r="A135" s="5">
        <v>44228</v>
      </c>
      <c r="B135">
        <v>90.810492999999994</v>
      </c>
    </row>
    <row r="136" spans="1:2" x14ac:dyDescent="0.25">
      <c r="A136" s="5">
        <v>44256</v>
      </c>
      <c r="B136">
        <v>87.516609000000003</v>
      </c>
    </row>
    <row r="137" spans="1:2" x14ac:dyDescent="0.25">
      <c r="A137" s="5">
        <v>44287</v>
      </c>
      <c r="B137">
        <v>85.393424999999993</v>
      </c>
    </row>
    <row r="138" spans="1:2" x14ac:dyDescent="0.25">
      <c r="A138" s="5">
        <v>44317</v>
      </c>
      <c r="B138">
        <v>83.478592000000006</v>
      </c>
    </row>
    <row r="139" spans="1:2" x14ac:dyDescent="0.25">
      <c r="A139" s="5">
        <v>44348</v>
      </c>
      <c r="B139">
        <v>84.311995999999994</v>
      </c>
    </row>
    <row r="140" spans="1:2" x14ac:dyDescent="0.25">
      <c r="A140" s="5">
        <v>44378</v>
      </c>
      <c r="B140">
        <v>76.970168999999999</v>
      </c>
    </row>
    <row r="141" spans="1:2" x14ac:dyDescent="0.25">
      <c r="A141" s="5">
        <v>44409</v>
      </c>
      <c r="B141">
        <v>73.120650999999995</v>
      </c>
    </row>
    <row r="142" spans="1:2" x14ac:dyDescent="0.25">
      <c r="A142" s="5">
        <v>44440</v>
      </c>
      <c r="B142">
        <v>70.422049999999999</v>
      </c>
    </row>
    <row r="143" spans="1:2" x14ac:dyDescent="0.25">
      <c r="A143" s="5">
        <v>44470</v>
      </c>
      <c r="B143">
        <v>68.652648999999997</v>
      </c>
    </row>
    <row r="144" spans="1:2" x14ac:dyDescent="0.25">
      <c r="A144" s="5">
        <v>44501</v>
      </c>
      <c r="B144">
        <v>83.456183999999993</v>
      </c>
    </row>
    <row r="145" spans="1:2" x14ac:dyDescent="0.25">
      <c r="A145" s="5">
        <v>44531</v>
      </c>
      <c r="B145">
        <v>92.546959000000001</v>
      </c>
    </row>
    <row r="146" spans="1:2" x14ac:dyDescent="0.25">
      <c r="A146" s="5">
        <v>44562</v>
      </c>
      <c r="B146">
        <v>81.824532000000005</v>
      </c>
    </row>
    <row r="147" spans="1:2" x14ac:dyDescent="0.25">
      <c r="A147" s="5">
        <v>44593</v>
      </c>
      <c r="B147">
        <v>88.378860000000003</v>
      </c>
    </row>
    <row r="148" spans="1:2" x14ac:dyDescent="0.25">
      <c r="A148" s="5">
        <v>44621</v>
      </c>
      <c r="B148">
        <v>77.468254000000002</v>
      </c>
    </row>
    <row r="149" spans="1:2" x14ac:dyDescent="0.25">
      <c r="A149" s="5">
        <v>44652</v>
      </c>
      <c r="B149">
        <v>67.820778000000004</v>
      </c>
    </row>
    <row r="150" spans="1:2" x14ac:dyDescent="0.25">
      <c r="A150" s="5">
        <v>44682</v>
      </c>
      <c r="B150">
        <v>73.540535000000006</v>
      </c>
    </row>
    <row r="151" spans="1:2" x14ac:dyDescent="0.25">
      <c r="A151" s="5">
        <v>44713</v>
      </c>
      <c r="B151">
        <v>55.055813000000001</v>
      </c>
    </row>
    <row r="152" spans="1:2" x14ac:dyDescent="0.25">
      <c r="A152" s="5">
        <v>44743</v>
      </c>
      <c r="B152">
        <v>61.609127000000001</v>
      </c>
    </row>
    <row r="153" spans="1:2" x14ac:dyDescent="0.25">
      <c r="A153" s="5">
        <v>44774</v>
      </c>
      <c r="B153">
        <v>56.410975999999998</v>
      </c>
    </row>
    <row r="154" spans="1:2" x14ac:dyDescent="0.25">
      <c r="A154" s="5">
        <v>44805</v>
      </c>
      <c r="B154">
        <v>49.994514000000002</v>
      </c>
    </row>
    <row r="155" spans="1:2" x14ac:dyDescent="0.25">
      <c r="A155" s="5">
        <v>44835</v>
      </c>
      <c r="B155">
        <v>55.931987999999997</v>
      </c>
    </row>
    <row r="156" spans="1:2" x14ac:dyDescent="0.25">
      <c r="A156" s="5">
        <v>44855</v>
      </c>
      <c r="B156">
        <v>56.049999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7"/>
  <sheetViews>
    <sheetView showGridLines="0" tabSelected="1" workbookViewId="0">
      <pane xSplit="1" topLeftCell="E1" activePane="topRight" state="frozen"/>
      <selection activeCell="A3" sqref="A3"/>
      <selection pane="topRight" activeCell="AA29" sqref="AA29"/>
    </sheetView>
  </sheetViews>
  <sheetFormatPr defaultRowHeight="15" x14ac:dyDescent="0.25"/>
  <cols>
    <col min="1" max="1" width="16.28515625" bestFit="1" customWidth="1"/>
    <col min="3" max="3" width="11.7109375" bestFit="1" customWidth="1"/>
    <col min="4" max="7" width="10.5703125" bestFit="1" customWidth="1"/>
    <col min="8" max="9" width="11.5703125" bestFit="1" customWidth="1"/>
    <col min="10" max="10" width="10.5703125" bestFit="1" customWidth="1"/>
    <col min="11" max="12" width="11.5703125" bestFit="1" customWidth="1"/>
    <col min="13" max="13" width="10.5703125" bestFit="1" customWidth="1"/>
    <col min="25" max="25" width="14.5703125" bestFit="1" customWidth="1"/>
    <col min="26" max="27" width="10" bestFit="1" customWidth="1"/>
  </cols>
  <sheetData>
    <row r="1" spans="1:27" x14ac:dyDescent="0.25">
      <c r="A1" t="s">
        <v>0</v>
      </c>
      <c r="C1" t="s">
        <v>1</v>
      </c>
      <c r="D1" t="s">
        <v>2</v>
      </c>
    </row>
    <row r="2" spans="1:27" ht="26.25" x14ac:dyDescent="0.4">
      <c r="A2" s="2" t="s">
        <v>3</v>
      </c>
    </row>
    <row r="3" spans="1:27" x14ac:dyDescent="0.25">
      <c r="C3" s="3">
        <v>2013</v>
      </c>
      <c r="D3" s="3">
        <f t="shared" ref="D3:L3" si="0">C3+1</f>
        <v>2014</v>
      </c>
      <c r="E3" s="3">
        <f t="shared" si="0"/>
        <v>2015</v>
      </c>
      <c r="F3" s="3">
        <f t="shared" si="0"/>
        <v>2016</v>
      </c>
      <c r="G3" s="3">
        <f t="shared" si="0"/>
        <v>2017</v>
      </c>
      <c r="H3" s="3">
        <f t="shared" si="0"/>
        <v>2018</v>
      </c>
      <c r="I3" s="3">
        <f t="shared" si="0"/>
        <v>2019</v>
      </c>
      <c r="J3" s="3">
        <f t="shared" si="0"/>
        <v>2020</v>
      </c>
      <c r="K3" s="3">
        <f t="shared" si="0"/>
        <v>2021</v>
      </c>
      <c r="L3" s="3">
        <f t="shared" si="0"/>
        <v>2022</v>
      </c>
      <c r="M3" s="13" t="s">
        <v>39</v>
      </c>
      <c r="N3" s="19">
        <f>L3+1</f>
        <v>2023</v>
      </c>
      <c r="O3" s="19">
        <f>N3+1</f>
        <v>2024</v>
      </c>
      <c r="P3" s="19">
        <f t="shared" ref="P3:W3" si="1">O3+1</f>
        <v>2025</v>
      </c>
      <c r="Q3" s="19">
        <f t="shared" si="1"/>
        <v>2026</v>
      </c>
      <c r="R3" s="20">
        <f t="shared" si="1"/>
        <v>2027</v>
      </c>
      <c r="S3" s="19">
        <f t="shared" si="1"/>
        <v>2028</v>
      </c>
      <c r="T3" s="19">
        <f t="shared" si="1"/>
        <v>2029</v>
      </c>
      <c r="U3" s="19">
        <f t="shared" si="1"/>
        <v>2030</v>
      </c>
      <c r="V3" s="19">
        <f t="shared" si="1"/>
        <v>2031</v>
      </c>
      <c r="W3" s="19">
        <f t="shared" si="1"/>
        <v>2032</v>
      </c>
    </row>
    <row r="4" spans="1:27" x14ac:dyDescent="0.25">
      <c r="A4" s="1" t="s">
        <v>4</v>
      </c>
      <c r="C4" s="9">
        <v>9073</v>
      </c>
      <c r="D4" s="9">
        <v>16358</v>
      </c>
      <c r="E4" s="9">
        <v>16192</v>
      </c>
      <c r="F4" s="9">
        <v>12399</v>
      </c>
      <c r="G4" s="9">
        <v>20322</v>
      </c>
      <c r="H4" s="9">
        <v>30291</v>
      </c>
      <c r="I4" s="9">
        <v>23406</v>
      </c>
      <c r="J4" s="9">
        <v>21435</v>
      </c>
      <c r="K4" s="9">
        <v>27705</v>
      </c>
      <c r="L4" s="9">
        <v>30758</v>
      </c>
      <c r="M4" s="14">
        <f>(L4/C4)^(1/($L$3-$C$3))-1</f>
        <v>0.14528061278483984</v>
      </c>
    </row>
    <row r="5" spans="1:27" x14ac:dyDescent="0.25">
      <c r="A5" s="1"/>
      <c r="C5" s="9"/>
      <c r="D5" s="9"/>
      <c r="E5" s="9"/>
      <c r="F5" s="9"/>
      <c r="G5" s="9"/>
      <c r="H5" s="9"/>
      <c r="I5" s="9"/>
      <c r="J5" s="9"/>
      <c r="K5" s="9"/>
      <c r="L5" s="9"/>
      <c r="M5" s="15"/>
      <c r="Y5" s="23" t="s">
        <v>40</v>
      </c>
      <c r="Z5" s="23"/>
      <c r="AA5" s="23"/>
    </row>
    <row r="6" spans="1:27" x14ac:dyDescent="0.25">
      <c r="A6" s="1" t="s">
        <v>5</v>
      </c>
      <c r="C6" s="9">
        <f>236+1804</f>
        <v>2040</v>
      </c>
      <c r="D6" s="9">
        <f>3087+2103</f>
        <v>5190</v>
      </c>
      <c r="E6" s="9">
        <f>2998+2667</f>
        <v>5665</v>
      </c>
      <c r="F6" s="9">
        <f>168+2980</f>
        <v>3148</v>
      </c>
      <c r="G6" s="9">
        <f>5868+3861</f>
        <v>9729</v>
      </c>
      <c r="H6" s="9">
        <f>14994+4759</f>
        <v>19753</v>
      </c>
      <c r="I6" s="9">
        <f>7376+5424</f>
        <v>12800</v>
      </c>
      <c r="J6" s="9">
        <f>3003+5650</f>
        <v>8653</v>
      </c>
      <c r="K6" s="9">
        <f>6283+6214</f>
        <v>12497</v>
      </c>
      <c r="L6" s="9">
        <f>9702+7116</f>
        <v>16818</v>
      </c>
      <c r="M6" s="14">
        <f>(L6/C6)^(1/($L$3-$C$3))-1</f>
        <v>0.26413599574316127</v>
      </c>
      <c r="N6" s="9">
        <f>L6*(1+N7)</f>
        <v>18499.800000000003</v>
      </c>
      <c r="O6" s="9">
        <f>N6*(1+O7)</f>
        <v>20349.780000000006</v>
      </c>
      <c r="P6" s="9">
        <f>O6*(1+P7)</f>
        <v>22384.758000000009</v>
      </c>
      <c r="Q6" s="9">
        <f>P6*(1+Q7)</f>
        <v>24623.233800000013</v>
      </c>
      <c r="R6" s="9">
        <f>Q6*(1+R7)</f>
        <v>27085.557180000018</v>
      </c>
      <c r="S6" s="9">
        <f>R6*(1+S7)</f>
        <v>29794.112898000021</v>
      </c>
      <c r="T6" s="9">
        <f>S6*(1+T7)</f>
        <v>31283.818542900022</v>
      </c>
      <c r="U6" s="9">
        <f>T6*(1+U7)</f>
        <v>32848.009470045028</v>
      </c>
      <c r="V6" s="9">
        <f>U6*(1+V7)</f>
        <v>34490.409943547282</v>
      </c>
      <c r="W6" s="9">
        <f>V6*(1+W7)</f>
        <v>36214.930440724645</v>
      </c>
      <c r="Y6" s="24" t="s">
        <v>46</v>
      </c>
      <c r="Z6" s="25">
        <v>2027</v>
      </c>
      <c r="AA6" s="25">
        <v>2032</v>
      </c>
    </row>
    <row r="7" spans="1:27" x14ac:dyDescent="0.25">
      <c r="A7" s="1"/>
      <c r="C7" s="9"/>
      <c r="D7" s="9"/>
      <c r="E7" s="9"/>
      <c r="F7" s="9"/>
      <c r="G7" s="9"/>
      <c r="H7" s="9"/>
      <c r="I7" s="9"/>
      <c r="J7" s="9"/>
      <c r="K7" s="9"/>
      <c r="L7" s="9"/>
      <c r="M7" s="15"/>
      <c r="N7" s="21">
        <v>0.1</v>
      </c>
      <c r="O7" s="21">
        <v>0.1</v>
      </c>
      <c r="P7" s="21">
        <v>0.1</v>
      </c>
      <c r="Q7" s="21">
        <v>0.1</v>
      </c>
      <c r="R7" s="21">
        <v>0.1</v>
      </c>
      <c r="S7" s="21">
        <v>0.1</v>
      </c>
      <c r="T7" s="21">
        <v>0.05</v>
      </c>
      <c r="U7" s="21">
        <v>0.05</v>
      </c>
      <c r="V7" s="21">
        <v>0.05</v>
      </c>
      <c r="W7" s="21">
        <v>0.05</v>
      </c>
      <c r="Y7" s="26" t="s">
        <v>41</v>
      </c>
      <c r="Z7" s="27">
        <f>R6</f>
        <v>27085.557180000018</v>
      </c>
      <c r="AA7" s="27">
        <f>W6</f>
        <v>36214.930440724645</v>
      </c>
    </row>
    <row r="8" spans="1:27" x14ac:dyDescent="0.25">
      <c r="A8" s="1"/>
      <c r="C8" s="9"/>
      <c r="D8" s="22">
        <f>D6/C6-1</f>
        <v>1.5441176470588234</v>
      </c>
      <c r="E8" s="22">
        <f t="shared" ref="E8:L8" si="2">E6/D6-1</f>
        <v>9.1522157996146491E-2</v>
      </c>
      <c r="F8" s="22">
        <f t="shared" si="2"/>
        <v>-0.44430714916151814</v>
      </c>
      <c r="G8" s="22">
        <f t="shared" si="2"/>
        <v>2.0905336721728083</v>
      </c>
      <c r="H8" s="22">
        <f t="shared" si="2"/>
        <v>1.0303217185733375</v>
      </c>
      <c r="I8" s="22">
        <f t="shared" si="2"/>
        <v>-0.35199716498759681</v>
      </c>
      <c r="J8" s="22">
        <f t="shared" si="2"/>
        <v>-0.32398437499999999</v>
      </c>
      <c r="K8" s="22">
        <f t="shared" si="2"/>
        <v>0.44423899225702068</v>
      </c>
      <c r="L8" s="22">
        <f t="shared" si="2"/>
        <v>0.34576298311594789</v>
      </c>
      <c r="M8" s="16">
        <f>AVERAGE(D8:L8)</f>
        <v>0.49180094244721889</v>
      </c>
      <c r="Y8" s="26" t="s">
        <v>42</v>
      </c>
      <c r="Z8" s="28">
        <v>5</v>
      </c>
      <c r="AA8" s="28">
        <v>5</v>
      </c>
    </row>
    <row r="9" spans="1:27" x14ac:dyDescent="0.25">
      <c r="A9" s="1"/>
      <c r="M9" s="15"/>
      <c r="Y9" s="26" t="s">
        <v>38</v>
      </c>
      <c r="Z9" s="27">
        <f>Z7*Z8</f>
        <v>135427.78590000008</v>
      </c>
      <c r="AA9" s="27">
        <f t="shared" ref="AA9" si="3">AA7*AA8</f>
        <v>181074.65220362323</v>
      </c>
    </row>
    <row r="10" spans="1:27" x14ac:dyDescent="0.25">
      <c r="A10" s="1" t="s">
        <v>6</v>
      </c>
      <c r="C10" s="9">
        <f>8911-2*4125</f>
        <v>661</v>
      </c>
      <c r="D10" s="9">
        <f>10245-2*4811</f>
        <v>623</v>
      </c>
      <c r="E10" s="9">
        <f>8596-2*3905</f>
        <v>786</v>
      </c>
      <c r="F10" s="9">
        <v>0</v>
      </c>
      <c r="G10" s="9">
        <f>12457-2*5334</f>
        <v>1789</v>
      </c>
      <c r="H10" s="9">
        <f>16039-2*5754</f>
        <v>4531</v>
      </c>
      <c r="I10" s="9">
        <f>16503-2*6390</f>
        <v>3723</v>
      </c>
      <c r="J10" s="9">
        <f>17965-2*6635</f>
        <v>4695</v>
      </c>
      <c r="K10" s="9">
        <f>19907-2*6424</f>
        <v>7059</v>
      </c>
      <c r="L10" s="9">
        <f>21781-2*7539</f>
        <v>6703</v>
      </c>
      <c r="M10" s="14"/>
      <c r="Y10" s="26" t="s">
        <v>43</v>
      </c>
      <c r="Z10" s="29">
        <f>L12</f>
        <v>7516</v>
      </c>
      <c r="AA10" s="29"/>
    </row>
    <row r="11" spans="1:27" x14ac:dyDescent="0.25">
      <c r="A11" s="1"/>
      <c r="M11" s="15"/>
      <c r="Y11" s="26" t="s">
        <v>44</v>
      </c>
      <c r="Z11" s="29">
        <f>L10</f>
        <v>6703</v>
      </c>
      <c r="AA11" s="29"/>
    </row>
    <row r="12" spans="1:27" x14ac:dyDescent="0.25">
      <c r="A12" s="1" t="s">
        <v>7</v>
      </c>
      <c r="C12" s="9">
        <f>1585+4452</f>
        <v>6037</v>
      </c>
      <c r="D12" s="9">
        <f>1638+4955</f>
        <v>6593</v>
      </c>
      <c r="E12" s="9">
        <f>1089+6252</f>
        <v>7341</v>
      </c>
      <c r="F12" s="9">
        <f>756+9154</f>
        <v>9910</v>
      </c>
      <c r="G12" s="9">
        <f>1262+9872</f>
        <v>11134</v>
      </c>
      <c r="H12" s="9">
        <f>859+3777</f>
        <v>4636</v>
      </c>
      <c r="I12" s="9">
        <f>1310+4541</f>
        <v>5851</v>
      </c>
      <c r="J12" s="9">
        <f>270+6373+533</f>
        <v>7176</v>
      </c>
      <c r="K12" s="9">
        <f>155+6621+504</f>
        <v>7280</v>
      </c>
      <c r="L12" s="9">
        <f>103+6803+610</f>
        <v>7516</v>
      </c>
      <c r="M12" s="15"/>
      <c r="Y12" s="26" t="s">
        <v>9</v>
      </c>
      <c r="Z12" s="27">
        <f>Z9-$Z$10+$Z$11</f>
        <v>134614.78590000008</v>
      </c>
      <c r="AA12" s="27">
        <f t="shared" ref="AA12" si="4">AA9-$Z$10+$Z$11</f>
        <v>180261.65220362323</v>
      </c>
    </row>
    <row r="13" spans="1:27" x14ac:dyDescent="0.25">
      <c r="A13" s="1"/>
      <c r="M13" s="15"/>
      <c r="Y13" s="26" t="s">
        <v>8</v>
      </c>
      <c r="Z13" s="30">
        <f>L14</f>
        <v>1122</v>
      </c>
      <c r="AA13" s="30"/>
    </row>
    <row r="14" spans="1:27" x14ac:dyDescent="0.25">
      <c r="A14" s="1" t="s">
        <v>8</v>
      </c>
      <c r="C14" s="10">
        <v>1057</v>
      </c>
      <c r="D14" s="10">
        <v>1198</v>
      </c>
      <c r="E14" s="10">
        <v>1170</v>
      </c>
      <c r="F14" s="10">
        <v>1036</v>
      </c>
      <c r="G14" s="10">
        <v>1154</v>
      </c>
      <c r="H14" s="10">
        <v>1229</v>
      </c>
      <c r="I14" s="10">
        <v>1143</v>
      </c>
      <c r="J14" s="10">
        <v>1131</v>
      </c>
      <c r="K14" s="10">
        <v>1141</v>
      </c>
      <c r="L14" s="10">
        <v>1122</v>
      </c>
      <c r="M14" s="14">
        <f>(L14/C14)^(1/($L$3-$C$3))-1</f>
        <v>6.65293311397952E-3</v>
      </c>
      <c r="Y14" s="36" t="s">
        <v>17</v>
      </c>
      <c r="Z14" s="37">
        <f>Z12/$Z$13</f>
        <v>119.97752754010702</v>
      </c>
      <c r="AA14" s="37">
        <f t="shared" ref="AA14" si="5">AA12/$Z$13</f>
        <v>160.66100909413836</v>
      </c>
    </row>
    <row r="15" spans="1:27" x14ac:dyDescent="0.25">
      <c r="A15" s="1"/>
      <c r="F15" s="9"/>
      <c r="M15" s="15"/>
    </row>
    <row r="16" spans="1:27" x14ac:dyDescent="0.25">
      <c r="A16" s="1" t="s">
        <v>9</v>
      </c>
      <c r="C16" s="9">
        <f>C14*C34</f>
        <v>14520.876532749999</v>
      </c>
      <c r="D16" s="9">
        <f t="shared" ref="D16:L16" si="6">D14*D34</f>
        <v>35658.474792000001</v>
      </c>
      <c r="E16" s="9">
        <f t="shared" si="6"/>
        <v>25007.563717500001</v>
      </c>
      <c r="F16" s="9">
        <f t="shared" si="6"/>
        <v>15073.511560333336</v>
      </c>
      <c r="G16" s="9">
        <f t="shared" si="6"/>
        <v>37400.050047000004</v>
      </c>
      <c r="H16" s="9">
        <f t="shared" si="6"/>
        <v>56824.250574416663</v>
      </c>
      <c r="I16" s="9">
        <f t="shared" si="6"/>
        <v>48719.182184249999</v>
      </c>
      <c r="J16" s="9">
        <f t="shared" si="6"/>
        <v>58646.11623</v>
      </c>
      <c r="K16" s="9">
        <f t="shared" si="6"/>
        <v>92642.973562999992</v>
      </c>
      <c r="L16" s="9">
        <f t="shared" si="6"/>
        <v>73856.708352000001</v>
      </c>
      <c r="M16" s="14">
        <f>(L16/C16)^(1/($L$3-$C$3))-1</f>
        <v>0.19808758635985901</v>
      </c>
      <c r="Y16" s="23" t="s">
        <v>45</v>
      </c>
      <c r="Z16" s="23"/>
      <c r="AA16" s="23"/>
    </row>
    <row r="17" spans="1:28" x14ac:dyDescent="0.25">
      <c r="A17" s="1"/>
      <c r="M17" s="15"/>
      <c r="Y17" s="24" t="s">
        <v>46</v>
      </c>
      <c r="Z17" s="25">
        <v>2027</v>
      </c>
      <c r="AA17" s="25">
        <v>2032</v>
      </c>
    </row>
    <row r="18" spans="1:28" x14ac:dyDescent="0.25">
      <c r="A18" s="1" t="s">
        <v>38</v>
      </c>
      <c r="C18" s="9">
        <f>C16+C12-C10</f>
        <v>19896.87653275</v>
      </c>
      <c r="D18" s="9">
        <f t="shared" ref="D18:L18" si="7">D16+D12-D10</f>
        <v>41628.474792000001</v>
      </c>
      <c r="E18" s="9">
        <f t="shared" si="7"/>
        <v>31562.563717500001</v>
      </c>
      <c r="F18" s="9">
        <f t="shared" si="7"/>
        <v>24983.511560333336</v>
      </c>
      <c r="G18" s="9">
        <f t="shared" si="7"/>
        <v>46745.050047000004</v>
      </c>
      <c r="H18" s="9">
        <f t="shared" si="7"/>
        <v>56929.250574416663</v>
      </c>
      <c r="I18" s="9">
        <f t="shared" si="7"/>
        <v>50847.182184249999</v>
      </c>
      <c r="J18" s="9">
        <f t="shared" si="7"/>
        <v>61127.11623</v>
      </c>
      <c r="K18" s="9">
        <f t="shared" si="7"/>
        <v>92863.973562999992</v>
      </c>
      <c r="L18" s="9">
        <f t="shared" si="7"/>
        <v>74669.708352000001</v>
      </c>
      <c r="M18" s="14">
        <f>(L18/C18)^(1/($L$3-$C$3))-1</f>
        <v>0.15829112248188326</v>
      </c>
      <c r="Y18" s="26" t="s">
        <v>16</v>
      </c>
      <c r="Z18" s="31">
        <f>R32</f>
        <v>4.2214883333333351</v>
      </c>
      <c r="AA18" s="31">
        <f>W32</f>
        <v>5.6443699988156295</v>
      </c>
    </row>
    <row r="19" spans="1:28" x14ac:dyDescent="0.25">
      <c r="A19" s="1"/>
      <c r="M19" s="15"/>
      <c r="Y19" s="26" t="s">
        <v>18</v>
      </c>
      <c r="Z19" s="32">
        <v>0.03</v>
      </c>
      <c r="AA19" s="32">
        <v>0.03</v>
      </c>
    </row>
    <row r="20" spans="1:28" x14ac:dyDescent="0.25">
      <c r="A20" s="1" t="s">
        <v>10</v>
      </c>
      <c r="C20" s="4">
        <f>C18/C6</f>
        <v>9.753370849387256</v>
      </c>
      <c r="D20" s="4">
        <f t="shared" ref="D20:L20" si="8">D18/D6</f>
        <v>8.0209007306358391</v>
      </c>
      <c r="E20" s="4">
        <f t="shared" si="8"/>
        <v>5.5715028627537517</v>
      </c>
      <c r="F20" s="4">
        <f t="shared" si="8"/>
        <v>7.9363124397501066</v>
      </c>
      <c r="G20" s="4">
        <f t="shared" si="8"/>
        <v>4.8047127193956216</v>
      </c>
      <c r="H20" s="4">
        <f t="shared" si="8"/>
        <v>2.8820559193244906</v>
      </c>
      <c r="I20" s="4">
        <f t="shared" si="8"/>
        <v>3.9724361081445312</v>
      </c>
      <c r="J20" s="4">
        <f t="shared" si="8"/>
        <v>7.0642686039523861</v>
      </c>
      <c r="K20" s="4">
        <f t="shared" si="8"/>
        <v>7.430901301352324</v>
      </c>
      <c r="L20" s="4">
        <f t="shared" si="8"/>
        <v>4.4398684951837319</v>
      </c>
      <c r="M20" s="17">
        <f>AVERAGE(C20:L20)</f>
        <v>6.1876330029880036</v>
      </c>
      <c r="P20" s="8"/>
      <c r="Y20" s="36" t="s">
        <v>17</v>
      </c>
      <c r="Z20" s="37">
        <f>Z18/Z19</f>
        <v>140.71627777777783</v>
      </c>
      <c r="AA20" s="37">
        <f t="shared" ref="AA20" si="9">AA18/AA19</f>
        <v>188.14566662718767</v>
      </c>
    </row>
    <row r="21" spans="1:28" x14ac:dyDescent="0.25">
      <c r="A21" s="1"/>
      <c r="M21" s="15"/>
    </row>
    <row r="22" spans="1:28" x14ac:dyDescent="0.25">
      <c r="A22" s="1" t="s">
        <v>11</v>
      </c>
      <c r="C22" s="4">
        <f>C12/C6</f>
        <v>2.9593137254901962</v>
      </c>
      <c r="D22" s="4">
        <f t="shared" ref="D22:L22" si="10">D12/D6</f>
        <v>1.2703275529865126</v>
      </c>
      <c r="E22" s="4">
        <f t="shared" si="10"/>
        <v>1.2958517210944396</v>
      </c>
      <c r="F22" s="4">
        <f t="shared" si="10"/>
        <v>3.1480304955527321</v>
      </c>
      <c r="G22" s="4">
        <f t="shared" si="10"/>
        <v>1.1444136087984376</v>
      </c>
      <c r="H22" s="4">
        <f t="shared" si="10"/>
        <v>0.23469852680605477</v>
      </c>
      <c r="I22" s="4">
        <f t="shared" si="10"/>
        <v>0.45710937499999998</v>
      </c>
      <c r="J22" s="4">
        <f t="shared" si="10"/>
        <v>0.82930775453599903</v>
      </c>
      <c r="K22" s="4">
        <f t="shared" si="10"/>
        <v>0.58253980955429308</v>
      </c>
      <c r="L22" s="4">
        <f t="shared" si="10"/>
        <v>0.44690212867166129</v>
      </c>
      <c r="M22" s="17">
        <f>AVERAGE(C22:L22)</f>
        <v>1.2368494698490327</v>
      </c>
      <c r="Y22" s="34" t="s">
        <v>47</v>
      </c>
      <c r="Z22" s="34"/>
      <c r="AA22" s="34"/>
    </row>
    <row r="23" spans="1:28" x14ac:dyDescent="0.25">
      <c r="A23" s="1"/>
      <c r="M23" s="15"/>
      <c r="Y23" s="35" t="s">
        <v>46</v>
      </c>
      <c r="Z23" s="25">
        <v>2027</v>
      </c>
      <c r="AA23" s="25">
        <v>2032</v>
      </c>
    </row>
    <row r="24" spans="1:28" x14ac:dyDescent="0.25">
      <c r="A24" s="1" t="s">
        <v>12</v>
      </c>
      <c r="C24" s="9">
        <v>1881</v>
      </c>
      <c r="D24" s="9">
        <v>5699</v>
      </c>
      <c r="E24" s="9">
        <v>5208</v>
      </c>
      <c r="F24" s="9">
        <v>3168</v>
      </c>
      <c r="G24" s="9">
        <v>8153</v>
      </c>
      <c r="H24" s="9">
        <v>17400</v>
      </c>
      <c r="I24" s="9">
        <v>13189</v>
      </c>
      <c r="J24" s="9">
        <v>8036</v>
      </c>
      <c r="K24" s="9">
        <v>12468</v>
      </c>
      <c r="L24" s="9">
        <v>15181</v>
      </c>
      <c r="M24" s="14">
        <f>(L24/C24)^(1/($L$3-$C$3))-1</f>
        <v>0.26115351266501841</v>
      </c>
      <c r="Y24" s="26" t="s">
        <v>49</v>
      </c>
      <c r="Z24" s="31">
        <f>Z14</f>
        <v>119.97752754010702</v>
      </c>
      <c r="AA24" s="31">
        <f t="shared" ref="AA24" si="11">AA14</f>
        <v>160.66100909413836</v>
      </c>
    </row>
    <row r="25" spans="1:28" x14ac:dyDescent="0.25">
      <c r="A25" s="1"/>
      <c r="M25" s="15"/>
      <c r="Y25" s="26" t="s">
        <v>48</v>
      </c>
      <c r="Z25" s="31">
        <f>Z20</f>
        <v>140.71627777777783</v>
      </c>
      <c r="AA25" s="31">
        <f t="shared" ref="AA25" si="12">AA20</f>
        <v>188.14566662718767</v>
      </c>
    </row>
    <row r="26" spans="1:28" x14ac:dyDescent="0.25">
      <c r="A26" s="1" t="s">
        <v>13</v>
      </c>
      <c r="C26" s="9">
        <v>-1244</v>
      </c>
      <c r="D26" s="9">
        <v>-3107</v>
      </c>
      <c r="E26" s="9">
        <v>-4021</v>
      </c>
      <c r="F26" s="9">
        <v>-5817</v>
      </c>
      <c r="G26" s="9">
        <v>-4734</v>
      </c>
      <c r="H26" s="9">
        <v>-8879</v>
      </c>
      <c r="I26" s="9">
        <v>-9780</v>
      </c>
      <c r="J26" s="9">
        <v>-8223</v>
      </c>
      <c r="K26" s="9">
        <v>-10030</v>
      </c>
      <c r="L26" s="9">
        <v>-12067</v>
      </c>
      <c r="M26" s="15"/>
      <c r="Y26" s="26" t="s">
        <v>50</v>
      </c>
      <c r="Z26" s="31">
        <f>AVERAGE(Z24:Z25)</f>
        <v>130.34690265894244</v>
      </c>
      <c r="AA26" s="31">
        <f t="shared" ref="AA26" si="13">AVERAGE(AA24:AA25)</f>
        <v>174.40333786066302</v>
      </c>
    </row>
    <row r="27" spans="1:28" x14ac:dyDescent="0.25">
      <c r="A27" s="1"/>
      <c r="M27" s="15"/>
      <c r="Y27" s="26" t="s">
        <v>51</v>
      </c>
      <c r="Z27" s="33">
        <v>56.05</v>
      </c>
      <c r="AA27" s="33"/>
      <c r="AB27" t="s">
        <v>52</v>
      </c>
    </row>
    <row r="28" spans="1:28" x14ac:dyDescent="0.25">
      <c r="A28" s="1" t="s">
        <v>14</v>
      </c>
      <c r="C28" s="9">
        <f>-743+1121</f>
        <v>378</v>
      </c>
      <c r="D28" s="9">
        <f>2212-3843-30</f>
        <v>-1661</v>
      </c>
      <c r="E28" s="9">
        <f>2122-2329-95</f>
        <v>-302</v>
      </c>
      <c r="F28" s="9">
        <f>-870-46+2199</f>
        <v>1283</v>
      </c>
      <c r="G28" s="9">
        <f>-2558-519+3311</f>
        <v>234</v>
      </c>
      <c r="H28" s="9">
        <f>-10194+1009-206</f>
        <v>-9391</v>
      </c>
      <c r="I28" s="9">
        <f>-3340+5000-63</f>
        <v>1597</v>
      </c>
      <c r="J28" s="9">
        <f>-4366+5000-63</f>
        <v>571</v>
      </c>
      <c r="K28" s="9">
        <f>-1520+1188-295</f>
        <v>-627</v>
      </c>
      <c r="L28" s="9">
        <f>-2032+2000-141</f>
        <v>-173</v>
      </c>
      <c r="M28" s="15"/>
      <c r="Y28" s="36" t="s">
        <v>53</v>
      </c>
      <c r="Z28" s="38">
        <f>(Z26/$Z$27)^(1/(Z23-L3))-1</f>
        <v>0.18387273786134606</v>
      </c>
      <c r="AA28" s="38">
        <f>(AA26/Z27)^(1/(AA23-L3))-1</f>
        <v>0.12020605950830254</v>
      </c>
    </row>
    <row r="29" spans="1:28" x14ac:dyDescent="0.25">
      <c r="A29" s="1"/>
      <c r="M29" s="15"/>
    </row>
    <row r="30" spans="1:28" x14ac:dyDescent="0.25">
      <c r="A30" s="1" t="s">
        <v>15</v>
      </c>
      <c r="C30" s="9">
        <f t="shared" ref="C30" si="14">C24+C26+C28</f>
        <v>1015</v>
      </c>
      <c r="D30" s="9">
        <f t="shared" ref="D30:E30" si="15">D24+D26+D28</f>
        <v>931</v>
      </c>
      <c r="E30" s="9">
        <f t="shared" si="15"/>
        <v>885</v>
      </c>
      <c r="F30" s="9">
        <f t="shared" ref="F30:G30" si="16">F24+F26+F28</f>
        <v>-1366</v>
      </c>
      <c r="G30" s="9">
        <f t="shared" si="16"/>
        <v>3653</v>
      </c>
      <c r="H30" s="9">
        <f t="shared" ref="H30:I30" si="17">H24+H26+H28</f>
        <v>-870</v>
      </c>
      <c r="I30" s="9">
        <f t="shared" si="17"/>
        <v>5006</v>
      </c>
      <c r="J30" s="9">
        <f t="shared" ref="J30:L30" si="18">J24+J26+J28</f>
        <v>384</v>
      </c>
      <c r="K30" s="9">
        <f t="shared" si="18"/>
        <v>1811</v>
      </c>
      <c r="L30" s="9">
        <f t="shared" si="18"/>
        <v>2941</v>
      </c>
      <c r="M30" s="14">
        <f>(L30/C30)^(1/($L$3-$C$3))-1</f>
        <v>0.12547681678912315</v>
      </c>
    </row>
    <row r="31" spans="1:28" x14ac:dyDescent="0.25">
      <c r="A31" s="1"/>
      <c r="M31" s="15"/>
    </row>
    <row r="32" spans="1:28" x14ac:dyDescent="0.25">
      <c r="A32" s="1" t="s">
        <v>16</v>
      </c>
      <c r="C32" s="11">
        <f t="shared" ref="C32" si="19">C30/C14</f>
        <v>0.96026490066225167</v>
      </c>
      <c r="D32" s="11">
        <f t="shared" ref="D32:E32" si="20">D30/D14</f>
        <v>0.77712854757929883</v>
      </c>
      <c r="E32" s="11">
        <f t="shared" si="20"/>
        <v>0.75641025641025639</v>
      </c>
      <c r="F32" s="11">
        <f t="shared" ref="F32:G32" si="21">F30/F14</f>
        <v>-1.3185328185328185</v>
      </c>
      <c r="G32" s="11">
        <f t="shared" si="21"/>
        <v>3.1655112651646449</v>
      </c>
      <c r="H32" s="11">
        <f>H30/H14</f>
        <v>-0.70789259560618389</v>
      </c>
      <c r="I32" s="11">
        <f>I30/I14</f>
        <v>4.379702537182852</v>
      </c>
      <c r="J32" s="11">
        <f>J30/J14</f>
        <v>0.33952254641909813</v>
      </c>
      <c r="K32" s="11">
        <f t="shared" ref="K32:L32" si="22">K30/K14</f>
        <v>1.5872042068361087</v>
      </c>
      <c r="L32" s="11">
        <f t="shared" si="22"/>
        <v>2.6212121212121211</v>
      </c>
      <c r="M32" s="14">
        <f>(L32/C32)^(1/($L$3-$C$3))-1</f>
        <v>0.11803858089160268</v>
      </c>
      <c r="N32" s="8">
        <f>L32*(1+N33)</f>
        <v>2.8833333333333333</v>
      </c>
      <c r="O32" s="8">
        <f>N32*(1+O33)</f>
        <v>3.1716666666666669</v>
      </c>
      <c r="P32" s="8">
        <f t="shared" ref="P32:W32" si="23">O32*(1+P33)</f>
        <v>3.4888333333333339</v>
      </c>
      <c r="Q32" s="8">
        <f t="shared" si="23"/>
        <v>3.8377166666666676</v>
      </c>
      <c r="R32" s="8">
        <f t="shared" si="23"/>
        <v>4.2214883333333351</v>
      </c>
      <c r="S32" s="8">
        <f t="shared" si="23"/>
        <v>4.6436371666666689</v>
      </c>
      <c r="T32" s="8">
        <f t="shared" si="23"/>
        <v>4.8758190250000029</v>
      </c>
      <c r="U32" s="8">
        <f t="shared" si="23"/>
        <v>5.1196099762500031</v>
      </c>
      <c r="V32" s="8">
        <f t="shared" si="23"/>
        <v>5.3755904750625039</v>
      </c>
      <c r="W32" s="8">
        <f t="shared" si="23"/>
        <v>5.6443699988156295</v>
      </c>
    </row>
    <row r="33" spans="1:23" x14ac:dyDescent="0.25">
      <c r="A33" s="1"/>
      <c r="M33" s="15"/>
      <c r="N33" s="21">
        <v>0.1</v>
      </c>
      <c r="O33" s="21">
        <v>0.1</v>
      </c>
      <c r="P33" s="21">
        <v>0.1</v>
      </c>
      <c r="Q33" s="21">
        <v>0.1</v>
      </c>
      <c r="R33" s="21">
        <v>0.1</v>
      </c>
      <c r="S33" s="21">
        <v>0.1</v>
      </c>
      <c r="T33" s="21">
        <v>0.05</v>
      </c>
      <c r="U33" s="21">
        <v>0.05</v>
      </c>
      <c r="V33" s="21">
        <v>0.05</v>
      </c>
      <c r="W33" s="21">
        <v>0.05</v>
      </c>
    </row>
    <row r="34" spans="1:23" x14ac:dyDescent="0.25">
      <c r="A34" s="1" t="s">
        <v>17</v>
      </c>
      <c r="C34" s="8">
        <v>13.737820749999999</v>
      </c>
      <c r="D34" s="8">
        <v>29.765004000000001</v>
      </c>
      <c r="E34" s="8">
        <v>21.373986083333335</v>
      </c>
      <c r="F34" s="8">
        <v>14.549721583333335</v>
      </c>
      <c r="G34" s="8">
        <v>32.409055500000001</v>
      </c>
      <c r="H34" s="8">
        <v>46.236168083333332</v>
      </c>
      <c r="I34" s="8">
        <v>42.623956416666665</v>
      </c>
      <c r="J34" s="8">
        <v>51.85333</v>
      </c>
      <c r="K34" s="8">
        <v>81.194542999999996</v>
      </c>
      <c r="L34" s="8">
        <v>65.825943272727272</v>
      </c>
      <c r="M34" s="14">
        <f>(L34/C34)^(1/($L$3-$C$3))-1</f>
        <v>0.19016946849168326</v>
      </c>
    </row>
    <row r="35" spans="1:23" x14ac:dyDescent="0.25">
      <c r="A35" s="1"/>
      <c r="M35" s="15"/>
    </row>
    <row r="36" spans="1:23" x14ac:dyDescent="0.25">
      <c r="A36" s="1" t="s">
        <v>18</v>
      </c>
      <c r="C36" s="12">
        <f>C32/C34</f>
        <v>6.9899361633631141E-2</v>
      </c>
      <c r="D36" s="12">
        <f t="shared" ref="D36:L36" si="24">D32/D34</f>
        <v>2.6108800374402732E-2</v>
      </c>
      <c r="E36" s="12">
        <f t="shared" si="24"/>
        <v>3.5389293015404263E-2</v>
      </c>
      <c r="F36" s="12">
        <f t="shared" si="24"/>
        <v>-9.0622546347773003E-2</v>
      </c>
      <c r="G36" s="12">
        <f t="shared" si="24"/>
        <v>9.7673666088931368E-2</v>
      </c>
      <c r="H36" s="12">
        <f t="shared" si="24"/>
        <v>-1.5310364698266521E-2</v>
      </c>
      <c r="I36" s="12">
        <f t="shared" si="24"/>
        <v>0.10275213531023404</v>
      </c>
      <c r="J36" s="12">
        <f t="shared" si="24"/>
        <v>6.5477481662045258E-3</v>
      </c>
      <c r="K36" s="12">
        <f t="shared" si="24"/>
        <v>1.9548163561141158E-2</v>
      </c>
      <c r="L36" s="12">
        <f t="shared" si="24"/>
        <v>3.9820350319205083E-2</v>
      </c>
      <c r="M36" s="18">
        <f>AVERAGE(C36:L36)</f>
        <v>2.918066074231147E-2</v>
      </c>
    </row>
    <row r="37" spans="1:23" x14ac:dyDescent="0.25">
      <c r="B37" s="1" t="s">
        <v>19</v>
      </c>
    </row>
  </sheetData>
  <mergeCells count="7">
    <mergeCell ref="Z27:AA27"/>
    <mergeCell ref="Y5:AA5"/>
    <mergeCell ref="Y16:AA16"/>
    <mergeCell ref="Z10:AA10"/>
    <mergeCell ref="Z11:AA11"/>
    <mergeCell ref="Z13:AA13"/>
    <mergeCell ref="Y22:AA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Stock Price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</cp:lastModifiedBy>
  <dcterms:created xsi:type="dcterms:W3CDTF">2015-06-05T18:17:20Z</dcterms:created>
  <dcterms:modified xsi:type="dcterms:W3CDTF">2022-10-23T16:16:53Z</dcterms:modified>
</cp:coreProperties>
</file>