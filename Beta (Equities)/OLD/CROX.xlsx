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msuni-my.sharepoint.com/personal/theodor_hogan_student_uva_nl/Documents/Stocks 10ks/"/>
    </mc:Choice>
  </mc:AlternateContent>
  <xr:revisionPtr revIDLastSave="87" documentId="8_{2D4E5E46-A7F6-4BE9-AA8A-62C3601ADB6B}" xr6:coauthVersionLast="47" xr6:coauthVersionMax="47" xr10:uidLastSave="{39BB8E51-01A1-44DF-B9B8-ADE2051A4391}"/>
  <bookViews>
    <workbookView xWindow="-108" yWindow="-108" windowWidth="23256" windowHeight="12456" xr2:uid="{520672C5-2385-4261-B168-B2CD46077CE3}"/>
  </bookViews>
  <sheets>
    <sheet name="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" i="1" l="1"/>
  <c r="K6" i="1"/>
  <c r="J6" i="1"/>
  <c r="I6" i="1"/>
  <c r="H6" i="1"/>
  <c r="G6" i="1"/>
  <c r="F6" i="1"/>
  <c r="E6" i="1"/>
  <c r="D6" i="1"/>
  <c r="M6" i="1"/>
  <c r="E2" i="1"/>
  <c r="F2" i="1" s="1"/>
  <c r="G2" i="1" s="1"/>
  <c r="H2" i="1" s="1"/>
  <c r="I2" i="1" s="1"/>
  <c r="J2" i="1" s="1"/>
  <c r="K2" i="1" s="1"/>
  <c r="L2" i="1" s="1"/>
  <c r="M2" i="1" s="1"/>
</calcChain>
</file>

<file path=xl/sharedStrings.xml><?xml version="1.0" encoding="utf-8"?>
<sst xmlns="http://schemas.openxmlformats.org/spreadsheetml/2006/main" count="6" uniqueCount="6">
  <si>
    <t>Time</t>
  </si>
  <si>
    <t>Revenue</t>
  </si>
  <si>
    <t>COGS</t>
  </si>
  <si>
    <t>Gross Profit</t>
  </si>
  <si>
    <t>2024 LTM</t>
  </si>
  <si>
    <t>SG&amp;A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</si>
</sst>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1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center"/>
    </xf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D82DF-30D7-4FCF-B5CB-5D3204A52CDC}">
  <dimension ref="B2:N7"/>
  <sheetViews>
    <sheetView tabSelected="1" workbookViewId="0">
      <selection activeCell="D8" sqref="D8"/>
    </sheetView>
  </sheetViews>
  <sheetFormatPr defaultRowHeight="14.4" x14ac:dyDescent="0.3"/>
  <cols>
    <col min="1" max="1" width="2.77734375" style="1" customWidth="1"/>
    <col min="2" max="2" width="10.5546875" style="1" bestFit="1" customWidth="1"/>
    <col min="3" max="3" width="8.88671875" style="1"/>
    <col min="4" max="14" width="10.77734375" style="1" customWidth="1"/>
    <col min="15" max="16384" width="8.88671875" style="1"/>
  </cols>
  <sheetData>
    <row r="2" spans="2:14" s="3" customFormat="1" x14ac:dyDescent="0.3">
      <c r="B2" s="3" t="s">
        <v>0</v>
      </c>
      <c r="D2" s="4">
        <v>2014</v>
      </c>
      <c r="E2" s="4">
        <f>D2+1</f>
        <v>2015</v>
      </c>
      <c r="F2" s="4">
        <f t="shared" ref="F2:M2" si="0">E2+1</f>
        <v>2016</v>
      </c>
      <c r="G2" s="4">
        <f t="shared" si="0"/>
        <v>2017</v>
      </c>
      <c r="H2" s="4">
        <f t="shared" si="0"/>
        <v>2018</v>
      </c>
      <c r="I2" s="4">
        <f t="shared" si="0"/>
        <v>2019</v>
      </c>
      <c r="J2" s="4">
        <f t="shared" si="0"/>
        <v>2020</v>
      </c>
      <c r="K2" s="4">
        <f t="shared" si="0"/>
        <v>2021</v>
      </c>
      <c r="L2" s="4">
        <f t="shared" si="0"/>
        <v>2022</v>
      </c>
      <c r="M2" s="4">
        <f t="shared" si="0"/>
        <v>2023</v>
      </c>
      <c r="N2" s="4" t="s">
        <v>4</v>
      </c>
    </row>
    <row r="3" spans="2:14" s="3" customFormat="1" x14ac:dyDescent="0.3"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2:14" x14ac:dyDescent="0.3">
      <c r="B4" s="1" t="s">
        <v>1</v>
      </c>
      <c r="D4" s="1">
        <v>1198.2</v>
      </c>
      <c r="E4" s="1">
        <v>1090.5999999999999</v>
      </c>
      <c r="F4" s="1">
        <v>1036.3</v>
      </c>
      <c r="G4" s="1">
        <v>1023.5</v>
      </c>
      <c r="H4" s="1">
        <v>1088.2</v>
      </c>
      <c r="I4" s="1">
        <v>1230.5999999999999</v>
      </c>
      <c r="J4" s="2">
        <v>1386</v>
      </c>
      <c r="K4" s="1">
        <v>2313.4</v>
      </c>
      <c r="L4" s="1">
        <v>3555</v>
      </c>
      <c r="M4" s="2">
        <v>3962.3</v>
      </c>
    </row>
    <row r="5" spans="2:14" x14ac:dyDescent="0.3">
      <c r="B5" s="1" t="s">
        <v>2</v>
      </c>
      <c r="D5" s="1">
        <v>634.70000000000005</v>
      </c>
      <c r="E5" s="1">
        <v>608.20000000000005</v>
      </c>
      <c r="F5" s="1">
        <v>563.29999999999995</v>
      </c>
      <c r="G5" s="1">
        <v>532.6</v>
      </c>
      <c r="H5" s="1">
        <v>552</v>
      </c>
      <c r="I5" s="1">
        <v>632.6</v>
      </c>
      <c r="J5" s="1">
        <v>655.7</v>
      </c>
      <c r="K5" s="1">
        <v>914.2</v>
      </c>
      <c r="L5" s="1">
        <v>1721.5</v>
      </c>
      <c r="M5" s="1">
        <v>1784.8</v>
      </c>
    </row>
    <row r="6" spans="2:14" x14ac:dyDescent="0.3">
      <c r="B6" s="3" t="s">
        <v>3</v>
      </c>
      <c r="C6" s="3"/>
      <c r="D6" s="5">
        <f t="shared" ref="D6:L6" si="1">D4-D5</f>
        <v>563.5</v>
      </c>
      <c r="E6" s="5">
        <f t="shared" si="1"/>
        <v>482.39999999999986</v>
      </c>
      <c r="F6" s="5">
        <f t="shared" si="1"/>
        <v>473</v>
      </c>
      <c r="G6" s="5">
        <f t="shared" si="1"/>
        <v>490.9</v>
      </c>
      <c r="H6" s="5">
        <f t="shared" si="1"/>
        <v>536.20000000000005</v>
      </c>
      <c r="I6" s="5">
        <f t="shared" si="1"/>
        <v>597.99999999999989</v>
      </c>
      <c r="J6" s="5">
        <f t="shared" si="1"/>
        <v>730.3</v>
      </c>
      <c r="K6" s="5">
        <f t="shared" si="1"/>
        <v>1399.2</v>
      </c>
      <c r="L6" s="5">
        <f t="shared" si="1"/>
        <v>1833.5</v>
      </c>
      <c r="M6" s="5">
        <f>M4-M5</f>
        <v>2177.5</v>
      </c>
      <c r="N6" s="3"/>
    </row>
    <row r="7" spans="2:14" x14ac:dyDescent="0.3">
      <c r="B7" s="1" t="s">
        <v>5</v>
      </c>
      <c r="D7" s="1">
        <v>534.9</v>
      </c>
      <c r="E7" s="1">
        <v>530.70000000000005</v>
      </c>
      <c r="F7" s="1">
        <v>476</v>
      </c>
      <c r="G7" s="1">
        <v>452.1</v>
      </c>
      <c r="H7" s="1">
        <v>466.3</v>
      </c>
      <c r="I7" s="1">
        <v>469.5</v>
      </c>
      <c r="J7" s="1">
        <v>491.2</v>
      </c>
      <c r="K7" s="1">
        <v>709.5</v>
      </c>
      <c r="L7" s="1">
        <v>956</v>
      </c>
      <c r="M7" s="1">
        <v>1131.0999999999999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Theodor Hogan</dc:creator>
  <cp:lastModifiedBy>Theodor Hogan</cp:lastModifiedBy>
  <dcterms:created xsi:type="dcterms:W3CDTF">2024-09-12T23:12:03Z</dcterms:created>
  <dcterms:modified xsi:type="dcterms:W3CDTF">2024-09-12T23:32:03Z</dcterms:modified>
</cp:coreProperties>
</file>