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424" documentId="11_AD4DB114E441178AC67DF47D6E10C4A0683EDF12" xr6:coauthVersionLast="47" xr6:coauthVersionMax="47" xr10:uidLastSave="{CEB0E441-2902-4C4D-A399-31E328EF1857}"/>
  <bookViews>
    <workbookView xWindow="19090" yWindow="-110" windowWidth="38620" windowHeight="21220" xr2:uid="{00000000-000D-0000-FFFF-FFFF00000000}"/>
  </bookViews>
  <sheets>
    <sheet name="Valuation" sheetId="1" r:id="rId1"/>
    <sheet name="Sheet2" sheetId="3" r:id="rId2"/>
    <sheet name="GEO" sheetId="2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AA26" i="1"/>
  <c r="Z26" i="1"/>
  <c r="Z24" i="1"/>
  <c r="AA25" i="1"/>
  <c r="Z25" i="1"/>
  <c r="AA24" i="1"/>
  <c r="AA23" i="1"/>
  <c r="Z23" i="1"/>
  <c r="AA22" i="1"/>
  <c r="Z22" i="1"/>
  <c r="AA18" i="1"/>
  <c r="Z18" i="1"/>
  <c r="Z17" i="1"/>
  <c r="AA16" i="1"/>
  <c r="Z16" i="1"/>
  <c r="AA15" i="1"/>
  <c r="Z15" i="1"/>
  <c r="AA12" i="1"/>
  <c r="Z12" i="1"/>
  <c r="Z11" i="1"/>
  <c r="AA10" i="1"/>
  <c r="Z10" i="1"/>
  <c r="Z9" i="1"/>
  <c r="Z8" i="1"/>
  <c r="AA7" i="1"/>
  <c r="Z7" i="1"/>
  <c r="AA5" i="1"/>
  <c r="Z5" i="1"/>
  <c r="N33" i="1"/>
  <c r="O33" i="1" s="1"/>
  <c r="P33" i="1" s="1"/>
  <c r="Q33" i="1" s="1"/>
  <c r="R33" i="1" s="1"/>
  <c r="S33" i="1" s="1"/>
  <c r="T33" i="1" s="1"/>
  <c r="U33" i="1" s="1"/>
  <c r="V33" i="1" s="1"/>
  <c r="W33" i="1" s="1"/>
  <c r="N8" i="1"/>
  <c r="O8" i="1" s="1"/>
  <c r="P8" i="1" s="1"/>
  <c r="Q8" i="1" s="1"/>
  <c r="R8" i="1" s="1"/>
  <c r="S8" i="1" s="1"/>
  <c r="T8" i="1" s="1"/>
  <c r="U8" i="1" s="1"/>
  <c r="V8" i="1" s="1"/>
  <c r="W8" i="1" s="1"/>
  <c r="P3" i="1"/>
  <c r="Q3" i="1" s="1"/>
  <c r="R3" i="1" s="1"/>
  <c r="S3" i="1" s="1"/>
  <c r="T3" i="1" s="1"/>
  <c r="U3" i="1" s="1"/>
  <c r="V3" i="1" s="1"/>
  <c r="W3" i="1" s="1"/>
  <c r="O3" i="1"/>
  <c r="N3" i="1"/>
  <c r="M23" i="1"/>
  <c r="M21" i="1"/>
  <c r="M37" i="1"/>
  <c r="M35" i="1"/>
  <c r="M33" i="1"/>
  <c r="M31" i="1"/>
  <c r="M27" i="1"/>
  <c r="M25" i="1"/>
  <c r="M19" i="1"/>
  <c r="M17" i="1"/>
  <c r="M15" i="1"/>
  <c r="M13" i="1"/>
  <c r="M8" i="1"/>
  <c r="M4" i="1"/>
  <c r="L23" i="1"/>
  <c r="K23" i="1"/>
  <c r="J23" i="1"/>
  <c r="I23" i="1"/>
  <c r="H23" i="1"/>
  <c r="G23" i="1"/>
  <c r="F23" i="1"/>
  <c r="E23" i="1"/>
  <c r="D23" i="1"/>
  <c r="C23" i="1"/>
  <c r="L21" i="1"/>
  <c r="K21" i="1"/>
  <c r="J21" i="1"/>
  <c r="I21" i="1"/>
  <c r="H21" i="1"/>
  <c r="G21" i="1"/>
  <c r="F21" i="1"/>
  <c r="E21" i="1"/>
  <c r="D21" i="1"/>
  <c r="C21" i="1"/>
  <c r="L19" i="1"/>
  <c r="K19" i="1"/>
  <c r="J19" i="1"/>
  <c r="I19" i="1"/>
  <c r="H19" i="1"/>
  <c r="G19" i="1"/>
  <c r="F19" i="1"/>
  <c r="E19" i="1"/>
  <c r="D19" i="1"/>
  <c r="C19" i="1"/>
  <c r="L9" i="1"/>
  <c r="K9" i="1"/>
  <c r="J9" i="1"/>
  <c r="I9" i="1"/>
  <c r="H9" i="1"/>
  <c r="G9" i="1"/>
  <c r="F9" i="1"/>
  <c r="E9" i="1"/>
  <c r="D9" i="1"/>
  <c r="L37" i="1"/>
  <c r="K37" i="1"/>
  <c r="J37" i="1"/>
  <c r="I37" i="1"/>
  <c r="H37" i="1"/>
  <c r="G37" i="1"/>
  <c r="F37" i="1"/>
  <c r="E37" i="1"/>
  <c r="D37" i="1"/>
  <c r="C37" i="1"/>
  <c r="C31" i="1"/>
  <c r="D31" i="1"/>
  <c r="E31" i="1"/>
  <c r="F31" i="1"/>
  <c r="F33" i="1" s="1"/>
  <c r="G31" i="1"/>
  <c r="G33" i="1" s="1"/>
  <c r="H31" i="1"/>
  <c r="H33" i="1" s="1"/>
  <c r="I31" i="1"/>
  <c r="I33" i="1" s="1"/>
  <c r="J31" i="1"/>
  <c r="J33" i="1" s="1"/>
  <c r="K31" i="1"/>
  <c r="L31" i="1"/>
  <c r="L17" i="1"/>
  <c r="K17" i="1"/>
  <c r="J17" i="1"/>
  <c r="I17" i="1"/>
  <c r="H17" i="1"/>
  <c r="G17" i="1"/>
  <c r="F17" i="1"/>
  <c r="E17" i="1"/>
  <c r="D17" i="1"/>
  <c r="C17" i="1"/>
  <c r="D6" i="3" a="1"/>
  <c r="D6" i="3" s="1"/>
  <c r="L33" i="1"/>
  <c r="K33" i="1"/>
  <c r="E33" i="1"/>
  <c r="D33" i="1"/>
  <c r="C33" i="1"/>
  <c r="L8" i="1"/>
  <c r="K8" i="1"/>
  <c r="J8" i="1"/>
  <c r="I8" i="1"/>
  <c r="H8" i="1"/>
  <c r="G8" i="1"/>
  <c r="F8" i="1"/>
  <c r="E8" i="1"/>
  <c r="D8" i="1"/>
  <c r="C8" i="1"/>
  <c r="D3" i="1"/>
  <c r="E3" i="1" s="1"/>
  <c r="F3" i="1" s="1"/>
  <c r="G3" i="1" s="1"/>
  <c r="H3" i="1" s="1"/>
  <c r="I3" i="1" s="1"/>
  <c r="J3" i="1" s="1"/>
  <c r="K3" i="1" s="1"/>
  <c r="L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<sst xmlns="http://schemas.openxmlformats.org/spreadsheetml/2006/main" count="65" uniqueCount="54">
  <si>
    <t>Ticker</t>
  </si>
  <si>
    <t>Date</t>
  </si>
  <si>
    <t>21/11/2022</t>
  </si>
  <si>
    <t>GEO</t>
  </si>
  <si>
    <t>Revenue</t>
  </si>
  <si>
    <t>EBIT</t>
  </si>
  <si>
    <t>D&amp;A</t>
  </si>
  <si>
    <t>EBITDA</t>
  </si>
  <si>
    <t>Excess Cash</t>
  </si>
  <si>
    <t>CS Oustanding</t>
  </si>
  <si>
    <t>Market Cap</t>
  </si>
  <si>
    <t>EV</t>
  </si>
  <si>
    <t>EV/EBTIDA</t>
  </si>
  <si>
    <t>Net Debt/EBITDA</t>
  </si>
  <si>
    <t>CFO</t>
  </si>
  <si>
    <t>CapEx</t>
  </si>
  <si>
    <t>Debt Issuance</t>
  </si>
  <si>
    <t>FCFE</t>
  </si>
  <si>
    <t>FCFE/SHR</t>
  </si>
  <si>
    <t>$/SHR</t>
  </si>
  <si>
    <t>FCFE Yield</t>
  </si>
  <si>
    <t>% growth</t>
  </si>
  <si>
    <t>AVG/CAGR</t>
  </si>
  <si>
    <t>LT Debt</t>
  </si>
  <si>
    <t>Adj Close</t>
  </si>
  <si>
    <t>Row Labels</t>
  </si>
  <si>
    <t>Grand Total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</si>
  <si>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</si>
  <si>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</si>
  <si>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</si>
  <si>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</si>
  <si>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</si>
  <si>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</si>
  <si>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</si>
  <si>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</si>
  <si>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</si>
  <si>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</si>
  <si>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</si>
  <si>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</si>
  <si>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</si>
  <si>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Average of Adj Close</t>
  </si>
  <si>
    <t>EBITDA Multiple Method</t>
  </si>
  <si>
    <t>Year</t>
  </si>
  <si>
    <t>Multiple</t>
  </si>
  <si>
    <t>(-) Debt</t>
  </si>
  <si>
    <t>(+) Cash</t>
  </si>
  <si>
    <t>FCFE Yield Method</t>
  </si>
  <si>
    <t>Return Calculation</t>
  </si>
  <si>
    <t>Current Price</t>
  </si>
  <si>
    <t>EBITDA $/SHR</t>
  </si>
  <si>
    <t>FCFE $/SHR</t>
  </si>
  <si>
    <t>Average</t>
  </si>
  <si>
    <t>CAGR</t>
  </si>
  <si>
    <t>22/11/2022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</si>
</sst>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5" formatCode="_(&quot;$&quot;* #,##0.0_);_(&quot;$&quot;* \(#,##0.0\);_(&quot;$&quot;* &quot;-&quot;??_);_(@_)"/>
    <numFmt numFmtId="166" formatCode="_(&quot;$&quot;* #,##0_);_(&quot;$&quot;* \(#,##0\);_(&quot;$&quot;* &quot;-&quot;??_);_(@_)"/>
    <numFmt numFmtId="167" formatCode="0.0%"/>
    <numFmt numFmtId="168" formatCode="0.00\x"/>
    <numFmt numFmtId="169" formatCode="0.0\x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4" fontId="2" fillId="0" borderId="0" xfId="0" applyNumberFormat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42" fontId="2" fillId="0" borderId="0" xfId="0" applyNumberFormat="1" applyFont="1"/>
    <xf numFmtId="166" fontId="2" fillId="0" borderId="0" xfId="0" applyNumberFormat="1" applyFont="1"/>
    <xf numFmtId="167" fontId="5" fillId="0" borderId="0" xfId="1" applyNumberFormat="1" applyFont="1"/>
    <xf numFmtId="9" fontId="6" fillId="0" borderId="0" xfId="1" applyFont="1"/>
    <xf numFmtId="0" fontId="0" fillId="0" borderId="0" xfId="0" applyFont="1" applyAlignment="1">
      <alignment horizontal="left" indent="1"/>
    </xf>
    <xf numFmtId="168" fontId="2" fillId="0" borderId="0" xfId="0" applyNumberFormat="1" applyFont="1"/>
    <xf numFmtId="167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66" fontId="0" fillId="0" borderId="0" xfId="0" applyNumberFormat="1"/>
    <xf numFmtId="165" fontId="0" fillId="0" borderId="0" xfId="0" applyNumberFormat="1"/>
    <xf numFmtId="9" fontId="7" fillId="0" borderId="0" xfId="0" applyNumberFormat="1" applyFont="1"/>
    <xf numFmtId="1" fontId="2" fillId="0" borderId="0" xfId="0" applyNumberFormat="1" applyFont="1"/>
    <xf numFmtId="0" fontId="2" fillId="0" borderId="1" xfId="0" applyFont="1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0" fillId="6" borderId="0" xfId="0" applyFill="1"/>
    <xf numFmtId="166" fontId="0" fillId="6" borderId="0" xfId="0" applyNumberFormat="1" applyFill="1"/>
    <xf numFmtId="0" fontId="0" fillId="6" borderId="0" xfId="0" applyFill="1" applyAlignment="1">
      <alignment horizontal="center"/>
    </xf>
    <xf numFmtId="42" fontId="0" fillId="6" borderId="0" xfId="0" applyNumberFormat="1" applyFill="1"/>
    <xf numFmtId="0" fontId="0" fillId="6" borderId="0" xfId="0" applyFill="1" applyAlignment="1">
      <alignment horizontal="left" indent="1"/>
    </xf>
    <xf numFmtId="42" fontId="0" fillId="6" borderId="0" xfId="0" applyNumberFormat="1" applyFill="1" applyAlignment="1">
      <alignment horizontal="center"/>
    </xf>
    <xf numFmtId="166" fontId="0" fillId="6" borderId="0" xfId="0" applyNumberFormat="1" applyFill="1" applyAlignment="1">
      <alignment horizontal="center"/>
    </xf>
    <xf numFmtId="1" fontId="0" fillId="6" borderId="1" xfId="0" applyNumberFormat="1" applyFill="1" applyBorder="1" applyAlignment="1">
      <alignment horizontal="center"/>
    </xf>
    <xf numFmtId="44" fontId="0" fillId="6" borderId="0" xfId="0" applyNumberFormat="1" applyFill="1"/>
    <xf numFmtId="165" fontId="0" fillId="6" borderId="0" xfId="0" applyNumberFormat="1" applyFill="1"/>
    <xf numFmtId="167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44" fontId="0" fillId="6" borderId="1" xfId="0" applyNumberFormat="1" applyFill="1" applyBorder="1"/>
    <xf numFmtId="44" fontId="0" fillId="6" borderId="2" xfId="0" applyNumberFormat="1" applyFill="1" applyBorder="1"/>
    <xf numFmtId="9" fontId="2" fillId="6" borderId="0" xfId="1" applyFont="1" applyFill="1" applyAlignment="1">
      <alignment horizontal="center"/>
    </xf>
    <xf numFmtId="44" fontId="2" fillId="6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do" refreshedDate="44887.346490046293" createdVersion="8" refreshedVersion="8" minRefreshableVersion="3" recordCount="145" xr:uid="{26BDBEF8-6D90-4114-8D2B-A63B4D2CC958}">
  <cacheSource type="worksheet">
    <worksheetSource ref="A1:B146" sheet="GEO"/>
  </cacheSource>
  <cacheFields count="4">
    <cacheField name="Date" numFmtId="14">
      <sharedItems containsSemiMixedTypes="0" containsNonDate="0" containsDate="1" containsString="0" minDate="2010-12-01T00:00:00" maxDate="2022-11-22T00:00:00" count="145"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1-21T00:00:00"/>
      </sharedItems>
      <fieldGroup par="3" base="0">
        <rangePr groupBy="months" startDate="2010-12-01T00:00:00" endDate="2022-11-22T00:00:00"/>
        <groupItems count="14">
          <s v="&lt;12/1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2/2022"/>
        </groupItems>
      </fieldGroup>
    </cacheField>
    <cacheField name="Adj Close" numFmtId="0">
      <sharedItems containsSemiMixedTypes="0" containsString="0" containsNumber="1" minValue="4.511755" maxValue="22.499506"/>
    </cacheField>
    <cacheField name="Quarters" numFmtId="0" databaseField="0">
      <fieldGroup base="0">
        <rangePr groupBy="quarters" startDate="2010-12-01T00:00:00" endDate="2022-11-22T00:00:00"/>
        <groupItems count="6">
          <s v="&lt;12/1/2010"/>
          <s v="Qtr1"/>
          <s v="Qtr2"/>
          <s v="Qtr3"/>
          <s v="Qtr4"/>
          <s v="&gt;11/22/2022"/>
        </groupItems>
      </fieldGroup>
    </cacheField>
    <cacheField name="Years" numFmtId="0" databaseField="0">
      <fieldGroup base="0">
        <rangePr groupBy="years" startDate="2010-12-01T00:00:00" endDate="2022-11-22T00:00:00"/>
        <groupItems count="15">
          <s v="&lt;12/1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&gt;11/2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x v="0"/>
    <n v="6.6423800000000002"/>
  </r>
  <r>
    <x v="1"/>
    <n v="6.4026519999999998"/>
  </r>
  <r>
    <x v="2"/>
    <n v="6.8497839999999997"/>
  </r>
  <r>
    <x v="3"/>
    <n v="6.9063530000000002"/>
  </r>
  <r>
    <x v="4"/>
    <n v="7.186483"/>
  </r>
  <r>
    <x v="5"/>
    <n v="6.6235229999999996"/>
  </r>
  <r>
    <x v="6"/>
    <n v="6.2033250000000004"/>
  </r>
  <r>
    <x v="7"/>
    <n v="5.6026569999999998"/>
  </r>
  <r>
    <x v="8"/>
    <n v="5.7831260000000002"/>
  </r>
  <r>
    <x v="9"/>
    <n v="4.9992919999999996"/>
  </r>
  <r>
    <x v="10"/>
    <n v="4.9104049999999999"/>
  </r>
  <r>
    <x v="11"/>
    <n v="4.7676439999999998"/>
  </r>
  <r>
    <x v="12"/>
    <n v="4.511755"/>
  </r>
  <r>
    <x v="13"/>
    <n v="4.735322"/>
  </r>
  <r>
    <x v="14"/>
    <n v="4.7434019999999997"/>
  </r>
  <r>
    <x v="15"/>
    <n v="5.1205040000000004"/>
  </r>
  <r>
    <x v="16"/>
    <n v="5.5784140000000004"/>
  </r>
  <r>
    <x v="17"/>
    <n v="5.8612399999999996"/>
  </r>
  <r>
    <x v="18"/>
    <n v="6.1198240000000004"/>
  </r>
  <r>
    <x v="19"/>
    <n v="6.2275689999999999"/>
  </r>
  <r>
    <x v="20"/>
    <n v="7.0868219999999997"/>
  </r>
  <r>
    <x v="21"/>
    <n v="7.5118340000000003"/>
  </r>
  <r>
    <x v="22"/>
    <n v="7.5254070000000004"/>
  </r>
  <r>
    <x v="23"/>
    <n v="7.6557209999999998"/>
  </r>
  <r>
    <x v="24"/>
    <n v="7.7112350000000003"/>
  </r>
  <r>
    <x v="25"/>
    <n v="10.844832"/>
  </r>
  <r>
    <x v="26"/>
    <n v="11.483158"/>
  </r>
  <r>
    <x v="27"/>
    <n v="12.700742999999999"/>
  </r>
  <r>
    <x v="28"/>
    <n v="12.643348"/>
  </r>
  <r>
    <x v="29"/>
    <n v="11.755445"/>
  </r>
  <r>
    <x v="30"/>
    <n v="11.612817"/>
  </r>
  <r>
    <x v="31"/>
    <n v="11.876203"/>
  </r>
  <r>
    <x v="32"/>
    <n v="10.675583"/>
  </r>
  <r>
    <x v="33"/>
    <n v="11.541769"/>
  </r>
  <r>
    <x v="34"/>
    <n v="12.242955"/>
  </r>
  <r>
    <x v="35"/>
    <n v="11.385566000000001"/>
  </r>
  <r>
    <x v="36"/>
    <n v="11.37002"/>
  </r>
  <r>
    <x v="37"/>
    <n v="11.814659000000001"/>
  </r>
  <r>
    <x v="38"/>
    <n v="11.373551000000001"/>
  </r>
  <r>
    <x v="39"/>
    <n v="11.578416000000001"/>
  </r>
  <r>
    <x v="40"/>
    <n v="12.041693"/>
  </r>
  <r>
    <x v="41"/>
    <n v="12.214074999999999"/>
  </r>
  <r>
    <x v="42"/>
    <n v="13.048888"/>
  </r>
  <r>
    <x v="43"/>
    <n v="12.566813"/>
  </r>
  <r>
    <x v="44"/>
    <n v="13.666084"/>
  </r>
  <r>
    <x v="45"/>
    <n v="14.171728999999999"/>
  </r>
  <r>
    <x v="46"/>
    <n v="14.809491"/>
  </r>
  <r>
    <x v="47"/>
    <n v="14.939271"/>
  </r>
  <r>
    <x v="48"/>
    <n v="15.200900000000001"/>
  </r>
  <r>
    <x v="49"/>
    <n v="16.391058000000001"/>
  </r>
  <r>
    <x v="50"/>
    <n v="16.251702999999999"/>
  </r>
  <r>
    <x v="51"/>
    <n v="16.718326999999999"/>
  </r>
  <r>
    <x v="52"/>
    <n v="14.906598000000001"/>
  </r>
  <r>
    <x v="53"/>
    <n v="14.497624999999999"/>
  </r>
  <r>
    <x v="54"/>
    <n v="13.283341"/>
  </r>
  <r>
    <x v="55"/>
    <n v="14.67934"/>
  </r>
  <r>
    <x v="56"/>
    <n v="11.677367"/>
  </r>
  <r>
    <x v="57"/>
    <n v="11.774246"/>
  </r>
  <r>
    <x v="58"/>
    <n v="12.775887000000001"/>
  </r>
  <r>
    <x v="59"/>
    <n v="11.607965999999999"/>
  </r>
  <r>
    <x v="60"/>
    <n v="11.703517"/>
  </r>
  <r>
    <x v="61"/>
    <n v="11.974750999999999"/>
  </r>
  <r>
    <x v="62"/>
    <n v="11.756145"/>
  </r>
  <r>
    <x v="63"/>
    <n v="14.380228000000001"/>
  </r>
  <r>
    <x v="64"/>
    <n v="13.285226"/>
  </r>
  <r>
    <x v="65"/>
    <n v="14.071897999999999"/>
  </r>
  <r>
    <x v="66"/>
    <n v="14.461138999999999"/>
  </r>
  <r>
    <x v="67"/>
    <n v="14.643068"/>
  </r>
  <r>
    <x v="68"/>
    <n v="8.6422629999999998"/>
  </r>
  <r>
    <x v="69"/>
    <n v="10.255141999999999"/>
  </r>
  <r>
    <x v="70"/>
    <n v="10.332767"/>
  </r>
  <r>
    <x v="71"/>
    <n v="14.739959000000001"/>
  </r>
  <r>
    <x v="72"/>
    <n v="15.923234000000001"/>
  </r>
  <r>
    <x v="73"/>
    <n v="18.400577999999999"/>
  </r>
  <r>
    <x v="74"/>
    <n v="21.099504"/>
  </r>
  <r>
    <x v="75"/>
    <n v="20.874392"/>
  </r>
  <r>
    <x v="76"/>
    <n v="22.499506"/>
  </r>
  <r>
    <x v="77"/>
    <n v="20.217141999999999"/>
  </r>
  <r>
    <x v="78"/>
    <n v="20.271796999999999"/>
  </r>
  <r>
    <x v="79"/>
    <n v="20.120975000000001"/>
  </r>
  <r>
    <x v="80"/>
    <n v="19.247834999999998"/>
  </r>
  <r>
    <x v="81"/>
    <n v="18.732519"/>
  </r>
  <r>
    <x v="82"/>
    <n v="18.070967"/>
  </r>
  <r>
    <x v="83"/>
    <n v="18.815913999999999"/>
  </r>
  <r>
    <x v="84"/>
    <n v="16.731562"/>
  </r>
  <r>
    <x v="85"/>
    <n v="15.987147999999999"/>
  </r>
  <r>
    <x v="86"/>
    <n v="15.100942"/>
  </r>
  <r>
    <x v="87"/>
    <n v="14.860506000000001"/>
  </r>
  <r>
    <x v="88"/>
    <n v="16.334215"/>
  </r>
  <r>
    <x v="89"/>
    <n v="18.395503999999999"/>
  </r>
  <r>
    <x v="90"/>
    <n v="20.427916"/>
  </r>
  <r>
    <x v="91"/>
    <n v="19.1966"/>
  </r>
  <r>
    <x v="92"/>
    <n v="19.161652"/>
  </r>
  <r>
    <x v="93"/>
    <n v="19.003043999999999"/>
  </r>
  <r>
    <x v="94"/>
    <n v="16.699417"/>
  </r>
  <r>
    <x v="95"/>
    <n v="17.892809"/>
  </r>
  <r>
    <x v="96"/>
    <n v="15.167312000000001"/>
  </r>
  <r>
    <x v="97"/>
    <n v="17.361567999999998"/>
  </r>
  <r>
    <x v="98"/>
    <n v="17.492455"/>
  </r>
  <r>
    <x v="99"/>
    <n v="15.089518"/>
  </r>
  <r>
    <x v="100"/>
    <n v="15.733969"/>
  </r>
  <r>
    <x v="101"/>
    <n v="17.658442000000001"/>
  </r>
  <r>
    <x v="102"/>
    <n v="16.917643000000002"/>
  </r>
  <r>
    <x v="103"/>
    <n v="14.340941000000001"/>
  </r>
  <r>
    <x v="104"/>
    <n v="14.184184999999999"/>
  </r>
  <r>
    <x v="105"/>
    <n v="14.332971000000001"/>
  </r>
  <r>
    <x v="106"/>
    <n v="12.58061"/>
  </r>
  <r>
    <x v="107"/>
    <n v="11.79528"/>
  </r>
  <r>
    <x v="108"/>
    <n v="14.135612"/>
  </r>
  <r>
    <x v="109"/>
    <n v="13.446279000000001"/>
  </r>
  <r>
    <x v="110"/>
    <n v="12.459084000000001"/>
  </r>
  <r>
    <x v="111"/>
    <n v="10.635987"/>
  </r>
  <r>
    <x v="112"/>
    <n v="11.090816"/>
  </r>
  <r>
    <x v="113"/>
    <n v="10.837043"/>
  </r>
  <r>
    <x v="114"/>
    <n v="10.701354"/>
  </r>
  <r>
    <x v="115"/>
    <n v="9.6158409999999996"/>
  </r>
  <r>
    <x v="116"/>
    <n v="10.510505999999999"/>
  </r>
  <r>
    <x v="117"/>
    <n v="10.68003"/>
  </r>
  <r>
    <x v="118"/>
    <n v="8.3443620000000003"/>
  </r>
  <r>
    <x v="119"/>
    <n v="9.1768780000000003"/>
  </r>
  <r>
    <x v="120"/>
    <n v="8.6039300000000001"/>
  </r>
  <r>
    <x v="121"/>
    <n v="8.6816180000000003"/>
  </r>
  <r>
    <x v="122"/>
    <n v="7.2"/>
  </r>
  <r>
    <x v="123"/>
    <n v="7.76"/>
  </r>
  <r>
    <x v="124"/>
    <n v="5.51"/>
  </r>
  <r>
    <x v="125"/>
    <n v="5.19"/>
  </r>
  <r>
    <x v="126"/>
    <n v="7.12"/>
  </r>
  <r>
    <x v="127"/>
    <n v="6.92"/>
  </r>
  <r>
    <x v="128"/>
    <n v="7.75"/>
  </r>
  <r>
    <x v="129"/>
    <n v="7.47"/>
  </r>
  <r>
    <x v="130"/>
    <n v="8.18"/>
  </r>
  <r>
    <x v="131"/>
    <n v="8.4"/>
  </r>
  <r>
    <x v="132"/>
    <n v="7.75"/>
  </r>
  <r>
    <x v="133"/>
    <n v="6.73"/>
  </r>
  <r>
    <x v="134"/>
    <n v="5.96"/>
  </r>
  <r>
    <x v="135"/>
    <n v="6.61"/>
  </r>
  <r>
    <x v="136"/>
    <n v="6.53"/>
  </r>
  <r>
    <x v="137"/>
    <n v="7.11"/>
  </r>
  <r>
    <x v="138"/>
    <n v="6.6"/>
  </r>
  <r>
    <x v="139"/>
    <n v="6.56"/>
  </r>
  <r>
    <x v="140"/>
    <n v="8.18"/>
  </r>
  <r>
    <x v="141"/>
    <n v="7.7"/>
  </r>
  <r>
    <x v="142"/>
    <n v="8.4600000000000009"/>
  </r>
  <r>
    <x v="143"/>
    <n v="10.44"/>
  </r>
  <r>
    <x v="144"/>
    <n v="10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5C46A-BD8D-428E-A6DD-AC0A85D0920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/>
      </items>
    </pivotField>
  </pivotFields>
  <rowFields count="3">
    <field x="3"/>
    <field x="2"/>
    <field x="0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Adj Close" fld="1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7"/>
  <sheetViews>
    <sheetView showGridLines="0" tabSelected="1" workbookViewId="0">
      <pane xSplit="1" topLeftCell="B1" activePane="topRight" state="frozen"/>
      <selection pane="topRight" activeCell="Y16" sqref="Y16"/>
    </sheetView>
  </sheetViews>
  <sheetFormatPr defaultRowHeight="15" x14ac:dyDescent="0.25"/>
  <cols>
    <col min="1" max="1" width="16.28515625" bestFit="1" customWidth="1"/>
    <col min="3" max="13" width="12.7109375" customWidth="1"/>
    <col min="25" max="25" width="13.85546875" bestFit="1" customWidth="1"/>
    <col min="26" max="26" width="10.5703125" bestFit="1" customWidth="1"/>
  </cols>
  <sheetData>
    <row r="1" spans="1:27" x14ac:dyDescent="0.25">
      <c r="A1" t="s">
        <v>0</v>
      </c>
      <c r="C1" t="s">
        <v>1</v>
      </c>
      <c r="D1" t="s">
        <v>2</v>
      </c>
    </row>
    <row r="2" spans="1:27" ht="26.25" x14ac:dyDescent="0.4">
      <c r="A2" s="1" t="s">
        <v>3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N2">
        <v>1</v>
      </c>
      <c r="O2">
        <v>2</v>
      </c>
      <c r="P2">
        <v>3</v>
      </c>
      <c r="Q2">
        <v>4</v>
      </c>
      <c r="R2">
        <v>5</v>
      </c>
    </row>
    <row r="3" spans="1:27" x14ac:dyDescent="0.25">
      <c r="C3" s="3">
        <v>2012</v>
      </c>
      <c r="D3" s="3">
        <f>C3+1</f>
        <v>2013</v>
      </c>
      <c r="E3" s="3">
        <f t="shared" ref="E3:L3" si="0">D3+1</f>
        <v>2014</v>
      </c>
      <c r="F3" s="3">
        <f t="shared" si="0"/>
        <v>2015</v>
      </c>
      <c r="G3" s="3">
        <f t="shared" si="0"/>
        <v>2016</v>
      </c>
      <c r="H3" s="3">
        <f t="shared" si="0"/>
        <v>2017</v>
      </c>
      <c r="I3" s="3">
        <f t="shared" si="0"/>
        <v>2018</v>
      </c>
      <c r="J3" s="3">
        <f t="shared" si="0"/>
        <v>2019</v>
      </c>
      <c r="K3" s="3">
        <f t="shared" si="0"/>
        <v>2020</v>
      </c>
      <c r="L3" s="3">
        <f t="shared" si="0"/>
        <v>2021</v>
      </c>
      <c r="M3" s="4" t="s">
        <v>22</v>
      </c>
      <c r="N3" s="20">
        <f>2022</f>
        <v>2022</v>
      </c>
      <c r="O3" s="20">
        <f>N3+1</f>
        <v>2023</v>
      </c>
      <c r="P3" s="20">
        <f t="shared" ref="P3:W3" si="1">O3+1</f>
        <v>2024</v>
      </c>
      <c r="Q3" s="20">
        <f t="shared" si="1"/>
        <v>2025</v>
      </c>
      <c r="R3" s="21">
        <f t="shared" si="1"/>
        <v>2026</v>
      </c>
      <c r="S3" s="20">
        <f t="shared" si="1"/>
        <v>2027</v>
      </c>
      <c r="T3" s="20">
        <f t="shared" si="1"/>
        <v>2028</v>
      </c>
      <c r="U3" s="20">
        <f t="shared" si="1"/>
        <v>2029</v>
      </c>
      <c r="V3" s="20">
        <f t="shared" si="1"/>
        <v>2030</v>
      </c>
      <c r="W3" s="20">
        <f t="shared" si="1"/>
        <v>2031</v>
      </c>
      <c r="Y3" s="26" t="s">
        <v>41</v>
      </c>
      <c r="Z3" s="26"/>
      <c r="AA3" s="26"/>
    </row>
    <row r="4" spans="1:27" x14ac:dyDescent="0.25">
      <c r="A4" s="2" t="s">
        <v>4</v>
      </c>
      <c r="C4" s="12">
        <v>1479</v>
      </c>
      <c r="D4" s="12">
        <v>1552</v>
      </c>
      <c r="E4" s="12">
        <v>1692</v>
      </c>
      <c r="F4" s="12">
        <v>1843</v>
      </c>
      <c r="G4" s="12">
        <v>2179</v>
      </c>
      <c r="H4" s="12">
        <v>2263</v>
      </c>
      <c r="I4" s="12">
        <v>2331</v>
      </c>
      <c r="J4" s="12">
        <v>2478</v>
      </c>
      <c r="K4" s="12">
        <v>2350</v>
      </c>
      <c r="L4" s="12">
        <v>2257</v>
      </c>
      <c r="M4" s="17">
        <f>(L4/C4)^(1/($L$3-$C$3))-1</f>
        <v>4.8083615222787035E-2</v>
      </c>
      <c r="Y4" s="27" t="s">
        <v>42</v>
      </c>
      <c r="Z4" s="28">
        <v>2026</v>
      </c>
      <c r="AA4" s="28">
        <v>2031</v>
      </c>
    </row>
    <row r="5" spans="1:27" x14ac:dyDescent="0.25">
      <c r="Y5" s="29" t="s">
        <v>7</v>
      </c>
      <c r="Z5" s="30">
        <f>R8</f>
        <v>550.07735343750005</v>
      </c>
      <c r="AA5" s="30">
        <f>W8</f>
        <v>702.05358414107741</v>
      </c>
    </row>
    <row r="6" spans="1:27" x14ac:dyDescent="0.25">
      <c r="A6" t="s">
        <v>5</v>
      </c>
      <c r="C6">
        <v>184</v>
      </c>
      <c r="D6">
        <v>185</v>
      </c>
      <c r="E6">
        <v>235</v>
      </c>
      <c r="F6">
        <v>236</v>
      </c>
      <c r="G6">
        <v>266</v>
      </c>
      <c r="H6">
        <v>248</v>
      </c>
      <c r="I6">
        <v>264</v>
      </c>
      <c r="J6">
        <v>303</v>
      </c>
      <c r="K6">
        <v>229</v>
      </c>
      <c r="L6">
        <v>288</v>
      </c>
      <c r="Y6" s="29" t="s">
        <v>43</v>
      </c>
      <c r="Z6" s="31">
        <v>10</v>
      </c>
      <c r="AA6" s="31"/>
    </row>
    <row r="7" spans="1:27" x14ac:dyDescent="0.25">
      <c r="A7" t="s">
        <v>6</v>
      </c>
      <c r="C7">
        <v>96</v>
      </c>
      <c r="D7">
        <v>101</v>
      </c>
      <c r="E7">
        <v>102</v>
      </c>
      <c r="F7">
        <v>114</v>
      </c>
      <c r="G7">
        <v>127</v>
      </c>
      <c r="H7">
        <v>141</v>
      </c>
      <c r="I7">
        <v>135</v>
      </c>
      <c r="J7">
        <v>139</v>
      </c>
      <c r="K7">
        <v>163</v>
      </c>
      <c r="L7">
        <v>143</v>
      </c>
      <c r="Y7" s="29" t="s">
        <v>11</v>
      </c>
      <c r="Z7" s="32">
        <f>Z5*$Z$6</f>
        <v>5500.773534375001</v>
      </c>
      <c r="AA7" s="32">
        <f t="shared" ref="AA7" si="2">AA5*$Z$6</f>
        <v>7020.5358414107741</v>
      </c>
    </row>
    <row r="8" spans="1:27" x14ac:dyDescent="0.25">
      <c r="A8" s="2" t="s">
        <v>7</v>
      </c>
      <c r="C8" s="12">
        <f>C6+C7</f>
        <v>280</v>
      </c>
      <c r="D8" s="12">
        <f t="shared" ref="D8:L8" si="3">D6+D7</f>
        <v>286</v>
      </c>
      <c r="E8" s="12">
        <f t="shared" si="3"/>
        <v>337</v>
      </c>
      <c r="F8" s="12">
        <f t="shared" si="3"/>
        <v>350</v>
      </c>
      <c r="G8" s="12">
        <f t="shared" si="3"/>
        <v>393</v>
      </c>
      <c r="H8" s="12">
        <f t="shared" si="3"/>
        <v>389</v>
      </c>
      <c r="I8" s="12">
        <f t="shared" si="3"/>
        <v>399</v>
      </c>
      <c r="J8" s="12">
        <f t="shared" si="3"/>
        <v>442</v>
      </c>
      <c r="K8" s="12">
        <f t="shared" si="3"/>
        <v>392</v>
      </c>
      <c r="L8" s="12">
        <f t="shared" si="3"/>
        <v>431</v>
      </c>
      <c r="M8" s="17">
        <f>(L8/C8)^(1/($L$3-$C$3))-1</f>
        <v>4.909121127578997E-2</v>
      </c>
      <c r="N8" s="22">
        <f>L8*(1+N9)</f>
        <v>452.55</v>
      </c>
      <c r="O8" s="22">
        <f>N8*(1+O9)</f>
        <v>475.17750000000001</v>
      </c>
      <c r="P8" s="22">
        <f t="shared" ref="P8:W8" si="4">O8*(1+P9)</f>
        <v>498.93637500000006</v>
      </c>
      <c r="Q8" s="22">
        <f t="shared" si="4"/>
        <v>523.88319375000003</v>
      </c>
      <c r="R8" s="22">
        <f t="shared" si="4"/>
        <v>550.07735343750005</v>
      </c>
      <c r="S8" s="22">
        <f t="shared" si="4"/>
        <v>577.58122110937506</v>
      </c>
      <c r="T8" s="22">
        <f t="shared" si="4"/>
        <v>606.46028216484387</v>
      </c>
      <c r="U8" s="22">
        <f t="shared" si="4"/>
        <v>636.78329627308608</v>
      </c>
      <c r="V8" s="22">
        <f t="shared" si="4"/>
        <v>668.62246108674037</v>
      </c>
      <c r="W8" s="22">
        <f t="shared" si="4"/>
        <v>702.05358414107741</v>
      </c>
      <c r="Y8" s="33" t="s">
        <v>44</v>
      </c>
      <c r="Z8" s="34">
        <f>L13</f>
        <v>2926</v>
      </c>
      <c r="AA8" s="34"/>
    </row>
    <row r="9" spans="1:27" x14ac:dyDescent="0.25">
      <c r="A9" s="15" t="s">
        <v>21</v>
      </c>
      <c r="D9" s="14">
        <f>D8/C8-1</f>
        <v>2.1428571428571352E-2</v>
      </c>
      <c r="E9" s="14">
        <f t="shared" ref="E9:L9" si="5">E8/D8-1</f>
        <v>0.17832167832167833</v>
      </c>
      <c r="F9" s="14">
        <f t="shared" si="5"/>
        <v>3.8575667655786461E-2</v>
      </c>
      <c r="G9" s="14">
        <f t="shared" si="5"/>
        <v>0.12285714285714278</v>
      </c>
      <c r="H9" s="14">
        <f t="shared" si="5"/>
        <v>-1.0178117048346036E-2</v>
      </c>
      <c r="I9" s="14">
        <f t="shared" si="5"/>
        <v>2.5706940874036022E-2</v>
      </c>
      <c r="J9" s="14">
        <f t="shared" si="5"/>
        <v>0.10776942355889729</v>
      </c>
      <c r="K9" s="14">
        <f t="shared" si="5"/>
        <v>-0.1131221719457014</v>
      </c>
      <c r="L9" s="14">
        <f t="shared" si="5"/>
        <v>9.9489795918367374E-2</v>
      </c>
      <c r="M9" s="41">
        <f>AVERAGE(D9:L9)</f>
        <v>5.2316547957825796E-2</v>
      </c>
      <c r="N9" s="24">
        <v>0.05</v>
      </c>
      <c r="O9" s="24">
        <v>0.05</v>
      </c>
      <c r="P9" s="24">
        <v>0.05</v>
      </c>
      <c r="Q9" s="24">
        <v>0.05</v>
      </c>
      <c r="R9" s="24">
        <v>0.05</v>
      </c>
      <c r="S9" s="24">
        <v>0.05</v>
      </c>
      <c r="T9" s="24">
        <v>0.05</v>
      </c>
      <c r="U9" s="24">
        <v>0.05</v>
      </c>
      <c r="V9" s="24">
        <v>0.05</v>
      </c>
      <c r="W9" s="24">
        <v>0.05</v>
      </c>
      <c r="Y9" s="33" t="s">
        <v>45</v>
      </c>
      <c r="Z9" s="35">
        <f>L11</f>
        <v>0</v>
      </c>
      <c r="AA9" s="35"/>
    </row>
    <row r="10" spans="1:27" x14ac:dyDescent="0.25">
      <c r="Y10" s="29" t="s">
        <v>10</v>
      </c>
      <c r="Z10" s="32">
        <f>Z7-$Z$8+$Z$9</f>
        <v>2574.773534375001</v>
      </c>
      <c r="AA10" s="32">
        <f t="shared" ref="AA10" si="6">AA7-$Z$8+$Z$9</f>
        <v>4094.5358414107741</v>
      </c>
    </row>
    <row r="11" spans="1:27" x14ac:dyDescent="0.25">
      <c r="A11" s="2" t="s">
        <v>8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Y11" s="29" t="s">
        <v>9</v>
      </c>
      <c r="Z11" s="36">
        <f>L15</f>
        <v>121</v>
      </c>
      <c r="AA11" s="36"/>
    </row>
    <row r="12" spans="1:27" x14ac:dyDescent="0.25">
      <c r="Y12" s="27" t="s">
        <v>19</v>
      </c>
      <c r="Z12" s="45">
        <f>Z10/$Z$11</f>
        <v>21.279120118801661</v>
      </c>
      <c r="AA12" s="45">
        <f t="shared" ref="AA12" si="7">AA10/$Z$11</f>
        <v>33.839139185213007</v>
      </c>
    </row>
    <row r="13" spans="1:27" x14ac:dyDescent="0.25">
      <c r="A13" s="2" t="s">
        <v>23</v>
      </c>
      <c r="C13" s="11">
        <v>1434</v>
      </c>
      <c r="D13" s="11">
        <v>1563</v>
      </c>
      <c r="E13" s="11">
        <v>1605</v>
      </c>
      <c r="F13" s="11">
        <v>2078</v>
      </c>
      <c r="G13" s="11">
        <v>2182</v>
      </c>
      <c r="H13" s="11">
        <v>2553</v>
      </c>
      <c r="I13" s="11">
        <v>2417</v>
      </c>
      <c r="J13" s="11">
        <v>2721</v>
      </c>
      <c r="K13" s="11">
        <v>2889</v>
      </c>
      <c r="L13" s="11">
        <v>2926</v>
      </c>
      <c r="M13" s="17">
        <f>(L13/C13)^(1/($L$3-$C$3))-1</f>
        <v>8.2465111872271013E-2</v>
      </c>
    </row>
    <row r="14" spans="1:27" x14ac:dyDescent="0.25">
      <c r="Y14" s="26" t="s">
        <v>46</v>
      </c>
      <c r="Z14" s="26"/>
      <c r="AA14" s="26"/>
    </row>
    <row r="15" spans="1:27" x14ac:dyDescent="0.25">
      <c r="A15" s="2" t="s">
        <v>9</v>
      </c>
      <c r="C15" s="25">
        <v>92</v>
      </c>
      <c r="D15" s="25">
        <v>107</v>
      </c>
      <c r="E15" s="25">
        <v>109</v>
      </c>
      <c r="F15" s="25">
        <v>111</v>
      </c>
      <c r="G15" s="25">
        <v>111</v>
      </c>
      <c r="H15" s="25">
        <v>121</v>
      </c>
      <c r="I15" s="25">
        <v>121</v>
      </c>
      <c r="J15" s="25">
        <v>119</v>
      </c>
      <c r="K15" s="25">
        <v>120</v>
      </c>
      <c r="L15" s="25">
        <v>121</v>
      </c>
      <c r="M15" s="17">
        <f>(L15/C15)^(1/($L$3-$C$3))-1</f>
        <v>3.0912841023738258E-2</v>
      </c>
      <c r="Y15" s="27" t="s">
        <v>42</v>
      </c>
      <c r="Z15" s="27">
        <f>Z4</f>
        <v>2026</v>
      </c>
      <c r="AA15" s="27">
        <f t="shared" ref="AA15" si="8">AA4</f>
        <v>2031</v>
      </c>
    </row>
    <row r="16" spans="1:27" x14ac:dyDescent="0.25">
      <c r="Y16" s="29" t="s">
        <v>18</v>
      </c>
      <c r="Z16" s="38">
        <f>R33</f>
        <v>0.52887009952910968</v>
      </c>
      <c r="AA16" s="38">
        <f>W33</f>
        <v>0.67498715698654277</v>
      </c>
    </row>
    <row r="17" spans="1:28" x14ac:dyDescent="0.25">
      <c r="A17" s="2" t="s">
        <v>10</v>
      </c>
      <c r="C17" s="5">
        <f>C35*C15</f>
        <v>581.72592066666652</v>
      </c>
      <c r="D17" s="5">
        <f t="shared" ref="D17:L17" si="9">D35*D15</f>
        <v>1249.5142477500003</v>
      </c>
      <c r="E17" s="5">
        <f t="shared" si="9"/>
        <v>1429.9489274999999</v>
      </c>
      <c r="F17" s="5">
        <f t="shared" si="9"/>
        <v>1537.9695187500001</v>
      </c>
      <c r="G17" s="5">
        <f t="shared" si="9"/>
        <v>1428.8088350000003</v>
      </c>
      <c r="H17" s="5">
        <f t="shared" si="9"/>
        <v>2370.4171342500003</v>
      </c>
      <c r="I17" s="5">
        <f t="shared" si="9"/>
        <v>2099.622905416667</v>
      </c>
      <c r="J17" s="5">
        <f t="shared" si="9"/>
        <v>1801.0966738333334</v>
      </c>
      <c r="K17" s="5">
        <f t="shared" si="9"/>
        <v>1261.0211000000002</v>
      </c>
      <c r="L17" s="5">
        <f t="shared" si="9"/>
        <v>886.64381483333341</v>
      </c>
      <c r="M17" s="17">
        <f>(L17/C17)^(1/($L$3-$C$3))-1</f>
        <v>4.7940807932544294E-2</v>
      </c>
      <c r="Y17" s="29" t="s">
        <v>20</v>
      </c>
      <c r="Z17" s="39">
        <f>M37</f>
        <v>5.6833086972214696E-2</v>
      </c>
      <c r="AA17" s="40"/>
    </row>
    <row r="18" spans="1:28" x14ac:dyDescent="0.25">
      <c r="Y18" s="27" t="s">
        <v>19</v>
      </c>
      <c r="Z18" s="45">
        <f>Z16/$Z$17</f>
        <v>9.3056725880061837</v>
      </c>
      <c r="AA18" s="45">
        <f t="shared" ref="AA18" si="10">AA16/$Z$17</f>
        <v>11.876658350733955</v>
      </c>
    </row>
    <row r="19" spans="1:28" x14ac:dyDescent="0.25">
      <c r="A19" s="2" t="s">
        <v>11</v>
      </c>
      <c r="C19" s="5">
        <f>C17+C13-C11</f>
        <v>2015.7259206666665</v>
      </c>
      <c r="D19" s="5">
        <f t="shared" ref="D19:L19" si="11">D17+D13-D11</f>
        <v>2812.5142477500003</v>
      </c>
      <c r="E19" s="5">
        <f t="shared" si="11"/>
        <v>3034.9489274999996</v>
      </c>
      <c r="F19" s="5">
        <f t="shared" si="11"/>
        <v>3615.9695187500001</v>
      </c>
      <c r="G19" s="5">
        <f t="shared" si="11"/>
        <v>3610.8088350000003</v>
      </c>
      <c r="H19" s="5">
        <f t="shared" si="11"/>
        <v>4923.4171342500003</v>
      </c>
      <c r="I19" s="5">
        <f t="shared" si="11"/>
        <v>4516.622905416667</v>
      </c>
      <c r="J19" s="5">
        <f t="shared" si="11"/>
        <v>4522.0966738333336</v>
      </c>
      <c r="K19" s="5">
        <f t="shared" si="11"/>
        <v>4150.0210999999999</v>
      </c>
      <c r="L19" s="5">
        <f t="shared" si="11"/>
        <v>3812.6438148333336</v>
      </c>
      <c r="M19" s="17">
        <f>(L19/C19)^(1/($L$3-$C$3))-1</f>
        <v>7.3383642389269088E-2</v>
      </c>
    </row>
    <row r="20" spans="1:28" x14ac:dyDescent="0.25">
      <c r="Y20" s="26" t="s">
        <v>47</v>
      </c>
      <c r="Z20" s="26"/>
      <c r="AA20" s="26"/>
    </row>
    <row r="21" spans="1:28" x14ac:dyDescent="0.25">
      <c r="A21" s="2" t="s">
        <v>12</v>
      </c>
      <c r="C21" s="16">
        <f>C19/C8</f>
        <v>7.1990211452380946</v>
      </c>
      <c r="D21" s="16">
        <f t="shared" ref="D21:L21" si="12">D19/D8</f>
        <v>9.8339659012237775</v>
      </c>
      <c r="E21" s="16">
        <f t="shared" si="12"/>
        <v>9.0057831676557853</v>
      </c>
      <c r="F21" s="16">
        <f t="shared" si="12"/>
        <v>10.331341482142857</v>
      </c>
      <c r="G21" s="16">
        <f t="shared" si="12"/>
        <v>9.1878087404580153</v>
      </c>
      <c r="H21" s="16">
        <f t="shared" si="12"/>
        <v>12.656599316838047</v>
      </c>
      <c r="I21" s="16">
        <f t="shared" si="12"/>
        <v>11.319856905806184</v>
      </c>
      <c r="J21" s="16">
        <f t="shared" si="12"/>
        <v>10.230987949849171</v>
      </c>
      <c r="K21" s="16">
        <f t="shared" si="12"/>
        <v>10.586788520408163</v>
      </c>
      <c r="L21" s="16">
        <f t="shared" si="12"/>
        <v>8.8460413337200308</v>
      </c>
      <c r="M21" s="19">
        <f>AVERAGE(C21:L21)</f>
        <v>9.9198194463340119</v>
      </c>
      <c r="Y21" s="29" t="s">
        <v>48</v>
      </c>
      <c r="Z21" s="29"/>
      <c r="AA21" s="29">
        <v>10.44</v>
      </c>
      <c r="AB21" t="s">
        <v>53</v>
      </c>
    </row>
    <row r="22" spans="1:28" x14ac:dyDescent="0.25">
      <c r="Y22" s="27" t="s">
        <v>42</v>
      </c>
      <c r="Z22" s="27">
        <f>Z15</f>
        <v>2026</v>
      </c>
      <c r="AA22" s="27">
        <f t="shared" ref="AA22" si="13">AA15</f>
        <v>2031</v>
      </c>
    </row>
    <row r="23" spans="1:28" x14ac:dyDescent="0.25">
      <c r="A23" s="2" t="s">
        <v>13</v>
      </c>
      <c r="C23" s="16">
        <f>C13/C8</f>
        <v>5.121428571428571</v>
      </c>
      <c r="D23" s="16">
        <f t="shared" ref="D23:L23" si="14">D13/D8</f>
        <v>5.465034965034965</v>
      </c>
      <c r="E23" s="16">
        <f t="shared" si="14"/>
        <v>4.7626112759643915</v>
      </c>
      <c r="F23" s="16">
        <f t="shared" si="14"/>
        <v>5.9371428571428568</v>
      </c>
      <c r="G23" s="16">
        <f t="shared" si="14"/>
        <v>5.552162849872774</v>
      </c>
      <c r="H23" s="16">
        <f t="shared" si="14"/>
        <v>6.5629820051413885</v>
      </c>
      <c r="I23" s="16">
        <f t="shared" si="14"/>
        <v>6.0576441102756888</v>
      </c>
      <c r="J23" s="16">
        <f t="shared" si="14"/>
        <v>6.1561085972850682</v>
      </c>
      <c r="K23" s="16">
        <f t="shared" si="14"/>
        <v>7.3698979591836737</v>
      </c>
      <c r="L23" s="16">
        <f t="shared" si="14"/>
        <v>6.7888631090487239</v>
      </c>
      <c r="M23" s="19">
        <f>AVERAGE(C23:L23)</f>
        <v>5.9773876300378106</v>
      </c>
      <c r="Y23" s="29" t="s">
        <v>49</v>
      </c>
      <c r="Z23" s="37">
        <f>Z12</f>
        <v>21.279120118801661</v>
      </c>
      <c r="AA23" s="37">
        <f t="shared" ref="AA23" si="15">AA12</f>
        <v>33.839139185213007</v>
      </c>
    </row>
    <row r="24" spans="1:28" x14ac:dyDescent="0.25">
      <c r="Y24" s="29" t="s">
        <v>50</v>
      </c>
      <c r="Z24" s="42">
        <f>Z18</f>
        <v>9.3056725880061837</v>
      </c>
      <c r="AA24" s="42">
        <f t="shared" ref="AA24" si="16">AA18</f>
        <v>11.876658350733955</v>
      </c>
    </row>
    <row r="25" spans="1:28" x14ac:dyDescent="0.25">
      <c r="A25" s="2" t="s">
        <v>14</v>
      </c>
      <c r="C25" s="5">
        <v>264</v>
      </c>
      <c r="D25" s="5">
        <v>192</v>
      </c>
      <c r="E25" s="5">
        <v>203</v>
      </c>
      <c r="F25" s="5">
        <v>142</v>
      </c>
      <c r="G25" s="5">
        <v>-28</v>
      </c>
      <c r="H25" s="5">
        <v>381</v>
      </c>
      <c r="I25" s="5">
        <v>174</v>
      </c>
      <c r="J25" s="5">
        <v>338</v>
      </c>
      <c r="K25" s="5">
        <v>442</v>
      </c>
      <c r="L25" s="5">
        <v>283</v>
      </c>
      <c r="M25" s="17">
        <f>(L25/C25)^(1/($L$3-$C$3))-1</f>
        <v>7.751868522590355E-3</v>
      </c>
      <c r="Y25" s="29" t="s">
        <v>51</v>
      </c>
      <c r="Z25" s="43">
        <f>AVERAGE(Z23:Z24)</f>
        <v>15.292396353403923</v>
      </c>
      <c r="AA25" s="43">
        <f>AVERAGE(AA23:AA24)</f>
        <v>22.857898767973481</v>
      </c>
    </row>
    <row r="26" spans="1:28" x14ac:dyDescent="0.25">
      <c r="Y26" s="27" t="s">
        <v>52</v>
      </c>
      <c r="Z26" s="44">
        <f>(Z25/$AA$21)^(1/5)-1</f>
        <v>7.9331891153008538E-2</v>
      </c>
      <c r="AA26" s="44">
        <f>(AA25/$AA$21)^(1/10)-1</f>
        <v>8.1517573454256365E-2</v>
      </c>
    </row>
    <row r="27" spans="1:28" x14ac:dyDescent="0.25">
      <c r="A27" s="2" t="s">
        <v>15</v>
      </c>
      <c r="C27" s="5">
        <v>-102</v>
      </c>
      <c r="D27" s="5">
        <v>-115</v>
      </c>
      <c r="E27" s="5">
        <v>-114</v>
      </c>
      <c r="F27" s="5">
        <v>-118</v>
      </c>
      <c r="G27" s="5">
        <v>-80</v>
      </c>
      <c r="H27" s="5">
        <v>-145</v>
      </c>
      <c r="I27" s="5">
        <v>-190</v>
      </c>
      <c r="J27" s="5">
        <v>-116</v>
      </c>
      <c r="K27" s="5">
        <v>-106</v>
      </c>
      <c r="L27" s="5">
        <v>-44</v>
      </c>
      <c r="M27" s="17">
        <f>(L27/C27)^(1/($L$3-$C$3))-1</f>
        <v>-8.9189442373593941E-2</v>
      </c>
    </row>
    <row r="29" spans="1:28" x14ac:dyDescent="0.25">
      <c r="A29" s="2" t="s">
        <v>16</v>
      </c>
      <c r="C29" s="5">
        <v>-99</v>
      </c>
      <c r="D29" s="5">
        <v>104</v>
      </c>
      <c r="E29" s="5">
        <v>45</v>
      </c>
      <c r="F29" s="5">
        <v>524</v>
      </c>
      <c r="G29" s="5">
        <v>335</v>
      </c>
      <c r="H29" s="5">
        <v>122</v>
      </c>
      <c r="I29" s="5">
        <v>202</v>
      </c>
      <c r="J29" s="5">
        <v>-6</v>
      </c>
      <c r="K29" s="5">
        <v>131</v>
      </c>
      <c r="L29" s="5">
        <v>53</v>
      </c>
    </row>
    <row r="31" spans="1:28" x14ac:dyDescent="0.25">
      <c r="A31" s="2" t="s">
        <v>17</v>
      </c>
      <c r="C31" s="5">
        <f>C25+C27+C29</f>
        <v>63</v>
      </c>
      <c r="D31" s="5">
        <f t="shared" ref="D31:L31" si="17">D25+D27+D29</f>
        <v>181</v>
      </c>
      <c r="E31" s="5">
        <f t="shared" si="17"/>
        <v>134</v>
      </c>
      <c r="F31" s="5">
        <f t="shared" si="17"/>
        <v>548</v>
      </c>
      <c r="G31" s="5">
        <f t="shared" si="17"/>
        <v>227</v>
      </c>
      <c r="H31" s="5">
        <f t="shared" si="17"/>
        <v>358</v>
      </c>
      <c r="I31" s="5">
        <f t="shared" si="17"/>
        <v>186</v>
      </c>
      <c r="J31" s="5">
        <f t="shared" si="17"/>
        <v>216</v>
      </c>
      <c r="K31" s="5">
        <f t="shared" si="17"/>
        <v>467</v>
      </c>
      <c r="L31" s="5">
        <f t="shared" si="17"/>
        <v>292</v>
      </c>
      <c r="M31" s="17">
        <f>(L31/C31)^(1/($L$3-$C$3))-1</f>
        <v>0.1857815814089625</v>
      </c>
    </row>
    <row r="32" spans="1:28" x14ac:dyDescent="0.25">
      <c r="A32" s="2"/>
    </row>
    <row r="33" spans="1:23" x14ac:dyDescent="0.25">
      <c r="A33" s="2" t="s">
        <v>18</v>
      </c>
      <c r="C33" s="5">
        <f>C15/C31</f>
        <v>1.4603174603174602</v>
      </c>
      <c r="D33" s="5">
        <f t="shared" ref="D33:L33" si="18">D15/D31</f>
        <v>0.59116022099447518</v>
      </c>
      <c r="E33" s="5">
        <f t="shared" si="18"/>
        <v>0.81343283582089554</v>
      </c>
      <c r="F33" s="5">
        <f t="shared" si="18"/>
        <v>0.20255474452554745</v>
      </c>
      <c r="G33" s="5">
        <f t="shared" si="18"/>
        <v>0.48898678414096919</v>
      </c>
      <c r="H33" s="5">
        <f t="shared" si="18"/>
        <v>0.33798882681564246</v>
      </c>
      <c r="I33" s="5">
        <f t="shared" si="18"/>
        <v>0.65053763440860213</v>
      </c>
      <c r="J33" s="5">
        <f t="shared" si="18"/>
        <v>0.55092592592592593</v>
      </c>
      <c r="K33" s="5">
        <f t="shared" si="18"/>
        <v>0.2569593147751606</v>
      </c>
      <c r="L33" s="5">
        <f t="shared" si="18"/>
        <v>0.41438356164383561</v>
      </c>
      <c r="M33" s="17">
        <f>(L33/C33)^(1/($L$3-$C$3))-1</f>
        <v>-0.13060477815923477</v>
      </c>
      <c r="N33" s="23">
        <f>L33*(1+N34)</f>
        <v>0.43510273972602742</v>
      </c>
      <c r="O33" s="23">
        <f>N33*(1+O34)</f>
        <v>0.4568578767123288</v>
      </c>
      <c r="P33" s="23">
        <f t="shared" ref="P33" si="19">O33*(1+P34)</f>
        <v>0.47970077054794524</v>
      </c>
      <c r="Q33" s="23">
        <f t="shared" ref="Q33" si="20">P33*(1+Q34)</f>
        <v>0.50368580907534255</v>
      </c>
      <c r="R33" s="23">
        <f t="shared" ref="R33" si="21">Q33*(1+R34)</f>
        <v>0.52887009952910968</v>
      </c>
      <c r="S33" s="23">
        <f t="shared" ref="S33" si="22">R33*(1+S34)</f>
        <v>0.55531360450556522</v>
      </c>
      <c r="T33" s="23">
        <f t="shared" ref="T33" si="23">S33*(1+T34)</f>
        <v>0.58307928473084347</v>
      </c>
      <c r="U33" s="23">
        <f t="shared" ref="U33" si="24">T33*(1+U34)</f>
        <v>0.61223324896738562</v>
      </c>
      <c r="V33" s="23">
        <f t="shared" ref="V33" si="25">U33*(1+V34)</f>
        <v>0.64284491141575495</v>
      </c>
      <c r="W33" s="23">
        <f t="shared" ref="W33" si="26">V33*(1+W34)</f>
        <v>0.67498715698654277</v>
      </c>
    </row>
    <row r="34" spans="1:23" x14ac:dyDescent="0.25">
      <c r="A34" s="2"/>
      <c r="N34" s="24">
        <v>0.05</v>
      </c>
      <c r="O34" s="24">
        <v>0.05</v>
      </c>
      <c r="P34" s="24">
        <v>0.05</v>
      </c>
      <c r="Q34" s="24">
        <v>0.05</v>
      </c>
      <c r="R34" s="24">
        <v>0.05</v>
      </c>
      <c r="S34" s="24">
        <v>0.05</v>
      </c>
      <c r="T34" s="24">
        <v>0.05</v>
      </c>
      <c r="U34" s="24">
        <v>0.05</v>
      </c>
      <c r="V34" s="24">
        <v>0.05</v>
      </c>
      <c r="W34" s="24">
        <v>0.05</v>
      </c>
    </row>
    <row r="35" spans="1:23" x14ac:dyDescent="0.25">
      <c r="A35" s="2" t="s">
        <v>19</v>
      </c>
      <c r="C35" s="5">
        <v>6.3231078333333324</v>
      </c>
      <c r="D35" s="5">
        <v>11.677703250000002</v>
      </c>
      <c r="E35" s="5">
        <v>13.118797499999999</v>
      </c>
      <c r="F35" s="5">
        <v>13.855581250000002</v>
      </c>
      <c r="G35" s="5">
        <v>12.872151666666669</v>
      </c>
      <c r="H35" s="5">
        <v>19.590224250000002</v>
      </c>
      <c r="I35" s="5">
        <v>17.352255416666669</v>
      </c>
      <c r="J35" s="5">
        <v>15.135266166666668</v>
      </c>
      <c r="K35" s="5">
        <v>10.508509166666668</v>
      </c>
      <c r="L35" s="5">
        <v>7.3276348333333337</v>
      </c>
      <c r="M35" s="17">
        <f>(L35/C35)^(1/($L$3-$C$3))-1</f>
        <v>1.6517368133562638E-2</v>
      </c>
    </row>
    <row r="36" spans="1:23" x14ac:dyDescent="0.25">
      <c r="A36" s="2"/>
    </row>
    <row r="37" spans="1:23" x14ac:dyDescent="0.25">
      <c r="A37" s="2" t="s">
        <v>20</v>
      </c>
      <c r="C37" s="13">
        <f>C33/C35</f>
        <v>0.23094932093663653</v>
      </c>
      <c r="D37" s="13">
        <f t="shared" ref="D37:L37" si="27">D33/D35</f>
        <v>5.0622987101035903E-2</v>
      </c>
      <c r="E37" s="13">
        <f t="shared" si="27"/>
        <v>6.200513696631841E-2</v>
      </c>
      <c r="F37" s="13">
        <f t="shared" si="27"/>
        <v>1.4619000161075698E-2</v>
      </c>
      <c r="G37" s="13">
        <f t="shared" si="27"/>
        <v>3.7987960117595136E-2</v>
      </c>
      <c r="H37" s="13">
        <f t="shared" si="27"/>
        <v>1.7252933019163495E-2</v>
      </c>
      <c r="I37" s="13">
        <f t="shared" si="27"/>
        <v>3.7490090987467091E-2</v>
      </c>
      <c r="J37" s="13">
        <f t="shared" si="27"/>
        <v>3.6400147830849792E-2</v>
      </c>
      <c r="K37" s="13">
        <f t="shared" si="27"/>
        <v>2.4452499464933036E-2</v>
      </c>
      <c r="L37" s="13">
        <f t="shared" si="27"/>
        <v>5.6550793137071891E-2</v>
      </c>
      <c r="M37" s="18">
        <f>AVERAGE(C37:L37)</f>
        <v>5.6833086972214696E-2</v>
      </c>
    </row>
  </sheetData>
  <mergeCells count="8">
    <mergeCell ref="Z17:AA17"/>
    <mergeCell ref="Y20:AA20"/>
    <mergeCell ref="Y3:AA3"/>
    <mergeCell ref="Z6:AA6"/>
    <mergeCell ref="Z8:AA8"/>
    <mergeCell ref="Z9:AA9"/>
    <mergeCell ref="Z11:AA11"/>
    <mergeCell ref="Y14:AA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C18D-C00F-4C40-A525-53A06A7BC422}">
  <dimension ref="A3:M17"/>
  <sheetViews>
    <sheetView workbookViewId="0">
      <selection activeCell="D6" sqref="D6:M6"/>
    </sheetView>
  </sheetViews>
  <sheetFormatPr defaultRowHeight="15" x14ac:dyDescent="0.25"/>
  <cols>
    <col min="1" max="1" width="13.140625" bestFit="1" customWidth="1"/>
    <col min="2" max="2" width="19.5703125" bestFit="1" customWidth="1"/>
    <col min="4" max="4" width="12" bestFit="1" customWidth="1"/>
  </cols>
  <sheetData>
    <row r="3" spans="1:13" x14ac:dyDescent="0.25">
      <c r="A3" s="7" t="s">
        <v>25</v>
      </c>
      <c r="B3" t="s">
        <v>40</v>
      </c>
    </row>
    <row r="4" spans="1:13" x14ac:dyDescent="0.25">
      <c r="A4" s="8" t="s">
        <v>27</v>
      </c>
      <c r="B4" s="9">
        <v>6.6423800000000002</v>
      </c>
    </row>
    <row r="5" spans="1:13" x14ac:dyDescent="0.25">
      <c r="A5" s="8" t="s">
        <v>28</v>
      </c>
      <c r="B5" s="9">
        <v>5.8955832499999987</v>
      </c>
    </row>
    <row r="6" spans="1:13" x14ac:dyDescent="0.25">
      <c r="A6" s="8" t="s">
        <v>29</v>
      </c>
      <c r="B6" s="9">
        <v>6.3231078333333324</v>
      </c>
      <c r="D6" s="10" cm="1">
        <f t="array" ref="D6:M6">TRANSPOSE(B6:B15)</f>
        <v>6.3231078333333324</v>
      </c>
      <c r="E6" s="10">
        <v>11.677703250000002</v>
      </c>
      <c r="F6" s="10">
        <v>13.118797499999999</v>
      </c>
      <c r="G6" s="10">
        <v>13.855581250000002</v>
      </c>
      <c r="H6" s="10">
        <v>12.872151666666669</v>
      </c>
      <c r="I6" s="10">
        <v>19.590224250000002</v>
      </c>
      <c r="J6" s="10">
        <v>17.352255416666669</v>
      </c>
      <c r="K6" s="10">
        <v>15.135266166666668</v>
      </c>
      <c r="L6" s="10">
        <v>10.508509166666668</v>
      </c>
      <c r="M6" s="10">
        <v>7.3276348333333337</v>
      </c>
    </row>
    <row r="7" spans="1:13" x14ac:dyDescent="0.25">
      <c r="A7" s="8" t="s">
        <v>30</v>
      </c>
      <c r="B7" s="9">
        <v>11.677703250000002</v>
      </c>
    </row>
    <row r="8" spans="1:13" x14ac:dyDescent="0.25">
      <c r="A8" s="8" t="s">
        <v>31</v>
      </c>
      <c r="B8" s="9">
        <v>13.118797499999999</v>
      </c>
    </row>
    <row r="9" spans="1:13" x14ac:dyDescent="0.25">
      <c r="A9" s="8" t="s">
        <v>32</v>
      </c>
      <c r="B9" s="9">
        <v>13.855581250000002</v>
      </c>
    </row>
    <row r="10" spans="1:13" x14ac:dyDescent="0.25">
      <c r="A10" s="8" t="s">
        <v>33</v>
      </c>
      <c r="B10" s="9">
        <v>12.872151666666669</v>
      </c>
    </row>
    <row r="11" spans="1:13" x14ac:dyDescent="0.25">
      <c r="A11" s="8" t="s">
        <v>34</v>
      </c>
      <c r="B11" s="9">
        <v>19.590224250000002</v>
      </c>
    </row>
    <row r="12" spans="1:13" x14ac:dyDescent="0.25">
      <c r="A12" s="8" t="s">
        <v>35</v>
      </c>
      <c r="B12" s="9">
        <v>17.352255416666669</v>
      </c>
    </row>
    <row r="13" spans="1:13" x14ac:dyDescent="0.25">
      <c r="A13" s="8" t="s">
        <v>36</v>
      </c>
      <c r="B13" s="9">
        <v>15.135266166666668</v>
      </c>
    </row>
    <row r="14" spans="1:13" x14ac:dyDescent="0.25">
      <c r="A14" s="8" t="s">
        <v>37</v>
      </c>
      <c r="B14" s="9">
        <v>10.508509166666668</v>
      </c>
    </row>
    <row r="15" spans="1:13" x14ac:dyDescent="0.25">
      <c r="A15" s="8" t="s">
        <v>38</v>
      </c>
      <c r="B15" s="9">
        <v>7.3276348333333337</v>
      </c>
    </row>
    <row r="16" spans="1:13" x14ac:dyDescent="0.25">
      <c r="A16" s="8" t="s">
        <v>39</v>
      </c>
      <c r="B16" s="9">
        <v>7.61</v>
      </c>
    </row>
    <row r="17" spans="1:2" x14ac:dyDescent="0.25">
      <c r="A17" s="8" t="s">
        <v>26</v>
      </c>
      <c r="B17" s="9">
        <v>11.736856241379314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D36F-A0D3-496B-B5B9-CC04FEE328EF}">
  <dimension ref="A1:B146"/>
  <sheetViews>
    <sheetView workbookViewId="0">
      <selection activeCell="A2" sqref="A2"/>
    </sheetView>
  </sheetViews>
  <sheetFormatPr defaultRowHeight="15" x14ac:dyDescent="0.25"/>
  <cols>
    <col min="1" max="1" width="11" bestFit="1" customWidth="1"/>
    <col min="2" max="2" width="10.28515625" bestFit="1" customWidth="1"/>
  </cols>
  <sheetData>
    <row r="1" spans="1:2" x14ac:dyDescent="0.25">
      <c r="A1" t="s">
        <v>1</v>
      </c>
      <c r="B1" t="s">
        <v>24</v>
      </c>
    </row>
    <row r="2" spans="1:2" x14ac:dyDescent="0.25">
      <c r="A2" s="6">
        <v>40513</v>
      </c>
      <c r="B2">
        <v>6.6423800000000002</v>
      </c>
    </row>
    <row r="3" spans="1:2" x14ac:dyDescent="0.25">
      <c r="A3" s="6">
        <v>40544</v>
      </c>
      <c r="B3">
        <v>6.4026519999999998</v>
      </c>
    </row>
    <row r="4" spans="1:2" x14ac:dyDescent="0.25">
      <c r="A4" s="6">
        <v>40575</v>
      </c>
      <c r="B4">
        <v>6.8497839999999997</v>
      </c>
    </row>
    <row r="5" spans="1:2" x14ac:dyDescent="0.25">
      <c r="A5" s="6">
        <v>40603</v>
      </c>
      <c r="B5">
        <v>6.9063530000000002</v>
      </c>
    </row>
    <row r="6" spans="1:2" x14ac:dyDescent="0.25">
      <c r="A6" s="6">
        <v>40634</v>
      </c>
      <c r="B6">
        <v>7.186483</v>
      </c>
    </row>
    <row r="7" spans="1:2" x14ac:dyDescent="0.25">
      <c r="A7" s="6">
        <v>40664</v>
      </c>
      <c r="B7">
        <v>6.6235229999999996</v>
      </c>
    </row>
    <row r="8" spans="1:2" x14ac:dyDescent="0.25">
      <c r="A8" s="6">
        <v>40695</v>
      </c>
      <c r="B8">
        <v>6.2033250000000004</v>
      </c>
    </row>
    <row r="9" spans="1:2" x14ac:dyDescent="0.25">
      <c r="A9" s="6">
        <v>40725</v>
      </c>
      <c r="B9">
        <v>5.6026569999999998</v>
      </c>
    </row>
    <row r="10" spans="1:2" x14ac:dyDescent="0.25">
      <c r="A10" s="6">
        <v>40756</v>
      </c>
      <c r="B10">
        <v>5.7831260000000002</v>
      </c>
    </row>
    <row r="11" spans="1:2" x14ac:dyDescent="0.25">
      <c r="A11" s="6">
        <v>40787</v>
      </c>
      <c r="B11">
        <v>4.9992919999999996</v>
      </c>
    </row>
    <row r="12" spans="1:2" x14ac:dyDescent="0.25">
      <c r="A12" s="6">
        <v>40817</v>
      </c>
      <c r="B12">
        <v>4.9104049999999999</v>
      </c>
    </row>
    <row r="13" spans="1:2" x14ac:dyDescent="0.25">
      <c r="A13" s="6">
        <v>40848</v>
      </c>
      <c r="B13">
        <v>4.7676439999999998</v>
      </c>
    </row>
    <row r="14" spans="1:2" x14ac:dyDescent="0.25">
      <c r="A14" s="6">
        <v>40878</v>
      </c>
      <c r="B14">
        <v>4.511755</v>
      </c>
    </row>
    <row r="15" spans="1:2" x14ac:dyDescent="0.25">
      <c r="A15" s="6">
        <v>40909</v>
      </c>
      <c r="B15">
        <v>4.735322</v>
      </c>
    </row>
    <row r="16" spans="1:2" x14ac:dyDescent="0.25">
      <c r="A16" s="6">
        <v>40940</v>
      </c>
      <c r="B16">
        <v>4.7434019999999997</v>
      </c>
    </row>
    <row r="17" spans="1:2" x14ac:dyDescent="0.25">
      <c r="A17" s="6">
        <v>40969</v>
      </c>
      <c r="B17">
        <v>5.1205040000000004</v>
      </c>
    </row>
    <row r="18" spans="1:2" x14ac:dyDescent="0.25">
      <c r="A18" s="6">
        <v>41000</v>
      </c>
      <c r="B18">
        <v>5.5784140000000004</v>
      </c>
    </row>
    <row r="19" spans="1:2" x14ac:dyDescent="0.25">
      <c r="A19" s="6">
        <v>41030</v>
      </c>
      <c r="B19">
        <v>5.8612399999999996</v>
      </c>
    </row>
    <row r="20" spans="1:2" x14ac:dyDescent="0.25">
      <c r="A20" s="6">
        <v>41061</v>
      </c>
      <c r="B20">
        <v>6.1198240000000004</v>
      </c>
    </row>
    <row r="21" spans="1:2" x14ac:dyDescent="0.25">
      <c r="A21" s="6">
        <v>41091</v>
      </c>
      <c r="B21">
        <v>6.2275689999999999</v>
      </c>
    </row>
    <row r="22" spans="1:2" x14ac:dyDescent="0.25">
      <c r="A22" s="6">
        <v>41122</v>
      </c>
      <c r="B22">
        <v>7.0868219999999997</v>
      </c>
    </row>
    <row r="23" spans="1:2" x14ac:dyDescent="0.25">
      <c r="A23" s="6">
        <v>41153</v>
      </c>
      <c r="B23">
        <v>7.5118340000000003</v>
      </c>
    </row>
    <row r="24" spans="1:2" x14ac:dyDescent="0.25">
      <c r="A24" s="6">
        <v>41183</v>
      </c>
      <c r="B24">
        <v>7.5254070000000004</v>
      </c>
    </row>
    <row r="25" spans="1:2" x14ac:dyDescent="0.25">
      <c r="A25" s="6">
        <v>41214</v>
      </c>
      <c r="B25">
        <v>7.6557209999999998</v>
      </c>
    </row>
    <row r="26" spans="1:2" x14ac:dyDescent="0.25">
      <c r="A26" s="6">
        <v>41244</v>
      </c>
      <c r="B26">
        <v>7.7112350000000003</v>
      </c>
    </row>
    <row r="27" spans="1:2" x14ac:dyDescent="0.25">
      <c r="A27" s="6">
        <v>41275</v>
      </c>
      <c r="B27">
        <v>10.844832</v>
      </c>
    </row>
    <row r="28" spans="1:2" x14ac:dyDescent="0.25">
      <c r="A28" s="6">
        <v>41306</v>
      </c>
      <c r="B28">
        <v>11.483158</v>
      </c>
    </row>
    <row r="29" spans="1:2" x14ac:dyDescent="0.25">
      <c r="A29" s="6">
        <v>41334</v>
      </c>
      <c r="B29">
        <v>12.700742999999999</v>
      </c>
    </row>
    <row r="30" spans="1:2" x14ac:dyDescent="0.25">
      <c r="A30" s="6">
        <v>41365</v>
      </c>
      <c r="B30">
        <v>12.643348</v>
      </c>
    </row>
    <row r="31" spans="1:2" x14ac:dyDescent="0.25">
      <c r="A31" s="6">
        <v>41395</v>
      </c>
      <c r="B31">
        <v>11.755445</v>
      </c>
    </row>
    <row r="32" spans="1:2" x14ac:dyDescent="0.25">
      <c r="A32" s="6">
        <v>41426</v>
      </c>
      <c r="B32">
        <v>11.612817</v>
      </c>
    </row>
    <row r="33" spans="1:2" x14ac:dyDescent="0.25">
      <c r="A33" s="6">
        <v>41456</v>
      </c>
      <c r="B33">
        <v>11.876203</v>
      </c>
    </row>
    <row r="34" spans="1:2" x14ac:dyDescent="0.25">
      <c r="A34" s="6">
        <v>41487</v>
      </c>
      <c r="B34">
        <v>10.675583</v>
      </c>
    </row>
    <row r="35" spans="1:2" x14ac:dyDescent="0.25">
      <c r="A35" s="6">
        <v>41518</v>
      </c>
      <c r="B35">
        <v>11.541769</v>
      </c>
    </row>
    <row r="36" spans="1:2" x14ac:dyDescent="0.25">
      <c r="A36" s="6">
        <v>41548</v>
      </c>
      <c r="B36">
        <v>12.242955</v>
      </c>
    </row>
    <row r="37" spans="1:2" x14ac:dyDescent="0.25">
      <c r="A37" s="6">
        <v>41579</v>
      </c>
      <c r="B37">
        <v>11.385566000000001</v>
      </c>
    </row>
    <row r="38" spans="1:2" x14ac:dyDescent="0.25">
      <c r="A38" s="6">
        <v>41609</v>
      </c>
      <c r="B38">
        <v>11.37002</v>
      </c>
    </row>
    <row r="39" spans="1:2" x14ac:dyDescent="0.25">
      <c r="A39" s="6">
        <v>41640</v>
      </c>
      <c r="B39">
        <v>11.814659000000001</v>
      </c>
    </row>
    <row r="40" spans="1:2" x14ac:dyDescent="0.25">
      <c r="A40" s="6">
        <v>41671</v>
      </c>
      <c r="B40">
        <v>11.373551000000001</v>
      </c>
    </row>
    <row r="41" spans="1:2" x14ac:dyDescent="0.25">
      <c r="A41" s="6">
        <v>41699</v>
      </c>
      <c r="B41">
        <v>11.578416000000001</v>
      </c>
    </row>
    <row r="42" spans="1:2" x14ac:dyDescent="0.25">
      <c r="A42" s="6">
        <v>41730</v>
      </c>
      <c r="B42">
        <v>12.041693</v>
      </c>
    </row>
    <row r="43" spans="1:2" x14ac:dyDescent="0.25">
      <c r="A43" s="6">
        <v>41760</v>
      </c>
      <c r="B43">
        <v>12.214074999999999</v>
      </c>
    </row>
    <row r="44" spans="1:2" x14ac:dyDescent="0.25">
      <c r="A44" s="6">
        <v>41791</v>
      </c>
      <c r="B44">
        <v>13.048888</v>
      </c>
    </row>
    <row r="45" spans="1:2" x14ac:dyDescent="0.25">
      <c r="A45" s="6">
        <v>41821</v>
      </c>
      <c r="B45">
        <v>12.566813</v>
      </c>
    </row>
    <row r="46" spans="1:2" x14ac:dyDescent="0.25">
      <c r="A46" s="6">
        <v>41852</v>
      </c>
      <c r="B46">
        <v>13.666084</v>
      </c>
    </row>
    <row r="47" spans="1:2" x14ac:dyDescent="0.25">
      <c r="A47" s="6">
        <v>41883</v>
      </c>
      <c r="B47">
        <v>14.171728999999999</v>
      </c>
    </row>
    <row r="48" spans="1:2" x14ac:dyDescent="0.25">
      <c r="A48" s="6">
        <v>41913</v>
      </c>
      <c r="B48">
        <v>14.809491</v>
      </c>
    </row>
    <row r="49" spans="1:2" x14ac:dyDescent="0.25">
      <c r="A49" s="6">
        <v>41944</v>
      </c>
      <c r="B49">
        <v>14.939271</v>
      </c>
    </row>
    <row r="50" spans="1:2" x14ac:dyDescent="0.25">
      <c r="A50" s="6">
        <v>41974</v>
      </c>
      <c r="B50">
        <v>15.200900000000001</v>
      </c>
    </row>
    <row r="51" spans="1:2" x14ac:dyDescent="0.25">
      <c r="A51" s="6">
        <v>42005</v>
      </c>
      <c r="B51">
        <v>16.391058000000001</v>
      </c>
    </row>
    <row r="52" spans="1:2" x14ac:dyDescent="0.25">
      <c r="A52" s="6">
        <v>42036</v>
      </c>
      <c r="B52">
        <v>16.251702999999999</v>
      </c>
    </row>
    <row r="53" spans="1:2" x14ac:dyDescent="0.25">
      <c r="A53" s="6">
        <v>42064</v>
      </c>
      <c r="B53">
        <v>16.718326999999999</v>
      </c>
    </row>
    <row r="54" spans="1:2" x14ac:dyDescent="0.25">
      <c r="A54" s="6">
        <v>42095</v>
      </c>
      <c r="B54">
        <v>14.906598000000001</v>
      </c>
    </row>
    <row r="55" spans="1:2" x14ac:dyDescent="0.25">
      <c r="A55" s="6">
        <v>42125</v>
      </c>
      <c r="B55">
        <v>14.497624999999999</v>
      </c>
    </row>
    <row r="56" spans="1:2" x14ac:dyDescent="0.25">
      <c r="A56" s="6">
        <v>42156</v>
      </c>
      <c r="B56">
        <v>13.283341</v>
      </c>
    </row>
    <row r="57" spans="1:2" x14ac:dyDescent="0.25">
      <c r="A57" s="6">
        <v>42186</v>
      </c>
      <c r="B57">
        <v>14.67934</v>
      </c>
    </row>
    <row r="58" spans="1:2" x14ac:dyDescent="0.25">
      <c r="A58" s="6">
        <v>42217</v>
      </c>
      <c r="B58">
        <v>11.677367</v>
      </c>
    </row>
    <row r="59" spans="1:2" x14ac:dyDescent="0.25">
      <c r="A59" s="6">
        <v>42248</v>
      </c>
      <c r="B59">
        <v>11.774246</v>
      </c>
    </row>
    <row r="60" spans="1:2" x14ac:dyDescent="0.25">
      <c r="A60" s="6">
        <v>42278</v>
      </c>
      <c r="B60">
        <v>12.775887000000001</v>
      </c>
    </row>
    <row r="61" spans="1:2" x14ac:dyDescent="0.25">
      <c r="A61" s="6">
        <v>42309</v>
      </c>
      <c r="B61">
        <v>11.607965999999999</v>
      </c>
    </row>
    <row r="62" spans="1:2" x14ac:dyDescent="0.25">
      <c r="A62" s="6">
        <v>42339</v>
      </c>
      <c r="B62">
        <v>11.703517</v>
      </c>
    </row>
    <row r="63" spans="1:2" x14ac:dyDescent="0.25">
      <c r="A63" s="6">
        <v>42370</v>
      </c>
      <c r="B63">
        <v>11.974750999999999</v>
      </c>
    </row>
    <row r="64" spans="1:2" x14ac:dyDescent="0.25">
      <c r="A64" s="6">
        <v>42401</v>
      </c>
      <c r="B64">
        <v>11.756145</v>
      </c>
    </row>
    <row r="65" spans="1:2" x14ac:dyDescent="0.25">
      <c r="A65" s="6">
        <v>42430</v>
      </c>
      <c r="B65">
        <v>14.380228000000001</v>
      </c>
    </row>
    <row r="66" spans="1:2" x14ac:dyDescent="0.25">
      <c r="A66" s="6">
        <v>42461</v>
      </c>
      <c r="B66">
        <v>13.285226</v>
      </c>
    </row>
    <row r="67" spans="1:2" x14ac:dyDescent="0.25">
      <c r="A67" s="6">
        <v>42491</v>
      </c>
      <c r="B67">
        <v>14.071897999999999</v>
      </c>
    </row>
    <row r="68" spans="1:2" x14ac:dyDescent="0.25">
      <c r="A68" s="6">
        <v>42522</v>
      </c>
      <c r="B68">
        <v>14.461138999999999</v>
      </c>
    </row>
    <row r="69" spans="1:2" x14ac:dyDescent="0.25">
      <c r="A69" s="6">
        <v>42552</v>
      </c>
      <c r="B69">
        <v>14.643068</v>
      </c>
    </row>
    <row r="70" spans="1:2" x14ac:dyDescent="0.25">
      <c r="A70" s="6">
        <v>42583</v>
      </c>
      <c r="B70">
        <v>8.6422629999999998</v>
      </c>
    </row>
    <row r="71" spans="1:2" x14ac:dyDescent="0.25">
      <c r="A71" s="6">
        <v>42614</v>
      </c>
      <c r="B71">
        <v>10.255141999999999</v>
      </c>
    </row>
    <row r="72" spans="1:2" x14ac:dyDescent="0.25">
      <c r="A72" s="6">
        <v>42644</v>
      </c>
      <c r="B72">
        <v>10.332767</v>
      </c>
    </row>
    <row r="73" spans="1:2" x14ac:dyDescent="0.25">
      <c r="A73" s="6">
        <v>42675</v>
      </c>
      <c r="B73">
        <v>14.739959000000001</v>
      </c>
    </row>
    <row r="74" spans="1:2" x14ac:dyDescent="0.25">
      <c r="A74" s="6">
        <v>42705</v>
      </c>
      <c r="B74">
        <v>15.923234000000001</v>
      </c>
    </row>
    <row r="75" spans="1:2" x14ac:dyDescent="0.25">
      <c r="A75" s="6">
        <v>42736</v>
      </c>
      <c r="B75">
        <v>18.400577999999999</v>
      </c>
    </row>
    <row r="76" spans="1:2" x14ac:dyDescent="0.25">
      <c r="A76" s="6">
        <v>42767</v>
      </c>
      <c r="B76">
        <v>21.099504</v>
      </c>
    </row>
    <row r="77" spans="1:2" x14ac:dyDescent="0.25">
      <c r="A77" s="6">
        <v>42795</v>
      </c>
      <c r="B77">
        <v>20.874392</v>
      </c>
    </row>
    <row r="78" spans="1:2" x14ac:dyDescent="0.25">
      <c r="A78" s="6">
        <v>42826</v>
      </c>
      <c r="B78">
        <v>22.499506</v>
      </c>
    </row>
    <row r="79" spans="1:2" x14ac:dyDescent="0.25">
      <c r="A79" s="6">
        <v>42856</v>
      </c>
      <c r="B79">
        <v>20.217141999999999</v>
      </c>
    </row>
    <row r="80" spans="1:2" x14ac:dyDescent="0.25">
      <c r="A80" s="6">
        <v>42887</v>
      </c>
      <c r="B80">
        <v>20.271796999999999</v>
      </c>
    </row>
    <row r="81" spans="1:2" x14ac:dyDescent="0.25">
      <c r="A81" s="6">
        <v>42917</v>
      </c>
      <c r="B81">
        <v>20.120975000000001</v>
      </c>
    </row>
    <row r="82" spans="1:2" x14ac:dyDescent="0.25">
      <c r="A82" s="6">
        <v>42948</v>
      </c>
      <c r="B82">
        <v>19.247834999999998</v>
      </c>
    </row>
    <row r="83" spans="1:2" x14ac:dyDescent="0.25">
      <c r="A83" s="6">
        <v>42979</v>
      </c>
      <c r="B83">
        <v>18.732519</v>
      </c>
    </row>
    <row r="84" spans="1:2" x14ac:dyDescent="0.25">
      <c r="A84" s="6">
        <v>43009</v>
      </c>
      <c r="B84">
        <v>18.070967</v>
      </c>
    </row>
    <row r="85" spans="1:2" x14ac:dyDescent="0.25">
      <c r="A85" s="6">
        <v>43040</v>
      </c>
      <c r="B85">
        <v>18.815913999999999</v>
      </c>
    </row>
    <row r="86" spans="1:2" x14ac:dyDescent="0.25">
      <c r="A86" s="6">
        <v>43070</v>
      </c>
      <c r="B86">
        <v>16.731562</v>
      </c>
    </row>
    <row r="87" spans="1:2" x14ac:dyDescent="0.25">
      <c r="A87" s="6">
        <v>43101</v>
      </c>
      <c r="B87">
        <v>15.987147999999999</v>
      </c>
    </row>
    <row r="88" spans="1:2" x14ac:dyDescent="0.25">
      <c r="A88" s="6">
        <v>43132</v>
      </c>
      <c r="B88">
        <v>15.100942</v>
      </c>
    </row>
    <row r="89" spans="1:2" x14ac:dyDescent="0.25">
      <c r="A89" s="6">
        <v>43160</v>
      </c>
      <c r="B89">
        <v>14.860506000000001</v>
      </c>
    </row>
    <row r="90" spans="1:2" x14ac:dyDescent="0.25">
      <c r="A90" s="6">
        <v>43191</v>
      </c>
      <c r="B90">
        <v>16.334215</v>
      </c>
    </row>
    <row r="91" spans="1:2" x14ac:dyDescent="0.25">
      <c r="A91" s="6">
        <v>43221</v>
      </c>
      <c r="B91">
        <v>18.395503999999999</v>
      </c>
    </row>
    <row r="92" spans="1:2" x14ac:dyDescent="0.25">
      <c r="A92" s="6">
        <v>43252</v>
      </c>
      <c r="B92">
        <v>20.427916</v>
      </c>
    </row>
    <row r="93" spans="1:2" x14ac:dyDescent="0.25">
      <c r="A93" s="6">
        <v>43282</v>
      </c>
      <c r="B93">
        <v>19.1966</v>
      </c>
    </row>
    <row r="94" spans="1:2" x14ac:dyDescent="0.25">
      <c r="A94" s="6">
        <v>43313</v>
      </c>
      <c r="B94">
        <v>19.161652</v>
      </c>
    </row>
    <row r="95" spans="1:2" x14ac:dyDescent="0.25">
      <c r="A95" s="6">
        <v>43344</v>
      </c>
      <c r="B95">
        <v>19.003043999999999</v>
      </c>
    </row>
    <row r="96" spans="1:2" x14ac:dyDescent="0.25">
      <c r="A96" s="6">
        <v>43374</v>
      </c>
      <c r="B96">
        <v>16.699417</v>
      </c>
    </row>
    <row r="97" spans="1:2" x14ac:dyDescent="0.25">
      <c r="A97" s="6">
        <v>43405</v>
      </c>
      <c r="B97">
        <v>17.892809</v>
      </c>
    </row>
    <row r="98" spans="1:2" x14ac:dyDescent="0.25">
      <c r="A98" s="6">
        <v>43435</v>
      </c>
      <c r="B98">
        <v>15.167312000000001</v>
      </c>
    </row>
    <row r="99" spans="1:2" x14ac:dyDescent="0.25">
      <c r="A99" s="6">
        <v>43466</v>
      </c>
      <c r="B99">
        <v>17.361567999999998</v>
      </c>
    </row>
    <row r="100" spans="1:2" x14ac:dyDescent="0.25">
      <c r="A100" s="6">
        <v>43497</v>
      </c>
      <c r="B100">
        <v>17.492455</v>
      </c>
    </row>
    <row r="101" spans="1:2" x14ac:dyDescent="0.25">
      <c r="A101" s="6">
        <v>43525</v>
      </c>
      <c r="B101">
        <v>15.089518</v>
      </c>
    </row>
    <row r="102" spans="1:2" x14ac:dyDescent="0.25">
      <c r="A102" s="6">
        <v>43556</v>
      </c>
      <c r="B102">
        <v>15.733969</v>
      </c>
    </row>
    <row r="103" spans="1:2" x14ac:dyDescent="0.25">
      <c r="A103" s="6">
        <v>43586</v>
      </c>
      <c r="B103">
        <v>17.658442000000001</v>
      </c>
    </row>
    <row r="104" spans="1:2" x14ac:dyDescent="0.25">
      <c r="A104" s="6">
        <v>43617</v>
      </c>
      <c r="B104">
        <v>16.917643000000002</v>
      </c>
    </row>
    <row r="105" spans="1:2" x14ac:dyDescent="0.25">
      <c r="A105" s="6">
        <v>43647</v>
      </c>
      <c r="B105">
        <v>14.340941000000001</v>
      </c>
    </row>
    <row r="106" spans="1:2" x14ac:dyDescent="0.25">
      <c r="A106" s="6">
        <v>43678</v>
      </c>
      <c r="B106">
        <v>14.184184999999999</v>
      </c>
    </row>
    <row r="107" spans="1:2" x14ac:dyDescent="0.25">
      <c r="A107" s="6">
        <v>43709</v>
      </c>
      <c r="B107">
        <v>14.332971000000001</v>
      </c>
    </row>
    <row r="108" spans="1:2" x14ac:dyDescent="0.25">
      <c r="A108" s="6">
        <v>43739</v>
      </c>
      <c r="B108">
        <v>12.58061</v>
      </c>
    </row>
    <row r="109" spans="1:2" x14ac:dyDescent="0.25">
      <c r="A109" s="6">
        <v>43770</v>
      </c>
      <c r="B109">
        <v>11.79528</v>
      </c>
    </row>
    <row r="110" spans="1:2" x14ac:dyDescent="0.25">
      <c r="A110" s="6">
        <v>43800</v>
      </c>
      <c r="B110">
        <v>14.135612</v>
      </c>
    </row>
    <row r="111" spans="1:2" x14ac:dyDescent="0.25">
      <c r="A111" s="6">
        <v>43831</v>
      </c>
      <c r="B111">
        <v>13.446279000000001</v>
      </c>
    </row>
    <row r="112" spans="1:2" x14ac:dyDescent="0.25">
      <c r="A112" s="6">
        <v>43862</v>
      </c>
      <c r="B112">
        <v>12.459084000000001</v>
      </c>
    </row>
    <row r="113" spans="1:2" x14ac:dyDescent="0.25">
      <c r="A113" s="6">
        <v>43891</v>
      </c>
      <c r="B113">
        <v>10.635987</v>
      </c>
    </row>
    <row r="114" spans="1:2" x14ac:dyDescent="0.25">
      <c r="A114" s="6">
        <v>43922</v>
      </c>
      <c r="B114">
        <v>11.090816</v>
      </c>
    </row>
    <row r="115" spans="1:2" x14ac:dyDescent="0.25">
      <c r="A115" s="6">
        <v>43952</v>
      </c>
      <c r="B115">
        <v>10.837043</v>
      </c>
    </row>
    <row r="116" spans="1:2" x14ac:dyDescent="0.25">
      <c r="A116" s="6">
        <v>43983</v>
      </c>
      <c r="B116">
        <v>10.701354</v>
      </c>
    </row>
    <row r="117" spans="1:2" x14ac:dyDescent="0.25">
      <c r="A117" s="6">
        <v>44013</v>
      </c>
      <c r="B117">
        <v>9.6158409999999996</v>
      </c>
    </row>
    <row r="118" spans="1:2" x14ac:dyDescent="0.25">
      <c r="A118" s="6">
        <v>44044</v>
      </c>
      <c r="B118">
        <v>10.510505999999999</v>
      </c>
    </row>
    <row r="119" spans="1:2" x14ac:dyDescent="0.25">
      <c r="A119" s="6">
        <v>44075</v>
      </c>
      <c r="B119">
        <v>10.68003</v>
      </c>
    </row>
    <row r="120" spans="1:2" x14ac:dyDescent="0.25">
      <c r="A120" s="6">
        <v>44105</v>
      </c>
      <c r="B120">
        <v>8.3443620000000003</v>
      </c>
    </row>
    <row r="121" spans="1:2" x14ac:dyDescent="0.25">
      <c r="A121" s="6">
        <v>44136</v>
      </c>
      <c r="B121">
        <v>9.1768780000000003</v>
      </c>
    </row>
    <row r="122" spans="1:2" x14ac:dyDescent="0.25">
      <c r="A122" s="6">
        <v>44166</v>
      </c>
      <c r="B122">
        <v>8.6039300000000001</v>
      </c>
    </row>
    <row r="123" spans="1:2" x14ac:dyDescent="0.25">
      <c r="A123" s="6">
        <v>44197</v>
      </c>
      <c r="B123">
        <v>8.6816180000000003</v>
      </c>
    </row>
    <row r="124" spans="1:2" x14ac:dyDescent="0.25">
      <c r="A124" s="6">
        <v>44228</v>
      </c>
      <c r="B124">
        <v>7.2</v>
      </c>
    </row>
    <row r="125" spans="1:2" x14ac:dyDescent="0.25">
      <c r="A125" s="6">
        <v>44256</v>
      </c>
      <c r="B125">
        <v>7.76</v>
      </c>
    </row>
    <row r="126" spans="1:2" x14ac:dyDescent="0.25">
      <c r="A126" s="6">
        <v>44287</v>
      </c>
      <c r="B126">
        <v>5.51</v>
      </c>
    </row>
    <row r="127" spans="1:2" x14ac:dyDescent="0.25">
      <c r="A127" s="6">
        <v>44317</v>
      </c>
      <c r="B127">
        <v>5.19</v>
      </c>
    </row>
    <row r="128" spans="1:2" x14ac:dyDescent="0.25">
      <c r="A128" s="6">
        <v>44348</v>
      </c>
      <c r="B128">
        <v>7.12</v>
      </c>
    </row>
    <row r="129" spans="1:2" x14ac:dyDescent="0.25">
      <c r="A129" s="6">
        <v>44378</v>
      </c>
      <c r="B129">
        <v>6.92</v>
      </c>
    </row>
    <row r="130" spans="1:2" x14ac:dyDescent="0.25">
      <c r="A130" s="6">
        <v>44409</v>
      </c>
      <c r="B130">
        <v>7.75</v>
      </c>
    </row>
    <row r="131" spans="1:2" x14ac:dyDescent="0.25">
      <c r="A131" s="6">
        <v>44440</v>
      </c>
      <c r="B131">
        <v>7.47</v>
      </c>
    </row>
    <row r="132" spans="1:2" x14ac:dyDescent="0.25">
      <c r="A132" s="6">
        <v>44470</v>
      </c>
      <c r="B132">
        <v>8.18</v>
      </c>
    </row>
    <row r="133" spans="1:2" x14ac:dyDescent="0.25">
      <c r="A133" s="6">
        <v>44501</v>
      </c>
      <c r="B133">
        <v>8.4</v>
      </c>
    </row>
    <row r="134" spans="1:2" x14ac:dyDescent="0.25">
      <c r="A134" s="6">
        <v>44531</v>
      </c>
      <c r="B134">
        <v>7.75</v>
      </c>
    </row>
    <row r="135" spans="1:2" x14ac:dyDescent="0.25">
      <c r="A135" s="6">
        <v>44562</v>
      </c>
      <c r="B135">
        <v>6.73</v>
      </c>
    </row>
    <row r="136" spans="1:2" x14ac:dyDescent="0.25">
      <c r="A136" s="6">
        <v>44593</v>
      </c>
      <c r="B136">
        <v>5.96</v>
      </c>
    </row>
    <row r="137" spans="1:2" x14ac:dyDescent="0.25">
      <c r="A137" s="6">
        <v>44621</v>
      </c>
      <c r="B137">
        <v>6.61</v>
      </c>
    </row>
    <row r="138" spans="1:2" x14ac:dyDescent="0.25">
      <c r="A138" s="6">
        <v>44652</v>
      </c>
      <c r="B138">
        <v>6.53</v>
      </c>
    </row>
    <row r="139" spans="1:2" x14ac:dyDescent="0.25">
      <c r="A139" s="6">
        <v>44682</v>
      </c>
      <c r="B139">
        <v>7.11</v>
      </c>
    </row>
    <row r="140" spans="1:2" x14ac:dyDescent="0.25">
      <c r="A140" s="6">
        <v>44713</v>
      </c>
      <c r="B140">
        <v>6.6</v>
      </c>
    </row>
    <row r="141" spans="1:2" x14ac:dyDescent="0.25">
      <c r="A141" s="6">
        <v>44743</v>
      </c>
      <c r="B141">
        <v>6.56</v>
      </c>
    </row>
    <row r="142" spans="1:2" x14ac:dyDescent="0.25">
      <c r="A142" s="6">
        <v>44774</v>
      </c>
      <c r="B142">
        <v>8.18</v>
      </c>
    </row>
    <row r="143" spans="1:2" x14ac:dyDescent="0.25">
      <c r="A143" s="6">
        <v>44805</v>
      </c>
      <c r="B143">
        <v>7.7</v>
      </c>
    </row>
    <row r="144" spans="1:2" x14ac:dyDescent="0.25">
      <c r="A144" s="6">
        <v>44835</v>
      </c>
      <c r="B144">
        <v>8.4600000000000009</v>
      </c>
    </row>
    <row r="145" spans="1:2" x14ac:dyDescent="0.25">
      <c r="A145" s="6">
        <v>44866</v>
      </c>
      <c r="B145">
        <v>10.44</v>
      </c>
    </row>
    <row r="146" spans="1:2" x14ac:dyDescent="0.25">
      <c r="A146" s="6">
        <v>44886</v>
      </c>
      <c r="B146">
        <v>10.44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Valuation</vt:lpstr>
      <vt:lpstr>Sheet2</vt:lpstr>
      <vt:lpstr>GEO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 (21053197)</cp:lastModifiedBy>
  <dcterms:created xsi:type="dcterms:W3CDTF">2015-06-05T18:19:34Z</dcterms:created>
  <dcterms:modified xsi:type="dcterms:W3CDTF">2022-11-22T07:40:21Z</dcterms:modified>
</cp:coreProperties>
</file>