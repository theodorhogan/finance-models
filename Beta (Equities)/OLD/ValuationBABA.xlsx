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130" documentId="11_F25DC773A252ABDACC104830195C761C5ADE58EE" xr6:coauthVersionLast="47" xr6:coauthVersionMax="47" xr10:uidLastSave="{3B991B07-903E-46BC-BCD6-BAEEA783644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E4" i="1"/>
  <c r="F4" i="1" s="1"/>
  <c r="G4" i="1" s="1"/>
  <c r="H4" i="1" s="1"/>
  <c r="I4" i="1" s="1"/>
  <c r="J4" i="1" s="1"/>
  <c r="K4" i="1" s="1"/>
  <c r="L4" i="1" s="1"/>
  <c r="D4" i="1"/>
</calcChain>
</file>

<file path=xl/sharedStrings.xml><?xml version="1.0" encoding="utf-8"?>
<sst xmlns="http://schemas.openxmlformats.org/spreadsheetml/2006/main" count="28" uniqueCount="28">
  <si>
    <t>Ticker</t>
  </si>
  <si>
    <t>BABA</t>
  </si>
  <si>
    <t>Date</t>
  </si>
  <si>
    <t>17/01/2023</t>
  </si>
  <si>
    <t>Revenue</t>
  </si>
  <si>
    <t>EBITDA</t>
  </si>
  <si>
    <t>EBIT</t>
  </si>
  <si>
    <t>D&amp;A</t>
  </si>
  <si>
    <t>CS Oustanding</t>
  </si>
  <si>
    <t>Excess Cash</t>
  </si>
  <si>
    <t>ST + LT Debt</t>
  </si>
  <si>
    <t>CA - Cash</t>
  </si>
  <si>
    <t>CL - Debt</t>
  </si>
  <si>
    <t>Working Capital</t>
  </si>
  <si>
    <t>Market Cap</t>
  </si>
  <si>
    <t>EV</t>
  </si>
  <si>
    <t>EV/EBITDA</t>
  </si>
  <si>
    <t>Net Debt/EBITDA</t>
  </si>
  <si>
    <t>CFO</t>
  </si>
  <si>
    <t>CapEx</t>
  </si>
  <si>
    <t>Debt Issuance</t>
  </si>
  <si>
    <t>FCFE</t>
  </si>
  <si>
    <t>FCFE/SHR</t>
  </si>
  <si>
    <t>$/SHR</t>
  </si>
  <si>
    <t>FCFE Yield</t>
  </si>
  <si>
    <t>% growth</t>
  </si>
  <si>
    <t>AVG/ CAGR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</si>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</sst>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1"/>
    </xf>
    <xf numFmtId="0" fontId="1" fillId="2" borderId="0" xfId="0" applyFont="1" applyFill="1" applyAlignment="1">
      <alignment horizontal="center"/>
    </xf>
    <xf numFmtId="4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showGridLines="0" tabSelected="1" workbookViewId="0">
      <pane xSplit="1" topLeftCell="B1" activePane="topRight" state="frozen"/>
      <selection pane="topRight" activeCell="M5" sqref="M5"/>
    </sheetView>
  </sheetViews>
  <sheetFormatPr defaultRowHeight="14.4" x14ac:dyDescent="0.3"/>
  <cols>
    <col min="1" max="1" width="15.109375" bestFit="1" customWidth="1"/>
    <col min="3" max="12" width="10.6640625" customWidth="1"/>
    <col min="13" max="13" width="11" bestFit="1" customWidth="1"/>
  </cols>
  <sheetData>
    <row r="1" spans="1:13" x14ac:dyDescent="0.3">
      <c r="A1" t="s">
        <v>0</v>
      </c>
      <c r="C1" t="s">
        <v>2</v>
      </c>
      <c r="D1" t="s">
        <v>3</v>
      </c>
    </row>
    <row r="2" spans="1:13" ht="25.8" x14ac:dyDescent="0.5">
      <c r="A2" s="1" t="s">
        <v>1</v>
      </c>
    </row>
    <row r="4" spans="1:13" x14ac:dyDescent="0.3">
      <c r="C4" s="3">
        <v>2013</v>
      </c>
      <c r="D4" s="3">
        <f>C4+1</f>
        <v>2014</v>
      </c>
      <c r="E4" s="3">
        <f t="shared" ref="E4:L4" si="0">D4+1</f>
        <v>2015</v>
      </c>
      <c r="F4" s="3">
        <f t="shared" si="0"/>
        <v>2016</v>
      </c>
      <c r="G4" s="3">
        <f t="shared" si="0"/>
        <v>2017</v>
      </c>
      <c r="H4" s="3">
        <f t="shared" si="0"/>
        <v>2018</v>
      </c>
      <c r="I4" s="3">
        <f t="shared" si="0"/>
        <v>2019</v>
      </c>
      <c r="J4" s="3">
        <f t="shared" si="0"/>
        <v>2020</v>
      </c>
      <c r="K4" s="3">
        <f t="shared" si="0"/>
        <v>2021</v>
      </c>
      <c r="L4" s="3">
        <f t="shared" si="0"/>
        <v>2022</v>
      </c>
      <c r="M4" t="s">
        <v>26</v>
      </c>
    </row>
    <row r="5" spans="1:13" x14ac:dyDescent="0.3">
      <c r="A5" t="s">
        <v>4</v>
      </c>
      <c r="C5" s="4">
        <v>5553</v>
      </c>
      <c r="D5" s="4">
        <v>8463</v>
      </c>
      <c r="E5" s="4">
        <v>12293</v>
      </c>
      <c r="F5" s="4">
        <v>15686</v>
      </c>
      <c r="G5" s="4">
        <v>22994</v>
      </c>
      <c r="H5" s="4">
        <v>39898</v>
      </c>
      <c r="I5" s="4">
        <v>56152</v>
      </c>
      <c r="J5" s="4">
        <v>71985</v>
      </c>
      <c r="K5" s="4">
        <v>109480</v>
      </c>
      <c r="L5" s="4">
        <v>134567</v>
      </c>
      <c r="M5" s="5">
        <f>(L5/C5)^(1/10)-1</f>
        <v>0.37543822495740198</v>
      </c>
    </row>
    <row r="7" spans="1:13" x14ac:dyDescent="0.3">
      <c r="A7" t="s">
        <v>6</v>
      </c>
      <c r="C7">
        <v>807</v>
      </c>
      <c r="D7">
        <v>1758</v>
      </c>
      <c r="E7">
        <v>4024</v>
      </c>
      <c r="F7">
        <v>4584</v>
      </c>
      <c r="G7">
        <v>6981</v>
      </c>
      <c r="H7">
        <v>11129</v>
      </c>
      <c r="I7">
        <v>8506</v>
      </c>
      <c r="J7">
        <v>12993</v>
      </c>
      <c r="K7">
        <v>13688</v>
      </c>
      <c r="L7">
        <v>14951</v>
      </c>
    </row>
    <row r="8" spans="1:13" x14ac:dyDescent="0.3">
      <c r="A8" t="s">
        <v>7</v>
      </c>
      <c r="F8">
        <v>1039</v>
      </c>
      <c r="G8">
        <v>2077</v>
      </c>
      <c r="H8">
        <v>3510</v>
      </c>
      <c r="I8">
        <v>5524</v>
      </c>
      <c r="J8">
        <v>5992</v>
      </c>
      <c r="K8">
        <v>7312</v>
      </c>
      <c r="L8">
        <v>7581</v>
      </c>
    </row>
    <row r="9" spans="1:13" x14ac:dyDescent="0.3">
      <c r="A9" t="s">
        <v>5</v>
      </c>
    </row>
    <row r="10" spans="1:13" x14ac:dyDescent="0.3">
      <c r="A10" s="2" t="s">
        <v>25</v>
      </c>
    </row>
    <row r="12" spans="1:13" x14ac:dyDescent="0.3">
      <c r="A12" t="s">
        <v>8</v>
      </c>
      <c r="C12">
        <v>2389</v>
      </c>
      <c r="D12">
        <v>2332</v>
      </c>
      <c r="E12">
        <v>2500</v>
      </c>
      <c r="F12">
        <v>2562</v>
      </c>
      <c r="G12">
        <v>2573</v>
      </c>
      <c r="H12">
        <v>2610</v>
      </c>
      <c r="I12">
        <v>2623</v>
      </c>
      <c r="J12">
        <v>2668</v>
      </c>
      <c r="K12">
        <v>2748</v>
      </c>
      <c r="L12">
        <v>2723</v>
      </c>
    </row>
    <row r="14" spans="1:13" x14ac:dyDescent="0.3">
      <c r="A14" t="s">
        <v>9</v>
      </c>
    </row>
    <row r="16" spans="1:13" x14ac:dyDescent="0.3">
      <c r="A16" t="s">
        <v>10</v>
      </c>
    </row>
    <row r="18" spans="1:12" x14ac:dyDescent="0.3">
      <c r="A18" t="s">
        <v>11</v>
      </c>
    </row>
    <row r="19" spans="1:12" x14ac:dyDescent="0.3">
      <c r="A19" t="s">
        <v>12</v>
      </c>
    </row>
    <row r="20" spans="1:12" x14ac:dyDescent="0.3">
      <c r="A20" t="s">
        <v>13</v>
      </c>
    </row>
    <row r="22" spans="1:12" x14ac:dyDescent="0.3">
      <c r="A22" t="s">
        <v>14</v>
      </c>
    </row>
    <row r="24" spans="1:12" x14ac:dyDescent="0.3">
      <c r="A24" t="s">
        <v>15</v>
      </c>
    </row>
    <row r="26" spans="1:12" x14ac:dyDescent="0.3">
      <c r="A26" t="s">
        <v>16</v>
      </c>
    </row>
    <row r="28" spans="1:12" x14ac:dyDescent="0.3">
      <c r="A28" t="s">
        <v>17</v>
      </c>
    </row>
    <row r="30" spans="1:12" x14ac:dyDescent="0.3">
      <c r="A30" t="s">
        <v>18</v>
      </c>
      <c r="F30">
        <v>8815</v>
      </c>
      <c r="G30">
        <v>11670</v>
      </c>
      <c r="H30">
        <v>19955</v>
      </c>
      <c r="I30">
        <v>22496</v>
      </c>
      <c r="J30">
        <v>25507</v>
      </c>
      <c r="K30">
        <v>35378</v>
      </c>
      <c r="L30">
        <v>22520</v>
      </c>
    </row>
    <row r="32" spans="1:12" x14ac:dyDescent="0.3">
      <c r="A32" t="s">
        <v>19</v>
      </c>
      <c r="K32" t="s">
        <v>27</v>
      </c>
      <c r="L32">
        <v>-8409</v>
      </c>
    </row>
    <row r="34" spans="1:1" x14ac:dyDescent="0.3">
      <c r="A34" t="s">
        <v>20</v>
      </c>
    </row>
    <row r="36" spans="1:1" x14ac:dyDescent="0.3">
      <c r="A36" t="s">
        <v>21</v>
      </c>
    </row>
    <row r="38" spans="1:1" x14ac:dyDescent="0.3">
      <c r="A38" t="s">
        <v>22</v>
      </c>
    </row>
    <row r="40" spans="1:1" x14ac:dyDescent="0.3">
      <c r="A40" t="s">
        <v>23</v>
      </c>
    </row>
    <row r="42" spans="1:1" x14ac:dyDescent="0.3">
      <c r="A4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2024-02-23T12:26:00Z</dcterms:modified>
</cp:coreProperties>
</file>