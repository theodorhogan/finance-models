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"/>
    </mc:Choice>
  </mc:AlternateContent>
  <xr:revisionPtr revIDLastSave="587" documentId="8_{5B917B44-66E6-47C4-B862-531D0D055A6A}" xr6:coauthVersionLast="47" xr6:coauthVersionMax="47" xr10:uidLastSave="{38D9A3F0-88E8-4909-96DD-204A286BDFF1}"/>
  <bookViews>
    <workbookView xWindow="-108" yWindow="-108" windowWidth="23256" windowHeight="13176" activeTab="1" xr2:uid="{00000000-000D-0000-FFFF-FFFF00000000}"/>
  </bookViews>
  <sheets>
    <sheet name="DCF" sheetId="4" r:id="rId1"/>
    <sheet name="Valuation" sheetId="1" r:id="rId2"/>
    <sheet name="MSFT" sheetId="2" r:id="rId3"/>
    <sheet name="Sheet3" sheetId="3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4" l="1"/>
  <c r="I23" i="4"/>
  <c r="H23" i="4"/>
  <c r="G23" i="4"/>
  <c r="F23" i="4"/>
  <c r="E23" i="4"/>
  <c r="D23" i="4"/>
  <c r="J30" i="4"/>
  <c r="I30" i="4"/>
  <c r="H30" i="4"/>
  <c r="G30" i="4"/>
  <c r="F30" i="4"/>
  <c r="E30" i="4"/>
  <c r="J29" i="4"/>
  <c r="I29" i="4"/>
  <c r="H29" i="4"/>
  <c r="G29" i="4"/>
  <c r="F29" i="4"/>
  <c r="E29" i="4"/>
  <c r="D29" i="4"/>
  <c r="I46" i="1"/>
  <c r="H46" i="1"/>
  <c r="G46" i="1"/>
  <c r="F46" i="1"/>
  <c r="E46" i="1"/>
  <c r="D46" i="1"/>
  <c r="C46" i="1"/>
  <c r="J46" i="1"/>
  <c r="C45" i="1"/>
  <c r="E45" i="1"/>
  <c r="E41" i="1"/>
  <c r="F41" i="1" s="1"/>
  <c r="G41" i="1" s="1"/>
  <c r="H41" i="1" s="1"/>
  <c r="I41" i="1" s="1"/>
  <c r="J41" i="1" s="1"/>
  <c r="J26" i="4"/>
  <c r="I26" i="4"/>
  <c r="H26" i="4"/>
  <c r="G26" i="4"/>
  <c r="F26" i="4"/>
  <c r="E26" i="4"/>
  <c r="D26" i="4"/>
  <c r="J22" i="4"/>
  <c r="I22" i="4"/>
  <c r="H22" i="4"/>
  <c r="G22" i="4"/>
  <c r="F22" i="4"/>
  <c r="E22" i="4"/>
  <c r="D22" i="4"/>
  <c r="J18" i="4"/>
  <c r="I18" i="4"/>
  <c r="H18" i="4"/>
  <c r="G18" i="4"/>
  <c r="F18" i="4"/>
  <c r="E18" i="4"/>
  <c r="D18" i="4"/>
  <c r="J15" i="4"/>
  <c r="I15" i="4"/>
  <c r="H15" i="4"/>
  <c r="G15" i="4"/>
  <c r="F15" i="4"/>
  <c r="E15" i="4"/>
  <c r="D15" i="4"/>
  <c r="J12" i="4"/>
  <c r="I12" i="4"/>
  <c r="H12" i="4"/>
  <c r="G12" i="4"/>
  <c r="F12" i="4"/>
  <c r="E12" i="4"/>
  <c r="O10" i="4"/>
  <c r="F10" i="4"/>
  <c r="G10" i="4" s="1"/>
  <c r="H10" i="4" s="1"/>
  <c r="I10" i="4" s="1"/>
  <c r="J10" i="4" s="1"/>
  <c r="K10" i="4" s="1"/>
  <c r="L10" i="4" s="1"/>
  <c r="M10" i="4" s="1"/>
  <c r="N10" i="4" s="1"/>
  <c r="E10" i="4"/>
  <c r="Z11" i="1"/>
  <c r="Z9" i="1"/>
  <c r="O2" i="1"/>
  <c r="P2" i="1" s="1"/>
  <c r="Q2" i="1" s="1"/>
  <c r="R2" i="1" s="1"/>
  <c r="O3" i="1"/>
  <c r="P3" i="1" s="1"/>
  <c r="Q3" i="1" s="1"/>
  <c r="R3" i="1" s="1"/>
  <c r="S3" i="1" s="1"/>
  <c r="T3" i="1" s="1"/>
  <c r="U3" i="1" s="1"/>
  <c r="V3" i="1" s="1"/>
  <c r="W3" i="1" s="1"/>
  <c r="AA4" i="1" s="1"/>
  <c r="AA15" i="1" s="1"/>
  <c r="AA22" i="1" s="1"/>
  <c r="M25" i="1"/>
  <c r="M4" i="1"/>
  <c r="K17" i="1"/>
  <c r="J17" i="1"/>
  <c r="I17" i="1"/>
  <c r="H17" i="1"/>
  <c r="G17" i="1"/>
  <c r="F17" i="1"/>
  <c r="E17" i="1"/>
  <c r="D17" i="1"/>
  <c r="C17" i="1"/>
  <c r="L17" i="1"/>
  <c r="K31" i="1"/>
  <c r="K33" i="1" s="1"/>
  <c r="K37" i="1" s="1"/>
  <c r="J31" i="1"/>
  <c r="J33" i="1" s="1"/>
  <c r="J37" i="1" s="1"/>
  <c r="I31" i="1"/>
  <c r="I33" i="1" s="1"/>
  <c r="I37" i="1" s="1"/>
  <c r="H31" i="1"/>
  <c r="H33" i="1" s="1"/>
  <c r="H37" i="1" s="1"/>
  <c r="G31" i="1"/>
  <c r="G33" i="1" s="1"/>
  <c r="G37" i="1" s="1"/>
  <c r="F31" i="1"/>
  <c r="F33" i="1" s="1"/>
  <c r="F37" i="1" s="1"/>
  <c r="E31" i="1"/>
  <c r="E33" i="1" s="1"/>
  <c r="E37" i="1" s="1"/>
  <c r="D31" i="1"/>
  <c r="D33" i="1" s="1"/>
  <c r="D37" i="1" s="1"/>
  <c r="C31" i="1"/>
  <c r="C33" i="1" s="1"/>
  <c r="C37" i="1" s="1"/>
  <c r="L31" i="1"/>
  <c r="L33" i="1" s="1"/>
  <c r="L37" i="1" s="1"/>
  <c r="D31" i="3" a="1"/>
  <c r="D31" i="3" s="1"/>
  <c r="C13" i="1"/>
  <c r="D13" i="1"/>
  <c r="E13" i="1"/>
  <c r="F13" i="1"/>
  <c r="G13" i="1"/>
  <c r="H13" i="1"/>
  <c r="I13" i="1"/>
  <c r="J13" i="1"/>
  <c r="K13" i="1"/>
  <c r="L13" i="1"/>
  <c r="K8" i="1"/>
  <c r="J8" i="1"/>
  <c r="I8" i="1"/>
  <c r="H8" i="1"/>
  <c r="H9" i="1" s="1"/>
  <c r="G8" i="1"/>
  <c r="F8" i="1"/>
  <c r="E8" i="1"/>
  <c r="D8" i="1"/>
  <c r="C8" i="1"/>
  <c r="L8" i="1"/>
  <c r="L9" i="1" s="1"/>
  <c r="D3" i="1"/>
  <c r="E3" i="1" s="1"/>
  <c r="F3" i="1" s="1"/>
  <c r="G3" i="1" s="1"/>
  <c r="H3" i="1" s="1"/>
  <c r="I3" i="1" s="1"/>
  <c r="J3" i="1" s="1"/>
  <c r="K3" i="1" s="1"/>
  <c r="L3" i="1" s="1"/>
  <c r="J9" i="1" l="1"/>
  <c r="N33" i="1"/>
  <c r="O33" i="1" s="1"/>
  <c r="P33" i="1" s="1"/>
  <c r="Q33" i="1" s="1"/>
  <c r="R33" i="1" s="1"/>
  <c r="S33" i="1" s="1"/>
  <c r="T33" i="1" s="1"/>
  <c r="U33" i="1" s="1"/>
  <c r="V33" i="1" s="1"/>
  <c r="W33" i="1" s="1"/>
  <c r="AA16" i="1" s="1"/>
  <c r="AA18" i="1" s="1"/>
  <c r="AA24" i="1" s="1"/>
  <c r="D47" i="1"/>
  <c r="D9" i="1"/>
  <c r="D19" i="1"/>
  <c r="D21" i="1" s="1"/>
  <c r="K23" i="1"/>
  <c r="C23" i="1"/>
  <c r="F19" i="1"/>
  <c r="L23" i="1"/>
  <c r="E19" i="1"/>
  <c r="E21" i="1" s="1"/>
  <c r="G9" i="1"/>
  <c r="J19" i="1"/>
  <c r="J21" i="1" s="1"/>
  <c r="G19" i="1"/>
  <c r="G21" i="1" s="1"/>
  <c r="M8" i="1"/>
  <c r="G23" i="1"/>
  <c r="H47" i="1"/>
  <c r="E9" i="1"/>
  <c r="H23" i="1"/>
  <c r="M37" i="1"/>
  <c r="I9" i="1"/>
  <c r="L19" i="1"/>
  <c r="K9" i="1"/>
  <c r="F9" i="1"/>
  <c r="J47" i="1"/>
  <c r="I23" i="1"/>
  <c r="H19" i="1"/>
  <c r="H21" i="1" s="1"/>
  <c r="D23" i="1"/>
  <c r="M33" i="1"/>
  <c r="N8" i="1"/>
  <c r="O8" i="1" s="1"/>
  <c r="P8" i="1" s="1"/>
  <c r="Q8" i="1" s="1"/>
  <c r="R8" i="1" s="1"/>
  <c r="Z8" i="1"/>
  <c r="E47" i="1"/>
  <c r="J23" i="1"/>
  <c r="Z4" i="1"/>
  <c r="Z15" i="1" s="1"/>
  <c r="Z22" i="1" s="1"/>
  <c r="F47" i="1"/>
  <c r="F23" i="1"/>
  <c r="C19" i="1"/>
  <c r="C21" i="1" s="1"/>
  <c r="K19" i="1"/>
  <c r="K21" i="1" s="1"/>
  <c r="E23" i="1"/>
  <c r="I47" i="1"/>
  <c r="F21" i="1"/>
  <c r="G47" i="1"/>
  <c r="I19" i="1"/>
  <c r="I21" i="1" s="1"/>
  <c r="L21" i="1"/>
  <c r="Z16" i="1" l="1"/>
  <c r="Z18" i="1" s="1"/>
  <c r="Z24" i="1" s="1"/>
  <c r="M9" i="1"/>
  <c r="M23" i="1"/>
  <c r="M21" i="1"/>
  <c r="S8" i="1"/>
  <c r="T8" i="1" s="1"/>
  <c r="U8" i="1" s="1"/>
  <c r="V8" i="1" s="1"/>
  <c r="W8" i="1" s="1"/>
  <c r="AA5" i="1" s="1"/>
  <c r="AA7" i="1" s="1"/>
  <c r="AA10" i="1" s="1"/>
  <c r="AA12" i="1" s="1"/>
  <c r="AA23" i="1" s="1"/>
  <c r="AA25" i="1" s="1"/>
  <c r="AA26" i="1" s="1"/>
  <c r="Z5" i="1"/>
  <c r="Z7" i="1" s="1"/>
  <c r="Z10" i="1" s="1"/>
  <c r="Z12" i="1" s="1"/>
  <c r="Z23" i="1" s="1"/>
  <c r="Z25" i="1" l="1"/>
  <c r="Z2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<sst xmlns="http://schemas.openxmlformats.org/spreadsheetml/2006/main" count="117" uniqueCount="99">
  <si>
    <t>Ticker</t>
  </si>
  <si>
    <t>MSFT</t>
  </si>
  <si>
    <t>Date</t>
  </si>
  <si>
    <t>Reveneue</t>
  </si>
  <si>
    <t>EBIT</t>
  </si>
  <si>
    <t>D&amp; A</t>
  </si>
  <si>
    <t>EBITDA</t>
  </si>
  <si>
    <t>Excess Cash</t>
  </si>
  <si>
    <t>ST + LT Debt</t>
  </si>
  <si>
    <t>Cs Outstanding</t>
  </si>
  <si>
    <t>Market Cap</t>
  </si>
  <si>
    <t>EV</t>
  </si>
  <si>
    <t>EV/EBITDA</t>
  </si>
  <si>
    <t>Net Debt/EBITDA</t>
  </si>
  <si>
    <t>CFO</t>
  </si>
  <si>
    <t>CapEx</t>
  </si>
  <si>
    <t>Debt Issuance</t>
  </si>
  <si>
    <t>FCFE</t>
  </si>
  <si>
    <t>FCFE/SHR</t>
  </si>
  <si>
    <t>$/SHR</t>
  </si>
  <si>
    <t>FCFE Yield</t>
  </si>
  <si>
    <t>AVG / CAGR</t>
  </si>
  <si>
    <t>Adj Close</t>
  </si>
  <si>
    <t>Row Labels</t>
  </si>
  <si>
    <t>Grand Total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</si>
  <si>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</si>
  <si>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</si>
  <si>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</si>
  <si>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</si>
  <si>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</si>
  <si>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</si>
  <si>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</si>
  <si>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</si>
  <si>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</si>
  <si>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</si>
  <si>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</si>
  <si>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</si>
  <si>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</si>
  <si>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</si>
  <si>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</si>
  <si>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</si>
  <si>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</si>
  <si>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</si>
  <si>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</si>
  <si>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</si>
  <si>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</si>
  <si>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</si>
  <si>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</si>
  <si>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</si>
  <si>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</si>
  <si>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</si>
  <si>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</si>
  <si>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</si>
  <si>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</si>
  <si>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</si>
  <si>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</si>
  <si>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</si>
  <si>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</si>
  <si>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</si>
  <si>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</si>
  <si>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</si>
  <si>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</si>
  <si>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Average of Adj Close</t>
  </si>
  <si>
    <t xml:space="preserve">% growth </t>
  </si>
  <si>
    <t>EBITDA Multiple Method</t>
  </si>
  <si>
    <t>Year</t>
  </si>
  <si>
    <t>Multiple</t>
  </si>
  <si>
    <t>(-) Debt</t>
  </si>
  <si>
    <t>(+) Cash</t>
  </si>
  <si>
    <t>Cs Oustanding</t>
  </si>
  <si>
    <t>FCFE Yield Method</t>
  </si>
  <si>
    <t>Yield</t>
  </si>
  <si>
    <t>Return Calculation</t>
  </si>
  <si>
    <t>Current Price</t>
  </si>
  <si>
    <t>16/12/2022</t>
  </si>
  <si>
    <t>EBITDA $/SHR</t>
  </si>
  <si>
    <t>FCFE $/SHR</t>
  </si>
  <si>
    <t>Average</t>
  </si>
  <si>
    <t>Return</t>
  </si>
  <si>
    <t>Microsoft DCF</t>
  </si>
  <si>
    <t>Assumptions</t>
  </si>
  <si>
    <t>Income Statement</t>
  </si>
  <si>
    <t>Cash Flow Items</t>
  </si>
  <si>
    <t>DCF</t>
  </si>
  <si>
    <t>Revenue</t>
  </si>
  <si>
    <t>% growth</t>
  </si>
  <si>
    <t xml:space="preserve">EBIT </t>
  </si>
  <si>
    <t>% of sales</t>
  </si>
  <si>
    <t>Taxes</t>
  </si>
  <si>
    <t>% of EBIT</t>
  </si>
  <si>
    <t>D&amp;A</t>
  </si>
  <si>
    <t>% of CapEx</t>
  </si>
  <si>
    <t>Change on NWC</t>
  </si>
  <si>
    <t>% of change in sales</t>
  </si>
  <si>
    <t>CA</t>
  </si>
  <si>
    <t>CL</t>
  </si>
  <si>
    <t>NWC</t>
  </si>
  <si>
    <t xml:space="preserve"> (-) Cash</t>
  </si>
  <si>
    <t xml:space="preserve"> (-)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</si>
</sst>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0.0\x"/>
    <numFmt numFmtId="165" formatCode="_(&quot;$&quot;* #,##0.0_);_(&quot;$&quot;* \(#,##0.0\);_(&quot;$&quot;* &quot;-&quot;_);_(@_)"/>
    <numFmt numFmtId="166" formatCode="_(&quot;$&quot;* #,##0_);_(&quot;$&quot;* \(#,##0\);_(&quot;$&quot;* &quot;-&quot;??_);_(@_)"/>
    <numFmt numFmtId="167" formatCode="#,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0">
    <xf numFmtId="0" fontId="0" fillId="0" borderId="0" xfId="0"/>
    <xf numFmtId="14" fontId="0" fillId="0" borderId="0" xfId="0" applyNumberFormat="1"/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2" fontId="0" fillId="0" borderId="0" xfId="0" applyNumberFormat="1"/>
    <xf numFmtId="44" fontId="0" fillId="0" borderId="0" xfId="0" applyNumberFormat="1"/>
    <xf numFmtId="42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9" fontId="5" fillId="0" borderId="0" xfId="1" applyFont="1"/>
    <xf numFmtId="0" fontId="0" fillId="0" borderId="0" xfId="0" applyFont="1" applyAlignment="1">
      <alignment horizontal="left" indent="1"/>
    </xf>
    <xf numFmtId="0" fontId="0" fillId="0" borderId="0" xfId="0" applyAlignment="1">
      <alignment horizontal="center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/>
    </xf>
    <xf numFmtId="3" fontId="0" fillId="0" borderId="0" xfId="0" applyNumberFormat="1"/>
    <xf numFmtId="0" fontId="1" fillId="5" borderId="0" xfId="0" applyFont="1" applyFill="1" applyAlignment="1">
      <alignment horizontal="center"/>
    </xf>
    <xf numFmtId="42" fontId="2" fillId="0" borderId="0" xfId="1" applyNumberFormat="1" applyFont="1"/>
    <xf numFmtId="9" fontId="7" fillId="0" borderId="0" xfId="0" applyNumberFormat="1" applyFont="1" applyAlignment="1">
      <alignment horizontal="center"/>
    </xf>
    <xf numFmtId="165" fontId="2" fillId="0" borderId="0" xfId="1" applyNumberFormat="1" applyFont="1"/>
    <xf numFmtId="0" fontId="0" fillId="6" borderId="0" xfId="0" applyFill="1"/>
    <xf numFmtId="0" fontId="0" fillId="6" borderId="0" xfId="0" applyFill="1" applyAlignment="1">
      <alignment horizontal="center"/>
    </xf>
    <xf numFmtId="42" fontId="0" fillId="6" borderId="0" xfId="0" applyNumberFormat="1" applyFill="1"/>
    <xf numFmtId="166" fontId="0" fillId="6" borderId="0" xfId="0" applyNumberFormat="1" applyFill="1"/>
    <xf numFmtId="44" fontId="0" fillId="6" borderId="0" xfId="0" applyNumberFormat="1" applyFill="1"/>
    <xf numFmtId="0" fontId="0" fillId="6" borderId="0" xfId="0" applyFill="1" applyBorder="1"/>
    <xf numFmtId="9" fontId="0" fillId="0" borderId="0" xfId="1" applyFont="1"/>
    <xf numFmtId="44" fontId="0" fillId="6" borderId="1" xfId="0" applyNumberFormat="1" applyFill="1" applyBorder="1"/>
    <xf numFmtId="44" fontId="0" fillId="6" borderId="2" xfId="0" applyNumberFormat="1" applyFill="1" applyBorder="1"/>
    <xf numFmtId="9" fontId="0" fillId="6" borderId="0" xfId="1" applyFont="1" applyFill="1"/>
    <xf numFmtId="165" fontId="0" fillId="6" borderId="0" xfId="0" applyNumberFormat="1" applyFill="1"/>
    <xf numFmtId="0" fontId="8" fillId="0" borderId="0" xfId="0" applyFont="1"/>
    <xf numFmtId="0" fontId="0" fillId="8" borderId="3" xfId="0" applyFill="1" applyBorder="1" applyAlignment="1">
      <alignment horizontal="center"/>
    </xf>
    <xf numFmtId="0" fontId="1" fillId="3" borderId="0" xfId="0" applyFont="1" applyFill="1"/>
    <xf numFmtId="0" fontId="0" fillId="0" borderId="0" xfId="0" applyAlignment="1">
      <alignment horizontal="left" indent="1"/>
    </xf>
    <xf numFmtId="0" fontId="9" fillId="0" borderId="0" xfId="0" applyFont="1" applyAlignment="1">
      <alignment horizontal="left" indent="1"/>
    </xf>
    <xf numFmtId="0" fontId="0" fillId="0" borderId="0" xfId="0" applyFont="1" applyAlignment="1">
      <alignment horizontal="left"/>
    </xf>
    <xf numFmtId="0" fontId="0" fillId="3" borderId="0" xfId="0" applyFill="1"/>
    <xf numFmtId="3" fontId="10" fillId="0" borderId="0" xfId="0" applyNumberFormat="1" applyFont="1"/>
    <xf numFmtId="167" fontId="0" fillId="0" borderId="0" xfId="0" applyNumberFormat="1"/>
    <xf numFmtId="37" fontId="10" fillId="0" borderId="0" xfId="0" applyNumberFormat="1" applyFont="1"/>
    <xf numFmtId="167" fontId="2" fillId="0" borderId="0" xfId="0" applyNumberFormat="1" applyFont="1"/>
    <xf numFmtId="0" fontId="2" fillId="0" borderId="0" xfId="0" applyFont="1" applyAlignment="1">
      <alignment horizontal="center"/>
    </xf>
    <xf numFmtId="9" fontId="9" fillId="0" borderId="0" xfId="1" applyFont="1"/>
    <xf numFmtId="9" fontId="9" fillId="0" borderId="0" xfId="1" applyFont="1" applyAlignment="1">
      <alignment horizontal="center"/>
    </xf>
    <xf numFmtId="9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6" borderId="0" xfId="0" applyFont="1" applyFill="1" applyAlignment="1">
      <alignment horizontal="center"/>
    </xf>
    <xf numFmtId="4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eodor Hogan" refreshedDate="44910.878710648147" createdVersion="8" refreshedVersion="8" minRefreshableVersion="3" recordCount="441" xr:uid="{AF757156-E53F-4CFB-A7ED-E6A48207A9F0}">
  <cacheSource type="worksheet">
    <worksheetSource ref="A1:B442" sheet="MSFT"/>
  </cacheSource>
  <cacheFields count="4">
    <cacheField name="Date" numFmtId="14">
      <sharedItems containsSemiMixedTypes="0" containsNonDate="0" containsDate="1" containsString="0" minDate="1986-04-01T00:00:00" maxDate="2022-12-02T00:00:00" count="441">
        <d v="1986-04-01T00:00:00"/>
        <d v="1986-05-01T00:00:00"/>
        <d v="1986-06-01T00:00:00"/>
        <d v="1986-07-01T00:00:00"/>
        <d v="1986-08-01T00:00:00"/>
        <d v="1986-09-01T00:00:00"/>
        <d v="1986-10-01T00:00:00"/>
        <d v="1986-11-01T00:00:00"/>
        <d v="1986-12-01T00:00:00"/>
        <d v="1987-01-01T00:00:00"/>
        <d v="1987-02-01T00:00:00"/>
        <d v="1987-03-01T00:00:00"/>
        <d v="1987-04-01T00:00:00"/>
        <d v="1987-05-01T00:00:00"/>
        <d v="1987-06-01T00:00:00"/>
        <d v="1987-07-01T00:00:00"/>
        <d v="1987-08-01T00:00:00"/>
        <d v="1987-09-01T00:00:00"/>
        <d v="1987-10-01T00:00:00"/>
        <d v="1987-11-01T00:00:00"/>
        <d v="1987-12-01T00:00:00"/>
        <d v="1988-01-01T00:00:00"/>
        <d v="1988-02-01T00:00:00"/>
        <d v="1988-03-01T00:00:00"/>
        <d v="1988-04-01T00:00:00"/>
        <d v="1988-05-01T00:00:00"/>
        <d v="1988-06-01T00:00:00"/>
        <d v="1988-07-01T00:00:00"/>
        <d v="1988-08-01T00:00:00"/>
        <d v="1988-09-01T00:00:00"/>
        <d v="1988-10-01T00:00:00"/>
        <d v="1988-11-01T00:00:00"/>
        <d v="1988-12-01T00:00:00"/>
        <d v="1989-01-01T00:00:00"/>
        <d v="1989-02-01T00:00:00"/>
        <d v="1989-03-01T00:00:00"/>
        <d v="1989-04-01T00:00:00"/>
        <d v="1989-05-01T00:00:00"/>
        <d v="1989-06-01T00:00:00"/>
        <d v="1989-07-01T00:00:00"/>
        <d v="1989-08-01T00:00:00"/>
        <d v="1989-09-01T00:00:00"/>
        <d v="1989-10-01T00:00:00"/>
        <d v="1989-11-01T00:00:00"/>
        <d v="1989-12-01T00:00:00"/>
        <d v="1990-01-01T00:00:00"/>
        <d v="1990-02-01T00:00:00"/>
        <d v="1990-03-01T00:00:00"/>
        <d v="1990-04-01T00:00:00"/>
        <d v="1990-05-01T00:00:00"/>
        <d v="1990-06-01T00:00:00"/>
        <d v="1990-07-01T00:00:00"/>
        <d v="1990-08-01T00:00:00"/>
        <d v="1990-09-01T00:00:00"/>
        <d v="1990-10-01T00:00:00"/>
        <d v="1990-11-01T00:00:00"/>
        <d v="1990-12-01T00:00:00"/>
        <d v="1991-01-01T00:00:00"/>
        <d v="1991-02-01T00:00:00"/>
        <d v="1991-03-01T00:00:00"/>
        <d v="1991-04-01T00:00:00"/>
        <d v="1991-05-01T00:00:00"/>
        <d v="1991-06-01T00:00:00"/>
        <d v="1991-07-01T00:00:00"/>
        <d v="1991-08-01T00:00:00"/>
        <d v="1991-09-01T00:00:00"/>
        <d v="1991-10-01T00:00:00"/>
        <d v="1991-11-01T00:00:00"/>
        <d v="1991-12-01T00:00:00"/>
        <d v="1992-01-01T00:00:00"/>
        <d v="1992-02-01T00:00:00"/>
        <d v="1992-03-01T00:00:00"/>
        <d v="1992-04-01T00:00:00"/>
        <d v="1992-05-01T00:00:00"/>
        <d v="1992-06-01T00:00:00"/>
        <d v="1992-07-01T00:00:00"/>
        <d v="1992-08-01T00:00:00"/>
        <d v="1992-09-01T00:00:00"/>
        <d v="1992-10-01T00:00:00"/>
        <d v="1992-11-01T00:00:00"/>
        <d v="1992-12-01T00:00:00"/>
        <d v="1993-01-01T00:00:00"/>
        <d v="1993-02-01T00:00:00"/>
        <d v="1993-03-01T00:00:00"/>
        <d v="1993-04-01T00:00:00"/>
        <d v="1993-05-01T00:00:00"/>
        <d v="1993-06-01T00:00:00"/>
        <d v="1993-07-01T00:00:00"/>
        <d v="1993-08-01T00:00:00"/>
        <d v="1993-09-01T00:00:00"/>
        <d v="1993-10-01T00:00:00"/>
        <d v="1993-11-01T00:00:00"/>
        <d v="1993-12-01T00:00:00"/>
        <d v="1994-01-01T00:00:00"/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</sharedItems>
      <fieldGroup par="3" base="0">
        <rangePr groupBy="months" startDate="1986-04-01T00:00:00" endDate="2022-12-02T00:00:00"/>
        <groupItems count="14">
          <s v="&lt;4/1/198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2"/>
        </groupItems>
      </fieldGroup>
    </cacheField>
    <cacheField name="Adj Close" numFmtId="0">
      <sharedItems containsSemiMixedTypes="0" containsString="0" containsNumber="1" minValue="6.1351000000000003E-2" maxValue="333.19787600000001"/>
    </cacheField>
    <cacheField name="Quarters" numFmtId="0" databaseField="0">
      <fieldGroup base="0">
        <rangePr groupBy="quarters" startDate="1986-04-01T00:00:00" endDate="2022-12-02T00:00:00"/>
        <groupItems count="6">
          <s v="&lt;4/1/1986"/>
          <s v="Qtr1"/>
          <s v="Qtr2"/>
          <s v="Qtr3"/>
          <s v="Qtr4"/>
          <s v="&gt;12/2/2022"/>
        </groupItems>
      </fieldGroup>
    </cacheField>
    <cacheField name="Years" numFmtId="0" databaseField="0">
      <fieldGroup base="0">
        <rangePr groupBy="years" startDate="1986-04-01T00:00:00" endDate="2022-12-02T00:00:00"/>
        <groupItems count="39">
          <s v="&lt;4/1/1986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&gt;12/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1">
  <r>
    <x v="0"/>
    <n v="7.0038000000000003E-2"/>
  </r>
  <r>
    <x v="1"/>
    <n v="7.6010999999999995E-2"/>
  </r>
  <r>
    <x v="2"/>
    <n v="6.6780999999999993E-2"/>
  </r>
  <r>
    <x v="3"/>
    <n v="6.1893999999999998E-2"/>
  </r>
  <r>
    <x v="4"/>
    <n v="6.1893999999999998E-2"/>
  </r>
  <r>
    <x v="5"/>
    <n v="6.1351000000000003E-2"/>
  </r>
  <r>
    <x v="6"/>
    <n v="8.4154999999999994E-2"/>
  </r>
  <r>
    <x v="7"/>
    <n v="0.108044"/>
  </r>
  <r>
    <x v="8"/>
    <n v="0.10478700000000001"/>
  </r>
  <r>
    <x v="9"/>
    <n v="0.158808"/>
  </r>
  <r>
    <x v="10"/>
    <n v="0.166681"/>
  </r>
  <r>
    <x v="11"/>
    <n v="0.210116"/>
  </r>
  <r>
    <x v="12"/>
    <n v="0.22586100000000001"/>
  </r>
  <r>
    <x v="13"/>
    <n v="0.25029299999999999"/>
  </r>
  <r>
    <x v="14"/>
    <n v="0.22151799999999999"/>
  </r>
  <r>
    <x v="15"/>
    <n v="0.20414399999999999"/>
  </r>
  <r>
    <x v="16"/>
    <n v="0.25789400000000001"/>
  </r>
  <r>
    <x v="17"/>
    <n v="0.28775499999999998"/>
  </r>
  <r>
    <x v="18"/>
    <n v="0.216088"/>
  </r>
  <r>
    <x v="19"/>
    <n v="0.19437099999999999"/>
  </r>
  <r>
    <x v="20"/>
    <n v="0.23563400000000001"/>
  </r>
  <r>
    <x v="21"/>
    <n v="0.242149"/>
  </r>
  <r>
    <x v="22"/>
    <n v="0.25789400000000001"/>
  </r>
  <r>
    <x v="23"/>
    <n v="0.24540600000000001"/>
  </r>
  <r>
    <x v="24"/>
    <n v="0.23671900000000001"/>
  </r>
  <r>
    <x v="25"/>
    <n v="0.25192199999999998"/>
  </r>
  <r>
    <x v="26"/>
    <n v="0.29101300000000002"/>
  </r>
  <r>
    <x v="27"/>
    <n v="0.25843699999999997"/>
  </r>
  <r>
    <x v="28"/>
    <n v="0.21717400000000001"/>
  </r>
  <r>
    <x v="29"/>
    <n v="0.22694700000000001"/>
  </r>
  <r>
    <x v="30"/>
    <n v="0.21283099999999999"/>
  </r>
  <r>
    <x v="31"/>
    <n v="0.20522899999999999"/>
  </r>
  <r>
    <x v="32"/>
    <n v="0.23129"/>
  </r>
  <r>
    <x v="33"/>
    <n v="0.25897999999999999"/>
  </r>
  <r>
    <x v="34"/>
    <n v="0.25843699999999997"/>
  </r>
  <r>
    <x v="35"/>
    <n v="0.21663099999999999"/>
  </r>
  <r>
    <x v="36"/>
    <n v="0.24269199999999999"/>
  </r>
  <r>
    <x v="37"/>
    <n v="0.26278099999999999"/>
  </r>
  <r>
    <x v="38"/>
    <n v="0.23020499999999999"/>
  </r>
  <r>
    <x v="39"/>
    <n v="0.23780499999999999"/>
  </r>
  <r>
    <x v="40"/>
    <n v="0.25517899999999999"/>
  </r>
  <r>
    <x v="41"/>
    <n v="0.29752800000000001"/>
  </r>
  <r>
    <x v="42"/>
    <n v="0.35507899999999998"/>
  </r>
  <r>
    <x v="43"/>
    <n v="0.37788300000000002"/>
  </r>
  <r>
    <x v="44"/>
    <n v="0.37788300000000002"/>
  </r>
  <r>
    <x v="45"/>
    <n v="0.40177200000000002"/>
  </r>
  <r>
    <x v="46"/>
    <n v="0.42891899999999999"/>
  </r>
  <r>
    <x v="47"/>
    <n v="0.48104000000000002"/>
  </r>
  <r>
    <x v="48"/>
    <n v="0.50384399999999996"/>
  </r>
  <r>
    <x v="49"/>
    <n v="0.63414800000000004"/>
  </r>
  <r>
    <x v="50"/>
    <n v="0.66020900000000005"/>
  </r>
  <r>
    <x v="51"/>
    <n v="0.57768299999999995"/>
  </r>
  <r>
    <x v="52"/>
    <n v="0.53424799999999995"/>
  </r>
  <r>
    <x v="53"/>
    <n v="0.54727800000000004"/>
  </r>
  <r>
    <x v="54"/>
    <n v="0.55379400000000001"/>
  </r>
  <r>
    <x v="55"/>
    <n v="0.62763199999999997"/>
  </r>
  <r>
    <x v="56"/>
    <n v="0.65369299999999997"/>
  </r>
  <r>
    <x v="57"/>
    <n v="0.85240700000000003"/>
  </r>
  <r>
    <x v="58"/>
    <n v="0.90127199999999996"/>
  </r>
  <r>
    <x v="59"/>
    <n v="0.92190399999999995"/>
  </r>
  <r>
    <x v="60"/>
    <n v="0.86000900000000002"/>
  </r>
  <r>
    <x v="61"/>
    <n v="0.95339300000000005"/>
  </r>
  <r>
    <x v="62"/>
    <n v="0.88769900000000002"/>
  </r>
  <r>
    <x v="63"/>
    <n v="0.95773699999999995"/>
  </r>
  <r>
    <x v="64"/>
    <n v="1.1108450000000001"/>
  </r>
  <r>
    <x v="65"/>
    <n v="1.1597090000000001"/>
  </r>
  <r>
    <x v="66"/>
    <n v="1.2232320000000001"/>
  </r>
  <r>
    <x v="67"/>
    <n v="1.2672099999999999"/>
  </r>
  <r>
    <x v="68"/>
    <n v="1.4496359999999999"/>
  </r>
  <r>
    <x v="69"/>
    <n v="1.56691"/>
  </r>
  <r>
    <x v="70"/>
    <n v="1.609259"/>
  </r>
  <r>
    <x v="71"/>
    <n v="1.5441069999999999"/>
  </r>
  <r>
    <x v="72"/>
    <n v="1.4366049999999999"/>
  </r>
  <r>
    <x v="73"/>
    <n v="1.5766830000000001"/>
  </r>
  <r>
    <x v="74"/>
    <n v="1.368196"/>
  </r>
  <r>
    <x v="75"/>
    <n v="1.4219470000000001"/>
  </r>
  <r>
    <x v="76"/>
    <n v="1.456151"/>
  </r>
  <r>
    <x v="77"/>
    <n v="1.5734250000000001"/>
  </r>
  <r>
    <x v="78"/>
    <n v="1.734677"/>
  </r>
  <r>
    <x v="79"/>
    <n v="1.8201890000000001"/>
  </r>
  <r>
    <x v="80"/>
    <n v="1.6687110000000001"/>
  </r>
  <r>
    <x v="81"/>
    <n v="1.690699"/>
  </r>
  <r>
    <x v="82"/>
    <n v="1.6296189999999999"/>
  </r>
  <r>
    <x v="83"/>
    <n v="1.8079719999999999"/>
  </r>
  <r>
    <x v="84"/>
    <n v="1.671154"/>
  </r>
  <r>
    <x v="85"/>
    <n v="1.810416"/>
  </r>
  <r>
    <x v="86"/>
    <n v="1.720018"/>
  </r>
  <r>
    <x v="87"/>
    <n v="1.4463790000000001"/>
  </r>
  <r>
    <x v="88"/>
    <n v="1.468367"/>
  </r>
  <r>
    <x v="89"/>
    <n v="1.6125160000000001"/>
  </r>
  <r>
    <x v="90"/>
    <n v="1.5660959999999999"/>
  </r>
  <r>
    <x v="91"/>
    <n v="1.563653"/>
  </r>
  <r>
    <x v="92"/>
    <n v="1.575868"/>
  </r>
  <r>
    <x v="93"/>
    <n v="1.663824"/>
  </r>
  <r>
    <x v="94"/>
    <n v="1.6125160000000001"/>
  </r>
  <r>
    <x v="95"/>
    <n v="1.6564939999999999"/>
  </r>
  <r>
    <x v="96"/>
    <n v="1.8079719999999999"/>
  </r>
  <r>
    <x v="97"/>
    <n v="2.1011579999999999"/>
  </r>
  <r>
    <x v="98"/>
    <n v="2.0180889999999998"/>
  </r>
  <r>
    <x v="99"/>
    <n v="2.0132020000000002"/>
  </r>
  <r>
    <x v="100"/>
    <n v="2.2721830000000001"/>
  </r>
  <r>
    <x v="101"/>
    <n v="2.194"/>
  </r>
  <r>
    <x v="102"/>
    <n v="2.4627520000000001"/>
  </r>
  <r>
    <x v="103"/>
    <n v="2.4578660000000001"/>
  </r>
  <r>
    <x v="104"/>
    <n v="2.3894570000000002"/>
  </r>
  <r>
    <x v="105"/>
    <n v="2.3210470000000001"/>
  </r>
  <r>
    <x v="106"/>
    <n v="2.4627520000000001"/>
  </r>
  <r>
    <x v="107"/>
    <n v="2.7803689999999999"/>
  </r>
  <r>
    <x v="108"/>
    <n v="3.1957140000000002"/>
  </r>
  <r>
    <x v="109"/>
    <n v="3.310546"/>
  </r>
  <r>
    <x v="110"/>
    <n v="3.5328750000000002"/>
  </r>
  <r>
    <x v="111"/>
    <n v="3.537763"/>
  </r>
  <r>
    <x v="112"/>
    <n v="3.6159439999999998"/>
  </r>
  <r>
    <x v="113"/>
    <n v="3.537763"/>
  </r>
  <r>
    <x v="114"/>
    <n v="3.9091309999999999"/>
  </r>
  <r>
    <x v="115"/>
    <n v="3.4058299999999999"/>
  </r>
  <r>
    <x v="116"/>
    <n v="3.4302619999999999"/>
  </r>
  <r>
    <x v="117"/>
    <n v="3.6159439999999998"/>
  </r>
  <r>
    <x v="118"/>
    <n v="3.8578250000000001"/>
  </r>
  <r>
    <x v="119"/>
    <n v="4.0312919999999997"/>
  </r>
  <r>
    <x v="120"/>
    <n v="4.427092"/>
  </r>
  <r>
    <x v="121"/>
    <n v="4.642093"/>
  </r>
  <r>
    <x v="122"/>
    <n v="4.6958419999999998"/>
  </r>
  <r>
    <x v="123"/>
    <n v="4.6078890000000001"/>
  </r>
  <r>
    <x v="124"/>
    <n v="4.7886829999999998"/>
  </r>
  <r>
    <x v="125"/>
    <n v="5.1551679999999998"/>
  </r>
  <r>
    <x v="126"/>
    <n v="5.3652819999999997"/>
  </r>
  <r>
    <x v="127"/>
    <n v="6.1324500000000004"/>
  </r>
  <r>
    <x v="128"/>
    <n v="6.4598380000000004"/>
  </r>
  <r>
    <x v="129"/>
    <n v="7.9746269999999999"/>
  </r>
  <r>
    <x v="130"/>
    <n v="7.6228049999999996"/>
  </r>
  <r>
    <x v="131"/>
    <n v="7.1683649999999997"/>
  </r>
  <r>
    <x v="132"/>
    <n v="9.4991869999999992"/>
  </r>
  <r>
    <x v="133"/>
    <n v="9.6946449999999995"/>
  </r>
  <r>
    <x v="134"/>
    <n v="9.8803289999999997"/>
  </r>
  <r>
    <x v="135"/>
    <n v="11.053067"/>
  </r>
  <r>
    <x v="136"/>
    <n v="10.334762"/>
  </r>
  <r>
    <x v="137"/>
    <n v="10.344536"/>
  </r>
  <r>
    <x v="138"/>
    <n v="10.163738"/>
  </r>
  <r>
    <x v="139"/>
    <n v="11.062841000000001"/>
  </r>
  <r>
    <x v="140"/>
    <n v="10.105105999999999"/>
  </r>
  <r>
    <x v="141"/>
    <n v="11.663867"/>
  </r>
  <r>
    <x v="142"/>
    <n v="13.251953"/>
  </r>
  <r>
    <x v="143"/>
    <n v="13.994685"/>
  </r>
  <r>
    <x v="144"/>
    <n v="14.092416"/>
  </r>
  <r>
    <x v="145"/>
    <n v="13.261723999999999"/>
  </r>
  <r>
    <x v="146"/>
    <n v="16.946089000000001"/>
  </r>
  <r>
    <x v="147"/>
    <n v="17.190404999999998"/>
  </r>
  <r>
    <x v="148"/>
    <n v="15.001289"/>
  </r>
  <r>
    <x v="149"/>
    <n v="17.209951"/>
  </r>
  <r>
    <x v="150"/>
    <n v="16.555178000000002"/>
  </r>
  <r>
    <x v="151"/>
    <n v="19.076563"/>
  </r>
  <r>
    <x v="152"/>
    <n v="21.685904000000001"/>
  </r>
  <r>
    <x v="153"/>
    <n v="27.36392"/>
  </r>
  <r>
    <x v="154"/>
    <n v="23.474335"/>
  </r>
  <r>
    <x v="155"/>
    <n v="28.028471"/>
  </r>
  <r>
    <x v="156"/>
    <n v="25.428899999999999"/>
  </r>
  <r>
    <x v="157"/>
    <n v="25.233433000000002"/>
  </r>
  <r>
    <x v="158"/>
    <n v="28.204367000000001"/>
  </r>
  <r>
    <x v="159"/>
    <n v="26.836186999999999"/>
  </r>
  <r>
    <x v="160"/>
    <n v="28.947126000000001"/>
  </r>
  <r>
    <x v="161"/>
    <n v="28.321646000000001"/>
  </r>
  <r>
    <x v="162"/>
    <n v="28.947126000000001"/>
  </r>
  <r>
    <x v="163"/>
    <n v="28.473127000000002"/>
  </r>
  <r>
    <x v="164"/>
    <n v="36.511291999999997"/>
  </r>
  <r>
    <x v="165"/>
    <n v="30.608506999999999"/>
  </r>
  <r>
    <x v="166"/>
    <n v="27.950278999999998"/>
  </r>
  <r>
    <x v="167"/>
    <n v="33.227612000000001"/>
  </r>
  <r>
    <x v="168"/>
    <n v="21.812946"/>
  </r>
  <r>
    <x v="169"/>
    <n v="19.565207999999998"/>
  </r>
  <r>
    <x v="170"/>
    <n v="25.018439999999998"/>
  </r>
  <r>
    <x v="171"/>
    <n v="21.832492999999999"/>
  </r>
  <r>
    <x v="172"/>
    <n v="21.832492999999999"/>
  </r>
  <r>
    <x v="173"/>
    <n v="18.861554999999999"/>
  </r>
  <r>
    <x v="174"/>
    <n v="21.539307000000001"/>
  </r>
  <r>
    <x v="175"/>
    <n v="17.942910999999999"/>
  </r>
  <r>
    <x v="176"/>
    <n v="13.564688"/>
  </r>
  <r>
    <x v="177"/>
    <n v="19.096098000000001"/>
  </r>
  <r>
    <x v="178"/>
    <n v="18.451096"/>
  </r>
  <r>
    <x v="179"/>
    <n v="17.102447999999999"/>
  </r>
  <r>
    <x v="180"/>
    <n v="21.18749"/>
  </r>
  <r>
    <x v="181"/>
    <n v="21.634696999999999"/>
  </r>
  <r>
    <x v="182"/>
    <n v="22.829325000000001"/>
  </r>
  <r>
    <x v="183"/>
    <n v="20.699636000000002"/>
  </r>
  <r>
    <x v="184"/>
    <n v="17.841265"/>
  </r>
  <r>
    <x v="185"/>
    <n v="16.002419"/>
  </r>
  <r>
    <x v="186"/>
    <n v="18.185278"/>
  </r>
  <r>
    <x v="187"/>
    <n v="20.080425000000002"/>
  </r>
  <r>
    <x v="188"/>
    <n v="20.718395000000001"/>
  </r>
  <r>
    <x v="189"/>
    <n v="19.924063"/>
  </r>
  <r>
    <x v="190"/>
    <n v="18.244682000000001"/>
  </r>
  <r>
    <x v="191"/>
    <n v="18.860775"/>
  </r>
  <r>
    <x v="192"/>
    <n v="16.343299999999999"/>
  </r>
  <r>
    <x v="193"/>
    <n v="15.921112000000001"/>
  </r>
  <r>
    <x v="194"/>
    <n v="17.106356000000002"/>
  </r>
  <r>
    <x v="195"/>
    <n v="15.004808000000001"/>
  </r>
  <r>
    <x v="196"/>
    <n v="15.348813"/>
  </r>
  <r>
    <x v="197"/>
    <n v="13.678832"/>
  </r>
  <r>
    <x v="198"/>
    <n v="16.721703999999999"/>
  </r>
  <r>
    <x v="199"/>
    <n v="18.038295999999999"/>
  </r>
  <r>
    <x v="200"/>
    <n v="16.168161000000001"/>
  </r>
  <r>
    <x v="201"/>
    <n v="14.842186"/>
  </r>
  <r>
    <x v="202"/>
    <n v="14.823421"/>
  </r>
  <r>
    <x v="203"/>
    <n v="15.191098999999999"/>
  </r>
  <r>
    <x v="204"/>
    <n v="16.044464000000001"/>
  </r>
  <r>
    <x v="205"/>
    <n v="15.442081999999999"/>
  </r>
  <r>
    <x v="206"/>
    <n v="16.088387000000001"/>
  </r>
  <r>
    <x v="207"/>
    <n v="16.571536999999999"/>
  </r>
  <r>
    <x v="208"/>
    <n v="16.640564000000001"/>
  </r>
  <r>
    <x v="209"/>
    <n v="17.443722000000001"/>
  </r>
  <r>
    <x v="210"/>
    <n v="16.402114999999998"/>
  </r>
  <r>
    <x v="211"/>
    <n v="16.222812999999999"/>
  </r>
  <r>
    <x v="212"/>
    <n v="17.270254000000001"/>
  </r>
  <r>
    <x v="213"/>
    <n v="17.446937999999999"/>
  </r>
  <r>
    <x v="214"/>
    <n v="16.740227000000001"/>
  </r>
  <r>
    <x v="215"/>
    <n v="15.730639"/>
  </r>
  <r>
    <x v="216"/>
    <n v="16.487826999999999"/>
  </r>
  <r>
    <x v="217"/>
    <n v="16.550923999999998"/>
  </r>
  <r>
    <x v="218"/>
    <n v="18.021135000000001"/>
  </r>
  <r>
    <x v="219"/>
    <n v="17.976973999999998"/>
  </r>
  <r>
    <x v="220"/>
    <n v="17.226085999999999"/>
  </r>
  <r>
    <x v="221"/>
    <n v="17.498404000000001"/>
  </r>
  <r>
    <x v="222"/>
    <n v="17.700918000000001"/>
  </r>
  <r>
    <x v="223"/>
    <n v="16.966805999999998"/>
  </r>
  <r>
    <x v="224"/>
    <n v="18.846713999999999"/>
  </r>
  <r>
    <x v="225"/>
    <n v="18.536362"/>
  </r>
  <r>
    <x v="226"/>
    <n v="17.746390999999999"/>
  </r>
  <r>
    <x v="227"/>
    <n v="17.100695000000002"/>
  </r>
  <r>
    <x v="228"/>
    <n v="17.900189999999998"/>
  </r>
  <r>
    <x v="229"/>
    <n v="18.253938999999999"/>
  </r>
  <r>
    <x v="230"/>
    <n v="17.630469999999999"/>
  </r>
  <r>
    <x v="231"/>
    <n v="18.176991999999998"/>
  </r>
  <r>
    <x v="232"/>
    <n v="19.433278999999999"/>
  </r>
  <r>
    <x v="233"/>
    <n v="18.316334000000001"/>
  </r>
  <r>
    <x v="234"/>
    <n v="18.294981"/>
  </r>
  <r>
    <x v="235"/>
    <n v="19.704464000000002"/>
  </r>
  <r>
    <x v="236"/>
    <n v="18.669891"/>
  </r>
  <r>
    <x v="237"/>
    <n v="20.097797"/>
  </r>
  <r>
    <x v="238"/>
    <n v="19.183941000000001"/>
  </r>
  <r>
    <x v="239"/>
    <n v="19.492505999999999"/>
  </r>
  <r>
    <x v="240"/>
    <n v="17.300407"/>
  </r>
  <r>
    <x v="241"/>
    <n v="16.225849"/>
  </r>
  <r>
    <x v="242"/>
    <n v="16.756577"/>
  </r>
  <r>
    <x v="243"/>
    <n v="17.303139000000002"/>
  </r>
  <r>
    <x v="244"/>
    <n v="18.482583999999999"/>
  </r>
  <r>
    <x v="245"/>
    <n v="19.741623000000001"/>
  </r>
  <r>
    <x v="246"/>
    <n v="20.723300999999999"/>
  </r>
  <r>
    <x v="247"/>
    <n v="21.19248"/>
  </r>
  <r>
    <x v="248"/>
    <n v="21.627077"/>
  </r>
  <r>
    <x v="249"/>
    <n v="22.351351000000001"/>
  </r>
  <r>
    <x v="250"/>
    <n v="20.403034000000002"/>
  </r>
  <r>
    <x v="251"/>
    <n v="20.255738999999998"/>
  </r>
  <r>
    <x v="252"/>
    <n v="21.760206"/>
  </r>
  <r>
    <x v="253"/>
    <n v="22.305299999999999"/>
  </r>
  <r>
    <x v="254"/>
    <n v="21.488001000000001"/>
  </r>
  <r>
    <x v="255"/>
    <n v="21.138002"/>
  </r>
  <r>
    <x v="256"/>
    <n v="20.948425"/>
  </r>
  <r>
    <x v="257"/>
    <n v="21.555993999999998"/>
  </r>
  <r>
    <x v="258"/>
    <n v="26.934023"/>
  </r>
  <r>
    <x v="259"/>
    <n v="24.585249000000001"/>
  </r>
  <r>
    <x v="260"/>
    <n v="26.134781"/>
  </r>
  <r>
    <x v="261"/>
    <n v="23.932410999999998"/>
  </r>
  <r>
    <x v="262"/>
    <n v="19.968149"/>
  </r>
  <r>
    <x v="263"/>
    <n v="20.915365000000001"/>
  </r>
  <r>
    <x v="264"/>
    <n v="21.018536000000001"/>
  </r>
  <r>
    <x v="265"/>
    <n v="20.871144999999999"/>
  </r>
  <r>
    <x v="266"/>
    <n v="20.348831000000001"/>
  </r>
  <r>
    <x v="267"/>
    <n v="19.024792000000001"/>
  </r>
  <r>
    <x v="268"/>
    <n v="20.186105999999999"/>
  </r>
  <r>
    <x v="269"/>
    <n v="19.821031999999999"/>
  </r>
  <r>
    <x v="270"/>
    <n v="16.583120000000001"/>
  </r>
  <r>
    <x v="271"/>
    <n v="15.016156000000001"/>
  </r>
  <r>
    <x v="272"/>
    <n v="14.534697"/>
  </r>
  <r>
    <x v="273"/>
    <n v="12.78515"/>
  </r>
  <r>
    <x v="274"/>
    <n v="12.074864"/>
  </r>
  <r>
    <x v="275"/>
    <n v="13.828868"/>
  </r>
  <r>
    <x v="276"/>
    <n v="15.251647"/>
  </r>
  <r>
    <x v="277"/>
    <n v="15.725908"/>
  </r>
  <r>
    <x v="278"/>
    <n v="18.007608000000001"/>
  </r>
  <r>
    <x v="279"/>
    <n v="17.818203"/>
  </r>
  <r>
    <x v="280"/>
    <n v="18.674272999999999"/>
  </r>
  <r>
    <x v="281"/>
    <n v="19.594435000000001"/>
  </r>
  <r>
    <x v="282"/>
    <n v="21.125730999999998"/>
  </r>
  <r>
    <x v="283"/>
    <n v="22.405612999999999"/>
  </r>
  <r>
    <x v="284"/>
    <n v="23.323425"/>
  </r>
  <r>
    <x v="285"/>
    <n v="21.563455999999999"/>
  </r>
  <r>
    <x v="286"/>
    <n v="21.938403999999998"/>
  </r>
  <r>
    <x v="287"/>
    <n v="22.517641000000001"/>
  </r>
  <r>
    <x v="288"/>
    <n v="23.478621"/>
  </r>
  <r>
    <x v="289"/>
    <n v="19.834586999999999"/>
  </r>
  <r>
    <x v="290"/>
    <n v="17.769503"/>
  </r>
  <r>
    <x v="291"/>
    <n v="19.931816000000001"/>
  </r>
  <r>
    <x v="292"/>
    <n v="18.124739000000002"/>
  </r>
  <r>
    <x v="293"/>
    <n v="19.013327"/>
  </r>
  <r>
    <x v="294"/>
    <n v="20.705812000000002"/>
  </r>
  <r>
    <x v="295"/>
    <n v="19.611128000000001"/>
  </r>
  <r>
    <x v="296"/>
    <n v="21.801655"/>
  </r>
  <r>
    <x v="297"/>
    <n v="21.661047"/>
  </r>
  <r>
    <x v="298"/>
    <n v="20.762737000000001"/>
  </r>
  <r>
    <x v="299"/>
    <n v="19.950400999999999"/>
  </r>
  <r>
    <x v="300"/>
    <n v="20.366855999999999"/>
  </r>
  <r>
    <x v="301"/>
    <n v="19.651821000000002"/>
  </r>
  <r>
    <x v="302"/>
    <n v="20.563623"/>
  </r>
  <r>
    <x v="303"/>
    <n v="21.6709"/>
  </r>
  <r>
    <x v="304"/>
    <n v="21.038170000000001"/>
  </r>
  <r>
    <x v="305"/>
    <n v="19.809964999999998"/>
  </r>
  <r>
    <x v="306"/>
    <n v="21.194835999999999"/>
  </r>
  <r>
    <x v="307"/>
    <n v="20.359137"/>
  </r>
  <r>
    <x v="308"/>
    <n v="20.817164999999999"/>
  </r>
  <r>
    <x v="309"/>
    <n v="23.679925999999998"/>
  </r>
  <r>
    <x v="310"/>
    <n v="25.452114000000002"/>
  </r>
  <r>
    <x v="311"/>
    <n v="26.039396"/>
  </r>
  <r>
    <x v="312"/>
    <n v="25.845676000000001"/>
  </r>
  <r>
    <x v="313"/>
    <n v="23.561378000000001"/>
  </r>
  <r>
    <x v="314"/>
    <n v="24.853445000000001"/>
  </r>
  <r>
    <x v="315"/>
    <n v="23.943476"/>
  </r>
  <r>
    <x v="316"/>
    <n v="25.040308"/>
  </r>
  <r>
    <x v="317"/>
    <n v="24.339272999999999"/>
  </r>
  <r>
    <x v="318"/>
    <n v="23.341487999999998"/>
  </r>
  <r>
    <x v="319"/>
    <n v="21.771214000000001"/>
  </r>
  <r>
    <x v="320"/>
    <n v="22.024322999999999"/>
  </r>
  <r>
    <x v="321"/>
    <n v="22.634505999999998"/>
  </r>
  <r>
    <x v="322"/>
    <n v="22.923105"/>
  </r>
  <r>
    <x v="323"/>
    <n v="23.786327"/>
  </r>
  <r>
    <x v="324"/>
    <n v="27.519307999999999"/>
  </r>
  <r>
    <x v="325"/>
    <n v="29.015834999999999"/>
  </r>
  <r>
    <x v="326"/>
    <n v="28.917894"/>
  </r>
  <r>
    <x v="327"/>
    <n v="26.657373"/>
  </r>
  <r>
    <x v="328"/>
    <n v="27.963459"/>
  </r>
  <r>
    <x v="329"/>
    <n v="28.059325999999999"/>
  </r>
  <r>
    <x v="330"/>
    <n v="29.855184999999999"/>
  </r>
  <r>
    <x v="331"/>
    <n v="32.148499000000001"/>
  </r>
  <r>
    <x v="332"/>
    <n v="31.780657000000001"/>
  </r>
  <r>
    <x v="333"/>
    <n v="32.145947"/>
  </r>
  <r>
    <x v="334"/>
    <n v="32.545231000000001"/>
  </r>
  <r>
    <x v="335"/>
    <n v="35.083053999999997"/>
  </r>
  <r>
    <x v="336"/>
    <n v="34.578097999999997"/>
  </r>
  <r>
    <x v="337"/>
    <n v="35.040267999999998"/>
  </r>
  <r>
    <x v="338"/>
    <n v="35.942534999999999"/>
  </r>
  <r>
    <x v="339"/>
    <n v="37.200958"/>
  </r>
  <r>
    <x v="340"/>
    <n v="39.157542999999997"/>
  </r>
  <r>
    <x v="341"/>
    <n v="40.208717"/>
  </r>
  <r>
    <x v="342"/>
    <n v="40.720432000000002"/>
  </r>
  <r>
    <x v="343"/>
    <n v="41.466320000000003"/>
  </r>
  <r>
    <x v="344"/>
    <n v="40.540866999999999"/>
  </r>
  <r>
    <x v="345"/>
    <n v="35.260517"/>
  </r>
  <r>
    <x v="346"/>
    <n v="38.271622000000001"/>
  </r>
  <r>
    <x v="347"/>
    <n v="35.739978999999998"/>
  </r>
  <r>
    <x v="348"/>
    <n v="42.754382999999997"/>
  </r>
  <r>
    <x v="349"/>
    <n v="41.189770000000003"/>
  </r>
  <r>
    <x v="350"/>
    <n v="39.059891"/>
  </r>
  <r>
    <x v="351"/>
    <n v="41.315894999999998"/>
  </r>
  <r>
    <x v="352"/>
    <n v="38.502524999999999"/>
  </r>
  <r>
    <x v="353"/>
    <n v="39.415436"/>
  </r>
  <r>
    <x v="354"/>
    <n v="46.878174000000001"/>
  </r>
  <r>
    <x v="355"/>
    <n v="48.401009000000002"/>
  </r>
  <r>
    <x v="356"/>
    <n v="49.740352999999999"/>
  </r>
  <r>
    <x v="357"/>
    <n v="49.390686000000002"/>
  </r>
  <r>
    <x v="358"/>
    <n v="45.616241000000002"/>
  </r>
  <r>
    <x v="359"/>
    <n v="49.871735000000001"/>
  </r>
  <r>
    <x v="360"/>
    <n v="45.031745999999998"/>
  </r>
  <r>
    <x v="361"/>
    <n v="47.858077999999999"/>
  </r>
  <r>
    <x v="362"/>
    <n v="46.528801000000001"/>
  </r>
  <r>
    <x v="363"/>
    <n v="51.539031999999999"/>
  </r>
  <r>
    <x v="364"/>
    <n v="52.248286999999998"/>
  </r>
  <r>
    <x v="365"/>
    <n v="52.702022999999997"/>
  </r>
  <r>
    <x v="366"/>
    <n v="54.824741000000003"/>
  </r>
  <r>
    <x v="367"/>
    <n v="55.135829999999999"/>
  </r>
  <r>
    <x v="368"/>
    <n v="57.240067000000003"/>
  </r>
  <r>
    <x v="369"/>
    <n v="59.552151000000002"/>
  </r>
  <r>
    <x v="370"/>
    <n v="58.934970999999997"/>
  </r>
  <r>
    <x v="371"/>
    <n v="61.034523"/>
  </r>
  <r>
    <x v="372"/>
    <n v="63.444015999999998"/>
  </r>
  <r>
    <x v="373"/>
    <n v="64.722892999999999"/>
  </r>
  <r>
    <x v="374"/>
    <n v="64.245728"/>
  </r>
  <r>
    <x v="375"/>
    <n v="67.759529000000001"/>
  </r>
  <r>
    <x v="376"/>
    <n v="69.688866000000004"/>
  </r>
  <r>
    <x v="377"/>
    <n v="69.797813000000005"/>
  </r>
  <r>
    <x v="378"/>
    <n v="77.940406999999993"/>
  </r>
  <r>
    <x v="379"/>
    <n v="78.868056999999993"/>
  </r>
  <r>
    <x v="380"/>
    <n v="80.554291000000006"/>
  </r>
  <r>
    <x v="381"/>
    <n v="89.472342999999995"/>
  </r>
  <r>
    <x v="382"/>
    <n v="88.304587999999995"/>
  </r>
  <r>
    <x v="383"/>
    <n v="86.354056999999997"/>
  </r>
  <r>
    <x v="384"/>
    <n v="88.482872"/>
  </r>
  <r>
    <x v="385"/>
    <n v="93.516327000000004"/>
  </r>
  <r>
    <x v="386"/>
    <n v="93.703109999999995"/>
  </r>
  <r>
    <x v="387"/>
    <n v="100.80141399999999"/>
  </r>
  <r>
    <x v="388"/>
    <n v="106.74039500000001"/>
  </r>
  <r>
    <x v="389"/>
    <n v="109.097115"/>
  </r>
  <r>
    <x v="390"/>
    <n v="101.88565800000001"/>
  </r>
  <r>
    <x v="391"/>
    <n v="105.777557"/>
  </r>
  <r>
    <x v="392"/>
    <n v="97.305801000000002"/>
  </r>
  <r>
    <x v="393"/>
    <n v="100.045715"/>
  </r>
  <r>
    <x v="394"/>
    <n v="107.32665299999999"/>
  </r>
  <r>
    <x v="395"/>
    <n v="113.471092"/>
  </r>
  <r>
    <x v="396"/>
    <n v="125.65139000000001"/>
  </r>
  <r>
    <x v="397"/>
    <n v="118.993591"/>
  </r>
  <r>
    <x v="398"/>
    <n v="129.36116000000001"/>
  </r>
  <r>
    <x v="399"/>
    <n v="131.591858"/>
  </r>
  <r>
    <x v="400"/>
    <n v="133.12725800000001"/>
  </r>
  <r>
    <x v="401"/>
    <n v="134.70414700000001"/>
  </r>
  <r>
    <x v="402"/>
    <n v="138.90913399999999"/>
  </r>
  <r>
    <x v="403"/>
    <n v="146.66989100000001"/>
  </r>
  <r>
    <x v="404"/>
    <n v="153.313187"/>
  </r>
  <r>
    <x v="405"/>
    <n v="165.494598"/>
  </r>
  <r>
    <x v="406"/>
    <n v="157.50328099999999"/>
  </r>
  <r>
    <x v="407"/>
    <n v="153.74168399999999"/>
  </r>
  <r>
    <x v="408"/>
    <n v="174.700684"/>
  </r>
  <r>
    <x v="409"/>
    <n v="178.63902300000001"/>
  </r>
  <r>
    <x v="410"/>
    <n v="198.941788"/>
  </r>
  <r>
    <x v="411"/>
    <n v="200.40811199999999"/>
  </r>
  <r>
    <x v="412"/>
    <n v="220.467468"/>
  </r>
  <r>
    <x v="413"/>
    <n v="206.105728"/>
  </r>
  <r>
    <x v="414"/>
    <n v="198.40358000000001"/>
  </r>
  <r>
    <x v="415"/>
    <n v="209.77061499999999"/>
  </r>
  <r>
    <x v="416"/>
    <n v="218.52349899999999"/>
  </r>
  <r>
    <x v="417"/>
    <n v="227.89639299999999"/>
  </r>
  <r>
    <x v="418"/>
    <n v="228.309021"/>
  </r>
  <r>
    <x v="419"/>
    <n v="232.173157"/>
  </r>
  <r>
    <x v="420"/>
    <n v="248.332764"/>
  </r>
  <r>
    <x v="421"/>
    <n v="245.87094099999999"/>
  </r>
  <r>
    <x v="422"/>
    <n v="267.38320900000002"/>
  </r>
  <r>
    <x v="423"/>
    <n v="281.21133400000002"/>
  </r>
  <r>
    <x v="424"/>
    <n v="297.96099900000002"/>
  </r>
  <r>
    <x v="425"/>
    <n v="278.79287699999998"/>
  </r>
  <r>
    <x v="426"/>
    <n v="327.94152800000001"/>
  </r>
  <r>
    <x v="427"/>
    <n v="326.92294299999998"/>
  </r>
  <r>
    <x v="428"/>
    <n v="333.19787600000001"/>
  </r>
  <r>
    <x v="429"/>
    <n v="308.09314000000001"/>
  </r>
  <r>
    <x v="430"/>
    <n v="296.01629600000001"/>
  </r>
  <r>
    <x v="431"/>
    <n v="306.07946800000002"/>
  </r>
  <r>
    <x v="432"/>
    <n v="275.51220699999999"/>
  </r>
  <r>
    <x v="433"/>
    <n v="269.90313700000002"/>
  </r>
  <r>
    <x v="434"/>
    <n v="255.56575000000001"/>
  </r>
  <r>
    <x v="435"/>
    <n v="279.358093"/>
  </r>
  <r>
    <x v="436"/>
    <n v="260.18292200000002"/>
  </r>
  <r>
    <x v="437"/>
    <n v="232.24548300000001"/>
  </r>
  <r>
    <x v="438"/>
    <n v="231.47766100000001"/>
  </r>
  <r>
    <x v="439"/>
    <n v="254.422989"/>
  </r>
  <r>
    <x v="440"/>
    <n v="257.220001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247C6-8627-47EE-B559-E163CD4A1BF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1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4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t="default"/>
      </items>
    </pivotField>
  </pivotFields>
  <rowFields count="3">
    <field x="3"/>
    <field x="2"/>
    <field x="0"/>
  </rowFields>
  <rowItems count="3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Average of Adj Close" fld="1" subtotal="average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7018-22E4-4227-B4D5-3ACA2D46058D}">
  <dimension ref="B2:O32"/>
  <sheetViews>
    <sheetView showGridLines="0" topLeftCell="B1" workbookViewId="0">
      <pane ySplit="2" topLeftCell="A9" activePane="bottomLeft" state="frozen"/>
      <selection pane="bottomLeft" activeCell="D24" sqref="D24"/>
    </sheetView>
  </sheetViews>
  <sheetFormatPr defaultRowHeight="14.4" x14ac:dyDescent="0.3"/>
  <cols>
    <col min="1" max="1" width="2.77734375" customWidth="1"/>
    <col min="3" max="3" width="10.5546875" bestFit="1" customWidth="1"/>
  </cols>
  <sheetData>
    <row r="2" spans="2:15" ht="19.8" x14ac:dyDescent="0.4">
      <c r="B2" s="38" t="s">
        <v>79</v>
      </c>
    </row>
    <row r="4" spans="2:15" x14ac:dyDescent="0.3">
      <c r="B4" t="s">
        <v>0</v>
      </c>
      <c r="C4" s="39" t="s">
        <v>1</v>
      </c>
    </row>
    <row r="5" spans="2:15" x14ac:dyDescent="0.3">
      <c r="B5" t="s">
        <v>2</v>
      </c>
      <c r="C5" s="39" t="s">
        <v>74</v>
      </c>
    </row>
    <row r="7" spans="2:15" x14ac:dyDescent="0.3">
      <c r="B7" s="40" t="s">
        <v>80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</row>
    <row r="10" spans="2:15" x14ac:dyDescent="0.3">
      <c r="B10" s="40" t="s">
        <v>81</v>
      </c>
      <c r="C10" s="40"/>
      <c r="D10" s="40">
        <v>2016</v>
      </c>
      <c r="E10" s="40">
        <f>D10+1</f>
        <v>2017</v>
      </c>
      <c r="F10" s="40">
        <f t="shared" ref="F10:O10" si="0">E10+1</f>
        <v>2018</v>
      </c>
      <c r="G10" s="40">
        <f t="shared" si="0"/>
        <v>2019</v>
      </c>
      <c r="H10" s="40">
        <f t="shared" si="0"/>
        <v>2020</v>
      </c>
      <c r="I10" s="40">
        <f t="shared" si="0"/>
        <v>2021</v>
      </c>
      <c r="J10" s="40">
        <f t="shared" si="0"/>
        <v>2022</v>
      </c>
      <c r="K10" s="40">
        <f t="shared" si="0"/>
        <v>2023</v>
      </c>
      <c r="L10" s="40">
        <f t="shared" si="0"/>
        <v>2024</v>
      </c>
      <c r="M10" s="40">
        <f t="shared" si="0"/>
        <v>2025</v>
      </c>
      <c r="N10" s="40">
        <f t="shared" si="0"/>
        <v>2026</v>
      </c>
      <c r="O10" s="40">
        <f t="shared" si="0"/>
        <v>2027</v>
      </c>
    </row>
    <row r="11" spans="2:15" x14ac:dyDescent="0.3">
      <c r="B11" t="s">
        <v>84</v>
      </c>
      <c r="D11" s="45">
        <v>91154</v>
      </c>
      <c r="E11" s="45">
        <v>96571</v>
      </c>
      <c r="F11" s="45">
        <v>110360</v>
      </c>
      <c r="G11" s="45">
        <v>125843</v>
      </c>
      <c r="H11" s="45">
        <v>143015</v>
      </c>
      <c r="I11" s="45">
        <v>168088</v>
      </c>
      <c r="J11" s="45">
        <v>193270</v>
      </c>
    </row>
    <row r="12" spans="2:15" x14ac:dyDescent="0.3">
      <c r="B12" s="42" t="s">
        <v>85</v>
      </c>
      <c r="D12" s="16"/>
      <c r="E12" s="51">
        <f>E11/D11-1</f>
        <v>5.9426903920837271E-2</v>
      </c>
      <c r="F12" s="51">
        <f t="shared" ref="F12:J12" si="1">F11/E11-1</f>
        <v>0.14278613662486661</v>
      </c>
      <c r="G12" s="51">
        <f t="shared" si="1"/>
        <v>0.14029539688292858</v>
      </c>
      <c r="H12" s="51">
        <f t="shared" si="1"/>
        <v>0.13645574247276371</v>
      </c>
      <c r="I12" s="51">
        <f t="shared" si="1"/>
        <v>0.17531727441177503</v>
      </c>
      <c r="J12" s="51">
        <f t="shared" si="1"/>
        <v>0.14981438294226823</v>
      </c>
    </row>
    <row r="14" spans="2:15" x14ac:dyDescent="0.3">
      <c r="B14" t="s">
        <v>86</v>
      </c>
      <c r="D14" s="45">
        <v>26078</v>
      </c>
      <c r="E14" s="45">
        <v>29025</v>
      </c>
      <c r="F14" s="45">
        <v>35058</v>
      </c>
      <c r="G14" s="45">
        <v>42959</v>
      </c>
      <c r="H14" s="45">
        <v>52959</v>
      </c>
      <c r="I14" s="45">
        <v>69916</v>
      </c>
      <c r="J14" s="45">
        <v>83383</v>
      </c>
    </row>
    <row r="15" spans="2:15" x14ac:dyDescent="0.3">
      <c r="B15" s="42" t="s">
        <v>87</v>
      </c>
      <c r="D15" s="51">
        <f>D14/D11</f>
        <v>0.28608728086534874</v>
      </c>
      <c r="E15" s="51">
        <f t="shared" ref="E15:J15" si="2">E14/E11</f>
        <v>0.30055606755651282</v>
      </c>
      <c r="F15" s="51">
        <f t="shared" si="2"/>
        <v>0.31766944545125048</v>
      </c>
      <c r="G15" s="51">
        <f t="shared" si="2"/>
        <v>0.3413698020549415</v>
      </c>
      <c r="H15" s="51">
        <f t="shared" si="2"/>
        <v>0.37030381428521486</v>
      </c>
      <c r="I15" s="51">
        <f t="shared" si="2"/>
        <v>0.41594878872971303</v>
      </c>
      <c r="J15" s="51">
        <f t="shared" si="2"/>
        <v>0.43143271071557926</v>
      </c>
    </row>
    <row r="17" spans="2:15" x14ac:dyDescent="0.3">
      <c r="B17" t="s">
        <v>88</v>
      </c>
      <c r="D17" s="45">
        <v>5100</v>
      </c>
      <c r="E17" s="45">
        <v>4412</v>
      </c>
      <c r="F17" s="45">
        <v>19903</v>
      </c>
      <c r="G17" s="45">
        <v>4448</v>
      </c>
      <c r="H17" s="45">
        <v>8755</v>
      </c>
      <c r="I17" s="45">
        <v>9831</v>
      </c>
      <c r="J17" s="45">
        <v>10978</v>
      </c>
    </row>
    <row r="18" spans="2:15" x14ac:dyDescent="0.3">
      <c r="B18" s="42" t="s">
        <v>89</v>
      </c>
      <c r="D18" s="51">
        <f>D17/D14</f>
        <v>0.19556714471968709</v>
      </c>
      <c r="E18" s="51">
        <f t="shared" ref="E18:J18" si="3">E17/E14</f>
        <v>0.15200689061154177</v>
      </c>
      <c r="F18" s="51">
        <f t="shared" si="3"/>
        <v>0.56771635575332302</v>
      </c>
      <c r="G18" s="51">
        <f t="shared" si="3"/>
        <v>0.10354058520915291</v>
      </c>
      <c r="H18" s="51">
        <f t="shared" si="3"/>
        <v>0.1653165656451217</v>
      </c>
      <c r="I18" s="51">
        <f t="shared" si="3"/>
        <v>0.14061159105211968</v>
      </c>
      <c r="J18" s="51">
        <f t="shared" si="3"/>
        <v>0.13165753211086192</v>
      </c>
    </row>
    <row r="20" spans="2:15" x14ac:dyDescent="0.3">
      <c r="B20" s="40" t="s">
        <v>82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4"/>
    </row>
    <row r="21" spans="2:15" x14ac:dyDescent="0.3">
      <c r="B21" t="s">
        <v>90</v>
      </c>
      <c r="D21" s="45">
        <v>7252</v>
      </c>
      <c r="E21" s="45">
        <v>8778</v>
      </c>
      <c r="F21" s="45">
        <v>10261</v>
      </c>
      <c r="G21" s="45">
        <v>11682</v>
      </c>
      <c r="H21" s="45">
        <v>12796</v>
      </c>
      <c r="I21" s="45">
        <v>11686</v>
      </c>
      <c r="J21" s="45">
        <v>14460</v>
      </c>
    </row>
    <row r="22" spans="2:15" x14ac:dyDescent="0.3">
      <c r="B22" s="42" t="s">
        <v>87</v>
      </c>
      <c r="D22" s="51">
        <f>D21/D11</f>
        <v>7.9557671632621715E-2</v>
      </c>
      <c r="E22" s="51">
        <f t="shared" ref="E22:J22" si="4">E21/E11</f>
        <v>9.0896853092543306E-2</v>
      </c>
      <c r="F22" s="51">
        <f t="shared" si="4"/>
        <v>9.2977528089887643E-2</v>
      </c>
      <c r="G22" s="51">
        <f t="shared" si="4"/>
        <v>9.2829954784930432E-2</v>
      </c>
      <c r="H22" s="51">
        <f t="shared" si="4"/>
        <v>8.9473132188931229E-2</v>
      </c>
      <c r="I22" s="51">
        <f t="shared" si="4"/>
        <v>6.9523106943981727E-2</v>
      </c>
      <c r="J22" s="51">
        <f t="shared" si="4"/>
        <v>7.4817612666218239E-2</v>
      </c>
      <c r="L22" s="33"/>
    </row>
    <row r="23" spans="2:15" x14ac:dyDescent="0.3">
      <c r="B23" s="42" t="s">
        <v>91</v>
      </c>
      <c r="D23" s="51">
        <f>D21/-D25</f>
        <v>0.86923169123816368</v>
      </c>
      <c r="E23" s="51">
        <f t="shared" ref="E23:J23" si="5">E21/-E25</f>
        <v>1.0798376184032477</v>
      </c>
      <c r="F23" s="51">
        <f t="shared" si="5"/>
        <v>0.8821354883081155</v>
      </c>
      <c r="G23" s="51">
        <f t="shared" si="5"/>
        <v>0.83892280071813286</v>
      </c>
      <c r="H23" s="51">
        <f t="shared" si="5"/>
        <v>0.8287028042225244</v>
      </c>
      <c r="I23" s="51">
        <f t="shared" si="5"/>
        <v>0.56667636504703711</v>
      </c>
      <c r="J23" s="51">
        <f t="shared" si="5"/>
        <v>0.60537553378548103</v>
      </c>
      <c r="L23" s="33"/>
    </row>
    <row r="25" spans="2:15" x14ac:dyDescent="0.3">
      <c r="B25" t="s">
        <v>15</v>
      </c>
      <c r="D25" s="47">
        <v>-8343</v>
      </c>
      <c r="E25" s="47">
        <v>-8129</v>
      </c>
      <c r="F25" s="47">
        <v>-11632</v>
      </c>
      <c r="G25" s="47">
        <v>-13925</v>
      </c>
      <c r="H25" s="47">
        <v>-15441</v>
      </c>
      <c r="I25" s="47">
        <v>-20622</v>
      </c>
      <c r="J25" s="47">
        <v>-23886</v>
      </c>
    </row>
    <row r="26" spans="2:15" x14ac:dyDescent="0.3">
      <c r="B26" s="42" t="s">
        <v>87</v>
      </c>
      <c r="D26" s="51">
        <f>-D25/D11</f>
        <v>9.1526427803497373E-2</v>
      </c>
      <c r="E26" s="51">
        <f t="shared" ref="E26:J26" si="6">-E25/E11</f>
        <v>8.4176409066904143E-2</v>
      </c>
      <c r="F26" s="51">
        <f t="shared" si="6"/>
        <v>0.10540050743022834</v>
      </c>
      <c r="G26" s="51">
        <f t="shared" si="6"/>
        <v>0.11065375110256431</v>
      </c>
      <c r="H26" s="51">
        <f t="shared" si="6"/>
        <v>0.10796769569625564</v>
      </c>
      <c r="I26" s="51">
        <f t="shared" si="6"/>
        <v>0.12268573604302509</v>
      </c>
      <c r="J26" s="51">
        <f t="shared" si="6"/>
        <v>0.12358876183577379</v>
      </c>
    </row>
    <row r="27" spans="2:15" x14ac:dyDescent="0.3">
      <c r="B27" s="42"/>
    </row>
    <row r="28" spans="2:15" x14ac:dyDescent="0.3">
      <c r="B28" s="43" t="s">
        <v>92</v>
      </c>
      <c r="D28" s="47">
        <v>-14066</v>
      </c>
      <c r="E28" s="47">
        <v>10843</v>
      </c>
      <c r="F28" s="47">
        <v>13842</v>
      </c>
      <c r="G28" s="47">
        <v>-7201</v>
      </c>
      <c r="H28" s="47">
        <v>4752</v>
      </c>
      <c r="I28" s="47">
        <v>-11338</v>
      </c>
      <c r="J28" s="47">
        <v>8460</v>
      </c>
    </row>
    <row r="29" spans="2:15" x14ac:dyDescent="0.3">
      <c r="B29" s="42" t="s">
        <v>87</v>
      </c>
      <c r="D29" s="50">
        <f>D28/D11</f>
        <v>-0.15431028808390196</v>
      </c>
      <c r="E29" s="50">
        <f t="shared" ref="E29:J29" si="7">E28/E11</f>
        <v>0.11228008408321338</v>
      </c>
      <c r="F29" s="50">
        <f t="shared" si="7"/>
        <v>0.12542587894164553</v>
      </c>
      <c r="G29" s="50">
        <f t="shared" si="7"/>
        <v>-5.7222094196737204E-2</v>
      </c>
      <c r="H29" s="50">
        <f t="shared" si="7"/>
        <v>3.3227283851344262E-2</v>
      </c>
      <c r="I29" s="50">
        <f t="shared" si="7"/>
        <v>-6.7452762838513161E-2</v>
      </c>
      <c r="J29" s="50">
        <f t="shared" si="7"/>
        <v>4.377296010762146E-2</v>
      </c>
    </row>
    <row r="30" spans="2:15" x14ac:dyDescent="0.3">
      <c r="B30" s="42" t="s">
        <v>93</v>
      </c>
      <c r="E30" s="50">
        <f>E28/(E11-D11)</f>
        <v>2.0016614362193095</v>
      </c>
      <c r="F30" s="50">
        <f t="shared" ref="F30:J30" si="8">F28/(F11-E11)</f>
        <v>1.0038436434839364</v>
      </c>
      <c r="G30" s="50">
        <f t="shared" si="8"/>
        <v>-0.46509074468772199</v>
      </c>
      <c r="H30" s="50">
        <f t="shared" si="8"/>
        <v>0.27672955974842767</v>
      </c>
      <c r="I30" s="50">
        <f t="shared" si="8"/>
        <v>-0.45219957723447535</v>
      </c>
      <c r="J30" s="50">
        <f t="shared" si="8"/>
        <v>0.33595425303788418</v>
      </c>
    </row>
    <row r="32" spans="2:15" x14ac:dyDescent="0.3">
      <c r="B32" s="40" t="s">
        <v>83</v>
      </c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7"/>
  <sheetViews>
    <sheetView showGridLines="0" tabSelected="1" topLeftCell="A35" workbookViewId="0">
      <pane xSplit="1" topLeftCell="B1" activePane="topRight" state="frozen"/>
      <selection activeCell="A11" sqref="A11"/>
      <selection pane="topRight" activeCell="A44" sqref="A44"/>
    </sheetView>
  </sheetViews>
  <sheetFormatPr defaultRowHeight="14.4" x14ac:dyDescent="0.3"/>
  <cols>
    <col min="1" max="1" width="15.5546875" bestFit="1" customWidth="1"/>
    <col min="3" max="13" width="11.77734375" customWidth="1"/>
    <col min="14" max="23" width="12.77734375" customWidth="1"/>
    <col min="25" max="25" width="12.44140625" bestFit="1" customWidth="1"/>
    <col min="26" max="27" width="11" bestFit="1" customWidth="1"/>
  </cols>
  <sheetData>
    <row r="1" spans="1:27" x14ac:dyDescent="0.3">
      <c r="A1" t="s">
        <v>0</v>
      </c>
      <c r="C1" t="s">
        <v>2</v>
      </c>
      <c r="D1" s="1">
        <v>44907</v>
      </c>
    </row>
    <row r="2" spans="1:27" ht="25.8" x14ac:dyDescent="0.5">
      <c r="A2" s="2" t="s">
        <v>1</v>
      </c>
      <c r="N2">
        <v>1</v>
      </c>
      <c r="O2">
        <f>N2+1</f>
        <v>2</v>
      </c>
      <c r="P2">
        <f t="shared" ref="P2:R2" si="0">O2+1</f>
        <v>3</v>
      </c>
      <c r="Q2">
        <f t="shared" si="0"/>
        <v>4</v>
      </c>
      <c r="R2">
        <f t="shared" si="0"/>
        <v>5</v>
      </c>
    </row>
    <row r="3" spans="1:27" x14ac:dyDescent="0.3">
      <c r="C3" s="4">
        <v>2013</v>
      </c>
      <c r="D3" s="4">
        <f t="shared" ref="D3:L3" si="1">C3+1</f>
        <v>2014</v>
      </c>
      <c r="E3" s="4">
        <f t="shared" si="1"/>
        <v>2015</v>
      </c>
      <c r="F3" s="4">
        <f t="shared" si="1"/>
        <v>2016</v>
      </c>
      <c r="G3" s="4">
        <f t="shared" si="1"/>
        <v>2017</v>
      </c>
      <c r="H3" s="4">
        <f t="shared" si="1"/>
        <v>2018</v>
      </c>
      <c r="I3" s="4">
        <f t="shared" si="1"/>
        <v>2019</v>
      </c>
      <c r="J3" s="4">
        <f t="shared" si="1"/>
        <v>2020</v>
      </c>
      <c r="K3" s="4">
        <f t="shared" si="1"/>
        <v>2021</v>
      </c>
      <c r="L3" s="4">
        <f t="shared" si="1"/>
        <v>2022</v>
      </c>
      <c r="M3" s="5" t="s">
        <v>21</v>
      </c>
      <c r="N3" s="21">
        <v>2023</v>
      </c>
      <c r="O3" s="21">
        <f>N3+1</f>
        <v>2024</v>
      </c>
      <c r="P3" s="21">
        <f t="shared" ref="P3:W3" si="2">O3+1</f>
        <v>2025</v>
      </c>
      <c r="Q3" s="21">
        <f t="shared" si="2"/>
        <v>2026</v>
      </c>
      <c r="R3" s="23">
        <f t="shared" si="2"/>
        <v>2027</v>
      </c>
      <c r="S3" s="21">
        <f t="shared" si="2"/>
        <v>2028</v>
      </c>
      <c r="T3" s="21">
        <f t="shared" si="2"/>
        <v>2029</v>
      </c>
      <c r="U3" s="21">
        <f t="shared" si="2"/>
        <v>2030</v>
      </c>
      <c r="V3" s="21">
        <f t="shared" si="2"/>
        <v>2031</v>
      </c>
      <c r="W3" s="21">
        <f t="shared" si="2"/>
        <v>2032</v>
      </c>
      <c r="Y3" s="54" t="s">
        <v>64</v>
      </c>
      <c r="Z3" s="54"/>
      <c r="AA3" s="54"/>
    </row>
    <row r="4" spans="1:27" x14ac:dyDescent="0.3">
      <c r="A4" s="3" t="s">
        <v>3</v>
      </c>
      <c r="C4" s="11">
        <v>77849</v>
      </c>
      <c r="D4" s="11">
        <v>86833</v>
      </c>
      <c r="E4" s="11">
        <v>93580</v>
      </c>
      <c r="F4" s="11">
        <v>91154</v>
      </c>
      <c r="G4" s="11">
        <v>96571</v>
      </c>
      <c r="H4" s="11">
        <v>110360</v>
      </c>
      <c r="I4" s="11">
        <v>125843</v>
      </c>
      <c r="J4" s="11">
        <v>143015</v>
      </c>
      <c r="K4" s="11">
        <v>168088</v>
      </c>
      <c r="L4" s="11">
        <v>193270</v>
      </c>
      <c r="M4" s="17">
        <f>(L4/C4)^(1/10)-1</f>
        <v>9.5194214303017777E-2</v>
      </c>
      <c r="R4" s="22"/>
      <c r="Y4" s="27" t="s">
        <v>65</v>
      </c>
      <c r="Z4" s="28">
        <f>$R$3</f>
        <v>2027</v>
      </c>
      <c r="AA4" s="28">
        <f>$W$3</f>
        <v>2032</v>
      </c>
    </row>
    <row r="5" spans="1:27" x14ac:dyDescent="0.3">
      <c r="M5" s="18"/>
      <c r="Y5" s="27" t="s">
        <v>6</v>
      </c>
      <c r="Z5" s="29">
        <f>R8</f>
        <v>163305.29592115205</v>
      </c>
      <c r="AA5" s="29">
        <f>W8</f>
        <v>248918.3455318659</v>
      </c>
    </row>
    <row r="6" spans="1:27" x14ac:dyDescent="0.3">
      <c r="A6" t="s">
        <v>4</v>
      </c>
      <c r="C6">
        <v>26764</v>
      </c>
      <c r="D6">
        <v>27759</v>
      </c>
      <c r="E6">
        <v>18161</v>
      </c>
      <c r="F6">
        <v>26078</v>
      </c>
      <c r="G6">
        <v>29025</v>
      </c>
      <c r="H6">
        <v>35058</v>
      </c>
      <c r="I6">
        <v>42959</v>
      </c>
      <c r="J6">
        <v>52959</v>
      </c>
      <c r="K6">
        <v>69916</v>
      </c>
      <c r="L6">
        <v>83383</v>
      </c>
      <c r="M6" s="18"/>
      <c r="Y6" s="27" t="s">
        <v>66</v>
      </c>
      <c r="Z6" s="55">
        <v>14.5</v>
      </c>
      <c r="AA6" s="55"/>
    </row>
    <row r="7" spans="1:27" x14ac:dyDescent="0.3">
      <c r="A7" t="s">
        <v>5</v>
      </c>
      <c r="C7">
        <v>3755</v>
      </c>
      <c r="D7">
        <v>5212</v>
      </c>
      <c r="E7">
        <v>13455</v>
      </c>
      <c r="F7">
        <v>7252</v>
      </c>
      <c r="G7">
        <v>8778</v>
      </c>
      <c r="H7">
        <v>10261</v>
      </c>
      <c r="I7">
        <v>11682</v>
      </c>
      <c r="J7">
        <v>12796</v>
      </c>
      <c r="K7">
        <v>11686</v>
      </c>
      <c r="L7">
        <v>14460</v>
      </c>
      <c r="M7" s="18"/>
      <c r="Y7" s="27" t="s">
        <v>11</v>
      </c>
      <c r="Z7" s="30">
        <f>Z5*$Z$6</f>
        <v>2367926.7908567046</v>
      </c>
      <c r="AA7" s="30">
        <f t="shared" ref="AA7" si="3">AA5*$Z$6</f>
        <v>3609316.0102120554</v>
      </c>
    </row>
    <row r="8" spans="1:27" x14ac:dyDescent="0.3">
      <c r="A8" s="3" t="s">
        <v>6</v>
      </c>
      <c r="C8" s="11">
        <f t="shared" ref="C8:K8" si="4">C6+C7</f>
        <v>30519</v>
      </c>
      <c r="D8" s="11">
        <f t="shared" si="4"/>
        <v>32971</v>
      </c>
      <c r="E8" s="11">
        <f t="shared" si="4"/>
        <v>31616</v>
      </c>
      <c r="F8" s="11">
        <f t="shared" si="4"/>
        <v>33330</v>
      </c>
      <c r="G8" s="11">
        <f t="shared" si="4"/>
        <v>37803</v>
      </c>
      <c r="H8" s="11">
        <f t="shared" si="4"/>
        <v>45319</v>
      </c>
      <c r="I8" s="11">
        <f t="shared" si="4"/>
        <v>54641</v>
      </c>
      <c r="J8" s="11">
        <f t="shared" si="4"/>
        <v>65755</v>
      </c>
      <c r="K8" s="11">
        <f t="shared" si="4"/>
        <v>81602</v>
      </c>
      <c r="L8" s="11">
        <f>L6+L7</f>
        <v>97843</v>
      </c>
      <c r="M8" s="17">
        <f>(L8/C8)^(1/10)-1</f>
        <v>0.12355916352880225</v>
      </c>
      <c r="N8" s="24">
        <f>L8*(1+N9)</f>
        <v>105670.44</v>
      </c>
      <c r="O8" s="24">
        <f>N8*(1+O9)</f>
        <v>118350.89280000002</v>
      </c>
      <c r="P8" s="24">
        <f t="shared" ref="P8:W8" si="5">O8*(1+P9)</f>
        <v>132552.99993600004</v>
      </c>
      <c r="Q8" s="24">
        <f t="shared" si="5"/>
        <v>148459.35992832005</v>
      </c>
      <c r="R8" s="24">
        <f t="shared" si="5"/>
        <v>163305.29592115205</v>
      </c>
      <c r="S8" s="24">
        <f t="shared" si="5"/>
        <v>179635.82551326728</v>
      </c>
      <c r="T8" s="24">
        <f t="shared" si="5"/>
        <v>197599.40806459403</v>
      </c>
      <c r="U8" s="24">
        <f t="shared" si="5"/>
        <v>213407.36070976156</v>
      </c>
      <c r="V8" s="24">
        <f t="shared" si="5"/>
        <v>230479.94956654249</v>
      </c>
      <c r="W8" s="24">
        <f t="shared" si="5"/>
        <v>248918.3455318659</v>
      </c>
      <c r="Y8" s="27" t="s">
        <v>67</v>
      </c>
      <c r="Z8" s="56">
        <f>L13</f>
        <v>49781</v>
      </c>
      <c r="AA8" s="57"/>
    </row>
    <row r="9" spans="1:27" x14ac:dyDescent="0.3">
      <c r="A9" s="15" t="s">
        <v>63</v>
      </c>
      <c r="C9" s="11"/>
      <c r="D9" s="14">
        <f>D8/C8-1</f>
        <v>8.0343392640650046E-2</v>
      </c>
      <c r="E9" s="14">
        <f t="shared" ref="E9:L9" si="6">E8/D8-1</f>
        <v>-4.1096721361196242E-2</v>
      </c>
      <c r="F9" s="14">
        <f t="shared" si="6"/>
        <v>5.4213056680161964E-2</v>
      </c>
      <c r="G9" s="14">
        <f t="shared" si="6"/>
        <v>0.13420342034203414</v>
      </c>
      <c r="H9" s="14">
        <f t="shared" si="6"/>
        <v>0.19882019945506979</v>
      </c>
      <c r="I9" s="14">
        <f t="shared" si="6"/>
        <v>0.2056973896158345</v>
      </c>
      <c r="J9" s="14">
        <f t="shared" si="6"/>
        <v>0.20340037700627733</v>
      </c>
      <c r="K9" s="14">
        <f t="shared" si="6"/>
        <v>0.24100068435860389</v>
      </c>
      <c r="L9" s="14">
        <f t="shared" si="6"/>
        <v>0.1990269846327295</v>
      </c>
      <c r="M9" s="19">
        <f>AVERAGE(D9:L9)</f>
        <v>0.14173430926335165</v>
      </c>
      <c r="N9" s="25">
        <v>0.08</v>
      </c>
      <c r="O9" s="25">
        <v>0.12</v>
      </c>
      <c r="P9" s="25">
        <v>0.12</v>
      </c>
      <c r="Q9" s="25">
        <v>0.12</v>
      </c>
      <c r="R9" s="25">
        <v>0.1</v>
      </c>
      <c r="S9" s="25">
        <v>0.1</v>
      </c>
      <c r="T9" s="25">
        <v>0.1</v>
      </c>
      <c r="U9" s="25">
        <v>0.08</v>
      </c>
      <c r="V9" s="25">
        <v>0.08</v>
      </c>
      <c r="W9" s="25">
        <v>0.08</v>
      </c>
      <c r="Y9" s="27" t="s">
        <v>68</v>
      </c>
      <c r="Z9" s="56">
        <f>L11</f>
        <v>90826</v>
      </c>
      <c r="AA9" s="57"/>
    </row>
    <row r="10" spans="1:27" x14ac:dyDescent="0.3">
      <c r="A10" s="3"/>
      <c r="Y10" s="27" t="s">
        <v>10</v>
      </c>
      <c r="Z10" s="30">
        <f>Z7-Z8+Z9</f>
        <v>2408971.7908567046</v>
      </c>
      <c r="AA10" s="30">
        <f>AA7-Z8+Z9</f>
        <v>3650361.0102120554</v>
      </c>
    </row>
    <row r="11" spans="1:27" x14ac:dyDescent="0.3">
      <c r="A11" s="3" t="s">
        <v>7</v>
      </c>
      <c r="C11" s="11">
        <v>73218</v>
      </c>
      <c r="D11" s="11">
        <v>77040</v>
      </c>
      <c r="E11" s="11">
        <v>90931</v>
      </c>
      <c r="F11" s="11">
        <v>106730</v>
      </c>
      <c r="G11" s="11">
        <v>125318</v>
      </c>
      <c r="H11" s="11">
        <v>121822</v>
      </c>
      <c r="I11" s="11">
        <v>122463</v>
      </c>
      <c r="J11" s="11">
        <v>122951</v>
      </c>
      <c r="K11" s="11">
        <v>116110</v>
      </c>
      <c r="L11" s="11">
        <v>90826</v>
      </c>
      <c r="Y11" s="27" t="s">
        <v>69</v>
      </c>
      <c r="Z11" s="58">
        <f>L15</f>
        <v>7540</v>
      </c>
      <c r="AA11" s="58"/>
    </row>
    <row r="12" spans="1:27" x14ac:dyDescent="0.3">
      <c r="A12" s="3"/>
      <c r="Y12" s="27" t="s">
        <v>19</v>
      </c>
      <c r="Z12" s="31">
        <f>Z10/$Z$11</f>
        <v>319.49227995447012</v>
      </c>
      <c r="AA12" s="31">
        <f t="shared" ref="AA12" si="7">AA10/$Z$11</f>
        <v>484.13275997507367</v>
      </c>
    </row>
    <row r="13" spans="1:27" x14ac:dyDescent="0.3">
      <c r="A13" s="3" t="s">
        <v>8</v>
      </c>
      <c r="C13" s="11">
        <f>2999+12601</f>
        <v>15600</v>
      </c>
      <c r="D13" s="11">
        <f>2000+20645</f>
        <v>22645</v>
      </c>
      <c r="E13" s="11">
        <f>4985+2499+27808</f>
        <v>35292</v>
      </c>
      <c r="F13" s="11">
        <f>12904+40783</f>
        <v>53687</v>
      </c>
      <c r="G13" s="11">
        <f>9072+76073+1049</f>
        <v>86194</v>
      </c>
      <c r="H13" s="11">
        <f>3998+72242</f>
        <v>76240</v>
      </c>
      <c r="I13" s="11">
        <f>5516+66662</f>
        <v>72178</v>
      </c>
      <c r="J13" s="11">
        <f>3749+59578</f>
        <v>63327</v>
      </c>
      <c r="K13" s="11">
        <f>8072+50074</f>
        <v>58146</v>
      </c>
      <c r="L13" s="11">
        <f>2749+47032</f>
        <v>49781</v>
      </c>
    </row>
    <row r="14" spans="1:27" x14ac:dyDescent="0.3">
      <c r="A14" s="3"/>
      <c r="Y14" s="59" t="s">
        <v>70</v>
      </c>
      <c r="Z14" s="59"/>
      <c r="AA14" s="59"/>
    </row>
    <row r="15" spans="1:27" x14ac:dyDescent="0.3">
      <c r="A15" s="3" t="s">
        <v>9</v>
      </c>
      <c r="C15">
        <v>8470</v>
      </c>
      <c r="D15">
        <v>8399</v>
      </c>
      <c r="E15">
        <v>8254</v>
      </c>
      <c r="F15">
        <v>8013</v>
      </c>
      <c r="G15">
        <v>7832</v>
      </c>
      <c r="H15">
        <v>7794</v>
      </c>
      <c r="I15">
        <v>7753</v>
      </c>
      <c r="J15">
        <v>7683</v>
      </c>
      <c r="K15">
        <v>7608</v>
      </c>
      <c r="L15">
        <v>7540</v>
      </c>
      <c r="Y15" s="32" t="s">
        <v>65</v>
      </c>
      <c r="Z15" s="28">
        <f>Z4</f>
        <v>2027</v>
      </c>
      <c r="AA15" s="28">
        <f t="shared" ref="AA15" si="8">AA4</f>
        <v>2032</v>
      </c>
    </row>
    <row r="16" spans="1:27" x14ac:dyDescent="0.3">
      <c r="A16" s="3"/>
      <c r="Y16" s="27" t="s">
        <v>18</v>
      </c>
      <c r="Z16" s="37">
        <f>R33</f>
        <v>12.424051836401064</v>
      </c>
      <c r="AA16" s="37">
        <f>W33</f>
        <v>18.937379896193121</v>
      </c>
    </row>
    <row r="17" spans="1:28" x14ac:dyDescent="0.3">
      <c r="A17" s="3" t="s">
        <v>10</v>
      </c>
      <c r="C17" s="11">
        <f t="shared" ref="C17:K17" si="9">C15*C35</f>
        <v>233815.39039833334</v>
      </c>
      <c r="D17" s="11">
        <f t="shared" si="9"/>
        <v>311203.92650249996</v>
      </c>
      <c r="E17" s="11">
        <f t="shared" si="9"/>
        <v>341529.57822633331</v>
      </c>
      <c r="F17" s="11">
        <f t="shared" si="9"/>
        <v>405983.49753925001</v>
      </c>
      <c r="G17" s="11">
        <f t="shared" si="9"/>
        <v>532930.55790333333</v>
      </c>
      <c r="H17" s="11">
        <f t="shared" si="9"/>
        <v>754356.08343150001</v>
      </c>
      <c r="I17" s="11">
        <f t="shared" si="9"/>
        <v>990552.40285233338</v>
      </c>
      <c r="J17" s="11">
        <f t="shared" si="9"/>
        <v>1461498.7134150001</v>
      </c>
      <c r="K17" s="11">
        <f t="shared" si="9"/>
        <v>2089659.5886280001</v>
      </c>
      <c r="L17" s="11">
        <f>L15*L35</f>
        <v>2027051.8073650002</v>
      </c>
      <c r="R17" s="9"/>
      <c r="T17" s="10"/>
      <c r="Y17" s="27" t="s">
        <v>71</v>
      </c>
      <c r="Z17" s="52">
        <v>0.03</v>
      </c>
      <c r="AA17" s="53"/>
    </row>
    <row r="18" spans="1:28" x14ac:dyDescent="0.3">
      <c r="A18" s="3"/>
      <c r="Y18" s="27" t="s">
        <v>19</v>
      </c>
      <c r="Z18" s="31">
        <f>Z16/$Z$17</f>
        <v>414.13506121336883</v>
      </c>
      <c r="AA18" s="31">
        <f t="shared" ref="AA18" si="10">AA16/$Z$17</f>
        <v>631.24599653977077</v>
      </c>
    </row>
    <row r="19" spans="1:28" x14ac:dyDescent="0.3">
      <c r="A19" s="3" t="s">
        <v>11</v>
      </c>
      <c r="C19" s="11">
        <f t="shared" ref="C19:K19" si="11">C17+C13-C11</f>
        <v>176197.39039833334</v>
      </c>
      <c r="D19" s="11">
        <f t="shared" si="11"/>
        <v>256808.92650249996</v>
      </c>
      <c r="E19" s="11">
        <f t="shared" si="11"/>
        <v>285890.57822633331</v>
      </c>
      <c r="F19" s="11">
        <f t="shared" si="11"/>
        <v>352940.49753925001</v>
      </c>
      <c r="G19" s="11">
        <f t="shared" si="11"/>
        <v>493806.55790333333</v>
      </c>
      <c r="H19" s="11">
        <f t="shared" si="11"/>
        <v>708774.08343150001</v>
      </c>
      <c r="I19" s="11">
        <f t="shared" si="11"/>
        <v>940267.40285233338</v>
      </c>
      <c r="J19" s="11">
        <f t="shared" si="11"/>
        <v>1401874.7134150001</v>
      </c>
      <c r="K19" s="11">
        <f t="shared" si="11"/>
        <v>2031695.5886280001</v>
      </c>
      <c r="L19" s="11">
        <f>L17+L13-L11</f>
        <v>1986006.8073650002</v>
      </c>
      <c r="R19" s="9"/>
    </row>
    <row r="20" spans="1:28" x14ac:dyDescent="0.3">
      <c r="A20" s="3"/>
      <c r="Y20" s="54" t="s">
        <v>72</v>
      </c>
      <c r="Z20" s="54"/>
      <c r="AA20" s="54"/>
    </row>
    <row r="21" spans="1:28" x14ac:dyDescent="0.3">
      <c r="A21" s="3" t="s">
        <v>12</v>
      </c>
      <c r="C21" s="12">
        <f t="shared" ref="C21:K21" si="12">C19/C8</f>
        <v>5.7733670958528567</v>
      </c>
      <c r="D21" s="12">
        <f t="shared" si="12"/>
        <v>7.7889335022443955</v>
      </c>
      <c r="E21" s="12">
        <f t="shared" si="12"/>
        <v>9.042591669608214</v>
      </c>
      <c r="F21" s="12">
        <f t="shared" si="12"/>
        <v>10.589273853562856</v>
      </c>
      <c r="G21" s="12">
        <f t="shared" si="12"/>
        <v>13.062628836423917</v>
      </c>
      <c r="H21" s="12">
        <f t="shared" si="12"/>
        <v>15.639667323451533</v>
      </c>
      <c r="I21" s="12">
        <f t="shared" si="12"/>
        <v>17.208092876271177</v>
      </c>
      <c r="J21" s="12">
        <f t="shared" si="12"/>
        <v>21.319667149494336</v>
      </c>
      <c r="K21" s="12">
        <f t="shared" si="12"/>
        <v>24.897620017009388</v>
      </c>
      <c r="L21" s="12">
        <f>L19/L8</f>
        <v>20.297893639453005</v>
      </c>
      <c r="M21" s="20">
        <f>AVERAGE(C21:L21)</f>
        <v>14.561973596337168</v>
      </c>
      <c r="Y21" s="27" t="s">
        <v>73</v>
      </c>
      <c r="Z21" s="27"/>
      <c r="AA21" s="27">
        <v>248.88</v>
      </c>
      <c r="AB21" t="s">
        <v>74</v>
      </c>
    </row>
    <row r="22" spans="1:28" x14ac:dyDescent="0.3">
      <c r="A22" s="3"/>
      <c r="M22" s="16"/>
      <c r="Y22" s="27" t="s">
        <v>65</v>
      </c>
      <c r="Z22" s="28">
        <f>Z15</f>
        <v>2027</v>
      </c>
      <c r="AA22" s="28">
        <f>AA15</f>
        <v>2032</v>
      </c>
    </row>
    <row r="23" spans="1:28" x14ac:dyDescent="0.3">
      <c r="A23" s="3" t="s">
        <v>13</v>
      </c>
      <c r="C23" s="12">
        <f t="shared" ref="C23:K23" si="13">C13/C8</f>
        <v>0.51115698417379341</v>
      </c>
      <c r="D23" s="12">
        <f t="shared" si="13"/>
        <v>0.68681568651238967</v>
      </c>
      <c r="E23" s="12">
        <f t="shared" si="13"/>
        <v>1.1162702429149798</v>
      </c>
      <c r="F23" s="12">
        <f t="shared" si="13"/>
        <v>1.6107710771077108</v>
      </c>
      <c r="G23" s="12">
        <f t="shared" si="13"/>
        <v>2.2800835912493715</v>
      </c>
      <c r="H23" s="12">
        <f t="shared" si="13"/>
        <v>1.6822966084865068</v>
      </c>
      <c r="I23" s="12">
        <f t="shared" si="13"/>
        <v>1.3209494701780715</v>
      </c>
      <c r="J23" s="12">
        <f t="shared" si="13"/>
        <v>0.9630750513268953</v>
      </c>
      <c r="K23" s="12">
        <f t="shared" si="13"/>
        <v>0.71255606480233324</v>
      </c>
      <c r="L23" s="12">
        <f>L13/L8</f>
        <v>0.50878448126079534</v>
      </c>
      <c r="M23" s="20">
        <f>AVERAGE(C23:L23)</f>
        <v>1.1392759258012846</v>
      </c>
      <c r="Y23" s="27" t="s">
        <v>75</v>
      </c>
      <c r="Z23" s="31">
        <f>Z12</f>
        <v>319.49227995447012</v>
      </c>
      <c r="AA23" s="31">
        <f t="shared" ref="AA23" si="14">AA12</f>
        <v>484.13275997507367</v>
      </c>
    </row>
    <row r="24" spans="1:28" x14ac:dyDescent="0.3">
      <c r="A24" s="3"/>
      <c r="Y24" s="27" t="s">
        <v>76</v>
      </c>
      <c r="Z24" s="34">
        <f>Z18</f>
        <v>414.13506121336883</v>
      </c>
      <c r="AA24" s="34">
        <f t="shared" ref="AA24" si="15">AA18</f>
        <v>631.24599653977077</v>
      </c>
    </row>
    <row r="25" spans="1:28" x14ac:dyDescent="0.3">
      <c r="A25" s="3" t="s">
        <v>14</v>
      </c>
      <c r="C25" s="11">
        <v>28833</v>
      </c>
      <c r="D25" s="11">
        <v>32502</v>
      </c>
      <c r="E25" s="11">
        <v>29668</v>
      </c>
      <c r="F25" s="11">
        <v>33325</v>
      </c>
      <c r="G25" s="11">
        <v>39507</v>
      </c>
      <c r="H25" s="11">
        <v>43884</v>
      </c>
      <c r="I25" s="11">
        <v>52185</v>
      </c>
      <c r="J25" s="11">
        <v>60675</v>
      </c>
      <c r="K25" s="11">
        <v>76740</v>
      </c>
      <c r="L25" s="11">
        <v>89035</v>
      </c>
      <c r="M25" s="17">
        <f>(L25/C25)^(1/10)-1</f>
        <v>0.11935306583965222</v>
      </c>
      <c r="Y25" s="27" t="s">
        <v>77</v>
      </c>
      <c r="Z25" s="35">
        <f>AVERAGE(Z23:Z24)</f>
        <v>366.81367058391947</v>
      </c>
      <c r="AA25" s="35">
        <f t="shared" ref="AA25" si="16">AVERAGE(AA23:AA24)</f>
        <v>557.68937825742228</v>
      </c>
    </row>
    <row r="26" spans="1:28" x14ac:dyDescent="0.3">
      <c r="A26" s="3"/>
      <c r="Y26" s="27" t="s">
        <v>78</v>
      </c>
      <c r="Z26" s="36">
        <f>(Z25/AA21)^(1/5)-1</f>
        <v>8.0665042151304212E-2</v>
      </c>
      <c r="AA26" s="36">
        <f>(AA25/AA21)^(1/10)-1</f>
        <v>8.4027344768426993E-2</v>
      </c>
    </row>
    <row r="27" spans="1:28" x14ac:dyDescent="0.3">
      <c r="A27" s="3" t="s">
        <v>15</v>
      </c>
      <c r="C27" s="11">
        <v>-4257</v>
      </c>
      <c r="D27" s="11">
        <v>-5485</v>
      </c>
      <c r="E27" s="11">
        <v>-5944</v>
      </c>
      <c r="F27" s="11">
        <v>-8343</v>
      </c>
      <c r="G27" s="11">
        <v>-8129</v>
      </c>
      <c r="H27" s="11">
        <v>-11632</v>
      </c>
      <c r="I27" s="11">
        <v>-13925</v>
      </c>
      <c r="J27" s="11">
        <v>-15441</v>
      </c>
      <c r="K27" s="11">
        <v>-20622</v>
      </c>
      <c r="L27" s="11">
        <v>-23886</v>
      </c>
    </row>
    <row r="28" spans="1:28" x14ac:dyDescent="0.3">
      <c r="A28" s="3"/>
    </row>
    <row r="29" spans="1:28" x14ac:dyDescent="0.3">
      <c r="A29" s="3" t="s">
        <v>16</v>
      </c>
      <c r="C29" s="11">
        <v>3537</v>
      </c>
      <c r="D29" s="11">
        <v>6962</v>
      </c>
      <c r="E29" s="11">
        <v>13661</v>
      </c>
      <c r="F29" s="11">
        <v>18283</v>
      </c>
      <c r="G29" s="11">
        <v>31459</v>
      </c>
      <c r="H29" s="11">
        <v>-10201</v>
      </c>
      <c r="I29" s="11">
        <v>-4000</v>
      </c>
      <c r="J29" s="11">
        <v>-5518</v>
      </c>
      <c r="K29" s="11">
        <v>-3750</v>
      </c>
      <c r="L29" s="11">
        <v>-9023</v>
      </c>
    </row>
    <row r="30" spans="1:28" x14ac:dyDescent="0.3">
      <c r="A30" s="3"/>
    </row>
    <row r="31" spans="1:28" x14ac:dyDescent="0.3">
      <c r="A31" s="3" t="s">
        <v>17</v>
      </c>
      <c r="C31" s="11">
        <f t="shared" ref="C31:K31" si="17">C25+C27+C29</f>
        <v>28113</v>
      </c>
      <c r="D31" s="11">
        <f t="shared" si="17"/>
        <v>33979</v>
      </c>
      <c r="E31" s="11">
        <f t="shared" si="17"/>
        <v>37385</v>
      </c>
      <c r="F31" s="11">
        <f t="shared" si="17"/>
        <v>43265</v>
      </c>
      <c r="G31" s="11">
        <f t="shared" si="17"/>
        <v>62837</v>
      </c>
      <c r="H31" s="11">
        <f t="shared" si="17"/>
        <v>22051</v>
      </c>
      <c r="I31" s="11">
        <f t="shared" si="17"/>
        <v>34260</v>
      </c>
      <c r="J31" s="11">
        <f t="shared" si="17"/>
        <v>39716</v>
      </c>
      <c r="K31" s="11">
        <f t="shared" si="17"/>
        <v>52368</v>
      </c>
      <c r="L31" s="11">
        <f>L25+L27+L29</f>
        <v>56126</v>
      </c>
    </row>
    <row r="32" spans="1:28" x14ac:dyDescent="0.3">
      <c r="A32" s="3"/>
    </row>
    <row r="33" spans="1:23" x14ac:dyDescent="0.3">
      <c r="A33" s="3" t="s">
        <v>18</v>
      </c>
      <c r="C33" s="13">
        <f t="shared" ref="C33:K33" si="18">C31/C15</f>
        <v>3.3191263282172372</v>
      </c>
      <c r="D33" s="13">
        <f t="shared" si="18"/>
        <v>4.0456006667460409</v>
      </c>
      <c r="E33" s="13">
        <f t="shared" si="18"/>
        <v>4.529319118003392</v>
      </c>
      <c r="F33" s="13">
        <f t="shared" si="18"/>
        <v>5.3993510545363783</v>
      </c>
      <c r="G33" s="13">
        <f t="shared" si="18"/>
        <v>8.0231103166496425</v>
      </c>
      <c r="H33" s="13">
        <f t="shared" si="18"/>
        <v>2.8292276109828074</v>
      </c>
      <c r="I33" s="13">
        <f t="shared" si="18"/>
        <v>4.4189346059589836</v>
      </c>
      <c r="J33" s="13">
        <f t="shared" si="18"/>
        <v>5.1693348952232201</v>
      </c>
      <c r="K33" s="13">
        <f t="shared" si="18"/>
        <v>6.8832807570977916</v>
      </c>
      <c r="L33" s="13">
        <f>L31/L15</f>
        <v>7.4437665782493365</v>
      </c>
      <c r="M33" s="17">
        <f>(L33/C33)^(1/10)-1</f>
        <v>8.4118851606866052E-2</v>
      </c>
      <c r="N33" s="26">
        <f>L33*(1+N34)</f>
        <v>8.0392679045092841</v>
      </c>
      <c r="O33" s="26">
        <f>N33*(1+O34)</f>
        <v>9.0039800530503982</v>
      </c>
      <c r="P33" s="26">
        <f t="shared" ref="P33" si="19">O33*(1+P34)</f>
        <v>10.084457659416447</v>
      </c>
      <c r="Q33" s="26">
        <f t="shared" ref="Q33" si="20">P33*(1+Q34)</f>
        <v>11.294592578546421</v>
      </c>
      <c r="R33" s="26">
        <f t="shared" ref="R33" si="21">Q33*(1+R34)</f>
        <v>12.424051836401064</v>
      </c>
      <c r="S33" s="26">
        <f t="shared" ref="S33" si="22">R33*(1+S34)</f>
        <v>13.666457020041172</v>
      </c>
      <c r="T33" s="26">
        <f t="shared" ref="T33" si="23">S33*(1+T34)</f>
        <v>15.033102722045291</v>
      </c>
      <c r="U33" s="26">
        <f t="shared" ref="U33" si="24">T33*(1+U34)</f>
        <v>16.235750939808916</v>
      </c>
      <c r="V33" s="26">
        <f t="shared" ref="V33" si="25">U33*(1+V34)</f>
        <v>17.534611014993629</v>
      </c>
      <c r="W33" s="26">
        <f t="shared" ref="W33" si="26">V33*(1+W34)</f>
        <v>18.937379896193121</v>
      </c>
    </row>
    <row r="34" spans="1:23" x14ac:dyDescent="0.3">
      <c r="A34" s="3"/>
      <c r="N34" s="25">
        <v>0.08</v>
      </c>
      <c r="O34" s="25">
        <v>0.12</v>
      </c>
      <c r="P34" s="25">
        <v>0.12</v>
      </c>
      <c r="Q34" s="25">
        <v>0.12</v>
      </c>
      <c r="R34" s="25">
        <v>0.1</v>
      </c>
      <c r="S34" s="25">
        <v>0.1</v>
      </c>
      <c r="T34" s="25">
        <v>0.1</v>
      </c>
      <c r="U34" s="25">
        <v>0.08</v>
      </c>
      <c r="V34" s="25">
        <v>0.08</v>
      </c>
      <c r="W34" s="25">
        <v>0.08</v>
      </c>
    </row>
    <row r="35" spans="1:23" x14ac:dyDescent="0.3">
      <c r="A35" s="3" t="s">
        <v>19</v>
      </c>
      <c r="C35" s="11">
        <v>27.605122833333336</v>
      </c>
      <c r="D35" s="11">
        <v>37.052497499999994</v>
      </c>
      <c r="E35" s="11">
        <v>41.377462833333333</v>
      </c>
      <c r="F35" s="11">
        <v>50.665605583333331</v>
      </c>
      <c r="G35" s="11">
        <v>68.045270416666668</v>
      </c>
      <c r="H35" s="11">
        <v>96.786769750000005</v>
      </c>
      <c r="I35" s="11">
        <v>127.76375633333333</v>
      </c>
      <c r="J35" s="11">
        <v>190.22500500000001</v>
      </c>
      <c r="K35" s="11">
        <v>274.66608683333334</v>
      </c>
      <c r="L35" s="11">
        <v>268.83976225000004</v>
      </c>
    </row>
    <row r="36" spans="1:23" x14ac:dyDescent="0.3">
      <c r="A36" s="3"/>
    </row>
    <row r="37" spans="1:23" x14ac:dyDescent="0.3">
      <c r="A37" s="3" t="s">
        <v>20</v>
      </c>
      <c r="C37" s="14">
        <f t="shared" ref="C37:K37" si="27">C33/C35</f>
        <v>0.12023588332703863</v>
      </c>
      <c r="D37" s="14">
        <f t="shared" si="27"/>
        <v>0.10918564036732049</v>
      </c>
      <c r="E37" s="14">
        <f t="shared" si="27"/>
        <v>0.10946343269637623</v>
      </c>
      <c r="F37" s="14">
        <f t="shared" si="27"/>
        <v>0.10656837103536997</v>
      </c>
      <c r="G37" s="14">
        <f t="shared" si="27"/>
        <v>0.11790841990223765</v>
      </c>
      <c r="H37" s="14">
        <f t="shared" si="27"/>
        <v>2.92315532204525E-2</v>
      </c>
      <c r="I37" s="14">
        <f t="shared" si="27"/>
        <v>3.4586761792053632E-2</v>
      </c>
      <c r="J37" s="14">
        <f t="shared" si="27"/>
        <v>2.7174844312519375E-2</v>
      </c>
      <c r="K37" s="14">
        <f t="shared" si="27"/>
        <v>2.5060541097214336E-2</v>
      </c>
      <c r="L37" s="14">
        <f>L33/L35</f>
        <v>2.7688488175819818E-2</v>
      </c>
      <c r="M37" s="19">
        <f>AVERAGE(C37:L37)</f>
        <v>7.0710393592640267E-2</v>
      </c>
    </row>
    <row r="41" spans="1:23" x14ac:dyDescent="0.3">
      <c r="C41" s="49">
        <v>2015</v>
      </c>
      <c r="D41" s="49">
        <v>2016</v>
      </c>
      <c r="E41" s="49">
        <f>D41+1</f>
        <v>2017</v>
      </c>
      <c r="F41" s="49">
        <f t="shared" ref="F41:J41" si="28">E41+1</f>
        <v>2018</v>
      </c>
      <c r="G41" s="49">
        <f t="shared" si="28"/>
        <v>2019</v>
      </c>
      <c r="H41" s="49">
        <f t="shared" si="28"/>
        <v>2020</v>
      </c>
      <c r="I41" s="49">
        <f t="shared" si="28"/>
        <v>2021</v>
      </c>
      <c r="J41" s="49">
        <f t="shared" si="28"/>
        <v>2022</v>
      </c>
    </row>
    <row r="42" spans="1:23" x14ac:dyDescent="0.3">
      <c r="A42" t="s">
        <v>94</v>
      </c>
      <c r="C42">
        <v>122797</v>
      </c>
      <c r="D42">
        <v>139660</v>
      </c>
      <c r="E42">
        <v>162696</v>
      </c>
      <c r="F42">
        <v>169662</v>
      </c>
      <c r="G42">
        <v>175552</v>
      </c>
      <c r="H42">
        <v>181915</v>
      </c>
      <c r="I42">
        <v>184406</v>
      </c>
      <c r="J42">
        <v>168684</v>
      </c>
    </row>
    <row r="43" spans="1:23" x14ac:dyDescent="0.3">
      <c r="A43" t="s">
        <v>97</v>
      </c>
      <c r="C43" s="41">
        <v>90931</v>
      </c>
      <c r="D43" s="41">
        <v>106730</v>
      </c>
      <c r="E43" s="41">
        <v>125318</v>
      </c>
      <c r="F43" s="41">
        <v>121822</v>
      </c>
      <c r="G43" s="41">
        <v>122463</v>
      </c>
      <c r="H43" s="41">
        <v>122951</v>
      </c>
      <c r="I43" s="41">
        <v>116110</v>
      </c>
      <c r="J43" s="41">
        <v>90826</v>
      </c>
    </row>
    <row r="44" spans="1:23" x14ac:dyDescent="0.3">
      <c r="A44" t="s">
        <v>95</v>
      </c>
      <c r="C44">
        <v>49647</v>
      </c>
      <c r="D44">
        <v>59357</v>
      </c>
      <c r="E44">
        <v>55745</v>
      </c>
      <c r="F44">
        <v>58488</v>
      </c>
      <c r="G44">
        <v>69420</v>
      </c>
      <c r="H44">
        <v>72310</v>
      </c>
      <c r="I44">
        <v>88657</v>
      </c>
      <c r="J44">
        <v>95082</v>
      </c>
    </row>
    <row r="45" spans="1:23" x14ac:dyDescent="0.3">
      <c r="A45" t="s">
        <v>98</v>
      </c>
      <c r="C45" s="41">
        <f>4985+2499</f>
        <v>7484</v>
      </c>
      <c r="D45" s="41">
        <v>12904</v>
      </c>
      <c r="E45" s="41">
        <f>9072+1049</f>
        <v>10121</v>
      </c>
      <c r="F45" s="41">
        <v>3998</v>
      </c>
      <c r="G45" s="41">
        <v>5516</v>
      </c>
      <c r="H45" s="41">
        <v>3749</v>
      </c>
      <c r="I45" s="41">
        <v>8072</v>
      </c>
      <c r="J45" s="41">
        <v>2749</v>
      </c>
    </row>
    <row r="46" spans="1:23" x14ac:dyDescent="0.3">
      <c r="A46" s="3" t="s">
        <v>96</v>
      </c>
      <c r="B46" s="3"/>
      <c r="C46" s="48">
        <f t="shared" ref="C46:I46" si="29">C42-C43-C44-C45</f>
        <v>-25265</v>
      </c>
      <c r="D46" s="48">
        <f t="shared" si="29"/>
        <v>-39331</v>
      </c>
      <c r="E46" s="48">
        <f t="shared" si="29"/>
        <v>-28488</v>
      </c>
      <c r="F46" s="48">
        <f t="shared" si="29"/>
        <v>-14646</v>
      </c>
      <c r="G46" s="48">
        <f t="shared" si="29"/>
        <v>-21847</v>
      </c>
      <c r="H46" s="48">
        <f t="shared" si="29"/>
        <v>-17095</v>
      </c>
      <c r="I46" s="48">
        <f t="shared" si="29"/>
        <v>-28433</v>
      </c>
      <c r="J46" s="48">
        <f>J42-J43-J44-J45</f>
        <v>-19973</v>
      </c>
    </row>
    <row r="47" spans="1:23" x14ac:dyDescent="0.3">
      <c r="A47" s="3" t="s">
        <v>96</v>
      </c>
      <c r="D47" s="46">
        <f t="shared" ref="D47" si="30">D46-C46</f>
        <v>-14066</v>
      </c>
      <c r="E47" s="46">
        <f t="shared" ref="E47:J47" si="31">E46-D46</f>
        <v>10843</v>
      </c>
      <c r="F47" s="46">
        <f t="shared" si="31"/>
        <v>13842</v>
      </c>
      <c r="G47" s="46">
        <f t="shared" si="31"/>
        <v>-7201</v>
      </c>
      <c r="H47" s="46">
        <f t="shared" si="31"/>
        <v>4752</v>
      </c>
      <c r="I47" s="46">
        <f t="shared" si="31"/>
        <v>-11338</v>
      </c>
      <c r="J47" s="46">
        <f t="shared" si="31"/>
        <v>8460</v>
      </c>
    </row>
  </sheetData>
  <mergeCells count="8">
    <mergeCell ref="Z17:AA17"/>
    <mergeCell ref="Y20:AA20"/>
    <mergeCell ref="Y3:AA3"/>
    <mergeCell ref="Z6:AA6"/>
    <mergeCell ref="Z8:AA8"/>
    <mergeCell ref="Z9:AA9"/>
    <mergeCell ref="Z11:AA11"/>
    <mergeCell ref="Y14:AA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7C47-29C1-4A46-A26A-64B10B6E33ED}">
  <dimension ref="A1:B442"/>
  <sheetViews>
    <sheetView workbookViewId="0">
      <selection sqref="A1:B1048576"/>
    </sheetView>
  </sheetViews>
  <sheetFormatPr defaultRowHeight="14.4" x14ac:dyDescent="0.3"/>
  <cols>
    <col min="1" max="1" width="9.5546875" bestFit="1" customWidth="1"/>
    <col min="2" max="2" width="11" bestFit="1" customWidth="1"/>
  </cols>
  <sheetData>
    <row r="1" spans="1:2" x14ac:dyDescent="0.3">
      <c r="A1" t="s">
        <v>2</v>
      </c>
      <c r="B1" t="s">
        <v>22</v>
      </c>
    </row>
    <row r="2" spans="1:2" x14ac:dyDescent="0.3">
      <c r="A2" s="1">
        <v>31503</v>
      </c>
      <c r="B2">
        <v>7.0038000000000003E-2</v>
      </c>
    </row>
    <row r="3" spans="1:2" x14ac:dyDescent="0.3">
      <c r="A3" s="1">
        <v>31533</v>
      </c>
      <c r="B3">
        <v>7.6010999999999995E-2</v>
      </c>
    </row>
    <row r="4" spans="1:2" x14ac:dyDescent="0.3">
      <c r="A4" s="1">
        <v>31564</v>
      </c>
      <c r="B4">
        <v>6.6780999999999993E-2</v>
      </c>
    </row>
    <row r="5" spans="1:2" x14ac:dyDescent="0.3">
      <c r="A5" s="1">
        <v>31594</v>
      </c>
      <c r="B5">
        <v>6.1893999999999998E-2</v>
      </c>
    </row>
    <row r="6" spans="1:2" x14ac:dyDescent="0.3">
      <c r="A6" s="1">
        <v>31625</v>
      </c>
      <c r="B6">
        <v>6.1893999999999998E-2</v>
      </c>
    </row>
    <row r="7" spans="1:2" x14ac:dyDescent="0.3">
      <c r="A7" s="1">
        <v>31656</v>
      </c>
      <c r="B7">
        <v>6.1351000000000003E-2</v>
      </c>
    </row>
    <row r="8" spans="1:2" x14ac:dyDescent="0.3">
      <c r="A8" s="1">
        <v>31686</v>
      </c>
      <c r="B8">
        <v>8.4154999999999994E-2</v>
      </c>
    </row>
    <row r="9" spans="1:2" x14ac:dyDescent="0.3">
      <c r="A9" s="1">
        <v>31717</v>
      </c>
      <c r="B9">
        <v>0.108044</v>
      </c>
    </row>
    <row r="10" spans="1:2" x14ac:dyDescent="0.3">
      <c r="A10" s="1">
        <v>31747</v>
      </c>
      <c r="B10">
        <v>0.10478700000000001</v>
      </c>
    </row>
    <row r="11" spans="1:2" x14ac:dyDescent="0.3">
      <c r="A11" s="1">
        <v>31778</v>
      </c>
      <c r="B11">
        <v>0.158808</v>
      </c>
    </row>
    <row r="12" spans="1:2" x14ac:dyDescent="0.3">
      <c r="A12" s="1">
        <v>31809</v>
      </c>
      <c r="B12">
        <v>0.166681</v>
      </c>
    </row>
    <row r="13" spans="1:2" x14ac:dyDescent="0.3">
      <c r="A13" s="1">
        <v>31837</v>
      </c>
      <c r="B13">
        <v>0.210116</v>
      </c>
    </row>
    <row r="14" spans="1:2" x14ac:dyDescent="0.3">
      <c r="A14" s="1">
        <v>31868</v>
      </c>
      <c r="B14">
        <v>0.22586100000000001</v>
      </c>
    </row>
    <row r="15" spans="1:2" x14ac:dyDescent="0.3">
      <c r="A15" s="1">
        <v>31898</v>
      </c>
      <c r="B15">
        <v>0.25029299999999999</v>
      </c>
    </row>
    <row r="16" spans="1:2" x14ac:dyDescent="0.3">
      <c r="A16" s="1">
        <v>31929</v>
      </c>
      <c r="B16">
        <v>0.22151799999999999</v>
      </c>
    </row>
    <row r="17" spans="1:2" x14ac:dyDescent="0.3">
      <c r="A17" s="1">
        <v>31959</v>
      </c>
      <c r="B17">
        <v>0.20414399999999999</v>
      </c>
    </row>
    <row r="18" spans="1:2" x14ac:dyDescent="0.3">
      <c r="A18" s="1">
        <v>31990</v>
      </c>
      <c r="B18">
        <v>0.25789400000000001</v>
      </c>
    </row>
    <row r="19" spans="1:2" x14ac:dyDescent="0.3">
      <c r="A19" s="1">
        <v>32021</v>
      </c>
      <c r="B19">
        <v>0.28775499999999998</v>
      </c>
    </row>
    <row r="20" spans="1:2" x14ac:dyDescent="0.3">
      <c r="A20" s="1">
        <v>32051</v>
      </c>
      <c r="B20">
        <v>0.216088</v>
      </c>
    </row>
    <row r="21" spans="1:2" x14ac:dyDescent="0.3">
      <c r="A21" s="1">
        <v>32082</v>
      </c>
      <c r="B21">
        <v>0.19437099999999999</v>
      </c>
    </row>
    <row r="22" spans="1:2" x14ac:dyDescent="0.3">
      <c r="A22" s="1">
        <v>32112</v>
      </c>
      <c r="B22">
        <v>0.23563400000000001</v>
      </c>
    </row>
    <row r="23" spans="1:2" x14ac:dyDescent="0.3">
      <c r="A23" s="1">
        <v>32143</v>
      </c>
      <c r="B23">
        <v>0.242149</v>
      </c>
    </row>
    <row r="24" spans="1:2" x14ac:dyDescent="0.3">
      <c r="A24" s="1">
        <v>32174</v>
      </c>
      <c r="B24">
        <v>0.25789400000000001</v>
      </c>
    </row>
    <row r="25" spans="1:2" x14ac:dyDescent="0.3">
      <c r="A25" s="1">
        <v>32203</v>
      </c>
      <c r="B25">
        <v>0.24540600000000001</v>
      </c>
    </row>
    <row r="26" spans="1:2" x14ac:dyDescent="0.3">
      <c r="A26" s="1">
        <v>32234</v>
      </c>
      <c r="B26">
        <v>0.23671900000000001</v>
      </c>
    </row>
    <row r="27" spans="1:2" x14ac:dyDescent="0.3">
      <c r="A27" s="1">
        <v>32264</v>
      </c>
      <c r="B27">
        <v>0.25192199999999998</v>
      </c>
    </row>
    <row r="28" spans="1:2" x14ac:dyDescent="0.3">
      <c r="A28" s="1">
        <v>32295</v>
      </c>
      <c r="B28">
        <v>0.29101300000000002</v>
      </c>
    </row>
    <row r="29" spans="1:2" x14ac:dyDescent="0.3">
      <c r="A29" s="1">
        <v>32325</v>
      </c>
      <c r="B29">
        <v>0.25843699999999997</v>
      </c>
    </row>
    <row r="30" spans="1:2" x14ac:dyDescent="0.3">
      <c r="A30" s="1">
        <v>32356</v>
      </c>
      <c r="B30">
        <v>0.21717400000000001</v>
      </c>
    </row>
    <row r="31" spans="1:2" x14ac:dyDescent="0.3">
      <c r="A31" s="1">
        <v>32387</v>
      </c>
      <c r="B31">
        <v>0.22694700000000001</v>
      </c>
    </row>
    <row r="32" spans="1:2" x14ac:dyDescent="0.3">
      <c r="A32" s="1">
        <v>32417</v>
      </c>
      <c r="B32">
        <v>0.21283099999999999</v>
      </c>
    </row>
    <row r="33" spans="1:2" x14ac:dyDescent="0.3">
      <c r="A33" s="1">
        <v>32448</v>
      </c>
      <c r="B33">
        <v>0.20522899999999999</v>
      </c>
    </row>
    <row r="34" spans="1:2" x14ac:dyDescent="0.3">
      <c r="A34" s="1">
        <v>32478</v>
      </c>
      <c r="B34">
        <v>0.23129</v>
      </c>
    </row>
    <row r="35" spans="1:2" x14ac:dyDescent="0.3">
      <c r="A35" s="1">
        <v>32509</v>
      </c>
      <c r="B35">
        <v>0.25897999999999999</v>
      </c>
    </row>
    <row r="36" spans="1:2" x14ac:dyDescent="0.3">
      <c r="A36" s="1">
        <v>32540</v>
      </c>
      <c r="B36">
        <v>0.25843699999999997</v>
      </c>
    </row>
    <row r="37" spans="1:2" x14ac:dyDescent="0.3">
      <c r="A37" s="1">
        <v>32568</v>
      </c>
      <c r="B37">
        <v>0.21663099999999999</v>
      </c>
    </row>
    <row r="38" spans="1:2" x14ac:dyDescent="0.3">
      <c r="A38" s="1">
        <v>32599</v>
      </c>
      <c r="B38">
        <v>0.24269199999999999</v>
      </c>
    </row>
    <row r="39" spans="1:2" x14ac:dyDescent="0.3">
      <c r="A39" s="1">
        <v>32629</v>
      </c>
      <c r="B39">
        <v>0.26278099999999999</v>
      </c>
    </row>
    <row r="40" spans="1:2" x14ac:dyDescent="0.3">
      <c r="A40" s="1">
        <v>32660</v>
      </c>
      <c r="B40">
        <v>0.23020499999999999</v>
      </c>
    </row>
    <row r="41" spans="1:2" x14ac:dyDescent="0.3">
      <c r="A41" s="1">
        <v>32690</v>
      </c>
      <c r="B41">
        <v>0.23780499999999999</v>
      </c>
    </row>
    <row r="42" spans="1:2" x14ac:dyDescent="0.3">
      <c r="A42" s="1">
        <v>32721</v>
      </c>
      <c r="B42">
        <v>0.25517899999999999</v>
      </c>
    </row>
    <row r="43" spans="1:2" x14ac:dyDescent="0.3">
      <c r="A43" s="1">
        <v>32752</v>
      </c>
      <c r="B43">
        <v>0.29752800000000001</v>
      </c>
    </row>
    <row r="44" spans="1:2" x14ac:dyDescent="0.3">
      <c r="A44" s="1">
        <v>32782</v>
      </c>
      <c r="B44">
        <v>0.35507899999999998</v>
      </c>
    </row>
    <row r="45" spans="1:2" x14ac:dyDescent="0.3">
      <c r="A45" s="1">
        <v>32813</v>
      </c>
      <c r="B45">
        <v>0.37788300000000002</v>
      </c>
    </row>
    <row r="46" spans="1:2" x14ac:dyDescent="0.3">
      <c r="A46" s="1">
        <v>32843</v>
      </c>
      <c r="B46">
        <v>0.37788300000000002</v>
      </c>
    </row>
    <row r="47" spans="1:2" x14ac:dyDescent="0.3">
      <c r="A47" s="1">
        <v>32874</v>
      </c>
      <c r="B47">
        <v>0.40177200000000002</v>
      </c>
    </row>
    <row r="48" spans="1:2" x14ac:dyDescent="0.3">
      <c r="A48" s="1">
        <v>32905</v>
      </c>
      <c r="B48">
        <v>0.42891899999999999</v>
      </c>
    </row>
    <row r="49" spans="1:2" x14ac:dyDescent="0.3">
      <c r="A49" s="1">
        <v>32933</v>
      </c>
      <c r="B49">
        <v>0.48104000000000002</v>
      </c>
    </row>
    <row r="50" spans="1:2" x14ac:dyDescent="0.3">
      <c r="A50" s="1">
        <v>32964</v>
      </c>
      <c r="B50">
        <v>0.50384399999999996</v>
      </c>
    </row>
    <row r="51" spans="1:2" x14ac:dyDescent="0.3">
      <c r="A51" s="1">
        <v>32994</v>
      </c>
      <c r="B51">
        <v>0.63414800000000004</v>
      </c>
    </row>
    <row r="52" spans="1:2" x14ac:dyDescent="0.3">
      <c r="A52" s="1">
        <v>33025</v>
      </c>
      <c r="B52">
        <v>0.66020900000000005</v>
      </c>
    </row>
    <row r="53" spans="1:2" x14ac:dyDescent="0.3">
      <c r="A53" s="1">
        <v>33055</v>
      </c>
      <c r="B53">
        <v>0.57768299999999995</v>
      </c>
    </row>
    <row r="54" spans="1:2" x14ac:dyDescent="0.3">
      <c r="A54" s="1">
        <v>33086</v>
      </c>
      <c r="B54">
        <v>0.53424799999999995</v>
      </c>
    </row>
    <row r="55" spans="1:2" x14ac:dyDescent="0.3">
      <c r="A55" s="1">
        <v>33117</v>
      </c>
      <c r="B55">
        <v>0.54727800000000004</v>
      </c>
    </row>
    <row r="56" spans="1:2" x14ac:dyDescent="0.3">
      <c r="A56" s="1">
        <v>33147</v>
      </c>
      <c r="B56">
        <v>0.55379400000000001</v>
      </c>
    </row>
    <row r="57" spans="1:2" x14ac:dyDescent="0.3">
      <c r="A57" s="1">
        <v>33178</v>
      </c>
      <c r="B57">
        <v>0.62763199999999997</v>
      </c>
    </row>
    <row r="58" spans="1:2" x14ac:dyDescent="0.3">
      <c r="A58" s="1">
        <v>33208</v>
      </c>
      <c r="B58">
        <v>0.65369299999999997</v>
      </c>
    </row>
    <row r="59" spans="1:2" x14ac:dyDescent="0.3">
      <c r="A59" s="1">
        <v>33239</v>
      </c>
      <c r="B59">
        <v>0.85240700000000003</v>
      </c>
    </row>
    <row r="60" spans="1:2" x14ac:dyDescent="0.3">
      <c r="A60" s="1">
        <v>33270</v>
      </c>
      <c r="B60">
        <v>0.90127199999999996</v>
      </c>
    </row>
    <row r="61" spans="1:2" x14ac:dyDescent="0.3">
      <c r="A61" s="1">
        <v>33298</v>
      </c>
      <c r="B61">
        <v>0.92190399999999995</v>
      </c>
    </row>
    <row r="62" spans="1:2" x14ac:dyDescent="0.3">
      <c r="A62" s="1">
        <v>33329</v>
      </c>
      <c r="B62">
        <v>0.86000900000000002</v>
      </c>
    </row>
    <row r="63" spans="1:2" x14ac:dyDescent="0.3">
      <c r="A63" s="1">
        <v>33359</v>
      </c>
      <c r="B63">
        <v>0.95339300000000005</v>
      </c>
    </row>
    <row r="64" spans="1:2" x14ac:dyDescent="0.3">
      <c r="A64" s="1">
        <v>33390</v>
      </c>
      <c r="B64">
        <v>0.88769900000000002</v>
      </c>
    </row>
    <row r="65" spans="1:2" x14ac:dyDescent="0.3">
      <c r="A65" s="1">
        <v>33420</v>
      </c>
      <c r="B65">
        <v>0.95773699999999995</v>
      </c>
    </row>
    <row r="66" spans="1:2" x14ac:dyDescent="0.3">
      <c r="A66" s="1">
        <v>33451</v>
      </c>
      <c r="B66">
        <v>1.1108450000000001</v>
      </c>
    </row>
    <row r="67" spans="1:2" x14ac:dyDescent="0.3">
      <c r="A67" s="1">
        <v>33482</v>
      </c>
      <c r="B67">
        <v>1.1597090000000001</v>
      </c>
    </row>
    <row r="68" spans="1:2" x14ac:dyDescent="0.3">
      <c r="A68" s="1">
        <v>33512</v>
      </c>
      <c r="B68">
        <v>1.2232320000000001</v>
      </c>
    </row>
    <row r="69" spans="1:2" x14ac:dyDescent="0.3">
      <c r="A69" s="1">
        <v>33543</v>
      </c>
      <c r="B69">
        <v>1.2672099999999999</v>
      </c>
    </row>
    <row r="70" spans="1:2" x14ac:dyDescent="0.3">
      <c r="A70" s="1">
        <v>33573</v>
      </c>
      <c r="B70">
        <v>1.4496359999999999</v>
      </c>
    </row>
    <row r="71" spans="1:2" x14ac:dyDescent="0.3">
      <c r="A71" s="1">
        <v>33604</v>
      </c>
      <c r="B71">
        <v>1.56691</v>
      </c>
    </row>
    <row r="72" spans="1:2" x14ac:dyDescent="0.3">
      <c r="A72" s="1">
        <v>33635</v>
      </c>
      <c r="B72">
        <v>1.609259</v>
      </c>
    </row>
    <row r="73" spans="1:2" x14ac:dyDescent="0.3">
      <c r="A73" s="1">
        <v>33664</v>
      </c>
      <c r="B73">
        <v>1.5441069999999999</v>
      </c>
    </row>
    <row r="74" spans="1:2" x14ac:dyDescent="0.3">
      <c r="A74" s="1">
        <v>33695</v>
      </c>
      <c r="B74">
        <v>1.4366049999999999</v>
      </c>
    </row>
    <row r="75" spans="1:2" x14ac:dyDescent="0.3">
      <c r="A75" s="1">
        <v>33725</v>
      </c>
      <c r="B75">
        <v>1.5766830000000001</v>
      </c>
    </row>
    <row r="76" spans="1:2" x14ac:dyDescent="0.3">
      <c r="A76" s="1">
        <v>33756</v>
      </c>
      <c r="B76">
        <v>1.368196</v>
      </c>
    </row>
    <row r="77" spans="1:2" x14ac:dyDescent="0.3">
      <c r="A77" s="1">
        <v>33786</v>
      </c>
      <c r="B77">
        <v>1.4219470000000001</v>
      </c>
    </row>
    <row r="78" spans="1:2" x14ac:dyDescent="0.3">
      <c r="A78" s="1">
        <v>33817</v>
      </c>
      <c r="B78">
        <v>1.456151</v>
      </c>
    </row>
    <row r="79" spans="1:2" x14ac:dyDescent="0.3">
      <c r="A79" s="1">
        <v>33848</v>
      </c>
      <c r="B79">
        <v>1.5734250000000001</v>
      </c>
    </row>
    <row r="80" spans="1:2" x14ac:dyDescent="0.3">
      <c r="A80" s="1">
        <v>33878</v>
      </c>
      <c r="B80">
        <v>1.734677</v>
      </c>
    </row>
    <row r="81" spans="1:2" x14ac:dyDescent="0.3">
      <c r="A81" s="1">
        <v>33909</v>
      </c>
      <c r="B81">
        <v>1.8201890000000001</v>
      </c>
    </row>
    <row r="82" spans="1:2" x14ac:dyDescent="0.3">
      <c r="A82" s="1">
        <v>33939</v>
      </c>
      <c r="B82">
        <v>1.6687110000000001</v>
      </c>
    </row>
    <row r="83" spans="1:2" x14ac:dyDescent="0.3">
      <c r="A83" s="1">
        <v>33970</v>
      </c>
      <c r="B83">
        <v>1.690699</v>
      </c>
    </row>
    <row r="84" spans="1:2" x14ac:dyDescent="0.3">
      <c r="A84" s="1">
        <v>34001</v>
      </c>
      <c r="B84">
        <v>1.6296189999999999</v>
      </c>
    </row>
    <row r="85" spans="1:2" x14ac:dyDescent="0.3">
      <c r="A85" s="1">
        <v>34029</v>
      </c>
      <c r="B85">
        <v>1.8079719999999999</v>
      </c>
    </row>
    <row r="86" spans="1:2" x14ac:dyDescent="0.3">
      <c r="A86" s="1">
        <v>34060</v>
      </c>
      <c r="B86">
        <v>1.671154</v>
      </c>
    </row>
    <row r="87" spans="1:2" x14ac:dyDescent="0.3">
      <c r="A87" s="1">
        <v>34090</v>
      </c>
      <c r="B87">
        <v>1.810416</v>
      </c>
    </row>
    <row r="88" spans="1:2" x14ac:dyDescent="0.3">
      <c r="A88" s="1">
        <v>34121</v>
      </c>
      <c r="B88">
        <v>1.720018</v>
      </c>
    </row>
    <row r="89" spans="1:2" x14ac:dyDescent="0.3">
      <c r="A89" s="1">
        <v>34151</v>
      </c>
      <c r="B89">
        <v>1.4463790000000001</v>
      </c>
    </row>
    <row r="90" spans="1:2" x14ac:dyDescent="0.3">
      <c r="A90" s="1">
        <v>34182</v>
      </c>
      <c r="B90">
        <v>1.468367</v>
      </c>
    </row>
    <row r="91" spans="1:2" x14ac:dyDescent="0.3">
      <c r="A91" s="1">
        <v>34213</v>
      </c>
      <c r="B91">
        <v>1.6125160000000001</v>
      </c>
    </row>
    <row r="92" spans="1:2" x14ac:dyDescent="0.3">
      <c r="A92" s="1">
        <v>34243</v>
      </c>
      <c r="B92">
        <v>1.5660959999999999</v>
      </c>
    </row>
    <row r="93" spans="1:2" x14ac:dyDescent="0.3">
      <c r="A93" s="1">
        <v>34274</v>
      </c>
      <c r="B93">
        <v>1.563653</v>
      </c>
    </row>
    <row r="94" spans="1:2" x14ac:dyDescent="0.3">
      <c r="A94" s="1">
        <v>34304</v>
      </c>
      <c r="B94">
        <v>1.575868</v>
      </c>
    </row>
    <row r="95" spans="1:2" x14ac:dyDescent="0.3">
      <c r="A95" s="1">
        <v>34335</v>
      </c>
      <c r="B95">
        <v>1.663824</v>
      </c>
    </row>
    <row r="96" spans="1:2" x14ac:dyDescent="0.3">
      <c r="A96" s="1">
        <v>34366</v>
      </c>
      <c r="B96">
        <v>1.6125160000000001</v>
      </c>
    </row>
    <row r="97" spans="1:2" x14ac:dyDescent="0.3">
      <c r="A97" s="1">
        <v>34394</v>
      </c>
      <c r="B97">
        <v>1.6564939999999999</v>
      </c>
    </row>
    <row r="98" spans="1:2" x14ac:dyDescent="0.3">
      <c r="A98" s="1">
        <v>34425</v>
      </c>
      <c r="B98">
        <v>1.8079719999999999</v>
      </c>
    </row>
    <row r="99" spans="1:2" x14ac:dyDescent="0.3">
      <c r="A99" s="1">
        <v>34455</v>
      </c>
      <c r="B99">
        <v>2.1011579999999999</v>
      </c>
    </row>
    <row r="100" spans="1:2" x14ac:dyDescent="0.3">
      <c r="A100" s="1">
        <v>34486</v>
      </c>
      <c r="B100">
        <v>2.0180889999999998</v>
      </c>
    </row>
    <row r="101" spans="1:2" x14ac:dyDescent="0.3">
      <c r="A101" s="1">
        <v>34516</v>
      </c>
      <c r="B101">
        <v>2.0132020000000002</v>
      </c>
    </row>
    <row r="102" spans="1:2" x14ac:dyDescent="0.3">
      <c r="A102" s="1">
        <v>34547</v>
      </c>
      <c r="B102">
        <v>2.2721830000000001</v>
      </c>
    </row>
    <row r="103" spans="1:2" x14ac:dyDescent="0.3">
      <c r="A103" s="1">
        <v>34578</v>
      </c>
      <c r="B103">
        <v>2.194</v>
      </c>
    </row>
    <row r="104" spans="1:2" x14ac:dyDescent="0.3">
      <c r="A104" s="1">
        <v>34608</v>
      </c>
      <c r="B104">
        <v>2.4627520000000001</v>
      </c>
    </row>
    <row r="105" spans="1:2" x14ac:dyDescent="0.3">
      <c r="A105" s="1">
        <v>34639</v>
      </c>
      <c r="B105">
        <v>2.4578660000000001</v>
      </c>
    </row>
    <row r="106" spans="1:2" x14ac:dyDescent="0.3">
      <c r="A106" s="1">
        <v>34669</v>
      </c>
      <c r="B106">
        <v>2.3894570000000002</v>
      </c>
    </row>
    <row r="107" spans="1:2" x14ac:dyDescent="0.3">
      <c r="A107" s="1">
        <v>34700</v>
      </c>
      <c r="B107">
        <v>2.3210470000000001</v>
      </c>
    </row>
    <row r="108" spans="1:2" x14ac:dyDescent="0.3">
      <c r="A108" s="1">
        <v>34731</v>
      </c>
      <c r="B108">
        <v>2.4627520000000001</v>
      </c>
    </row>
    <row r="109" spans="1:2" x14ac:dyDescent="0.3">
      <c r="A109" s="1">
        <v>34759</v>
      </c>
      <c r="B109">
        <v>2.7803689999999999</v>
      </c>
    </row>
    <row r="110" spans="1:2" x14ac:dyDescent="0.3">
      <c r="A110" s="1">
        <v>34790</v>
      </c>
      <c r="B110">
        <v>3.1957140000000002</v>
      </c>
    </row>
    <row r="111" spans="1:2" x14ac:dyDescent="0.3">
      <c r="A111" s="1">
        <v>34820</v>
      </c>
      <c r="B111">
        <v>3.310546</v>
      </c>
    </row>
    <row r="112" spans="1:2" x14ac:dyDescent="0.3">
      <c r="A112" s="1">
        <v>34851</v>
      </c>
      <c r="B112">
        <v>3.5328750000000002</v>
      </c>
    </row>
    <row r="113" spans="1:2" x14ac:dyDescent="0.3">
      <c r="A113" s="1">
        <v>34881</v>
      </c>
      <c r="B113">
        <v>3.537763</v>
      </c>
    </row>
    <row r="114" spans="1:2" x14ac:dyDescent="0.3">
      <c r="A114" s="1">
        <v>34912</v>
      </c>
      <c r="B114">
        <v>3.6159439999999998</v>
      </c>
    </row>
    <row r="115" spans="1:2" x14ac:dyDescent="0.3">
      <c r="A115" s="1">
        <v>34943</v>
      </c>
      <c r="B115">
        <v>3.537763</v>
      </c>
    </row>
    <row r="116" spans="1:2" x14ac:dyDescent="0.3">
      <c r="A116" s="1">
        <v>34973</v>
      </c>
      <c r="B116">
        <v>3.9091309999999999</v>
      </c>
    </row>
    <row r="117" spans="1:2" x14ac:dyDescent="0.3">
      <c r="A117" s="1">
        <v>35004</v>
      </c>
      <c r="B117">
        <v>3.4058299999999999</v>
      </c>
    </row>
    <row r="118" spans="1:2" x14ac:dyDescent="0.3">
      <c r="A118" s="1">
        <v>35034</v>
      </c>
      <c r="B118">
        <v>3.4302619999999999</v>
      </c>
    </row>
    <row r="119" spans="1:2" x14ac:dyDescent="0.3">
      <c r="A119" s="1">
        <v>35065</v>
      </c>
      <c r="B119">
        <v>3.6159439999999998</v>
      </c>
    </row>
    <row r="120" spans="1:2" x14ac:dyDescent="0.3">
      <c r="A120" s="1">
        <v>35096</v>
      </c>
      <c r="B120">
        <v>3.8578250000000001</v>
      </c>
    </row>
    <row r="121" spans="1:2" x14ac:dyDescent="0.3">
      <c r="A121" s="1">
        <v>35125</v>
      </c>
      <c r="B121">
        <v>4.0312919999999997</v>
      </c>
    </row>
    <row r="122" spans="1:2" x14ac:dyDescent="0.3">
      <c r="A122" s="1">
        <v>35156</v>
      </c>
      <c r="B122">
        <v>4.427092</v>
      </c>
    </row>
    <row r="123" spans="1:2" x14ac:dyDescent="0.3">
      <c r="A123" s="1">
        <v>35186</v>
      </c>
      <c r="B123">
        <v>4.642093</v>
      </c>
    </row>
    <row r="124" spans="1:2" x14ac:dyDescent="0.3">
      <c r="A124" s="1">
        <v>35217</v>
      </c>
      <c r="B124">
        <v>4.6958419999999998</v>
      </c>
    </row>
    <row r="125" spans="1:2" x14ac:dyDescent="0.3">
      <c r="A125" s="1">
        <v>35247</v>
      </c>
      <c r="B125">
        <v>4.6078890000000001</v>
      </c>
    </row>
    <row r="126" spans="1:2" x14ac:dyDescent="0.3">
      <c r="A126" s="1">
        <v>35278</v>
      </c>
      <c r="B126">
        <v>4.7886829999999998</v>
      </c>
    </row>
    <row r="127" spans="1:2" x14ac:dyDescent="0.3">
      <c r="A127" s="1">
        <v>35309</v>
      </c>
      <c r="B127">
        <v>5.1551679999999998</v>
      </c>
    </row>
    <row r="128" spans="1:2" x14ac:dyDescent="0.3">
      <c r="A128" s="1">
        <v>35339</v>
      </c>
      <c r="B128">
        <v>5.3652819999999997</v>
      </c>
    </row>
    <row r="129" spans="1:2" x14ac:dyDescent="0.3">
      <c r="A129" s="1">
        <v>35370</v>
      </c>
      <c r="B129">
        <v>6.1324500000000004</v>
      </c>
    </row>
    <row r="130" spans="1:2" x14ac:dyDescent="0.3">
      <c r="A130" s="1">
        <v>35400</v>
      </c>
      <c r="B130">
        <v>6.4598380000000004</v>
      </c>
    </row>
    <row r="131" spans="1:2" x14ac:dyDescent="0.3">
      <c r="A131" s="1">
        <v>35431</v>
      </c>
      <c r="B131">
        <v>7.9746269999999999</v>
      </c>
    </row>
    <row r="132" spans="1:2" x14ac:dyDescent="0.3">
      <c r="A132" s="1">
        <v>35462</v>
      </c>
      <c r="B132">
        <v>7.6228049999999996</v>
      </c>
    </row>
    <row r="133" spans="1:2" x14ac:dyDescent="0.3">
      <c r="A133" s="1">
        <v>35490</v>
      </c>
      <c r="B133">
        <v>7.1683649999999997</v>
      </c>
    </row>
    <row r="134" spans="1:2" x14ac:dyDescent="0.3">
      <c r="A134" s="1">
        <v>35521</v>
      </c>
      <c r="B134">
        <v>9.4991869999999992</v>
      </c>
    </row>
    <row r="135" spans="1:2" x14ac:dyDescent="0.3">
      <c r="A135" s="1">
        <v>35551</v>
      </c>
      <c r="B135">
        <v>9.6946449999999995</v>
      </c>
    </row>
    <row r="136" spans="1:2" x14ac:dyDescent="0.3">
      <c r="A136" s="1">
        <v>35582</v>
      </c>
      <c r="B136">
        <v>9.8803289999999997</v>
      </c>
    </row>
    <row r="137" spans="1:2" x14ac:dyDescent="0.3">
      <c r="A137" s="1">
        <v>35612</v>
      </c>
      <c r="B137">
        <v>11.053067</v>
      </c>
    </row>
    <row r="138" spans="1:2" x14ac:dyDescent="0.3">
      <c r="A138" s="1">
        <v>35643</v>
      </c>
      <c r="B138">
        <v>10.334762</v>
      </c>
    </row>
    <row r="139" spans="1:2" x14ac:dyDescent="0.3">
      <c r="A139" s="1">
        <v>35674</v>
      </c>
      <c r="B139">
        <v>10.344536</v>
      </c>
    </row>
    <row r="140" spans="1:2" x14ac:dyDescent="0.3">
      <c r="A140" s="1">
        <v>35704</v>
      </c>
      <c r="B140">
        <v>10.163738</v>
      </c>
    </row>
    <row r="141" spans="1:2" x14ac:dyDescent="0.3">
      <c r="A141" s="1">
        <v>35735</v>
      </c>
      <c r="B141">
        <v>11.062841000000001</v>
      </c>
    </row>
    <row r="142" spans="1:2" x14ac:dyDescent="0.3">
      <c r="A142" s="1">
        <v>35765</v>
      </c>
      <c r="B142">
        <v>10.105105999999999</v>
      </c>
    </row>
    <row r="143" spans="1:2" x14ac:dyDescent="0.3">
      <c r="A143" s="1">
        <v>35796</v>
      </c>
      <c r="B143">
        <v>11.663867</v>
      </c>
    </row>
    <row r="144" spans="1:2" x14ac:dyDescent="0.3">
      <c r="A144" s="1">
        <v>35827</v>
      </c>
      <c r="B144">
        <v>13.251953</v>
      </c>
    </row>
    <row r="145" spans="1:2" x14ac:dyDescent="0.3">
      <c r="A145" s="1">
        <v>35855</v>
      </c>
      <c r="B145">
        <v>13.994685</v>
      </c>
    </row>
    <row r="146" spans="1:2" x14ac:dyDescent="0.3">
      <c r="A146" s="1">
        <v>35886</v>
      </c>
      <c r="B146">
        <v>14.092416</v>
      </c>
    </row>
    <row r="147" spans="1:2" x14ac:dyDescent="0.3">
      <c r="A147" s="1">
        <v>35916</v>
      </c>
      <c r="B147">
        <v>13.261723999999999</v>
      </c>
    </row>
    <row r="148" spans="1:2" x14ac:dyDescent="0.3">
      <c r="A148" s="1">
        <v>35947</v>
      </c>
      <c r="B148">
        <v>16.946089000000001</v>
      </c>
    </row>
    <row r="149" spans="1:2" x14ac:dyDescent="0.3">
      <c r="A149" s="1">
        <v>35977</v>
      </c>
      <c r="B149">
        <v>17.190404999999998</v>
      </c>
    </row>
    <row r="150" spans="1:2" x14ac:dyDescent="0.3">
      <c r="A150" s="1">
        <v>36008</v>
      </c>
      <c r="B150">
        <v>15.001289</v>
      </c>
    </row>
    <row r="151" spans="1:2" x14ac:dyDescent="0.3">
      <c r="A151" s="1">
        <v>36039</v>
      </c>
      <c r="B151">
        <v>17.209951</v>
      </c>
    </row>
    <row r="152" spans="1:2" x14ac:dyDescent="0.3">
      <c r="A152" s="1">
        <v>36069</v>
      </c>
      <c r="B152">
        <v>16.555178000000002</v>
      </c>
    </row>
    <row r="153" spans="1:2" x14ac:dyDescent="0.3">
      <c r="A153" s="1">
        <v>36100</v>
      </c>
      <c r="B153">
        <v>19.076563</v>
      </c>
    </row>
    <row r="154" spans="1:2" x14ac:dyDescent="0.3">
      <c r="A154" s="1">
        <v>36130</v>
      </c>
      <c r="B154">
        <v>21.685904000000001</v>
      </c>
    </row>
    <row r="155" spans="1:2" x14ac:dyDescent="0.3">
      <c r="A155" s="1">
        <v>36161</v>
      </c>
      <c r="B155">
        <v>27.36392</v>
      </c>
    </row>
    <row r="156" spans="1:2" x14ac:dyDescent="0.3">
      <c r="A156" s="1">
        <v>36192</v>
      </c>
      <c r="B156">
        <v>23.474335</v>
      </c>
    </row>
    <row r="157" spans="1:2" x14ac:dyDescent="0.3">
      <c r="A157" s="1">
        <v>36220</v>
      </c>
      <c r="B157">
        <v>28.028471</v>
      </c>
    </row>
    <row r="158" spans="1:2" x14ac:dyDescent="0.3">
      <c r="A158" s="1">
        <v>36251</v>
      </c>
      <c r="B158">
        <v>25.428899999999999</v>
      </c>
    </row>
    <row r="159" spans="1:2" x14ac:dyDescent="0.3">
      <c r="A159" s="1">
        <v>36281</v>
      </c>
      <c r="B159">
        <v>25.233433000000002</v>
      </c>
    </row>
    <row r="160" spans="1:2" x14ac:dyDescent="0.3">
      <c r="A160" s="1">
        <v>36312</v>
      </c>
      <c r="B160">
        <v>28.204367000000001</v>
      </c>
    </row>
    <row r="161" spans="1:2" x14ac:dyDescent="0.3">
      <c r="A161" s="1">
        <v>36342</v>
      </c>
      <c r="B161">
        <v>26.836186999999999</v>
      </c>
    </row>
    <row r="162" spans="1:2" x14ac:dyDescent="0.3">
      <c r="A162" s="1">
        <v>36373</v>
      </c>
      <c r="B162">
        <v>28.947126000000001</v>
      </c>
    </row>
    <row r="163" spans="1:2" x14ac:dyDescent="0.3">
      <c r="A163" s="1">
        <v>36404</v>
      </c>
      <c r="B163">
        <v>28.321646000000001</v>
      </c>
    </row>
    <row r="164" spans="1:2" x14ac:dyDescent="0.3">
      <c r="A164" s="1">
        <v>36434</v>
      </c>
      <c r="B164">
        <v>28.947126000000001</v>
      </c>
    </row>
    <row r="165" spans="1:2" x14ac:dyDescent="0.3">
      <c r="A165" s="1">
        <v>36465</v>
      </c>
      <c r="B165">
        <v>28.473127000000002</v>
      </c>
    </row>
    <row r="166" spans="1:2" x14ac:dyDescent="0.3">
      <c r="A166" s="1">
        <v>36495</v>
      </c>
      <c r="B166">
        <v>36.511291999999997</v>
      </c>
    </row>
    <row r="167" spans="1:2" x14ac:dyDescent="0.3">
      <c r="A167" s="1">
        <v>36526</v>
      </c>
      <c r="B167">
        <v>30.608506999999999</v>
      </c>
    </row>
    <row r="168" spans="1:2" x14ac:dyDescent="0.3">
      <c r="A168" s="1">
        <v>36557</v>
      </c>
      <c r="B168">
        <v>27.950278999999998</v>
      </c>
    </row>
    <row r="169" spans="1:2" x14ac:dyDescent="0.3">
      <c r="A169" s="1">
        <v>36586</v>
      </c>
      <c r="B169">
        <v>33.227612000000001</v>
      </c>
    </row>
    <row r="170" spans="1:2" x14ac:dyDescent="0.3">
      <c r="A170" s="1">
        <v>36617</v>
      </c>
      <c r="B170">
        <v>21.812946</v>
      </c>
    </row>
    <row r="171" spans="1:2" x14ac:dyDescent="0.3">
      <c r="A171" s="1">
        <v>36647</v>
      </c>
      <c r="B171">
        <v>19.565207999999998</v>
      </c>
    </row>
    <row r="172" spans="1:2" x14ac:dyDescent="0.3">
      <c r="A172" s="1">
        <v>36678</v>
      </c>
      <c r="B172">
        <v>25.018439999999998</v>
      </c>
    </row>
    <row r="173" spans="1:2" x14ac:dyDescent="0.3">
      <c r="A173" s="1">
        <v>36708</v>
      </c>
      <c r="B173">
        <v>21.832492999999999</v>
      </c>
    </row>
    <row r="174" spans="1:2" x14ac:dyDescent="0.3">
      <c r="A174" s="1">
        <v>36739</v>
      </c>
      <c r="B174">
        <v>21.832492999999999</v>
      </c>
    </row>
    <row r="175" spans="1:2" x14ac:dyDescent="0.3">
      <c r="A175" s="1">
        <v>36770</v>
      </c>
      <c r="B175">
        <v>18.861554999999999</v>
      </c>
    </row>
    <row r="176" spans="1:2" x14ac:dyDescent="0.3">
      <c r="A176" s="1">
        <v>36800</v>
      </c>
      <c r="B176">
        <v>21.539307000000001</v>
      </c>
    </row>
    <row r="177" spans="1:2" x14ac:dyDescent="0.3">
      <c r="A177" s="1">
        <v>36831</v>
      </c>
      <c r="B177">
        <v>17.942910999999999</v>
      </c>
    </row>
    <row r="178" spans="1:2" x14ac:dyDescent="0.3">
      <c r="A178" s="1">
        <v>36861</v>
      </c>
      <c r="B178">
        <v>13.564688</v>
      </c>
    </row>
    <row r="179" spans="1:2" x14ac:dyDescent="0.3">
      <c r="A179" s="1">
        <v>36892</v>
      </c>
      <c r="B179">
        <v>19.096098000000001</v>
      </c>
    </row>
    <row r="180" spans="1:2" x14ac:dyDescent="0.3">
      <c r="A180" s="1">
        <v>36923</v>
      </c>
      <c r="B180">
        <v>18.451096</v>
      </c>
    </row>
    <row r="181" spans="1:2" x14ac:dyDescent="0.3">
      <c r="A181" s="1">
        <v>36951</v>
      </c>
      <c r="B181">
        <v>17.102447999999999</v>
      </c>
    </row>
    <row r="182" spans="1:2" x14ac:dyDescent="0.3">
      <c r="A182" s="1">
        <v>36982</v>
      </c>
      <c r="B182">
        <v>21.18749</v>
      </c>
    </row>
    <row r="183" spans="1:2" x14ac:dyDescent="0.3">
      <c r="A183" s="1">
        <v>37012</v>
      </c>
      <c r="B183">
        <v>21.634696999999999</v>
      </c>
    </row>
    <row r="184" spans="1:2" x14ac:dyDescent="0.3">
      <c r="A184" s="1">
        <v>37043</v>
      </c>
      <c r="B184">
        <v>22.829325000000001</v>
      </c>
    </row>
    <row r="185" spans="1:2" x14ac:dyDescent="0.3">
      <c r="A185" s="1">
        <v>37073</v>
      </c>
      <c r="B185">
        <v>20.699636000000002</v>
      </c>
    </row>
    <row r="186" spans="1:2" x14ac:dyDescent="0.3">
      <c r="A186" s="1">
        <v>37104</v>
      </c>
      <c r="B186">
        <v>17.841265</v>
      </c>
    </row>
    <row r="187" spans="1:2" x14ac:dyDescent="0.3">
      <c r="A187" s="1">
        <v>37135</v>
      </c>
      <c r="B187">
        <v>16.002419</v>
      </c>
    </row>
    <row r="188" spans="1:2" x14ac:dyDescent="0.3">
      <c r="A188" s="1">
        <v>37165</v>
      </c>
      <c r="B188">
        <v>18.185278</v>
      </c>
    </row>
    <row r="189" spans="1:2" x14ac:dyDescent="0.3">
      <c r="A189" s="1">
        <v>37196</v>
      </c>
      <c r="B189">
        <v>20.080425000000002</v>
      </c>
    </row>
    <row r="190" spans="1:2" x14ac:dyDescent="0.3">
      <c r="A190" s="1">
        <v>37226</v>
      </c>
      <c r="B190">
        <v>20.718395000000001</v>
      </c>
    </row>
    <row r="191" spans="1:2" x14ac:dyDescent="0.3">
      <c r="A191" s="1">
        <v>37257</v>
      </c>
      <c r="B191">
        <v>19.924063</v>
      </c>
    </row>
    <row r="192" spans="1:2" x14ac:dyDescent="0.3">
      <c r="A192" s="1">
        <v>37288</v>
      </c>
      <c r="B192">
        <v>18.244682000000001</v>
      </c>
    </row>
    <row r="193" spans="1:2" x14ac:dyDescent="0.3">
      <c r="A193" s="1">
        <v>37316</v>
      </c>
      <c r="B193">
        <v>18.860775</v>
      </c>
    </row>
    <row r="194" spans="1:2" x14ac:dyDescent="0.3">
      <c r="A194" s="1">
        <v>37347</v>
      </c>
      <c r="B194">
        <v>16.343299999999999</v>
      </c>
    </row>
    <row r="195" spans="1:2" x14ac:dyDescent="0.3">
      <c r="A195" s="1">
        <v>37377</v>
      </c>
      <c r="B195">
        <v>15.921112000000001</v>
      </c>
    </row>
    <row r="196" spans="1:2" x14ac:dyDescent="0.3">
      <c r="A196" s="1">
        <v>37408</v>
      </c>
      <c r="B196">
        <v>17.106356000000002</v>
      </c>
    </row>
    <row r="197" spans="1:2" x14ac:dyDescent="0.3">
      <c r="A197" s="1">
        <v>37438</v>
      </c>
      <c r="B197">
        <v>15.004808000000001</v>
      </c>
    </row>
    <row r="198" spans="1:2" x14ac:dyDescent="0.3">
      <c r="A198" s="1">
        <v>37469</v>
      </c>
      <c r="B198">
        <v>15.348813</v>
      </c>
    </row>
    <row r="199" spans="1:2" x14ac:dyDescent="0.3">
      <c r="A199" s="1">
        <v>37500</v>
      </c>
      <c r="B199">
        <v>13.678832</v>
      </c>
    </row>
    <row r="200" spans="1:2" x14ac:dyDescent="0.3">
      <c r="A200" s="1">
        <v>37530</v>
      </c>
      <c r="B200">
        <v>16.721703999999999</v>
      </c>
    </row>
    <row r="201" spans="1:2" x14ac:dyDescent="0.3">
      <c r="A201" s="1">
        <v>37561</v>
      </c>
      <c r="B201">
        <v>18.038295999999999</v>
      </c>
    </row>
    <row r="202" spans="1:2" x14ac:dyDescent="0.3">
      <c r="A202" s="1">
        <v>37591</v>
      </c>
      <c r="B202">
        <v>16.168161000000001</v>
      </c>
    </row>
    <row r="203" spans="1:2" x14ac:dyDescent="0.3">
      <c r="A203" s="1">
        <v>37622</v>
      </c>
      <c r="B203">
        <v>14.842186</v>
      </c>
    </row>
    <row r="204" spans="1:2" x14ac:dyDescent="0.3">
      <c r="A204" s="1">
        <v>37653</v>
      </c>
      <c r="B204">
        <v>14.823421</v>
      </c>
    </row>
    <row r="205" spans="1:2" x14ac:dyDescent="0.3">
      <c r="A205" s="1">
        <v>37681</v>
      </c>
      <c r="B205">
        <v>15.191098999999999</v>
      </c>
    </row>
    <row r="206" spans="1:2" x14ac:dyDescent="0.3">
      <c r="A206" s="1">
        <v>37712</v>
      </c>
      <c r="B206">
        <v>16.044464000000001</v>
      </c>
    </row>
    <row r="207" spans="1:2" x14ac:dyDescent="0.3">
      <c r="A207" s="1">
        <v>37742</v>
      </c>
      <c r="B207">
        <v>15.442081999999999</v>
      </c>
    </row>
    <row r="208" spans="1:2" x14ac:dyDescent="0.3">
      <c r="A208" s="1">
        <v>37773</v>
      </c>
      <c r="B208">
        <v>16.088387000000001</v>
      </c>
    </row>
    <row r="209" spans="1:2" x14ac:dyDescent="0.3">
      <c r="A209" s="1">
        <v>37803</v>
      </c>
      <c r="B209">
        <v>16.571536999999999</v>
      </c>
    </row>
    <row r="210" spans="1:2" x14ac:dyDescent="0.3">
      <c r="A210" s="1">
        <v>37834</v>
      </c>
      <c r="B210">
        <v>16.640564000000001</v>
      </c>
    </row>
    <row r="211" spans="1:2" x14ac:dyDescent="0.3">
      <c r="A211" s="1">
        <v>37865</v>
      </c>
      <c r="B211">
        <v>17.443722000000001</v>
      </c>
    </row>
    <row r="212" spans="1:2" x14ac:dyDescent="0.3">
      <c r="A212" s="1">
        <v>37895</v>
      </c>
      <c r="B212">
        <v>16.402114999999998</v>
      </c>
    </row>
    <row r="213" spans="1:2" x14ac:dyDescent="0.3">
      <c r="A213" s="1">
        <v>37926</v>
      </c>
      <c r="B213">
        <v>16.222812999999999</v>
      </c>
    </row>
    <row r="214" spans="1:2" x14ac:dyDescent="0.3">
      <c r="A214" s="1">
        <v>37956</v>
      </c>
      <c r="B214">
        <v>17.270254000000001</v>
      </c>
    </row>
    <row r="215" spans="1:2" x14ac:dyDescent="0.3">
      <c r="A215" s="1">
        <v>37987</v>
      </c>
      <c r="B215">
        <v>17.446937999999999</v>
      </c>
    </row>
    <row r="216" spans="1:2" x14ac:dyDescent="0.3">
      <c r="A216" s="1">
        <v>38018</v>
      </c>
      <c r="B216">
        <v>16.740227000000001</v>
      </c>
    </row>
    <row r="217" spans="1:2" x14ac:dyDescent="0.3">
      <c r="A217" s="1">
        <v>38047</v>
      </c>
      <c r="B217">
        <v>15.730639</v>
      </c>
    </row>
    <row r="218" spans="1:2" x14ac:dyDescent="0.3">
      <c r="A218" s="1">
        <v>38078</v>
      </c>
      <c r="B218">
        <v>16.487826999999999</v>
      </c>
    </row>
    <row r="219" spans="1:2" x14ac:dyDescent="0.3">
      <c r="A219" s="1">
        <v>38108</v>
      </c>
      <c r="B219">
        <v>16.550923999999998</v>
      </c>
    </row>
    <row r="220" spans="1:2" x14ac:dyDescent="0.3">
      <c r="A220" s="1">
        <v>38139</v>
      </c>
      <c r="B220">
        <v>18.021135000000001</v>
      </c>
    </row>
    <row r="221" spans="1:2" x14ac:dyDescent="0.3">
      <c r="A221" s="1">
        <v>38169</v>
      </c>
      <c r="B221">
        <v>17.976973999999998</v>
      </c>
    </row>
    <row r="222" spans="1:2" x14ac:dyDescent="0.3">
      <c r="A222" s="1">
        <v>38200</v>
      </c>
      <c r="B222">
        <v>17.226085999999999</v>
      </c>
    </row>
    <row r="223" spans="1:2" x14ac:dyDescent="0.3">
      <c r="A223" s="1">
        <v>38231</v>
      </c>
      <c r="B223">
        <v>17.498404000000001</v>
      </c>
    </row>
    <row r="224" spans="1:2" x14ac:dyDescent="0.3">
      <c r="A224" s="1">
        <v>38261</v>
      </c>
      <c r="B224">
        <v>17.700918000000001</v>
      </c>
    </row>
    <row r="225" spans="1:2" x14ac:dyDescent="0.3">
      <c r="A225" s="1">
        <v>38292</v>
      </c>
      <c r="B225">
        <v>16.966805999999998</v>
      </c>
    </row>
    <row r="226" spans="1:2" x14ac:dyDescent="0.3">
      <c r="A226" s="1">
        <v>38322</v>
      </c>
      <c r="B226">
        <v>18.846713999999999</v>
      </c>
    </row>
    <row r="227" spans="1:2" x14ac:dyDescent="0.3">
      <c r="A227" s="1">
        <v>38353</v>
      </c>
      <c r="B227">
        <v>18.536362</v>
      </c>
    </row>
    <row r="228" spans="1:2" x14ac:dyDescent="0.3">
      <c r="A228" s="1">
        <v>38384</v>
      </c>
      <c r="B228">
        <v>17.746390999999999</v>
      </c>
    </row>
    <row r="229" spans="1:2" x14ac:dyDescent="0.3">
      <c r="A229" s="1">
        <v>38412</v>
      </c>
      <c r="B229">
        <v>17.100695000000002</v>
      </c>
    </row>
    <row r="230" spans="1:2" x14ac:dyDescent="0.3">
      <c r="A230" s="1">
        <v>38443</v>
      </c>
      <c r="B230">
        <v>17.900189999999998</v>
      </c>
    </row>
    <row r="231" spans="1:2" x14ac:dyDescent="0.3">
      <c r="A231" s="1">
        <v>38473</v>
      </c>
      <c r="B231">
        <v>18.253938999999999</v>
      </c>
    </row>
    <row r="232" spans="1:2" x14ac:dyDescent="0.3">
      <c r="A232" s="1">
        <v>38504</v>
      </c>
      <c r="B232">
        <v>17.630469999999999</v>
      </c>
    </row>
    <row r="233" spans="1:2" x14ac:dyDescent="0.3">
      <c r="A233" s="1">
        <v>38534</v>
      </c>
      <c r="B233">
        <v>18.176991999999998</v>
      </c>
    </row>
    <row r="234" spans="1:2" x14ac:dyDescent="0.3">
      <c r="A234" s="1">
        <v>38565</v>
      </c>
      <c r="B234">
        <v>19.433278999999999</v>
      </c>
    </row>
    <row r="235" spans="1:2" x14ac:dyDescent="0.3">
      <c r="A235" s="1">
        <v>38596</v>
      </c>
      <c r="B235">
        <v>18.316334000000001</v>
      </c>
    </row>
    <row r="236" spans="1:2" x14ac:dyDescent="0.3">
      <c r="A236" s="1">
        <v>38626</v>
      </c>
      <c r="B236">
        <v>18.294981</v>
      </c>
    </row>
    <row r="237" spans="1:2" x14ac:dyDescent="0.3">
      <c r="A237" s="1">
        <v>38657</v>
      </c>
      <c r="B237">
        <v>19.704464000000002</v>
      </c>
    </row>
    <row r="238" spans="1:2" x14ac:dyDescent="0.3">
      <c r="A238" s="1">
        <v>38687</v>
      </c>
      <c r="B238">
        <v>18.669891</v>
      </c>
    </row>
    <row r="239" spans="1:2" x14ac:dyDescent="0.3">
      <c r="A239" s="1">
        <v>38718</v>
      </c>
      <c r="B239">
        <v>20.097797</v>
      </c>
    </row>
    <row r="240" spans="1:2" x14ac:dyDescent="0.3">
      <c r="A240" s="1">
        <v>38749</v>
      </c>
      <c r="B240">
        <v>19.183941000000001</v>
      </c>
    </row>
    <row r="241" spans="1:2" x14ac:dyDescent="0.3">
      <c r="A241" s="1">
        <v>38777</v>
      </c>
      <c r="B241">
        <v>19.492505999999999</v>
      </c>
    </row>
    <row r="242" spans="1:2" x14ac:dyDescent="0.3">
      <c r="A242" s="1">
        <v>38808</v>
      </c>
      <c r="B242">
        <v>17.300407</v>
      </c>
    </row>
    <row r="243" spans="1:2" x14ac:dyDescent="0.3">
      <c r="A243" s="1">
        <v>38838</v>
      </c>
      <c r="B243">
        <v>16.225849</v>
      </c>
    </row>
    <row r="244" spans="1:2" x14ac:dyDescent="0.3">
      <c r="A244" s="1">
        <v>38869</v>
      </c>
      <c r="B244">
        <v>16.756577</v>
      </c>
    </row>
    <row r="245" spans="1:2" x14ac:dyDescent="0.3">
      <c r="A245" s="1">
        <v>38899</v>
      </c>
      <c r="B245">
        <v>17.303139000000002</v>
      </c>
    </row>
    <row r="246" spans="1:2" x14ac:dyDescent="0.3">
      <c r="A246" s="1">
        <v>38930</v>
      </c>
      <c r="B246">
        <v>18.482583999999999</v>
      </c>
    </row>
    <row r="247" spans="1:2" x14ac:dyDescent="0.3">
      <c r="A247" s="1">
        <v>38961</v>
      </c>
      <c r="B247">
        <v>19.741623000000001</v>
      </c>
    </row>
    <row r="248" spans="1:2" x14ac:dyDescent="0.3">
      <c r="A248" s="1">
        <v>38991</v>
      </c>
      <c r="B248">
        <v>20.723300999999999</v>
      </c>
    </row>
    <row r="249" spans="1:2" x14ac:dyDescent="0.3">
      <c r="A249" s="1">
        <v>39022</v>
      </c>
      <c r="B249">
        <v>21.19248</v>
      </c>
    </row>
    <row r="250" spans="1:2" x14ac:dyDescent="0.3">
      <c r="A250" s="1">
        <v>39052</v>
      </c>
      <c r="B250">
        <v>21.627077</v>
      </c>
    </row>
    <row r="251" spans="1:2" x14ac:dyDescent="0.3">
      <c r="A251" s="1">
        <v>39083</v>
      </c>
      <c r="B251">
        <v>22.351351000000001</v>
      </c>
    </row>
    <row r="252" spans="1:2" x14ac:dyDescent="0.3">
      <c r="A252" s="1">
        <v>39114</v>
      </c>
      <c r="B252">
        <v>20.403034000000002</v>
      </c>
    </row>
    <row r="253" spans="1:2" x14ac:dyDescent="0.3">
      <c r="A253" s="1">
        <v>39142</v>
      </c>
      <c r="B253">
        <v>20.255738999999998</v>
      </c>
    </row>
    <row r="254" spans="1:2" x14ac:dyDescent="0.3">
      <c r="A254" s="1">
        <v>39173</v>
      </c>
      <c r="B254">
        <v>21.760206</v>
      </c>
    </row>
    <row r="255" spans="1:2" x14ac:dyDescent="0.3">
      <c r="A255" s="1">
        <v>39203</v>
      </c>
      <c r="B255">
        <v>22.305299999999999</v>
      </c>
    </row>
    <row r="256" spans="1:2" x14ac:dyDescent="0.3">
      <c r="A256" s="1">
        <v>39234</v>
      </c>
      <c r="B256">
        <v>21.488001000000001</v>
      </c>
    </row>
    <row r="257" spans="1:2" x14ac:dyDescent="0.3">
      <c r="A257" s="1">
        <v>39264</v>
      </c>
      <c r="B257">
        <v>21.138002</v>
      </c>
    </row>
    <row r="258" spans="1:2" x14ac:dyDescent="0.3">
      <c r="A258" s="1">
        <v>39295</v>
      </c>
      <c r="B258">
        <v>20.948425</v>
      </c>
    </row>
    <row r="259" spans="1:2" x14ac:dyDescent="0.3">
      <c r="A259" s="1">
        <v>39326</v>
      </c>
      <c r="B259">
        <v>21.555993999999998</v>
      </c>
    </row>
    <row r="260" spans="1:2" x14ac:dyDescent="0.3">
      <c r="A260" s="1">
        <v>39356</v>
      </c>
      <c r="B260">
        <v>26.934023</v>
      </c>
    </row>
    <row r="261" spans="1:2" x14ac:dyDescent="0.3">
      <c r="A261" s="1">
        <v>39387</v>
      </c>
      <c r="B261">
        <v>24.585249000000001</v>
      </c>
    </row>
    <row r="262" spans="1:2" x14ac:dyDescent="0.3">
      <c r="A262" s="1">
        <v>39417</v>
      </c>
      <c r="B262">
        <v>26.134781</v>
      </c>
    </row>
    <row r="263" spans="1:2" x14ac:dyDescent="0.3">
      <c r="A263" s="1">
        <v>39448</v>
      </c>
      <c r="B263">
        <v>23.932410999999998</v>
      </c>
    </row>
    <row r="264" spans="1:2" x14ac:dyDescent="0.3">
      <c r="A264" s="1">
        <v>39479</v>
      </c>
      <c r="B264">
        <v>19.968149</v>
      </c>
    </row>
    <row r="265" spans="1:2" x14ac:dyDescent="0.3">
      <c r="A265" s="1">
        <v>39508</v>
      </c>
      <c r="B265">
        <v>20.915365000000001</v>
      </c>
    </row>
    <row r="266" spans="1:2" x14ac:dyDescent="0.3">
      <c r="A266" s="1">
        <v>39539</v>
      </c>
      <c r="B266">
        <v>21.018536000000001</v>
      </c>
    </row>
    <row r="267" spans="1:2" x14ac:dyDescent="0.3">
      <c r="A267" s="1">
        <v>39569</v>
      </c>
      <c r="B267">
        <v>20.871144999999999</v>
      </c>
    </row>
    <row r="268" spans="1:2" x14ac:dyDescent="0.3">
      <c r="A268" s="1">
        <v>39600</v>
      </c>
      <c r="B268">
        <v>20.348831000000001</v>
      </c>
    </row>
    <row r="269" spans="1:2" x14ac:dyDescent="0.3">
      <c r="A269" s="1">
        <v>39630</v>
      </c>
      <c r="B269">
        <v>19.024792000000001</v>
      </c>
    </row>
    <row r="270" spans="1:2" x14ac:dyDescent="0.3">
      <c r="A270" s="1">
        <v>39661</v>
      </c>
      <c r="B270">
        <v>20.186105999999999</v>
      </c>
    </row>
    <row r="271" spans="1:2" x14ac:dyDescent="0.3">
      <c r="A271" s="1">
        <v>39692</v>
      </c>
      <c r="B271">
        <v>19.821031999999999</v>
      </c>
    </row>
    <row r="272" spans="1:2" x14ac:dyDescent="0.3">
      <c r="A272" s="1">
        <v>39722</v>
      </c>
      <c r="B272">
        <v>16.583120000000001</v>
      </c>
    </row>
    <row r="273" spans="1:2" x14ac:dyDescent="0.3">
      <c r="A273" s="1">
        <v>39753</v>
      </c>
      <c r="B273">
        <v>15.016156000000001</v>
      </c>
    </row>
    <row r="274" spans="1:2" x14ac:dyDescent="0.3">
      <c r="A274" s="1">
        <v>39783</v>
      </c>
      <c r="B274">
        <v>14.534697</v>
      </c>
    </row>
    <row r="275" spans="1:2" x14ac:dyDescent="0.3">
      <c r="A275" s="1">
        <v>39814</v>
      </c>
      <c r="B275">
        <v>12.78515</v>
      </c>
    </row>
    <row r="276" spans="1:2" x14ac:dyDescent="0.3">
      <c r="A276" s="1">
        <v>39845</v>
      </c>
      <c r="B276">
        <v>12.074864</v>
      </c>
    </row>
    <row r="277" spans="1:2" x14ac:dyDescent="0.3">
      <c r="A277" s="1">
        <v>39873</v>
      </c>
      <c r="B277">
        <v>13.828868</v>
      </c>
    </row>
    <row r="278" spans="1:2" x14ac:dyDescent="0.3">
      <c r="A278" s="1">
        <v>39904</v>
      </c>
      <c r="B278">
        <v>15.251647</v>
      </c>
    </row>
    <row r="279" spans="1:2" x14ac:dyDescent="0.3">
      <c r="A279" s="1">
        <v>39934</v>
      </c>
      <c r="B279">
        <v>15.725908</v>
      </c>
    </row>
    <row r="280" spans="1:2" x14ac:dyDescent="0.3">
      <c r="A280" s="1">
        <v>39965</v>
      </c>
      <c r="B280">
        <v>18.007608000000001</v>
      </c>
    </row>
    <row r="281" spans="1:2" x14ac:dyDescent="0.3">
      <c r="A281" s="1">
        <v>39995</v>
      </c>
      <c r="B281">
        <v>17.818203</v>
      </c>
    </row>
    <row r="282" spans="1:2" x14ac:dyDescent="0.3">
      <c r="A282" s="1">
        <v>40026</v>
      </c>
      <c r="B282">
        <v>18.674272999999999</v>
      </c>
    </row>
    <row r="283" spans="1:2" x14ac:dyDescent="0.3">
      <c r="A283" s="1">
        <v>40057</v>
      </c>
      <c r="B283">
        <v>19.594435000000001</v>
      </c>
    </row>
    <row r="284" spans="1:2" x14ac:dyDescent="0.3">
      <c r="A284" s="1">
        <v>40087</v>
      </c>
      <c r="B284">
        <v>21.125730999999998</v>
      </c>
    </row>
    <row r="285" spans="1:2" x14ac:dyDescent="0.3">
      <c r="A285" s="1">
        <v>40118</v>
      </c>
      <c r="B285">
        <v>22.405612999999999</v>
      </c>
    </row>
    <row r="286" spans="1:2" x14ac:dyDescent="0.3">
      <c r="A286" s="1">
        <v>40148</v>
      </c>
      <c r="B286">
        <v>23.323425</v>
      </c>
    </row>
    <row r="287" spans="1:2" x14ac:dyDescent="0.3">
      <c r="A287" s="1">
        <v>40179</v>
      </c>
      <c r="B287">
        <v>21.563455999999999</v>
      </c>
    </row>
    <row r="288" spans="1:2" x14ac:dyDescent="0.3">
      <c r="A288" s="1">
        <v>40210</v>
      </c>
      <c r="B288">
        <v>21.938403999999998</v>
      </c>
    </row>
    <row r="289" spans="1:2" x14ac:dyDescent="0.3">
      <c r="A289" s="1">
        <v>40238</v>
      </c>
      <c r="B289">
        <v>22.517641000000001</v>
      </c>
    </row>
    <row r="290" spans="1:2" x14ac:dyDescent="0.3">
      <c r="A290" s="1">
        <v>40269</v>
      </c>
      <c r="B290">
        <v>23.478621</v>
      </c>
    </row>
    <row r="291" spans="1:2" x14ac:dyDescent="0.3">
      <c r="A291" s="1">
        <v>40299</v>
      </c>
      <c r="B291">
        <v>19.834586999999999</v>
      </c>
    </row>
    <row r="292" spans="1:2" x14ac:dyDescent="0.3">
      <c r="A292" s="1">
        <v>40330</v>
      </c>
      <c r="B292">
        <v>17.769503</v>
      </c>
    </row>
    <row r="293" spans="1:2" x14ac:dyDescent="0.3">
      <c r="A293" s="1">
        <v>40360</v>
      </c>
      <c r="B293">
        <v>19.931816000000001</v>
      </c>
    </row>
    <row r="294" spans="1:2" x14ac:dyDescent="0.3">
      <c r="A294" s="1">
        <v>40391</v>
      </c>
      <c r="B294">
        <v>18.124739000000002</v>
      </c>
    </row>
    <row r="295" spans="1:2" x14ac:dyDescent="0.3">
      <c r="A295" s="1">
        <v>40422</v>
      </c>
      <c r="B295">
        <v>19.013327</v>
      </c>
    </row>
    <row r="296" spans="1:2" x14ac:dyDescent="0.3">
      <c r="A296" s="1">
        <v>40452</v>
      </c>
      <c r="B296">
        <v>20.705812000000002</v>
      </c>
    </row>
    <row r="297" spans="1:2" x14ac:dyDescent="0.3">
      <c r="A297" s="1">
        <v>40483</v>
      </c>
      <c r="B297">
        <v>19.611128000000001</v>
      </c>
    </row>
    <row r="298" spans="1:2" x14ac:dyDescent="0.3">
      <c r="A298" s="1">
        <v>40513</v>
      </c>
      <c r="B298">
        <v>21.801655</v>
      </c>
    </row>
    <row r="299" spans="1:2" x14ac:dyDescent="0.3">
      <c r="A299" s="1">
        <v>40544</v>
      </c>
      <c r="B299">
        <v>21.661047</v>
      </c>
    </row>
    <row r="300" spans="1:2" x14ac:dyDescent="0.3">
      <c r="A300" s="1">
        <v>40575</v>
      </c>
      <c r="B300">
        <v>20.762737000000001</v>
      </c>
    </row>
    <row r="301" spans="1:2" x14ac:dyDescent="0.3">
      <c r="A301" s="1">
        <v>40603</v>
      </c>
      <c r="B301">
        <v>19.950400999999999</v>
      </c>
    </row>
    <row r="302" spans="1:2" x14ac:dyDescent="0.3">
      <c r="A302" s="1">
        <v>40634</v>
      </c>
      <c r="B302">
        <v>20.366855999999999</v>
      </c>
    </row>
    <row r="303" spans="1:2" x14ac:dyDescent="0.3">
      <c r="A303" s="1">
        <v>40664</v>
      </c>
      <c r="B303">
        <v>19.651821000000002</v>
      </c>
    </row>
    <row r="304" spans="1:2" x14ac:dyDescent="0.3">
      <c r="A304" s="1">
        <v>40695</v>
      </c>
      <c r="B304">
        <v>20.563623</v>
      </c>
    </row>
    <row r="305" spans="1:2" x14ac:dyDescent="0.3">
      <c r="A305" s="1">
        <v>40725</v>
      </c>
      <c r="B305">
        <v>21.6709</v>
      </c>
    </row>
    <row r="306" spans="1:2" x14ac:dyDescent="0.3">
      <c r="A306" s="1">
        <v>40756</v>
      </c>
      <c r="B306">
        <v>21.038170000000001</v>
      </c>
    </row>
    <row r="307" spans="1:2" x14ac:dyDescent="0.3">
      <c r="A307" s="1">
        <v>40787</v>
      </c>
      <c r="B307">
        <v>19.809964999999998</v>
      </c>
    </row>
    <row r="308" spans="1:2" x14ac:dyDescent="0.3">
      <c r="A308" s="1">
        <v>40817</v>
      </c>
      <c r="B308">
        <v>21.194835999999999</v>
      </c>
    </row>
    <row r="309" spans="1:2" x14ac:dyDescent="0.3">
      <c r="A309" s="1">
        <v>40848</v>
      </c>
      <c r="B309">
        <v>20.359137</v>
      </c>
    </row>
    <row r="310" spans="1:2" x14ac:dyDescent="0.3">
      <c r="A310" s="1">
        <v>40878</v>
      </c>
      <c r="B310">
        <v>20.817164999999999</v>
      </c>
    </row>
    <row r="311" spans="1:2" x14ac:dyDescent="0.3">
      <c r="A311" s="1">
        <v>40909</v>
      </c>
      <c r="B311">
        <v>23.679925999999998</v>
      </c>
    </row>
    <row r="312" spans="1:2" x14ac:dyDescent="0.3">
      <c r="A312" s="1">
        <v>40940</v>
      </c>
      <c r="B312">
        <v>25.452114000000002</v>
      </c>
    </row>
    <row r="313" spans="1:2" x14ac:dyDescent="0.3">
      <c r="A313" s="1">
        <v>40969</v>
      </c>
      <c r="B313">
        <v>26.039396</v>
      </c>
    </row>
    <row r="314" spans="1:2" x14ac:dyDescent="0.3">
      <c r="A314" s="1">
        <v>41000</v>
      </c>
      <c r="B314">
        <v>25.845676000000001</v>
      </c>
    </row>
    <row r="315" spans="1:2" x14ac:dyDescent="0.3">
      <c r="A315" s="1">
        <v>41030</v>
      </c>
      <c r="B315">
        <v>23.561378000000001</v>
      </c>
    </row>
    <row r="316" spans="1:2" x14ac:dyDescent="0.3">
      <c r="A316" s="1">
        <v>41061</v>
      </c>
      <c r="B316">
        <v>24.853445000000001</v>
      </c>
    </row>
    <row r="317" spans="1:2" x14ac:dyDescent="0.3">
      <c r="A317" s="1">
        <v>41091</v>
      </c>
      <c r="B317">
        <v>23.943476</v>
      </c>
    </row>
    <row r="318" spans="1:2" x14ac:dyDescent="0.3">
      <c r="A318" s="1">
        <v>41122</v>
      </c>
      <c r="B318">
        <v>25.040308</v>
      </c>
    </row>
    <row r="319" spans="1:2" x14ac:dyDescent="0.3">
      <c r="A319" s="1">
        <v>41153</v>
      </c>
      <c r="B319">
        <v>24.339272999999999</v>
      </c>
    </row>
    <row r="320" spans="1:2" x14ac:dyDescent="0.3">
      <c r="A320" s="1">
        <v>41183</v>
      </c>
      <c r="B320">
        <v>23.341487999999998</v>
      </c>
    </row>
    <row r="321" spans="1:2" x14ac:dyDescent="0.3">
      <c r="A321" s="1">
        <v>41214</v>
      </c>
      <c r="B321">
        <v>21.771214000000001</v>
      </c>
    </row>
    <row r="322" spans="1:2" x14ac:dyDescent="0.3">
      <c r="A322" s="1">
        <v>41244</v>
      </c>
      <c r="B322">
        <v>22.024322999999999</v>
      </c>
    </row>
    <row r="323" spans="1:2" x14ac:dyDescent="0.3">
      <c r="A323" s="1">
        <v>41275</v>
      </c>
      <c r="B323">
        <v>22.634505999999998</v>
      </c>
    </row>
    <row r="324" spans="1:2" x14ac:dyDescent="0.3">
      <c r="A324" s="1">
        <v>41306</v>
      </c>
      <c r="B324">
        <v>22.923105</v>
      </c>
    </row>
    <row r="325" spans="1:2" x14ac:dyDescent="0.3">
      <c r="A325" s="1">
        <v>41334</v>
      </c>
      <c r="B325">
        <v>23.786327</v>
      </c>
    </row>
    <row r="326" spans="1:2" x14ac:dyDescent="0.3">
      <c r="A326" s="1">
        <v>41365</v>
      </c>
      <c r="B326">
        <v>27.519307999999999</v>
      </c>
    </row>
    <row r="327" spans="1:2" x14ac:dyDescent="0.3">
      <c r="A327" s="1">
        <v>41395</v>
      </c>
      <c r="B327">
        <v>29.015834999999999</v>
      </c>
    </row>
    <row r="328" spans="1:2" x14ac:dyDescent="0.3">
      <c r="A328" s="1">
        <v>41426</v>
      </c>
      <c r="B328">
        <v>28.917894</v>
      </c>
    </row>
    <row r="329" spans="1:2" x14ac:dyDescent="0.3">
      <c r="A329" s="1">
        <v>41456</v>
      </c>
      <c r="B329">
        <v>26.657373</v>
      </c>
    </row>
    <row r="330" spans="1:2" x14ac:dyDescent="0.3">
      <c r="A330" s="1">
        <v>41487</v>
      </c>
      <c r="B330">
        <v>27.963459</v>
      </c>
    </row>
    <row r="331" spans="1:2" x14ac:dyDescent="0.3">
      <c r="A331" s="1">
        <v>41518</v>
      </c>
      <c r="B331">
        <v>28.059325999999999</v>
      </c>
    </row>
    <row r="332" spans="1:2" x14ac:dyDescent="0.3">
      <c r="A332" s="1">
        <v>41548</v>
      </c>
      <c r="B332">
        <v>29.855184999999999</v>
      </c>
    </row>
    <row r="333" spans="1:2" x14ac:dyDescent="0.3">
      <c r="A333" s="1">
        <v>41579</v>
      </c>
      <c r="B333">
        <v>32.148499000000001</v>
      </c>
    </row>
    <row r="334" spans="1:2" x14ac:dyDescent="0.3">
      <c r="A334" s="1">
        <v>41609</v>
      </c>
      <c r="B334">
        <v>31.780657000000001</v>
      </c>
    </row>
    <row r="335" spans="1:2" x14ac:dyDescent="0.3">
      <c r="A335" s="1">
        <v>41640</v>
      </c>
      <c r="B335">
        <v>32.145947</v>
      </c>
    </row>
    <row r="336" spans="1:2" x14ac:dyDescent="0.3">
      <c r="A336" s="1">
        <v>41671</v>
      </c>
      <c r="B336">
        <v>32.545231000000001</v>
      </c>
    </row>
    <row r="337" spans="1:2" x14ac:dyDescent="0.3">
      <c r="A337" s="1">
        <v>41699</v>
      </c>
      <c r="B337">
        <v>35.083053999999997</v>
      </c>
    </row>
    <row r="338" spans="1:2" x14ac:dyDescent="0.3">
      <c r="A338" s="1">
        <v>41730</v>
      </c>
      <c r="B338">
        <v>34.578097999999997</v>
      </c>
    </row>
    <row r="339" spans="1:2" x14ac:dyDescent="0.3">
      <c r="A339" s="1">
        <v>41760</v>
      </c>
      <c r="B339">
        <v>35.040267999999998</v>
      </c>
    </row>
    <row r="340" spans="1:2" x14ac:dyDescent="0.3">
      <c r="A340" s="1">
        <v>41791</v>
      </c>
      <c r="B340">
        <v>35.942534999999999</v>
      </c>
    </row>
    <row r="341" spans="1:2" x14ac:dyDescent="0.3">
      <c r="A341" s="1">
        <v>41821</v>
      </c>
      <c r="B341">
        <v>37.200958</v>
      </c>
    </row>
    <row r="342" spans="1:2" x14ac:dyDescent="0.3">
      <c r="A342" s="1">
        <v>41852</v>
      </c>
      <c r="B342">
        <v>39.157542999999997</v>
      </c>
    </row>
    <row r="343" spans="1:2" x14ac:dyDescent="0.3">
      <c r="A343" s="1">
        <v>41883</v>
      </c>
      <c r="B343">
        <v>40.208717</v>
      </c>
    </row>
    <row r="344" spans="1:2" x14ac:dyDescent="0.3">
      <c r="A344" s="1">
        <v>41913</v>
      </c>
      <c r="B344">
        <v>40.720432000000002</v>
      </c>
    </row>
    <row r="345" spans="1:2" x14ac:dyDescent="0.3">
      <c r="A345" s="1">
        <v>41944</v>
      </c>
      <c r="B345">
        <v>41.466320000000003</v>
      </c>
    </row>
    <row r="346" spans="1:2" x14ac:dyDescent="0.3">
      <c r="A346" s="1">
        <v>41974</v>
      </c>
      <c r="B346">
        <v>40.540866999999999</v>
      </c>
    </row>
    <row r="347" spans="1:2" x14ac:dyDescent="0.3">
      <c r="A347" s="1">
        <v>42005</v>
      </c>
      <c r="B347">
        <v>35.260517</v>
      </c>
    </row>
    <row r="348" spans="1:2" x14ac:dyDescent="0.3">
      <c r="A348" s="1">
        <v>42036</v>
      </c>
      <c r="B348">
        <v>38.271622000000001</v>
      </c>
    </row>
    <row r="349" spans="1:2" x14ac:dyDescent="0.3">
      <c r="A349" s="1">
        <v>42064</v>
      </c>
      <c r="B349">
        <v>35.739978999999998</v>
      </c>
    </row>
    <row r="350" spans="1:2" x14ac:dyDescent="0.3">
      <c r="A350" s="1">
        <v>42095</v>
      </c>
      <c r="B350">
        <v>42.754382999999997</v>
      </c>
    </row>
    <row r="351" spans="1:2" x14ac:dyDescent="0.3">
      <c r="A351" s="1">
        <v>42125</v>
      </c>
      <c r="B351">
        <v>41.189770000000003</v>
      </c>
    </row>
    <row r="352" spans="1:2" x14ac:dyDescent="0.3">
      <c r="A352" s="1">
        <v>42156</v>
      </c>
      <c r="B352">
        <v>39.059891</v>
      </c>
    </row>
    <row r="353" spans="1:2" x14ac:dyDescent="0.3">
      <c r="A353" s="1">
        <v>42186</v>
      </c>
      <c r="B353">
        <v>41.315894999999998</v>
      </c>
    </row>
    <row r="354" spans="1:2" x14ac:dyDescent="0.3">
      <c r="A354" s="1">
        <v>42217</v>
      </c>
      <c r="B354">
        <v>38.502524999999999</v>
      </c>
    </row>
    <row r="355" spans="1:2" x14ac:dyDescent="0.3">
      <c r="A355" s="1">
        <v>42248</v>
      </c>
      <c r="B355">
        <v>39.415436</v>
      </c>
    </row>
    <row r="356" spans="1:2" x14ac:dyDescent="0.3">
      <c r="A356" s="1">
        <v>42278</v>
      </c>
      <c r="B356">
        <v>46.878174000000001</v>
      </c>
    </row>
    <row r="357" spans="1:2" x14ac:dyDescent="0.3">
      <c r="A357" s="1">
        <v>42309</v>
      </c>
      <c r="B357">
        <v>48.401009000000002</v>
      </c>
    </row>
    <row r="358" spans="1:2" x14ac:dyDescent="0.3">
      <c r="A358" s="1">
        <v>42339</v>
      </c>
      <c r="B358">
        <v>49.740352999999999</v>
      </c>
    </row>
    <row r="359" spans="1:2" x14ac:dyDescent="0.3">
      <c r="A359" s="1">
        <v>42370</v>
      </c>
      <c r="B359">
        <v>49.390686000000002</v>
      </c>
    </row>
    <row r="360" spans="1:2" x14ac:dyDescent="0.3">
      <c r="A360" s="1">
        <v>42401</v>
      </c>
      <c r="B360">
        <v>45.616241000000002</v>
      </c>
    </row>
    <row r="361" spans="1:2" x14ac:dyDescent="0.3">
      <c r="A361" s="1">
        <v>42430</v>
      </c>
      <c r="B361">
        <v>49.871735000000001</v>
      </c>
    </row>
    <row r="362" spans="1:2" x14ac:dyDescent="0.3">
      <c r="A362" s="1">
        <v>42461</v>
      </c>
      <c r="B362">
        <v>45.031745999999998</v>
      </c>
    </row>
    <row r="363" spans="1:2" x14ac:dyDescent="0.3">
      <c r="A363" s="1">
        <v>42491</v>
      </c>
      <c r="B363">
        <v>47.858077999999999</v>
      </c>
    </row>
    <row r="364" spans="1:2" x14ac:dyDescent="0.3">
      <c r="A364" s="1">
        <v>42522</v>
      </c>
      <c r="B364">
        <v>46.528801000000001</v>
      </c>
    </row>
    <row r="365" spans="1:2" x14ac:dyDescent="0.3">
      <c r="A365" s="1">
        <v>42552</v>
      </c>
      <c r="B365">
        <v>51.539031999999999</v>
      </c>
    </row>
    <row r="366" spans="1:2" x14ac:dyDescent="0.3">
      <c r="A366" s="1">
        <v>42583</v>
      </c>
      <c r="B366">
        <v>52.248286999999998</v>
      </c>
    </row>
    <row r="367" spans="1:2" x14ac:dyDescent="0.3">
      <c r="A367" s="1">
        <v>42614</v>
      </c>
      <c r="B367">
        <v>52.702022999999997</v>
      </c>
    </row>
    <row r="368" spans="1:2" x14ac:dyDescent="0.3">
      <c r="A368" s="1">
        <v>42644</v>
      </c>
      <c r="B368">
        <v>54.824741000000003</v>
      </c>
    </row>
    <row r="369" spans="1:2" x14ac:dyDescent="0.3">
      <c r="A369" s="1">
        <v>42675</v>
      </c>
      <c r="B369">
        <v>55.135829999999999</v>
      </c>
    </row>
    <row r="370" spans="1:2" x14ac:dyDescent="0.3">
      <c r="A370" s="1">
        <v>42705</v>
      </c>
      <c r="B370">
        <v>57.240067000000003</v>
      </c>
    </row>
    <row r="371" spans="1:2" x14ac:dyDescent="0.3">
      <c r="A371" s="1">
        <v>42736</v>
      </c>
      <c r="B371">
        <v>59.552151000000002</v>
      </c>
    </row>
    <row r="372" spans="1:2" x14ac:dyDescent="0.3">
      <c r="A372" s="1">
        <v>42767</v>
      </c>
      <c r="B372">
        <v>58.934970999999997</v>
      </c>
    </row>
    <row r="373" spans="1:2" x14ac:dyDescent="0.3">
      <c r="A373" s="1">
        <v>42795</v>
      </c>
      <c r="B373">
        <v>61.034523</v>
      </c>
    </row>
    <row r="374" spans="1:2" x14ac:dyDescent="0.3">
      <c r="A374" s="1">
        <v>42826</v>
      </c>
      <c r="B374">
        <v>63.444015999999998</v>
      </c>
    </row>
    <row r="375" spans="1:2" x14ac:dyDescent="0.3">
      <c r="A375" s="1">
        <v>42856</v>
      </c>
      <c r="B375">
        <v>64.722892999999999</v>
      </c>
    </row>
    <row r="376" spans="1:2" x14ac:dyDescent="0.3">
      <c r="A376" s="1">
        <v>42887</v>
      </c>
      <c r="B376">
        <v>64.245728</v>
      </c>
    </row>
    <row r="377" spans="1:2" x14ac:dyDescent="0.3">
      <c r="A377" s="1">
        <v>42917</v>
      </c>
      <c r="B377">
        <v>67.759529000000001</v>
      </c>
    </row>
    <row r="378" spans="1:2" x14ac:dyDescent="0.3">
      <c r="A378" s="1">
        <v>42948</v>
      </c>
      <c r="B378">
        <v>69.688866000000004</v>
      </c>
    </row>
    <row r="379" spans="1:2" x14ac:dyDescent="0.3">
      <c r="A379" s="1">
        <v>42979</v>
      </c>
      <c r="B379">
        <v>69.797813000000005</v>
      </c>
    </row>
    <row r="380" spans="1:2" x14ac:dyDescent="0.3">
      <c r="A380" s="1">
        <v>43009</v>
      </c>
      <c r="B380">
        <v>77.940406999999993</v>
      </c>
    </row>
    <row r="381" spans="1:2" x14ac:dyDescent="0.3">
      <c r="A381" s="1">
        <v>43040</v>
      </c>
      <c r="B381">
        <v>78.868056999999993</v>
      </c>
    </row>
    <row r="382" spans="1:2" x14ac:dyDescent="0.3">
      <c r="A382" s="1">
        <v>43070</v>
      </c>
      <c r="B382">
        <v>80.554291000000006</v>
      </c>
    </row>
    <row r="383" spans="1:2" x14ac:dyDescent="0.3">
      <c r="A383" s="1">
        <v>43101</v>
      </c>
      <c r="B383">
        <v>89.472342999999995</v>
      </c>
    </row>
    <row r="384" spans="1:2" x14ac:dyDescent="0.3">
      <c r="A384" s="1">
        <v>43132</v>
      </c>
      <c r="B384">
        <v>88.304587999999995</v>
      </c>
    </row>
    <row r="385" spans="1:2" x14ac:dyDescent="0.3">
      <c r="A385" s="1">
        <v>43160</v>
      </c>
      <c r="B385">
        <v>86.354056999999997</v>
      </c>
    </row>
    <row r="386" spans="1:2" x14ac:dyDescent="0.3">
      <c r="A386" s="1">
        <v>43191</v>
      </c>
      <c r="B386">
        <v>88.482872</v>
      </c>
    </row>
    <row r="387" spans="1:2" x14ac:dyDescent="0.3">
      <c r="A387" s="1">
        <v>43221</v>
      </c>
      <c r="B387">
        <v>93.516327000000004</v>
      </c>
    </row>
    <row r="388" spans="1:2" x14ac:dyDescent="0.3">
      <c r="A388" s="1">
        <v>43252</v>
      </c>
      <c r="B388">
        <v>93.703109999999995</v>
      </c>
    </row>
    <row r="389" spans="1:2" x14ac:dyDescent="0.3">
      <c r="A389" s="1">
        <v>43282</v>
      </c>
      <c r="B389">
        <v>100.80141399999999</v>
      </c>
    </row>
    <row r="390" spans="1:2" x14ac:dyDescent="0.3">
      <c r="A390" s="1">
        <v>43313</v>
      </c>
      <c r="B390">
        <v>106.74039500000001</v>
      </c>
    </row>
    <row r="391" spans="1:2" x14ac:dyDescent="0.3">
      <c r="A391" s="1">
        <v>43344</v>
      </c>
      <c r="B391">
        <v>109.097115</v>
      </c>
    </row>
    <row r="392" spans="1:2" x14ac:dyDescent="0.3">
      <c r="A392" s="1">
        <v>43374</v>
      </c>
      <c r="B392">
        <v>101.88565800000001</v>
      </c>
    </row>
    <row r="393" spans="1:2" x14ac:dyDescent="0.3">
      <c r="A393" s="1">
        <v>43405</v>
      </c>
      <c r="B393">
        <v>105.777557</v>
      </c>
    </row>
    <row r="394" spans="1:2" x14ac:dyDescent="0.3">
      <c r="A394" s="1">
        <v>43435</v>
      </c>
      <c r="B394">
        <v>97.305801000000002</v>
      </c>
    </row>
    <row r="395" spans="1:2" x14ac:dyDescent="0.3">
      <c r="A395" s="1">
        <v>43466</v>
      </c>
      <c r="B395">
        <v>100.045715</v>
      </c>
    </row>
    <row r="396" spans="1:2" x14ac:dyDescent="0.3">
      <c r="A396" s="1">
        <v>43497</v>
      </c>
      <c r="B396">
        <v>107.32665299999999</v>
      </c>
    </row>
    <row r="397" spans="1:2" x14ac:dyDescent="0.3">
      <c r="A397" s="1">
        <v>43525</v>
      </c>
      <c r="B397">
        <v>113.471092</v>
      </c>
    </row>
    <row r="398" spans="1:2" x14ac:dyDescent="0.3">
      <c r="A398" s="1">
        <v>43556</v>
      </c>
      <c r="B398">
        <v>125.65139000000001</v>
      </c>
    </row>
    <row r="399" spans="1:2" x14ac:dyDescent="0.3">
      <c r="A399" s="1">
        <v>43586</v>
      </c>
      <c r="B399">
        <v>118.993591</v>
      </c>
    </row>
    <row r="400" spans="1:2" x14ac:dyDescent="0.3">
      <c r="A400" s="1">
        <v>43617</v>
      </c>
      <c r="B400">
        <v>129.36116000000001</v>
      </c>
    </row>
    <row r="401" spans="1:2" x14ac:dyDescent="0.3">
      <c r="A401" s="1">
        <v>43647</v>
      </c>
      <c r="B401">
        <v>131.591858</v>
      </c>
    </row>
    <row r="402" spans="1:2" x14ac:dyDescent="0.3">
      <c r="A402" s="1">
        <v>43678</v>
      </c>
      <c r="B402">
        <v>133.12725800000001</v>
      </c>
    </row>
    <row r="403" spans="1:2" x14ac:dyDescent="0.3">
      <c r="A403" s="1">
        <v>43709</v>
      </c>
      <c r="B403">
        <v>134.70414700000001</v>
      </c>
    </row>
    <row r="404" spans="1:2" x14ac:dyDescent="0.3">
      <c r="A404" s="1">
        <v>43739</v>
      </c>
      <c r="B404">
        <v>138.90913399999999</v>
      </c>
    </row>
    <row r="405" spans="1:2" x14ac:dyDescent="0.3">
      <c r="A405" s="1">
        <v>43770</v>
      </c>
      <c r="B405">
        <v>146.66989100000001</v>
      </c>
    </row>
    <row r="406" spans="1:2" x14ac:dyDescent="0.3">
      <c r="A406" s="1">
        <v>43800</v>
      </c>
      <c r="B406">
        <v>153.313187</v>
      </c>
    </row>
    <row r="407" spans="1:2" x14ac:dyDescent="0.3">
      <c r="A407" s="1">
        <v>43831</v>
      </c>
      <c r="B407">
        <v>165.494598</v>
      </c>
    </row>
    <row r="408" spans="1:2" x14ac:dyDescent="0.3">
      <c r="A408" s="1">
        <v>43862</v>
      </c>
      <c r="B408">
        <v>157.50328099999999</v>
      </c>
    </row>
    <row r="409" spans="1:2" x14ac:dyDescent="0.3">
      <c r="A409" s="1">
        <v>43891</v>
      </c>
      <c r="B409">
        <v>153.74168399999999</v>
      </c>
    </row>
    <row r="410" spans="1:2" x14ac:dyDescent="0.3">
      <c r="A410" s="1">
        <v>43922</v>
      </c>
      <c r="B410">
        <v>174.700684</v>
      </c>
    </row>
    <row r="411" spans="1:2" x14ac:dyDescent="0.3">
      <c r="A411" s="1">
        <v>43952</v>
      </c>
      <c r="B411">
        <v>178.63902300000001</v>
      </c>
    </row>
    <row r="412" spans="1:2" x14ac:dyDescent="0.3">
      <c r="A412" s="1">
        <v>43983</v>
      </c>
      <c r="B412">
        <v>198.941788</v>
      </c>
    </row>
    <row r="413" spans="1:2" x14ac:dyDescent="0.3">
      <c r="A413" s="1">
        <v>44013</v>
      </c>
      <c r="B413">
        <v>200.40811199999999</v>
      </c>
    </row>
    <row r="414" spans="1:2" x14ac:dyDescent="0.3">
      <c r="A414" s="1">
        <v>44044</v>
      </c>
      <c r="B414">
        <v>220.467468</v>
      </c>
    </row>
    <row r="415" spans="1:2" x14ac:dyDescent="0.3">
      <c r="A415" s="1">
        <v>44075</v>
      </c>
      <c r="B415">
        <v>206.105728</v>
      </c>
    </row>
    <row r="416" spans="1:2" x14ac:dyDescent="0.3">
      <c r="A416" s="1">
        <v>44105</v>
      </c>
      <c r="B416">
        <v>198.40358000000001</v>
      </c>
    </row>
    <row r="417" spans="1:2" x14ac:dyDescent="0.3">
      <c r="A417" s="1">
        <v>44136</v>
      </c>
      <c r="B417">
        <v>209.77061499999999</v>
      </c>
    </row>
    <row r="418" spans="1:2" x14ac:dyDescent="0.3">
      <c r="A418" s="1">
        <v>44166</v>
      </c>
      <c r="B418">
        <v>218.52349899999999</v>
      </c>
    </row>
    <row r="419" spans="1:2" x14ac:dyDescent="0.3">
      <c r="A419" s="1">
        <v>44197</v>
      </c>
      <c r="B419">
        <v>227.89639299999999</v>
      </c>
    </row>
    <row r="420" spans="1:2" x14ac:dyDescent="0.3">
      <c r="A420" s="1">
        <v>44228</v>
      </c>
      <c r="B420">
        <v>228.309021</v>
      </c>
    </row>
    <row r="421" spans="1:2" x14ac:dyDescent="0.3">
      <c r="A421" s="1">
        <v>44256</v>
      </c>
      <c r="B421">
        <v>232.173157</v>
      </c>
    </row>
    <row r="422" spans="1:2" x14ac:dyDescent="0.3">
      <c r="A422" s="1">
        <v>44287</v>
      </c>
      <c r="B422">
        <v>248.332764</v>
      </c>
    </row>
    <row r="423" spans="1:2" x14ac:dyDescent="0.3">
      <c r="A423" s="1">
        <v>44317</v>
      </c>
      <c r="B423">
        <v>245.87094099999999</v>
      </c>
    </row>
    <row r="424" spans="1:2" x14ac:dyDescent="0.3">
      <c r="A424" s="1">
        <v>44348</v>
      </c>
      <c r="B424">
        <v>267.38320900000002</v>
      </c>
    </row>
    <row r="425" spans="1:2" x14ac:dyDescent="0.3">
      <c r="A425" s="1">
        <v>44378</v>
      </c>
      <c r="B425">
        <v>281.21133400000002</v>
      </c>
    </row>
    <row r="426" spans="1:2" x14ac:dyDescent="0.3">
      <c r="A426" s="1">
        <v>44409</v>
      </c>
      <c r="B426">
        <v>297.96099900000002</v>
      </c>
    </row>
    <row r="427" spans="1:2" x14ac:dyDescent="0.3">
      <c r="A427" s="1">
        <v>44440</v>
      </c>
      <c r="B427">
        <v>278.79287699999998</v>
      </c>
    </row>
    <row r="428" spans="1:2" x14ac:dyDescent="0.3">
      <c r="A428" s="1">
        <v>44470</v>
      </c>
      <c r="B428">
        <v>327.94152800000001</v>
      </c>
    </row>
    <row r="429" spans="1:2" x14ac:dyDescent="0.3">
      <c r="A429" s="1">
        <v>44501</v>
      </c>
      <c r="B429">
        <v>326.92294299999998</v>
      </c>
    </row>
    <row r="430" spans="1:2" x14ac:dyDescent="0.3">
      <c r="A430" s="1">
        <v>44531</v>
      </c>
      <c r="B430">
        <v>333.19787600000001</v>
      </c>
    </row>
    <row r="431" spans="1:2" x14ac:dyDescent="0.3">
      <c r="A431" s="1">
        <v>44562</v>
      </c>
      <c r="B431">
        <v>308.09314000000001</v>
      </c>
    </row>
    <row r="432" spans="1:2" x14ac:dyDescent="0.3">
      <c r="A432" s="1">
        <v>44593</v>
      </c>
      <c r="B432">
        <v>296.01629600000001</v>
      </c>
    </row>
    <row r="433" spans="1:2" x14ac:dyDescent="0.3">
      <c r="A433" s="1">
        <v>44621</v>
      </c>
      <c r="B433">
        <v>306.07946800000002</v>
      </c>
    </row>
    <row r="434" spans="1:2" x14ac:dyDescent="0.3">
      <c r="A434" s="1">
        <v>44652</v>
      </c>
      <c r="B434">
        <v>275.51220699999999</v>
      </c>
    </row>
    <row r="435" spans="1:2" x14ac:dyDescent="0.3">
      <c r="A435" s="1">
        <v>44682</v>
      </c>
      <c r="B435">
        <v>269.90313700000002</v>
      </c>
    </row>
    <row r="436" spans="1:2" x14ac:dyDescent="0.3">
      <c r="A436" s="1">
        <v>44713</v>
      </c>
      <c r="B436">
        <v>255.56575000000001</v>
      </c>
    </row>
    <row r="437" spans="1:2" x14ac:dyDescent="0.3">
      <c r="A437" s="1">
        <v>44743</v>
      </c>
      <c r="B437">
        <v>279.358093</v>
      </c>
    </row>
    <row r="438" spans="1:2" x14ac:dyDescent="0.3">
      <c r="A438" s="1">
        <v>44774</v>
      </c>
      <c r="B438">
        <v>260.18292200000002</v>
      </c>
    </row>
    <row r="439" spans="1:2" x14ac:dyDescent="0.3">
      <c r="A439" s="1">
        <v>44805</v>
      </c>
      <c r="B439">
        <v>232.24548300000001</v>
      </c>
    </row>
    <row r="440" spans="1:2" x14ac:dyDescent="0.3">
      <c r="A440" s="1">
        <v>44835</v>
      </c>
      <c r="B440">
        <v>231.47766100000001</v>
      </c>
    </row>
    <row r="441" spans="1:2" x14ac:dyDescent="0.3">
      <c r="A441" s="1">
        <v>44866</v>
      </c>
      <c r="B441">
        <v>254.422989</v>
      </c>
    </row>
    <row r="442" spans="1:2" x14ac:dyDescent="0.3">
      <c r="A442" s="1">
        <v>44896</v>
      </c>
      <c r="B442">
        <v>257.22000100000002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09C6-B77E-42F4-8CA1-2647756FFD3F}">
  <dimension ref="A3:M41"/>
  <sheetViews>
    <sheetView topLeftCell="A15" workbookViewId="0">
      <selection activeCell="D31" sqref="D31:M31"/>
    </sheetView>
  </sheetViews>
  <sheetFormatPr defaultRowHeight="14.4" x14ac:dyDescent="0.3"/>
  <cols>
    <col min="1" max="1" width="12.5546875" bestFit="1" customWidth="1"/>
    <col min="2" max="2" width="18.5546875" bestFit="1" customWidth="1"/>
  </cols>
  <sheetData>
    <row r="3" spans="1:2" x14ac:dyDescent="0.3">
      <c r="A3" s="6" t="s">
        <v>23</v>
      </c>
      <c r="B3" t="s">
        <v>62</v>
      </c>
    </row>
    <row r="4" spans="1:2" x14ac:dyDescent="0.3">
      <c r="A4" s="7" t="s">
        <v>25</v>
      </c>
      <c r="B4" s="8">
        <v>7.7217222222222215E-2</v>
      </c>
    </row>
    <row r="5" spans="1:2" x14ac:dyDescent="0.3">
      <c r="A5" s="7" t="s">
        <v>26</v>
      </c>
      <c r="B5" s="8">
        <v>0.21909691666666667</v>
      </c>
    </row>
    <row r="6" spans="1:2" x14ac:dyDescent="0.3">
      <c r="A6" s="7" t="s">
        <v>27</v>
      </c>
      <c r="B6" s="8">
        <v>0.2397509166666667</v>
      </c>
    </row>
    <row r="7" spans="1:2" x14ac:dyDescent="0.3">
      <c r="A7" s="7" t="s">
        <v>28</v>
      </c>
      <c r="B7" s="8">
        <v>0.28092358333333339</v>
      </c>
    </row>
    <row r="8" spans="1:2" x14ac:dyDescent="0.3">
      <c r="A8" s="7" t="s">
        <v>29</v>
      </c>
      <c r="B8" s="8">
        <v>0.55035500000000004</v>
      </c>
    </row>
    <row r="9" spans="1:2" x14ac:dyDescent="0.3">
      <c r="A9" s="7" t="s">
        <v>30</v>
      </c>
      <c r="B9" s="8">
        <v>1.0454210833333335</v>
      </c>
    </row>
    <row r="10" spans="1:2" x14ac:dyDescent="0.3">
      <c r="A10" s="7" t="s">
        <v>31</v>
      </c>
      <c r="B10" s="8">
        <v>1.5647383333333333</v>
      </c>
    </row>
    <row r="11" spans="1:2" x14ac:dyDescent="0.3">
      <c r="A11" s="7" t="s">
        <v>32</v>
      </c>
      <c r="B11" s="8">
        <v>1.6302297499999998</v>
      </c>
    </row>
    <row r="12" spans="1:2" x14ac:dyDescent="0.3">
      <c r="A12" s="7" t="s">
        <v>33</v>
      </c>
      <c r="B12" s="8">
        <v>2.0541260833333328</v>
      </c>
    </row>
    <row r="13" spans="1:2" x14ac:dyDescent="0.3">
      <c r="A13" s="7" t="s">
        <v>34</v>
      </c>
      <c r="B13" s="8">
        <v>3.253333</v>
      </c>
    </row>
    <row r="14" spans="1:2" x14ac:dyDescent="0.3">
      <c r="A14" s="7" t="s">
        <v>35</v>
      </c>
      <c r="B14" s="8">
        <v>4.8149498333333325</v>
      </c>
    </row>
    <row r="15" spans="1:2" x14ac:dyDescent="0.3">
      <c r="A15" s="7" t="s">
        <v>36</v>
      </c>
      <c r="B15" s="8">
        <v>9.5753339999999998</v>
      </c>
    </row>
    <row r="16" spans="1:2" x14ac:dyDescent="0.3">
      <c r="A16" s="7" t="s">
        <v>37</v>
      </c>
      <c r="B16" s="8">
        <v>15.827502000000001</v>
      </c>
    </row>
    <row r="17" spans="1:13" x14ac:dyDescent="0.3">
      <c r="A17" s="7" t="s">
        <v>38</v>
      </c>
      <c r="B17" s="8">
        <v>27.980827499999993</v>
      </c>
    </row>
    <row r="18" spans="1:13" x14ac:dyDescent="0.3">
      <c r="A18" s="7" t="s">
        <v>39</v>
      </c>
      <c r="B18" s="8">
        <v>22.813036583333332</v>
      </c>
    </row>
    <row r="19" spans="1:13" x14ac:dyDescent="0.3">
      <c r="A19" s="7" t="s">
        <v>40</v>
      </c>
      <c r="B19" s="8">
        <v>19.485714333333334</v>
      </c>
    </row>
    <row r="20" spans="1:13" x14ac:dyDescent="0.3">
      <c r="A20" s="7" t="s">
        <v>41</v>
      </c>
      <c r="B20" s="8">
        <v>16.780075166666666</v>
      </c>
    </row>
    <row r="21" spans="1:13" x14ac:dyDescent="0.3">
      <c r="A21" s="7" t="s">
        <v>42</v>
      </c>
      <c r="B21" s="8">
        <v>16.081886999999998</v>
      </c>
    </row>
    <row r="22" spans="1:13" x14ac:dyDescent="0.3">
      <c r="A22" s="7" t="s">
        <v>43</v>
      </c>
      <c r="B22" s="8">
        <v>17.266132666666664</v>
      </c>
    </row>
    <row r="23" spans="1:13" x14ac:dyDescent="0.3">
      <c r="A23" s="7" t="s">
        <v>44</v>
      </c>
      <c r="B23" s="8">
        <v>18.313665666666669</v>
      </c>
    </row>
    <row r="24" spans="1:13" x14ac:dyDescent="0.3">
      <c r="A24" s="7" t="s">
        <v>45</v>
      </c>
      <c r="B24" s="8">
        <v>19.010606749999997</v>
      </c>
    </row>
    <row r="25" spans="1:13" x14ac:dyDescent="0.3">
      <c r="A25" s="7" t="s">
        <v>46</v>
      </c>
      <c r="B25" s="8">
        <v>22.488342083333333</v>
      </c>
    </row>
    <row r="26" spans="1:13" x14ac:dyDescent="0.3">
      <c r="A26" s="7" t="s">
        <v>47</v>
      </c>
      <c r="B26" s="8">
        <v>19.351694999999999</v>
      </c>
    </row>
    <row r="27" spans="1:13" x14ac:dyDescent="0.3">
      <c r="A27" s="7" t="s">
        <v>48</v>
      </c>
      <c r="B27" s="8">
        <v>17.551310416666666</v>
      </c>
    </row>
    <row r="28" spans="1:13" x14ac:dyDescent="0.3">
      <c r="A28" s="7" t="s">
        <v>49</v>
      </c>
      <c r="B28" s="8">
        <v>20.524224083333337</v>
      </c>
    </row>
    <row r="29" spans="1:13" x14ac:dyDescent="0.3">
      <c r="A29" s="7" t="s">
        <v>50</v>
      </c>
      <c r="B29" s="8">
        <v>20.653888166666665</v>
      </c>
    </row>
    <row r="30" spans="1:13" x14ac:dyDescent="0.3">
      <c r="A30" s="7" t="s">
        <v>51</v>
      </c>
      <c r="B30" s="8">
        <v>24.157668083333334</v>
      </c>
    </row>
    <row r="31" spans="1:13" x14ac:dyDescent="0.3">
      <c r="A31" s="7" t="s">
        <v>52</v>
      </c>
      <c r="B31" s="8">
        <v>27.605122833333336</v>
      </c>
      <c r="D31" cm="1">
        <f t="array" ref="D31:M31">TRANSPOSE(B31:B40)</f>
        <v>27.605122833333336</v>
      </c>
      <c r="E31">
        <v>37.052497499999994</v>
      </c>
      <c r="F31">
        <v>41.377462833333333</v>
      </c>
      <c r="G31">
        <v>50.665605583333331</v>
      </c>
      <c r="H31">
        <v>68.045270416666668</v>
      </c>
      <c r="I31">
        <v>96.786769750000005</v>
      </c>
      <c r="J31">
        <v>127.76375633333333</v>
      </c>
      <c r="K31">
        <v>190.22500500000001</v>
      </c>
      <c r="L31">
        <v>274.66608683333334</v>
      </c>
      <c r="M31">
        <v>268.83976225000004</v>
      </c>
    </row>
    <row r="32" spans="1:13" x14ac:dyDescent="0.3">
      <c r="A32" s="7" t="s">
        <v>53</v>
      </c>
      <c r="B32" s="8">
        <v>37.052497499999994</v>
      </c>
    </row>
    <row r="33" spans="1:2" x14ac:dyDescent="0.3">
      <c r="A33" s="7" t="s">
        <v>54</v>
      </c>
      <c r="B33" s="8">
        <v>41.377462833333333</v>
      </c>
    </row>
    <row r="34" spans="1:2" x14ac:dyDescent="0.3">
      <c r="A34" s="7" t="s">
        <v>55</v>
      </c>
      <c r="B34" s="8">
        <v>50.665605583333331</v>
      </c>
    </row>
    <row r="35" spans="1:2" x14ac:dyDescent="0.3">
      <c r="A35" s="7" t="s">
        <v>56</v>
      </c>
      <c r="B35" s="8">
        <v>68.045270416666668</v>
      </c>
    </row>
    <row r="36" spans="1:2" x14ac:dyDescent="0.3">
      <c r="A36" s="7" t="s">
        <v>57</v>
      </c>
      <c r="B36" s="8">
        <v>96.786769750000005</v>
      </c>
    </row>
    <row r="37" spans="1:2" x14ac:dyDescent="0.3">
      <c r="A37" s="7" t="s">
        <v>58</v>
      </c>
      <c r="B37" s="8">
        <v>127.76375633333333</v>
      </c>
    </row>
    <row r="38" spans="1:2" x14ac:dyDescent="0.3">
      <c r="A38" s="7" t="s">
        <v>59</v>
      </c>
      <c r="B38" s="8">
        <v>190.22500500000001</v>
      </c>
    </row>
    <row r="39" spans="1:2" x14ac:dyDescent="0.3">
      <c r="A39" s="7" t="s">
        <v>60</v>
      </c>
      <c r="B39" s="8">
        <v>274.66608683333334</v>
      </c>
    </row>
    <row r="40" spans="1:2" x14ac:dyDescent="0.3">
      <c r="A40" s="7" t="s">
        <v>61</v>
      </c>
      <c r="B40" s="8">
        <v>268.83976225000004</v>
      </c>
    </row>
    <row r="41" spans="1:2" x14ac:dyDescent="0.3">
      <c r="A41" s="7" t="s">
        <v>24</v>
      </c>
      <c r="B41" s="8">
        <v>40.99592071428571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496946C65DBE4D8D8B0AB790382A2D" ma:contentTypeVersion="12" ma:contentTypeDescription="Een nieuw document maken." ma:contentTypeScope="" ma:versionID="9ce3c6e46e29b8f74ecb4e7b615db6b3">
  <xsd:schema xmlns:xsd="http://www.w3.org/2001/XMLSchema" xmlns:xs="http://www.w3.org/2001/XMLSchema" xmlns:p="http://schemas.microsoft.com/office/2006/metadata/properties" xmlns:ns3="46836ee7-68a1-4387-8144-2350451aa250" xmlns:ns4="d0e7e293-16f4-4748-ad4d-17b7bea76acc" targetNamespace="http://schemas.microsoft.com/office/2006/metadata/properties" ma:root="true" ma:fieldsID="d5ba1f8d54d611b708bfc1fae2da17b6" ns3:_="" ns4:_="">
    <xsd:import namespace="46836ee7-68a1-4387-8144-2350451aa250"/>
    <xsd:import namespace="d0e7e293-16f4-4748-ad4d-17b7bea76ac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836ee7-68a1-4387-8144-2350451aa2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e7e293-16f4-4748-ad4d-17b7bea76a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B2047E-0824-4024-8C0F-9CC30DE2F3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836ee7-68a1-4387-8144-2350451aa250"/>
    <ds:schemaRef ds:uri="d0e7e293-16f4-4748-ad4d-17b7bea76a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50B8ED-14B2-4A77-8376-351169F1ABB1}">
  <ds:schemaRefs>
    <ds:schemaRef ds:uri="d0e7e293-16f4-4748-ad4d-17b7bea76acc"/>
    <ds:schemaRef ds:uri="http://schemas.openxmlformats.org/package/2006/metadata/core-properties"/>
    <ds:schemaRef ds:uri="http://purl.org/dc/terms/"/>
    <ds:schemaRef ds:uri="46836ee7-68a1-4387-8144-2350451aa250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46C055-B1B9-4220-8988-00B1F146F6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</vt:lpstr>
      <vt:lpstr>Valuation</vt:lpstr>
      <vt:lpstr>MSFT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2015-06-05T18:17:20Z</dcterms:created>
  <dcterms:modified xsi:type="dcterms:W3CDTF">2022-12-22T22:16:33Z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0x01010004496946C65DBE4D8D8B0AB790382A2D</vt:lpwstr>
  </property>
</Properties>
</file>