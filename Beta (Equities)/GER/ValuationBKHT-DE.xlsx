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#Valuations/"/>
    </mc:Choice>
  </mc:AlternateContent>
  <xr:revisionPtr revIDLastSave="278" documentId="11_F25DC773A252ABDACC104830195C761C5ADE58EE" xr6:coauthVersionLast="47" xr6:coauthVersionMax="47" xr10:uidLastSave="{BCAD42B6-2331-4414-8195-3DEA24305F97}"/>
  <bookViews>
    <workbookView xWindow="-98" yWindow="-98" windowWidth="21795" windowHeight="12975" activeTab="4" xr2:uid="{00000000-000D-0000-FFFF-FFFF00000000}"/>
  </bookViews>
  <sheets>
    <sheet name="Cover" sheetId="1" r:id="rId1"/>
    <sheet name="Changelog" sheetId="2" r:id="rId2"/>
    <sheet name="Scenario Manager" sheetId="3" r:id="rId3"/>
    <sheet name="Macro" sheetId="4" r:id="rId4"/>
    <sheet name="Brockhaus RAW" sheetId="7" r:id="rId5"/>
    <sheet name="Bikeleasing&gt;&gt;&gt;" sheetId="6" r:id="rId6"/>
    <sheet name="Bikeleasing Input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H6" i="7"/>
  <c r="J6" i="7"/>
  <c r="O3" i="7"/>
  <c r="N3" i="7" s="1"/>
  <c r="Q3" i="7"/>
  <c r="R3" i="7" s="1"/>
  <c r="S3" i="7" s="1"/>
  <c r="T3" i="7" s="1"/>
</calcChain>
</file>

<file path=xl/sharedStrings.xml><?xml version="1.0" encoding="utf-8"?>
<sst xmlns="http://schemas.openxmlformats.org/spreadsheetml/2006/main" count="67" uniqueCount="52">
  <si>
    <t>Brockhaus Technologies AG Model</t>
  </si>
  <si>
    <t>TEH Capital</t>
  </si>
  <si>
    <t>Techonology</t>
  </si>
  <si>
    <t>Last Update: January 5, 2024</t>
  </si>
  <si>
    <t>Author: Theodor E. Hogan</t>
  </si>
  <si>
    <t>Note: All cash flows shown on 100% basis , attributable basis noted</t>
  </si>
  <si>
    <t>Format:</t>
  </si>
  <si>
    <t>Assumptions</t>
  </si>
  <si>
    <t>Formula</t>
  </si>
  <si>
    <t>Sheet Link</t>
  </si>
  <si>
    <t>Hardcode</t>
  </si>
  <si>
    <t>XXX</t>
  </si>
  <si>
    <t>Ext. Link</t>
  </si>
  <si>
    <t>Changelog</t>
  </si>
  <si>
    <t>Live Scenario</t>
  </si>
  <si>
    <t>Scenario Name</t>
  </si>
  <si>
    <t>Price per Share</t>
  </si>
  <si>
    <t>Change</t>
  </si>
  <si>
    <t>Change Created</t>
  </si>
  <si>
    <t>Author</t>
  </si>
  <si>
    <t>Date</t>
  </si>
  <si>
    <t>Reason</t>
  </si>
  <si>
    <t>TH</t>
  </si>
  <si>
    <t>INSERT ABOVE^^</t>
  </si>
  <si>
    <t>Outstanding Items</t>
  </si>
  <si>
    <t>Item</t>
  </si>
  <si>
    <t>Completed ?</t>
  </si>
  <si>
    <t>Notes</t>
  </si>
  <si>
    <t>Assigned</t>
  </si>
  <si>
    <t>Changelog created</t>
  </si>
  <si>
    <t>Bikeleasing Revenue Build</t>
  </si>
  <si>
    <t>IHSE Revenue Build</t>
  </si>
  <si>
    <t>Probonio Revenue Build</t>
  </si>
  <si>
    <t>no</t>
  </si>
  <si>
    <t>Check if other Revenue Build setup required</t>
  </si>
  <si>
    <t>Bikeleasing Inputs</t>
  </si>
  <si>
    <t>Price Per Share</t>
  </si>
  <si>
    <t>Start Date</t>
  </si>
  <si>
    <t>End Date</t>
  </si>
  <si>
    <t>Year</t>
  </si>
  <si>
    <t>Year/Quarter</t>
  </si>
  <si>
    <t>Revenue</t>
  </si>
  <si>
    <t>Q324</t>
  </si>
  <si>
    <t>Q224</t>
  </si>
  <si>
    <t>Q124</t>
  </si>
  <si>
    <t>in EUR thousands</t>
  </si>
  <si>
    <t>JUN '24</t>
  </si>
  <si>
    <t>SEP '24</t>
  </si>
  <si>
    <t>MAR '24</t>
  </si>
  <si>
    <t>Cost of Rev</t>
  </si>
  <si>
    <t>Gross Profit</t>
  </si>
  <si>
    <t>SG&amp;A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</si>
</sst>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FY&quot;0&quot;E&quot;"/>
    <numFmt numFmtId="166" formatCode="&quot;FY&quot;0&quot;a&quot;"/>
    <numFmt numFmtId="168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8" fillId="0" borderId="0" xfId="0" applyFont="1"/>
    <xf numFmtId="166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168" fontId="3" fillId="0" borderId="0" xfId="0" applyNumberFormat="1" applyFont="1"/>
    <xf numFmtId="0" fontId="0" fillId="0" borderId="0" xfId="0" applyFont="1"/>
  </cellXfs>
  <cellStyles count="1">
    <cellStyle name="Normal" xfId="0" builtinId="0"/>
  </cellStyles>
  <dxfs count="1">
    <dxf>
      <font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12</xdr:row>
      <xdr:rowOff>152400</xdr:rowOff>
    </xdr:from>
    <xdr:to>
      <xdr:col>5</xdr:col>
      <xdr:colOff>381000</xdr:colOff>
      <xdr:row>16</xdr:row>
      <xdr:rowOff>30956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A740B-02E0-D09E-BFC5-296D8E6D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6" y="2062163"/>
          <a:ext cx="2305049" cy="602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23"/>
  <sheetViews>
    <sheetView workbookViewId="0">
      <selection sqref="A1:XFD2"/>
    </sheetView>
  </sheetViews>
  <sheetFormatPr defaultRowHeight="14.25" x14ac:dyDescent="0.45"/>
  <cols>
    <col min="1" max="2" width="2.73046875" customWidth="1"/>
  </cols>
  <sheetData>
    <row r="1" spans="3:3" ht="5" customHeight="1" x14ac:dyDescent="0.45"/>
    <row r="2" spans="3:3" ht="3" customHeight="1" x14ac:dyDescent="0.45"/>
    <row r="3" spans="3:3" x14ac:dyDescent="0.45">
      <c r="C3" t="s">
        <v>0</v>
      </c>
    </row>
    <row r="5" spans="3:3" x14ac:dyDescent="0.45">
      <c r="C5" s="1" t="s">
        <v>1</v>
      </c>
    </row>
    <row r="6" spans="3:3" x14ac:dyDescent="0.45">
      <c r="C6" s="2" t="s">
        <v>2</v>
      </c>
    </row>
    <row r="8" spans="3:3" x14ac:dyDescent="0.45">
      <c r="C8" s="1" t="s">
        <v>3</v>
      </c>
    </row>
    <row r="9" spans="3:3" x14ac:dyDescent="0.45">
      <c r="C9" s="1"/>
    </row>
    <row r="10" spans="3:3" x14ac:dyDescent="0.45">
      <c r="C10" s="2" t="s">
        <v>4</v>
      </c>
    </row>
    <row r="12" spans="3:3" x14ac:dyDescent="0.45">
      <c r="C12" t="s">
        <v>5</v>
      </c>
    </row>
    <row r="18" spans="3:5" x14ac:dyDescent="0.45">
      <c r="C18" s="1" t="s">
        <v>6</v>
      </c>
    </row>
    <row r="19" spans="3:5" x14ac:dyDescent="0.45">
      <c r="C19" t="s">
        <v>10</v>
      </c>
      <c r="E19" s="3" t="s">
        <v>11</v>
      </c>
    </row>
    <row r="20" spans="3:5" x14ac:dyDescent="0.45">
      <c r="C20" t="s">
        <v>8</v>
      </c>
      <c r="E20" s="4" t="s">
        <v>11</v>
      </c>
    </row>
    <row r="21" spans="3:5" x14ac:dyDescent="0.45">
      <c r="C21" t="s">
        <v>9</v>
      </c>
      <c r="E21" s="5" t="s">
        <v>11</v>
      </c>
    </row>
    <row r="22" spans="3:5" x14ac:dyDescent="0.45">
      <c r="C22" t="s">
        <v>7</v>
      </c>
      <c r="E22" s="6" t="s">
        <v>11</v>
      </c>
    </row>
    <row r="23" spans="3:5" x14ac:dyDescent="0.45">
      <c r="C23" t="s">
        <v>12</v>
      </c>
      <c r="E23" s="7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DBF1-503E-4D2E-813B-7494318ECFC0}">
  <dimension ref="A1:K23"/>
  <sheetViews>
    <sheetView showGridLines="0" workbookViewId="0">
      <selection sqref="A1:XFD2"/>
    </sheetView>
  </sheetViews>
  <sheetFormatPr defaultRowHeight="14.25" x14ac:dyDescent="0.45"/>
  <cols>
    <col min="1" max="2" width="2.73046875" customWidth="1"/>
    <col min="3" max="3" width="15.59765625" customWidth="1"/>
    <col min="11" max="11" width="48.59765625" customWidth="1"/>
  </cols>
  <sheetData>
    <row r="1" spans="1:11" ht="6" customHeight="1" x14ac:dyDescent="0.45"/>
    <row r="2" spans="1:11" s="8" customFormat="1" ht="6" customHeight="1" x14ac:dyDescent="0.45">
      <c r="A2"/>
    </row>
    <row r="3" spans="1:11" s="8" customFormat="1" x14ac:dyDescent="0.45">
      <c r="A3"/>
      <c r="C3" s="9" t="s">
        <v>13</v>
      </c>
    </row>
    <row r="4" spans="1:11" s="8" customFormat="1" ht="4.05" customHeight="1" x14ac:dyDescent="0.45">
      <c r="A4"/>
      <c r="C4" s="9"/>
    </row>
    <row r="5" spans="1:11" s="8" customFormat="1" x14ac:dyDescent="0.45">
      <c r="A5"/>
      <c r="C5" s="9" t="s">
        <v>14</v>
      </c>
    </row>
    <row r="6" spans="1:11" s="8" customFormat="1" x14ac:dyDescent="0.45">
      <c r="A6"/>
      <c r="C6" s="9" t="s">
        <v>15</v>
      </c>
    </row>
    <row r="7" spans="1:11" s="8" customFormat="1" ht="4.05" customHeight="1" x14ac:dyDescent="0.45">
      <c r="A7"/>
      <c r="C7" s="9"/>
    </row>
    <row r="8" spans="1:11" s="8" customFormat="1" x14ac:dyDescent="0.45">
      <c r="A8"/>
      <c r="C8" s="9" t="s">
        <v>16</v>
      </c>
    </row>
    <row r="9" spans="1:11" s="8" customFormat="1" ht="6" customHeight="1" x14ac:dyDescent="0.45">
      <c r="A9"/>
    </row>
    <row r="10" spans="1:11" ht="6" customHeight="1" x14ac:dyDescent="0.45"/>
    <row r="11" spans="1:11" s="8" customFormat="1" x14ac:dyDescent="0.45">
      <c r="A11"/>
      <c r="B11" s="10">
        <v>1</v>
      </c>
      <c r="C11" s="9" t="s">
        <v>13</v>
      </c>
    </row>
    <row r="12" spans="1:11" ht="6" customHeight="1" x14ac:dyDescent="0.45"/>
    <row r="13" spans="1:11" x14ac:dyDescent="0.45">
      <c r="C13" s="12" t="s">
        <v>17</v>
      </c>
      <c r="D13" s="12"/>
      <c r="E13" s="12"/>
      <c r="F13" s="12"/>
      <c r="G13" s="13" t="s">
        <v>19</v>
      </c>
      <c r="H13" s="12"/>
      <c r="I13" s="13" t="s">
        <v>20</v>
      </c>
      <c r="J13" s="12"/>
      <c r="K13" s="14" t="s">
        <v>21</v>
      </c>
    </row>
    <row r="14" spans="1:11" x14ac:dyDescent="0.45">
      <c r="C14" t="s">
        <v>18</v>
      </c>
      <c r="G14" s="4" t="s">
        <v>22</v>
      </c>
      <c r="I14" s="11">
        <v>45658</v>
      </c>
    </row>
    <row r="15" spans="1:11" x14ac:dyDescent="0.45">
      <c r="C15" t="s">
        <v>23</v>
      </c>
    </row>
    <row r="16" spans="1:11" ht="6" customHeight="1" x14ac:dyDescent="0.45"/>
    <row r="17" spans="1:11" s="8" customFormat="1" x14ac:dyDescent="0.45">
      <c r="A17"/>
      <c r="B17" s="10">
        <v>2</v>
      </c>
      <c r="C17" s="9" t="s">
        <v>24</v>
      </c>
    </row>
    <row r="18" spans="1:11" ht="6" customHeight="1" x14ac:dyDescent="0.45"/>
    <row r="19" spans="1:11" x14ac:dyDescent="0.45">
      <c r="C19" s="12" t="s">
        <v>25</v>
      </c>
      <c r="D19" s="12"/>
      <c r="E19" s="12"/>
      <c r="F19" s="12"/>
      <c r="G19" s="13" t="s">
        <v>28</v>
      </c>
      <c r="H19" s="12"/>
      <c r="I19" s="13" t="s">
        <v>26</v>
      </c>
      <c r="J19" s="12"/>
      <c r="K19" s="14" t="s">
        <v>27</v>
      </c>
    </row>
    <row r="20" spans="1:11" x14ac:dyDescent="0.45">
      <c r="C20" t="s">
        <v>29</v>
      </c>
      <c r="G20" s="4" t="s">
        <v>22</v>
      </c>
      <c r="I20" s="15" t="s">
        <v>33</v>
      </c>
    </row>
    <row r="21" spans="1:11" x14ac:dyDescent="0.45">
      <c r="C21" t="s">
        <v>30</v>
      </c>
      <c r="G21" s="4" t="s">
        <v>22</v>
      </c>
      <c r="I21" s="15" t="s">
        <v>33</v>
      </c>
      <c r="K21" t="s">
        <v>34</v>
      </c>
    </row>
    <row r="22" spans="1:11" x14ac:dyDescent="0.45">
      <c r="C22" t="s">
        <v>32</v>
      </c>
      <c r="G22" s="4" t="s">
        <v>22</v>
      </c>
      <c r="I22" s="15" t="s">
        <v>33</v>
      </c>
    </row>
    <row r="23" spans="1:11" x14ac:dyDescent="0.45">
      <c r="C23" t="s">
        <v>31</v>
      </c>
      <c r="G23" s="4" t="s">
        <v>22</v>
      </c>
      <c r="I23" s="15" t="s">
        <v>33</v>
      </c>
    </row>
  </sheetData>
  <conditionalFormatting sqref="I20:I23">
    <cfRule type="cellIs" dxfId="0" priority="1" operator="equal">
      <formula>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2F2B-7B36-4317-8C34-38126F70070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71E4-E5ED-4735-AB91-C0A4B2A636F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986C-A5BC-42C6-B3DA-849631E84935}">
  <dimension ref="A2:T7"/>
  <sheetViews>
    <sheetView tabSelected="1" workbookViewId="0">
      <selection activeCell="A8" sqref="A8"/>
    </sheetView>
  </sheetViews>
  <sheetFormatPr defaultRowHeight="14.25" x14ac:dyDescent="0.45"/>
  <cols>
    <col min="1" max="1" width="11.59765625" bestFit="1" customWidth="1"/>
  </cols>
  <sheetData>
    <row r="2" spans="1:20" s="16" customFormat="1" ht="13.15" x14ac:dyDescent="0.4">
      <c r="A2" s="16" t="s">
        <v>45</v>
      </c>
      <c r="H2" s="16" t="s">
        <v>48</v>
      </c>
      <c r="I2" s="16" t="s">
        <v>46</v>
      </c>
      <c r="J2" s="16" t="s">
        <v>47</v>
      </c>
    </row>
    <row r="3" spans="1:20" s="1" customFormat="1" x14ac:dyDescent="0.45">
      <c r="H3" s="1" t="s">
        <v>44</v>
      </c>
      <c r="I3" s="1" t="s">
        <v>43</v>
      </c>
      <c r="J3" s="1" t="s">
        <v>42</v>
      </c>
      <c r="N3" s="17">
        <f t="shared" ref="N3:O3" si="0">O3-1</f>
        <v>2019</v>
      </c>
      <c r="O3" s="17">
        <f>P3-1</f>
        <v>2020</v>
      </c>
      <c r="P3" s="17">
        <v>2021</v>
      </c>
      <c r="Q3" s="17">
        <f>P3+1</f>
        <v>2022</v>
      </c>
      <c r="R3" s="17">
        <f t="shared" ref="R3:T3" si="1">Q3+1</f>
        <v>2023</v>
      </c>
      <c r="S3" s="18">
        <f t="shared" si="1"/>
        <v>2024</v>
      </c>
      <c r="T3" s="18">
        <f t="shared" si="1"/>
        <v>2025</v>
      </c>
    </row>
    <row r="4" spans="1:20" x14ac:dyDescent="0.45">
      <c r="A4" t="s">
        <v>41</v>
      </c>
      <c r="H4" s="19">
        <v>40.308999999999997</v>
      </c>
      <c r="I4" s="19">
        <v>69.742000000000004</v>
      </c>
      <c r="J4" s="19">
        <v>67.733000000000004</v>
      </c>
      <c r="K4" s="19"/>
      <c r="L4" s="19"/>
      <c r="M4" s="19"/>
      <c r="N4" s="20">
        <v>16.658000000000001</v>
      </c>
      <c r="O4" s="20">
        <v>51.887999999999998</v>
      </c>
      <c r="P4" s="20">
        <v>61.317999999999998</v>
      </c>
    </row>
    <row r="5" spans="1:20" x14ac:dyDescent="0.45">
      <c r="A5" t="s">
        <v>49</v>
      </c>
      <c r="H5" s="19">
        <v>18.839999999999996</v>
      </c>
      <c r="I5" s="19">
        <v>30.627000000000002</v>
      </c>
      <c r="J5" s="19">
        <v>24.219000000000001</v>
      </c>
    </row>
    <row r="6" spans="1:20" x14ac:dyDescent="0.45">
      <c r="A6" t="s">
        <v>50</v>
      </c>
      <c r="H6" s="21">
        <f t="shared" ref="H6:I6" si="2">H4-H5</f>
        <v>21.469000000000001</v>
      </c>
      <c r="I6" s="21">
        <f t="shared" si="2"/>
        <v>39.115000000000002</v>
      </c>
      <c r="J6" s="21">
        <f>J4-J5</f>
        <v>43.514000000000003</v>
      </c>
    </row>
    <row r="7" spans="1:20" x14ac:dyDescent="0.45">
      <c r="A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40C-75B9-49FD-97D9-15D8CC8D5FE7}">
  <sheetPr>
    <tabColor theme="9"/>
  </sheetPr>
  <dimension ref="A1"/>
  <sheetViews>
    <sheetView workbookViewId="0">
      <selection activeCell="B1" sqref="B1"/>
    </sheetView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F26E-AB9B-402C-AF02-95B5D309CA64}">
  <dimension ref="B1:XFD16"/>
  <sheetViews>
    <sheetView workbookViewId="0">
      <selection activeCell="D12" sqref="D12"/>
    </sheetView>
  </sheetViews>
  <sheetFormatPr defaultRowHeight="14.25" x14ac:dyDescent="0.45"/>
  <cols>
    <col min="1" max="2" width="2.73046875" customWidth="1"/>
    <col min="3" max="3" width="24.59765625" customWidth="1"/>
  </cols>
  <sheetData>
    <row r="1" spans="2:16384" ht="6" customHeight="1" x14ac:dyDescent="0.45"/>
    <row r="2" spans="2:16384" ht="6" customHeight="1" x14ac:dyDescent="0.4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  <c r="XFD2" s="9"/>
    </row>
    <row r="3" spans="2:16384" x14ac:dyDescent="0.45">
      <c r="B3" s="9"/>
      <c r="C3" s="9" t="s">
        <v>35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  <c r="XFD3" s="9"/>
    </row>
    <row r="4" spans="2:16384" ht="6" customHeight="1" x14ac:dyDescent="0.4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  <c r="XEZ4" s="9"/>
      <c r="XFA4" s="9"/>
      <c r="XFB4" s="9"/>
      <c r="XFC4" s="9"/>
      <c r="XFD4" s="9"/>
    </row>
    <row r="5" spans="2:16384" x14ac:dyDescent="0.45">
      <c r="B5" s="9"/>
      <c r="C5" s="9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9"/>
    </row>
    <row r="6" spans="2:16384" x14ac:dyDescent="0.45">
      <c r="B6" s="9"/>
      <c r="C6" s="9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  <c r="XEP6" s="9"/>
      <c r="XEQ6" s="9"/>
      <c r="XER6" s="9"/>
      <c r="XES6" s="9"/>
      <c r="XET6" s="9"/>
      <c r="XEU6" s="9"/>
      <c r="XEV6" s="9"/>
      <c r="XEW6" s="9"/>
      <c r="XEX6" s="9"/>
      <c r="XEY6" s="9"/>
      <c r="XEZ6" s="9"/>
      <c r="XFA6" s="9"/>
      <c r="XFB6" s="9"/>
      <c r="XFC6" s="9"/>
      <c r="XFD6" s="9"/>
    </row>
    <row r="7" spans="2:16384" ht="6" customHeight="1" x14ac:dyDescent="0.4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  <c r="XFC7" s="9"/>
      <c r="XFD7" s="9"/>
    </row>
    <row r="8" spans="2:16384" x14ac:dyDescent="0.45">
      <c r="B8" s="9"/>
      <c r="C8" s="9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  <c r="XFD8" s="9"/>
    </row>
    <row r="9" spans="2:16384" ht="6" customHeight="1" x14ac:dyDescent="0.4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  <c r="XEP9" s="9"/>
      <c r="XEQ9" s="9"/>
      <c r="XER9" s="9"/>
      <c r="XES9" s="9"/>
      <c r="XET9" s="9"/>
      <c r="XEU9" s="9"/>
      <c r="XEV9" s="9"/>
      <c r="XEW9" s="9"/>
      <c r="XEX9" s="9"/>
      <c r="XEY9" s="9"/>
      <c r="XEZ9" s="9"/>
      <c r="XFA9" s="9"/>
      <c r="XFB9" s="9"/>
      <c r="XFC9" s="9"/>
      <c r="XFD9" s="9"/>
    </row>
    <row r="10" spans="2:16384" x14ac:dyDescent="0.45">
      <c r="B10" s="9"/>
      <c r="C10" s="9" t="s">
        <v>37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  <c r="XEP10" s="9"/>
      <c r="XEQ10" s="9"/>
      <c r="XER10" s="9"/>
      <c r="XES10" s="9"/>
      <c r="XET10" s="9"/>
      <c r="XEU10" s="9"/>
      <c r="XEV10" s="9"/>
      <c r="XEW10" s="9"/>
      <c r="XEX10" s="9"/>
      <c r="XEY10" s="9"/>
      <c r="XEZ10" s="9"/>
      <c r="XFA10" s="9"/>
      <c r="XFB10" s="9"/>
      <c r="XFC10" s="9"/>
      <c r="XFD10" s="9"/>
    </row>
    <row r="11" spans="2:16384" x14ac:dyDescent="0.45">
      <c r="B11" s="9"/>
      <c r="C11" s="9" t="s">
        <v>38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  <c r="XEP11" s="9"/>
      <c r="XEQ11" s="9"/>
      <c r="XER11" s="9"/>
      <c r="XES11" s="9"/>
      <c r="XET11" s="9"/>
      <c r="XEU11" s="9"/>
      <c r="XEV11" s="9"/>
      <c r="XEW11" s="9"/>
      <c r="XEX11" s="9"/>
      <c r="XEY11" s="9"/>
      <c r="XEZ11" s="9"/>
      <c r="XFA11" s="9"/>
      <c r="XFB11" s="9"/>
      <c r="XFC11" s="9"/>
      <c r="XFD11" s="9"/>
    </row>
    <row r="12" spans="2:16384" x14ac:dyDescent="0.45">
      <c r="B12" s="9"/>
      <c r="C12" s="9" t="s">
        <v>39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  <c r="XET12" s="9"/>
      <c r="XEU12" s="9"/>
      <c r="XEV12" s="9"/>
      <c r="XEW12" s="9"/>
      <c r="XEX12" s="9"/>
      <c r="XEY12" s="9"/>
      <c r="XEZ12" s="9"/>
      <c r="XFA12" s="9"/>
      <c r="XFB12" s="9"/>
      <c r="XFC12" s="9"/>
      <c r="XFD12" s="9"/>
    </row>
    <row r="13" spans="2:16384" x14ac:dyDescent="0.45">
      <c r="B13" s="9"/>
      <c r="C13" s="9" t="s">
        <v>40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  <c r="XEP13" s="9"/>
      <c r="XEQ13" s="9"/>
      <c r="XER13" s="9"/>
      <c r="XES13" s="9"/>
      <c r="XET13" s="9"/>
      <c r="XEU13" s="9"/>
      <c r="XEV13" s="9"/>
      <c r="XEW13" s="9"/>
      <c r="XEX13" s="9"/>
      <c r="XEY13" s="9"/>
      <c r="XEZ13" s="9"/>
      <c r="XFA13" s="9"/>
      <c r="XFB13" s="9"/>
      <c r="XFC13" s="9"/>
      <c r="XFD13" s="9"/>
    </row>
    <row r="14" spans="2:16384" ht="6" customHeight="1" x14ac:dyDescent="0.4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9"/>
    </row>
    <row r="15" spans="2:16384" ht="6" customHeight="1" x14ac:dyDescent="0.45"/>
    <row r="16" spans="2:16384" x14ac:dyDescent="0.45">
      <c r="C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Changelog</vt:lpstr>
      <vt:lpstr>Scenario Manager</vt:lpstr>
      <vt:lpstr>Macro</vt:lpstr>
      <vt:lpstr>Brockhaus RAW</vt:lpstr>
      <vt:lpstr>Bikeleasing&gt;&gt;&gt;</vt:lpstr>
      <vt:lpstr>Bikeleasing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2025-01-20T15:36:56Z</dcterms:modified>
</cp:coreProperties>
</file>