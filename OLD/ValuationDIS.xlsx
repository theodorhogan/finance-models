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ehaagsehogeschool-my.sharepoint.com/personal/21053197_student_hhs_nl/Documents/Stocks 10ks/DIS/"/>
    </mc:Choice>
  </mc:AlternateContent>
  <xr:revisionPtr revIDLastSave="559" documentId="11_F25DC773A252ABDACC10487EA91866DC5BDE58E7" xr6:coauthVersionLast="47" xr6:coauthVersionMax="47" xr10:uidLastSave="{A9DC0134-C97F-4A7F-A8A1-BD82CCDF1543}"/>
  <bookViews>
    <workbookView xWindow="-120" yWindow="-120" windowWidth="29040" windowHeight="15720" xr2:uid="{00000000-000D-0000-FFFF-FFFF00000000}"/>
  </bookViews>
  <sheets>
    <sheet name="Historical" sheetId="1" r:id="rId1"/>
  </sheets>
  <definedNames>
    <definedName name="Share_Price">Historical!$C$42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25" i="1" l="1"/>
  <c r="AA25" i="1"/>
  <c r="O31" i="1"/>
  <c r="O32" i="1"/>
  <c r="P32" i="1" s="1"/>
  <c r="Q32" i="1" s="1"/>
  <c r="R32" i="1" s="1"/>
  <c r="S32" i="1" s="1"/>
  <c r="T32" i="1" s="1"/>
  <c r="U32" i="1" s="1"/>
  <c r="V32" i="1" s="1"/>
  <c r="W32" i="1" s="1"/>
  <c r="X32" i="1" s="1"/>
  <c r="O36" i="1"/>
  <c r="O35" i="1" s="1"/>
  <c r="P31" i="1" l="1"/>
  <c r="Q31" i="1" s="1"/>
  <c r="R31" i="1" s="1"/>
  <c r="S31" i="1" s="1"/>
  <c r="T31" i="1" s="1"/>
  <c r="U31" i="1" s="1"/>
  <c r="V31" i="1" s="1"/>
  <c r="W31" i="1" s="1"/>
  <c r="X31" i="1" s="1"/>
  <c r="P36" i="1"/>
  <c r="Q36" i="1" s="1"/>
  <c r="R36" i="1" s="1"/>
  <c r="S36" i="1" s="1"/>
  <c r="T36" i="1" s="1"/>
  <c r="U36" i="1" s="1"/>
  <c r="V36" i="1" s="1"/>
  <c r="W36" i="1" s="1"/>
  <c r="X36" i="1" s="1"/>
  <c r="P8" i="1"/>
  <c r="Q8" i="1"/>
  <c r="R8" i="1" s="1"/>
  <c r="S8" i="1" s="1"/>
  <c r="T8" i="1" s="1"/>
  <c r="U8" i="1" s="1"/>
  <c r="V8" i="1" s="1"/>
  <c r="W8" i="1" s="1"/>
  <c r="X8" i="1" s="1"/>
  <c r="Q3" i="1"/>
  <c r="R3" i="1" s="1"/>
  <c r="S3" i="1" s="1"/>
  <c r="T3" i="1" s="1"/>
  <c r="U3" i="1" s="1"/>
  <c r="V3" i="1" s="1"/>
  <c r="W3" i="1" s="1"/>
  <c r="X3" i="1" s="1"/>
  <c r="P3" i="1"/>
  <c r="O3" i="1"/>
  <c r="Q4" i="1"/>
  <c r="R4" i="1" s="1"/>
  <c r="S4" i="1" s="1"/>
  <c r="T4" i="1" s="1"/>
  <c r="U4" i="1" s="1"/>
  <c r="V4" i="1" s="1"/>
  <c r="W4" i="1" s="1"/>
  <c r="X4" i="1" s="1"/>
  <c r="P4" i="1"/>
  <c r="O4" i="1"/>
  <c r="AB18" i="1"/>
  <c r="AA18" i="1"/>
  <c r="N35" i="1"/>
  <c r="AB10" i="1"/>
  <c r="AA10" i="1"/>
  <c r="AB8" i="1"/>
  <c r="AA8" i="1"/>
  <c r="AB7" i="1"/>
  <c r="AA7" i="1"/>
  <c r="AB5" i="1"/>
  <c r="N31" i="1"/>
  <c r="N39" i="1"/>
  <c r="M39" i="1"/>
  <c r="O7" i="1"/>
  <c r="N8" i="1"/>
  <c r="Q2" i="1"/>
  <c r="R2" i="1" s="1"/>
  <c r="S2" i="1" s="1"/>
  <c r="T2" i="1" s="1"/>
  <c r="U2" i="1" s="1"/>
  <c r="V2" i="1" s="1"/>
  <c r="W2" i="1" s="1"/>
  <c r="X2" i="1" s="1"/>
  <c r="P2" i="1"/>
  <c r="N19" i="1"/>
  <c r="N21" i="1"/>
  <c r="N37" i="1"/>
  <c r="N33" i="1"/>
  <c r="N25" i="1"/>
  <c r="N23" i="1"/>
  <c r="M23" i="1"/>
  <c r="L23" i="1"/>
  <c r="K23" i="1"/>
  <c r="J23" i="1"/>
  <c r="I23" i="1"/>
  <c r="H23" i="1"/>
  <c r="G23" i="1"/>
  <c r="F23" i="1"/>
  <c r="E23" i="1"/>
  <c r="D23" i="1"/>
  <c r="C23" i="1"/>
  <c r="N17" i="1"/>
  <c r="N11" i="1"/>
  <c r="N7" i="1"/>
  <c r="N3" i="1"/>
  <c r="M35" i="1"/>
  <c r="M31" i="1"/>
  <c r="M21" i="1"/>
  <c r="M19" i="1"/>
  <c r="M17" i="1"/>
  <c r="M33" i="1"/>
  <c r="M11" i="1"/>
  <c r="M7" i="1"/>
  <c r="L39" i="1"/>
  <c r="J39" i="1"/>
  <c r="I39" i="1"/>
  <c r="H39" i="1"/>
  <c r="G39" i="1"/>
  <c r="F39" i="1"/>
  <c r="E39" i="1"/>
  <c r="D39" i="1"/>
  <c r="C39" i="1"/>
  <c r="L26" i="1"/>
  <c r="K26" i="1"/>
  <c r="J26" i="1"/>
  <c r="I26" i="1"/>
  <c r="H26" i="1"/>
  <c r="G26" i="1"/>
  <c r="F26" i="1"/>
  <c r="E26" i="1"/>
  <c r="D26" i="1"/>
  <c r="K20" i="1"/>
  <c r="J20" i="1"/>
  <c r="I20" i="1"/>
  <c r="H20" i="1"/>
  <c r="G20" i="1"/>
  <c r="F20" i="1"/>
  <c r="E20" i="1"/>
  <c r="D20" i="1"/>
  <c r="L18" i="1"/>
  <c r="K18" i="1"/>
  <c r="J18" i="1"/>
  <c r="I18" i="1"/>
  <c r="H18" i="1"/>
  <c r="G18" i="1"/>
  <c r="F18" i="1"/>
  <c r="E18" i="1"/>
  <c r="D18" i="1"/>
  <c r="L12" i="1"/>
  <c r="K12" i="1"/>
  <c r="J12" i="1"/>
  <c r="I12" i="1"/>
  <c r="H12" i="1"/>
  <c r="G12" i="1"/>
  <c r="F12" i="1"/>
  <c r="E12" i="1"/>
  <c r="D12" i="1"/>
  <c r="L8" i="1"/>
  <c r="K8" i="1"/>
  <c r="J8" i="1"/>
  <c r="I8" i="1"/>
  <c r="H8" i="1"/>
  <c r="G8" i="1"/>
  <c r="F8" i="1"/>
  <c r="E8" i="1"/>
  <c r="D8" i="1"/>
  <c r="E4" i="1"/>
  <c r="F4" i="1"/>
  <c r="G4" i="1"/>
  <c r="H4" i="1"/>
  <c r="I4" i="1"/>
  <c r="J4" i="1"/>
  <c r="K4" i="1"/>
  <c r="L4" i="1"/>
  <c r="D4" i="1"/>
  <c r="J29" i="1"/>
  <c r="J31" i="1"/>
  <c r="J35" i="1" s="1"/>
  <c r="L35" i="1"/>
  <c r="I35" i="1"/>
  <c r="H35" i="1"/>
  <c r="G35" i="1"/>
  <c r="F35" i="1"/>
  <c r="E35" i="1"/>
  <c r="D35" i="1"/>
  <c r="C35" i="1"/>
  <c r="L31" i="1"/>
  <c r="K31" i="1"/>
  <c r="K35" i="1" s="1"/>
  <c r="K39" i="1" s="1"/>
  <c r="I31" i="1"/>
  <c r="H31" i="1"/>
  <c r="G31" i="1"/>
  <c r="F31" i="1"/>
  <c r="E31" i="1"/>
  <c r="D31" i="1"/>
  <c r="C31" i="1"/>
  <c r="C29" i="1"/>
  <c r="D29" i="1"/>
  <c r="E29" i="1"/>
  <c r="F29" i="1"/>
  <c r="G29" i="1"/>
  <c r="H29" i="1"/>
  <c r="I29" i="1"/>
  <c r="L29" i="1"/>
  <c r="P35" i="1" l="1"/>
  <c r="Q35" i="1" s="1"/>
  <c r="R35" i="1" s="1"/>
  <c r="S35" i="1" s="1"/>
  <c r="P7" i="1"/>
  <c r="Q7" i="1"/>
  <c r="R7" i="1" s="1"/>
  <c r="S7" i="1" s="1"/>
  <c r="T7" i="1" s="1"/>
  <c r="U7" i="1" s="1"/>
  <c r="V7" i="1" s="1"/>
  <c r="W7" i="1" s="1"/>
  <c r="X7" i="1" s="1"/>
  <c r="K21" i="1"/>
  <c r="J21" i="1"/>
  <c r="I21" i="1"/>
  <c r="H21" i="1"/>
  <c r="G21" i="1"/>
  <c r="F21" i="1"/>
  <c r="E21" i="1"/>
  <c r="D21" i="1"/>
  <c r="C21" i="1"/>
  <c r="L17" i="1"/>
  <c r="K17" i="1"/>
  <c r="J17" i="1"/>
  <c r="I17" i="1"/>
  <c r="I19" i="1" s="1"/>
  <c r="H17" i="1"/>
  <c r="H19" i="1" s="1"/>
  <c r="G17" i="1"/>
  <c r="F17" i="1"/>
  <c r="E17" i="1"/>
  <c r="E19" i="1" s="1"/>
  <c r="D17" i="1"/>
  <c r="D19" i="1" s="1"/>
  <c r="C17" i="1"/>
  <c r="C19" i="1" s="1"/>
  <c r="C14" i="1"/>
  <c r="C15" i="1" s="1"/>
  <c r="E14" i="1"/>
  <c r="E15" i="1"/>
  <c r="D14" i="1"/>
  <c r="D15" i="1" s="1"/>
  <c r="C5" i="1"/>
  <c r="C7" i="1" s="1"/>
  <c r="D5" i="1"/>
  <c r="D7" i="1" s="1"/>
  <c r="G14" i="1"/>
  <c r="G15" i="1" s="1"/>
  <c r="F14" i="1"/>
  <c r="F5" i="1"/>
  <c r="F7" i="1" s="1"/>
  <c r="E5" i="1"/>
  <c r="I11" i="1"/>
  <c r="H11" i="1"/>
  <c r="G11" i="1"/>
  <c r="G19" i="1" s="1"/>
  <c r="F11" i="1"/>
  <c r="F19" i="1" s="1"/>
  <c r="E11" i="1"/>
  <c r="D11" i="1"/>
  <c r="C11" i="1"/>
  <c r="H14" i="1"/>
  <c r="G5" i="1"/>
  <c r="G7" i="1" s="1"/>
  <c r="I15" i="1"/>
  <c r="H15" i="1"/>
  <c r="F15" i="1"/>
  <c r="I14" i="1"/>
  <c r="E7" i="1"/>
  <c r="K5" i="1"/>
  <c r="J5" i="1"/>
  <c r="H5" i="1"/>
  <c r="H7" i="1" s="1"/>
  <c r="J15" i="1"/>
  <c r="J14" i="1"/>
  <c r="J11" i="1"/>
  <c r="J19" i="1" s="1"/>
  <c r="I5" i="1"/>
  <c r="I7" i="1" s="1"/>
  <c r="L14" i="1"/>
  <c r="L15" i="1" s="1"/>
  <c r="K14" i="1"/>
  <c r="K15" i="1" s="1"/>
  <c r="T35" i="1" l="1"/>
  <c r="U35" i="1" s="1"/>
  <c r="V35" i="1" s="1"/>
  <c r="W35" i="1" s="1"/>
  <c r="X35" i="1" s="1"/>
  <c r="AB17" i="1" s="1"/>
  <c r="AB19" i="1" s="1"/>
  <c r="AA17" i="1"/>
  <c r="AA19" i="1" s="1"/>
  <c r="AA4" i="1"/>
  <c r="AA6" i="1" s="1"/>
  <c r="AA9" i="1" s="1"/>
  <c r="AA11" i="1" s="1"/>
  <c r="AA24" i="1" s="1"/>
  <c r="X10" i="1"/>
  <c r="AB4" i="1"/>
  <c r="AB6" i="1" s="1"/>
  <c r="AB9" i="1" s="1"/>
  <c r="AB11" i="1" s="1"/>
  <c r="L19" i="1"/>
  <c r="K11" i="1"/>
  <c r="K19" i="1" s="1"/>
  <c r="L11" i="1"/>
  <c r="K7" i="1"/>
  <c r="J7" i="1"/>
  <c r="L5" i="1"/>
  <c r="L7" i="1" s="1"/>
  <c r="D2" i="1"/>
  <c r="E2" i="1" s="1"/>
  <c r="F2" i="1" s="1"/>
  <c r="G2" i="1" s="1"/>
  <c r="H2" i="1" s="1"/>
  <c r="I2" i="1" s="1"/>
  <c r="J2" i="1" s="1"/>
  <c r="K2" i="1" s="1"/>
  <c r="L2" i="1" s="1"/>
  <c r="AB24" i="1" l="1"/>
  <c r="L20" i="1"/>
  <c r="L21" i="1"/>
</calcChain>
</file>

<file path=xl/sharedStrings.xml><?xml version="1.0" encoding="utf-8"?>
<sst xmlns="http://schemas.openxmlformats.org/spreadsheetml/2006/main" count="45" uniqueCount="40">
  <si>
    <t>CAGR or AVG</t>
  </si>
  <si>
    <t>Revenue</t>
  </si>
  <si>
    <t>EBIT</t>
  </si>
  <si>
    <t>Depr. &amp; Armor.</t>
  </si>
  <si>
    <t>EBITDA</t>
  </si>
  <si>
    <t>ST Debt</t>
  </si>
  <si>
    <t>LT Debt</t>
  </si>
  <si>
    <t>ST + LT Debt</t>
  </si>
  <si>
    <t>DISNEY</t>
  </si>
  <si>
    <t>Current Liabilities</t>
  </si>
  <si>
    <t>2x</t>
  </si>
  <si>
    <t>Excess Cash</t>
  </si>
  <si>
    <t>Market Cap</t>
  </si>
  <si>
    <t>EV</t>
  </si>
  <si>
    <t>EV/EBITDA</t>
  </si>
  <si>
    <t>Net Debt/EBITDA</t>
  </si>
  <si>
    <t>CFO</t>
  </si>
  <si>
    <t>CapEx</t>
  </si>
  <si>
    <t>Debt Issuance</t>
  </si>
  <si>
    <t>FCFE</t>
  </si>
  <si>
    <t>CS Outstanding</t>
  </si>
  <si>
    <t>FCFE/Shr</t>
  </si>
  <si>
    <t>Share price</t>
  </si>
  <si>
    <t>FCFE Yield</t>
  </si>
  <si>
    <t>2022 (EST.)</t>
  </si>
  <si>
    <t>Current Assets</t>
  </si>
  <si>
    <t>`</t>
  </si>
  <si>
    <t>EBITDA Multiple</t>
  </si>
  <si>
    <t>Multiple</t>
  </si>
  <si>
    <t>Shares</t>
  </si>
  <si>
    <t>Price</t>
  </si>
  <si>
    <t>Add Cash</t>
  </si>
  <si>
    <t>Less Debt</t>
  </si>
  <si>
    <t>FCFE Multiple</t>
  </si>
  <si>
    <t>Yield</t>
  </si>
  <si>
    <t>Average</t>
  </si>
  <si>
    <t>CAGR</t>
  </si>
  <si>
    <t>Subscriber Guidance 260 million by 2024</t>
  </si>
  <si>
    <t>Current share price</t>
  </si>
  <si>
    <t>Return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</si>
</sst>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$-409]* #,##0.00_);_([$$-409]* \(#,##0.00\);_([$$-409]* &quot;-&quot;??_);_(@_)"/>
    <numFmt numFmtId="165" formatCode="_([$$-409]* #,##0_);_([$$-409]* \(#,##0\);_([$$-409]* &quot;-&quot;??_);_(@_)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5" fontId="3" fillId="0" borderId="0" xfId="0" applyNumberFormat="1" applyFont="1"/>
    <xf numFmtId="9" fontId="4" fillId="0" borderId="0" xfId="1" applyFont="1" applyAlignment="1">
      <alignment horizontal="center"/>
    </xf>
    <xf numFmtId="9" fontId="4" fillId="0" borderId="0" xfId="1" applyFont="1"/>
    <xf numFmtId="0" fontId="4" fillId="0" borderId="0" xfId="0" applyFont="1" applyAlignment="1">
      <alignment horizontal="center"/>
    </xf>
    <xf numFmtId="10" fontId="4" fillId="0" borderId="0" xfId="1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9" fontId="3" fillId="0" borderId="0" xfId="1" applyFont="1"/>
    <xf numFmtId="2" fontId="3" fillId="0" borderId="0" xfId="0" applyNumberFormat="1" applyFont="1"/>
    <xf numFmtId="2" fontId="4" fillId="0" borderId="0" xfId="0" applyNumberFormat="1" applyFont="1" applyAlignment="1">
      <alignment horizontal="center"/>
    </xf>
    <xf numFmtId="1" fontId="3" fillId="0" borderId="0" xfId="0" applyNumberFormat="1" applyFont="1"/>
    <xf numFmtId="0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10" fontId="4" fillId="0" borderId="0" xfId="1" applyNumberFormat="1" applyFont="1"/>
    <xf numFmtId="2" fontId="3" fillId="6" borderId="0" xfId="0" applyNumberFormat="1" applyFont="1" applyFill="1"/>
    <xf numFmtId="9" fontId="4" fillId="0" borderId="0" xfId="0" applyNumberFormat="1" applyFont="1"/>
    <xf numFmtId="0" fontId="3" fillId="7" borderId="1" xfId="0" applyFont="1" applyFill="1" applyBorder="1"/>
    <xf numFmtId="0" fontId="3" fillId="7" borderId="2" xfId="0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165" fontId="3" fillId="7" borderId="0" xfId="0" applyNumberFormat="1" applyFont="1" applyFill="1" applyBorder="1"/>
    <xf numFmtId="165" fontId="3" fillId="7" borderId="5" xfId="0" applyNumberFormat="1" applyFont="1" applyFill="1" applyBorder="1"/>
    <xf numFmtId="2" fontId="3" fillId="7" borderId="0" xfId="0" applyNumberFormat="1" applyFont="1" applyFill="1" applyBorder="1"/>
    <xf numFmtId="2" fontId="3" fillId="7" borderId="5" xfId="0" applyNumberFormat="1" applyFont="1" applyFill="1" applyBorder="1"/>
    <xf numFmtId="0" fontId="3" fillId="7" borderId="4" xfId="0" applyFont="1" applyFill="1" applyBorder="1" applyAlignment="1">
      <alignment horizontal="left" indent="1"/>
    </xf>
    <xf numFmtId="0" fontId="3" fillId="7" borderId="0" xfId="0" applyNumberFormat="1" applyFont="1" applyFill="1" applyBorder="1"/>
    <xf numFmtId="0" fontId="3" fillId="7" borderId="5" xfId="0" applyNumberFormat="1" applyFont="1" applyFill="1" applyBorder="1"/>
    <xf numFmtId="0" fontId="3" fillId="8" borderId="1" xfId="0" applyFont="1" applyFill="1" applyBorder="1"/>
    <xf numFmtId="0" fontId="3" fillId="8" borderId="2" xfId="0" applyFont="1" applyFill="1" applyBorder="1"/>
    <xf numFmtId="0" fontId="3" fillId="8" borderId="3" xfId="0" applyFont="1" applyFill="1" applyBorder="1"/>
    <xf numFmtId="0" fontId="3" fillId="8" borderId="4" xfId="0" applyFont="1" applyFill="1" applyBorder="1"/>
    <xf numFmtId="164" fontId="3" fillId="8" borderId="0" xfId="0" applyNumberFormat="1" applyFont="1" applyFill="1" applyBorder="1"/>
    <xf numFmtId="164" fontId="3" fillId="8" borderId="5" xfId="0" applyNumberFormat="1" applyFont="1" applyFill="1" applyBorder="1"/>
    <xf numFmtId="10" fontId="3" fillId="8" borderId="0" xfId="0" applyNumberFormat="1" applyFont="1" applyFill="1" applyBorder="1"/>
    <xf numFmtId="10" fontId="3" fillId="8" borderId="5" xfId="0" applyNumberFormat="1" applyFont="1" applyFill="1" applyBorder="1"/>
    <xf numFmtId="0" fontId="3" fillId="9" borderId="1" xfId="0" applyFont="1" applyFill="1" applyBorder="1"/>
    <xf numFmtId="0" fontId="3" fillId="9" borderId="2" xfId="0" applyFont="1" applyFill="1" applyBorder="1"/>
    <xf numFmtId="0" fontId="3" fillId="9" borderId="3" xfId="0" applyFont="1" applyFill="1" applyBorder="1"/>
    <xf numFmtId="0" fontId="3" fillId="9" borderId="4" xfId="0" applyFont="1" applyFill="1" applyBorder="1"/>
    <xf numFmtId="164" fontId="3" fillId="9" borderId="0" xfId="0" applyNumberFormat="1" applyFont="1" applyFill="1" applyBorder="1"/>
    <xf numFmtId="164" fontId="3" fillId="9" borderId="5" xfId="0" applyNumberFormat="1" applyFont="1" applyFill="1" applyBorder="1"/>
    <xf numFmtId="0" fontId="3" fillId="9" borderId="6" xfId="0" applyFont="1" applyFill="1" applyBorder="1"/>
    <xf numFmtId="166" fontId="4" fillId="9" borderId="7" xfId="0" applyNumberFormat="1" applyFont="1" applyFill="1" applyBorder="1" applyAlignment="1">
      <alignment horizontal="center"/>
    </xf>
    <xf numFmtId="166" fontId="4" fillId="9" borderId="8" xfId="0" applyNumberFormat="1" applyFont="1" applyFill="1" applyBorder="1" applyAlignment="1">
      <alignment horizontal="center"/>
    </xf>
    <xf numFmtId="0" fontId="3" fillId="8" borderId="9" xfId="0" applyFont="1" applyFill="1" applyBorder="1"/>
    <xf numFmtId="165" fontId="3" fillId="8" borderId="10" xfId="0" applyNumberFormat="1" applyFont="1" applyFill="1" applyBorder="1"/>
    <xf numFmtId="165" fontId="3" fillId="8" borderId="11" xfId="0" applyNumberFormat="1" applyFont="1" applyFill="1" applyBorder="1"/>
    <xf numFmtId="0" fontId="3" fillId="0" borderId="0" xfId="0" applyFont="1" applyAlignment="1">
      <alignment horizontal="center"/>
    </xf>
    <xf numFmtId="0" fontId="3" fillId="7" borderId="9" xfId="0" applyFont="1" applyFill="1" applyBorder="1"/>
    <xf numFmtId="164" fontId="3" fillId="7" borderId="10" xfId="0" applyNumberFormat="1" applyFont="1" applyFill="1" applyBorder="1"/>
    <xf numFmtId="164" fontId="3" fillId="7" borderId="11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42"/>
  <sheetViews>
    <sheetView showGridLines="0" tabSelected="1" zoomScale="70" zoomScaleNormal="70" workbookViewId="0">
      <selection activeCell="N49" sqref="N49"/>
    </sheetView>
  </sheetViews>
  <sheetFormatPr defaultRowHeight="15" x14ac:dyDescent="0.25"/>
  <cols>
    <col min="1" max="1" width="4.42578125" style="1" bestFit="1" customWidth="1"/>
    <col min="2" max="2" width="23.85546875" style="1" bestFit="1" customWidth="1"/>
    <col min="3" max="3" width="12.85546875" style="1" bestFit="1" customWidth="1"/>
    <col min="4" max="4" width="13.42578125" style="1" bestFit="1" customWidth="1"/>
    <col min="5" max="6" width="13.85546875" style="1" bestFit="1" customWidth="1"/>
    <col min="7" max="7" width="13.42578125" style="1" bestFit="1" customWidth="1"/>
    <col min="8" max="8" width="13.85546875" style="1" bestFit="1" customWidth="1"/>
    <col min="9" max="9" width="13.42578125" style="1" bestFit="1" customWidth="1"/>
    <col min="10" max="12" width="14.28515625" style="1" bestFit="1" customWidth="1"/>
    <col min="13" max="13" width="15" style="1" bestFit="1" customWidth="1"/>
    <col min="14" max="14" width="17.28515625" style="1" bestFit="1" customWidth="1"/>
    <col min="15" max="15" width="15" style="1" bestFit="1" customWidth="1"/>
    <col min="16" max="16" width="14.28515625" style="1" bestFit="1" customWidth="1"/>
    <col min="17" max="17" width="15" style="1" bestFit="1" customWidth="1"/>
    <col min="18" max="18" width="14.5703125" style="1" bestFit="1" customWidth="1"/>
    <col min="19" max="24" width="15" style="1" bestFit="1" customWidth="1"/>
    <col min="25" max="25" width="9.140625" style="1"/>
    <col min="26" max="26" width="14.42578125" style="1" bestFit="1" customWidth="1"/>
    <col min="27" max="27" width="17.7109375" style="1" bestFit="1" customWidth="1"/>
    <col min="28" max="28" width="17.28515625" style="1" bestFit="1" customWidth="1"/>
    <col min="29" max="16384" width="9.140625" style="1"/>
  </cols>
  <sheetData>
    <row r="2" spans="1:28" x14ac:dyDescent="0.25">
      <c r="B2" s="2" t="s">
        <v>8</v>
      </c>
      <c r="C2" s="4">
        <v>2012</v>
      </c>
      <c r="D2" s="4">
        <f>C2+1</f>
        <v>2013</v>
      </c>
      <c r="E2" s="4">
        <f t="shared" ref="E2:L2" si="0">D2+1</f>
        <v>2014</v>
      </c>
      <c r="F2" s="4">
        <f t="shared" si="0"/>
        <v>2015</v>
      </c>
      <c r="G2" s="4">
        <f t="shared" si="0"/>
        <v>2016</v>
      </c>
      <c r="H2" s="4">
        <f t="shared" si="0"/>
        <v>2017</v>
      </c>
      <c r="I2" s="4">
        <f t="shared" si="0"/>
        <v>2018</v>
      </c>
      <c r="J2" s="4">
        <f t="shared" si="0"/>
        <v>2019</v>
      </c>
      <c r="K2" s="4">
        <f t="shared" si="0"/>
        <v>2020</v>
      </c>
      <c r="L2" s="4">
        <f t="shared" si="0"/>
        <v>2021</v>
      </c>
      <c r="M2" s="4" t="s">
        <v>24</v>
      </c>
      <c r="N2" s="5" t="s">
        <v>0</v>
      </c>
      <c r="O2" s="6">
        <v>2023</v>
      </c>
      <c r="P2" s="6">
        <f>O2+1</f>
        <v>2024</v>
      </c>
      <c r="Q2" s="6">
        <f t="shared" ref="Q2:X2" si="1">P2+1</f>
        <v>2025</v>
      </c>
      <c r="R2" s="6">
        <f t="shared" si="1"/>
        <v>2026</v>
      </c>
      <c r="S2" s="6">
        <f t="shared" si="1"/>
        <v>2027</v>
      </c>
      <c r="T2" s="6">
        <f t="shared" si="1"/>
        <v>2028</v>
      </c>
      <c r="U2" s="6">
        <f t="shared" si="1"/>
        <v>2029</v>
      </c>
      <c r="V2" s="6">
        <f t="shared" si="1"/>
        <v>2030</v>
      </c>
      <c r="W2" s="6">
        <f t="shared" si="1"/>
        <v>2031</v>
      </c>
      <c r="X2" s="6">
        <f t="shared" si="1"/>
        <v>2032</v>
      </c>
      <c r="Z2" s="54" t="s">
        <v>27</v>
      </c>
      <c r="AA2" s="54"/>
      <c r="AB2" s="54"/>
    </row>
    <row r="3" spans="1:28" x14ac:dyDescent="0.25">
      <c r="B3" s="1" t="s">
        <v>1</v>
      </c>
      <c r="C3" s="7">
        <v>42278</v>
      </c>
      <c r="D3" s="7">
        <v>45041</v>
      </c>
      <c r="E3" s="7">
        <v>18813</v>
      </c>
      <c r="F3" s="7">
        <v>5465</v>
      </c>
      <c r="G3" s="7">
        <v>55632</v>
      </c>
      <c r="H3" s="7">
        <v>55137</v>
      </c>
      <c r="I3" s="7">
        <v>59434</v>
      </c>
      <c r="J3" s="7">
        <v>69570</v>
      </c>
      <c r="K3" s="7">
        <v>65388</v>
      </c>
      <c r="L3" s="7">
        <v>67418</v>
      </c>
      <c r="M3" s="7">
        <v>82740</v>
      </c>
      <c r="N3" s="8">
        <f>(M3/C3)^(1/10)-1</f>
        <v>6.9449072631803999E-2</v>
      </c>
      <c r="O3" s="7">
        <f>M3*(1+N3)</f>
        <v>88486.216269555458</v>
      </c>
      <c r="P3" s="7">
        <f>O3*(1+P4)</f>
        <v>94631.501930173326</v>
      </c>
      <c r="Q3" s="7">
        <f t="shared" ref="Q3:X3" si="2">P3*(1+Q4)</f>
        <v>101203.57198097864</v>
      </c>
      <c r="R3" s="7">
        <f t="shared" si="2"/>
        <v>108232.06620208363</v>
      </c>
      <c r="S3" s="7">
        <f t="shared" si="2"/>
        <v>115748.68282884236</v>
      </c>
      <c r="T3" s="7">
        <f t="shared" si="2"/>
        <v>123787.32150965827</v>
      </c>
      <c r="U3" s="7">
        <f t="shared" si="2"/>
        <v>132384.236192079</v>
      </c>
      <c r="V3" s="7">
        <f t="shared" si="2"/>
        <v>141578.19862668859</v>
      </c>
      <c r="W3" s="7">
        <f t="shared" si="2"/>
        <v>151410.67322619347</v>
      </c>
      <c r="X3" s="7">
        <f t="shared" si="2"/>
        <v>161926.00406830973</v>
      </c>
      <c r="Z3" s="23"/>
      <c r="AA3" s="24">
        <v>2027</v>
      </c>
      <c r="AB3" s="25">
        <v>2032</v>
      </c>
    </row>
    <row r="4" spans="1:28" x14ac:dyDescent="0.25">
      <c r="B4" s="3"/>
      <c r="C4" s="7"/>
      <c r="D4" s="9">
        <f>(D3/C3)-1</f>
        <v>6.5353138748285078E-2</v>
      </c>
      <c r="E4" s="9">
        <f t="shared" ref="E4:L4" si="3">(E3/D3)-1</f>
        <v>-0.5823138917874825</v>
      </c>
      <c r="F4" s="9">
        <f t="shared" si="3"/>
        <v>-0.7095093818104502</v>
      </c>
      <c r="G4" s="9">
        <f t="shared" si="3"/>
        <v>9.179688929551693</v>
      </c>
      <c r="H4" s="9">
        <f t="shared" si="3"/>
        <v>-8.8977566867989299E-3</v>
      </c>
      <c r="I4" s="9">
        <f t="shared" si="3"/>
        <v>7.7933148339590419E-2</v>
      </c>
      <c r="J4" s="9">
        <f t="shared" si="3"/>
        <v>0.17054211394151486</v>
      </c>
      <c r="K4" s="9">
        <f t="shared" si="3"/>
        <v>-6.0112117291936218E-2</v>
      </c>
      <c r="L4" s="9">
        <f t="shared" si="3"/>
        <v>3.1045451764849741E-2</v>
      </c>
      <c r="M4" s="7"/>
      <c r="N4" s="10"/>
      <c r="O4" s="22">
        <f>N3</f>
        <v>6.9449072631803999E-2</v>
      </c>
      <c r="P4" s="22">
        <f>O4</f>
        <v>6.9449072631803999E-2</v>
      </c>
      <c r="Q4" s="22">
        <f t="shared" ref="Q4:X4" si="4">P4</f>
        <v>6.9449072631803999E-2</v>
      </c>
      <c r="R4" s="22">
        <f t="shared" si="4"/>
        <v>6.9449072631803999E-2</v>
      </c>
      <c r="S4" s="22">
        <f t="shared" si="4"/>
        <v>6.9449072631803999E-2</v>
      </c>
      <c r="T4" s="22">
        <f t="shared" si="4"/>
        <v>6.9449072631803999E-2</v>
      </c>
      <c r="U4" s="22">
        <f t="shared" si="4"/>
        <v>6.9449072631803999E-2</v>
      </c>
      <c r="V4" s="22">
        <f t="shared" si="4"/>
        <v>6.9449072631803999E-2</v>
      </c>
      <c r="W4" s="22">
        <f t="shared" si="4"/>
        <v>6.9449072631803999E-2</v>
      </c>
      <c r="X4" s="22">
        <f t="shared" si="4"/>
        <v>6.9449072631803999E-2</v>
      </c>
      <c r="Z4" s="26" t="s">
        <v>4</v>
      </c>
      <c r="AA4" s="27">
        <f>S7</f>
        <v>16202.557593000467</v>
      </c>
      <c r="AB4" s="28">
        <f>X7</f>
        <v>19271.369962629928</v>
      </c>
    </row>
    <row r="5" spans="1:28" x14ac:dyDescent="0.25">
      <c r="B5" s="1" t="s">
        <v>2</v>
      </c>
      <c r="C5" s="7">
        <f>9260-369</f>
        <v>8891</v>
      </c>
      <c r="D5" s="7">
        <f>9620-235</f>
        <v>9385</v>
      </c>
      <c r="E5" s="7">
        <f>12246+23</f>
        <v>12269</v>
      </c>
      <c r="F5" s="7">
        <f>13868-117</f>
        <v>13751</v>
      </c>
      <c r="G5" s="7">
        <f>14868-260</f>
        <v>14608</v>
      </c>
      <c r="H5" s="7">
        <f>13788+385</f>
        <v>14173</v>
      </c>
      <c r="I5" s="7">
        <f>14729+574</f>
        <v>15303</v>
      </c>
      <c r="J5" s="7">
        <f>13923+103+1183</f>
        <v>15209</v>
      </c>
      <c r="K5" s="7">
        <f>-1743+1491+5735</f>
        <v>5483</v>
      </c>
      <c r="L5" s="7">
        <f>2561+1406</f>
        <v>3967</v>
      </c>
      <c r="M5" s="7"/>
      <c r="N5" s="10"/>
      <c r="Z5" s="26" t="s">
        <v>28</v>
      </c>
      <c r="AA5" s="29">
        <v>15</v>
      </c>
      <c r="AB5" s="30">
        <f>AA5</f>
        <v>15</v>
      </c>
    </row>
    <row r="6" spans="1:28" x14ac:dyDescent="0.25">
      <c r="B6" s="1" t="s">
        <v>3</v>
      </c>
      <c r="C6" s="7">
        <v>1987</v>
      </c>
      <c r="D6" s="7">
        <v>2192</v>
      </c>
      <c r="E6" s="7">
        <v>2288</v>
      </c>
      <c r="F6" s="7">
        <v>2354</v>
      </c>
      <c r="G6" s="7">
        <v>2527</v>
      </c>
      <c r="H6" s="7">
        <v>2782</v>
      </c>
      <c r="I6" s="7">
        <v>3011</v>
      </c>
      <c r="J6" s="7">
        <v>4167</v>
      </c>
      <c r="K6" s="7">
        <v>5345</v>
      </c>
      <c r="L6" s="7">
        <v>5111</v>
      </c>
      <c r="M6" s="7"/>
      <c r="N6" s="10"/>
      <c r="Z6" s="26" t="s">
        <v>13</v>
      </c>
      <c r="AA6" s="27">
        <f>AA4*AA5</f>
        <v>243038.363895007</v>
      </c>
      <c r="AB6" s="28">
        <f t="shared" ref="AB6" si="5">AB4*AB5</f>
        <v>289070.54943944892</v>
      </c>
    </row>
    <row r="7" spans="1:28" x14ac:dyDescent="0.25">
      <c r="B7" s="1" t="s">
        <v>4</v>
      </c>
      <c r="C7" s="7">
        <f t="shared" ref="C7:H7" si="6">SUM(C5:C6)</f>
        <v>10878</v>
      </c>
      <c r="D7" s="7">
        <f t="shared" si="6"/>
        <v>11577</v>
      </c>
      <c r="E7" s="7">
        <f t="shared" si="6"/>
        <v>14557</v>
      </c>
      <c r="F7" s="7">
        <f t="shared" si="6"/>
        <v>16105</v>
      </c>
      <c r="G7" s="7">
        <f t="shared" si="6"/>
        <v>17135</v>
      </c>
      <c r="H7" s="7">
        <f t="shared" si="6"/>
        <v>16955</v>
      </c>
      <c r="I7" s="7">
        <f>SUM(I5:I6)</f>
        <v>18314</v>
      </c>
      <c r="J7" s="7">
        <f>SUM(J5:J6)</f>
        <v>19376</v>
      </c>
      <c r="K7" s="7">
        <f t="shared" ref="K7:L7" si="7">SUM(K5:K6)</f>
        <v>10828</v>
      </c>
      <c r="L7" s="7">
        <f t="shared" si="7"/>
        <v>9078</v>
      </c>
      <c r="M7" s="7">
        <f>M3*0.13</f>
        <v>10756.2</v>
      </c>
      <c r="N7" s="11">
        <f>(M7/C7)^(1/10)-1</f>
        <v>-1.1253731415687973E-3</v>
      </c>
      <c r="O7" s="7">
        <f>L7*(1+O8)</f>
        <v>13617</v>
      </c>
      <c r="P7" s="7">
        <f>O7*(1+P8)</f>
        <v>14269.227916831151</v>
      </c>
      <c r="Q7" s="7">
        <f t="shared" ref="Q7:X7" si="8">P7*(1+Q8)</f>
        <v>14918.522868658612</v>
      </c>
      <c r="R7" s="7">
        <f t="shared" si="8"/>
        <v>15563.420795975411</v>
      </c>
      <c r="S7" s="7">
        <f t="shared" si="8"/>
        <v>16202.557593000467</v>
      </c>
      <c r="T7" s="7">
        <f t="shared" si="8"/>
        <v>16834.672367405852</v>
      </c>
      <c r="U7" s="7">
        <f t="shared" si="8"/>
        <v>17458.609224991415</v>
      </c>
      <c r="V7" s="7">
        <f t="shared" si="8"/>
        <v>18073.317730326427</v>
      </c>
      <c r="W7" s="7">
        <f t="shared" si="8"/>
        <v>18677.852197305783</v>
      </c>
      <c r="X7" s="7">
        <f t="shared" si="8"/>
        <v>19271.369962629928</v>
      </c>
      <c r="Z7" s="31" t="s">
        <v>31</v>
      </c>
      <c r="AA7" s="27">
        <f>M15</f>
        <v>0</v>
      </c>
      <c r="AB7" s="28">
        <f>AA7</f>
        <v>0</v>
      </c>
    </row>
    <row r="8" spans="1:28" x14ac:dyDescent="0.25">
      <c r="C8" s="7"/>
      <c r="D8" s="9">
        <f>(D7/C7)-1</f>
        <v>6.425813568670713E-2</v>
      </c>
      <c r="E8" s="9">
        <f t="shared" ref="E8:L8" si="9">(E7/D7)-1</f>
        <v>0.25740692752872074</v>
      </c>
      <c r="F8" s="9">
        <f t="shared" si="9"/>
        <v>0.10634059215497693</v>
      </c>
      <c r="G8" s="9">
        <f t="shared" si="9"/>
        <v>6.3955293387146783E-2</v>
      </c>
      <c r="H8" s="9">
        <f t="shared" si="9"/>
        <v>-1.0504814706740584E-2</v>
      </c>
      <c r="I8" s="9">
        <f t="shared" si="9"/>
        <v>8.0153347095252236E-2</v>
      </c>
      <c r="J8" s="9">
        <f t="shared" si="9"/>
        <v>5.7988424156383056E-2</v>
      </c>
      <c r="K8" s="9">
        <f t="shared" si="9"/>
        <v>-0.44116432700247732</v>
      </c>
      <c r="L8" s="9">
        <f t="shared" si="9"/>
        <v>-0.16161802733653496</v>
      </c>
      <c r="M8" s="7"/>
      <c r="N8" s="12">
        <f>AVERAGE(G8:J8)</f>
        <v>4.7898062483010373E-2</v>
      </c>
      <c r="O8" s="9">
        <v>0.5</v>
      </c>
      <c r="P8" s="9">
        <f>N8</f>
        <v>4.7898062483010373E-2</v>
      </c>
      <c r="Q8" s="9">
        <f t="shared" ref="Q8:X8" si="10">P8*0.95</f>
        <v>4.5503159358859853E-2</v>
      </c>
      <c r="R8" s="9">
        <f t="shared" si="10"/>
        <v>4.3228001390916856E-2</v>
      </c>
      <c r="S8" s="9">
        <f t="shared" si="10"/>
        <v>4.1066601321371014E-2</v>
      </c>
      <c r="T8" s="9">
        <f t="shared" si="10"/>
        <v>3.9013271255302462E-2</v>
      </c>
      <c r="U8" s="9">
        <f t="shared" si="10"/>
        <v>3.7062607692537337E-2</v>
      </c>
      <c r="V8" s="9">
        <f t="shared" si="10"/>
        <v>3.5209477307910471E-2</v>
      </c>
      <c r="W8" s="9">
        <f t="shared" si="10"/>
        <v>3.3449003442514946E-2</v>
      </c>
      <c r="X8" s="9">
        <f t="shared" si="10"/>
        <v>3.1776553270389196E-2</v>
      </c>
      <c r="Z8" s="31" t="s">
        <v>32</v>
      </c>
      <c r="AA8" s="27">
        <f>M11</f>
        <v>54406</v>
      </c>
      <c r="AB8" s="28">
        <f>M11</f>
        <v>54406</v>
      </c>
    </row>
    <row r="9" spans="1:28" x14ac:dyDescent="0.25">
      <c r="B9" s="1" t="s">
        <v>5</v>
      </c>
      <c r="C9" s="7">
        <v>3614</v>
      </c>
      <c r="D9" s="7">
        <v>1512</v>
      </c>
      <c r="E9" s="7">
        <v>2164</v>
      </c>
      <c r="F9" s="7">
        <v>4563</v>
      </c>
      <c r="G9" s="7">
        <v>3686</v>
      </c>
      <c r="H9" s="7">
        <v>6172</v>
      </c>
      <c r="I9" s="7">
        <v>3970</v>
      </c>
      <c r="J9" s="7">
        <v>8857</v>
      </c>
      <c r="K9" s="7">
        <v>5711</v>
      </c>
      <c r="L9" s="7">
        <v>5866</v>
      </c>
      <c r="M9" s="7"/>
      <c r="N9" s="10"/>
      <c r="Z9" s="26" t="s">
        <v>12</v>
      </c>
      <c r="AA9" s="27">
        <f>AA6+AA7-AA8</f>
        <v>188632.363895007</v>
      </c>
      <c r="AB9" s="28">
        <f t="shared" ref="AB9" si="11">AB6+AB7-AB8</f>
        <v>234664.54943944892</v>
      </c>
    </row>
    <row r="10" spans="1:28" x14ac:dyDescent="0.25">
      <c r="B10" s="1" t="s">
        <v>6</v>
      </c>
      <c r="C10" s="7">
        <v>10697</v>
      </c>
      <c r="D10" s="7">
        <v>12776</v>
      </c>
      <c r="E10" s="7">
        <v>12676</v>
      </c>
      <c r="F10" s="7">
        <v>12773</v>
      </c>
      <c r="G10" s="7">
        <v>16438</v>
      </c>
      <c r="H10" s="7">
        <v>19119</v>
      </c>
      <c r="I10" s="7">
        <v>17084</v>
      </c>
      <c r="J10" s="7">
        <v>38129</v>
      </c>
      <c r="K10" s="7">
        <v>52917</v>
      </c>
      <c r="L10" s="7">
        <v>48540</v>
      </c>
      <c r="M10" s="7"/>
      <c r="N10" s="10"/>
      <c r="X10" s="13">
        <f>X7/X3</f>
        <v>0.11901343501628159</v>
      </c>
      <c r="Z10" s="26" t="s">
        <v>29</v>
      </c>
      <c r="AA10" s="32">
        <f>M33</f>
        <v>1818</v>
      </c>
      <c r="AB10" s="33">
        <f>AA10</f>
        <v>1818</v>
      </c>
    </row>
    <row r="11" spans="1:28" x14ac:dyDescent="0.25">
      <c r="B11" s="1" t="s">
        <v>7</v>
      </c>
      <c r="C11" s="7">
        <f t="shared" ref="C11:I11" si="12">SUM(C9:C10)</f>
        <v>14311</v>
      </c>
      <c r="D11" s="7">
        <f t="shared" si="12"/>
        <v>14288</v>
      </c>
      <c r="E11" s="7">
        <f t="shared" si="12"/>
        <v>14840</v>
      </c>
      <c r="F11" s="7">
        <f t="shared" si="12"/>
        <v>17336</v>
      </c>
      <c r="G11" s="7">
        <f t="shared" si="12"/>
        <v>20124</v>
      </c>
      <c r="H11" s="7">
        <f t="shared" si="12"/>
        <v>25291</v>
      </c>
      <c r="I11" s="7">
        <f t="shared" si="12"/>
        <v>21054</v>
      </c>
      <c r="J11" s="7">
        <f t="shared" ref="J11:K11" si="13">SUM(J9:J10)</f>
        <v>46986</v>
      </c>
      <c r="K11" s="7">
        <f t="shared" si="13"/>
        <v>58628</v>
      </c>
      <c r="L11" s="7">
        <f>SUM(L9:L10)</f>
        <v>54406</v>
      </c>
      <c r="M11" s="7">
        <f>L11</f>
        <v>54406</v>
      </c>
      <c r="N11" s="8">
        <f>(M11/C11)^(1/10)-1</f>
        <v>0.14287223362233203</v>
      </c>
      <c r="Z11" s="55" t="s">
        <v>30</v>
      </c>
      <c r="AA11" s="56">
        <f>AA9/AA10</f>
        <v>103.75817595984984</v>
      </c>
      <c r="AB11" s="57">
        <f t="shared" ref="AB11" si="14">AB9/AB10</f>
        <v>129.07841003270019</v>
      </c>
    </row>
    <row r="12" spans="1:28" x14ac:dyDescent="0.25">
      <c r="C12" s="7"/>
      <c r="D12" s="9">
        <f>(D11/C11)-1</f>
        <v>-1.6071553350569534E-3</v>
      </c>
      <c r="E12" s="9">
        <f t="shared" ref="E12:L12" si="15">(E11/D11)-1</f>
        <v>3.8633818589025815E-2</v>
      </c>
      <c r="F12" s="9">
        <f t="shared" si="15"/>
        <v>0.16819407008086262</v>
      </c>
      <c r="G12" s="9">
        <f t="shared" si="15"/>
        <v>0.16082141209044765</v>
      </c>
      <c r="H12" s="9">
        <f t="shared" si="15"/>
        <v>0.25675809978135566</v>
      </c>
      <c r="I12" s="9">
        <f t="shared" si="15"/>
        <v>-0.16752995136609861</v>
      </c>
      <c r="J12" s="9">
        <f t="shared" si="15"/>
        <v>1.2316899401538901</v>
      </c>
      <c r="K12" s="9">
        <f t="shared" si="15"/>
        <v>0.24777593325671488</v>
      </c>
      <c r="L12" s="9">
        <f t="shared" si="15"/>
        <v>-7.2013372450023927E-2</v>
      </c>
      <c r="M12" s="7"/>
      <c r="N12" s="10"/>
    </row>
    <row r="13" spans="1:28" x14ac:dyDescent="0.25">
      <c r="B13" s="1" t="s">
        <v>25</v>
      </c>
      <c r="C13" s="7">
        <v>13709</v>
      </c>
      <c r="D13" s="7">
        <v>14109</v>
      </c>
      <c r="E13" s="7">
        <v>15176</v>
      </c>
      <c r="F13" s="7">
        <v>16758</v>
      </c>
      <c r="G13" s="7">
        <v>16966</v>
      </c>
      <c r="H13" s="7">
        <v>15889</v>
      </c>
      <c r="I13" s="7">
        <v>16825</v>
      </c>
      <c r="J13" s="7">
        <v>28124</v>
      </c>
      <c r="K13" s="7">
        <v>35251</v>
      </c>
      <c r="L13" s="7">
        <v>33657</v>
      </c>
      <c r="M13" s="7"/>
      <c r="N13" s="10"/>
    </row>
    <row r="14" spans="1:28" x14ac:dyDescent="0.25">
      <c r="A14" s="1" t="s">
        <v>10</v>
      </c>
      <c r="B14" s="1" t="s">
        <v>9</v>
      </c>
      <c r="C14" s="7">
        <f>2*12813</f>
        <v>25626</v>
      </c>
      <c r="D14" s="7">
        <f>2*11704</f>
        <v>23408</v>
      </c>
      <c r="E14" s="7">
        <f>2*13292</f>
        <v>26584</v>
      </c>
      <c r="F14" s="7">
        <f>2*16334</f>
        <v>32668</v>
      </c>
      <c r="G14" s="7">
        <f>2*16842</f>
        <v>33684</v>
      </c>
      <c r="H14" s="7">
        <f>2*19595</f>
        <v>39190</v>
      </c>
      <c r="I14" s="7">
        <f>17860*2</f>
        <v>35720</v>
      </c>
      <c r="J14" s="7">
        <f>31341*2</f>
        <v>62682</v>
      </c>
      <c r="K14" s="7">
        <f>2*26628</f>
        <v>53256</v>
      </c>
      <c r="L14" s="7">
        <f>2*31077</f>
        <v>62154</v>
      </c>
      <c r="M14" s="7"/>
      <c r="N14" s="10"/>
    </row>
    <row r="15" spans="1:28" x14ac:dyDescent="0.25">
      <c r="B15" s="1" t="s">
        <v>11</v>
      </c>
      <c r="C15" s="7">
        <f t="shared" ref="C15" si="16">IF(C13-C14&lt;0,0,C13-C14)</f>
        <v>0</v>
      </c>
      <c r="D15" s="7">
        <f t="shared" ref="D15" si="17">IF(D13-D14&lt;0,0,D13-D14)</f>
        <v>0</v>
      </c>
      <c r="E15" s="7">
        <f t="shared" ref="E15" si="18">IF(E13-E14&lt;0,0,E13-E14)</f>
        <v>0</v>
      </c>
      <c r="F15" s="7">
        <f t="shared" ref="F15" si="19">IF(F13-F14&lt;0,0,F13-F14)</f>
        <v>0</v>
      </c>
      <c r="G15" s="7">
        <f t="shared" ref="G15" si="20">IF(G13-G14&lt;0,0,G13-G14)</f>
        <v>0</v>
      </c>
      <c r="H15" s="7">
        <f t="shared" ref="H15" si="21">IF(H13-H14&lt;0,0,H13-H14)</f>
        <v>0</v>
      </c>
      <c r="I15" s="7">
        <f t="shared" ref="I15" si="22">IF(I13-I14&lt;0,0,I13-I14)</f>
        <v>0</v>
      </c>
      <c r="J15" s="7">
        <f t="shared" ref="J15" si="23">IF(J13-J14&lt;0,0,J13-J14)</f>
        <v>0</v>
      </c>
      <c r="K15" s="7">
        <f t="shared" ref="K15" si="24">IF(K13-K14&lt;0,0,K13-K14)</f>
        <v>0</v>
      </c>
      <c r="L15" s="7">
        <f>IF(L13-L14&lt;0,0,L13-L14)</f>
        <v>0</v>
      </c>
      <c r="M15" s="7">
        <v>0</v>
      </c>
      <c r="N15" s="10"/>
      <c r="Z15" s="54" t="s">
        <v>33</v>
      </c>
      <c r="AA15" s="54"/>
      <c r="AB15" s="54"/>
    </row>
    <row r="16" spans="1:28" x14ac:dyDescent="0.2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10"/>
      <c r="Z16" s="34"/>
      <c r="AA16" s="35">
        <v>2027</v>
      </c>
      <c r="AB16" s="36">
        <v>2032</v>
      </c>
    </row>
    <row r="17" spans="2:28" x14ac:dyDescent="0.25">
      <c r="B17" s="1" t="s">
        <v>12</v>
      </c>
      <c r="C17" s="7">
        <f>C33*C37</f>
        <v>77931.287704000002</v>
      </c>
      <c r="D17" s="7">
        <f t="shared" ref="D17:M17" si="25">D33*D37</f>
        <v>91927.635350833327</v>
      </c>
      <c r="E17" s="7">
        <f t="shared" si="25"/>
        <v>124903.83139200001</v>
      </c>
      <c r="F17" s="7">
        <f t="shared" si="25"/>
        <v>158300.68749850002</v>
      </c>
      <c r="G17" s="7">
        <f t="shared" si="25"/>
        <v>150916.37691333334</v>
      </c>
      <c r="H17" s="7">
        <f t="shared" si="25"/>
        <v>152899.78561166671</v>
      </c>
      <c r="I17" s="7">
        <f t="shared" si="25"/>
        <v>153120.92277258332</v>
      </c>
      <c r="J17" s="7">
        <f t="shared" si="25"/>
        <v>221586.92653566666</v>
      </c>
      <c r="K17" s="7">
        <f t="shared" si="25"/>
        <v>224262.49355216665</v>
      </c>
      <c r="L17" s="7">
        <f t="shared" si="25"/>
        <v>311953.64848500001</v>
      </c>
      <c r="M17" s="7">
        <f t="shared" si="25"/>
        <v>238403.43236340006</v>
      </c>
      <c r="N17" s="8">
        <f>(M17/C17)^(1/10)-1</f>
        <v>0.11830448109201841</v>
      </c>
      <c r="Z17" s="37" t="s">
        <v>21</v>
      </c>
      <c r="AA17" s="38">
        <f>S35</f>
        <v>3.059132282803716</v>
      </c>
      <c r="AB17" s="39">
        <f>X35</f>
        <v>3.2298146800197105</v>
      </c>
    </row>
    <row r="18" spans="2:28" x14ac:dyDescent="0.25">
      <c r="C18" s="7"/>
      <c r="D18" s="9">
        <f>(D17/C17)-1</f>
        <v>0.17959856765096061</v>
      </c>
      <c r="E18" s="9">
        <f t="shared" ref="E18:L18" si="26">(E17/D17)-1</f>
        <v>0.3587190719669453</v>
      </c>
      <c r="F18" s="9">
        <f t="shared" si="26"/>
        <v>0.26738055778038405</v>
      </c>
      <c r="G18" s="9">
        <f t="shared" si="26"/>
        <v>-4.6647369015606066E-2</v>
      </c>
      <c r="H18" s="9">
        <f t="shared" si="26"/>
        <v>1.3142435161111576E-2</v>
      </c>
      <c r="I18" s="9">
        <f t="shared" si="26"/>
        <v>1.4462882340349204E-3</v>
      </c>
      <c r="J18" s="9">
        <f t="shared" si="26"/>
        <v>0.44713682835342961</v>
      </c>
      <c r="K18" s="9">
        <f t="shared" si="26"/>
        <v>1.2074570726397615E-2</v>
      </c>
      <c r="L18" s="9">
        <f t="shared" si="26"/>
        <v>0.39102015474752205</v>
      </c>
      <c r="M18" s="7"/>
      <c r="N18" s="10"/>
      <c r="Z18" s="37" t="s">
        <v>34</v>
      </c>
      <c r="AA18" s="40">
        <f>N39</f>
        <v>4.6135413375856603E-2</v>
      </c>
      <c r="AB18" s="41">
        <f>AA18</f>
        <v>4.6135413375856603E-2</v>
      </c>
    </row>
    <row r="19" spans="2:28" x14ac:dyDescent="0.25">
      <c r="B19" s="1" t="s">
        <v>13</v>
      </c>
      <c r="C19" s="7">
        <f>C17+C11-C15</f>
        <v>92242.287704000002</v>
      </c>
      <c r="D19" s="7">
        <f t="shared" ref="D19:M19" si="27">D17+D11-D15</f>
        <v>106215.63535083333</v>
      </c>
      <c r="E19" s="7">
        <f t="shared" si="27"/>
        <v>139743.83139200002</v>
      </c>
      <c r="F19" s="7">
        <f t="shared" si="27"/>
        <v>175636.68749850002</v>
      </c>
      <c r="G19" s="7">
        <f t="shared" si="27"/>
        <v>171040.37691333334</v>
      </c>
      <c r="H19" s="7">
        <f t="shared" si="27"/>
        <v>178190.78561166671</v>
      </c>
      <c r="I19" s="7">
        <f t="shared" si="27"/>
        <v>174174.92277258332</v>
      </c>
      <c r="J19" s="7">
        <f t="shared" si="27"/>
        <v>268572.92653566669</v>
      </c>
      <c r="K19" s="7">
        <f t="shared" si="27"/>
        <v>282890.49355216662</v>
      </c>
      <c r="L19" s="7">
        <f t="shared" si="27"/>
        <v>366359.64848500001</v>
      </c>
      <c r="M19" s="7">
        <f t="shared" si="27"/>
        <v>292809.43236340006</v>
      </c>
      <c r="N19" s="8">
        <f>(M19/C19)^(1/10)-1</f>
        <v>0.12244611144703721</v>
      </c>
      <c r="Z19" s="51" t="s">
        <v>30</v>
      </c>
      <c r="AA19" s="52">
        <f>AA17/AA18</f>
        <v>66.307681214028278</v>
      </c>
      <c r="AB19" s="53">
        <f t="shared" ref="AB19" si="28">AB17/AB18</f>
        <v>70.007277353451087</v>
      </c>
    </row>
    <row r="20" spans="2:28" x14ac:dyDescent="0.25">
      <c r="C20" s="7"/>
      <c r="D20" s="9">
        <f>(D19/C19)-1</f>
        <v>0.15148526770794057</v>
      </c>
      <c r="E20" s="9">
        <f t="shared" ref="E20:L20" si="29">(E19/D19)-1</f>
        <v>0.31566158720815518</v>
      </c>
      <c r="F20" s="9">
        <f t="shared" si="29"/>
        <v>0.25684751698138109</v>
      </c>
      <c r="G20" s="9">
        <f t="shared" si="29"/>
        <v>-2.6169421950672622E-2</v>
      </c>
      <c r="H20" s="9">
        <f t="shared" si="29"/>
        <v>4.1805384362292974E-2</v>
      </c>
      <c r="I20" s="9">
        <f t="shared" si="29"/>
        <v>-2.2536871507122802E-2</v>
      </c>
      <c r="J20" s="9">
        <f t="shared" si="29"/>
        <v>0.54197241635259363</v>
      </c>
      <c r="K20" s="9">
        <f t="shared" si="29"/>
        <v>5.3309792618276175E-2</v>
      </c>
      <c r="L20" s="9">
        <f t="shared" si="29"/>
        <v>0.29505818270786532</v>
      </c>
      <c r="M20" s="7"/>
      <c r="N20" s="10"/>
    </row>
    <row r="21" spans="2:28" x14ac:dyDescent="0.25">
      <c r="B21" s="1" t="s">
        <v>14</v>
      </c>
      <c r="C21" s="14">
        <f>C19/C7</f>
        <v>8.479710213642214</v>
      </c>
      <c r="D21" s="14">
        <f t="shared" ref="D21:M21" si="30">D19/D7</f>
        <v>9.1747115272379141</v>
      </c>
      <c r="E21" s="14">
        <f t="shared" si="30"/>
        <v>9.5997685918801974</v>
      </c>
      <c r="F21" s="14">
        <f t="shared" si="30"/>
        <v>10.905724153896307</v>
      </c>
      <c r="G21" s="14">
        <f t="shared" si="30"/>
        <v>9.981930371364653</v>
      </c>
      <c r="H21" s="14">
        <f t="shared" si="30"/>
        <v>10.509630528555984</v>
      </c>
      <c r="I21" s="14">
        <f t="shared" si="30"/>
        <v>9.5104795660469215</v>
      </c>
      <c r="J21" s="14">
        <f t="shared" si="30"/>
        <v>13.861113054070328</v>
      </c>
      <c r="K21" s="14">
        <f t="shared" si="30"/>
        <v>26.125830582948524</v>
      </c>
      <c r="L21" s="14">
        <f t="shared" si="30"/>
        <v>40.356868086032165</v>
      </c>
      <c r="M21" s="14">
        <f t="shared" si="30"/>
        <v>27.222386378405016</v>
      </c>
      <c r="N21" s="15">
        <f>AVERAGE(C21:M21)</f>
        <v>15.97528664128002</v>
      </c>
    </row>
    <row r="22" spans="2:28" x14ac:dyDescent="0.25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7"/>
      <c r="N22" s="10"/>
      <c r="Z22" s="54" t="s">
        <v>39</v>
      </c>
      <c r="AA22" s="54"/>
      <c r="AB22" s="54"/>
    </row>
    <row r="23" spans="2:28" x14ac:dyDescent="0.25">
      <c r="B23" s="1" t="s">
        <v>15</v>
      </c>
      <c r="C23" s="14">
        <f>C11/C7</f>
        <v>1.3155911013053869</v>
      </c>
      <c r="D23" s="14">
        <f t="shared" ref="D23:M23" si="31">D11/D7</f>
        <v>1.2341712015202557</v>
      </c>
      <c r="E23" s="14">
        <f t="shared" si="31"/>
        <v>1.0194408188500377</v>
      </c>
      <c r="F23" s="14">
        <f t="shared" si="31"/>
        <v>1.0764358894753183</v>
      </c>
      <c r="G23" s="14">
        <f t="shared" si="31"/>
        <v>1.1744382842135979</v>
      </c>
      <c r="H23" s="14">
        <f t="shared" si="31"/>
        <v>1.4916543792391626</v>
      </c>
      <c r="I23" s="14">
        <f t="shared" si="31"/>
        <v>1.1496123184449056</v>
      </c>
      <c r="J23" s="14">
        <f t="shared" si="31"/>
        <v>2.4249587118084226</v>
      </c>
      <c r="K23" s="21">
        <f t="shared" si="31"/>
        <v>5.4144809752493535</v>
      </c>
      <c r="L23" s="21">
        <f t="shared" si="31"/>
        <v>5.9931703018285969</v>
      </c>
      <c r="M23" s="21">
        <f t="shared" si="31"/>
        <v>5.0581060225730274</v>
      </c>
      <c r="N23" s="15">
        <f>AVERAGE(C23:M23)</f>
        <v>2.4865509095007337</v>
      </c>
      <c r="Z23" s="42"/>
      <c r="AA23" s="43">
        <v>2027</v>
      </c>
      <c r="AB23" s="44">
        <v>2032</v>
      </c>
    </row>
    <row r="24" spans="2:28" x14ac:dyDescent="0.25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0"/>
      <c r="Z24" s="45" t="s">
        <v>35</v>
      </c>
      <c r="AA24" s="46">
        <f>(AA11+AA19)/2</f>
        <v>85.03292858693905</v>
      </c>
      <c r="AB24" s="47">
        <f t="shared" ref="AB24" si="32">(AB11+AB19)/2</f>
        <v>99.542843693075639</v>
      </c>
    </row>
    <row r="25" spans="2:28" x14ac:dyDescent="0.25">
      <c r="B25" s="1" t="s">
        <v>16</v>
      </c>
      <c r="C25" s="7">
        <v>7966</v>
      </c>
      <c r="D25" s="7">
        <v>9452</v>
      </c>
      <c r="E25" s="7">
        <v>9780</v>
      </c>
      <c r="F25" s="7">
        <v>10909</v>
      </c>
      <c r="G25" s="7">
        <v>13213</v>
      </c>
      <c r="H25" s="7">
        <v>12343</v>
      </c>
      <c r="I25" s="7">
        <v>14295</v>
      </c>
      <c r="J25" s="7">
        <v>5984</v>
      </c>
      <c r="K25" s="7">
        <v>7616</v>
      </c>
      <c r="L25" s="7">
        <v>5566</v>
      </c>
      <c r="M25" s="7"/>
      <c r="N25" s="8">
        <f>(L25/C25)^(1/9)-1</f>
        <v>-3.9051037520097309E-2</v>
      </c>
      <c r="Z25" s="48" t="s">
        <v>36</v>
      </c>
      <c r="AA25" s="49">
        <f>(AA24/Share_Price)^(1/5)-1</f>
        <v>-2.3358803227635394E-2</v>
      </c>
      <c r="AB25" s="50">
        <f>(AB24/Share_Price)^(1/10)-1</f>
        <v>3.9447443939701898E-3</v>
      </c>
    </row>
    <row r="26" spans="2:28" x14ac:dyDescent="0.25">
      <c r="C26" s="7"/>
      <c r="D26" s="9">
        <f>(D25/C25)-1</f>
        <v>0.18654280692945013</v>
      </c>
      <c r="E26" s="9">
        <f t="shared" ref="E26:L26" si="33">(E25/D25)-1</f>
        <v>3.4701650444350474E-2</v>
      </c>
      <c r="F26" s="9">
        <f t="shared" si="33"/>
        <v>0.11543967280163603</v>
      </c>
      <c r="G26" s="9">
        <f t="shared" si="33"/>
        <v>0.21120176001466673</v>
      </c>
      <c r="H26" s="9">
        <f t="shared" si="33"/>
        <v>-6.5844244304851252E-2</v>
      </c>
      <c r="I26" s="9">
        <f t="shared" si="33"/>
        <v>0.15814631775095189</v>
      </c>
      <c r="J26" s="9">
        <f t="shared" si="33"/>
        <v>-0.58139209513816015</v>
      </c>
      <c r="K26" s="9">
        <f t="shared" si="33"/>
        <v>0.27272727272727271</v>
      </c>
      <c r="L26" s="9">
        <f t="shared" si="33"/>
        <v>-0.26917016806722693</v>
      </c>
      <c r="M26" s="7"/>
      <c r="N26" s="10"/>
    </row>
    <row r="27" spans="2:28" x14ac:dyDescent="0.25">
      <c r="B27" s="1" t="s">
        <v>17</v>
      </c>
      <c r="C27" s="7">
        <v>-3784</v>
      </c>
      <c r="D27" s="7">
        <v>-2796</v>
      </c>
      <c r="E27" s="7">
        <v>-3311</v>
      </c>
      <c r="F27" s="7">
        <v>-4625</v>
      </c>
      <c r="G27" s="7">
        <v>-4773</v>
      </c>
      <c r="H27" s="7">
        <v>-3623</v>
      </c>
      <c r="I27" s="7">
        <v>-4465</v>
      </c>
      <c r="J27" s="7">
        <v>-4876</v>
      </c>
      <c r="K27" s="7">
        <v>-4022</v>
      </c>
      <c r="L27" s="7">
        <v>-3578</v>
      </c>
      <c r="M27" s="7"/>
      <c r="N27" s="10"/>
    </row>
    <row r="28" spans="2:28" x14ac:dyDescent="0.25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10"/>
    </row>
    <row r="29" spans="2:28" x14ac:dyDescent="0.25">
      <c r="B29" s="1" t="s">
        <v>18</v>
      </c>
      <c r="C29" s="7">
        <f>467+3779-3822</f>
        <v>424</v>
      </c>
      <c r="D29" s="7">
        <f>-2050+3931-1502</f>
        <v>379</v>
      </c>
      <c r="E29" s="7">
        <f>50+2231-1648</f>
        <v>633</v>
      </c>
      <c r="F29" s="7">
        <f>2376+2550-2221</f>
        <v>2705</v>
      </c>
      <c r="G29" s="7">
        <f>-920+6065-2205</f>
        <v>2940</v>
      </c>
      <c r="H29" s="7">
        <f>1247+4820-2364</f>
        <v>3703</v>
      </c>
      <c r="I29" s="7">
        <f>-1768+1056-1871</f>
        <v>-2583</v>
      </c>
      <c r="J29" s="7">
        <f>38240-38881+4318</f>
        <v>3677</v>
      </c>
      <c r="K29" s="7">
        <v>0</v>
      </c>
      <c r="L29" s="7">
        <f>-3737+64-26</f>
        <v>-3699</v>
      </c>
      <c r="M29" s="7"/>
      <c r="N29" s="10"/>
    </row>
    <row r="30" spans="2:28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10"/>
    </row>
    <row r="31" spans="2:28" x14ac:dyDescent="0.25">
      <c r="B31" s="1" t="s">
        <v>19</v>
      </c>
      <c r="C31" s="7">
        <f>C25+C27+C29</f>
        <v>4606</v>
      </c>
      <c r="D31" s="7">
        <f t="shared" ref="D31:L31" si="34">D25+D27+D29</f>
        <v>7035</v>
      </c>
      <c r="E31" s="7">
        <f t="shared" si="34"/>
        <v>7102</v>
      </c>
      <c r="F31" s="7">
        <f t="shared" si="34"/>
        <v>8989</v>
      </c>
      <c r="G31" s="7">
        <f t="shared" si="34"/>
        <v>11380</v>
      </c>
      <c r="H31" s="7">
        <f t="shared" si="34"/>
        <v>12423</v>
      </c>
      <c r="I31" s="7">
        <f t="shared" si="34"/>
        <v>7247</v>
      </c>
      <c r="J31" s="7">
        <f t="shared" si="34"/>
        <v>4785</v>
      </c>
      <c r="K31" s="7">
        <f t="shared" si="34"/>
        <v>3594</v>
      </c>
      <c r="L31" s="7">
        <f t="shared" si="34"/>
        <v>-1711</v>
      </c>
      <c r="M31" s="7">
        <f>AVERAGE(H31:L31)</f>
        <v>5267.6</v>
      </c>
      <c r="N31" s="8">
        <f>(M31/C31)^(1/10)-1</f>
        <v>1.3511977649882656E-2</v>
      </c>
      <c r="O31" s="7">
        <f>M31*(1+N31)</f>
        <v>5338.7756934685221</v>
      </c>
      <c r="P31" s="7">
        <f>O31*(1+P32)</f>
        <v>5410.9131113164058</v>
      </c>
      <c r="Q31" s="7">
        <f t="shared" ref="Q31:X31" si="35">P31*(1+Q32)</f>
        <v>5484.0252483419699</v>
      </c>
      <c r="R31" s="7">
        <f t="shared" si="35"/>
        <v>5558.1252749289588</v>
      </c>
      <c r="S31" s="7">
        <f t="shared" si="35"/>
        <v>5633.2265394190472</v>
      </c>
      <c r="T31" s="7">
        <f t="shared" si="35"/>
        <v>5709.3425705164036</v>
      </c>
      <c r="U31" s="7">
        <f t="shared" si="35"/>
        <v>5786.4870797247449</v>
      </c>
      <c r="V31" s="7">
        <f t="shared" si="35"/>
        <v>5864.6739638173203</v>
      </c>
      <c r="W31" s="7">
        <f t="shared" si="35"/>
        <v>5943.917307340269</v>
      </c>
      <c r="X31" s="7">
        <f t="shared" si="35"/>
        <v>6024.2313851498011</v>
      </c>
    </row>
    <row r="32" spans="2:28" x14ac:dyDescent="0.25">
      <c r="C32" s="7" t="s">
        <v>26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10"/>
      <c r="O32" s="22">
        <f>N31</f>
        <v>1.3511977649882656E-2</v>
      </c>
      <c r="P32" s="22">
        <f>O32</f>
        <v>1.3511977649882656E-2</v>
      </c>
      <c r="Q32" s="22">
        <f t="shared" ref="Q32:X32" si="36">P32</f>
        <v>1.3511977649882656E-2</v>
      </c>
      <c r="R32" s="22">
        <f t="shared" si="36"/>
        <v>1.3511977649882656E-2</v>
      </c>
      <c r="S32" s="22">
        <f t="shared" si="36"/>
        <v>1.3511977649882656E-2</v>
      </c>
      <c r="T32" s="22">
        <f t="shared" si="36"/>
        <v>1.3511977649882656E-2</v>
      </c>
      <c r="U32" s="22">
        <f t="shared" si="36"/>
        <v>1.3511977649882656E-2</v>
      </c>
      <c r="V32" s="22">
        <f t="shared" si="36"/>
        <v>1.3511977649882656E-2</v>
      </c>
      <c r="W32" s="22">
        <f t="shared" si="36"/>
        <v>1.3511977649882656E-2</v>
      </c>
      <c r="X32" s="22">
        <f t="shared" si="36"/>
        <v>1.3511977649882656E-2</v>
      </c>
    </row>
    <row r="33" spans="2:24" x14ac:dyDescent="0.25">
      <c r="B33" s="1" t="s">
        <v>20</v>
      </c>
      <c r="C33" s="16">
        <v>1772</v>
      </c>
      <c r="D33" s="16">
        <v>1757</v>
      </c>
      <c r="E33" s="16">
        <v>1696</v>
      </c>
      <c r="F33" s="16">
        <v>1653</v>
      </c>
      <c r="G33" s="16">
        <v>1592</v>
      </c>
      <c r="H33" s="16">
        <v>1510</v>
      </c>
      <c r="I33" s="16">
        <v>1489</v>
      </c>
      <c r="J33" s="16">
        <v>1802</v>
      </c>
      <c r="K33" s="16">
        <v>1811</v>
      </c>
      <c r="L33" s="16">
        <v>1818</v>
      </c>
      <c r="M33" s="17">
        <f>L33</f>
        <v>1818</v>
      </c>
      <c r="N33" s="11">
        <f>(M33/C33)^(1/10)-1</f>
        <v>2.5661011731878958E-3</v>
      </c>
    </row>
    <row r="34" spans="2:24" x14ac:dyDescent="0.25">
      <c r="C34" s="7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10"/>
    </row>
    <row r="35" spans="2:24" x14ac:dyDescent="0.25">
      <c r="B35" s="1" t="s">
        <v>21</v>
      </c>
      <c r="C35" s="18">
        <f>C31/C33</f>
        <v>2.5993227990970653</v>
      </c>
      <c r="D35" s="18">
        <f t="shared" ref="D35:M35" si="37">D31/D33</f>
        <v>4.0039840637450199</v>
      </c>
      <c r="E35" s="18">
        <f t="shared" si="37"/>
        <v>4.1875</v>
      </c>
      <c r="F35" s="18">
        <f t="shared" si="37"/>
        <v>5.437991530550514</v>
      </c>
      <c r="G35" s="18">
        <f t="shared" si="37"/>
        <v>7.1482412060301508</v>
      </c>
      <c r="H35" s="18">
        <f t="shared" si="37"/>
        <v>8.2271523178807939</v>
      </c>
      <c r="I35" s="18">
        <f t="shared" si="37"/>
        <v>4.8670248488918739</v>
      </c>
      <c r="J35" s="18">
        <f t="shared" si="37"/>
        <v>2.6553829078801332</v>
      </c>
      <c r="K35" s="18">
        <f t="shared" si="37"/>
        <v>1.9845389287686361</v>
      </c>
      <c r="L35" s="18">
        <f t="shared" si="37"/>
        <v>-0.94114411441144119</v>
      </c>
      <c r="M35" s="18">
        <f t="shared" si="37"/>
        <v>2.8974697469746977</v>
      </c>
      <c r="N35" s="8">
        <f>(M35/C35)^(1/10)-1</f>
        <v>1.0917860142973357E-2</v>
      </c>
      <c r="O35" s="18">
        <f>M35*(1+O36)</f>
        <v>2.9291039164406638</v>
      </c>
      <c r="P35" s="18">
        <f>O35*(1+P36)</f>
        <v>2.9610834633445986</v>
      </c>
      <c r="Q35" s="18">
        <f t="shared" ref="Q35:X35" si="38">P35*(1+Q36)</f>
        <v>2.9934121584690661</v>
      </c>
      <c r="R35" s="18">
        <f t="shared" si="38"/>
        <v>3.0260938137655073</v>
      </c>
      <c r="S35" s="18">
        <f t="shared" si="38"/>
        <v>3.059132282803716</v>
      </c>
      <c r="T35" s="18">
        <f t="shared" si="38"/>
        <v>3.0925314612262218</v>
      </c>
      <c r="U35" s="18">
        <f t="shared" si="38"/>
        <v>3.1262952872076348</v>
      </c>
      <c r="V35" s="18">
        <f t="shared" si="38"/>
        <v>3.1604277419190043</v>
      </c>
      <c r="W35" s="18">
        <f t="shared" si="38"/>
        <v>3.1949328499972491</v>
      </c>
      <c r="X35" s="18">
        <f t="shared" si="38"/>
        <v>3.2298146800197105</v>
      </c>
    </row>
    <row r="36" spans="2:24" x14ac:dyDescent="0.25"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10"/>
      <c r="O36" s="22">
        <f>N35</f>
        <v>1.0917860142973357E-2</v>
      </c>
      <c r="P36" s="22">
        <f>O36</f>
        <v>1.0917860142973357E-2</v>
      </c>
      <c r="Q36" s="22">
        <f t="shared" ref="Q36:X36" si="39">P36</f>
        <v>1.0917860142973357E-2</v>
      </c>
      <c r="R36" s="22">
        <f t="shared" si="39"/>
        <v>1.0917860142973357E-2</v>
      </c>
      <c r="S36" s="22">
        <f t="shared" si="39"/>
        <v>1.0917860142973357E-2</v>
      </c>
      <c r="T36" s="22">
        <f t="shared" si="39"/>
        <v>1.0917860142973357E-2</v>
      </c>
      <c r="U36" s="22">
        <f t="shared" si="39"/>
        <v>1.0917860142973357E-2</v>
      </c>
      <c r="V36" s="22">
        <f t="shared" si="39"/>
        <v>1.0917860142973357E-2</v>
      </c>
      <c r="W36" s="22">
        <f t="shared" si="39"/>
        <v>1.0917860142973357E-2</v>
      </c>
      <c r="X36" s="22">
        <f t="shared" si="39"/>
        <v>1.0917860142973357E-2</v>
      </c>
    </row>
    <row r="37" spans="2:24" x14ac:dyDescent="0.25">
      <c r="B37" s="1" t="s">
        <v>22</v>
      </c>
      <c r="C37" s="7">
        <v>43.979281999999998</v>
      </c>
      <c r="D37" s="7">
        <v>52.320794166666666</v>
      </c>
      <c r="E37" s="7">
        <v>73.646127000000007</v>
      </c>
      <c r="F37" s="7">
        <v>95.76569116666667</v>
      </c>
      <c r="G37" s="7">
        <v>94.796719166666676</v>
      </c>
      <c r="H37" s="7">
        <v>101.25813616666669</v>
      </c>
      <c r="I37" s="7">
        <v>102.83473658333332</v>
      </c>
      <c r="J37" s="7">
        <v>122.96721783333334</v>
      </c>
      <c r="K37" s="7">
        <v>123.83351383333333</v>
      </c>
      <c r="L37" s="7">
        <v>171.59166583333334</v>
      </c>
      <c r="M37" s="7">
        <v>131.13500130000003</v>
      </c>
      <c r="N37" s="11">
        <f>(M37/C37)^(1/10)-1</f>
        <v>0.11544214369845052</v>
      </c>
    </row>
    <row r="38" spans="2:24" x14ac:dyDescent="0.25">
      <c r="N38" s="19"/>
    </row>
    <row r="39" spans="2:24" x14ac:dyDescent="0.25">
      <c r="B39" s="1" t="s">
        <v>23</v>
      </c>
      <c r="C39" s="9">
        <f>C35/C37</f>
        <v>5.9103347778553215E-2</v>
      </c>
      <c r="D39" s="9">
        <f t="shared" ref="D39:M39" si="40">D35/D37</f>
        <v>7.6527585781485316E-2</v>
      </c>
      <c r="E39" s="9">
        <f t="shared" si="40"/>
        <v>5.6859744980207849E-2</v>
      </c>
      <c r="F39" s="9">
        <f t="shared" si="40"/>
        <v>5.6784339613718836E-2</v>
      </c>
      <c r="G39" s="9">
        <f t="shared" si="40"/>
        <v>7.5405997896008228E-2</v>
      </c>
      <c r="H39" s="9">
        <f t="shared" si="40"/>
        <v>8.1249296395691534E-2</v>
      </c>
      <c r="I39" s="9">
        <f t="shared" si="40"/>
        <v>4.7328607147720206E-2</v>
      </c>
      <c r="J39" s="9">
        <f t="shared" si="40"/>
        <v>2.1594234257452032E-2</v>
      </c>
      <c r="K39" s="9">
        <f t="shared" si="40"/>
        <v>1.6025863010231733E-2</v>
      </c>
      <c r="L39" s="9">
        <f t="shared" si="40"/>
        <v>-5.4847891932325709E-3</v>
      </c>
      <c r="M39" s="9">
        <f t="shared" si="40"/>
        <v>2.2095319466586202E-2</v>
      </c>
      <c r="N39" s="11">
        <f>AVERAGE(C39:M39)</f>
        <v>4.6135413375856603E-2</v>
      </c>
    </row>
    <row r="40" spans="2:24" x14ac:dyDescent="0.25">
      <c r="N40" s="19"/>
    </row>
    <row r="41" spans="2:24" x14ac:dyDescent="0.25">
      <c r="B41" s="1" t="s">
        <v>37</v>
      </c>
    </row>
    <row r="42" spans="2:24" x14ac:dyDescent="0.25">
      <c r="B42" s="1" t="s">
        <v>38</v>
      </c>
      <c r="C42" s="18">
        <v>95.7</v>
      </c>
    </row>
  </sheetData>
  <mergeCells count="3">
    <mergeCell ref="Z2:AB2"/>
    <mergeCell ref="Z15:AB15"/>
    <mergeCell ref="Z22:AB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Historical</vt:lpstr>
      <vt:lpstr>Share_Price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 (21053197)</cp:lastModifiedBy>
  <cp:lastPrinted>2022-07-13T15:52:00Z</cp:lastPrinted>
  <dcterms:created xsi:type="dcterms:W3CDTF">2015-06-05T18:17:20Z</dcterms:created>
  <dcterms:modified xsi:type="dcterms:W3CDTF">2022-07-18T21:53:48Z</dcterms:modified>
</cp:coreProperties>
</file>