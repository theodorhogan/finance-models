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SKLZ/"/>
    </mc:Choice>
  </mc:AlternateContent>
  <xr:revisionPtr revIDLastSave="380" documentId="11_AD4DB114E441178AC67DF47D6E10C4A0683EDF12" xr6:coauthVersionLast="47" xr6:coauthVersionMax="47" xr10:uidLastSave="{4F2E1603-5AD7-43F1-808F-33A24D3F7916}"/>
  <bookViews>
    <workbookView xWindow="-120" yWindow="-120" windowWidth="29040" windowHeight="15720" xr2:uid="{00000000-000D-0000-FFFF-FFFF00000000}"/>
  </bookViews>
  <sheets>
    <sheet name="Valuation" sheetId="1" r:id="rId1"/>
    <sheet name="Sheet2" sheetId="3" r:id="rId2"/>
    <sheet name="SKLZ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9" i="1" l="1"/>
  <c r="P11" i="1"/>
  <c r="O29" i="1"/>
  <c r="O11" i="1"/>
  <c r="H6" i="1"/>
  <c r="G6" i="1"/>
  <c r="O5" i="1"/>
  <c r="P5" i="1"/>
  <c r="H7" i="1"/>
  <c r="G7" i="1"/>
  <c r="F7" i="1"/>
  <c r="E7" i="1"/>
  <c r="D7" i="1"/>
  <c r="G35" i="1"/>
  <c r="C35" i="1"/>
  <c r="D37" i="1"/>
  <c r="D21" i="1" s="1"/>
  <c r="E37" i="1"/>
  <c r="E21" i="1" s="1"/>
  <c r="F37" i="1"/>
  <c r="F21" i="1" s="1"/>
  <c r="G37" i="1"/>
  <c r="G21" i="1" s="1"/>
  <c r="G23" i="1" s="1"/>
  <c r="G25" i="1" s="1"/>
  <c r="H37" i="1"/>
  <c r="H21" i="1" s="1"/>
  <c r="C37" i="1"/>
  <c r="C21" i="1" s="1"/>
  <c r="C23" i="1" s="1"/>
  <c r="C25" i="1" s="1"/>
  <c r="C19" i="1"/>
  <c r="D6" i="3" a="1"/>
  <c r="D6" i="3" s="1"/>
  <c r="G11" i="1"/>
  <c r="C11" i="1"/>
  <c r="H10" i="1"/>
  <c r="H11" i="1" s="1"/>
  <c r="E15" i="1"/>
  <c r="D15" i="1"/>
  <c r="C15" i="1"/>
  <c r="H33" i="1"/>
  <c r="H31" i="1"/>
  <c r="H29" i="1"/>
  <c r="H35" i="1" s="1"/>
  <c r="H18" i="1"/>
  <c r="H19" i="1" s="1"/>
  <c r="H14" i="1"/>
  <c r="H15" i="1" s="1"/>
  <c r="G18" i="1"/>
  <c r="G19" i="1" s="1"/>
  <c r="G14" i="1"/>
  <c r="G15" i="1" s="1"/>
  <c r="F14" i="1"/>
  <c r="F15" i="1" s="1"/>
  <c r="D31" i="1"/>
  <c r="E31" i="1" s="1"/>
  <c r="F18" i="1"/>
  <c r="F19" i="1" s="1"/>
  <c r="E18" i="1"/>
  <c r="E19" i="1" s="1"/>
  <c r="E23" i="1" s="1"/>
  <c r="D29" i="1"/>
  <c r="D35" i="1" s="1"/>
  <c r="D18" i="1"/>
  <c r="D19" i="1" s="1"/>
  <c r="C10" i="1"/>
  <c r="D10" i="1" s="1"/>
  <c r="E29" i="1" l="1"/>
  <c r="F29" i="1" s="1"/>
  <c r="C27" i="1"/>
  <c r="D23" i="1"/>
  <c r="G27" i="1"/>
  <c r="H27" i="1"/>
  <c r="F23" i="1"/>
  <c r="E35" i="1"/>
  <c r="F31" i="1"/>
  <c r="F35" i="1" s="1"/>
  <c r="E10" i="1"/>
  <c r="D11" i="1"/>
  <c r="D27" i="1" s="1"/>
  <c r="H23" i="1"/>
  <c r="H25" i="1" s="1"/>
  <c r="E11" i="1" l="1"/>
  <c r="F10" i="1"/>
  <c r="F11" i="1" s="1"/>
  <c r="F27" i="1" s="1"/>
  <c r="D25" i="1"/>
  <c r="F25" i="1" l="1"/>
  <c r="E25" i="1"/>
  <c r="E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<sst xmlns="http://schemas.openxmlformats.org/spreadsheetml/2006/main" count="59" uniqueCount="52">
  <si>
    <t>SKLZ</t>
  </si>
  <si>
    <t>Date</t>
  </si>
  <si>
    <t>18/09/2022</t>
  </si>
  <si>
    <t>Revenue</t>
  </si>
  <si>
    <t>EBIT</t>
  </si>
  <si>
    <t>EBITDA</t>
  </si>
  <si>
    <t>Depr. &amp; Arm.</t>
  </si>
  <si>
    <t>Current Assets</t>
  </si>
  <si>
    <t>Current Liablities</t>
  </si>
  <si>
    <t>Excess Cash</t>
  </si>
  <si>
    <t>Market Cap</t>
  </si>
  <si>
    <t>EV</t>
  </si>
  <si>
    <t>EV/EBITDA</t>
  </si>
  <si>
    <t>Net Debt/EBITDA</t>
  </si>
  <si>
    <t>ST Debt</t>
  </si>
  <si>
    <t>LT Debt</t>
  </si>
  <si>
    <t>Net Debt</t>
  </si>
  <si>
    <t>CFO</t>
  </si>
  <si>
    <t>CapEx</t>
  </si>
  <si>
    <t>Debt Issuance</t>
  </si>
  <si>
    <t>FCFE</t>
  </si>
  <si>
    <t>CS Outstanding</t>
  </si>
  <si>
    <t>Share Price</t>
  </si>
  <si>
    <t>FCFE Yield</t>
  </si>
  <si>
    <t>Valuation:</t>
  </si>
  <si>
    <t>2x</t>
  </si>
  <si>
    <t>Q121</t>
  </si>
  <si>
    <t>Q221</t>
  </si>
  <si>
    <t>Q321</t>
  </si>
  <si>
    <t>Q421</t>
  </si>
  <si>
    <t>Q122</t>
  </si>
  <si>
    <t>Q222</t>
  </si>
  <si>
    <t>Q322</t>
  </si>
  <si>
    <t>Q422</t>
  </si>
  <si>
    <t>Open</t>
  </si>
  <si>
    <t>High</t>
  </si>
  <si>
    <t>Low</t>
  </si>
  <si>
    <t>Close</t>
  </si>
  <si>
    <t>Adj Close</t>
  </si>
  <si>
    <t>Volume</t>
  </si>
  <si>
    <t>Row Labels</t>
  </si>
  <si>
    <t>Grand Total</t>
  </si>
  <si>
    <t>2020</t>
  </si>
  <si>
    <t>Qtr2</t>
  </si>
  <si>
    <t>Qtr3</t>
  </si>
  <si>
    <t>Qtr4</t>
  </si>
  <si>
    <t>2021</t>
  </si>
  <si>
    <t>Qtr1</t>
  </si>
  <si>
    <t>2022</t>
  </si>
  <si>
    <t>Average of Adj Close</t>
  </si>
  <si>
    <t>FY 2021</t>
  </si>
  <si>
    <t>FY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</si>
</sst>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([$$-409]* #,##0_);_([$$-409]* \(#,##0\);_([$$-409]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/>
    <xf numFmtId="0" fontId="0" fillId="0" borderId="0" xfId="0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3" borderId="0" xfId="0" applyFill="1"/>
    <xf numFmtId="0" fontId="1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2" fontId="0" fillId="3" borderId="0" xfId="0" applyNumberFormat="1" applyFill="1" applyAlignment="1">
      <alignment vertical="center"/>
    </xf>
    <xf numFmtId="9" fontId="0" fillId="3" borderId="0" xfId="1" applyFont="1" applyFill="1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1" fillId="0" borderId="0" xfId="0" applyNumberFormat="1" applyFont="1"/>
    <xf numFmtId="9" fontId="5" fillId="3" borderId="0" xfId="1" applyFont="1" applyFill="1"/>
  </cellXfs>
  <cellStyles count="2">
    <cellStyle name="Normal" xfId="0" builtinId="0"/>
    <cellStyle name="Percent" xfId="1" builtinId="5"/>
  </cellStyles>
  <dxfs count="1"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23.495801157405" createdVersion="8" refreshedVersion="8" minRefreshableVersion="3" recordCount="30" xr:uid="{911847CA-BC60-486D-B3AA-76DA8DE2593B}">
  <cacheSource type="worksheet">
    <worksheetSource ref="A1:G31" sheet="SKLZ"/>
  </cacheSource>
  <cacheFields count="9">
    <cacheField name="Date" numFmtId="14">
      <sharedItems containsSemiMixedTypes="0" containsNonDate="0" containsDate="1" containsString="0" minDate="2020-05-01T00:00:00" maxDate="2022-09-17T00:00:00" count="30"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09-16T00:00:00"/>
      </sharedItems>
      <fieldGroup par="8" base="0">
        <rangePr groupBy="months" startDate="2020-05-01T00:00:00" endDate="2022-09-17T00:00:00"/>
        <groupItems count="14">
          <s v="&lt;5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7/2022"/>
        </groupItems>
      </fieldGroup>
    </cacheField>
    <cacheField name="Open" numFmtId="0">
      <sharedItems containsSemiMixedTypes="0" containsString="0" containsNumber="1" minValue="1.2" maxValue="33.909999999999997"/>
    </cacheField>
    <cacheField name="High" numFmtId="0">
      <sharedItems containsSemiMixedTypes="0" containsString="0" containsNumber="1" minValue="1.21" maxValue="46.298000000000002"/>
    </cacheField>
    <cacheField name="Low" numFmtId="0">
      <sharedItems containsSemiMixedTypes="0" containsString="0" containsNumber="1" minValue="1.1100000000000001" maxValue="27"/>
    </cacheField>
    <cacheField name="Close" numFmtId="0">
      <sharedItems containsSemiMixedTypes="0" containsString="0" containsNumber="1" minValue="1.1499999999999999" maxValue="31.610001"/>
    </cacheField>
    <cacheField name="Adj Close" numFmtId="0">
      <sharedItems containsSemiMixedTypes="0" containsString="0" containsNumber="1" minValue="1.1499999999999999" maxValue="31.610001"/>
    </cacheField>
    <cacheField name="Volume" numFmtId="0">
      <sharedItems containsSemiMixedTypes="0" containsString="0" containsNumber="1" containsInteger="1" minValue="5655900" maxValue="628662700"/>
    </cacheField>
    <cacheField name="Quarters" numFmtId="0" databaseField="0">
      <fieldGroup base="0">
        <rangePr groupBy="quarters" startDate="2020-05-01T00:00:00" endDate="2022-09-17T00:00:00"/>
        <groupItems count="6">
          <s v="&lt;5/1/2020"/>
          <s v="Qtr1"/>
          <s v="Qtr2"/>
          <s v="Qtr3"/>
          <s v="Qtr4"/>
          <s v="&gt;9/17/2022"/>
        </groupItems>
      </fieldGroup>
    </cacheField>
    <cacheField name="Years" numFmtId="0" databaseField="0">
      <fieldGroup base="0">
        <rangePr groupBy="years" startDate="2020-05-01T00:00:00" endDate="2022-09-17T00:00:00"/>
        <groupItems count="5">
          <s v="&lt;5/1/2020"/>
          <s v="2020"/>
          <s v="2021"/>
          <s v="2022"/>
          <s v="&gt;9/17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9.9"/>
    <n v="10.68"/>
    <n v="9.83"/>
    <n v="10.25"/>
    <n v="10.25"/>
    <n v="5655900"/>
  </r>
  <r>
    <x v="1"/>
    <n v="10.37"/>
    <n v="10.981999999999999"/>
    <n v="10.050000000000001"/>
    <n v="10.98"/>
    <n v="10.98"/>
    <n v="9073200"/>
  </r>
  <r>
    <x v="2"/>
    <n v="11"/>
    <n v="12.85"/>
    <n v="10.48"/>
    <n v="10.59"/>
    <n v="10.59"/>
    <n v="22440100"/>
  </r>
  <r>
    <x v="3"/>
    <n v="10.65"/>
    <n v="11.39"/>
    <n v="10.26"/>
    <n v="10.75"/>
    <n v="10.75"/>
    <n v="8789600"/>
  </r>
  <r>
    <x v="4"/>
    <n v="10.84"/>
    <n v="14.7"/>
    <n v="10.5"/>
    <n v="12.16"/>
    <n v="12.16"/>
    <n v="89070800"/>
  </r>
  <r>
    <x v="5"/>
    <n v="12.35"/>
    <n v="14.45"/>
    <n v="10.76"/>
    <n v="11.53"/>
    <n v="11.53"/>
    <n v="54658800"/>
  </r>
  <r>
    <x v="6"/>
    <n v="11.42"/>
    <n v="16.079999999999998"/>
    <n v="10.93"/>
    <n v="15.5"/>
    <n v="15.5"/>
    <n v="40732800"/>
  </r>
  <r>
    <x v="7"/>
    <n v="15.76"/>
    <n v="23.870000999999998"/>
    <n v="14.32"/>
    <n v="20"/>
    <n v="20"/>
    <n v="127877100"/>
  </r>
  <r>
    <x v="8"/>
    <n v="19.899999999999999"/>
    <n v="30.370000999999998"/>
    <n v="18.059999000000001"/>
    <n v="27.620000999999998"/>
    <n v="27.620000999999998"/>
    <n v="121452000"/>
  </r>
  <r>
    <x v="9"/>
    <n v="28.02"/>
    <n v="46.298000000000002"/>
    <n v="27"/>
    <n v="31.610001"/>
    <n v="31.610001"/>
    <n v="128616100"/>
  </r>
  <r>
    <x v="10"/>
    <n v="33.909999999999997"/>
    <n v="36.5"/>
    <n v="16.760000000000002"/>
    <n v="19.040001"/>
    <n v="19.040001"/>
    <n v="393319300"/>
  </r>
  <r>
    <x v="11"/>
    <n v="19.799999"/>
    <n v="21.690000999999999"/>
    <n v="12.4"/>
    <n v="17.52"/>
    <n v="17.52"/>
    <n v="628662700"/>
  </r>
  <r>
    <x v="12"/>
    <n v="17.799999"/>
    <n v="18.355"/>
    <n v="12.72"/>
    <n v="16.989999999999998"/>
    <n v="16.989999999999998"/>
    <n v="344543000"/>
  </r>
  <r>
    <x v="13"/>
    <n v="17.16"/>
    <n v="24.879999000000002"/>
    <n v="16.399999999999999"/>
    <n v="21.719999000000001"/>
    <n v="21.719999000000001"/>
    <n v="348365600"/>
  </r>
  <r>
    <x v="14"/>
    <n v="21.790001"/>
    <n v="21.85"/>
    <n v="13.71"/>
    <n v="14.08"/>
    <n v="14.08"/>
    <n v="198084000"/>
  </r>
  <r>
    <x v="15"/>
    <n v="14.23"/>
    <n v="14.4"/>
    <n v="10.06"/>
    <n v="11.77"/>
    <n v="11.77"/>
    <n v="399115300"/>
  </r>
  <r>
    <x v="16"/>
    <n v="13.65"/>
    <n v="13.98"/>
    <n v="9.35"/>
    <n v="9.82"/>
    <n v="9.82"/>
    <n v="358656900"/>
  </r>
  <r>
    <x v="17"/>
    <n v="9.85"/>
    <n v="11.75"/>
    <n v="7.97"/>
    <n v="11.18"/>
    <n v="11.18"/>
    <n v="344453600"/>
  </r>
  <r>
    <x v="18"/>
    <n v="11.4"/>
    <n v="13.13"/>
    <n v="8.93"/>
    <n v="9.2899999999999991"/>
    <n v="9.2899999999999991"/>
    <n v="322573100"/>
  </r>
  <r>
    <x v="19"/>
    <n v="9.3350000000000009"/>
    <n v="10.17"/>
    <n v="7.1"/>
    <n v="7.44"/>
    <n v="7.44"/>
    <n v="271131300"/>
  </r>
  <r>
    <x v="20"/>
    <n v="7.63"/>
    <n v="7.78"/>
    <n v="4.03"/>
    <n v="4.8099999999999996"/>
    <n v="4.8099999999999996"/>
    <n v="295044000"/>
  </r>
  <r>
    <x v="21"/>
    <n v="4.82"/>
    <n v="4.93"/>
    <n v="2.16"/>
    <n v="3.11"/>
    <n v="3.11"/>
    <n v="364717500"/>
  </r>
  <r>
    <x v="22"/>
    <n v="2.94"/>
    <n v="3.7090000000000001"/>
    <n v="2.0699999999999998"/>
    <n v="3"/>
    <n v="3"/>
    <n v="294616600"/>
  </r>
  <r>
    <x v="23"/>
    <n v="3"/>
    <n v="3.38"/>
    <n v="1.99"/>
    <n v="2.0499999999999998"/>
    <n v="2.0499999999999998"/>
    <n v="206506500"/>
  </r>
  <r>
    <x v="24"/>
    <n v="2.04"/>
    <n v="2.2999999999999998"/>
    <n v="1.385"/>
    <n v="1.9"/>
    <n v="1.9"/>
    <n v="252057200"/>
  </r>
  <r>
    <x v="25"/>
    <n v="1.93"/>
    <n v="2.0099999999999998"/>
    <n v="1.1499999999999999"/>
    <n v="1.24"/>
    <n v="1.24"/>
    <n v="231333700"/>
  </r>
  <r>
    <x v="26"/>
    <n v="1.2"/>
    <n v="1.68"/>
    <n v="1.18"/>
    <n v="1.58"/>
    <n v="1.58"/>
    <n v="119917200"/>
  </r>
  <r>
    <x v="27"/>
    <n v="1.55"/>
    <n v="2.1800000000000002"/>
    <n v="1.3"/>
    <n v="1.33"/>
    <n v="1.33"/>
    <n v="179492200"/>
  </r>
  <r>
    <x v="28"/>
    <n v="1.31"/>
    <n v="1.41"/>
    <n v="1.1100000000000001"/>
    <n v="1.1499999999999999"/>
    <n v="1.1499999999999999"/>
    <n v="62616000"/>
  </r>
  <r>
    <x v="29"/>
    <n v="1.2"/>
    <n v="1.21"/>
    <n v="1.1100000000000001"/>
    <n v="1.1499999999999999"/>
    <n v="1.1499999999999999"/>
    <n v="1536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A2C0D-2FFD-4281-B266-4C93C1B35E3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8"/>
    <field x="7"/>
  </rowFields>
  <rowItems count="14">
    <i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Adj Close" fld="5" subtotal="average" baseField="8" baseItem="1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showGridLines="0" tabSelected="1" topLeftCell="A3" workbookViewId="0">
      <pane xSplit="2" topLeftCell="C1" activePane="topRight" state="frozen"/>
      <selection pane="topRight" activeCell="Q11" sqref="Q11"/>
    </sheetView>
  </sheetViews>
  <sheetFormatPr defaultRowHeight="15" x14ac:dyDescent="0.25"/>
  <cols>
    <col min="1" max="1" width="2.7109375" style="6" customWidth="1"/>
    <col min="2" max="2" width="16.28515625" style="3" bestFit="1" customWidth="1"/>
    <col min="3" max="3" width="14" bestFit="1" customWidth="1"/>
    <col min="4" max="6" width="12.85546875" bestFit="1" customWidth="1"/>
    <col min="7" max="7" width="13.42578125" bestFit="1" customWidth="1"/>
    <col min="8" max="8" width="12.7109375" bestFit="1" customWidth="1"/>
    <col min="15" max="15" width="12.5703125" bestFit="1" customWidth="1"/>
    <col min="16" max="16" width="10.7109375" bestFit="1" customWidth="1"/>
  </cols>
  <sheetData>
    <row r="1" spans="1:16" x14ac:dyDescent="0.25">
      <c r="B1" t="s">
        <v>24</v>
      </c>
      <c r="D1" t="s">
        <v>1</v>
      </c>
      <c r="E1" s="1" t="s">
        <v>2</v>
      </c>
    </row>
    <row r="2" spans="1:16" s="5" customFormat="1" ht="26.25" x14ac:dyDescent="0.4">
      <c r="A2" s="7"/>
      <c r="B2" s="2" t="s">
        <v>0</v>
      </c>
    </row>
    <row r="3" spans="1:16" ht="5.0999999999999996" customHeight="1" x14ac:dyDescent="0.25"/>
    <row r="4" spans="1:16" x14ac:dyDescent="0.25">
      <c r="C4" s="18" t="s">
        <v>26</v>
      </c>
      <c r="D4" s="18" t="s">
        <v>27</v>
      </c>
      <c r="E4" s="18" t="s">
        <v>28</v>
      </c>
      <c r="F4" s="18" t="s">
        <v>29</v>
      </c>
      <c r="G4" s="18" t="s">
        <v>30</v>
      </c>
      <c r="H4" s="18" t="s">
        <v>31</v>
      </c>
      <c r="I4" s="18" t="s">
        <v>32</v>
      </c>
      <c r="J4" s="18" t="s">
        <v>33</v>
      </c>
      <c r="O4" s="19" t="s">
        <v>50</v>
      </c>
      <c r="P4" s="19" t="s">
        <v>51</v>
      </c>
    </row>
    <row r="5" spans="1:16" x14ac:dyDescent="0.25">
      <c r="B5" s="4" t="s">
        <v>3</v>
      </c>
      <c r="C5" s="15">
        <v>83677</v>
      </c>
      <c r="D5" s="15">
        <v>89491</v>
      </c>
      <c r="E5" s="15">
        <v>102072</v>
      </c>
      <c r="F5" s="15">
        <v>108849</v>
      </c>
      <c r="G5" s="15">
        <v>93438</v>
      </c>
      <c r="H5" s="15">
        <v>73335</v>
      </c>
      <c r="I5" s="12"/>
      <c r="J5" s="12"/>
      <c r="O5" s="20">
        <f>SUM(C5:F5)</f>
        <v>384089</v>
      </c>
      <c r="P5" s="20">
        <f>SUM(G5:J5)</f>
        <v>166773</v>
      </c>
    </row>
    <row r="6" spans="1:16" x14ac:dyDescent="0.25">
      <c r="B6" s="4"/>
      <c r="C6" s="12"/>
      <c r="D6" s="12"/>
      <c r="E6" s="12"/>
      <c r="F6" s="12"/>
      <c r="G6" s="17">
        <f>G5/C5-1</f>
        <v>0.11665093155825379</v>
      </c>
      <c r="H6" s="17">
        <f t="shared" ref="H6" si="0">H5/D5-1</f>
        <v>-0.18053212054843504</v>
      </c>
      <c r="I6" s="12"/>
      <c r="J6" s="12"/>
    </row>
    <row r="7" spans="1:16" x14ac:dyDescent="0.25">
      <c r="B7" s="4"/>
      <c r="C7" s="12"/>
      <c r="D7" s="21">
        <f>D5/C5-1</f>
        <v>6.9481458465289192E-2</v>
      </c>
      <c r="E7" s="21">
        <f t="shared" ref="E7:H7" si="1">E5/D5-1</f>
        <v>0.14058396933769868</v>
      </c>
      <c r="F7" s="21">
        <f t="shared" si="1"/>
        <v>6.6394309898894832E-2</v>
      </c>
      <c r="G7" s="21">
        <f t="shared" si="1"/>
        <v>-0.14158145688063284</v>
      </c>
      <c r="H7" s="21">
        <f t="shared" si="1"/>
        <v>-0.21514801258588578</v>
      </c>
      <c r="I7" s="12"/>
      <c r="J7" s="12"/>
    </row>
    <row r="8" spans="1:16" x14ac:dyDescent="0.25">
      <c r="C8" s="12"/>
      <c r="D8" s="12"/>
      <c r="E8" s="12"/>
      <c r="F8" s="12"/>
      <c r="G8" s="12"/>
      <c r="H8" s="12"/>
      <c r="I8" s="12"/>
      <c r="J8" s="12"/>
    </row>
    <row r="9" spans="1:16" x14ac:dyDescent="0.25">
      <c r="B9" s="3" t="s">
        <v>4</v>
      </c>
      <c r="C9" s="12">
        <v>-51468</v>
      </c>
      <c r="D9" s="12">
        <v>-49990</v>
      </c>
      <c r="E9" s="12">
        <v>-81644</v>
      </c>
      <c r="F9" s="12">
        <v>-104020</v>
      </c>
      <c r="G9" s="12">
        <v>-144604</v>
      </c>
      <c r="H9" s="12">
        <v>-54111</v>
      </c>
      <c r="I9" s="12"/>
      <c r="J9" s="12"/>
    </row>
    <row r="10" spans="1:16" x14ac:dyDescent="0.25">
      <c r="B10" s="3" t="s">
        <v>6</v>
      </c>
      <c r="C10" s="12">
        <f>555</f>
        <v>555</v>
      </c>
      <c r="D10" s="12">
        <f>1102-C10</f>
        <v>547</v>
      </c>
      <c r="E10" s="12">
        <f>6093-D10-C10</f>
        <v>4991</v>
      </c>
      <c r="F10" s="12">
        <f>11133-E10-D10-C10</f>
        <v>5040</v>
      </c>
      <c r="G10" s="12">
        <v>5539</v>
      </c>
      <c r="H10" s="12">
        <f>11384-G10</f>
        <v>5845</v>
      </c>
      <c r="I10" s="12"/>
      <c r="J10" s="12"/>
    </row>
    <row r="11" spans="1:16" x14ac:dyDescent="0.25">
      <c r="B11" s="4" t="s">
        <v>5</v>
      </c>
      <c r="C11" s="15">
        <f>SUM(C9:C10)</f>
        <v>-50913</v>
      </c>
      <c r="D11" s="15">
        <f t="shared" ref="D11:H11" si="2">SUM(D9:D10)</f>
        <v>-49443</v>
      </c>
      <c r="E11" s="15">
        <f t="shared" si="2"/>
        <v>-76653</v>
      </c>
      <c r="F11" s="15">
        <f t="shared" si="2"/>
        <v>-98980</v>
      </c>
      <c r="G11" s="15">
        <f t="shared" si="2"/>
        <v>-139065</v>
      </c>
      <c r="H11" s="15">
        <f t="shared" si="2"/>
        <v>-48266</v>
      </c>
      <c r="I11" s="12"/>
      <c r="J11" s="12"/>
      <c r="O11" s="20">
        <f>SUM(C11:F11)</f>
        <v>-275989</v>
      </c>
      <c r="P11" s="20">
        <f>SUM(G11:J11)</f>
        <v>-187331</v>
      </c>
    </row>
    <row r="12" spans="1:16" x14ac:dyDescent="0.25">
      <c r="C12" s="12"/>
      <c r="D12" s="12"/>
      <c r="E12" s="12"/>
      <c r="F12" s="12"/>
      <c r="G12" s="12"/>
      <c r="H12" s="12"/>
      <c r="I12" s="12"/>
      <c r="J12" s="12"/>
    </row>
    <row r="13" spans="1:16" x14ac:dyDescent="0.25">
      <c r="B13" s="3" t="s">
        <v>14</v>
      </c>
      <c r="C13" s="12">
        <v>0</v>
      </c>
      <c r="D13" s="12">
        <v>0</v>
      </c>
      <c r="E13" s="12">
        <v>0</v>
      </c>
      <c r="F13" s="12">
        <v>2110</v>
      </c>
      <c r="G13" s="12">
        <v>2005</v>
      </c>
      <c r="H13" s="12">
        <v>1846</v>
      </c>
      <c r="I13" s="12"/>
      <c r="J13" s="12"/>
    </row>
    <row r="14" spans="1:16" x14ac:dyDescent="0.25">
      <c r="B14" s="3" t="s">
        <v>15</v>
      </c>
      <c r="C14" s="12">
        <v>36</v>
      </c>
      <c r="D14" s="12">
        <v>0</v>
      </c>
      <c r="E14" s="12">
        <v>0</v>
      </c>
      <c r="F14" s="12">
        <f>13567+278889</f>
        <v>292456</v>
      </c>
      <c r="G14" s="12">
        <f>13199+279713</f>
        <v>292912</v>
      </c>
      <c r="H14" s="12">
        <f>280905+12744</f>
        <v>293649</v>
      </c>
      <c r="I14" s="12"/>
      <c r="J14" s="12"/>
    </row>
    <row r="15" spans="1:16" x14ac:dyDescent="0.25">
      <c r="B15" s="4" t="s">
        <v>16</v>
      </c>
      <c r="C15" s="15">
        <f>SUM(C13:C14)</f>
        <v>36</v>
      </c>
      <c r="D15" s="15">
        <f t="shared" ref="D15:H15" si="3">SUM(D13:D14)</f>
        <v>0</v>
      </c>
      <c r="E15" s="15">
        <f t="shared" si="3"/>
        <v>0</v>
      </c>
      <c r="F15" s="15">
        <f t="shared" si="3"/>
        <v>294566</v>
      </c>
      <c r="G15" s="15">
        <f t="shared" si="3"/>
        <v>294917</v>
      </c>
      <c r="H15" s="15">
        <f t="shared" si="3"/>
        <v>295495</v>
      </c>
      <c r="I15" s="12"/>
      <c r="J15" s="12"/>
    </row>
    <row r="16" spans="1:16" x14ac:dyDescent="0.25">
      <c r="C16" s="12"/>
      <c r="D16" s="12"/>
      <c r="E16" s="12"/>
      <c r="F16" s="12"/>
      <c r="G16" s="12"/>
      <c r="H16" s="12"/>
      <c r="I16" s="12"/>
      <c r="J16" s="12"/>
    </row>
    <row r="17" spans="1:16" x14ac:dyDescent="0.25">
      <c r="B17" s="3" t="s">
        <v>7</v>
      </c>
      <c r="C17" s="12">
        <v>732117</v>
      </c>
      <c r="D17" s="12">
        <v>720458</v>
      </c>
      <c r="E17" s="12">
        <v>811132</v>
      </c>
      <c r="F17" s="12">
        <v>590588</v>
      </c>
      <c r="G17" s="12">
        <v>519321</v>
      </c>
      <c r="H17" s="12">
        <v>502512</v>
      </c>
      <c r="I17" s="12"/>
      <c r="J17" s="12"/>
    </row>
    <row r="18" spans="1:16" x14ac:dyDescent="0.25">
      <c r="A18" s="6" t="s">
        <v>25</v>
      </c>
      <c r="B18" s="3" t="s">
        <v>8</v>
      </c>
      <c r="C18" s="12">
        <v>0</v>
      </c>
      <c r="D18" s="12">
        <f>124934*2</f>
        <v>249868</v>
      </c>
      <c r="E18" s="12">
        <f>80204*2</f>
        <v>160408</v>
      </c>
      <c r="F18" s="12">
        <f>2*86832</f>
        <v>173664</v>
      </c>
      <c r="G18" s="12">
        <f>72917*2</f>
        <v>145834</v>
      </c>
      <c r="H18" s="12">
        <f>58379*2</f>
        <v>116758</v>
      </c>
      <c r="I18" s="12"/>
      <c r="J18" s="12"/>
    </row>
    <row r="19" spans="1:16" x14ac:dyDescent="0.25">
      <c r="B19" s="4" t="s">
        <v>9</v>
      </c>
      <c r="C19" s="15">
        <f>IF(C18&lt;C17,C17-C18,0)</f>
        <v>732117</v>
      </c>
      <c r="D19" s="15">
        <f t="shared" ref="D19:H19" si="4">IF(D18&lt;D17,D17-D18,0)</f>
        <v>470590</v>
      </c>
      <c r="E19" s="15">
        <f t="shared" si="4"/>
        <v>650724</v>
      </c>
      <c r="F19" s="15">
        <f t="shared" si="4"/>
        <v>416924</v>
      </c>
      <c r="G19" s="15">
        <f t="shared" si="4"/>
        <v>373487</v>
      </c>
      <c r="H19" s="15">
        <f t="shared" si="4"/>
        <v>385754</v>
      </c>
      <c r="I19" s="12"/>
      <c r="J19" s="12"/>
    </row>
    <row r="20" spans="1:16" x14ac:dyDescent="0.25">
      <c r="C20" s="12"/>
      <c r="D20" s="12"/>
      <c r="E20" s="12"/>
      <c r="F20" s="12"/>
      <c r="G20" s="12"/>
      <c r="H20" s="12"/>
      <c r="I20" s="12"/>
      <c r="J20" s="12"/>
    </row>
    <row r="21" spans="1:16" x14ac:dyDescent="0.25">
      <c r="B21" s="4" t="s">
        <v>10</v>
      </c>
      <c r="C21" s="15">
        <f>C37*C39</f>
        <v>10331640.396</v>
      </c>
      <c r="D21" s="15">
        <f t="shared" ref="D21:H21" si="5">D37*D39</f>
        <v>7441103.2010000004</v>
      </c>
      <c r="E21" s="15">
        <f t="shared" si="5"/>
        <v>4851120</v>
      </c>
      <c r="F21" s="15">
        <f t="shared" si="5"/>
        <v>3805063.333333333</v>
      </c>
      <c r="G21" s="15">
        <f t="shared" si="5"/>
        <v>1492400</v>
      </c>
      <c r="H21" s="15">
        <f t="shared" si="5"/>
        <v>724869.99999999988</v>
      </c>
      <c r="I21" s="12"/>
      <c r="J21" s="12"/>
    </row>
    <row r="22" spans="1:16" x14ac:dyDescent="0.25">
      <c r="C22" s="12"/>
      <c r="D22" s="12"/>
      <c r="E22" s="12"/>
      <c r="F22" s="12"/>
      <c r="G22" s="12"/>
      <c r="H22" s="12"/>
      <c r="I22" s="12"/>
      <c r="J22" s="12"/>
    </row>
    <row r="23" spans="1:16" x14ac:dyDescent="0.25">
      <c r="B23" s="4" t="s">
        <v>11</v>
      </c>
      <c r="C23" s="15">
        <f>C21-C19+C15</f>
        <v>9599559.3959999997</v>
      </c>
      <c r="D23" s="15">
        <f t="shared" ref="D23:H23" si="6">D21-D19+D15</f>
        <v>6970513.2010000004</v>
      </c>
      <c r="E23" s="15">
        <f t="shared" si="6"/>
        <v>4200396</v>
      </c>
      <c r="F23" s="15">
        <f t="shared" si="6"/>
        <v>3682705.333333333</v>
      </c>
      <c r="G23" s="15">
        <f t="shared" si="6"/>
        <v>1413830</v>
      </c>
      <c r="H23" s="15">
        <f t="shared" si="6"/>
        <v>634610.99999999988</v>
      </c>
      <c r="I23" s="12"/>
      <c r="J23" s="12"/>
    </row>
    <row r="24" spans="1:16" x14ac:dyDescent="0.25">
      <c r="C24" s="12"/>
      <c r="D24" s="12"/>
      <c r="E24" s="12"/>
      <c r="F24" s="12"/>
      <c r="G24" s="12"/>
      <c r="H24" s="12"/>
      <c r="I24" s="12"/>
      <c r="J24" s="12"/>
    </row>
    <row r="25" spans="1:16" x14ac:dyDescent="0.25">
      <c r="B25" s="4" t="s">
        <v>12</v>
      </c>
      <c r="C25" s="16">
        <f>IFERROR(C23/C11,0)</f>
        <v>-188.54829603441163</v>
      </c>
      <c r="D25" s="16">
        <f t="shared" ref="D25:H25" si="7">IFERROR(D23/D11,0)</f>
        <v>-140.98079002083207</v>
      </c>
      <c r="E25" s="16">
        <f t="shared" si="7"/>
        <v>-54.797542170560838</v>
      </c>
      <c r="F25" s="16">
        <f t="shared" si="7"/>
        <v>-37.206560247861518</v>
      </c>
      <c r="G25" s="16">
        <f t="shared" si="7"/>
        <v>-10.166684643871571</v>
      </c>
      <c r="H25" s="16">
        <f t="shared" si="7"/>
        <v>-13.148199560767411</v>
      </c>
      <c r="I25" s="12"/>
      <c r="J25" s="12"/>
    </row>
    <row r="26" spans="1:16" x14ac:dyDescent="0.25">
      <c r="C26" s="12"/>
      <c r="D26" s="12"/>
      <c r="E26" s="12"/>
      <c r="F26" s="12"/>
      <c r="G26" s="12"/>
      <c r="H26" s="12"/>
      <c r="I26" s="12"/>
      <c r="J26" s="12"/>
    </row>
    <row r="27" spans="1:16" x14ac:dyDescent="0.25">
      <c r="B27" s="4" t="s">
        <v>13</v>
      </c>
      <c r="C27" s="16">
        <f>IFERROR(C15/C11,0)</f>
        <v>-7.0708856284249606E-4</v>
      </c>
      <c r="D27" s="16">
        <f t="shared" ref="D27:H27" si="8">IFERROR(D15/D11,0)</f>
        <v>0</v>
      </c>
      <c r="E27" s="16">
        <f t="shared" si="8"/>
        <v>0</v>
      </c>
      <c r="F27" s="16">
        <f t="shared" si="8"/>
        <v>-2.9760153566377046</v>
      </c>
      <c r="G27" s="16">
        <f t="shared" si="8"/>
        <v>-2.1207133354905978</v>
      </c>
      <c r="H27" s="16">
        <f t="shared" si="8"/>
        <v>-6.1222185389300954</v>
      </c>
      <c r="I27" s="12"/>
      <c r="J27" s="12"/>
    </row>
    <row r="28" spans="1:16" x14ac:dyDescent="0.25">
      <c r="C28" s="12"/>
      <c r="D28" s="12"/>
      <c r="E28" s="12"/>
      <c r="F28" s="12"/>
      <c r="G28" s="12"/>
      <c r="H28" s="12"/>
      <c r="I28" s="12"/>
      <c r="J28" s="12"/>
    </row>
    <row r="29" spans="1:16" x14ac:dyDescent="0.25">
      <c r="B29" s="4" t="s">
        <v>17</v>
      </c>
      <c r="C29" s="15">
        <v>-47519</v>
      </c>
      <c r="D29" s="15">
        <f>-64990-C29</f>
        <v>-17471</v>
      </c>
      <c r="E29" s="15">
        <f>-103326-D29-C29</f>
        <v>-38336</v>
      </c>
      <c r="F29" s="15">
        <f>-180154-E29-D29-C29</f>
        <v>-76828</v>
      </c>
      <c r="G29" s="15">
        <v>-83450</v>
      </c>
      <c r="H29" s="15">
        <f>-145014-G29</f>
        <v>-61564</v>
      </c>
      <c r="I29" s="12"/>
      <c r="J29" s="12"/>
      <c r="O29" s="20">
        <f>SUM(C29:F29)</f>
        <v>-180154</v>
      </c>
      <c r="P29" s="20">
        <f>SUM(G29:J29)</f>
        <v>-145014</v>
      </c>
    </row>
    <row r="30" spans="1:16" x14ac:dyDescent="0.25">
      <c r="C30" s="12"/>
      <c r="D30" s="12"/>
      <c r="E30" s="12"/>
      <c r="F30" s="12"/>
      <c r="G30" s="12"/>
      <c r="H30" s="12"/>
      <c r="I30" s="12"/>
      <c r="J30" s="12"/>
    </row>
    <row r="31" spans="1:16" x14ac:dyDescent="0.25">
      <c r="B31" s="4" t="s">
        <v>18</v>
      </c>
      <c r="C31" s="15">
        <v>-659</v>
      </c>
      <c r="D31" s="15">
        <f>-1508-C31</f>
        <v>-849</v>
      </c>
      <c r="E31" s="15">
        <f>-2068-D31-C31</f>
        <v>-560</v>
      </c>
      <c r="F31" s="15">
        <f>-3236-E31-D31-C31</f>
        <v>-1168</v>
      </c>
      <c r="G31" s="15">
        <v>-107</v>
      </c>
      <c r="H31" s="15">
        <f>-346-G31</f>
        <v>-239</v>
      </c>
      <c r="I31" s="12"/>
      <c r="J31" s="12"/>
    </row>
    <row r="32" spans="1:16" x14ac:dyDescent="0.25">
      <c r="C32" s="12"/>
      <c r="D32" s="12"/>
      <c r="E32" s="12"/>
      <c r="F32" s="12"/>
      <c r="G32" s="12"/>
      <c r="H32" s="12"/>
      <c r="I32" s="12"/>
      <c r="J32" s="12"/>
    </row>
    <row r="33" spans="2:10" x14ac:dyDescent="0.25">
      <c r="B33" s="4" t="s">
        <v>19</v>
      </c>
      <c r="C33" s="15">
        <v>0</v>
      </c>
      <c r="D33" s="15">
        <v>0</v>
      </c>
      <c r="E33" s="15">
        <v>-946</v>
      </c>
      <c r="F33" s="15">
        <v>280897</v>
      </c>
      <c r="G33" s="15">
        <v>-840</v>
      </c>
      <c r="H33" s="15">
        <f>-1495-G33</f>
        <v>-655</v>
      </c>
      <c r="I33" s="12"/>
      <c r="J33" s="12"/>
    </row>
    <row r="34" spans="2:10" x14ac:dyDescent="0.25">
      <c r="C34" s="12"/>
      <c r="D34" s="12"/>
      <c r="E34" s="12"/>
      <c r="F34" s="12"/>
      <c r="G34" s="12"/>
      <c r="H34" s="12"/>
      <c r="I34" s="12"/>
      <c r="J34" s="12"/>
    </row>
    <row r="35" spans="2:10" x14ac:dyDescent="0.25">
      <c r="B35" s="4" t="s">
        <v>20</v>
      </c>
      <c r="C35" s="15">
        <f>SUM(C29:C33)</f>
        <v>-48178</v>
      </c>
      <c r="D35" s="15">
        <f t="shared" ref="D35:H35" si="9">SUM(D29:D33)</f>
        <v>-18320</v>
      </c>
      <c r="E35" s="15">
        <f t="shared" si="9"/>
        <v>-39842</v>
      </c>
      <c r="F35" s="15">
        <f t="shared" si="9"/>
        <v>202901</v>
      </c>
      <c r="G35" s="15">
        <f t="shared" si="9"/>
        <v>-84397</v>
      </c>
      <c r="H35" s="15">
        <f t="shared" si="9"/>
        <v>-62458</v>
      </c>
      <c r="I35" s="12"/>
      <c r="J35" s="12"/>
    </row>
    <row r="36" spans="2:10" x14ac:dyDescent="0.25">
      <c r="C36" s="12"/>
      <c r="D36" s="12"/>
      <c r="E36" s="12"/>
      <c r="F36" s="12"/>
      <c r="G36" s="12"/>
      <c r="H36" s="12"/>
      <c r="I36" s="12"/>
      <c r="J36" s="12"/>
    </row>
    <row r="37" spans="2:10" x14ac:dyDescent="0.25">
      <c r="B37" s="4" t="s">
        <v>21</v>
      </c>
      <c r="C37" s="13">
        <f>(326+70)*1000</f>
        <v>396000</v>
      </c>
      <c r="D37" s="13">
        <f>(328+69)*1000</f>
        <v>397000</v>
      </c>
      <c r="E37" s="13">
        <f>(339+69)*1000</f>
        <v>408000</v>
      </c>
      <c r="F37" s="13">
        <f>(340+69)*1000</f>
        <v>409000</v>
      </c>
      <c r="G37" s="13">
        <f>(341+69)*1000</f>
        <v>410000</v>
      </c>
      <c r="H37" s="13">
        <f>(350+69)*1000</f>
        <v>419000</v>
      </c>
      <c r="I37" s="12"/>
      <c r="J37" s="12"/>
    </row>
    <row r="38" spans="2:10" x14ac:dyDescent="0.25">
      <c r="C38" s="12"/>
      <c r="D38" s="12"/>
      <c r="E38" s="12"/>
      <c r="F38" s="12"/>
      <c r="G38" s="12"/>
      <c r="H38" s="12"/>
      <c r="I38" s="12"/>
      <c r="J38" s="12"/>
    </row>
    <row r="39" spans="2:10" x14ac:dyDescent="0.25">
      <c r="B39" s="4" t="s">
        <v>22</v>
      </c>
      <c r="C39" s="14">
        <v>26.090001000000001</v>
      </c>
      <c r="D39" s="14">
        <v>18.743333</v>
      </c>
      <c r="E39" s="14">
        <v>11.89</v>
      </c>
      <c r="F39" s="14">
        <v>9.3033333333333328</v>
      </c>
      <c r="G39" s="14">
        <v>3.64</v>
      </c>
      <c r="H39" s="14">
        <v>1.7299999999999998</v>
      </c>
      <c r="I39" s="12"/>
      <c r="J39" s="12"/>
    </row>
    <row r="40" spans="2:10" x14ac:dyDescent="0.25">
      <c r="C40" s="12"/>
      <c r="D40" s="12"/>
      <c r="E40" s="12"/>
      <c r="F40" s="12"/>
      <c r="G40" s="12"/>
      <c r="H40" s="12"/>
      <c r="I40" s="12"/>
      <c r="J40" s="12"/>
    </row>
    <row r="41" spans="2:10" x14ac:dyDescent="0.25">
      <c r="B41" s="4" t="s">
        <v>23</v>
      </c>
      <c r="C41" s="12"/>
      <c r="D41" s="12"/>
      <c r="E41" s="12"/>
      <c r="F41" s="12"/>
      <c r="G41" s="12"/>
      <c r="H41" s="12"/>
      <c r="I41" s="12"/>
      <c r="J41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B643-EDF2-4ADC-93A9-52426F34BC84}">
  <dimension ref="A3:J17"/>
  <sheetViews>
    <sheetView workbookViewId="0">
      <selection activeCell="D6" sqref="D6:J6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10" x14ac:dyDescent="0.25">
      <c r="A3" s="8" t="s">
        <v>40</v>
      </c>
      <c r="B3" t="s">
        <v>49</v>
      </c>
    </row>
    <row r="4" spans="1:10" x14ac:dyDescent="0.25">
      <c r="A4" s="9" t="s">
        <v>42</v>
      </c>
      <c r="B4" s="11">
        <v>12.72</v>
      </c>
    </row>
    <row r="5" spans="1:10" x14ac:dyDescent="0.25">
      <c r="A5" s="10" t="s">
        <v>43</v>
      </c>
      <c r="B5" s="11">
        <v>10.615</v>
      </c>
    </row>
    <row r="6" spans="1:10" x14ac:dyDescent="0.25">
      <c r="A6" s="10" t="s">
        <v>44</v>
      </c>
      <c r="B6" s="11">
        <v>11.166666666666666</v>
      </c>
      <c r="D6" cm="1">
        <f t="array" ref="D6:J6">TRANSPOSE(F9:F15)</f>
        <v>26.090001000000001</v>
      </c>
      <c r="E6">
        <v>18.743333</v>
      </c>
      <c r="F6">
        <v>11.89</v>
      </c>
      <c r="G6">
        <v>9.3033333333333328</v>
      </c>
      <c r="H6">
        <v>3.64</v>
      </c>
      <c r="I6">
        <v>1.7299999999999998</v>
      </c>
      <c r="J6">
        <v>1.3025000000000002</v>
      </c>
    </row>
    <row r="7" spans="1:10" x14ac:dyDescent="0.25">
      <c r="A7" s="10" t="s">
        <v>45</v>
      </c>
      <c r="B7" s="11">
        <v>15.676666666666668</v>
      </c>
    </row>
    <row r="8" spans="1:10" x14ac:dyDescent="0.25">
      <c r="A8" s="9" t="s">
        <v>46</v>
      </c>
      <c r="B8" s="11">
        <v>16.506666833333334</v>
      </c>
    </row>
    <row r="9" spans="1:10" x14ac:dyDescent="0.25">
      <c r="A9" s="10" t="s">
        <v>47</v>
      </c>
      <c r="B9" s="11">
        <v>26.090001000000001</v>
      </c>
      <c r="F9">
        <v>26.090001000000001</v>
      </c>
    </row>
    <row r="10" spans="1:10" x14ac:dyDescent="0.25">
      <c r="A10" s="10" t="s">
        <v>43</v>
      </c>
      <c r="B10" s="11">
        <v>18.743333</v>
      </c>
      <c r="F10">
        <v>18.743333</v>
      </c>
    </row>
    <row r="11" spans="1:10" x14ac:dyDescent="0.25">
      <c r="A11" s="10" t="s">
        <v>44</v>
      </c>
      <c r="B11" s="11">
        <v>11.89</v>
      </c>
      <c r="F11">
        <v>11.89</v>
      </c>
    </row>
    <row r="12" spans="1:10" x14ac:dyDescent="0.25">
      <c r="A12" s="10" t="s">
        <v>45</v>
      </c>
      <c r="B12" s="11">
        <v>9.3033333333333328</v>
      </c>
      <c r="F12">
        <v>9.3033333333333328</v>
      </c>
    </row>
    <row r="13" spans="1:10" x14ac:dyDescent="0.25">
      <c r="A13" s="9" t="s">
        <v>48</v>
      </c>
      <c r="B13" s="11">
        <v>2.1319999999999992</v>
      </c>
      <c r="F13">
        <v>3.64</v>
      </c>
    </row>
    <row r="14" spans="1:10" x14ac:dyDescent="0.25">
      <c r="A14" s="10" t="s">
        <v>47</v>
      </c>
      <c r="B14" s="11">
        <v>3.64</v>
      </c>
      <c r="F14">
        <v>1.7299999999999998</v>
      </c>
    </row>
    <row r="15" spans="1:10" x14ac:dyDescent="0.25">
      <c r="A15" s="10" t="s">
        <v>43</v>
      </c>
      <c r="B15" s="11">
        <v>1.7299999999999998</v>
      </c>
      <c r="F15">
        <v>1.3025000000000002</v>
      </c>
    </row>
    <row r="16" spans="1:10" x14ac:dyDescent="0.25">
      <c r="A16" s="10" t="s">
        <v>44</v>
      </c>
      <c r="B16" s="11">
        <v>1.3025000000000002</v>
      </c>
    </row>
    <row r="17" spans="1:2" x14ac:dyDescent="0.25">
      <c r="A17" s="9" t="s">
        <v>41</v>
      </c>
      <c r="B17" s="11">
        <v>10.705333399999999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7B98-AAEA-4182-9A23-9CBC363B22BC}">
  <dimension ref="A1:G31"/>
  <sheetViews>
    <sheetView workbookViewId="0">
      <selection activeCell="B16" sqref="B16"/>
    </sheetView>
  </sheetViews>
  <sheetFormatPr defaultRowHeight="15" x14ac:dyDescent="0.25"/>
  <cols>
    <col min="1" max="1" width="9.7109375" bestFit="1" customWidth="1"/>
  </cols>
  <sheetData>
    <row r="1" spans="1:7" x14ac:dyDescent="0.25">
      <c r="A1" t="s">
        <v>1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25">
      <c r="A2" s="1">
        <v>43952</v>
      </c>
      <c r="B2">
        <v>9.9</v>
      </c>
      <c r="C2">
        <v>10.68</v>
      </c>
      <c r="D2">
        <v>9.83</v>
      </c>
      <c r="E2">
        <v>10.25</v>
      </c>
      <c r="F2">
        <v>10.25</v>
      </c>
      <c r="G2">
        <v>5655900</v>
      </c>
    </row>
    <row r="3" spans="1:7" x14ac:dyDescent="0.25">
      <c r="A3" s="1">
        <v>43983</v>
      </c>
      <c r="B3">
        <v>10.37</v>
      </c>
      <c r="C3">
        <v>10.981999999999999</v>
      </c>
      <c r="D3">
        <v>10.050000000000001</v>
      </c>
      <c r="E3">
        <v>10.98</v>
      </c>
      <c r="F3">
        <v>10.98</v>
      </c>
      <c r="G3">
        <v>9073200</v>
      </c>
    </row>
    <row r="4" spans="1:7" x14ac:dyDescent="0.25">
      <c r="A4" s="1">
        <v>44013</v>
      </c>
      <c r="B4">
        <v>11</v>
      </c>
      <c r="C4">
        <v>12.85</v>
      </c>
      <c r="D4">
        <v>10.48</v>
      </c>
      <c r="E4">
        <v>10.59</v>
      </c>
      <c r="F4">
        <v>10.59</v>
      </c>
      <c r="G4">
        <v>22440100</v>
      </c>
    </row>
    <row r="5" spans="1:7" x14ac:dyDescent="0.25">
      <c r="A5" s="1">
        <v>44044</v>
      </c>
      <c r="B5">
        <v>10.65</v>
      </c>
      <c r="C5">
        <v>11.39</v>
      </c>
      <c r="D5">
        <v>10.26</v>
      </c>
      <c r="E5">
        <v>10.75</v>
      </c>
      <c r="F5">
        <v>10.75</v>
      </c>
      <c r="G5">
        <v>8789600</v>
      </c>
    </row>
    <row r="6" spans="1:7" x14ac:dyDescent="0.25">
      <c r="A6" s="1">
        <v>44075</v>
      </c>
      <c r="B6">
        <v>10.84</v>
      </c>
      <c r="C6">
        <v>14.7</v>
      </c>
      <c r="D6">
        <v>10.5</v>
      </c>
      <c r="E6">
        <v>12.16</v>
      </c>
      <c r="F6">
        <v>12.16</v>
      </c>
      <c r="G6">
        <v>89070800</v>
      </c>
    </row>
    <row r="7" spans="1:7" x14ac:dyDescent="0.25">
      <c r="A7" s="1">
        <v>44105</v>
      </c>
      <c r="B7">
        <v>12.35</v>
      </c>
      <c r="C7">
        <v>14.45</v>
      </c>
      <c r="D7">
        <v>10.76</v>
      </c>
      <c r="E7">
        <v>11.53</v>
      </c>
      <c r="F7">
        <v>11.53</v>
      </c>
      <c r="G7">
        <v>54658800</v>
      </c>
    </row>
    <row r="8" spans="1:7" x14ac:dyDescent="0.25">
      <c r="A8" s="1">
        <v>44136</v>
      </c>
      <c r="B8">
        <v>11.42</v>
      </c>
      <c r="C8">
        <v>16.079999999999998</v>
      </c>
      <c r="D8">
        <v>10.93</v>
      </c>
      <c r="E8">
        <v>15.5</v>
      </c>
      <c r="F8">
        <v>15.5</v>
      </c>
      <c r="G8">
        <v>40732800</v>
      </c>
    </row>
    <row r="9" spans="1:7" x14ac:dyDescent="0.25">
      <c r="A9" s="1">
        <v>44166</v>
      </c>
      <c r="B9">
        <v>15.76</v>
      </c>
      <c r="C9">
        <v>23.870000999999998</v>
      </c>
      <c r="D9">
        <v>14.32</v>
      </c>
      <c r="E9">
        <v>20</v>
      </c>
      <c r="F9">
        <v>20</v>
      </c>
      <c r="G9">
        <v>127877100</v>
      </c>
    </row>
    <row r="10" spans="1:7" x14ac:dyDescent="0.25">
      <c r="A10" s="1">
        <v>44197</v>
      </c>
      <c r="B10">
        <v>19.899999999999999</v>
      </c>
      <c r="C10">
        <v>30.370000999999998</v>
      </c>
      <c r="D10">
        <v>18.059999000000001</v>
      </c>
      <c r="E10">
        <v>27.620000999999998</v>
      </c>
      <c r="F10">
        <v>27.620000999999998</v>
      </c>
      <c r="G10">
        <v>121452000</v>
      </c>
    </row>
    <row r="11" spans="1:7" x14ac:dyDescent="0.25">
      <c r="A11" s="1">
        <v>44228</v>
      </c>
      <c r="B11">
        <v>28.02</v>
      </c>
      <c r="C11">
        <v>46.298000000000002</v>
      </c>
      <c r="D11">
        <v>27</v>
      </c>
      <c r="E11">
        <v>31.610001</v>
      </c>
      <c r="F11">
        <v>31.610001</v>
      </c>
      <c r="G11">
        <v>128616100</v>
      </c>
    </row>
    <row r="12" spans="1:7" x14ac:dyDescent="0.25">
      <c r="A12" s="1">
        <v>44256</v>
      </c>
      <c r="B12">
        <v>33.909999999999997</v>
      </c>
      <c r="C12">
        <v>36.5</v>
      </c>
      <c r="D12">
        <v>16.760000000000002</v>
      </c>
      <c r="E12">
        <v>19.040001</v>
      </c>
      <c r="F12">
        <v>19.040001</v>
      </c>
      <c r="G12">
        <v>393319300</v>
      </c>
    </row>
    <row r="13" spans="1:7" x14ac:dyDescent="0.25">
      <c r="A13" s="1">
        <v>44287</v>
      </c>
      <c r="B13">
        <v>19.799999</v>
      </c>
      <c r="C13">
        <v>21.690000999999999</v>
      </c>
      <c r="D13">
        <v>12.4</v>
      </c>
      <c r="E13">
        <v>17.52</v>
      </c>
      <c r="F13">
        <v>17.52</v>
      </c>
      <c r="G13">
        <v>628662700</v>
      </c>
    </row>
    <row r="14" spans="1:7" x14ac:dyDescent="0.25">
      <c r="A14" s="1">
        <v>44317</v>
      </c>
      <c r="B14">
        <v>17.799999</v>
      </c>
      <c r="C14">
        <v>18.355</v>
      </c>
      <c r="D14">
        <v>12.72</v>
      </c>
      <c r="E14">
        <v>16.989999999999998</v>
      </c>
      <c r="F14">
        <v>16.989999999999998</v>
      </c>
      <c r="G14">
        <v>344543000</v>
      </c>
    </row>
    <row r="15" spans="1:7" x14ac:dyDescent="0.25">
      <c r="A15" s="1">
        <v>44348</v>
      </c>
      <c r="B15">
        <v>17.16</v>
      </c>
      <c r="C15">
        <v>24.879999000000002</v>
      </c>
      <c r="D15">
        <v>16.399999999999999</v>
      </c>
      <c r="E15">
        <v>21.719999000000001</v>
      </c>
      <c r="F15">
        <v>21.719999000000001</v>
      </c>
      <c r="G15">
        <v>348365600</v>
      </c>
    </row>
    <row r="16" spans="1:7" x14ac:dyDescent="0.25">
      <c r="A16" s="1">
        <v>44378</v>
      </c>
      <c r="B16">
        <v>21.790001</v>
      </c>
      <c r="C16">
        <v>21.85</v>
      </c>
      <c r="D16">
        <v>13.71</v>
      </c>
      <c r="E16">
        <v>14.08</v>
      </c>
      <c r="F16">
        <v>14.08</v>
      </c>
      <c r="G16">
        <v>198084000</v>
      </c>
    </row>
    <row r="17" spans="1:7" x14ac:dyDescent="0.25">
      <c r="A17" s="1">
        <v>44409</v>
      </c>
      <c r="B17">
        <v>14.23</v>
      </c>
      <c r="C17">
        <v>14.4</v>
      </c>
      <c r="D17">
        <v>10.06</v>
      </c>
      <c r="E17">
        <v>11.77</v>
      </c>
      <c r="F17">
        <v>11.77</v>
      </c>
      <c r="G17">
        <v>399115300</v>
      </c>
    </row>
    <row r="18" spans="1:7" x14ac:dyDescent="0.25">
      <c r="A18" s="1">
        <v>44440</v>
      </c>
      <c r="B18">
        <v>13.65</v>
      </c>
      <c r="C18">
        <v>13.98</v>
      </c>
      <c r="D18">
        <v>9.35</v>
      </c>
      <c r="E18">
        <v>9.82</v>
      </c>
      <c r="F18">
        <v>9.82</v>
      </c>
      <c r="G18">
        <v>358656900</v>
      </c>
    </row>
    <row r="19" spans="1:7" x14ac:dyDescent="0.25">
      <c r="A19" s="1">
        <v>44470</v>
      </c>
      <c r="B19">
        <v>9.85</v>
      </c>
      <c r="C19">
        <v>11.75</v>
      </c>
      <c r="D19">
        <v>7.97</v>
      </c>
      <c r="E19">
        <v>11.18</v>
      </c>
      <c r="F19">
        <v>11.18</v>
      </c>
      <c r="G19">
        <v>344453600</v>
      </c>
    </row>
    <row r="20" spans="1:7" x14ac:dyDescent="0.25">
      <c r="A20" s="1">
        <v>44501</v>
      </c>
      <c r="B20">
        <v>11.4</v>
      </c>
      <c r="C20">
        <v>13.13</v>
      </c>
      <c r="D20">
        <v>8.93</v>
      </c>
      <c r="E20">
        <v>9.2899999999999991</v>
      </c>
      <c r="F20">
        <v>9.2899999999999991</v>
      </c>
      <c r="G20">
        <v>322573100</v>
      </c>
    </row>
    <row r="21" spans="1:7" x14ac:dyDescent="0.25">
      <c r="A21" s="1">
        <v>44531</v>
      </c>
      <c r="B21">
        <v>9.3350000000000009</v>
      </c>
      <c r="C21">
        <v>10.17</v>
      </c>
      <c r="D21">
        <v>7.1</v>
      </c>
      <c r="E21">
        <v>7.44</v>
      </c>
      <c r="F21">
        <v>7.44</v>
      </c>
      <c r="G21">
        <v>271131300</v>
      </c>
    </row>
    <row r="22" spans="1:7" x14ac:dyDescent="0.25">
      <c r="A22" s="1">
        <v>44562</v>
      </c>
      <c r="B22">
        <v>7.63</v>
      </c>
      <c r="C22">
        <v>7.78</v>
      </c>
      <c r="D22">
        <v>4.03</v>
      </c>
      <c r="E22">
        <v>4.8099999999999996</v>
      </c>
      <c r="F22">
        <v>4.8099999999999996</v>
      </c>
      <c r="G22">
        <v>295044000</v>
      </c>
    </row>
    <row r="23" spans="1:7" x14ac:dyDescent="0.25">
      <c r="A23" s="1">
        <v>44593</v>
      </c>
      <c r="B23">
        <v>4.82</v>
      </c>
      <c r="C23">
        <v>4.93</v>
      </c>
      <c r="D23">
        <v>2.16</v>
      </c>
      <c r="E23">
        <v>3.11</v>
      </c>
      <c r="F23">
        <v>3.11</v>
      </c>
      <c r="G23">
        <v>364717500</v>
      </c>
    </row>
    <row r="24" spans="1:7" x14ac:dyDescent="0.25">
      <c r="A24" s="1">
        <v>44621</v>
      </c>
      <c r="B24">
        <v>2.94</v>
      </c>
      <c r="C24">
        <v>3.7090000000000001</v>
      </c>
      <c r="D24">
        <v>2.0699999999999998</v>
      </c>
      <c r="E24">
        <v>3</v>
      </c>
      <c r="F24">
        <v>3</v>
      </c>
      <c r="G24">
        <v>294616600</v>
      </c>
    </row>
    <row r="25" spans="1:7" x14ac:dyDescent="0.25">
      <c r="A25" s="1">
        <v>44652</v>
      </c>
      <c r="B25">
        <v>3</v>
      </c>
      <c r="C25">
        <v>3.38</v>
      </c>
      <c r="D25">
        <v>1.99</v>
      </c>
      <c r="E25">
        <v>2.0499999999999998</v>
      </c>
      <c r="F25">
        <v>2.0499999999999998</v>
      </c>
      <c r="G25">
        <v>206506500</v>
      </c>
    </row>
    <row r="26" spans="1:7" x14ac:dyDescent="0.25">
      <c r="A26" s="1">
        <v>44682</v>
      </c>
      <c r="B26">
        <v>2.04</v>
      </c>
      <c r="C26">
        <v>2.2999999999999998</v>
      </c>
      <c r="D26">
        <v>1.385</v>
      </c>
      <c r="E26">
        <v>1.9</v>
      </c>
      <c r="F26">
        <v>1.9</v>
      </c>
      <c r="G26">
        <v>252057200</v>
      </c>
    </row>
    <row r="27" spans="1:7" x14ac:dyDescent="0.25">
      <c r="A27" s="1">
        <v>44713</v>
      </c>
      <c r="B27">
        <v>1.93</v>
      </c>
      <c r="C27">
        <v>2.0099999999999998</v>
      </c>
      <c r="D27">
        <v>1.1499999999999999</v>
      </c>
      <c r="E27">
        <v>1.24</v>
      </c>
      <c r="F27">
        <v>1.24</v>
      </c>
      <c r="G27">
        <v>231333700</v>
      </c>
    </row>
    <row r="28" spans="1:7" x14ac:dyDescent="0.25">
      <c r="A28" s="1">
        <v>44743</v>
      </c>
      <c r="B28">
        <v>1.2</v>
      </c>
      <c r="C28">
        <v>1.68</v>
      </c>
      <c r="D28">
        <v>1.18</v>
      </c>
      <c r="E28">
        <v>1.58</v>
      </c>
      <c r="F28">
        <v>1.58</v>
      </c>
      <c r="G28">
        <v>119917200</v>
      </c>
    </row>
    <row r="29" spans="1:7" x14ac:dyDescent="0.25">
      <c r="A29" s="1">
        <v>44774</v>
      </c>
      <c r="B29">
        <v>1.55</v>
      </c>
      <c r="C29">
        <v>2.1800000000000002</v>
      </c>
      <c r="D29">
        <v>1.3</v>
      </c>
      <c r="E29">
        <v>1.33</v>
      </c>
      <c r="F29">
        <v>1.33</v>
      </c>
      <c r="G29">
        <v>179492200</v>
      </c>
    </row>
    <row r="30" spans="1:7" x14ac:dyDescent="0.25">
      <c r="A30" s="1">
        <v>44805</v>
      </c>
      <c r="B30">
        <v>1.31</v>
      </c>
      <c r="C30">
        <v>1.41</v>
      </c>
      <c r="D30">
        <v>1.1100000000000001</v>
      </c>
      <c r="E30">
        <v>1.1499999999999999</v>
      </c>
      <c r="F30">
        <v>1.1499999999999999</v>
      </c>
      <c r="G30">
        <v>62616000</v>
      </c>
    </row>
    <row r="31" spans="1:7" x14ac:dyDescent="0.25">
      <c r="A31" s="1">
        <v>44820</v>
      </c>
      <c r="B31">
        <v>1.2</v>
      </c>
      <c r="C31">
        <v>1.21</v>
      </c>
      <c r="D31">
        <v>1.1100000000000001</v>
      </c>
      <c r="E31">
        <v>1.1499999999999999</v>
      </c>
      <c r="F31">
        <v>1.1499999999999999</v>
      </c>
      <c r="G31">
        <v>15369991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SKLZ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2015-06-05T18:19:34Z</dcterms:created>
  <dcterms:modified xsi:type="dcterms:W3CDTF">2022-09-21T07:14:11Z</dcterms:modified>
</cp:coreProperties>
</file>