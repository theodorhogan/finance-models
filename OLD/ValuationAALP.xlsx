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1487" documentId="11_F25DC773A252ABDACC10487EA91866DC5BDE58E7" xr6:coauthVersionLast="47" xr6:coauthVersionMax="47" xr10:uidLastSave="{FCC7EAD7-9190-4A1F-9D3D-1EE964E4C09F}"/>
  <bookViews>
    <workbookView xWindow="-120" yWindow="-120" windowWidth="38640" windowHeight="21240" activeTab="3" xr2:uid="{00000000-000D-0000-FFFF-FFFF00000000}"/>
  </bookViews>
  <sheets>
    <sheet name="MAIN" sheetId="5" r:id="rId1"/>
    <sheet name="Valuation_OLD" sheetId="1" r:id="rId2"/>
    <sheet name="Cost of Debt_OLD" sheetId="4" r:id="rId3"/>
    <sheet name="OLD" sheetId="2" r:id="rId4"/>
  </sheets>
  <definedNames>
    <definedName name="_xlnm.Print_Area" localSheetId="2">'Cost of Debt_OLD'!$B$1:$I$98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E16" i="2"/>
  <c r="C10" i="2"/>
  <c r="C14" i="2" s="1"/>
  <c r="C11" i="2" s="1"/>
  <c r="M15" i="4"/>
  <c r="M11" i="4"/>
  <c r="M9" i="4"/>
  <c r="E13" i="4"/>
  <c r="E15" i="4" s="1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60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38" i="4"/>
  <c r="G37" i="4"/>
  <c r="G36" i="4"/>
  <c r="G35" i="4"/>
  <c r="G34" i="4"/>
  <c r="G33" i="4"/>
  <c r="G32" i="4"/>
  <c r="G31" i="4"/>
  <c r="G30" i="4"/>
  <c r="G71" i="4"/>
  <c r="G70" i="4"/>
  <c r="G61" i="4"/>
  <c r="G59" i="4"/>
  <c r="G58" i="4"/>
  <c r="G42" i="4"/>
  <c r="G41" i="4"/>
  <c r="G40" i="4"/>
  <c r="G39" i="4"/>
  <c r="AA26" i="1"/>
  <c r="Z26" i="1"/>
  <c r="AA25" i="1"/>
  <c r="Z25" i="1"/>
  <c r="AA24" i="1"/>
  <c r="AA23" i="1"/>
  <c r="Z24" i="1"/>
  <c r="Z23" i="1"/>
  <c r="AA22" i="1"/>
  <c r="Z22" i="1"/>
  <c r="AA18" i="1"/>
  <c r="Z18" i="1"/>
  <c r="AA16" i="1"/>
  <c r="Z16" i="1"/>
  <c r="AA15" i="1"/>
  <c r="Z15" i="1"/>
  <c r="AA12" i="1"/>
  <c r="Z12" i="1"/>
  <c r="Z11" i="1"/>
  <c r="AA10" i="1"/>
  <c r="Z10" i="1"/>
  <c r="Z8" i="1"/>
  <c r="AA7" i="1"/>
  <c r="Z7" i="1"/>
  <c r="AA5" i="1"/>
  <c r="Z5" i="1"/>
  <c r="AA4" i="1"/>
  <c r="Z4" i="1"/>
  <c r="N32" i="1"/>
  <c r="O32" i="1" s="1"/>
  <c r="P32" i="1" s="1"/>
  <c r="Q32" i="1" s="1"/>
  <c r="R32" i="1" s="1"/>
  <c r="S32" i="1" s="1"/>
  <c r="T32" i="1" s="1"/>
  <c r="U32" i="1" s="1"/>
  <c r="V32" i="1" s="1"/>
  <c r="W32" i="1" s="1"/>
  <c r="N6" i="1"/>
  <c r="O6" i="1" s="1"/>
  <c r="P6" i="1" s="1"/>
  <c r="Q6" i="1" s="1"/>
  <c r="R6" i="1" s="1"/>
  <c r="S6" i="1" s="1"/>
  <c r="T6" i="1" s="1"/>
  <c r="U6" i="1" s="1"/>
  <c r="V6" i="1" s="1"/>
  <c r="W6" i="1" s="1"/>
  <c r="W3" i="1"/>
  <c r="Q3" i="1"/>
  <c r="R3" i="1" s="1"/>
  <c r="S3" i="1" s="1"/>
  <c r="T3" i="1" s="1"/>
  <c r="U3" i="1" s="1"/>
  <c r="V3" i="1" s="1"/>
  <c r="P3" i="1"/>
  <c r="O3" i="1"/>
  <c r="N3" i="1"/>
  <c r="M36" i="1"/>
  <c r="M34" i="1"/>
  <c r="M32" i="1"/>
  <c r="M30" i="1"/>
  <c r="M24" i="1"/>
  <c r="M22" i="1"/>
  <c r="M20" i="1"/>
  <c r="M18" i="1"/>
  <c r="M16" i="1"/>
  <c r="M14" i="1"/>
  <c r="M12" i="1"/>
  <c r="M8" i="1"/>
  <c r="M4" i="1"/>
  <c r="L8" i="1"/>
  <c r="K8" i="1"/>
  <c r="J8" i="1"/>
  <c r="I8" i="1"/>
  <c r="H8" i="1"/>
  <c r="G8" i="1"/>
  <c r="F8" i="1"/>
  <c r="E8" i="1"/>
  <c r="D8" i="1"/>
  <c r="C36" i="1"/>
  <c r="L36" i="1"/>
  <c r="D20" i="1"/>
  <c r="I18" i="1"/>
  <c r="I22" i="1" s="1"/>
  <c r="K16" i="1"/>
  <c r="K18" i="1" s="1"/>
  <c r="K22" i="1" s="1"/>
  <c r="J16" i="1"/>
  <c r="J18" i="1" s="1"/>
  <c r="I16" i="1"/>
  <c r="H16" i="1"/>
  <c r="D16" i="1"/>
  <c r="D18" i="1" s="1"/>
  <c r="D22" i="1" s="1"/>
  <c r="L16" i="1"/>
  <c r="F30" i="1"/>
  <c r="E30" i="1"/>
  <c r="D30" i="1"/>
  <c r="C30" i="1"/>
  <c r="C32" i="1" s="1"/>
  <c r="C6" i="1"/>
  <c r="C20" i="1" s="1"/>
  <c r="C14" i="1"/>
  <c r="C16" i="1" s="1"/>
  <c r="C18" i="1" s="1"/>
  <c r="C22" i="1" s="1"/>
  <c r="L28" i="1"/>
  <c r="L30" i="1" s="1"/>
  <c r="L32" i="1" s="1"/>
  <c r="K28" i="1"/>
  <c r="J28" i="1"/>
  <c r="J30" i="1" s="1"/>
  <c r="J32" i="1" s="1"/>
  <c r="J36" i="1" s="1"/>
  <c r="I28" i="1"/>
  <c r="H28" i="1"/>
  <c r="G28" i="1"/>
  <c r="G30" i="1" s="1"/>
  <c r="F28" i="1"/>
  <c r="D6" i="1"/>
  <c r="E6" i="1"/>
  <c r="E12" i="1"/>
  <c r="E20" i="1" s="1"/>
  <c r="F12" i="1"/>
  <c r="F20" i="1" s="1"/>
  <c r="D14" i="1"/>
  <c r="E14" i="1"/>
  <c r="E16" i="1" s="1"/>
  <c r="G12" i="1"/>
  <c r="H12" i="1"/>
  <c r="H18" i="1" s="1"/>
  <c r="H22" i="1" s="1"/>
  <c r="F6" i="1"/>
  <c r="G6" i="1"/>
  <c r="F14" i="1"/>
  <c r="F16" i="1" s="1"/>
  <c r="G14" i="1"/>
  <c r="G16" i="1" s="1"/>
  <c r="G18" i="1" s="1"/>
  <c r="G22" i="1" s="1"/>
  <c r="I30" i="1"/>
  <c r="I32" i="1" s="1"/>
  <c r="I36" i="1" s="1"/>
  <c r="H30" i="1"/>
  <c r="H32" i="1" s="1"/>
  <c r="H36" i="1" s="1"/>
  <c r="H6" i="1"/>
  <c r="I6" i="1"/>
  <c r="I12" i="1"/>
  <c r="J12" i="1"/>
  <c r="K30" i="1"/>
  <c r="K32" i="1" s="1"/>
  <c r="K36" i="1" s="1"/>
  <c r="J6" i="1"/>
  <c r="K6" i="1"/>
  <c r="L6" i="1"/>
  <c r="K12" i="1"/>
  <c r="K20" i="1" s="1"/>
  <c r="L12" i="1"/>
  <c r="L20" i="1" s="1"/>
  <c r="D3" i="1"/>
  <c r="E3" i="1" s="1"/>
  <c r="F3" i="1" s="1"/>
  <c r="G3" i="1" s="1"/>
  <c r="H3" i="1" s="1"/>
  <c r="I3" i="1" s="1"/>
  <c r="J3" i="1" s="1"/>
  <c r="K3" i="1" s="1"/>
  <c r="L3" i="1" s="1"/>
  <c r="C6" i="2" l="1"/>
  <c r="L11" i="2" s="1"/>
  <c r="G20" i="4"/>
  <c r="D20" i="4"/>
  <c r="E27" i="4"/>
  <c r="H70" i="4" s="1"/>
  <c r="J22" i="1"/>
  <c r="J20" i="1"/>
  <c r="L18" i="1"/>
  <c r="L22" i="1" s="1"/>
  <c r="I20" i="1"/>
  <c r="G32" i="1"/>
  <c r="G36" i="1" s="1"/>
  <c r="E18" i="1"/>
  <c r="E22" i="1" s="1"/>
  <c r="F18" i="1"/>
  <c r="F22" i="1" s="1"/>
  <c r="G20" i="1"/>
  <c r="H20" i="1"/>
  <c r="D32" i="1"/>
  <c r="D36" i="1" s="1"/>
  <c r="E32" i="1"/>
  <c r="E36" i="1" s="1"/>
  <c r="F32" i="1"/>
  <c r="F36" i="1" s="1"/>
  <c r="E28" i="2" l="1"/>
  <c r="G16" i="2"/>
  <c r="G28" i="2" s="1"/>
  <c r="C16" i="2"/>
  <c r="C28" i="2" s="1"/>
  <c r="H83" i="4"/>
  <c r="H78" i="4"/>
  <c r="H81" i="4"/>
  <c r="H73" i="4"/>
  <c r="H54" i="4"/>
  <c r="H46" i="4"/>
  <c r="H40" i="4"/>
  <c r="H61" i="4"/>
  <c r="H62" i="4"/>
  <c r="H85" i="4"/>
  <c r="H51" i="4"/>
  <c r="H77" i="4"/>
  <c r="H97" i="4"/>
  <c r="H43" i="4"/>
  <c r="H98" i="4"/>
  <c r="H89" i="4"/>
  <c r="H91" i="4"/>
  <c r="H33" i="4"/>
  <c r="H31" i="4"/>
  <c r="H65" i="4"/>
  <c r="H74" i="4"/>
  <c r="H82" i="4"/>
  <c r="H67" i="4"/>
  <c r="H53" i="4"/>
  <c r="H64" i="4"/>
  <c r="H56" i="4"/>
  <c r="H32" i="4"/>
  <c r="H96" i="4"/>
  <c r="H41" i="4"/>
  <c r="H58" i="4"/>
  <c r="H59" i="4"/>
  <c r="H48" i="4"/>
  <c r="H86" i="4"/>
  <c r="H88" i="4"/>
  <c r="H94" i="4"/>
  <c r="H69" i="4"/>
  <c r="H90" i="4"/>
  <c r="H36" i="4"/>
  <c r="H57" i="4"/>
  <c r="H80" i="4"/>
  <c r="H49" i="4"/>
  <c r="H38" i="4"/>
  <c r="H45" i="4"/>
  <c r="H66" i="4"/>
  <c r="H50" i="4"/>
  <c r="H42" i="4"/>
  <c r="H34" i="4"/>
  <c r="H79" i="4"/>
  <c r="H71" i="4"/>
  <c r="H63" i="4"/>
  <c r="H47" i="4"/>
  <c r="H39" i="4"/>
  <c r="H87" i="4"/>
  <c r="H55" i="4"/>
  <c r="H95" i="4"/>
  <c r="H84" i="4"/>
  <c r="H76" i="4"/>
  <c r="H60" i="4"/>
  <c r="H44" i="4"/>
  <c r="H92" i="4"/>
  <c r="H68" i="4"/>
  <c r="H52" i="4"/>
  <c r="H35" i="4"/>
  <c r="H72" i="4"/>
  <c r="H37" i="4"/>
  <c r="H30" i="4"/>
  <c r="H93" i="4"/>
  <c r="H75" i="4"/>
  <c r="H27" i="4" l="1"/>
  <c r="E23" i="4" s="1"/>
</calcChain>
</file>

<file path=xl/sharedStrings.xml><?xml version="1.0" encoding="utf-8"?>
<sst xmlns="http://schemas.openxmlformats.org/spreadsheetml/2006/main" count="113" uniqueCount="92">
  <si>
    <t>Ticker</t>
  </si>
  <si>
    <t>Date</t>
  </si>
  <si>
    <t>AAPL</t>
  </si>
  <si>
    <t>Revenue</t>
  </si>
  <si>
    <t>EBITDA</t>
  </si>
  <si>
    <t>Excess Cash</t>
  </si>
  <si>
    <t>ST + LT Debt</t>
  </si>
  <si>
    <t>CS Oustanding</t>
  </si>
  <si>
    <t>Market Cap</t>
  </si>
  <si>
    <t>EV</t>
  </si>
  <si>
    <t>Debt/EBITDA</t>
  </si>
  <si>
    <t>EV/EBITDA</t>
  </si>
  <si>
    <t>CFO</t>
  </si>
  <si>
    <t>CapEx</t>
  </si>
  <si>
    <t>Debt Issuance</t>
  </si>
  <si>
    <t>FCFE</t>
  </si>
  <si>
    <t>FCFE/SHR</t>
  </si>
  <si>
    <t>$/SHR</t>
  </si>
  <si>
    <t>FCFE Yield</t>
  </si>
  <si>
    <t>AVG/CAGR</t>
  </si>
  <si>
    <t>FY end last week of September</t>
  </si>
  <si>
    <t>EBITDA Multiple Method</t>
  </si>
  <si>
    <t>Year</t>
  </si>
  <si>
    <t>Multiple</t>
  </si>
  <si>
    <t>Less Debt</t>
  </si>
  <si>
    <t>Add Cash</t>
  </si>
  <si>
    <t>CS Out.</t>
  </si>
  <si>
    <t>FCFE Yield Method</t>
  </si>
  <si>
    <t>Return Calculation</t>
  </si>
  <si>
    <t>Current Price</t>
  </si>
  <si>
    <t>EBITDA $/SHR</t>
  </si>
  <si>
    <t>FCFE $/SHR</t>
  </si>
  <si>
    <t>Average</t>
  </si>
  <si>
    <t>Return</t>
  </si>
  <si>
    <t>Amount</t>
  </si>
  <si>
    <t>Total Debt</t>
  </si>
  <si>
    <t>Issued</t>
  </si>
  <si>
    <t>Due</t>
  </si>
  <si>
    <t>Commercial Paper</t>
  </si>
  <si>
    <t>19/05/2023</t>
  </si>
  <si>
    <t>Apple's Total Debt overview</t>
  </si>
  <si>
    <t>FX Rate USD/EUR</t>
  </si>
  <si>
    <t>FX rate USD/GBP</t>
  </si>
  <si>
    <t>FX rate USD/CAD</t>
  </si>
  <si>
    <t>from 2022 10-K Form:</t>
  </si>
  <si>
    <t>as of 21/05/2023:</t>
  </si>
  <si>
    <t>Int. Rate</t>
  </si>
  <si>
    <t>Adj. Amount USD</t>
  </si>
  <si>
    <t>Int. avg.</t>
  </si>
  <si>
    <t>(All values given in millions except interest rates)</t>
  </si>
  <si>
    <t>Bonds:</t>
  </si>
  <si>
    <t>Face Value of Bonds ($)</t>
  </si>
  <si>
    <t>WA Bond Rate</t>
  </si>
  <si>
    <t xml:space="preserve">WA interest rate </t>
  </si>
  <si>
    <t>ST Term Debt (Fair Value)</t>
  </si>
  <si>
    <t>LT Term Debt (Fair Value)</t>
  </si>
  <si>
    <t>Total Term Debt (Fair V.)</t>
  </si>
  <si>
    <t>Cost of Debt Calculations</t>
  </si>
  <si>
    <t>CP/Total Debt</t>
  </si>
  <si>
    <t>WA Rate of TD &amp; CP</t>
  </si>
  <si>
    <t>TD /Total Debt</t>
  </si>
  <si>
    <t xml:space="preserve">E </t>
  </si>
  <si>
    <t>D</t>
  </si>
  <si>
    <t>Re</t>
  </si>
  <si>
    <t>RD</t>
  </si>
  <si>
    <t>Tc</t>
  </si>
  <si>
    <t>WACC</t>
  </si>
  <si>
    <t>D+E</t>
  </si>
  <si>
    <t>Debt</t>
  </si>
  <si>
    <t>Cost of Debt</t>
  </si>
  <si>
    <t>Tax rate</t>
  </si>
  <si>
    <t>Equity</t>
  </si>
  <si>
    <t>% Equity</t>
  </si>
  <si>
    <t>% Debt</t>
  </si>
  <si>
    <t>Cost of Equity</t>
  </si>
  <si>
    <t xml:space="preserve">Debt + Equity </t>
  </si>
  <si>
    <t>Bear Case</t>
  </si>
  <si>
    <t>Base Case</t>
  </si>
  <si>
    <t>Bull Case</t>
  </si>
  <si>
    <t>Growth Rate Assumptions</t>
  </si>
  <si>
    <t>WACC Assumptions</t>
  </si>
  <si>
    <t>Terminal Growth Rate</t>
  </si>
  <si>
    <t>Enterprise Value Calculations based on Discounted Cash Flows</t>
  </si>
  <si>
    <t>Enterpise Value</t>
  </si>
  <si>
    <t>Unlevered FCFE 2022</t>
  </si>
  <si>
    <t>In billions</t>
  </si>
  <si>
    <t>Growth rate based on historical results and motivated in 3 a.</t>
  </si>
  <si>
    <t>Base Case WACC Formula: =$C$6*E7*(1-E8)+$C$11*E12</t>
  </si>
  <si>
    <t>Base Case  EV Forumla:  =(($C$25*(1+E21))/(E16-E21))/1000^3</t>
  </si>
  <si>
    <t xml:space="preserve">WACC </t>
  </si>
  <si>
    <t>Growth</t>
  </si>
  <si>
    <t>Data table enterpise value in 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</si>
</sst>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_);_(&quot;$&quot;* \(#,##0.0\);_(&quot;$&quot;* &quot;-&quot;_);_(@_)"/>
    <numFmt numFmtId="165" formatCode="_(&quot;$&quot;* #,##0_);_(&quot;$&quot;* \(#,##0\);_(&quot;$&quot;* &quot;-&quot;??_);_(@_)"/>
    <numFmt numFmtId="166" formatCode="0.0%"/>
    <numFmt numFmtId="167" formatCode="_([$$-409]* #,##0.00_);_([$$-409]* \(#,##0.00\);_([$$-409]* &quot;-&quot;??_);_(@_)"/>
    <numFmt numFmtId="168" formatCode="_([$$-409]* #,##0_);_([$$-409]* \(#,##0\);_([$$-409]* &quot;-&quot;??_);_(@_)"/>
    <numFmt numFmtId="169" formatCode="_([$€-2]\ * #,##0_);_([$€-2]\ * \(#,##0\);_([$€-2]\ * &quot;-&quot;??_);_(@_)"/>
    <numFmt numFmtId="170" formatCode="_-[$£-809]* #,##0_-;\-[$£-809]* #,##0_-;_-[$£-809]* &quot;-&quot;??_-;_-@_-"/>
    <numFmt numFmtId="171" formatCode="0.000%"/>
    <numFmt numFmtId="172" formatCode="_([$CAD]\ * #,##0_);_([$CAD]\ * \(#,##0\);_([$CAD]\ * &quot;-&quot;_);_(@_)"/>
    <numFmt numFmtId="173" formatCode="_([$$-409]* #,##0_);_([$$-409]* \(#,##0\);_([$$-409]* &quot;-&quot;_);_(@_)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5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" fontId="0" fillId="0" borderId="0" xfId="0" applyNumberFormat="1"/>
    <xf numFmtId="3" fontId="0" fillId="0" borderId="0" xfId="0" applyNumberFormat="1"/>
    <xf numFmtId="42" fontId="0" fillId="0" borderId="0" xfId="0" applyNumberFormat="1"/>
    <xf numFmtId="44" fontId="0" fillId="0" borderId="0" xfId="0" applyNumberFormat="1"/>
    <xf numFmtId="42" fontId="0" fillId="0" borderId="0" xfId="0" applyNumberFormat="1" applyAlignment="1">
      <alignment horizontal="center"/>
    </xf>
    <xf numFmtId="10" fontId="6" fillId="0" borderId="0" xfId="1" applyNumberFormat="1" applyFont="1" applyAlignment="1">
      <alignment horizontal="center"/>
    </xf>
    <xf numFmtId="9" fontId="6" fillId="0" borderId="0" xfId="1" applyFont="1" applyAlignment="1">
      <alignment horizontal="center"/>
    </xf>
    <xf numFmtId="2" fontId="4" fillId="0" borderId="0" xfId="0" applyNumberFormat="1" applyFont="1" applyAlignment="1">
      <alignment horizontal="center"/>
    </xf>
    <xf numFmtId="9" fontId="5" fillId="0" borderId="0" xfId="1" applyFont="1" applyAlignment="1">
      <alignment horizontal="center"/>
    </xf>
    <xf numFmtId="0" fontId="3" fillId="4" borderId="0" xfId="0" applyFont="1" applyFill="1" applyAlignment="1">
      <alignment horizontal="center"/>
    </xf>
    <xf numFmtId="9" fontId="7" fillId="0" borderId="0" xfId="0" applyNumberFormat="1" applyFont="1" applyAlignment="1">
      <alignment horizontal="center"/>
    </xf>
    <xf numFmtId="164" fontId="0" fillId="0" borderId="0" xfId="0" applyNumberFormat="1"/>
    <xf numFmtId="0" fontId="3" fillId="5" borderId="0" xfId="0" applyFont="1" applyFill="1" applyAlignment="1">
      <alignment horizontal="center"/>
    </xf>
    <xf numFmtId="0" fontId="0" fillId="6" borderId="0" xfId="0" applyFill="1"/>
    <xf numFmtId="42" fontId="0" fillId="6" borderId="0" xfId="0" applyNumberFormat="1" applyFill="1"/>
    <xf numFmtId="165" fontId="0" fillId="6" borderId="0" xfId="0" applyNumberFormat="1" applyFill="1"/>
    <xf numFmtId="44" fontId="0" fillId="6" borderId="0" xfId="0" applyNumberFormat="1" applyFill="1"/>
    <xf numFmtId="164" fontId="0" fillId="6" borderId="0" xfId="0" applyNumberFormat="1" applyFill="1"/>
    <xf numFmtId="44" fontId="0" fillId="6" borderId="1" xfId="0" applyNumberFormat="1" applyFill="1" applyBorder="1"/>
    <xf numFmtId="0" fontId="0" fillId="6" borderId="0" xfId="0" applyFill="1" applyAlignment="1">
      <alignment horizontal="left"/>
    </xf>
    <xf numFmtId="9" fontId="7" fillId="6" borderId="0" xfId="1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8" fontId="0" fillId="0" borderId="0" xfId="0" applyNumberFormat="1"/>
    <xf numFmtId="9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1" applyNumberFormat="1" applyFont="1"/>
    <xf numFmtId="171" fontId="0" fillId="0" borderId="0" xfId="0" applyNumberFormat="1"/>
    <xf numFmtId="172" fontId="0" fillId="0" borderId="0" xfId="0" applyNumberFormat="1"/>
    <xf numFmtId="0" fontId="3" fillId="7" borderId="0" xfId="0" applyFont="1" applyFill="1"/>
    <xf numFmtId="0" fontId="0" fillId="0" borderId="2" xfId="0" applyBorder="1"/>
    <xf numFmtId="0" fontId="9" fillId="0" borderId="0" xfId="0" applyFont="1" applyAlignment="1">
      <alignment horizontal="left" indent="1"/>
    </xf>
    <xf numFmtId="168" fontId="0" fillId="0" borderId="2" xfId="0" applyNumberFormat="1" applyBorder="1"/>
    <xf numFmtId="2" fontId="0" fillId="0" borderId="2" xfId="0" applyNumberFormat="1" applyBorder="1"/>
    <xf numFmtId="173" fontId="0" fillId="0" borderId="0" xfId="0" applyNumberFormat="1"/>
    <xf numFmtId="168" fontId="0" fillId="0" borderId="2" xfId="0" applyNumberFormat="1" applyBorder="1" applyAlignment="1">
      <alignment wrapText="1"/>
    </xf>
    <xf numFmtId="10" fontId="0" fillId="0" borderId="2" xfId="1" applyNumberFormat="1" applyFont="1" applyBorder="1"/>
    <xf numFmtId="0" fontId="0" fillId="3" borderId="0" xfId="0" applyFill="1"/>
    <xf numFmtId="0" fontId="3" fillId="3" borderId="0" xfId="0" applyFont="1" applyFill="1" applyAlignment="1">
      <alignment horizontal="left"/>
    </xf>
    <xf numFmtId="0" fontId="3" fillId="7" borderId="0" xfId="0" applyFont="1" applyFill="1" applyAlignment="1">
      <alignment horizontal="center"/>
    </xf>
    <xf numFmtId="9" fontId="0" fillId="0" borderId="2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3" fillId="3" borderId="0" xfId="0" applyFont="1" applyFill="1"/>
    <xf numFmtId="10" fontId="0" fillId="8" borderId="2" xfId="0" applyNumberFormat="1" applyFill="1" applyBorder="1" applyAlignment="1">
      <alignment horizontal="center"/>
    </xf>
    <xf numFmtId="10" fontId="10" fillId="8" borderId="2" xfId="0" applyNumberFormat="1" applyFont="1" applyFill="1" applyBorder="1" applyAlignment="1">
      <alignment horizontal="center"/>
    </xf>
    <xf numFmtId="9" fontId="0" fillId="8" borderId="2" xfId="0" applyNumberFormat="1" applyFill="1" applyBorder="1" applyAlignment="1">
      <alignment horizontal="center"/>
    </xf>
    <xf numFmtId="9" fontId="10" fillId="8" borderId="2" xfId="0" applyNumberFormat="1" applyFont="1" applyFill="1" applyBorder="1" applyAlignment="1">
      <alignment horizontal="center"/>
    </xf>
    <xf numFmtId="0" fontId="4" fillId="6" borderId="1" xfId="0" applyFont="1" applyFill="1" applyBorder="1"/>
    <xf numFmtId="10" fontId="4" fillId="6" borderId="1" xfId="1" applyNumberFormat="1" applyFont="1" applyFill="1" applyBorder="1"/>
    <xf numFmtId="6" fontId="0" fillId="0" borderId="0" xfId="0" applyNumberFormat="1"/>
    <xf numFmtId="42" fontId="0" fillId="8" borderId="2" xfId="0" applyNumberForma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3" fontId="0" fillId="6" borderId="0" xfId="0" applyNumberFormat="1" applyFill="1"/>
    <xf numFmtId="9" fontId="9" fillId="0" borderId="7" xfId="0" applyNumberFormat="1" applyFont="1" applyBorder="1"/>
    <xf numFmtId="0" fontId="9" fillId="0" borderId="0" xfId="0" applyFont="1"/>
    <xf numFmtId="10" fontId="9" fillId="0" borderId="1" xfId="0" applyNumberFormat="1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7" fillId="6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4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3" fontId="0" fillId="6" borderId="1" xfId="0" applyNumberForma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0" fontId="4" fillId="0" borderId="3" xfId="1" applyNumberFormat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textRotation="90"/>
    </xf>
    <xf numFmtId="3" fontId="0" fillId="8" borderId="4" xfId="0" applyNumberFormat="1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0" fillId="8" borderId="6" xfId="0" applyNumberForma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861E-7E4C-4909-87DE-FBB633E3BE7A}">
  <dimension ref="A1"/>
  <sheetViews>
    <sheetView showGridLines="0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showGridLines="0" topLeftCell="A2" zoomScale="91" workbookViewId="0">
      <pane xSplit="1" topLeftCell="L1" activePane="topRight" state="frozen"/>
      <selection activeCell="A3" sqref="A3"/>
      <selection pane="topRight" activeCell="W8" sqref="W8"/>
    </sheetView>
  </sheetViews>
  <sheetFormatPr defaultRowHeight="15" x14ac:dyDescent="0.25"/>
  <cols>
    <col min="1" max="1" width="13.85546875" bestFit="1" customWidth="1"/>
    <col min="3" max="23" width="12.7109375" customWidth="1"/>
    <col min="25" max="25" width="13.140625" bestFit="1" customWidth="1"/>
    <col min="26" max="27" width="12.140625" bestFit="1" customWidth="1"/>
    <col min="28" max="28" width="10.7109375" bestFit="1" customWidth="1"/>
  </cols>
  <sheetData>
    <row r="1" spans="1:27" x14ac:dyDescent="0.25">
      <c r="A1" t="s">
        <v>0</v>
      </c>
      <c r="C1" t="s">
        <v>1</v>
      </c>
      <c r="D1" s="1">
        <v>44784</v>
      </c>
    </row>
    <row r="2" spans="1:27" ht="26.25" x14ac:dyDescent="0.4">
      <c r="A2" s="2" t="s">
        <v>2</v>
      </c>
    </row>
    <row r="3" spans="1:27" x14ac:dyDescent="0.25">
      <c r="C3" s="3">
        <v>2013</v>
      </c>
      <c r="D3" s="3">
        <f>+C3+1</f>
        <v>2014</v>
      </c>
      <c r="E3" s="3">
        <f t="shared" ref="E3:L3" si="0">+D3+1</f>
        <v>2015</v>
      </c>
      <c r="F3" s="3">
        <f t="shared" si="0"/>
        <v>2016</v>
      </c>
      <c r="G3" s="3">
        <f t="shared" si="0"/>
        <v>2017</v>
      </c>
      <c r="H3" s="3">
        <f t="shared" si="0"/>
        <v>2018</v>
      </c>
      <c r="I3" s="3">
        <f t="shared" si="0"/>
        <v>2019</v>
      </c>
      <c r="J3" s="3">
        <f t="shared" si="0"/>
        <v>2020</v>
      </c>
      <c r="K3" s="3">
        <f t="shared" si="0"/>
        <v>2021</v>
      </c>
      <c r="L3" s="3">
        <f t="shared" si="0"/>
        <v>2022</v>
      </c>
      <c r="M3" s="4" t="s">
        <v>19</v>
      </c>
      <c r="N3" s="14">
        <f>L3+1</f>
        <v>2023</v>
      </c>
      <c r="O3" s="14">
        <f>N3+1</f>
        <v>2024</v>
      </c>
      <c r="P3" s="14">
        <f t="shared" ref="P3:W3" si="1">O3+1</f>
        <v>2025</v>
      </c>
      <c r="Q3" s="14">
        <f t="shared" si="1"/>
        <v>2026</v>
      </c>
      <c r="R3" s="17">
        <f t="shared" si="1"/>
        <v>2027</v>
      </c>
      <c r="S3" s="14">
        <f t="shared" si="1"/>
        <v>2028</v>
      </c>
      <c r="T3" s="14">
        <f t="shared" si="1"/>
        <v>2029</v>
      </c>
      <c r="U3" s="14">
        <f t="shared" si="1"/>
        <v>2030</v>
      </c>
      <c r="V3" s="14">
        <f t="shared" si="1"/>
        <v>2031</v>
      </c>
      <c r="W3" s="14">
        <f t="shared" si="1"/>
        <v>2032</v>
      </c>
      <c r="Y3" s="75" t="s">
        <v>21</v>
      </c>
      <c r="Z3" s="75"/>
      <c r="AA3" s="75"/>
    </row>
    <row r="4" spans="1:27" x14ac:dyDescent="0.25">
      <c r="A4" t="s">
        <v>3</v>
      </c>
      <c r="C4" s="7">
        <v>170910</v>
      </c>
      <c r="D4" s="7">
        <v>182795</v>
      </c>
      <c r="E4" s="7">
        <v>233715</v>
      </c>
      <c r="F4" s="7">
        <v>215639</v>
      </c>
      <c r="G4" s="7">
        <v>229234</v>
      </c>
      <c r="H4" s="7">
        <v>265595</v>
      </c>
      <c r="I4" s="7">
        <v>260174</v>
      </c>
      <c r="J4" s="9">
        <v>274515</v>
      </c>
      <c r="K4" s="9">
        <v>365817</v>
      </c>
      <c r="L4" s="9">
        <v>394328</v>
      </c>
      <c r="M4" s="10">
        <f>(L4/C4)^(1/($L$3-$C$3))-1</f>
        <v>9.7345404164098426E-2</v>
      </c>
      <c r="Y4" s="26" t="s">
        <v>22</v>
      </c>
      <c r="Z4" s="27">
        <f>$R$3</f>
        <v>2027</v>
      </c>
      <c r="AA4" s="27">
        <f>$W$3</f>
        <v>2032</v>
      </c>
    </row>
    <row r="5" spans="1:27" x14ac:dyDescent="0.25">
      <c r="C5" s="7"/>
      <c r="D5" s="7"/>
      <c r="E5" s="7"/>
      <c r="F5" s="7"/>
      <c r="G5" s="7"/>
      <c r="H5" s="7"/>
      <c r="I5" s="7"/>
      <c r="J5" s="7"/>
      <c r="K5" s="7"/>
      <c r="L5" s="7"/>
      <c r="Y5" s="18" t="s">
        <v>4</v>
      </c>
      <c r="Z5" s="19">
        <f>R6</f>
        <v>174693.30512548165</v>
      </c>
      <c r="AA5" s="19">
        <f>W6</f>
        <v>233779.0491544008</v>
      </c>
    </row>
    <row r="6" spans="1:27" x14ac:dyDescent="0.25">
      <c r="A6" t="s">
        <v>4</v>
      </c>
      <c r="C6" s="7">
        <f>48999+6757</f>
        <v>55756</v>
      </c>
      <c r="D6" s="7">
        <f>52503+7946</f>
        <v>60449</v>
      </c>
      <c r="E6" s="7">
        <f>71230+11257</f>
        <v>82487</v>
      </c>
      <c r="F6" s="7">
        <f>60024+10505</f>
        <v>70529</v>
      </c>
      <c r="G6" s="7">
        <f>61344+10157</f>
        <v>71501</v>
      </c>
      <c r="H6" s="7">
        <f>70898+10903</f>
        <v>81801</v>
      </c>
      <c r="I6" s="7">
        <f>63930+12547</f>
        <v>76477</v>
      </c>
      <c r="J6" s="7">
        <f>66288+11056</f>
        <v>77344</v>
      </c>
      <c r="K6" s="7">
        <f>108949+11284</f>
        <v>120233</v>
      </c>
      <c r="L6" s="7">
        <f>119437+11104</f>
        <v>130541</v>
      </c>
      <c r="M6" s="10"/>
      <c r="N6" s="7">
        <f>L6*(1+N7)</f>
        <v>138373.46000000002</v>
      </c>
      <c r="O6" s="7">
        <f>N6*(1+O7)</f>
        <v>146675.86760000003</v>
      </c>
      <c r="P6" s="7">
        <f t="shared" ref="P6:W6" si="2">O6*(1+P7)</f>
        <v>155476.41965600004</v>
      </c>
      <c r="Q6" s="7">
        <f t="shared" si="2"/>
        <v>164805.00483536004</v>
      </c>
      <c r="R6" s="7">
        <f t="shared" si="2"/>
        <v>174693.30512548165</v>
      </c>
      <c r="S6" s="7">
        <f t="shared" si="2"/>
        <v>185174.90343301056</v>
      </c>
      <c r="T6" s="7">
        <f t="shared" si="2"/>
        <v>196285.39763899121</v>
      </c>
      <c r="U6" s="7">
        <f t="shared" si="2"/>
        <v>208062.52149733069</v>
      </c>
      <c r="V6" s="7">
        <f t="shared" si="2"/>
        <v>220546.27278717054</v>
      </c>
      <c r="W6" s="7">
        <f t="shared" si="2"/>
        <v>233779.0491544008</v>
      </c>
      <c r="Y6" s="18" t="s">
        <v>23</v>
      </c>
      <c r="Z6" s="76">
        <v>15</v>
      </c>
      <c r="AA6" s="76"/>
    </row>
    <row r="7" spans="1:27" x14ac:dyDescent="0.25">
      <c r="C7" s="7"/>
      <c r="D7" s="7"/>
      <c r="E7" s="7"/>
      <c r="F7" s="7"/>
      <c r="G7" s="7"/>
      <c r="H7" s="7"/>
      <c r="I7" s="7"/>
      <c r="J7" s="7"/>
      <c r="K7" s="7"/>
      <c r="L7" s="7"/>
      <c r="N7" s="15">
        <v>0.06</v>
      </c>
      <c r="O7" s="15">
        <v>0.06</v>
      </c>
      <c r="P7" s="15">
        <v>0.06</v>
      </c>
      <c r="Q7" s="15">
        <v>0.06</v>
      </c>
      <c r="R7" s="15">
        <v>0.06</v>
      </c>
      <c r="S7" s="15">
        <v>0.06</v>
      </c>
      <c r="T7" s="15">
        <v>0.06</v>
      </c>
      <c r="U7" s="15">
        <v>0.06</v>
      </c>
      <c r="V7" s="15">
        <v>0.06</v>
      </c>
      <c r="W7" s="15">
        <v>0.06</v>
      </c>
      <c r="Y7" s="18" t="s">
        <v>9</v>
      </c>
      <c r="Z7" s="20">
        <f>Z5*$Z$6</f>
        <v>2620399.576882225</v>
      </c>
      <c r="AA7" s="20">
        <f t="shared" ref="AA7" si="3">AA5*$Z$6</f>
        <v>3506685.7373160119</v>
      </c>
    </row>
    <row r="8" spans="1:27" x14ac:dyDescent="0.25">
      <c r="C8" s="7"/>
      <c r="D8" s="13">
        <f>D6/C6-1</f>
        <v>8.4170313508860062E-2</v>
      </c>
      <c r="E8" s="13">
        <f t="shared" ref="E8:L8" si="4">E6/D6-1</f>
        <v>0.36457178778805277</v>
      </c>
      <c r="F8" s="13">
        <f t="shared" si="4"/>
        <v>-0.1449682980348419</v>
      </c>
      <c r="G8" s="13">
        <f t="shared" si="4"/>
        <v>1.378156502998773E-2</v>
      </c>
      <c r="H8" s="13">
        <f t="shared" si="4"/>
        <v>0.14405392931567396</v>
      </c>
      <c r="I8" s="13">
        <f t="shared" si="4"/>
        <v>-6.5084778914683228E-2</v>
      </c>
      <c r="J8" s="13">
        <f t="shared" si="4"/>
        <v>1.1336741765498148E-2</v>
      </c>
      <c r="K8" s="13">
        <f t="shared" si="4"/>
        <v>0.55452265204799334</v>
      </c>
      <c r="L8" s="13">
        <f t="shared" si="4"/>
        <v>8.5733534054710514E-2</v>
      </c>
      <c r="M8" s="11">
        <f>AVERAGE(D8:L8)</f>
        <v>0.11645749406236128</v>
      </c>
      <c r="W8" s="35"/>
      <c r="Y8" s="18" t="s">
        <v>24</v>
      </c>
      <c r="Z8" s="77">
        <f>L12</f>
        <v>110087</v>
      </c>
      <c r="AA8" s="77"/>
    </row>
    <row r="9" spans="1:27" x14ac:dyDescent="0.25">
      <c r="C9" s="7"/>
      <c r="D9" s="7"/>
      <c r="E9" s="7"/>
      <c r="F9" s="7"/>
      <c r="G9" s="7"/>
      <c r="H9" s="7"/>
      <c r="I9" s="7"/>
      <c r="J9" s="7"/>
      <c r="K9" s="7"/>
      <c r="L9" s="7"/>
      <c r="Y9" s="18" t="s">
        <v>25</v>
      </c>
      <c r="Z9" s="78">
        <v>0</v>
      </c>
      <c r="AA9" s="78"/>
    </row>
    <row r="10" spans="1:27" x14ac:dyDescent="0.25">
      <c r="A10" t="s">
        <v>5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Y10" s="18" t="s">
        <v>8</v>
      </c>
      <c r="Z10" s="20">
        <f>Z7-$Z$8+$Z$9</f>
        <v>2510312.576882225</v>
      </c>
      <c r="AA10" s="20">
        <f t="shared" ref="AA10" si="5">AA7-$Z$8+$Z$9</f>
        <v>3396598.7373160119</v>
      </c>
    </row>
    <row r="11" spans="1:27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Y11" s="18" t="s">
        <v>26</v>
      </c>
      <c r="Z11" s="79">
        <f>L14</f>
        <v>16326</v>
      </c>
      <c r="AA11" s="79"/>
    </row>
    <row r="12" spans="1:27" x14ac:dyDescent="0.25">
      <c r="A12" t="s">
        <v>6</v>
      </c>
      <c r="C12" s="7">
        <v>16960</v>
      </c>
      <c r="D12" s="7">
        <v>28987</v>
      </c>
      <c r="E12" s="7">
        <f>5116+53329</f>
        <v>58445</v>
      </c>
      <c r="F12" s="7">
        <f>3500+75427</f>
        <v>78927</v>
      </c>
      <c r="G12" s="7">
        <f>6496+97207</f>
        <v>103703</v>
      </c>
      <c r="H12" s="7">
        <f>8784+93735</f>
        <v>102519</v>
      </c>
      <c r="I12" s="7">
        <f>10260+91807</f>
        <v>102067</v>
      </c>
      <c r="J12" s="7">
        <f>8773+98667</f>
        <v>107440</v>
      </c>
      <c r="K12" s="7">
        <f>9613+109106</f>
        <v>118719</v>
      </c>
      <c r="L12" s="7">
        <f>11128+98959</f>
        <v>110087</v>
      </c>
      <c r="M12" s="10">
        <f>(L12/C12)^(1/($L$3-$C$3))-1</f>
        <v>0.23099613016540199</v>
      </c>
      <c r="Y12" s="18" t="s">
        <v>17</v>
      </c>
      <c r="Z12" s="21">
        <f>Z10/$Z$11</f>
        <v>153.76164258742037</v>
      </c>
      <c r="AA12" s="21">
        <f t="shared" ref="AA12" si="6">AA10/$Z$11</f>
        <v>208.04843423471837</v>
      </c>
    </row>
    <row r="14" spans="1:27" x14ac:dyDescent="0.25">
      <c r="A14" t="s">
        <v>7</v>
      </c>
      <c r="C14" s="6">
        <f>6522*5</f>
        <v>32610</v>
      </c>
      <c r="D14" s="6">
        <f>6123*5</f>
        <v>30615</v>
      </c>
      <c r="E14" s="6">
        <f>5793*5</f>
        <v>28965</v>
      </c>
      <c r="F14" s="6">
        <f>5500*5</f>
        <v>27500</v>
      </c>
      <c r="G14" s="6">
        <f>5252*5</f>
        <v>26260</v>
      </c>
      <c r="H14" s="6">
        <v>20000</v>
      </c>
      <c r="I14" s="6">
        <v>18596</v>
      </c>
      <c r="J14" s="6">
        <v>17528</v>
      </c>
      <c r="K14" s="6">
        <v>16865</v>
      </c>
      <c r="L14" s="6">
        <v>16326</v>
      </c>
      <c r="M14" s="10">
        <f>(L14/C14)^(1/($L$3-$C$3))-1</f>
        <v>-7.3992865836858268E-2</v>
      </c>
      <c r="Y14" s="75" t="s">
        <v>27</v>
      </c>
      <c r="Z14" s="75"/>
      <c r="AA14" s="75"/>
    </row>
    <row r="15" spans="1:27" x14ac:dyDescent="0.25">
      <c r="Y15" s="26" t="s">
        <v>22</v>
      </c>
      <c r="Z15" s="27">
        <f>$R$3</f>
        <v>2027</v>
      </c>
      <c r="AA15" s="27">
        <f>$W$3</f>
        <v>2032</v>
      </c>
    </row>
    <row r="16" spans="1:27" x14ac:dyDescent="0.25">
      <c r="A16" t="s">
        <v>8</v>
      </c>
      <c r="C16" s="7">
        <f t="shared" ref="C16:K16" si="7">C14*C34</f>
        <v>480195.19345249987</v>
      </c>
      <c r="D16" s="7">
        <f t="shared" si="7"/>
        <v>640922.18290749996</v>
      </c>
      <c r="E16" s="7">
        <f t="shared" si="7"/>
        <v>787053.60591000004</v>
      </c>
      <c r="F16" s="7">
        <f t="shared" si="7"/>
        <v>665558.34125000006</v>
      </c>
      <c r="G16" s="7">
        <f t="shared" si="7"/>
        <v>939017.75920333329</v>
      </c>
      <c r="H16" s="7">
        <f t="shared" si="7"/>
        <v>897747.53833333345</v>
      </c>
      <c r="I16" s="7">
        <f t="shared" si="7"/>
        <v>964492.34892499994</v>
      </c>
      <c r="J16" s="7">
        <f t="shared" si="7"/>
        <v>1675432.4319273334</v>
      </c>
      <c r="K16" s="7">
        <f t="shared" si="7"/>
        <v>2368442.0470462507</v>
      </c>
      <c r="L16" s="7">
        <f>L14*L34</f>
        <v>2533445.7868665</v>
      </c>
      <c r="M16" s="10">
        <f>(L16/C16)^(1/($L$3-$C$3))-1</f>
        <v>0.20297019523871196</v>
      </c>
      <c r="Y16" s="18" t="s">
        <v>16</v>
      </c>
      <c r="Z16" s="22">
        <f>R32</f>
        <v>8.8005996042523602</v>
      </c>
      <c r="AA16" s="22">
        <f>W32</f>
        <v>11.777187488626948</v>
      </c>
    </row>
    <row r="17" spans="1:28" x14ac:dyDescent="0.25">
      <c r="Y17" s="18" t="s">
        <v>18</v>
      </c>
      <c r="Z17" s="74">
        <v>0.06</v>
      </c>
      <c r="AA17" s="74"/>
    </row>
    <row r="18" spans="1:28" x14ac:dyDescent="0.25">
      <c r="A18" t="s">
        <v>9</v>
      </c>
      <c r="C18" s="7">
        <f t="shared" ref="C18:K18" si="8">C16+C12-C10</f>
        <v>497155.19345249987</v>
      </c>
      <c r="D18" s="7">
        <f t="shared" si="8"/>
        <v>669909.18290749996</v>
      </c>
      <c r="E18" s="7">
        <f t="shared" si="8"/>
        <v>845498.60591000004</v>
      </c>
      <c r="F18" s="7">
        <f t="shared" si="8"/>
        <v>744485.34125000006</v>
      </c>
      <c r="G18" s="7">
        <f t="shared" si="8"/>
        <v>1042720.7592033333</v>
      </c>
      <c r="H18" s="7">
        <f t="shared" si="8"/>
        <v>1000266.5383333334</v>
      </c>
      <c r="I18" s="7">
        <f t="shared" si="8"/>
        <v>1066559.3489250001</v>
      </c>
      <c r="J18" s="7">
        <f t="shared" si="8"/>
        <v>1782872.4319273334</v>
      </c>
      <c r="K18" s="7">
        <f t="shared" si="8"/>
        <v>2487161.0470462507</v>
      </c>
      <c r="L18" s="7">
        <f>L16+L12-L10</f>
        <v>2643532.7868665</v>
      </c>
      <c r="M18" s="10">
        <f>(L18/C18)^(1/($L$3-$C$3))-1</f>
        <v>0.20401673820757327</v>
      </c>
      <c r="Y18" s="18" t="s">
        <v>17</v>
      </c>
      <c r="Z18" s="21">
        <f>Z16/$Z$17</f>
        <v>146.67666007087269</v>
      </c>
      <c r="AA18" s="21">
        <f t="shared" ref="AA18" si="9">AA16/$Z$17</f>
        <v>196.28645814378248</v>
      </c>
    </row>
    <row r="20" spans="1:28" x14ac:dyDescent="0.25">
      <c r="A20" t="s">
        <v>10</v>
      </c>
      <c r="C20" s="5">
        <f t="shared" ref="C20:K20" si="10">C12/C6</f>
        <v>0.30418250950570341</v>
      </c>
      <c r="D20" s="5">
        <f t="shared" si="10"/>
        <v>0.47952819732336349</v>
      </c>
      <c r="E20" s="5">
        <f t="shared" si="10"/>
        <v>0.70853589050395815</v>
      </c>
      <c r="F20" s="5">
        <f t="shared" si="10"/>
        <v>1.1190715875739057</v>
      </c>
      <c r="G20" s="5">
        <f t="shared" si="10"/>
        <v>1.4503713234779934</v>
      </c>
      <c r="H20" s="5">
        <f t="shared" si="10"/>
        <v>1.2532731873693475</v>
      </c>
      <c r="I20" s="5">
        <f t="shared" si="10"/>
        <v>1.3346104057429031</v>
      </c>
      <c r="J20" s="5">
        <f t="shared" si="10"/>
        <v>1.3891187422424494</v>
      </c>
      <c r="K20" s="5">
        <f t="shared" si="10"/>
        <v>0.98740778322091272</v>
      </c>
      <c r="L20" s="5">
        <f>L12/L6</f>
        <v>0.84331359496250224</v>
      </c>
      <c r="M20" s="12">
        <f>AVERAGE(C20:L20)</f>
        <v>0.98694132219230402</v>
      </c>
      <c r="Y20" s="75" t="s">
        <v>28</v>
      </c>
      <c r="Z20" s="75"/>
      <c r="AA20" s="75"/>
    </row>
    <row r="21" spans="1:28" x14ac:dyDescent="0.25">
      <c r="Y21" s="18" t="s">
        <v>29</v>
      </c>
      <c r="Z21" s="18"/>
      <c r="AA21" s="18">
        <v>149.69999999999999</v>
      </c>
      <c r="AB21" s="1">
        <v>44906</v>
      </c>
    </row>
    <row r="22" spans="1:28" x14ac:dyDescent="0.25">
      <c r="A22" t="s">
        <v>11</v>
      </c>
      <c r="C22" s="5">
        <f t="shared" ref="C22:K22" si="11">C18/C6</f>
        <v>8.9166223088546506</v>
      </c>
      <c r="D22" s="5">
        <f t="shared" si="11"/>
        <v>11.082221093938692</v>
      </c>
      <c r="E22" s="5">
        <f t="shared" si="11"/>
        <v>10.250083115036309</v>
      </c>
      <c r="F22" s="5">
        <f t="shared" si="11"/>
        <v>10.555733687561146</v>
      </c>
      <c r="G22" s="5">
        <f t="shared" si="11"/>
        <v>14.583303159442991</v>
      </c>
      <c r="H22" s="5">
        <f t="shared" si="11"/>
        <v>12.228047803001594</v>
      </c>
      <c r="I22" s="5">
        <f t="shared" si="11"/>
        <v>13.946145232226684</v>
      </c>
      <c r="J22" s="5">
        <f t="shared" si="11"/>
        <v>23.051205419002553</v>
      </c>
      <c r="K22" s="5">
        <f t="shared" si="11"/>
        <v>20.686176399542976</v>
      </c>
      <c r="L22" s="5">
        <f>L18/L6</f>
        <v>20.250593965623828</v>
      </c>
      <c r="M22" s="12">
        <f>AVERAGE(C22:L22)</f>
        <v>14.555013218423142</v>
      </c>
      <c r="Y22" s="26" t="s">
        <v>22</v>
      </c>
      <c r="Z22" s="27">
        <f>$R$3</f>
        <v>2027</v>
      </c>
      <c r="AA22" s="27">
        <f>$W$3</f>
        <v>2032</v>
      </c>
    </row>
    <row r="23" spans="1:28" x14ac:dyDescent="0.25">
      <c r="Y23" s="18" t="s">
        <v>30</v>
      </c>
      <c r="Z23" s="21">
        <f>Z12</f>
        <v>153.76164258742037</v>
      </c>
      <c r="AA23" s="21">
        <f t="shared" ref="AA23" si="12">AA12</f>
        <v>208.04843423471837</v>
      </c>
    </row>
    <row r="24" spans="1:28" x14ac:dyDescent="0.25">
      <c r="A24" t="s">
        <v>12</v>
      </c>
      <c r="C24" s="7">
        <v>53666</v>
      </c>
      <c r="D24" s="7">
        <v>59713</v>
      </c>
      <c r="E24" s="7">
        <v>81266</v>
      </c>
      <c r="F24" s="7">
        <v>66231</v>
      </c>
      <c r="G24" s="7">
        <v>64225</v>
      </c>
      <c r="H24" s="7">
        <v>77434</v>
      </c>
      <c r="I24" s="7">
        <v>69391</v>
      </c>
      <c r="J24" s="7">
        <v>80674</v>
      </c>
      <c r="K24" s="7">
        <v>104038</v>
      </c>
      <c r="L24" s="7">
        <v>122151</v>
      </c>
      <c r="M24" s="10">
        <f>(L24/C24)^(1/($L$3-$C$3))-1</f>
        <v>9.5692387904425136E-2</v>
      </c>
      <c r="Y24" s="18" t="s">
        <v>31</v>
      </c>
      <c r="Z24" s="23">
        <f>Z18</f>
        <v>146.67666007087269</v>
      </c>
      <c r="AA24" s="23">
        <f t="shared" ref="AA24" si="13">AA18</f>
        <v>196.28645814378248</v>
      </c>
    </row>
    <row r="25" spans="1:28" x14ac:dyDescent="0.25">
      <c r="C25" s="7"/>
      <c r="D25" s="7"/>
      <c r="E25" s="7"/>
      <c r="F25" s="7"/>
      <c r="G25" s="7"/>
      <c r="H25" s="7"/>
      <c r="I25" s="7"/>
      <c r="J25" s="7"/>
      <c r="K25" s="7"/>
      <c r="L25" s="7"/>
      <c r="Y25" s="18" t="s">
        <v>32</v>
      </c>
      <c r="Z25" s="21">
        <f>AVERAGE(Z23:Z24)</f>
        <v>150.21915132914654</v>
      </c>
      <c r="AA25" s="21">
        <f t="shared" ref="AA25" si="14">AVERAGE(AA23:AA24)</f>
        <v>202.16744618925043</v>
      </c>
    </row>
    <row r="26" spans="1:28" x14ac:dyDescent="0.25">
      <c r="A26" t="s">
        <v>13</v>
      </c>
      <c r="C26" s="7">
        <v>-8165</v>
      </c>
      <c r="D26" s="7">
        <v>-9571</v>
      </c>
      <c r="E26" s="7">
        <v>-11247</v>
      </c>
      <c r="F26" s="7">
        <v>-12734</v>
      </c>
      <c r="G26" s="7">
        <v>-12451</v>
      </c>
      <c r="H26" s="7">
        <v>-13313</v>
      </c>
      <c r="I26" s="7">
        <v>-10495</v>
      </c>
      <c r="J26" s="7">
        <v>-7309</v>
      </c>
      <c r="K26" s="7">
        <v>-11085</v>
      </c>
      <c r="L26" s="7">
        <v>-10708</v>
      </c>
      <c r="M26" s="10"/>
      <c r="O26" s="29"/>
      <c r="P26" s="30"/>
      <c r="Y26" s="24" t="s">
        <v>33</v>
      </c>
      <c r="Z26" s="25">
        <f>(Z25/$AA$21)^(1/(Z22-$L$3))-1</f>
        <v>6.9262881595588688E-4</v>
      </c>
      <c r="AA26" s="25">
        <f>(AA25/$AA$21)^(1/(AA22-$L$3))-1</f>
        <v>3.0502245527951777E-2</v>
      </c>
    </row>
    <row r="27" spans="1:28" x14ac:dyDescent="0.25">
      <c r="C27" s="7"/>
      <c r="D27" s="7"/>
      <c r="E27" s="7"/>
      <c r="F27" s="7"/>
      <c r="G27" s="7"/>
      <c r="H27" s="7"/>
      <c r="I27" s="7"/>
      <c r="J27" s="7"/>
      <c r="K27" s="7"/>
      <c r="L27" s="7"/>
      <c r="P27" s="28"/>
    </row>
    <row r="28" spans="1:28" x14ac:dyDescent="0.25">
      <c r="A28" t="s">
        <v>14</v>
      </c>
      <c r="C28" s="7">
        <v>16896</v>
      </c>
      <c r="D28" s="7">
        <v>11960</v>
      </c>
      <c r="E28" s="7">
        <v>27114</v>
      </c>
      <c r="F28" s="7">
        <f>24954-2500</f>
        <v>22454</v>
      </c>
      <c r="G28" s="7">
        <f>28662-3500</f>
        <v>25162</v>
      </c>
      <c r="H28" s="7">
        <f>6969-6500</f>
        <v>469</v>
      </c>
      <c r="I28" s="7">
        <f>6963-8805</f>
        <v>-1842</v>
      </c>
      <c r="J28" s="7">
        <f>16091-12629</f>
        <v>3462</v>
      </c>
      <c r="K28" s="7">
        <f>20393-8750</f>
        <v>11643</v>
      </c>
      <c r="L28" s="7">
        <f>5465-9543</f>
        <v>-4078</v>
      </c>
    </row>
    <row r="30" spans="1:28" x14ac:dyDescent="0.25">
      <c r="A30" t="s">
        <v>15</v>
      </c>
      <c r="C30" s="7">
        <f t="shared" ref="C30:G30" si="15">C24+C26+C28</f>
        <v>62397</v>
      </c>
      <c r="D30" s="7">
        <f t="shared" si="15"/>
        <v>62102</v>
      </c>
      <c r="E30" s="7">
        <f t="shared" si="15"/>
        <v>97133</v>
      </c>
      <c r="F30" s="7">
        <f t="shared" si="15"/>
        <v>75951</v>
      </c>
      <c r="G30" s="7">
        <f t="shared" si="15"/>
        <v>76936</v>
      </c>
      <c r="H30" s="7">
        <f t="shared" ref="H30:I30" si="16">H24+H26+H28</f>
        <v>64590</v>
      </c>
      <c r="I30" s="7">
        <f t="shared" si="16"/>
        <v>57054</v>
      </c>
      <c r="J30" s="7">
        <f>J24+J26+J28</f>
        <v>76827</v>
      </c>
      <c r="K30" s="7">
        <f t="shared" ref="K30:L30" si="17">K24+K26+K28</f>
        <v>104596</v>
      </c>
      <c r="L30" s="7">
        <f t="shared" si="17"/>
        <v>107365</v>
      </c>
      <c r="M30" s="10">
        <f>(L30/C30)^(1/($L$3-$C$3))-1</f>
        <v>6.2157157152973985E-2</v>
      </c>
    </row>
    <row r="32" spans="1:28" x14ac:dyDescent="0.25">
      <c r="A32" t="s">
        <v>16</v>
      </c>
      <c r="C32" s="8">
        <f t="shared" ref="C32:G32" si="18">C30/C14</f>
        <v>1.9134314627414903</v>
      </c>
      <c r="D32" s="8">
        <f t="shared" si="18"/>
        <v>2.028482769884044</v>
      </c>
      <c r="E32" s="8">
        <f t="shared" si="18"/>
        <v>3.3534610737096497</v>
      </c>
      <c r="F32" s="8">
        <f t="shared" si="18"/>
        <v>2.7618545454545456</v>
      </c>
      <c r="G32" s="8">
        <f t="shared" si="18"/>
        <v>2.9297791317593296</v>
      </c>
      <c r="H32" s="8">
        <f t="shared" ref="H32:I32" si="19">H30/H14</f>
        <v>3.2294999999999998</v>
      </c>
      <c r="I32" s="8">
        <f t="shared" si="19"/>
        <v>3.0680791568079155</v>
      </c>
      <c r="J32" s="8">
        <f t="shared" ref="J32:K32" si="20">J30/J14</f>
        <v>4.3831013235965317</v>
      </c>
      <c r="K32" s="8">
        <f t="shared" si="20"/>
        <v>6.2019567150904242</v>
      </c>
      <c r="L32" s="8">
        <f>L30/L14</f>
        <v>6.5763199803993633</v>
      </c>
      <c r="M32" s="10">
        <f>(L32/C32)^(1/($L$3-$C$3))-1</f>
        <v>0.14702912965446524</v>
      </c>
      <c r="N32" s="16">
        <f>L32*(1+N33)</f>
        <v>6.9708991792233252</v>
      </c>
      <c r="O32" s="16">
        <f>N32*(1+O33)</f>
        <v>7.3891531299767248</v>
      </c>
      <c r="P32" s="16">
        <f t="shared" ref="P32" si="21">O32*(1+P33)</f>
        <v>7.8325023177753286</v>
      </c>
      <c r="Q32" s="16">
        <f t="shared" ref="Q32" si="22">P32*(1+Q33)</f>
        <v>8.3024524568418485</v>
      </c>
      <c r="R32" s="16">
        <f t="shared" ref="R32" si="23">Q32*(1+R33)</f>
        <v>8.8005996042523602</v>
      </c>
      <c r="S32" s="16">
        <f t="shared" ref="S32" si="24">R32*(1+S33)</f>
        <v>9.3286355805075019</v>
      </c>
      <c r="T32" s="16">
        <f t="shared" ref="T32" si="25">S32*(1+T33)</f>
        <v>9.8883537153379528</v>
      </c>
      <c r="U32" s="16">
        <f t="shared" ref="U32" si="26">T32*(1+U33)</f>
        <v>10.481654938258231</v>
      </c>
      <c r="V32" s="16">
        <f t="shared" ref="V32" si="27">U32*(1+V33)</f>
        <v>11.110554234553724</v>
      </c>
      <c r="W32" s="16">
        <f t="shared" ref="W32" si="28">V32*(1+W33)</f>
        <v>11.777187488626948</v>
      </c>
    </row>
    <row r="33" spans="1:23" x14ac:dyDescent="0.25">
      <c r="N33" s="15">
        <v>0.06</v>
      </c>
      <c r="O33" s="15">
        <v>0.06</v>
      </c>
      <c r="P33" s="15">
        <v>0.06</v>
      </c>
      <c r="Q33" s="15">
        <v>0.06</v>
      </c>
      <c r="R33" s="15">
        <v>0.06</v>
      </c>
      <c r="S33" s="15">
        <v>0.06</v>
      </c>
      <c r="T33" s="15">
        <v>0.06</v>
      </c>
      <c r="U33" s="15">
        <v>0.06</v>
      </c>
      <c r="V33" s="15">
        <v>0.06</v>
      </c>
      <c r="W33" s="15">
        <v>0.06</v>
      </c>
    </row>
    <row r="34" spans="1:23" x14ac:dyDescent="0.25">
      <c r="A34" t="s">
        <v>17</v>
      </c>
      <c r="C34" s="8">
        <v>14.725396916666663</v>
      </c>
      <c r="D34" s="8">
        <v>20.934907166666665</v>
      </c>
      <c r="E34" s="8">
        <v>27.172574000000001</v>
      </c>
      <c r="F34" s="8">
        <v>24.202121500000001</v>
      </c>
      <c r="G34" s="8">
        <v>35.758482833333332</v>
      </c>
      <c r="H34" s="8">
        <v>44.887376916666675</v>
      </c>
      <c r="I34" s="8">
        <v>51.865581249999998</v>
      </c>
      <c r="J34" s="8">
        <v>95.586058416666674</v>
      </c>
      <c r="K34" s="8">
        <v>140.43534225000005</v>
      </c>
      <c r="L34" s="8">
        <v>155.17859774999999</v>
      </c>
      <c r="M34" s="10">
        <f>(L34/C34)^(1/($L$3-$C$3))-1</f>
        <v>0.29909387396444775</v>
      </c>
    </row>
    <row r="36" spans="1:23" x14ac:dyDescent="0.25">
      <c r="A36" t="s">
        <v>18</v>
      </c>
      <c r="C36" s="13">
        <f t="shared" ref="C36:K36" si="29">C32/C34</f>
        <v>0.12994090913609324</v>
      </c>
      <c r="D36" s="13">
        <f t="shared" si="29"/>
        <v>9.6894758296987793E-2</v>
      </c>
      <c r="E36" s="13">
        <f t="shared" si="29"/>
        <v>0.12341344893235545</v>
      </c>
      <c r="F36" s="13">
        <f t="shared" si="29"/>
        <v>0.11411621685539201</v>
      </c>
      <c r="G36" s="13">
        <f t="shared" si="29"/>
        <v>8.193242273210341E-2</v>
      </c>
      <c r="H36" s="13">
        <f t="shared" si="29"/>
        <v>7.1946730279997428E-2</v>
      </c>
      <c r="I36" s="13">
        <f t="shared" si="29"/>
        <v>5.9154435038900013E-2</v>
      </c>
      <c r="J36" s="13">
        <f t="shared" si="29"/>
        <v>4.5855027356502868E-2</v>
      </c>
      <c r="K36" s="13">
        <f t="shared" si="29"/>
        <v>4.4162364086739868E-2</v>
      </c>
      <c r="L36" s="13">
        <f>L32/L34</f>
        <v>4.2379039866013761E-2</v>
      </c>
      <c r="M36" s="11">
        <f>AVERAGE(C36:L36)</f>
        <v>8.0979535258108595E-2</v>
      </c>
    </row>
    <row r="38" spans="1:23" x14ac:dyDescent="0.25">
      <c r="B38" t="s">
        <v>20</v>
      </c>
    </row>
  </sheetData>
  <mergeCells count="8">
    <mergeCell ref="Z17:AA17"/>
    <mergeCell ref="Y20:AA20"/>
    <mergeCell ref="Y14:AA14"/>
    <mergeCell ref="Y3:AA3"/>
    <mergeCell ref="Z6:AA6"/>
    <mergeCell ref="Z8:AA8"/>
    <mergeCell ref="Z9:AA9"/>
    <mergeCell ref="Z11:AA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E9D4-474D-486A-938F-32B8F7027772}">
  <dimension ref="B1:M98"/>
  <sheetViews>
    <sheetView showGridLines="0" topLeftCell="J1" workbookViewId="0">
      <selection activeCell="N15" sqref="N15"/>
    </sheetView>
  </sheetViews>
  <sheetFormatPr defaultRowHeight="15" x14ac:dyDescent="0.25"/>
  <cols>
    <col min="1" max="1" width="2.7109375" customWidth="1"/>
    <col min="4" max="4" width="22.7109375" customWidth="1"/>
    <col min="5" max="5" width="10.7109375" customWidth="1"/>
    <col min="7" max="7" width="22.7109375" customWidth="1"/>
    <col min="13" max="13" width="20.7109375" bestFit="1" customWidth="1"/>
  </cols>
  <sheetData>
    <row r="1" spans="2:13" x14ac:dyDescent="0.25">
      <c r="B1" t="s">
        <v>0</v>
      </c>
      <c r="C1" t="s">
        <v>1</v>
      </c>
      <c r="D1" t="s">
        <v>39</v>
      </c>
    </row>
    <row r="2" spans="2:13" ht="26.25" x14ac:dyDescent="0.4">
      <c r="B2" s="2" t="s">
        <v>2</v>
      </c>
      <c r="C2" t="s">
        <v>49</v>
      </c>
    </row>
    <row r="3" spans="2:13" ht="19.5" x14ac:dyDescent="0.3">
      <c r="C3" s="80" t="s">
        <v>40</v>
      </c>
      <c r="D3" s="80"/>
      <c r="E3" s="80"/>
      <c r="F3" s="80"/>
      <c r="G3" s="80"/>
      <c r="H3" s="80"/>
    </row>
    <row r="6" spans="2:13" x14ac:dyDescent="0.25">
      <c r="D6" s="44" t="s">
        <v>44</v>
      </c>
      <c r="G6" s="44" t="s">
        <v>45</v>
      </c>
    </row>
    <row r="7" spans="2:13" x14ac:dyDescent="0.25">
      <c r="D7" s="42" t="s">
        <v>38</v>
      </c>
      <c r="E7" s="45">
        <v>9982</v>
      </c>
      <c r="G7" s="42" t="s">
        <v>41</v>
      </c>
      <c r="H7" s="43">
        <v>0.92</v>
      </c>
    </row>
    <row r="8" spans="2:13" x14ac:dyDescent="0.25">
      <c r="D8" s="44" t="s">
        <v>53</v>
      </c>
      <c r="E8" s="36">
        <v>2.3099999999999999E-2</v>
      </c>
      <c r="G8" s="44"/>
    </row>
    <row r="9" spans="2:13" x14ac:dyDescent="0.25">
      <c r="D9" s="42" t="s">
        <v>54</v>
      </c>
      <c r="E9" s="45">
        <v>11128</v>
      </c>
      <c r="G9" s="42" t="s">
        <v>42</v>
      </c>
      <c r="H9" s="46">
        <v>0.8</v>
      </c>
      <c r="L9" t="s">
        <v>61</v>
      </c>
      <c r="M9" s="33">
        <f>2726801893.5*1000</f>
        <v>2726801893500</v>
      </c>
    </row>
    <row r="10" spans="2:13" x14ac:dyDescent="0.25">
      <c r="G10" s="44"/>
      <c r="L10" t="s">
        <v>62</v>
      </c>
      <c r="M10" s="33">
        <v>120069000000</v>
      </c>
    </row>
    <row r="11" spans="2:13" x14ac:dyDescent="0.25">
      <c r="D11" s="42" t="s">
        <v>55</v>
      </c>
      <c r="E11" s="45">
        <v>98959</v>
      </c>
      <c r="G11" s="42" t="s">
        <v>43</v>
      </c>
      <c r="H11" s="43">
        <v>1.35</v>
      </c>
      <c r="L11" t="s">
        <v>67</v>
      </c>
      <c r="M11" s="33">
        <f>M9+M10</f>
        <v>2846870893500</v>
      </c>
    </row>
    <row r="12" spans="2:13" x14ac:dyDescent="0.25">
      <c r="L12" t="s">
        <v>63</v>
      </c>
      <c r="M12" s="36">
        <v>0.1047</v>
      </c>
    </row>
    <row r="13" spans="2:13" x14ac:dyDescent="0.25">
      <c r="D13" s="42" t="s">
        <v>56</v>
      </c>
      <c r="E13" s="45">
        <f>SUM(E11,E9)</f>
        <v>110087</v>
      </c>
      <c r="L13" t="s">
        <v>64</v>
      </c>
      <c r="M13" s="36">
        <v>2.7E-2</v>
      </c>
    </row>
    <row r="14" spans="2:13" x14ac:dyDescent="0.25">
      <c r="E14" s="34"/>
      <c r="L14" t="s">
        <v>65</v>
      </c>
      <c r="M14" s="29">
        <v>0.25</v>
      </c>
    </row>
    <row r="15" spans="2:13" x14ac:dyDescent="0.25">
      <c r="D15" s="42" t="s">
        <v>35</v>
      </c>
      <c r="E15" s="45">
        <f>E13+E7</f>
        <v>120069</v>
      </c>
      <c r="L15" t="s">
        <v>66</v>
      </c>
      <c r="M15" s="35">
        <f>M12*M9/M11+M13*(1-M14)*M10/M11</f>
        <v>0.10113825539361432</v>
      </c>
    </row>
    <row r="17" spans="3:11" x14ac:dyDescent="0.25">
      <c r="C17" s="51" t="s">
        <v>57</v>
      </c>
      <c r="D17" s="4"/>
      <c r="E17" s="4"/>
      <c r="F17" s="4"/>
      <c r="G17" s="4"/>
      <c r="H17" s="4"/>
    </row>
    <row r="19" spans="3:11" x14ac:dyDescent="0.25">
      <c r="D19" s="52" t="s">
        <v>60</v>
      </c>
      <c r="G19" s="52" t="s">
        <v>58</v>
      </c>
    </row>
    <row r="20" spans="3:11" x14ac:dyDescent="0.25">
      <c r="D20" s="53">
        <f>E13/E15</f>
        <v>0.91686446959664858</v>
      </c>
      <c r="G20" s="53">
        <f>E7/E15</f>
        <v>8.3135530403351407E-2</v>
      </c>
    </row>
    <row r="21" spans="3:11" x14ac:dyDescent="0.25">
      <c r="D21" s="54"/>
      <c r="G21" s="54"/>
    </row>
    <row r="22" spans="3:11" x14ac:dyDescent="0.25">
      <c r="E22" s="81" t="s">
        <v>59</v>
      </c>
      <c r="F22" s="81"/>
    </row>
    <row r="23" spans="3:11" ht="15.75" thickBot="1" x14ac:dyDescent="0.3">
      <c r="E23" s="82">
        <f>D20*H27+G20*E8</f>
        <v>2.695154935388562E-2</v>
      </c>
      <c r="F23" s="82"/>
    </row>
    <row r="24" spans="3:11" ht="15.75" thickTop="1" x14ac:dyDescent="0.25"/>
    <row r="25" spans="3:11" x14ac:dyDescent="0.25">
      <c r="C25" s="4" t="s">
        <v>50</v>
      </c>
      <c r="D25" s="50"/>
      <c r="E25" s="50"/>
      <c r="F25" s="50"/>
      <c r="G25" s="50"/>
      <c r="H25" s="50"/>
    </row>
    <row r="27" spans="3:11" x14ac:dyDescent="0.25">
      <c r="D27" s="42" t="s">
        <v>51</v>
      </c>
      <c r="E27" s="48">
        <f>SUM(G30:G98)</f>
        <v>114128.30837359099</v>
      </c>
      <c r="G27" s="42" t="s">
        <v>52</v>
      </c>
      <c r="H27" s="49">
        <f>SUM(H30:H98)</f>
        <v>2.7300783738058922E-2</v>
      </c>
    </row>
    <row r="28" spans="3:11" x14ac:dyDescent="0.25">
      <c r="K28" s="34"/>
    </row>
    <row r="29" spans="3:11" x14ac:dyDescent="0.25">
      <c r="C29" s="4" t="s">
        <v>36</v>
      </c>
      <c r="D29" s="4" t="s">
        <v>34</v>
      </c>
      <c r="E29" s="4" t="s">
        <v>46</v>
      </c>
      <c r="F29" s="4" t="s">
        <v>37</v>
      </c>
      <c r="G29" s="4" t="s">
        <v>47</v>
      </c>
      <c r="H29" s="4" t="s">
        <v>48</v>
      </c>
      <c r="K29" s="34"/>
    </row>
    <row r="30" spans="3:11" x14ac:dyDescent="0.25">
      <c r="C30" s="32">
        <v>41365</v>
      </c>
      <c r="D30" s="34">
        <v>5500</v>
      </c>
      <c r="E30" s="39">
        <v>2.4E-2</v>
      </c>
      <c r="F30" s="31">
        <v>2023</v>
      </c>
      <c r="G30" s="34">
        <f>D30</f>
        <v>5500</v>
      </c>
      <c r="H30">
        <f>(G30/$E$27)*E30</f>
        <v>1.1565929775100782E-3</v>
      </c>
      <c r="K30" s="34"/>
    </row>
    <row r="31" spans="3:11" x14ac:dyDescent="0.25">
      <c r="C31" s="32">
        <v>41365</v>
      </c>
      <c r="D31" s="34">
        <v>3000</v>
      </c>
      <c r="E31" s="39">
        <v>3.85E-2</v>
      </c>
      <c r="F31" s="31">
        <v>2043</v>
      </c>
      <c r="G31" s="34">
        <f t="shared" ref="G31:G38" si="0">D31</f>
        <v>3000</v>
      </c>
      <c r="H31">
        <f t="shared" ref="H31:H94" si="1">(G31/$E$27)*E31</f>
        <v>1.0120188553213185E-3</v>
      </c>
      <c r="K31" s="34"/>
    </row>
    <row r="32" spans="3:11" x14ac:dyDescent="0.25">
      <c r="C32" s="32">
        <v>41730</v>
      </c>
      <c r="D32" s="34">
        <v>2500</v>
      </c>
      <c r="E32" s="40">
        <v>3.4500000000000003E-2</v>
      </c>
      <c r="F32" s="31">
        <v>2024</v>
      </c>
      <c r="G32" s="34">
        <f t="shared" si="0"/>
        <v>2500</v>
      </c>
      <c r="H32">
        <f t="shared" si="1"/>
        <v>7.5572836598669895E-4</v>
      </c>
      <c r="K32" s="34"/>
    </row>
    <row r="33" spans="3:11" x14ac:dyDescent="0.25">
      <c r="C33" s="32">
        <v>41730</v>
      </c>
      <c r="D33" s="34">
        <v>1000</v>
      </c>
      <c r="E33" s="40">
        <v>4.4500000000000005E-2</v>
      </c>
      <c r="F33" s="31">
        <v>2044</v>
      </c>
      <c r="G33" s="34">
        <f t="shared" si="0"/>
        <v>1000</v>
      </c>
      <c r="H33">
        <f t="shared" si="1"/>
        <v>3.8991202650907951E-4</v>
      </c>
      <c r="K33" s="34"/>
    </row>
    <row r="34" spans="3:11" x14ac:dyDescent="0.25">
      <c r="C34" s="32">
        <v>41944</v>
      </c>
      <c r="D34" s="37">
        <v>1400</v>
      </c>
      <c r="E34" s="40">
        <v>1.6250000000000001E-2</v>
      </c>
      <c r="F34" s="31">
        <v>2026</v>
      </c>
      <c r="G34" s="47">
        <f>D34/$H$7</f>
        <v>1521.7391304347825</v>
      </c>
      <c r="H34">
        <f t="shared" si="1"/>
        <v>2.1667070354376055E-4</v>
      </c>
      <c r="K34" s="34"/>
    </row>
    <row r="35" spans="3:11" x14ac:dyDescent="0.25">
      <c r="C35" s="32">
        <v>42036</v>
      </c>
      <c r="D35" s="34">
        <v>1500</v>
      </c>
      <c r="E35" s="40">
        <v>2.5000000000000001E-2</v>
      </c>
      <c r="F35" s="31">
        <v>2025</v>
      </c>
      <c r="G35" s="34">
        <f t="shared" si="0"/>
        <v>1500</v>
      </c>
      <c r="H35">
        <f t="shared" si="1"/>
        <v>3.2857755042899951E-4</v>
      </c>
      <c r="K35" s="34"/>
    </row>
    <row r="36" spans="3:11" x14ac:dyDescent="0.25">
      <c r="C36" s="32">
        <v>42036</v>
      </c>
      <c r="D36" s="34">
        <v>2000</v>
      </c>
      <c r="E36" s="40">
        <v>3.4500000000000003E-2</v>
      </c>
      <c r="F36" s="31">
        <v>2045</v>
      </c>
      <c r="G36" s="34">
        <f t="shared" si="0"/>
        <v>2000</v>
      </c>
      <c r="H36">
        <f t="shared" si="1"/>
        <v>6.0458269278935918E-4</v>
      </c>
      <c r="K36" s="34"/>
    </row>
    <row r="37" spans="3:11" x14ac:dyDescent="0.25">
      <c r="C37" s="32">
        <v>42125</v>
      </c>
      <c r="D37" s="34">
        <v>2000</v>
      </c>
      <c r="E37" s="40">
        <v>3.2000000000000001E-2</v>
      </c>
      <c r="F37" s="31">
        <v>2025</v>
      </c>
      <c r="G37" s="34">
        <f t="shared" si="0"/>
        <v>2000</v>
      </c>
      <c r="H37">
        <f t="shared" si="1"/>
        <v>5.607723527321592E-4</v>
      </c>
      <c r="K37" s="34"/>
    </row>
    <row r="38" spans="3:11" x14ac:dyDescent="0.25">
      <c r="C38" s="32">
        <v>42125</v>
      </c>
      <c r="D38" s="34">
        <v>2000</v>
      </c>
      <c r="E38" s="40">
        <v>4.3749999999999997E-2</v>
      </c>
      <c r="F38" s="31">
        <v>2045</v>
      </c>
      <c r="G38" s="34">
        <f t="shared" si="0"/>
        <v>2000</v>
      </c>
      <c r="H38">
        <f t="shared" si="1"/>
        <v>7.6668095100099881E-4</v>
      </c>
      <c r="K38" s="34"/>
    </row>
    <row r="39" spans="3:11" x14ac:dyDescent="0.25">
      <c r="C39" s="32">
        <v>42186</v>
      </c>
      <c r="D39" s="38">
        <v>750</v>
      </c>
      <c r="E39" s="40">
        <v>3.0499999999999999E-2</v>
      </c>
      <c r="F39" s="31">
        <v>2029</v>
      </c>
      <c r="G39" s="47">
        <f>D39/$H$9</f>
        <v>937.5</v>
      </c>
      <c r="H39">
        <f t="shared" si="1"/>
        <v>2.5054038220211213E-4</v>
      </c>
      <c r="K39" s="34"/>
    </row>
    <row r="40" spans="3:11" x14ac:dyDescent="0.25">
      <c r="C40" s="32">
        <v>42186</v>
      </c>
      <c r="D40" s="38">
        <v>500</v>
      </c>
      <c r="E40" s="40">
        <v>3.5999999999999997E-2</v>
      </c>
      <c r="F40" s="31">
        <v>2042</v>
      </c>
      <c r="G40" s="47">
        <f>D40/$H$9</f>
        <v>625</v>
      </c>
      <c r="H40">
        <f t="shared" si="1"/>
        <v>1.9714653025739969E-4</v>
      </c>
      <c r="K40" s="34"/>
    </row>
    <row r="41" spans="3:11" x14ac:dyDescent="0.25">
      <c r="C41" s="32">
        <v>42248</v>
      </c>
      <c r="D41" s="37">
        <v>1000</v>
      </c>
      <c r="E41" s="40">
        <v>1.375E-2</v>
      </c>
      <c r="F41" s="31">
        <v>2024</v>
      </c>
      <c r="G41" s="47">
        <f>D41/$H$7</f>
        <v>1086.9565217391305</v>
      </c>
      <c r="H41">
        <f t="shared" si="1"/>
        <v>1.3095482082315201E-4</v>
      </c>
      <c r="K41" s="34"/>
    </row>
    <row r="42" spans="3:11" x14ac:dyDescent="0.25">
      <c r="C42" s="32">
        <v>42248</v>
      </c>
      <c r="D42" s="37">
        <v>1000</v>
      </c>
      <c r="E42" s="40">
        <v>0.02</v>
      </c>
      <c r="F42" s="31">
        <v>2047</v>
      </c>
      <c r="G42" s="47">
        <f>D42/$H$7</f>
        <v>1086.9565217391305</v>
      </c>
      <c r="H42">
        <f t="shared" si="1"/>
        <v>1.9047973937913018E-4</v>
      </c>
      <c r="K42" s="34"/>
    </row>
    <row r="43" spans="3:11" x14ac:dyDescent="0.25">
      <c r="C43" s="32">
        <v>42401</v>
      </c>
      <c r="D43" s="34">
        <v>1500</v>
      </c>
      <c r="E43" s="40">
        <v>2.8500000000000001E-2</v>
      </c>
      <c r="F43" s="31">
        <v>2023</v>
      </c>
      <c r="G43" s="34">
        <f t="shared" ref="G43:G57" si="2">D43</f>
        <v>1500</v>
      </c>
      <c r="H43">
        <f t="shared" si="1"/>
        <v>3.7457840748905945E-4</v>
      </c>
      <c r="K43" s="34"/>
    </row>
    <row r="44" spans="3:11" x14ac:dyDescent="0.25">
      <c r="C44" s="32">
        <v>42401</v>
      </c>
      <c r="D44" s="34">
        <v>2000</v>
      </c>
      <c r="E44" s="40">
        <v>3.2500000000000001E-2</v>
      </c>
      <c r="F44" s="31">
        <v>2026</v>
      </c>
      <c r="G44" s="34">
        <f t="shared" si="2"/>
        <v>2000</v>
      </c>
      <c r="H44">
        <f t="shared" si="1"/>
        <v>5.6953442074359915E-4</v>
      </c>
      <c r="K44" s="34"/>
    </row>
    <row r="45" spans="3:11" x14ac:dyDescent="0.25">
      <c r="C45" s="32">
        <v>42401</v>
      </c>
      <c r="D45" s="34">
        <v>1250</v>
      </c>
      <c r="E45" s="40">
        <v>4.4999999999999998E-2</v>
      </c>
      <c r="F45" s="31">
        <v>2036</v>
      </c>
      <c r="G45" s="34">
        <f t="shared" si="2"/>
        <v>1250</v>
      </c>
      <c r="H45">
        <f t="shared" si="1"/>
        <v>4.9286632564349926E-4</v>
      </c>
      <c r="K45" s="34"/>
    </row>
    <row r="46" spans="3:11" x14ac:dyDescent="0.25">
      <c r="C46" s="32">
        <v>42401</v>
      </c>
      <c r="D46" s="34">
        <v>2500</v>
      </c>
      <c r="E46" s="40">
        <v>4.6500000000000007E-2</v>
      </c>
      <c r="F46" s="31">
        <v>2046</v>
      </c>
      <c r="G46" s="34">
        <f t="shared" si="2"/>
        <v>2500</v>
      </c>
      <c r="H46">
        <f t="shared" si="1"/>
        <v>1.0185904063298985E-3</v>
      </c>
      <c r="K46" s="34"/>
    </row>
    <row r="47" spans="3:11" x14ac:dyDescent="0.25">
      <c r="C47" s="32">
        <v>42430</v>
      </c>
      <c r="D47" s="34">
        <v>1250</v>
      </c>
      <c r="E47" s="40">
        <v>3.2500000000000001E-2</v>
      </c>
      <c r="F47" s="31">
        <v>2026</v>
      </c>
      <c r="G47" s="34">
        <f t="shared" si="2"/>
        <v>1250</v>
      </c>
      <c r="H47">
        <f t="shared" si="1"/>
        <v>3.5595901296474948E-4</v>
      </c>
      <c r="K47" s="34"/>
    </row>
    <row r="48" spans="3:11" x14ac:dyDescent="0.25">
      <c r="C48" s="32">
        <v>42430</v>
      </c>
      <c r="D48" s="34">
        <v>1500</v>
      </c>
      <c r="E48" s="40">
        <v>4.6500000000000007E-2</v>
      </c>
      <c r="F48" s="31">
        <v>2046</v>
      </c>
      <c r="G48" s="34">
        <f t="shared" si="2"/>
        <v>1500</v>
      </c>
      <c r="H48">
        <f t="shared" si="1"/>
        <v>6.1115424379793912E-4</v>
      </c>
      <c r="K48" s="34"/>
    </row>
    <row r="49" spans="3:11" x14ac:dyDescent="0.25">
      <c r="C49" s="32">
        <v>42522</v>
      </c>
      <c r="D49" s="34">
        <v>1377</v>
      </c>
      <c r="E49" s="40">
        <v>4.1500000000000002E-2</v>
      </c>
      <c r="F49" s="31">
        <v>2046</v>
      </c>
      <c r="G49" s="34">
        <f t="shared" si="2"/>
        <v>1377</v>
      </c>
      <c r="H49">
        <f t="shared" si="1"/>
        <v>5.0071275754774377E-4</v>
      </c>
      <c r="K49" s="34"/>
    </row>
    <row r="50" spans="3:11" x14ac:dyDescent="0.25">
      <c r="C50" s="32">
        <v>42552</v>
      </c>
      <c r="D50" s="34">
        <v>2250</v>
      </c>
      <c r="E50" s="40">
        <v>2.4500000000000001E-2</v>
      </c>
      <c r="F50" s="31">
        <v>2026</v>
      </c>
      <c r="G50" s="34">
        <f t="shared" si="2"/>
        <v>2250</v>
      </c>
      <c r="H50">
        <f t="shared" si="1"/>
        <v>4.830089991306293E-4</v>
      </c>
      <c r="K50" s="34"/>
    </row>
    <row r="51" spans="3:11" x14ac:dyDescent="0.25">
      <c r="C51" s="32">
        <v>42552</v>
      </c>
      <c r="D51" s="34">
        <v>2000</v>
      </c>
      <c r="E51" s="40">
        <v>3.85E-2</v>
      </c>
      <c r="F51" s="31">
        <v>2046</v>
      </c>
      <c r="G51" s="34">
        <f t="shared" si="2"/>
        <v>2000</v>
      </c>
      <c r="H51">
        <f t="shared" si="1"/>
        <v>6.7467923688087903E-4</v>
      </c>
      <c r="K51" s="34"/>
    </row>
    <row r="52" spans="3:11" x14ac:dyDescent="0.25">
      <c r="C52" s="32">
        <v>42767</v>
      </c>
      <c r="D52" s="34">
        <v>1750</v>
      </c>
      <c r="E52" s="40">
        <v>0.03</v>
      </c>
      <c r="F52" s="31">
        <v>2024</v>
      </c>
      <c r="G52" s="34">
        <f t="shared" si="2"/>
        <v>1750</v>
      </c>
      <c r="H52">
        <f t="shared" si="1"/>
        <v>4.600085706005993E-4</v>
      </c>
      <c r="K52" s="34"/>
    </row>
    <row r="53" spans="3:11" x14ac:dyDescent="0.25">
      <c r="C53" s="32">
        <v>42767</v>
      </c>
      <c r="D53" s="34">
        <v>2250</v>
      </c>
      <c r="E53" s="40">
        <v>3.3500000000000002E-2</v>
      </c>
      <c r="F53" s="31">
        <v>2027</v>
      </c>
      <c r="G53" s="34">
        <f t="shared" si="2"/>
        <v>2250</v>
      </c>
      <c r="H53">
        <f t="shared" si="1"/>
        <v>6.6044087636228904E-4</v>
      </c>
      <c r="K53" s="34"/>
    </row>
    <row r="54" spans="3:11" x14ac:dyDescent="0.25">
      <c r="C54" s="32">
        <v>42767</v>
      </c>
      <c r="D54" s="34">
        <v>1000</v>
      </c>
      <c r="E54" s="40">
        <v>4.2500000000000003E-2</v>
      </c>
      <c r="F54" s="31">
        <v>2047</v>
      </c>
      <c r="G54" s="34">
        <f t="shared" si="2"/>
        <v>1000</v>
      </c>
      <c r="H54">
        <f t="shared" si="1"/>
        <v>3.7238789048619949E-4</v>
      </c>
      <c r="K54" s="34"/>
    </row>
    <row r="55" spans="3:11" x14ac:dyDescent="0.25">
      <c r="C55" s="32">
        <v>42767</v>
      </c>
      <c r="D55" s="34">
        <v>1000</v>
      </c>
      <c r="E55" s="40">
        <v>4.2999999999999997E-2</v>
      </c>
      <c r="F55" s="31">
        <v>2047</v>
      </c>
      <c r="G55" s="34">
        <f t="shared" si="2"/>
        <v>1000</v>
      </c>
      <c r="H55">
        <f t="shared" si="1"/>
        <v>3.7676892449191941E-4</v>
      </c>
      <c r="K55" s="34"/>
    </row>
    <row r="56" spans="3:11" x14ac:dyDescent="0.25">
      <c r="C56" s="32">
        <v>42856</v>
      </c>
      <c r="D56" s="34">
        <v>1750</v>
      </c>
      <c r="E56" s="40">
        <v>2.8500000000000001E-2</v>
      </c>
      <c r="F56" s="31">
        <v>2024</v>
      </c>
      <c r="G56" s="34">
        <f t="shared" si="2"/>
        <v>1750</v>
      </c>
      <c r="H56">
        <f t="shared" si="1"/>
        <v>4.3700814207056935E-4</v>
      </c>
      <c r="K56" s="34"/>
    </row>
    <row r="57" spans="3:11" x14ac:dyDescent="0.25">
      <c r="C57" s="32">
        <v>42856</v>
      </c>
      <c r="D57" s="34">
        <v>2000</v>
      </c>
      <c r="E57" s="40">
        <v>3.2000000000000001E-2</v>
      </c>
      <c r="F57" s="31">
        <v>2027</v>
      </c>
      <c r="G57" s="34">
        <f t="shared" si="2"/>
        <v>2000</v>
      </c>
      <c r="H57">
        <f t="shared" si="1"/>
        <v>5.607723527321592E-4</v>
      </c>
      <c r="K57" s="34"/>
    </row>
    <row r="58" spans="3:11" x14ac:dyDescent="0.25">
      <c r="C58" s="32">
        <v>42856</v>
      </c>
      <c r="D58" s="37">
        <v>1250</v>
      </c>
      <c r="E58" s="40">
        <v>8.7500000000000008E-3</v>
      </c>
      <c r="F58" s="31">
        <v>2025</v>
      </c>
      <c r="G58" s="47">
        <f>D58/$H$7</f>
        <v>1358.695652173913</v>
      </c>
      <c r="H58">
        <f t="shared" si="1"/>
        <v>1.0416860747296181E-4</v>
      </c>
      <c r="K58" s="34"/>
    </row>
    <row r="59" spans="3:11" x14ac:dyDescent="0.25">
      <c r="C59" s="32">
        <v>42856</v>
      </c>
      <c r="D59" s="37">
        <v>1250</v>
      </c>
      <c r="E59" s="40">
        <v>1.375E-2</v>
      </c>
      <c r="F59" s="31">
        <v>2029</v>
      </c>
      <c r="G59" s="47">
        <f>D59/$H$7</f>
        <v>1358.695652173913</v>
      </c>
      <c r="H59">
        <f t="shared" si="1"/>
        <v>1.6369352602893996E-4</v>
      </c>
      <c r="K59" s="34"/>
    </row>
    <row r="60" spans="3:11" x14ac:dyDescent="0.25">
      <c r="C60" s="32">
        <v>42887</v>
      </c>
      <c r="D60" s="34">
        <v>1000</v>
      </c>
      <c r="E60" s="40">
        <v>0.03</v>
      </c>
      <c r="F60" s="31">
        <v>2027</v>
      </c>
      <c r="G60" s="34">
        <f t="shared" ref="G60:G69" si="3">D60</f>
        <v>1000</v>
      </c>
      <c r="H60">
        <f t="shared" si="1"/>
        <v>2.6286204034319964E-4</v>
      </c>
      <c r="K60" s="34"/>
    </row>
    <row r="61" spans="3:11" x14ac:dyDescent="0.25">
      <c r="C61" s="32">
        <v>42948</v>
      </c>
      <c r="D61" s="41">
        <v>2500</v>
      </c>
      <c r="E61" s="40">
        <v>2.513E-2</v>
      </c>
      <c r="F61" s="31">
        <v>2024</v>
      </c>
      <c r="G61" s="47">
        <f>D61/$H$11</f>
        <v>1851.8518518518517</v>
      </c>
      <c r="H61">
        <f t="shared" si="1"/>
        <v>4.077606835694201E-4</v>
      </c>
      <c r="K61" s="34"/>
    </row>
    <row r="62" spans="3:11" x14ac:dyDescent="0.25">
      <c r="C62" s="32">
        <v>43040</v>
      </c>
      <c r="D62" s="34">
        <v>750</v>
      </c>
      <c r="E62" s="40">
        <v>2.4E-2</v>
      </c>
      <c r="F62" s="31">
        <v>2023</v>
      </c>
      <c r="G62" s="34">
        <f t="shared" si="3"/>
        <v>750</v>
      </c>
      <c r="H62">
        <f t="shared" si="1"/>
        <v>1.5771722420591976E-4</v>
      </c>
      <c r="K62" s="34"/>
    </row>
    <row r="63" spans="3:11" x14ac:dyDescent="0.25">
      <c r="C63" s="32">
        <v>43040</v>
      </c>
      <c r="D63" s="34">
        <v>1500</v>
      </c>
      <c r="E63" s="40">
        <v>2.75E-2</v>
      </c>
      <c r="F63" s="31">
        <v>2025</v>
      </c>
      <c r="G63" s="34">
        <f t="shared" si="3"/>
        <v>1500</v>
      </c>
      <c r="H63">
        <f t="shared" si="1"/>
        <v>3.6143530547189947E-4</v>
      </c>
      <c r="K63" s="34"/>
    </row>
    <row r="64" spans="3:11" x14ac:dyDescent="0.25">
      <c r="C64" s="32">
        <v>43040</v>
      </c>
      <c r="D64" s="34">
        <v>1500</v>
      </c>
      <c r="E64" s="40">
        <v>0.03</v>
      </c>
      <c r="F64" s="31">
        <v>2027</v>
      </c>
      <c r="G64" s="34">
        <f t="shared" si="3"/>
        <v>1500</v>
      </c>
      <c r="H64">
        <f t="shared" si="1"/>
        <v>3.9429306051479938E-4</v>
      </c>
      <c r="K64" s="34"/>
    </row>
    <row r="65" spans="3:11" x14ac:dyDescent="0.25">
      <c r="C65" s="32">
        <v>43040</v>
      </c>
      <c r="D65" s="34">
        <v>1250</v>
      </c>
      <c r="E65" s="40">
        <v>3.7499999999999999E-2</v>
      </c>
      <c r="F65" s="31">
        <v>2047</v>
      </c>
      <c r="G65" s="34">
        <f t="shared" si="3"/>
        <v>1250</v>
      </c>
      <c r="H65">
        <f t="shared" si="1"/>
        <v>4.1072193803624938E-4</v>
      </c>
      <c r="K65" s="34"/>
    </row>
    <row r="66" spans="3:11" x14ac:dyDescent="0.25">
      <c r="C66" s="32">
        <v>43709</v>
      </c>
      <c r="D66" s="34">
        <v>750</v>
      </c>
      <c r="E66" s="40">
        <v>1.8000000000000002E-2</v>
      </c>
      <c r="F66" s="31">
        <v>2024</v>
      </c>
      <c r="G66" s="34">
        <f t="shared" si="3"/>
        <v>750</v>
      </c>
      <c r="H66">
        <f t="shared" si="1"/>
        <v>1.1828791815443983E-4</v>
      </c>
      <c r="K66" s="34"/>
    </row>
    <row r="67" spans="3:11" x14ac:dyDescent="0.25">
      <c r="C67" s="32">
        <v>43709</v>
      </c>
      <c r="D67" s="34">
        <v>2000</v>
      </c>
      <c r="E67" s="40">
        <v>2.0499999999999997E-2</v>
      </c>
      <c r="F67" s="31">
        <v>2026</v>
      </c>
      <c r="G67" s="34">
        <f t="shared" si="3"/>
        <v>2000</v>
      </c>
      <c r="H67">
        <f t="shared" si="1"/>
        <v>3.5924478846903945E-4</v>
      </c>
      <c r="K67" s="34"/>
    </row>
    <row r="68" spans="3:11" x14ac:dyDescent="0.25">
      <c r="C68" s="32">
        <v>43709</v>
      </c>
      <c r="D68" s="34">
        <v>1750</v>
      </c>
      <c r="E68" s="40">
        <v>2.2000000000000002E-2</v>
      </c>
      <c r="F68" s="31">
        <v>2029</v>
      </c>
      <c r="G68" s="34">
        <f t="shared" si="3"/>
        <v>1750</v>
      </c>
      <c r="H68">
        <f t="shared" si="1"/>
        <v>3.3733961844043952E-4</v>
      </c>
      <c r="K68" s="34"/>
    </row>
    <row r="69" spans="3:11" x14ac:dyDescent="0.25">
      <c r="C69" s="32">
        <v>43709</v>
      </c>
      <c r="D69" s="34">
        <v>1500</v>
      </c>
      <c r="E69" s="40">
        <v>2.9500000000000002E-2</v>
      </c>
      <c r="F69" s="31">
        <v>2049</v>
      </c>
      <c r="G69" s="34">
        <f t="shared" si="3"/>
        <v>1500</v>
      </c>
      <c r="H69">
        <f t="shared" si="1"/>
        <v>3.8772150950621944E-4</v>
      </c>
      <c r="K69" s="34"/>
    </row>
    <row r="70" spans="3:11" x14ac:dyDescent="0.25">
      <c r="C70" s="32">
        <v>43770</v>
      </c>
      <c r="D70" s="37">
        <v>1000</v>
      </c>
      <c r="E70" s="40">
        <v>0</v>
      </c>
      <c r="F70" s="31">
        <v>2025</v>
      </c>
      <c r="G70" s="47">
        <f>D70/$H$7</f>
        <v>1086.9565217391305</v>
      </c>
      <c r="H70">
        <f t="shared" si="1"/>
        <v>0</v>
      </c>
      <c r="K70" s="34"/>
    </row>
    <row r="71" spans="3:11" x14ac:dyDescent="0.25">
      <c r="C71" s="32">
        <v>43770</v>
      </c>
      <c r="D71" s="37">
        <v>1000</v>
      </c>
      <c r="E71" s="40">
        <v>5.0000000000000001E-3</v>
      </c>
      <c r="F71" s="31">
        <v>3031</v>
      </c>
      <c r="G71" s="47">
        <f>D71/$H$7</f>
        <v>1086.9565217391305</v>
      </c>
      <c r="H71">
        <f t="shared" si="1"/>
        <v>4.7619934844782544E-5</v>
      </c>
      <c r="K71" s="34"/>
    </row>
    <row r="72" spans="3:11" x14ac:dyDescent="0.25">
      <c r="C72" s="32">
        <v>43952</v>
      </c>
      <c r="D72" s="34">
        <v>2000</v>
      </c>
      <c r="E72" s="40">
        <v>7.4999999999999997E-3</v>
      </c>
      <c r="F72" s="31">
        <v>2023</v>
      </c>
      <c r="G72" s="34">
        <f t="shared" ref="G72:G98" si="4">D72</f>
        <v>2000</v>
      </c>
      <c r="H72">
        <f t="shared" si="1"/>
        <v>1.3143102017159982E-4</v>
      </c>
      <c r="K72" s="34"/>
    </row>
    <row r="73" spans="3:11" x14ac:dyDescent="0.25">
      <c r="C73" s="32">
        <v>43952</v>
      </c>
      <c r="D73" s="34">
        <v>2250</v>
      </c>
      <c r="E73" s="40">
        <v>1.125E-2</v>
      </c>
      <c r="F73" s="31">
        <v>2025</v>
      </c>
      <c r="G73" s="34">
        <f t="shared" si="4"/>
        <v>2250</v>
      </c>
      <c r="H73">
        <f t="shared" si="1"/>
        <v>2.2178984653957467E-4</v>
      </c>
      <c r="K73" s="34"/>
    </row>
    <row r="74" spans="3:11" x14ac:dyDescent="0.25">
      <c r="C74" s="32">
        <v>43952</v>
      </c>
      <c r="D74" s="34">
        <v>1750</v>
      </c>
      <c r="E74" s="40">
        <v>1.6500000000000001E-2</v>
      </c>
      <c r="F74" s="31">
        <v>2030</v>
      </c>
      <c r="G74" s="34">
        <f t="shared" si="4"/>
        <v>1750</v>
      </c>
      <c r="H74">
        <f t="shared" si="1"/>
        <v>2.5300471383032962E-4</v>
      </c>
      <c r="K74" s="34"/>
    </row>
    <row r="75" spans="3:11" x14ac:dyDescent="0.25">
      <c r="C75" s="32">
        <v>43952</v>
      </c>
      <c r="D75" s="34">
        <v>2500</v>
      </c>
      <c r="E75" s="40">
        <v>2.6499999999999999E-2</v>
      </c>
      <c r="F75" s="31">
        <v>2050</v>
      </c>
      <c r="G75" s="34">
        <f t="shared" si="4"/>
        <v>2500</v>
      </c>
      <c r="H75">
        <f t="shared" si="1"/>
        <v>5.8048700575789912E-4</v>
      </c>
      <c r="K75" s="34"/>
    </row>
    <row r="76" spans="3:11" x14ac:dyDescent="0.25">
      <c r="C76" s="32">
        <v>44044</v>
      </c>
      <c r="D76" s="34">
        <v>1250</v>
      </c>
      <c r="E76" s="40">
        <v>5.4999999999999997E-3</v>
      </c>
      <c r="F76" s="31">
        <v>2025</v>
      </c>
      <c r="G76" s="34">
        <f t="shared" si="4"/>
        <v>1250</v>
      </c>
      <c r="H76">
        <f t="shared" si="1"/>
        <v>6.0239217578649905E-5</v>
      </c>
      <c r="K76" s="34"/>
    </row>
    <row r="77" spans="3:11" x14ac:dyDescent="0.25">
      <c r="C77" s="32">
        <v>44044</v>
      </c>
      <c r="D77" s="34">
        <v>1250</v>
      </c>
      <c r="E77" s="40">
        <v>1.2500000000000001E-2</v>
      </c>
      <c r="F77" s="31">
        <v>2030</v>
      </c>
      <c r="G77" s="34">
        <f t="shared" si="4"/>
        <v>1250</v>
      </c>
      <c r="H77">
        <f t="shared" si="1"/>
        <v>1.369073126787498E-4</v>
      </c>
      <c r="K77" s="34"/>
    </row>
    <row r="78" spans="3:11" x14ac:dyDescent="0.25">
      <c r="C78" s="32">
        <v>44044</v>
      </c>
      <c r="D78" s="34">
        <v>1250</v>
      </c>
      <c r="E78" s="40">
        <v>2.4E-2</v>
      </c>
      <c r="F78" s="31">
        <v>2050</v>
      </c>
      <c r="G78" s="34">
        <f t="shared" si="4"/>
        <v>1250</v>
      </c>
      <c r="H78">
        <f t="shared" si="1"/>
        <v>2.6286204034319964E-4</v>
      </c>
      <c r="K78" s="34"/>
    </row>
    <row r="79" spans="3:11" x14ac:dyDescent="0.25">
      <c r="C79" s="32">
        <v>44044</v>
      </c>
      <c r="D79" s="34">
        <v>1750</v>
      </c>
      <c r="E79" s="40">
        <v>2.5499999999999998E-2</v>
      </c>
      <c r="F79" s="31">
        <v>2060</v>
      </c>
      <c r="G79" s="34">
        <f t="shared" si="4"/>
        <v>1750</v>
      </c>
      <c r="H79">
        <f t="shared" si="1"/>
        <v>3.9100728501050941E-4</v>
      </c>
      <c r="K79" s="34"/>
    </row>
    <row r="80" spans="3:11" x14ac:dyDescent="0.25">
      <c r="C80" s="32">
        <v>44228</v>
      </c>
      <c r="D80" s="34">
        <v>2500</v>
      </c>
      <c r="E80" s="40">
        <v>7.0000000000000001E-3</v>
      </c>
      <c r="F80" s="31">
        <v>2026</v>
      </c>
      <c r="G80" s="34">
        <f t="shared" si="4"/>
        <v>2500</v>
      </c>
      <c r="H80">
        <f t="shared" si="1"/>
        <v>1.5333619020019978E-4</v>
      </c>
      <c r="K80" s="34"/>
    </row>
    <row r="81" spans="3:11" x14ac:dyDescent="0.25">
      <c r="C81" s="32">
        <v>44228</v>
      </c>
      <c r="D81" s="34">
        <v>2500</v>
      </c>
      <c r="E81" s="40">
        <v>1.2E-2</v>
      </c>
      <c r="F81" s="31">
        <v>2028</v>
      </c>
      <c r="G81" s="34">
        <f t="shared" si="4"/>
        <v>2500</v>
      </c>
      <c r="H81">
        <f t="shared" si="1"/>
        <v>2.6286204034319964E-4</v>
      </c>
      <c r="K81" s="34"/>
    </row>
    <row r="82" spans="3:11" x14ac:dyDescent="0.25">
      <c r="C82" s="32">
        <v>44228</v>
      </c>
      <c r="D82" s="34">
        <v>2750</v>
      </c>
      <c r="E82" s="40">
        <v>1.6500000000000001E-2</v>
      </c>
      <c r="F82" s="31">
        <v>2031</v>
      </c>
      <c r="G82" s="34">
        <f t="shared" si="4"/>
        <v>2750</v>
      </c>
      <c r="H82">
        <f t="shared" si="1"/>
        <v>3.9757883601908945E-4</v>
      </c>
      <c r="K82" s="34"/>
    </row>
    <row r="83" spans="3:11" x14ac:dyDescent="0.25">
      <c r="C83" s="32">
        <v>44228</v>
      </c>
      <c r="D83" s="34">
        <v>1500</v>
      </c>
      <c r="E83" s="40">
        <v>2.375E-2</v>
      </c>
      <c r="F83" s="31">
        <v>2041</v>
      </c>
      <c r="G83" s="34">
        <f t="shared" si="4"/>
        <v>1500</v>
      </c>
      <c r="H83">
        <f t="shared" si="1"/>
        <v>3.1214867290754955E-4</v>
      </c>
      <c r="K83" s="34"/>
    </row>
    <row r="84" spans="3:11" x14ac:dyDescent="0.25">
      <c r="C84" s="32">
        <v>44228</v>
      </c>
      <c r="D84" s="34">
        <v>3000</v>
      </c>
      <c r="E84" s="40">
        <v>2.6499999999999999E-2</v>
      </c>
      <c r="F84" s="31">
        <v>2051</v>
      </c>
      <c r="G84" s="34">
        <f t="shared" si="4"/>
        <v>3000</v>
      </c>
      <c r="H84">
        <f t="shared" si="1"/>
        <v>6.9658440690947897E-4</v>
      </c>
      <c r="K84" s="34"/>
    </row>
    <row r="85" spans="3:11" x14ac:dyDescent="0.25">
      <c r="C85" s="32">
        <v>44228</v>
      </c>
      <c r="D85" s="34">
        <v>1750</v>
      </c>
      <c r="E85" s="40">
        <v>2.8000000000000001E-2</v>
      </c>
      <c r="F85" s="31">
        <v>2061</v>
      </c>
      <c r="G85" s="34">
        <f t="shared" si="4"/>
        <v>1750</v>
      </c>
      <c r="H85">
        <f t="shared" si="1"/>
        <v>4.2934133256055935E-4</v>
      </c>
      <c r="K85" s="34"/>
    </row>
    <row r="86" spans="3:11" x14ac:dyDescent="0.25">
      <c r="C86" s="32">
        <v>44378</v>
      </c>
      <c r="D86" s="34">
        <v>2300</v>
      </c>
      <c r="E86" s="40">
        <v>1.3999999999999999E-2</v>
      </c>
      <c r="F86" s="31">
        <v>2028</v>
      </c>
      <c r="G86" s="34">
        <f t="shared" si="4"/>
        <v>2300</v>
      </c>
      <c r="H86">
        <f t="shared" si="1"/>
        <v>2.8213858996836754E-4</v>
      </c>
      <c r="K86" s="34"/>
    </row>
    <row r="87" spans="3:11" x14ac:dyDescent="0.25">
      <c r="C87" s="32">
        <v>44378</v>
      </c>
      <c r="D87" s="34">
        <v>1000</v>
      </c>
      <c r="E87" s="40">
        <v>1.7000000000000001E-2</v>
      </c>
      <c r="F87" s="31">
        <v>2031</v>
      </c>
      <c r="G87" s="34">
        <f t="shared" si="4"/>
        <v>1000</v>
      </c>
      <c r="H87">
        <f t="shared" si="1"/>
        <v>1.4895515619447981E-4</v>
      </c>
      <c r="K87" s="34"/>
    </row>
    <row r="88" spans="3:11" x14ac:dyDescent="0.25">
      <c r="C88" s="32">
        <v>44378</v>
      </c>
      <c r="D88" s="34">
        <v>1800</v>
      </c>
      <c r="E88" s="40">
        <v>2.7000000000000003E-2</v>
      </c>
      <c r="F88" s="31">
        <v>2051</v>
      </c>
      <c r="G88" s="34">
        <f t="shared" si="4"/>
        <v>1800</v>
      </c>
      <c r="H88">
        <f t="shared" si="1"/>
        <v>4.2583650535598343E-4</v>
      </c>
      <c r="K88" s="34"/>
    </row>
    <row r="89" spans="3:11" x14ac:dyDescent="0.25">
      <c r="C89" s="32">
        <v>44378</v>
      </c>
      <c r="D89" s="34">
        <v>1400</v>
      </c>
      <c r="E89" s="40">
        <v>2.8500000000000001E-2</v>
      </c>
      <c r="F89" s="31">
        <v>2061</v>
      </c>
      <c r="G89" s="34">
        <f t="shared" si="4"/>
        <v>1400</v>
      </c>
      <c r="H89">
        <f t="shared" si="1"/>
        <v>3.4960651365645545E-4</v>
      </c>
      <c r="K89" s="34"/>
    </row>
    <row r="90" spans="3:11" x14ac:dyDescent="0.25">
      <c r="C90" s="32">
        <v>44774</v>
      </c>
      <c r="D90" s="34">
        <v>1000</v>
      </c>
      <c r="E90" s="40">
        <v>3.2500000000000001E-2</v>
      </c>
      <c r="F90" s="31">
        <v>2029</v>
      </c>
      <c r="G90" s="34">
        <f t="shared" si="4"/>
        <v>1000</v>
      </c>
      <c r="H90">
        <f t="shared" si="1"/>
        <v>2.8476721037179958E-4</v>
      </c>
      <c r="K90" s="34"/>
    </row>
    <row r="91" spans="3:11" x14ac:dyDescent="0.25">
      <c r="C91" s="32">
        <v>44774</v>
      </c>
      <c r="D91" s="34">
        <v>1500</v>
      </c>
      <c r="E91" s="40">
        <v>3.3500000000000002E-2</v>
      </c>
      <c r="F91" s="31">
        <v>2032</v>
      </c>
      <c r="G91" s="34">
        <f t="shared" si="4"/>
        <v>1500</v>
      </c>
      <c r="H91">
        <f t="shared" si="1"/>
        <v>4.4029391757485938E-4</v>
      </c>
      <c r="K91" s="34"/>
    </row>
    <row r="92" spans="3:11" x14ac:dyDescent="0.25">
      <c r="C92" s="32">
        <v>44774</v>
      </c>
      <c r="D92" s="34">
        <v>1750</v>
      </c>
      <c r="E92" s="40">
        <v>3.95E-2</v>
      </c>
      <c r="F92" s="31">
        <v>2052</v>
      </c>
      <c r="G92" s="34">
        <f t="shared" si="4"/>
        <v>1750</v>
      </c>
      <c r="H92">
        <f t="shared" si="1"/>
        <v>6.0567795129078908E-4</v>
      </c>
      <c r="K92" s="34"/>
    </row>
    <row r="93" spans="3:11" x14ac:dyDescent="0.25">
      <c r="C93" s="32">
        <v>44774</v>
      </c>
      <c r="D93" s="34">
        <v>1250</v>
      </c>
      <c r="E93" s="40">
        <v>4.0999999999999995E-2</v>
      </c>
      <c r="F93" s="31">
        <v>2062</v>
      </c>
      <c r="G93" s="34">
        <f t="shared" si="4"/>
        <v>1250</v>
      </c>
      <c r="H93">
        <f t="shared" si="1"/>
        <v>4.4905598558629928E-4</v>
      </c>
      <c r="K93" s="34"/>
    </row>
    <row r="94" spans="3:11" x14ac:dyDescent="0.25">
      <c r="C94" s="32">
        <v>45047</v>
      </c>
      <c r="D94" s="34">
        <v>1000</v>
      </c>
      <c r="E94" s="40">
        <v>4.4209999999999999E-2</v>
      </c>
      <c r="F94" s="31">
        <v>2026</v>
      </c>
      <c r="G94" s="34">
        <f t="shared" si="4"/>
        <v>1000</v>
      </c>
      <c r="H94">
        <f t="shared" si="1"/>
        <v>3.8737102678576183E-4</v>
      </c>
      <c r="K94" s="34"/>
    </row>
    <row r="95" spans="3:11" x14ac:dyDescent="0.25">
      <c r="C95" s="32">
        <v>45047</v>
      </c>
      <c r="D95" s="34">
        <v>1500</v>
      </c>
      <c r="E95" s="40">
        <v>0.04</v>
      </c>
      <c r="F95" s="31">
        <v>2028</v>
      </c>
      <c r="G95" s="34">
        <f t="shared" si="4"/>
        <v>1500</v>
      </c>
      <c r="H95">
        <f t="shared" ref="H95:H98" si="5">(G95/$E$27)*E95</f>
        <v>5.2572408068639928E-4</v>
      </c>
      <c r="K95" s="34"/>
    </row>
    <row r="96" spans="3:11" x14ac:dyDescent="0.25">
      <c r="C96" s="32">
        <v>45047</v>
      </c>
      <c r="D96" s="34">
        <v>500</v>
      </c>
      <c r="E96" s="40">
        <v>4.1500000000000002E-2</v>
      </c>
      <c r="F96" s="31">
        <v>2030</v>
      </c>
      <c r="G96" s="34">
        <f t="shared" si="4"/>
        <v>500</v>
      </c>
      <c r="H96">
        <f t="shared" si="5"/>
        <v>1.8181291123737974E-4</v>
      </c>
      <c r="K96" s="34"/>
    </row>
    <row r="97" spans="3:8" x14ac:dyDescent="0.25">
      <c r="C97" s="32">
        <v>45047</v>
      </c>
      <c r="D97" s="34">
        <v>1000</v>
      </c>
      <c r="E97" s="40">
        <v>4.2999999999999997E-2</v>
      </c>
      <c r="F97" s="31">
        <v>2033</v>
      </c>
      <c r="G97" s="34">
        <f t="shared" si="4"/>
        <v>1000</v>
      </c>
      <c r="H97">
        <f t="shared" si="5"/>
        <v>3.7676892449191941E-4</v>
      </c>
    </row>
    <row r="98" spans="3:8" x14ac:dyDescent="0.25">
      <c r="C98" s="32">
        <v>45047</v>
      </c>
      <c r="D98" s="34">
        <v>1250</v>
      </c>
      <c r="E98" s="40">
        <v>4.8499999999999995E-2</v>
      </c>
      <c r="F98" s="31">
        <v>2053</v>
      </c>
      <c r="G98" s="34">
        <f t="shared" si="4"/>
        <v>1250</v>
      </c>
      <c r="H98">
        <f t="shared" si="5"/>
        <v>5.3120037319354921E-4</v>
      </c>
    </row>
  </sheetData>
  <mergeCells count="3">
    <mergeCell ref="C3:H3"/>
    <mergeCell ref="E22:F22"/>
    <mergeCell ref="E23:F23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EF5C-7CBE-493D-988D-24D285ABDD13}">
  <dimension ref="A2:O454"/>
  <sheetViews>
    <sheetView showGridLines="0" tabSelected="1" zoomScale="90" zoomScaleNormal="90" workbookViewId="0">
      <selection activeCell="M13" sqref="M13"/>
    </sheetView>
  </sheetViews>
  <sheetFormatPr defaultRowHeight="15" x14ac:dyDescent="0.25"/>
  <cols>
    <col min="1" max="1" width="2.7109375" customWidth="1"/>
    <col min="2" max="2" width="20.28515625" bestFit="1" customWidth="1"/>
    <col min="3" max="3" width="10.7109375" customWidth="1"/>
    <col min="4" max="4" width="2.7109375" customWidth="1"/>
    <col min="5" max="5" width="10.7109375" customWidth="1"/>
    <col min="6" max="6" width="2.7109375" customWidth="1"/>
    <col min="7" max="7" width="10.7109375" customWidth="1"/>
    <col min="11" max="11" width="2.7109375" customWidth="1"/>
    <col min="12" max="12" width="8.7109375" customWidth="1"/>
  </cols>
  <sheetData>
    <row r="2" spans="1:15" x14ac:dyDescent="0.25">
      <c r="A2" s="1"/>
      <c r="B2" s="55" t="s">
        <v>80</v>
      </c>
      <c r="C2" s="50"/>
      <c r="D2" s="50"/>
      <c r="E2" s="50"/>
      <c r="F2" s="50"/>
      <c r="G2" s="50"/>
    </row>
    <row r="3" spans="1:15" x14ac:dyDescent="0.25">
      <c r="A3" s="1"/>
    </row>
    <row r="4" spans="1:15" x14ac:dyDescent="0.25">
      <c r="A4" s="1"/>
      <c r="C4" s="27" t="s">
        <v>76</v>
      </c>
      <c r="E4" s="27" t="s">
        <v>77</v>
      </c>
      <c r="G4" s="27" t="s">
        <v>78</v>
      </c>
    </row>
    <row r="5" spans="1:15" x14ac:dyDescent="0.25">
      <c r="A5" s="1"/>
      <c r="B5" t="s">
        <v>68</v>
      </c>
      <c r="C5" s="88">
        <v>120069000000</v>
      </c>
      <c r="D5" s="88"/>
      <c r="E5" s="88"/>
      <c r="F5" s="88"/>
      <c r="G5" s="88"/>
    </row>
    <row r="6" spans="1:15" x14ac:dyDescent="0.25">
      <c r="A6" s="1"/>
      <c r="B6" t="s">
        <v>73</v>
      </c>
      <c r="C6" s="89">
        <f>C5/C14</f>
        <v>4.2175779826947042E-2</v>
      </c>
      <c r="D6" s="89"/>
      <c r="E6" s="89"/>
      <c r="F6" s="89"/>
      <c r="G6" s="89"/>
    </row>
    <row r="7" spans="1:15" x14ac:dyDescent="0.25">
      <c r="A7" s="1"/>
      <c r="B7" t="s">
        <v>69</v>
      </c>
      <c r="C7" s="57">
        <v>3.5000000000000003E-2</v>
      </c>
      <c r="E7" s="56">
        <v>2.7E-2</v>
      </c>
      <c r="G7" s="57">
        <v>2.5000000000000001E-2</v>
      </c>
      <c r="L7" t="s">
        <v>9</v>
      </c>
    </row>
    <row r="8" spans="1:15" x14ac:dyDescent="0.25">
      <c r="A8" s="1"/>
      <c r="B8" t="s">
        <v>70</v>
      </c>
      <c r="C8" s="59">
        <v>0.3</v>
      </c>
      <c r="E8" s="58">
        <v>0.25</v>
      </c>
      <c r="G8" s="59">
        <v>0.2</v>
      </c>
      <c r="L8" s="66">
        <f>(($C$25*(1+E21))/(E16-E21))/1000^3</f>
        <v>1860.0252321042656</v>
      </c>
    </row>
    <row r="9" spans="1:15" x14ac:dyDescent="0.25">
      <c r="A9" s="1"/>
      <c r="K9" s="71" t="s">
        <v>91</v>
      </c>
    </row>
    <row r="10" spans="1:15" x14ac:dyDescent="0.25">
      <c r="A10" s="1"/>
      <c r="B10" t="s">
        <v>71</v>
      </c>
      <c r="C10" s="88">
        <f>2726801893.5*1000</f>
        <v>2726801893500</v>
      </c>
      <c r="D10" s="88"/>
      <c r="E10" s="88"/>
      <c r="F10" s="88"/>
      <c r="G10" s="88"/>
      <c r="L10" s="68" t="s">
        <v>9</v>
      </c>
      <c r="M10" s="83" t="s">
        <v>89</v>
      </c>
      <c r="N10" s="83"/>
      <c r="O10" s="83"/>
    </row>
    <row r="11" spans="1:15" ht="14.45" customHeight="1" x14ac:dyDescent="0.25">
      <c r="A11" s="1"/>
      <c r="B11" t="s">
        <v>72</v>
      </c>
      <c r="C11" s="89">
        <f>C10/C14</f>
        <v>0.95782422017305291</v>
      </c>
      <c r="D11" s="89"/>
      <c r="E11" s="89"/>
      <c r="F11" s="89"/>
      <c r="G11" s="89"/>
      <c r="L11" s="67">
        <f>L8</f>
        <v>1860.0252321042656</v>
      </c>
      <c r="M11" s="72">
        <v>0.11600000000000001</v>
      </c>
      <c r="N11" s="72">
        <v>0.1011</v>
      </c>
      <c r="O11" s="73">
        <v>0.09</v>
      </c>
    </row>
    <row r="12" spans="1:15" x14ac:dyDescent="0.25">
      <c r="A12" s="1"/>
      <c r="B12" t="s">
        <v>74</v>
      </c>
      <c r="C12" s="57">
        <v>0.12</v>
      </c>
      <c r="E12" s="56">
        <v>0.1047</v>
      </c>
      <c r="G12" s="57">
        <v>0.09</v>
      </c>
      <c r="K12" s="84" t="s">
        <v>90</v>
      </c>
      <c r="L12" s="70">
        <v>0.02</v>
      </c>
      <c r="M12" s="69">
        <f t="dataTable" ref="M12:O14" dt2D="1" dtr="1" r1="E16" r2="E21"/>
        <v>1364.940625</v>
      </c>
      <c r="N12" s="69">
        <v>1615.7127003699138</v>
      </c>
      <c r="O12" s="69">
        <v>1871.9185714285716</v>
      </c>
    </row>
    <row r="13" spans="1:15" x14ac:dyDescent="0.25">
      <c r="A13" s="1"/>
      <c r="K13" s="84"/>
      <c r="L13" s="70">
        <v>0.03</v>
      </c>
      <c r="M13" s="69">
        <v>1538.592441860465</v>
      </c>
      <c r="N13" s="69">
        <v>1861.0260196905767</v>
      </c>
      <c r="O13" s="69">
        <v>2205.3158333333336</v>
      </c>
    </row>
    <row r="14" spans="1:15" x14ac:dyDescent="0.25">
      <c r="A14" s="1"/>
      <c r="B14" t="s">
        <v>75</v>
      </c>
      <c r="C14" s="88">
        <f>C5+C10</f>
        <v>2846870893500</v>
      </c>
      <c r="D14" s="88"/>
      <c r="E14" s="88"/>
      <c r="F14" s="88"/>
      <c r="G14" s="88"/>
      <c r="K14" s="84"/>
      <c r="L14" s="70">
        <v>0.05</v>
      </c>
      <c r="M14" s="69">
        <v>2043.7613636363635</v>
      </c>
      <c r="N14" s="69">
        <v>2639.6917808219177</v>
      </c>
      <c r="O14" s="69">
        <v>3372.2062500000006</v>
      </c>
    </row>
    <row r="15" spans="1:15" x14ac:dyDescent="0.25">
      <c r="A15" s="1"/>
    </row>
    <row r="16" spans="1:15" x14ac:dyDescent="0.25">
      <c r="A16" s="1"/>
      <c r="B16" s="60" t="s">
        <v>66</v>
      </c>
      <c r="C16" s="61">
        <f>$C$6*C7*(1-C8)+$C$11*C12</f>
        <v>0.11597221302652655</v>
      </c>
      <c r="D16" s="61"/>
      <c r="E16" s="61">
        <f t="shared" ref="E16:G16" si="0">$C$6*E7*(1-E8)+$C$11*E12</f>
        <v>0.10113825539361432</v>
      </c>
      <c r="F16" s="61"/>
      <c r="G16" s="61">
        <f t="shared" si="0"/>
        <v>8.7047695412113699E-2</v>
      </c>
    </row>
    <row r="17" spans="1:11" x14ac:dyDescent="0.25">
      <c r="A17" s="1"/>
      <c r="B17" s="65" t="s">
        <v>87</v>
      </c>
    </row>
    <row r="18" spans="1:11" x14ac:dyDescent="0.25">
      <c r="A18" s="1"/>
      <c r="B18" s="55" t="s">
        <v>79</v>
      </c>
      <c r="C18" s="55"/>
      <c r="D18" s="55"/>
      <c r="E18" s="55"/>
      <c r="F18" s="55"/>
      <c r="G18" s="55"/>
    </row>
    <row r="19" spans="1:11" x14ac:dyDescent="0.25">
      <c r="A19" s="1"/>
    </row>
    <row r="20" spans="1:11" x14ac:dyDescent="0.25">
      <c r="A20" s="1"/>
      <c r="C20" s="27" t="s">
        <v>76</v>
      </c>
      <c r="E20" s="27" t="s">
        <v>77</v>
      </c>
      <c r="G20" s="27" t="s">
        <v>78</v>
      </c>
    </row>
    <row r="21" spans="1:11" x14ac:dyDescent="0.25">
      <c r="A21" s="1"/>
      <c r="B21" t="s">
        <v>81</v>
      </c>
      <c r="C21" s="57">
        <v>0.02</v>
      </c>
      <c r="E21" s="56">
        <v>0.03</v>
      </c>
      <c r="G21" s="57">
        <v>0.05</v>
      </c>
    </row>
    <row r="22" spans="1:11" x14ac:dyDescent="0.25">
      <c r="A22" s="1"/>
      <c r="B22" s="65" t="s">
        <v>86</v>
      </c>
    </row>
    <row r="23" spans="1:11" x14ac:dyDescent="0.25">
      <c r="A23" s="1"/>
      <c r="B23" s="55" t="s">
        <v>82</v>
      </c>
      <c r="C23" s="55"/>
      <c r="D23" s="55"/>
      <c r="E23" s="55"/>
      <c r="F23" s="55"/>
      <c r="G23" s="55"/>
    </row>
    <row r="24" spans="1:11" x14ac:dyDescent="0.25">
      <c r="A24" s="1"/>
    </row>
    <row r="25" spans="1:11" x14ac:dyDescent="0.25">
      <c r="A25" s="1"/>
      <c r="B25" t="s">
        <v>84</v>
      </c>
      <c r="C25" s="85">
        <v>128465000000</v>
      </c>
      <c r="D25" s="86"/>
      <c r="E25" s="86"/>
      <c r="F25" s="86"/>
      <c r="G25" s="87"/>
      <c r="K25" s="62"/>
    </row>
    <row r="26" spans="1:11" x14ac:dyDescent="0.25">
      <c r="A26" s="1"/>
    </row>
    <row r="27" spans="1:11" x14ac:dyDescent="0.25">
      <c r="A27" s="1"/>
      <c r="B27" s="64" t="s">
        <v>85</v>
      </c>
      <c r="C27" s="27" t="s">
        <v>76</v>
      </c>
      <c r="E27" s="27" t="s">
        <v>77</v>
      </c>
      <c r="G27" s="27" t="s">
        <v>78</v>
      </c>
    </row>
    <row r="28" spans="1:11" x14ac:dyDescent="0.25">
      <c r="A28" s="1"/>
      <c r="B28" t="s">
        <v>83</v>
      </c>
      <c r="C28" s="63">
        <f>(($C$25*(1+C21))/(C16-C21))/1000^3</f>
        <v>1365.33581823087</v>
      </c>
      <c r="E28" s="63">
        <f>(($C$25*(1+E21))/(E16-E21))/1000^3</f>
        <v>1860.0252321042656</v>
      </c>
      <c r="G28" s="63">
        <f>(($C$25*(1+G21))/(G16-G21))/1000^3</f>
        <v>3640.9349758337416</v>
      </c>
    </row>
    <row r="29" spans="1:11" x14ac:dyDescent="0.25">
      <c r="A29" s="1"/>
      <c r="B29" t="s">
        <v>88</v>
      </c>
    </row>
    <row r="30" spans="1:11" x14ac:dyDescent="0.25">
      <c r="A30" s="1"/>
    </row>
    <row r="31" spans="1:11" x14ac:dyDescent="0.25">
      <c r="A31" s="1"/>
    </row>
    <row r="32" spans="1:1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</sheetData>
  <mergeCells count="8">
    <mergeCell ref="M10:O10"/>
    <mergeCell ref="K12:K14"/>
    <mergeCell ref="C25:G25"/>
    <mergeCell ref="C5:G5"/>
    <mergeCell ref="C6:G6"/>
    <mergeCell ref="C10:G10"/>
    <mergeCell ref="C11:G11"/>
    <mergeCell ref="C14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</vt:lpstr>
      <vt:lpstr>Valuation_OLD</vt:lpstr>
      <vt:lpstr>Cost of Debt_OLD</vt:lpstr>
      <vt:lpstr>OLD</vt:lpstr>
      <vt:lpstr>'Cost of Debt_OLD'!Print_Area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cp:lastPrinted>2023-05-21T20:11:46Z</cp:lastPrinted>
  <dcterms:created xsi:type="dcterms:W3CDTF">2015-06-05T18:17:20Z</dcterms:created>
  <dcterms:modified xsi:type="dcterms:W3CDTF">2023-12-16T13:04:17Z</dcterms:modified>
</cp:coreProperties>
</file>