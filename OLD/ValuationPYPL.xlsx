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suni-my.sharepoint.com/personal/theodor_hogan_student_uva_nl/Documents/Stocks 10ks/"/>
    </mc:Choice>
  </mc:AlternateContent>
  <xr:revisionPtr revIDLastSave="345" documentId="13_ncr:1_{DA78EB51-38D6-48DE-84E5-46CDC2DA9E0F}" xr6:coauthVersionLast="47" xr6:coauthVersionMax="47" xr10:uidLastSave="{8803330B-CEA1-4CDD-A73C-E3B93B7029E1}"/>
  <bookViews>
    <workbookView xWindow="-120" yWindow="-120" windowWidth="29040" windowHeight="15720" xr2:uid="{85B7E184-393A-4D4F-9F44-026DD64A4AFC}"/>
  </bookViews>
  <sheets>
    <sheet name="PYPL" sheetId="1" r:id="rId1"/>
    <sheet name="Sheet2" sheetId="3" r:id="rId2"/>
    <sheet name="Price" sheetId="2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30" i="1" l="1"/>
  <c r="AF28" i="1"/>
  <c r="AF27" i="1"/>
  <c r="AF26" i="1"/>
  <c r="AF29" i="1"/>
  <c r="AF25" i="1"/>
  <c r="AE21" i="1"/>
  <c r="AE22" i="1" s="1"/>
  <c r="AE23" i="1" s="1"/>
  <c r="AE20" i="1"/>
  <c r="AE19" i="1"/>
  <c r="AD21" i="1"/>
  <c r="AD22" i="1" s="1"/>
  <c r="AD23" i="1" s="1"/>
  <c r="AD20" i="1"/>
  <c r="AD19" i="1"/>
  <c r="M18" i="1"/>
  <c r="AF15" i="1"/>
  <c r="AF12" i="1"/>
  <c r="AF11" i="1"/>
  <c r="AF14" i="1" s="1"/>
  <c r="AF16" i="1" s="1"/>
  <c r="AE8" i="1"/>
  <c r="AE9" i="1" s="1"/>
  <c r="AE7" i="1"/>
  <c r="AE6" i="1"/>
  <c r="AE5" i="1"/>
  <c r="AD9" i="1"/>
  <c r="AD7" i="1"/>
  <c r="AD8" i="1" s="1"/>
  <c r="AD6" i="1"/>
  <c r="AA18" i="1"/>
  <c r="W18" i="1"/>
  <c r="T18" i="1"/>
  <c r="X18" i="1"/>
  <c r="U18" i="1"/>
  <c r="N18" i="1"/>
  <c r="L18" i="1"/>
  <c r="K18" i="1"/>
  <c r="H18" i="1"/>
  <c r="F18" i="1"/>
  <c r="N16" i="1"/>
  <c r="M16" i="1"/>
  <c r="L16" i="1"/>
  <c r="K16" i="1"/>
  <c r="AA16" i="1"/>
  <c r="Y16" i="1"/>
  <c r="W16" i="1"/>
  <c r="W15" i="1"/>
  <c r="Y15" i="1" s="1"/>
  <c r="AA15" i="1" s="1"/>
  <c r="W14" i="1"/>
  <c r="W13" i="1"/>
  <c r="W12" i="1"/>
  <c r="W11" i="1"/>
  <c r="W10" i="1"/>
  <c r="W9" i="1"/>
  <c r="S16" i="1"/>
  <c r="K15" i="1"/>
  <c r="K14" i="1"/>
  <c r="K13" i="1"/>
  <c r="K12" i="1"/>
  <c r="L12" i="1" s="1"/>
  <c r="M12" i="1" s="1"/>
  <c r="K11" i="1"/>
  <c r="K10" i="1"/>
  <c r="I16" i="1"/>
  <c r="H16" i="1"/>
  <c r="G16" i="1"/>
  <c r="Y12" i="1"/>
  <c r="AA12" i="1" s="1"/>
  <c r="Y13" i="1"/>
  <c r="AA13" i="1" s="1"/>
  <c r="Y14" i="1"/>
  <c r="AA14" i="1" s="1"/>
  <c r="Y11" i="1"/>
  <c r="AA11" i="1" s="1"/>
  <c r="Y10" i="1"/>
  <c r="AA10" i="1" s="1"/>
  <c r="W8" i="1"/>
  <c r="N9" i="1"/>
  <c r="N10" i="1"/>
  <c r="N11" i="1"/>
  <c r="N12" i="1"/>
  <c r="N13" i="1"/>
  <c r="N14" i="1"/>
  <c r="N15" i="1"/>
  <c r="M9" i="1"/>
  <c r="M11" i="1"/>
  <c r="M13" i="1"/>
  <c r="L9" i="1"/>
  <c r="L10" i="1"/>
  <c r="M10" i="1" s="1"/>
  <c r="L11" i="1"/>
  <c r="L13" i="1"/>
  <c r="L14" i="1"/>
  <c r="M14" i="1" s="1"/>
  <c r="H15" i="1"/>
  <c r="H14" i="1"/>
  <c r="H13" i="1"/>
  <c r="H12" i="1"/>
  <c r="L15" i="1"/>
  <c r="M15" i="1" s="1"/>
  <c r="H9" i="1"/>
  <c r="H10" i="1"/>
  <c r="H11" i="1"/>
</calcChain>
</file>

<file path=xl/sharedStrings.xml><?xml version="1.0" encoding="utf-8"?>
<sst xmlns="http://schemas.openxmlformats.org/spreadsheetml/2006/main" count="48" uniqueCount="35">
  <si>
    <t>Revenue</t>
  </si>
  <si>
    <t>EBITDA</t>
  </si>
  <si>
    <t>EBITDA GROWTH</t>
  </si>
  <si>
    <t>DEBT ST+LT</t>
  </si>
  <si>
    <t>Less:</t>
  </si>
  <si>
    <t>Excess Cash</t>
  </si>
  <si>
    <t>Market Cap</t>
  </si>
  <si>
    <t>Enterprise Value</t>
  </si>
  <si>
    <t>EV / EBITDA</t>
  </si>
  <si>
    <t>Net Debt / EBITDA</t>
  </si>
  <si>
    <t>Year</t>
  </si>
  <si>
    <t>CFO</t>
  </si>
  <si>
    <t>CAPEX</t>
  </si>
  <si>
    <t>Debt payment</t>
  </si>
  <si>
    <t>FCFE</t>
  </si>
  <si>
    <t>Shares</t>
  </si>
  <si>
    <t>FCFE/shr</t>
  </si>
  <si>
    <t>Price $ /Share</t>
  </si>
  <si>
    <t>FCFE yield</t>
  </si>
  <si>
    <t>Date</t>
  </si>
  <si>
    <t>Adj Close</t>
  </si>
  <si>
    <t>Volume</t>
  </si>
  <si>
    <t>Row Labels</t>
  </si>
  <si>
    <t>Grand Total</t>
  </si>
  <si>
    <t>2021</t>
  </si>
  <si>
    <t>2022</t>
  </si>
  <si>
    <t>Average of Adj Close</t>
  </si>
  <si>
    <t>EBITDA Multiple</t>
  </si>
  <si>
    <t>Minus Debt</t>
  </si>
  <si>
    <t>Add Cash</t>
  </si>
  <si>
    <t>CS Outstanding</t>
  </si>
  <si>
    <t>Growth Rate</t>
  </si>
  <si>
    <t>FCFE Yield</t>
  </si>
  <si>
    <t>EV</t>
  </si>
  <si>
    <t>2026 $/Shr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</si>
</sst>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0.0%"/>
    <numFmt numFmtId="165" formatCode="_(&quot;$&quot;* #,##0_);_(&quot;$&quot;* \(#,##0\);_(&quot;$&quot;* &quot;-&quot;??_);_(@_)"/>
    <numFmt numFmtId="166" formatCode="0.0"/>
    <numFmt numFmtId="167" formatCode="#,##0.0_);\(#,##0.0\)"/>
    <numFmt numFmtId="168" formatCode="#,##0.0"/>
    <numFmt numFmtId="171" formatCode="_([$$-409]* #,##0.00_);_([$$-409]* \(#,##0.00\);_([$$-409]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2" borderId="0" xfId="0" applyFill="1"/>
    <xf numFmtId="42" fontId="0" fillId="2" borderId="0" xfId="0" applyNumberFormat="1" applyFill="1"/>
    <xf numFmtId="3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42" fontId="0" fillId="2" borderId="0" xfId="0" applyNumberFormat="1" applyFill="1" applyAlignment="1">
      <alignment horizontal="center"/>
    </xf>
    <xf numFmtId="164" fontId="0" fillId="2" borderId="0" xfId="2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9" fontId="0" fillId="2" borderId="0" xfId="2" applyFont="1" applyFill="1" applyAlignment="1">
      <alignment horizontal="center"/>
    </xf>
    <xf numFmtId="165" fontId="2" fillId="2" borderId="0" xfId="1" applyNumberFormat="1" applyFont="1" applyFill="1" applyAlignment="1">
      <alignment horizontal="center"/>
    </xf>
    <xf numFmtId="164" fontId="2" fillId="2" borderId="0" xfId="1" applyNumberFormat="1" applyFont="1" applyFill="1" applyAlignment="1">
      <alignment horizontal="center"/>
    </xf>
    <xf numFmtId="166" fontId="2" fillId="2" borderId="0" xfId="1" applyNumberFormat="1" applyFont="1" applyFill="1" applyAlignment="1">
      <alignment horizontal="center"/>
    </xf>
    <xf numFmtId="42" fontId="0" fillId="2" borderId="0" xfId="2" applyNumberFormat="1" applyFont="1" applyFill="1"/>
    <xf numFmtId="42" fontId="0" fillId="2" borderId="0" xfId="2" applyNumberFormat="1" applyFont="1" applyFill="1" applyAlignment="1">
      <alignment horizontal="center"/>
    </xf>
    <xf numFmtId="14" fontId="0" fillId="0" borderId="0" xfId="0" applyNumberFormat="1"/>
    <xf numFmtId="4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7" fontId="0" fillId="2" borderId="0" xfId="1" applyNumberFormat="1" applyFont="1" applyFill="1" applyAlignment="1">
      <alignment horizontal="center"/>
    </xf>
    <xf numFmtId="168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42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0" xfId="2" applyFont="1" applyAlignment="1">
      <alignment horizontal="center"/>
    </xf>
    <xf numFmtId="44" fontId="0" fillId="0" borderId="0" xfId="0" applyNumberFormat="1"/>
    <xf numFmtId="2" fontId="0" fillId="0" borderId="0" xfId="2" applyNumberFormat="1" applyFont="1" applyAlignment="1">
      <alignment horizontal="center"/>
    </xf>
    <xf numFmtId="0" fontId="0" fillId="0" borderId="0" xfId="0" applyAlignment="1">
      <alignment horizontal="left" indent="1"/>
    </xf>
    <xf numFmtId="3" fontId="0" fillId="0" borderId="0" xfId="0" applyNumberFormat="1"/>
    <xf numFmtId="0" fontId="0" fillId="0" borderId="0" xfId="0" applyAlignme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171" fontId="0" fillId="0" borderId="0" xfId="0" applyNumberFormat="1"/>
    <xf numFmtId="0" fontId="0" fillId="0" borderId="0" xfId="0" applyFont="1" applyAlignment="1">
      <alignment horizontal="center"/>
    </xf>
    <xf numFmtId="4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3" fillId="0" borderId="1" xfId="0" applyFont="1" applyBorder="1" applyAlignment="1"/>
  </cellXfs>
  <cellStyles count="3">
    <cellStyle name="Currency" xfId="1" builtinId="4"/>
    <cellStyle name="Normal" xfId="0" builtinId="0"/>
    <cellStyle name="Percent" xfId="2" builtinId="5"/>
  </cellStyles>
  <dxfs count="1">
    <dxf>
      <font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do" refreshedDate="44829.892010185184" createdVersion="8" refreshedVersion="8" minRefreshableVersion="3" recordCount="13" xr:uid="{B48D3879-1A9A-4F6D-8234-01A14317DB6E}">
  <cacheSource type="worksheet">
    <worksheetSource ref="A1:C14" sheet="Price"/>
  </cacheSource>
  <cacheFields count="5">
    <cacheField name="Date" numFmtId="14">
      <sharedItems containsSemiMixedTypes="0" containsNonDate="0" containsDate="1" containsString="0" minDate="2021-10-01T00:00:00" maxDate="2022-09-24T00:00:00" count="13"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09-23T00:00:00"/>
      </sharedItems>
      <fieldGroup par="4" base="0">
        <rangePr groupBy="months" startDate="2021-10-01T00:00:00" endDate="2022-09-24T00:00:00"/>
        <groupItems count="14">
          <s v="&lt;10/1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24/2022"/>
        </groupItems>
      </fieldGroup>
    </cacheField>
    <cacheField name="Adj Close" numFmtId="42">
      <sharedItems containsSemiMixedTypes="0" containsString="0" containsNumber="1" minValue="69.839995999999999" maxValue="232.58999600000001"/>
    </cacheField>
    <cacheField name="Volume" numFmtId="42">
      <sharedItems containsSemiMixedTypes="0" containsString="0" containsNumber="1" containsInteger="1" minValue="12175885" maxValue="671591400"/>
    </cacheField>
    <cacheField name="Quarters" numFmtId="0" databaseField="0">
      <fieldGroup base="0">
        <rangePr groupBy="quarters" startDate="2021-10-01T00:00:00" endDate="2022-09-24T00:00:00"/>
        <groupItems count="6">
          <s v="&lt;10/1/2021"/>
          <s v="Qtr1"/>
          <s v="Qtr2"/>
          <s v="Qtr3"/>
          <s v="Qtr4"/>
          <s v="&gt;9/24/2022"/>
        </groupItems>
      </fieldGroup>
    </cacheField>
    <cacheField name="Years" numFmtId="0" databaseField="0">
      <fieldGroup base="0">
        <rangePr groupBy="years" startDate="2021-10-01T00:00:00" endDate="2022-09-24T00:00:00"/>
        <groupItems count="4">
          <s v="&lt;10/1/2021"/>
          <s v="2021"/>
          <s v="2022"/>
          <s v="&gt;9/24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n v="232.58999600000001"/>
    <n v="250443900"/>
  </r>
  <r>
    <x v="1"/>
    <n v="184.88999899999999"/>
    <n v="434862600"/>
  </r>
  <r>
    <x v="2"/>
    <n v="188.58000200000001"/>
    <n v="276431400"/>
  </r>
  <r>
    <x v="3"/>
    <n v="171.94000199999999"/>
    <n v="285485800"/>
  </r>
  <r>
    <x v="4"/>
    <n v="111.93"/>
    <n v="671591400"/>
  </r>
  <r>
    <x v="5"/>
    <n v="115.650002"/>
    <n v="434443300"/>
  </r>
  <r>
    <x v="6"/>
    <n v="87.93"/>
    <n v="372294900"/>
  </r>
  <r>
    <x v="7"/>
    <n v="85.209998999999996"/>
    <n v="380219000"/>
  </r>
  <r>
    <x v="8"/>
    <n v="69.839995999999999"/>
    <n v="318416300"/>
  </r>
  <r>
    <x v="9"/>
    <n v="86.529999000000004"/>
    <n v="263032100"/>
  </r>
  <r>
    <x v="10"/>
    <n v="93.440002000000007"/>
    <n v="340392900"/>
  </r>
  <r>
    <x v="11"/>
    <n v="86.970000999999996"/>
    <n v="200456500"/>
  </r>
  <r>
    <x v="12"/>
    <n v="86.970000999999996"/>
    <n v="121758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4271B7-3B6B-4E06-B076-335E033D2F5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5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numFmtId="42" showAll="0"/>
    <pivotField numFmtId="42" showAll="0"/>
    <pivotField axis="axisRow" showAll="0">
      <items count="7">
        <item sd="0" x="0"/>
        <item sd="0" x="1"/>
        <item x="2"/>
        <item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3">
    <field x="4"/>
    <field x="3"/>
    <field x="0"/>
  </rowFields>
  <rowItems count="3">
    <i>
      <x v="1"/>
    </i>
    <i>
      <x v="2"/>
    </i>
    <i t="grand">
      <x/>
    </i>
  </rowItems>
  <colItems count="1">
    <i/>
  </colItems>
  <dataFields count="1">
    <dataField name="Average of Adj Close" fld="1" subtotal="average" baseField="4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6E0D-2209-4DF0-9654-0624A0BEEA33}">
  <dimension ref="A3:AF30"/>
  <sheetViews>
    <sheetView showGridLines="0" tabSelected="1" zoomScaleNormal="100" workbookViewId="0">
      <selection activeCell="A32" sqref="A32"/>
    </sheetView>
  </sheetViews>
  <sheetFormatPr defaultRowHeight="15" x14ac:dyDescent="0.25"/>
  <cols>
    <col min="6" max="6" width="15.7109375" customWidth="1"/>
    <col min="7" max="7" width="12" customWidth="1"/>
    <col min="8" max="8" width="10.7109375" bestFit="1" customWidth="1"/>
    <col min="9" max="10" width="10.5703125" bestFit="1" customWidth="1"/>
    <col min="11" max="11" width="12.5703125" bestFit="1" customWidth="1"/>
    <col min="12" max="12" width="13.28515625" customWidth="1"/>
    <col min="13" max="13" width="10" customWidth="1"/>
    <col min="14" max="14" width="10.28515625" customWidth="1"/>
    <col min="20" max="20" width="12" bestFit="1" customWidth="1"/>
    <col min="24" max="24" width="12.7109375" bestFit="1" customWidth="1"/>
    <col min="25" max="25" width="8.85546875" customWidth="1"/>
    <col min="27" max="27" width="14.42578125" customWidth="1"/>
    <col min="32" max="32" width="12.5703125" bestFit="1" customWidth="1"/>
  </cols>
  <sheetData>
    <row r="3" spans="1:32" x14ac:dyDescent="0.25">
      <c r="J3" t="s">
        <v>4</v>
      </c>
      <c r="Z3" s="2"/>
    </row>
    <row r="4" spans="1:32" s="1" customFormat="1" ht="30" x14ac:dyDescent="0.25">
      <c r="A4" s="33"/>
      <c r="B4" s="33"/>
      <c r="C4" s="33"/>
      <c r="D4" s="33"/>
      <c r="E4" s="34" t="s">
        <v>10</v>
      </c>
      <c r="F4" s="34" t="s">
        <v>0</v>
      </c>
      <c r="G4" s="34" t="s">
        <v>1</v>
      </c>
      <c r="H4" s="35" t="s">
        <v>2</v>
      </c>
      <c r="I4" s="35" t="s">
        <v>3</v>
      </c>
      <c r="J4" s="35" t="s">
        <v>5</v>
      </c>
      <c r="K4" s="35" t="s">
        <v>6</v>
      </c>
      <c r="L4" s="35" t="s">
        <v>7</v>
      </c>
      <c r="M4" s="35" t="s">
        <v>8</v>
      </c>
      <c r="N4" s="35" t="s">
        <v>9</v>
      </c>
      <c r="O4" s="33"/>
      <c r="P4" s="33"/>
      <c r="Q4" s="33"/>
      <c r="R4" s="33"/>
      <c r="S4" s="34" t="s">
        <v>10</v>
      </c>
      <c r="T4" s="34" t="s">
        <v>11</v>
      </c>
      <c r="U4" s="34" t="s">
        <v>12</v>
      </c>
      <c r="V4" s="35" t="s">
        <v>13</v>
      </c>
      <c r="W4" s="34" t="s">
        <v>14</v>
      </c>
      <c r="X4" s="34" t="s">
        <v>15</v>
      </c>
      <c r="Y4" s="34" t="s">
        <v>16</v>
      </c>
      <c r="Z4" s="35" t="s">
        <v>17</v>
      </c>
      <c r="AA4" s="34" t="s">
        <v>18</v>
      </c>
      <c r="AB4" s="33"/>
      <c r="AC4" s="33"/>
      <c r="AD4" s="34" t="s">
        <v>10</v>
      </c>
      <c r="AE4" s="41" t="s">
        <v>1</v>
      </c>
      <c r="AF4" s="41" t="s">
        <v>31</v>
      </c>
    </row>
    <row r="5" spans="1:32" x14ac:dyDescent="0.25">
      <c r="E5" s="9">
        <v>2010</v>
      </c>
      <c r="F5" s="11"/>
      <c r="G5" s="11"/>
      <c r="H5" s="12"/>
      <c r="I5" s="11"/>
      <c r="J5" s="11"/>
      <c r="K5" s="11"/>
      <c r="L5" s="11"/>
      <c r="M5" s="13"/>
      <c r="N5" s="13"/>
      <c r="S5" s="9">
        <v>2010</v>
      </c>
      <c r="T5" s="7"/>
      <c r="U5" s="7"/>
      <c r="V5" s="7"/>
      <c r="W5" s="7"/>
      <c r="X5" s="9"/>
      <c r="Y5" s="9"/>
      <c r="Z5" s="9"/>
      <c r="AA5" s="10"/>
      <c r="AD5" s="1">
        <v>2022</v>
      </c>
      <c r="AE5" s="25">
        <f>G16*(1+AF5)</f>
        <v>5969.1600000000008</v>
      </c>
      <c r="AF5" s="26">
        <v>0.08</v>
      </c>
    </row>
    <row r="6" spans="1:32" x14ac:dyDescent="0.25">
      <c r="E6" s="9">
        <v>2011</v>
      </c>
      <c r="F6" s="11"/>
      <c r="G6" s="11"/>
      <c r="H6" s="12"/>
      <c r="I6" s="11"/>
      <c r="J6" s="11"/>
      <c r="K6" s="11"/>
      <c r="L6" s="11"/>
      <c r="M6" s="13"/>
      <c r="N6" s="13"/>
      <c r="S6" s="9">
        <v>2011</v>
      </c>
      <c r="T6" s="7"/>
      <c r="U6" s="7"/>
      <c r="V6" s="7"/>
      <c r="W6" s="7"/>
      <c r="X6" s="9"/>
      <c r="Y6" s="9"/>
      <c r="Z6" s="9"/>
      <c r="AA6" s="10"/>
      <c r="AD6" s="1">
        <f>AD5+1</f>
        <v>2023</v>
      </c>
      <c r="AE6" s="25">
        <f>AE5*(1+AF6)</f>
        <v>6446.6928000000016</v>
      </c>
      <c r="AF6" s="27">
        <v>0.08</v>
      </c>
    </row>
    <row r="7" spans="1:32" x14ac:dyDescent="0.25">
      <c r="E7" s="9">
        <v>2012</v>
      </c>
      <c r="F7" s="11">
        <v>5662</v>
      </c>
      <c r="G7" s="11"/>
      <c r="H7" s="12"/>
      <c r="I7" s="11"/>
      <c r="J7" s="11"/>
      <c r="K7" s="11"/>
      <c r="L7" s="11"/>
      <c r="M7" s="13"/>
      <c r="N7" s="13"/>
      <c r="S7" s="9">
        <v>2012</v>
      </c>
      <c r="T7" s="7"/>
      <c r="U7" s="7"/>
      <c r="V7" s="7"/>
      <c r="W7" s="7"/>
      <c r="X7" s="9"/>
      <c r="Y7" s="9"/>
      <c r="Z7" s="9"/>
      <c r="AA7" s="10"/>
      <c r="AD7" s="1">
        <f t="shared" ref="AD7:AD9" si="0">AD6+1</f>
        <v>2024</v>
      </c>
      <c r="AE7" s="25">
        <f t="shared" ref="AE7:AE9" si="1">AE6*(1+AF7)</f>
        <v>6962.428224000002</v>
      </c>
      <c r="AF7" s="27">
        <v>0.08</v>
      </c>
    </row>
    <row r="8" spans="1:32" x14ac:dyDescent="0.25">
      <c r="E8" s="9">
        <v>2013</v>
      </c>
      <c r="F8" s="11">
        <v>6727</v>
      </c>
      <c r="G8" s="11">
        <v>1544</v>
      </c>
      <c r="H8" s="12"/>
      <c r="I8" s="11"/>
      <c r="J8" s="11"/>
      <c r="K8" s="11"/>
      <c r="L8" s="11"/>
      <c r="M8" s="13"/>
      <c r="N8" s="13"/>
      <c r="S8" s="9">
        <v>2013</v>
      </c>
      <c r="T8" s="7">
        <v>1993</v>
      </c>
      <c r="U8" s="7">
        <v>-391</v>
      </c>
      <c r="V8" s="7">
        <v>-133</v>
      </c>
      <c r="W8" s="7">
        <f>SUM(T8:V8)</f>
        <v>1469</v>
      </c>
      <c r="X8" s="9"/>
      <c r="Y8" s="9"/>
      <c r="Z8" s="9"/>
      <c r="AA8" s="10"/>
      <c r="AD8" s="1">
        <f t="shared" si="0"/>
        <v>2025</v>
      </c>
      <c r="AE8" s="25">
        <f t="shared" si="1"/>
        <v>7519.4224819200026</v>
      </c>
      <c r="AF8" s="27">
        <v>0.08</v>
      </c>
    </row>
    <row r="9" spans="1:32" x14ac:dyDescent="0.25">
      <c r="E9" s="9">
        <v>2014</v>
      </c>
      <c r="F9" s="11">
        <v>8025</v>
      </c>
      <c r="G9" s="11">
        <v>1784</v>
      </c>
      <c r="H9" s="12">
        <f t="shared" ref="H9:H11" si="2">G9/G8-1</f>
        <v>0.15544041450777213</v>
      </c>
      <c r="I9" s="11">
        <v>115</v>
      </c>
      <c r="J9" s="11">
        <v>29</v>
      </c>
      <c r="K9" s="11"/>
      <c r="L9" s="11">
        <f t="shared" ref="L9:L14" si="3">K9+I9-J9</f>
        <v>86</v>
      </c>
      <c r="M9" s="13">
        <f t="shared" ref="M9:M14" si="4">L9/G9</f>
        <v>4.820627802690583E-2</v>
      </c>
      <c r="N9" s="13">
        <f t="shared" ref="N9:N14" si="5">(I9-J9)/G9</f>
        <v>4.820627802690583E-2</v>
      </c>
      <c r="S9" s="9">
        <v>2014</v>
      </c>
      <c r="T9" s="7">
        <v>2220</v>
      </c>
      <c r="U9" s="7">
        <v>-492</v>
      </c>
      <c r="V9" s="7">
        <v>-21</v>
      </c>
      <c r="W9" s="7">
        <f t="shared" ref="W9:W16" si="6">SUM(T9:V9)</f>
        <v>1707</v>
      </c>
      <c r="X9" s="9"/>
      <c r="Y9" s="9"/>
      <c r="Z9" s="9"/>
      <c r="AA9" s="10"/>
      <c r="AD9" s="1">
        <f>AD8+1</f>
        <v>2026</v>
      </c>
      <c r="AE9" s="25">
        <f t="shared" si="1"/>
        <v>8120.9762804736038</v>
      </c>
      <c r="AF9" s="27">
        <v>0.08</v>
      </c>
    </row>
    <row r="10" spans="1:32" x14ac:dyDescent="0.25">
      <c r="E10" s="9">
        <v>2015</v>
      </c>
      <c r="F10" s="11">
        <v>9248</v>
      </c>
      <c r="G10" s="11">
        <v>2069</v>
      </c>
      <c r="H10" s="12">
        <f t="shared" si="2"/>
        <v>0.1597533632286996</v>
      </c>
      <c r="I10" s="11">
        <v>145</v>
      </c>
      <c r="J10" s="11">
        <v>2018</v>
      </c>
      <c r="K10" s="11">
        <f>Z10*X10</f>
        <v>44163.08</v>
      </c>
      <c r="L10" s="11">
        <f t="shared" si="3"/>
        <v>42290.080000000002</v>
      </c>
      <c r="M10" s="13">
        <f t="shared" si="4"/>
        <v>20.439864668922187</v>
      </c>
      <c r="N10" s="13">
        <f t="shared" si="5"/>
        <v>-0.90526824552924123</v>
      </c>
      <c r="S10" s="9">
        <v>2015</v>
      </c>
      <c r="T10" s="7">
        <v>2546</v>
      </c>
      <c r="U10" s="7">
        <v>-722</v>
      </c>
      <c r="V10" s="7">
        <v>-862</v>
      </c>
      <c r="W10" s="7">
        <f t="shared" si="6"/>
        <v>962</v>
      </c>
      <c r="X10" s="5">
        <v>1222</v>
      </c>
      <c r="Y10" s="6">
        <f>W10/X10</f>
        <v>0.78723404255319152</v>
      </c>
      <c r="Z10" s="7">
        <v>36.14</v>
      </c>
      <c r="AA10" s="8">
        <f>Y10/Z10</f>
        <v>2.1782901011433081E-2</v>
      </c>
      <c r="AD10" t="s">
        <v>27</v>
      </c>
      <c r="AF10" s="29">
        <v>18</v>
      </c>
    </row>
    <row r="11" spans="1:32" x14ac:dyDescent="0.25">
      <c r="E11" s="9">
        <v>2016</v>
      </c>
      <c r="F11" s="11">
        <v>10842</v>
      </c>
      <c r="G11" s="11">
        <v>2310</v>
      </c>
      <c r="H11" s="12">
        <f t="shared" si="2"/>
        <v>0.11648139197680041</v>
      </c>
      <c r="I11" s="11">
        <v>192</v>
      </c>
      <c r="J11" s="11">
        <v>2285</v>
      </c>
      <c r="K11" s="11">
        <f t="shared" ref="K11:K15" si="7">Z11*X11</f>
        <v>47758.7</v>
      </c>
      <c r="L11" s="11">
        <f t="shared" si="3"/>
        <v>45665.7</v>
      </c>
      <c r="M11" s="13">
        <f t="shared" si="4"/>
        <v>19.768701298701298</v>
      </c>
      <c r="N11" s="13">
        <f t="shared" si="5"/>
        <v>-0.90606060606060601</v>
      </c>
      <c r="S11" s="9">
        <v>2016</v>
      </c>
      <c r="T11" s="7">
        <v>3158</v>
      </c>
      <c r="U11" s="7">
        <v>-669</v>
      </c>
      <c r="V11" s="7">
        <v>-21</v>
      </c>
      <c r="W11" s="7">
        <f t="shared" si="6"/>
        <v>2468</v>
      </c>
      <c r="X11" s="5">
        <v>1210</v>
      </c>
      <c r="Y11" s="6">
        <f>W11/X11</f>
        <v>2.0396694214876034</v>
      </c>
      <c r="Z11" s="7">
        <v>39.47</v>
      </c>
      <c r="AA11" s="8">
        <f t="shared" ref="AA11:AA15" si="8">Y11/Z11</f>
        <v>5.1676448479544043E-2</v>
      </c>
      <c r="AD11" t="s">
        <v>33</v>
      </c>
      <c r="AF11" s="17">
        <f>AE9*AF10</f>
        <v>146177.57304852488</v>
      </c>
    </row>
    <row r="12" spans="1:32" x14ac:dyDescent="0.25">
      <c r="E12" s="9">
        <v>2017</v>
      </c>
      <c r="F12" s="11">
        <v>13094</v>
      </c>
      <c r="G12" s="11">
        <v>2932</v>
      </c>
      <c r="H12" s="12">
        <f>G12/G11-1</f>
        <v>0.26926406926406932</v>
      </c>
      <c r="I12" s="11">
        <v>257</v>
      </c>
      <c r="J12" s="11">
        <v>2812</v>
      </c>
      <c r="K12" s="11">
        <f t="shared" si="7"/>
        <v>102639.95999999999</v>
      </c>
      <c r="L12" s="11">
        <f t="shared" si="3"/>
        <v>100084.95999999999</v>
      </c>
      <c r="M12" s="13">
        <f t="shared" si="4"/>
        <v>34.13538881309686</v>
      </c>
      <c r="N12" s="13">
        <f t="shared" si="5"/>
        <v>-0.87141882673942705</v>
      </c>
      <c r="S12" s="9">
        <v>2017</v>
      </c>
      <c r="T12" s="7">
        <v>2531</v>
      </c>
      <c r="U12" s="7">
        <v>-667</v>
      </c>
      <c r="V12" s="7">
        <v>820</v>
      </c>
      <c r="W12" s="7">
        <f t="shared" si="6"/>
        <v>2684</v>
      </c>
      <c r="X12" s="5">
        <v>1203</v>
      </c>
      <c r="Y12" s="6">
        <f t="shared" ref="Y12:Y16" si="9">W12/X12</f>
        <v>2.2310889443059021</v>
      </c>
      <c r="Z12" s="7">
        <v>85.32</v>
      </c>
      <c r="AA12" s="8">
        <f>Y12/Z12</f>
        <v>2.6149659450373914E-2</v>
      </c>
      <c r="AD12" s="30" t="s">
        <v>28</v>
      </c>
      <c r="AF12" s="17">
        <f>I16</f>
        <v>8049</v>
      </c>
    </row>
    <row r="13" spans="1:32" x14ac:dyDescent="0.25">
      <c r="E13" s="9">
        <v>2018</v>
      </c>
      <c r="F13" s="11">
        <v>15451</v>
      </c>
      <c r="G13" s="11">
        <v>2970</v>
      </c>
      <c r="H13" s="12">
        <f>G13/G12-1</f>
        <v>1.2960436562073685E-2</v>
      </c>
      <c r="I13" s="11">
        <v>281</v>
      </c>
      <c r="J13" s="11">
        <v>1534</v>
      </c>
      <c r="K13" s="11">
        <f t="shared" si="7"/>
        <v>105091.84000000001</v>
      </c>
      <c r="L13" s="11">
        <f t="shared" si="3"/>
        <v>103838.84000000001</v>
      </c>
      <c r="M13" s="13">
        <f t="shared" si="4"/>
        <v>34.962572390572397</v>
      </c>
      <c r="N13" s="13">
        <f t="shared" si="5"/>
        <v>-0.42188552188552186</v>
      </c>
      <c r="S13" s="9">
        <v>2018</v>
      </c>
      <c r="T13" s="7">
        <v>5483</v>
      </c>
      <c r="U13" s="7">
        <v>-823</v>
      </c>
      <c r="V13" s="7">
        <v>960</v>
      </c>
      <c r="W13" s="7">
        <f t="shared" si="6"/>
        <v>5620</v>
      </c>
      <c r="X13" s="5">
        <v>1184</v>
      </c>
      <c r="Y13" s="6">
        <f t="shared" si="9"/>
        <v>4.7466216216216219</v>
      </c>
      <c r="Z13" s="7">
        <v>88.76</v>
      </c>
      <c r="AA13" s="8">
        <f>Y13/Z13</f>
        <v>5.3477034943911914E-2</v>
      </c>
      <c r="AD13" s="30" t="s">
        <v>29</v>
      </c>
      <c r="AF13" s="36">
        <v>0</v>
      </c>
    </row>
    <row r="14" spans="1:32" x14ac:dyDescent="0.25">
      <c r="E14" s="9">
        <v>2019</v>
      </c>
      <c r="F14" s="11">
        <v>17772</v>
      </c>
      <c r="G14" s="11">
        <v>3631</v>
      </c>
      <c r="H14" s="12">
        <f>G14/G13-1</f>
        <v>0.22255892255892262</v>
      </c>
      <c r="I14" s="11">
        <v>5197</v>
      </c>
      <c r="J14" s="11">
        <v>3412</v>
      </c>
      <c r="K14" s="11">
        <f t="shared" si="7"/>
        <v>133706.86000000002</v>
      </c>
      <c r="L14" s="11">
        <f t="shared" si="3"/>
        <v>135491.86000000002</v>
      </c>
      <c r="M14" s="13">
        <f t="shared" si="4"/>
        <v>37.315301569815482</v>
      </c>
      <c r="N14" s="13">
        <f t="shared" si="5"/>
        <v>0.49160011016248967</v>
      </c>
      <c r="S14" s="9">
        <v>2019</v>
      </c>
      <c r="T14" s="7">
        <v>4071</v>
      </c>
      <c r="U14" s="7">
        <v>-704</v>
      </c>
      <c r="V14" s="7">
        <v>2955</v>
      </c>
      <c r="W14" s="7">
        <f t="shared" si="6"/>
        <v>6322</v>
      </c>
      <c r="X14" s="5">
        <v>1174</v>
      </c>
      <c r="Y14" s="6">
        <f t="shared" si="9"/>
        <v>5.385008517887564</v>
      </c>
      <c r="Z14" s="7">
        <v>113.89</v>
      </c>
      <c r="AA14" s="8">
        <f t="shared" si="8"/>
        <v>4.7282540327399807E-2</v>
      </c>
      <c r="AD14" t="s">
        <v>6</v>
      </c>
      <c r="AF14" s="17">
        <f>AF11-AF12+AF13</f>
        <v>138128.57304852488</v>
      </c>
    </row>
    <row r="15" spans="1:32" x14ac:dyDescent="0.25">
      <c r="E15" s="9">
        <v>2020</v>
      </c>
      <c r="F15" s="11">
        <v>21454</v>
      </c>
      <c r="G15" s="11">
        <v>4478</v>
      </c>
      <c r="H15" s="12">
        <f>G15/G14-1</f>
        <v>0.23326907188102441</v>
      </c>
      <c r="I15" s="11">
        <v>9191</v>
      </c>
      <c r="J15" s="11">
        <v>8289</v>
      </c>
      <c r="K15" s="11">
        <f t="shared" si="7"/>
        <v>274377.01</v>
      </c>
      <c r="L15" s="11">
        <f>K15+I15-J15</f>
        <v>275279.01</v>
      </c>
      <c r="M15" s="13">
        <f>L15/G15</f>
        <v>61.473651183564094</v>
      </c>
      <c r="N15" s="13">
        <f>(I15-J15)/G15</f>
        <v>0.20142920946851273</v>
      </c>
      <c r="S15" s="9">
        <v>2020</v>
      </c>
      <c r="T15" s="7">
        <v>5854</v>
      </c>
      <c r="U15" s="7">
        <v>-866</v>
      </c>
      <c r="V15" s="7">
        <v>3966</v>
      </c>
      <c r="W15" s="7">
        <f t="shared" si="6"/>
        <v>8954</v>
      </c>
      <c r="X15" s="5">
        <v>1171</v>
      </c>
      <c r="Y15" s="6">
        <f t="shared" si="9"/>
        <v>7.6464560204953029</v>
      </c>
      <c r="Z15" s="7">
        <v>234.31</v>
      </c>
      <c r="AA15" s="8">
        <f t="shared" si="8"/>
        <v>3.2633929497227189E-2</v>
      </c>
      <c r="AD15" t="s">
        <v>30</v>
      </c>
      <c r="AF15" s="31">
        <f>X16</f>
        <v>1168</v>
      </c>
    </row>
    <row r="16" spans="1:32" x14ac:dyDescent="0.25">
      <c r="E16" s="9">
        <v>2021</v>
      </c>
      <c r="F16" s="14">
        <v>25371</v>
      </c>
      <c r="G16" s="14">
        <f>4262+1265</f>
        <v>5527</v>
      </c>
      <c r="H16" s="12">
        <f t="shared" ref="H16" si="10">G16/G15-1</f>
        <v>0.23425636444841458</v>
      </c>
      <c r="I16" s="4">
        <f>8049</f>
        <v>8049</v>
      </c>
      <c r="J16" s="11">
        <v>0</v>
      </c>
      <c r="K16" s="7">
        <f>X16*Z16</f>
        <v>116380.68823360001</v>
      </c>
      <c r="L16" s="7">
        <f>K16+I16-J16</f>
        <v>124429.68823360001</v>
      </c>
      <c r="M16" s="21">
        <f>L16/G16</f>
        <v>22.513061015668537</v>
      </c>
      <c r="N16" s="22">
        <f>I16/G16</f>
        <v>1.456305409806405</v>
      </c>
      <c r="S16" s="9">
        <f>S15+1</f>
        <v>2021</v>
      </c>
      <c r="T16" s="15">
        <v>6340</v>
      </c>
      <c r="U16" s="15">
        <v>-908</v>
      </c>
      <c r="V16" s="7">
        <v>-361</v>
      </c>
      <c r="W16" s="7">
        <f t="shared" si="6"/>
        <v>5071</v>
      </c>
      <c r="X16" s="5">
        <v>1168</v>
      </c>
      <c r="Y16" s="6">
        <f t="shared" si="9"/>
        <v>4.341609589041096</v>
      </c>
      <c r="Z16" s="7">
        <v>99.641000200000008</v>
      </c>
      <c r="AA16" s="8">
        <f>Y16/Z16</f>
        <v>4.3572521154209523E-2</v>
      </c>
      <c r="AD16" t="s">
        <v>34</v>
      </c>
      <c r="AF16" s="28">
        <f>AF14/AF15</f>
        <v>118.2607645963398</v>
      </c>
    </row>
    <row r="17" spans="5:32" x14ac:dyDescent="0.25">
      <c r="E17" s="3"/>
      <c r="F17" s="3"/>
      <c r="G17" s="3"/>
      <c r="H17" s="3"/>
      <c r="I17" s="3"/>
      <c r="J17" s="3"/>
      <c r="K17" s="3"/>
      <c r="L17" s="3"/>
      <c r="M17" s="3"/>
      <c r="N17" s="3"/>
      <c r="S17" s="3"/>
      <c r="T17" s="3"/>
      <c r="U17" s="3"/>
      <c r="V17" s="3"/>
      <c r="W17" s="3"/>
      <c r="X17" s="3"/>
      <c r="Y17" s="3"/>
      <c r="Z17" s="3"/>
      <c r="AA17" s="3"/>
    </row>
    <row r="18" spans="5:32" x14ac:dyDescent="0.25">
      <c r="E18" s="3"/>
      <c r="F18" s="10">
        <f>(F16/F7)^(1/(E16-E7))-1</f>
        <v>0.18133804635160633</v>
      </c>
      <c r="G18" s="10"/>
      <c r="H18" s="23">
        <f>AVERAGE(H9:H16)</f>
        <v>0.17549800430347209</v>
      </c>
      <c r="I18" s="9"/>
      <c r="J18" s="9"/>
      <c r="K18" s="10">
        <f>(K16/K10)^(1/(E16-E10))-1</f>
        <v>0.1752680444257444</v>
      </c>
      <c r="L18" s="10">
        <f>(L16/L9)^(1/(E16-E9))-1</f>
        <v>1.8280648628291813</v>
      </c>
      <c r="M18" s="6">
        <f>AVERAGE(M10:M16)</f>
        <v>32.944077277191553</v>
      </c>
      <c r="N18" s="24">
        <f>AVERAGE(N9:N16)</f>
        <v>-0.11338652409381036</v>
      </c>
      <c r="O18" s="1"/>
      <c r="P18" s="1"/>
      <c r="Q18" s="1"/>
      <c r="R18" s="1"/>
      <c r="S18" s="9"/>
      <c r="T18" s="10">
        <f>(T16/T8)^(1/($S$16-$S$8))-1</f>
        <v>0.15564047709233586</v>
      </c>
      <c r="U18" s="10">
        <f t="shared" ref="U18" si="11">(U16/U8)^(1/(T16-T8))-1</f>
        <v>1.9383907850434312E-4</v>
      </c>
      <c r="V18" s="9"/>
      <c r="W18" s="10">
        <f>(W16/W8)^(1/($S$16-$S$8))-1</f>
        <v>0.16750561205957992</v>
      </c>
      <c r="X18" s="10">
        <f>(X16/X10)^(1/(E16-E10))-1</f>
        <v>-7.5043633212386052E-3</v>
      </c>
      <c r="Y18" s="9"/>
      <c r="Z18" s="9"/>
      <c r="AA18" s="23">
        <f>AVERAGE(AA10:AA16)</f>
        <v>3.9510719266299919E-2</v>
      </c>
      <c r="AD18" s="34" t="s">
        <v>10</v>
      </c>
      <c r="AE18" s="34" t="s">
        <v>14</v>
      </c>
      <c r="AF18" s="34" t="s">
        <v>31</v>
      </c>
    </row>
    <row r="19" spans="5:32" x14ac:dyDescent="0.25">
      <c r="AD19" s="1">
        <f>2022</f>
        <v>2022</v>
      </c>
      <c r="AE19" s="25">
        <f>W16</f>
        <v>5071</v>
      </c>
      <c r="AF19" s="26">
        <v>0.08</v>
      </c>
    </row>
    <row r="20" spans="5:32" x14ac:dyDescent="0.25">
      <c r="AD20" s="37">
        <f>AD19+1</f>
        <v>2023</v>
      </c>
      <c r="AE20" s="25">
        <f>AE19*(1+AF20)</f>
        <v>5476.68</v>
      </c>
      <c r="AF20" s="26">
        <v>0.08</v>
      </c>
    </row>
    <row r="21" spans="5:32" x14ac:dyDescent="0.25">
      <c r="AD21" s="37">
        <f t="shared" ref="AD21:AD23" si="12">AD20+1</f>
        <v>2024</v>
      </c>
      <c r="AE21" s="25">
        <f t="shared" ref="AE21:AE23" si="13">AE20*(1+AF21)</f>
        <v>5914.8144000000011</v>
      </c>
      <c r="AF21" s="26">
        <v>0.08</v>
      </c>
    </row>
    <row r="22" spans="5:32" x14ac:dyDescent="0.25">
      <c r="AD22" s="37">
        <f t="shared" si="12"/>
        <v>2025</v>
      </c>
      <c r="AE22" s="25">
        <f t="shared" si="13"/>
        <v>6387.999552000002</v>
      </c>
      <c r="AF22" s="26">
        <v>0.08</v>
      </c>
    </row>
    <row r="23" spans="5:32" x14ac:dyDescent="0.25">
      <c r="AD23" s="37">
        <f t="shared" si="12"/>
        <v>2026</v>
      </c>
      <c r="AE23" s="25">
        <f t="shared" si="13"/>
        <v>6899.0395161600027</v>
      </c>
      <c r="AF23" s="26">
        <v>0.08</v>
      </c>
    </row>
    <row r="24" spans="5:32" x14ac:dyDescent="0.25">
      <c r="AD24" s="32" t="s">
        <v>32</v>
      </c>
      <c r="AE24" s="1"/>
      <c r="AF24" s="26">
        <v>0.04</v>
      </c>
    </row>
    <row r="25" spans="5:32" x14ac:dyDescent="0.25">
      <c r="AD25" s="32" t="s">
        <v>33</v>
      </c>
      <c r="AE25" s="1"/>
      <c r="AF25" s="38">
        <f>AE23/AF24</f>
        <v>172475.98790400007</v>
      </c>
    </row>
    <row r="26" spans="5:32" x14ac:dyDescent="0.25">
      <c r="AD26" s="30" t="s">
        <v>28</v>
      </c>
      <c r="AE26" s="1"/>
      <c r="AF26" s="25">
        <f>I16</f>
        <v>8049</v>
      </c>
    </row>
    <row r="27" spans="5:32" x14ac:dyDescent="0.25">
      <c r="AD27" s="30" t="s">
        <v>29</v>
      </c>
      <c r="AE27" s="1"/>
      <c r="AF27" s="39">
        <f>J16</f>
        <v>0</v>
      </c>
    </row>
    <row r="28" spans="5:32" x14ac:dyDescent="0.25">
      <c r="AD28" s="32" t="s">
        <v>6</v>
      </c>
      <c r="AE28" s="1"/>
      <c r="AF28" s="38">
        <f>AF25-AF26+AF27</f>
        <v>164426.98790400007</v>
      </c>
    </row>
    <row r="29" spans="5:32" x14ac:dyDescent="0.25">
      <c r="AD29" s="32" t="s">
        <v>30</v>
      </c>
      <c r="AE29" s="1"/>
      <c r="AF29" s="40">
        <f>X16</f>
        <v>1168</v>
      </c>
    </row>
    <row r="30" spans="5:32" x14ac:dyDescent="0.25">
      <c r="AD30" s="32" t="s">
        <v>34</v>
      </c>
      <c r="AE30" s="1"/>
      <c r="AF30" s="38">
        <f>AF28/AF29</f>
        <v>140.7765307397261</v>
      </c>
    </row>
  </sheetData>
  <conditionalFormatting sqref="H15:H16 J16 F5:N15">
    <cfRule type="notContainsErrors" dxfId="0" priority="1">
      <formula>NOT(ISERROR(F5))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D1CA3-F0FC-4232-9A87-9B37EA48FD24}">
  <dimension ref="A3:B6"/>
  <sheetViews>
    <sheetView workbookViewId="0">
      <selection activeCell="B5" sqref="B5"/>
    </sheetView>
  </sheetViews>
  <sheetFormatPr defaultRowHeight="15" x14ac:dyDescent="0.25"/>
  <cols>
    <col min="1" max="1" width="13.140625" bestFit="1" customWidth="1"/>
    <col min="2" max="2" width="19.5703125" bestFit="1" customWidth="1"/>
  </cols>
  <sheetData>
    <row r="3" spans="1:2" x14ac:dyDescent="0.25">
      <c r="A3" s="19" t="s">
        <v>22</v>
      </c>
      <c r="B3" t="s">
        <v>26</v>
      </c>
    </row>
    <row r="4" spans="1:2" x14ac:dyDescent="0.25">
      <c r="A4" s="20" t="s">
        <v>24</v>
      </c>
      <c r="B4" s="18">
        <v>202.01999900000001</v>
      </c>
    </row>
    <row r="5" spans="1:2" x14ac:dyDescent="0.25">
      <c r="A5" s="20" t="s">
        <v>25</v>
      </c>
      <c r="B5" s="18">
        <v>99.641000200000008</v>
      </c>
    </row>
    <row r="6" spans="1:2" x14ac:dyDescent="0.25">
      <c r="A6" s="20" t="s">
        <v>23</v>
      </c>
      <c r="B6" s="18">
        <v>123.26692299999999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9D5AB-1CA8-4F57-9AD9-55A4A62468FA}">
  <dimension ref="A1:E14"/>
  <sheetViews>
    <sheetView workbookViewId="0">
      <selection activeCell="B6" sqref="B6"/>
    </sheetView>
  </sheetViews>
  <sheetFormatPr defaultRowHeight="15" x14ac:dyDescent="0.25"/>
  <cols>
    <col min="1" max="1" width="10" bestFit="1" customWidth="1"/>
    <col min="2" max="2" width="11.5703125" bestFit="1" customWidth="1"/>
    <col min="3" max="3" width="13.7109375" bestFit="1" customWidth="1"/>
    <col min="4" max="6" width="11.5703125" bestFit="1" customWidth="1"/>
    <col min="7" max="7" width="13.7109375" bestFit="1" customWidth="1"/>
  </cols>
  <sheetData>
    <row r="1" spans="1:5" x14ac:dyDescent="0.25">
      <c r="A1" t="s">
        <v>19</v>
      </c>
      <c r="B1" t="s">
        <v>20</v>
      </c>
      <c r="C1" t="s">
        <v>21</v>
      </c>
    </row>
    <row r="2" spans="1:5" x14ac:dyDescent="0.25">
      <c r="A2" s="16">
        <v>44470</v>
      </c>
      <c r="B2" s="17">
        <v>232.58999600000001</v>
      </c>
      <c r="C2" s="17">
        <v>250443900</v>
      </c>
      <c r="D2" s="17"/>
      <c r="E2" s="17"/>
    </row>
    <row r="3" spans="1:5" x14ac:dyDescent="0.25">
      <c r="A3" s="16">
        <v>44501</v>
      </c>
      <c r="B3" s="17">
        <v>184.88999899999999</v>
      </c>
      <c r="C3" s="17">
        <v>434862600</v>
      </c>
      <c r="D3" s="17"/>
      <c r="E3" s="17"/>
    </row>
    <row r="4" spans="1:5" x14ac:dyDescent="0.25">
      <c r="A4" s="16">
        <v>44531</v>
      </c>
      <c r="B4" s="17">
        <v>188.58000200000001</v>
      </c>
      <c r="C4" s="17">
        <v>276431400</v>
      </c>
      <c r="D4" s="17"/>
      <c r="E4" s="17"/>
    </row>
    <row r="5" spans="1:5" x14ac:dyDescent="0.25">
      <c r="A5" s="16">
        <v>44562</v>
      </c>
      <c r="B5" s="17">
        <v>171.94000199999999</v>
      </c>
      <c r="C5" s="17">
        <v>285485800</v>
      </c>
      <c r="D5" s="17"/>
      <c r="E5" s="17"/>
    </row>
    <row r="6" spans="1:5" x14ac:dyDescent="0.25">
      <c r="A6" s="16">
        <v>44593</v>
      </c>
      <c r="B6" s="17">
        <v>111.93</v>
      </c>
      <c r="C6" s="17">
        <v>671591400</v>
      </c>
      <c r="D6" s="17"/>
      <c r="E6" s="17"/>
    </row>
    <row r="7" spans="1:5" x14ac:dyDescent="0.25">
      <c r="A7" s="16">
        <v>44621</v>
      </c>
      <c r="B7" s="17">
        <v>115.650002</v>
      </c>
      <c r="C7" s="17">
        <v>434443300</v>
      </c>
      <c r="D7" s="17"/>
      <c r="E7" s="17"/>
    </row>
    <row r="8" spans="1:5" x14ac:dyDescent="0.25">
      <c r="A8" s="16">
        <v>44652</v>
      </c>
      <c r="B8" s="17">
        <v>87.93</v>
      </c>
      <c r="C8" s="17">
        <v>372294900</v>
      </c>
      <c r="D8" s="17"/>
      <c r="E8" s="17"/>
    </row>
    <row r="9" spans="1:5" x14ac:dyDescent="0.25">
      <c r="A9" s="16">
        <v>44682</v>
      </c>
      <c r="B9" s="17">
        <v>85.209998999999996</v>
      </c>
      <c r="C9" s="17">
        <v>380219000</v>
      </c>
      <c r="D9" s="17"/>
      <c r="E9" s="17"/>
    </row>
    <row r="10" spans="1:5" x14ac:dyDescent="0.25">
      <c r="A10" s="16">
        <v>44713</v>
      </c>
      <c r="B10" s="17">
        <v>69.839995999999999</v>
      </c>
      <c r="C10" s="17">
        <v>318416300</v>
      </c>
      <c r="D10" s="17"/>
      <c r="E10" s="17"/>
    </row>
    <row r="11" spans="1:5" x14ac:dyDescent="0.25">
      <c r="A11" s="16">
        <v>44743</v>
      </c>
      <c r="B11" s="17">
        <v>86.529999000000004</v>
      </c>
      <c r="C11" s="17">
        <v>263032100</v>
      </c>
      <c r="D11" s="17"/>
      <c r="E11" s="17"/>
    </row>
    <row r="12" spans="1:5" x14ac:dyDescent="0.25">
      <c r="A12" s="16">
        <v>44774</v>
      </c>
      <c r="B12" s="17">
        <v>93.440002000000007</v>
      </c>
      <c r="C12" s="17">
        <v>340392900</v>
      </c>
      <c r="D12" s="17"/>
      <c r="E12" s="17"/>
    </row>
    <row r="13" spans="1:5" x14ac:dyDescent="0.25">
      <c r="A13" s="16">
        <v>44805</v>
      </c>
      <c r="B13" s="17">
        <v>86.970000999999996</v>
      </c>
      <c r="C13" s="17">
        <v>200456500</v>
      </c>
      <c r="D13" s="17"/>
      <c r="E13" s="17"/>
    </row>
    <row r="14" spans="1:5" x14ac:dyDescent="0.25">
      <c r="A14" s="16">
        <v>44827</v>
      </c>
      <c r="B14" s="17">
        <v>86.970000999999996</v>
      </c>
      <c r="C14" s="17">
        <v>12175885</v>
      </c>
      <c r="D14" s="17"/>
      <c r="E14" s="1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PYPL</vt:lpstr>
      <vt:lpstr>Sheet2</vt:lpstr>
      <vt:lpstr>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Tido</dc:creator>
  <cp:lastModifiedBy>Theodor Hogan</cp:lastModifiedBy>
  <cp:lastPrinted>2022-09-26T10:09:08Z</cp:lastPrinted>
  <dcterms:created xsi:type="dcterms:W3CDTF">2021-11-23T18:14:36Z</dcterms:created>
  <dcterms:modified xsi:type="dcterms:W3CDTF">2022-09-26T16:27:46Z</dcterms:modified>
</cp:coreProperties>
</file>