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Stocks 10ks/"/>
    </mc:Choice>
  </mc:AlternateContent>
  <xr:revisionPtr revIDLastSave="441" documentId="11_F25DC773A252ABDACC10487EA91866DC5BDE58E7" xr6:coauthVersionLast="47" xr6:coauthVersionMax="47" xr10:uidLastSave="{B75BF5A0-C611-4611-A03B-BA44E0FD8AEA}"/>
  <bookViews>
    <workbookView xWindow="-108" yWindow="-108" windowWidth="23256" windowHeight="12456" xr2:uid="{00000000-000D-0000-FFFF-FFFF00000000}"/>
  </bookViews>
  <sheets>
    <sheet name="Sheet1" sheetId="1" r:id="rId1"/>
    <sheet name="Sheet3" sheetId="3" r:id="rId2"/>
    <sheet name="ENPH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" i="1" l="1"/>
  <c r="Z12" i="1"/>
  <c r="Z10" i="1"/>
  <c r="Z9" i="1"/>
  <c r="M12" i="1"/>
  <c r="M22" i="1"/>
  <c r="M20" i="1"/>
  <c r="AA5" i="1"/>
  <c r="N32" i="1"/>
  <c r="O32" i="1" s="1"/>
  <c r="P32" i="1" s="1"/>
  <c r="Q32" i="1" s="1"/>
  <c r="R32" i="1" s="1"/>
  <c r="S32" i="1" s="1"/>
  <c r="T32" i="1" s="1"/>
  <c r="U32" i="1" s="1"/>
  <c r="V32" i="1" s="1"/>
  <c r="W32" i="1" s="1"/>
  <c r="AA17" i="1" s="1"/>
  <c r="AA19" i="1" s="1"/>
  <c r="AA25" i="1" s="1"/>
  <c r="M32" i="1"/>
  <c r="N6" i="1"/>
  <c r="O6" i="1" s="1"/>
  <c r="P6" i="1" s="1"/>
  <c r="Q6" i="1" s="1"/>
  <c r="R6" i="1" s="1"/>
  <c r="S6" i="1" s="1"/>
  <c r="T6" i="1" s="1"/>
  <c r="U6" i="1" s="1"/>
  <c r="V6" i="1" s="1"/>
  <c r="W6" i="1" s="1"/>
  <c r="AA6" i="1" s="1"/>
  <c r="AA8" i="1" s="1"/>
  <c r="AA11" i="1" s="1"/>
  <c r="P3" i="1"/>
  <c r="Q3" i="1" s="1"/>
  <c r="R3" i="1" s="1"/>
  <c r="S3" i="1" s="1"/>
  <c r="T3" i="1" s="1"/>
  <c r="U3" i="1" s="1"/>
  <c r="V3" i="1" s="1"/>
  <c r="W3" i="1" s="1"/>
  <c r="O3" i="1"/>
  <c r="N3" i="1"/>
  <c r="M36" i="1"/>
  <c r="M34" i="1"/>
  <c r="M30" i="1"/>
  <c r="M28" i="1"/>
  <c r="M24" i="1"/>
  <c r="M18" i="1"/>
  <c r="M16" i="1"/>
  <c r="M14" i="1"/>
  <c r="M10" i="1"/>
  <c r="M6" i="1"/>
  <c r="M4" i="1"/>
  <c r="M8" i="1"/>
  <c r="L8" i="1"/>
  <c r="K8" i="1"/>
  <c r="J8" i="1"/>
  <c r="I8" i="1"/>
  <c r="H8" i="1"/>
  <c r="G8" i="1"/>
  <c r="F8" i="1"/>
  <c r="E8" i="1"/>
  <c r="D8" i="1"/>
  <c r="L16" i="1"/>
  <c r="K16" i="1"/>
  <c r="J16" i="1"/>
  <c r="I16" i="1"/>
  <c r="H16" i="1"/>
  <c r="G16" i="1"/>
  <c r="F16" i="1"/>
  <c r="F18" i="1" s="1"/>
  <c r="E16" i="1"/>
  <c r="E18" i="1" s="1"/>
  <c r="D16" i="1"/>
  <c r="C16" i="1"/>
  <c r="D4" i="3" a="1"/>
  <c r="D4" i="3" s="1"/>
  <c r="H30" i="1"/>
  <c r="H32" i="1" s="1"/>
  <c r="H36" i="1" s="1"/>
  <c r="G30" i="1"/>
  <c r="G32" i="1" s="1"/>
  <c r="G36" i="1" s="1"/>
  <c r="F30" i="1"/>
  <c r="F32" i="1" s="1"/>
  <c r="F36" i="1" s="1"/>
  <c r="E30" i="1"/>
  <c r="E32" i="1" s="1"/>
  <c r="E36" i="1" s="1"/>
  <c r="D30" i="1"/>
  <c r="D32" i="1" s="1"/>
  <c r="D36" i="1" s="1"/>
  <c r="C28" i="1"/>
  <c r="C30" i="1" s="1"/>
  <c r="C32" i="1" s="1"/>
  <c r="C36" i="1" s="1"/>
  <c r="C6" i="1"/>
  <c r="C22" i="1" s="1"/>
  <c r="C10" i="1"/>
  <c r="D10" i="1"/>
  <c r="D6" i="1"/>
  <c r="D22" i="1" s="1"/>
  <c r="E6" i="1"/>
  <c r="E22" i="1" s="1"/>
  <c r="F6" i="1"/>
  <c r="F22" i="1" s="1"/>
  <c r="G6" i="1"/>
  <c r="G12" i="1"/>
  <c r="H12" i="1"/>
  <c r="I28" i="1"/>
  <c r="I30" i="1" s="1"/>
  <c r="I32" i="1" s="1"/>
  <c r="I36" i="1" s="1"/>
  <c r="H6" i="1"/>
  <c r="I6" i="1"/>
  <c r="I12" i="1"/>
  <c r="J12" i="1"/>
  <c r="J10" i="1"/>
  <c r="J28" i="1"/>
  <c r="J30" i="1" s="1"/>
  <c r="J32" i="1" s="1"/>
  <c r="J36" i="1" s="1"/>
  <c r="K28" i="1"/>
  <c r="K30" i="1" s="1"/>
  <c r="K32" i="1" s="1"/>
  <c r="K36" i="1" s="1"/>
  <c r="L28" i="1"/>
  <c r="L30" i="1" s="1"/>
  <c r="L32" i="1" s="1"/>
  <c r="L36" i="1" s="1"/>
  <c r="J6" i="1"/>
  <c r="K6" i="1"/>
  <c r="L6" i="1"/>
  <c r="K12" i="1"/>
  <c r="L12" i="1"/>
  <c r="L22" i="1" s="1"/>
  <c r="L10" i="1"/>
  <c r="D3" i="1"/>
  <c r="E3" i="1" s="1"/>
  <c r="F3" i="1" s="1"/>
  <c r="G3" i="1" s="1"/>
  <c r="H3" i="1" s="1"/>
  <c r="I3" i="1" s="1"/>
  <c r="J3" i="1" s="1"/>
  <c r="K3" i="1" s="1"/>
  <c r="L3" i="1" s="1"/>
  <c r="AA13" i="1" l="1"/>
  <c r="AA24" i="1" s="1"/>
  <c r="AA26" i="1"/>
  <c r="AA27" i="1" s="1"/>
  <c r="Z17" i="1"/>
  <c r="Z19" i="1" s="1"/>
  <c r="Z25" i="1" s="1"/>
  <c r="Z6" i="1"/>
  <c r="Z8" i="1" s="1"/>
  <c r="Z11" i="1" s="1"/>
  <c r="Z13" i="1" s="1"/>
  <c r="Z24" i="1" s="1"/>
  <c r="G22" i="1"/>
  <c r="G18" i="1"/>
  <c r="G20" i="1" s="1"/>
  <c r="F20" i="1"/>
  <c r="I22" i="1"/>
  <c r="I18" i="1"/>
  <c r="K22" i="1"/>
  <c r="J18" i="1"/>
  <c r="J20" i="1" s="1"/>
  <c r="I20" i="1"/>
  <c r="H22" i="1"/>
  <c r="C18" i="1"/>
  <c r="C20" i="1" s="1"/>
  <c r="K18" i="1"/>
  <c r="K20" i="1" s="1"/>
  <c r="J22" i="1"/>
  <c r="D18" i="1"/>
  <c r="D20" i="1" s="1"/>
  <c r="L18" i="1"/>
  <c r="L20" i="1" s="1"/>
  <c r="E20" i="1"/>
  <c r="H18" i="1"/>
  <c r="H20" i="1" s="1"/>
  <c r="Z26" i="1" l="1"/>
  <c r="Z2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<sst xmlns="http://schemas.openxmlformats.org/spreadsheetml/2006/main" count="59" uniqueCount="49">
  <si>
    <t>Ticker</t>
  </si>
  <si>
    <t>ENPH</t>
  </si>
  <si>
    <t>Date</t>
  </si>
  <si>
    <t>24/10/2022</t>
  </si>
  <si>
    <t xml:space="preserve">Revenue </t>
  </si>
  <si>
    <t>EBITDA</t>
  </si>
  <si>
    <t>Excess Cash</t>
  </si>
  <si>
    <t>ST + LT Debt</t>
  </si>
  <si>
    <t>CS Outstanding</t>
  </si>
  <si>
    <t>Market Cap</t>
  </si>
  <si>
    <t>EV</t>
  </si>
  <si>
    <t>EV/EBITDA</t>
  </si>
  <si>
    <t>Net Debt/EBITDA</t>
  </si>
  <si>
    <t>CFO</t>
  </si>
  <si>
    <t>CapEx</t>
  </si>
  <si>
    <t>Debt Issuance</t>
  </si>
  <si>
    <t>FCFE</t>
  </si>
  <si>
    <t>FCFE/SHR</t>
  </si>
  <si>
    <t>$/SHR</t>
  </si>
  <si>
    <t>FCFE Yield</t>
  </si>
  <si>
    <t>Adj Close</t>
  </si>
  <si>
    <t>Row Labels</t>
  </si>
  <si>
    <t>Grand Total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</si>
  <si>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</si>
  <si>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</si>
  <si>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</si>
  <si>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</si>
  <si>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</si>
  <si>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</si>
  <si>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</si>
  <si>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</si>
  <si>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</si>
  <si>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</si>
  <si>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</si>
  <si>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Average of Adj Close</t>
  </si>
  <si>
    <t>AVG/CARG</t>
  </si>
  <si>
    <t>EBITDA Multiple Method</t>
  </si>
  <si>
    <t>Year</t>
  </si>
  <si>
    <t>Multiple</t>
  </si>
  <si>
    <t>Less Debt</t>
  </si>
  <si>
    <t>Add Cash</t>
  </si>
  <si>
    <t>CS Oustanding</t>
  </si>
  <si>
    <t>FCFE Yield Method</t>
  </si>
  <si>
    <t>Return Calculation</t>
  </si>
  <si>
    <t>EBITDA x</t>
  </si>
  <si>
    <t>FCFE y</t>
  </si>
  <si>
    <t>Average</t>
  </si>
  <si>
    <t>Current $/SHR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</si>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</sst>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164" formatCode="_(&quot;$&quot;* #,##0.00_);_(&quot;$&quot;* \(#,##0.00\);_(&quot;$&quot;* &quot;-&quot;_);_(@_)"/>
    <numFmt numFmtId="165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4" fillId="0" borderId="0" xfId="0" applyFont="1"/>
    <xf numFmtId="42" fontId="0" fillId="0" borderId="0" xfId="0" applyNumberFormat="1"/>
    <xf numFmtId="41" fontId="0" fillId="0" borderId="0" xfId="0" applyNumberFormat="1"/>
    <xf numFmtId="0" fontId="1" fillId="3" borderId="0" xfId="0" applyFont="1" applyFill="1" applyAlignment="1">
      <alignment horizontal="center"/>
    </xf>
    <xf numFmtId="9" fontId="5" fillId="0" borderId="0" xfId="1" applyFont="1" applyAlignment="1">
      <alignment horizontal="center"/>
    </xf>
    <xf numFmtId="9" fontId="6" fillId="0" borderId="0" xfId="1" applyFont="1"/>
    <xf numFmtId="42" fontId="4" fillId="0" borderId="0" xfId="0" applyNumberFormat="1" applyFont="1" applyAlignment="1">
      <alignment horizontal="center"/>
    </xf>
    <xf numFmtId="42" fontId="4" fillId="0" borderId="0" xfId="0" applyNumberFormat="1" applyFont="1"/>
    <xf numFmtId="164" fontId="0" fillId="0" borderId="0" xfId="0" applyNumberFormat="1"/>
    <xf numFmtId="164" fontId="4" fillId="0" borderId="0" xfId="0" applyNumberFormat="1" applyFont="1"/>
    <xf numFmtId="9" fontId="5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9" fontId="7" fillId="0" borderId="0" xfId="0" applyNumberFormat="1" applyFont="1" applyAlignment="1">
      <alignment horizontal="center"/>
    </xf>
    <xf numFmtId="44" fontId="0" fillId="0" borderId="0" xfId="0" applyNumberFormat="1"/>
    <xf numFmtId="2" fontId="0" fillId="5" borderId="0" xfId="0" applyNumberFormat="1" applyFill="1"/>
    <xf numFmtId="165" fontId="0" fillId="0" borderId="0" xfId="0" applyNumberFormat="1"/>
    <xf numFmtId="42" fontId="0" fillId="0" borderId="0" xfId="0" applyNumberFormat="1" applyAlignment="1">
      <alignment horizontal="center"/>
    </xf>
    <xf numFmtId="0" fontId="4" fillId="6" borderId="0" xfId="0" applyFont="1" applyFill="1"/>
    <xf numFmtId="0" fontId="4" fillId="6" borderId="0" xfId="0" applyFont="1" applyFill="1" applyAlignment="1">
      <alignment horizontal="center"/>
    </xf>
    <xf numFmtId="0" fontId="0" fillId="6" borderId="0" xfId="0" applyFill="1"/>
    <xf numFmtId="42" fontId="0" fillId="6" borderId="0" xfId="0" applyNumberFormat="1" applyFill="1"/>
    <xf numFmtId="1" fontId="7" fillId="6" borderId="0" xfId="0" applyNumberFormat="1" applyFont="1" applyFill="1" applyAlignment="1">
      <alignment horizontal="center"/>
    </xf>
    <xf numFmtId="165" fontId="0" fillId="6" borderId="0" xfId="0" applyNumberFormat="1" applyFill="1"/>
    <xf numFmtId="44" fontId="0" fillId="6" borderId="0" xfId="0" applyNumberFormat="1" applyFill="1"/>
    <xf numFmtId="9" fontId="7" fillId="6" borderId="0" xfId="0" applyNumberFormat="1" applyFont="1" applyFill="1" applyAlignment="1">
      <alignment horizontal="center"/>
    </xf>
    <xf numFmtId="9" fontId="0" fillId="6" borderId="0" xfId="1" applyFont="1" applyFill="1"/>
    <xf numFmtId="0" fontId="4" fillId="0" borderId="1" xfId="0" applyFont="1" applyBorder="1" applyAlignment="1">
      <alignment horizontal="center"/>
    </xf>
    <xf numFmtId="42" fontId="0" fillId="6" borderId="0" xfId="0" applyNumberFormat="1" applyFill="1"/>
    <xf numFmtId="42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4" fillId="7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do" refreshedDate="44862.481858217594" createdVersion="8" refreshedVersion="8" minRefreshableVersion="3" recordCount="128" xr:uid="{DE554846-DA2D-4B8B-890B-5955BAFFE4D5}">
  <cacheSource type="worksheet">
    <worksheetSource ref="A1:B129" sheet="ENPH"/>
  </cacheSource>
  <cacheFields count="4">
    <cacheField name="Date" numFmtId="14">
      <sharedItems containsSemiMixedTypes="0" containsNonDate="0" containsDate="1" containsString="0" minDate="2012-04-01T00:00:00" maxDate="2022-10-28T00:00:00" count="128"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0-27T00:00:00"/>
      </sharedItems>
      <fieldGroup par="3" base="0">
        <rangePr groupBy="months" startDate="2012-04-01T00:00:00" endDate="2022-10-28T00:00:00"/>
        <groupItems count="14">
          <s v="&lt;4/1/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8/2022"/>
        </groupItems>
      </fieldGroup>
    </cacheField>
    <cacheField name="Adj Close" numFmtId="0">
      <sharedItems containsSemiMixedTypes="0" containsString="0" containsNumber="1" minValue="0.76" maxValue="306.07998700000002"/>
    </cacheField>
    <cacheField name="Quarters" numFmtId="0" databaseField="0">
      <fieldGroup base="0">
        <rangePr groupBy="quarters" startDate="2012-04-01T00:00:00" endDate="2022-10-28T00:00:00"/>
        <groupItems count="6">
          <s v="&lt;4/1/2012"/>
          <s v="Qtr1"/>
          <s v="Qtr2"/>
          <s v="Qtr3"/>
          <s v="Qtr4"/>
          <s v="&gt;10/28/2022"/>
        </groupItems>
      </fieldGroup>
    </cacheField>
    <cacheField name="Years" numFmtId="0" databaseField="0">
      <fieldGroup base="0">
        <rangePr groupBy="years" startDate="2012-04-01T00:00:00" endDate="2022-10-28T00:00:00"/>
        <groupItems count="13">
          <s v="&lt;4/1/2012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&gt;10/28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x v="0"/>
    <n v="7.28"/>
  </r>
  <r>
    <x v="1"/>
    <n v="6.9"/>
  </r>
  <r>
    <x v="2"/>
    <n v="6.22"/>
  </r>
  <r>
    <x v="3"/>
    <n v="5.81"/>
  </r>
  <r>
    <x v="4"/>
    <n v="4.96"/>
  </r>
  <r>
    <x v="5"/>
    <n v="4.1399999999999997"/>
  </r>
  <r>
    <x v="6"/>
    <n v="3.67"/>
  </r>
  <r>
    <x v="7"/>
    <n v="2.79"/>
  </r>
  <r>
    <x v="8"/>
    <n v="3.65"/>
  </r>
  <r>
    <x v="9"/>
    <n v="3.77"/>
  </r>
  <r>
    <x v="10"/>
    <n v="4.93"/>
  </r>
  <r>
    <x v="11"/>
    <n v="6.2"/>
  </r>
  <r>
    <x v="12"/>
    <n v="7.04"/>
  </r>
  <r>
    <x v="13"/>
    <n v="7.72"/>
  </r>
  <r>
    <x v="14"/>
    <n v="7.73"/>
  </r>
  <r>
    <x v="15"/>
    <n v="6.35"/>
  </r>
  <r>
    <x v="16"/>
    <n v="6.29"/>
  </r>
  <r>
    <x v="17"/>
    <n v="8.1199999999999992"/>
  </r>
  <r>
    <x v="18"/>
    <n v="7.55"/>
  </r>
  <r>
    <x v="19"/>
    <n v="7.25"/>
  </r>
  <r>
    <x v="20"/>
    <n v="6.34"/>
  </r>
  <r>
    <x v="21"/>
    <n v="7.4"/>
  </r>
  <r>
    <x v="22"/>
    <n v="8.07"/>
  </r>
  <r>
    <x v="23"/>
    <n v="7.36"/>
  </r>
  <r>
    <x v="24"/>
    <n v="7.55"/>
  </r>
  <r>
    <x v="25"/>
    <n v="8.4499999999999993"/>
  </r>
  <r>
    <x v="26"/>
    <n v="8.5500000000000007"/>
  </r>
  <r>
    <x v="27"/>
    <n v="10.3"/>
  </r>
  <r>
    <x v="28"/>
    <n v="14.08"/>
  </r>
  <r>
    <x v="29"/>
    <n v="14.99"/>
  </r>
  <r>
    <x v="30"/>
    <n v="15.02"/>
  </r>
  <r>
    <x v="31"/>
    <n v="10.51"/>
  </r>
  <r>
    <x v="32"/>
    <n v="14.29"/>
  </r>
  <r>
    <x v="33"/>
    <n v="12.39"/>
  </r>
  <r>
    <x v="34"/>
    <n v="13.78"/>
  </r>
  <r>
    <x v="35"/>
    <n v="13.19"/>
  </r>
  <r>
    <x v="36"/>
    <n v="12.57"/>
  </r>
  <r>
    <x v="37"/>
    <n v="9.4700000000000006"/>
  </r>
  <r>
    <x v="38"/>
    <n v="7.61"/>
  </r>
  <r>
    <x v="39"/>
    <n v="5.91"/>
  </r>
  <r>
    <x v="40"/>
    <n v="4.5999999999999996"/>
  </r>
  <r>
    <x v="41"/>
    <n v="3.7"/>
  </r>
  <r>
    <x v="42"/>
    <n v="3.6"/>
  </r>
  <r>
    <x v="43"/>
    <n v="1.67"/>
  </r>
  <r>
    <x v="44"/>
    <n v="3.51"/>
  </r>
  <r>
    <x v="45"/>
    <n v="2.4300000000000002"/>
  </r>
  <r>
    <x v="46"/>
    <n v="2.33"/>
  </r>
  <r>
    <x v="47"/>
    <n v="2.33"/>
  </r>
  <r>
    <x v="48"/>
    <n v="2.5099999999999998"/>
  </r>
  <r>
    <x v="49"/>
    <n v="2.09"/>
  </r>
  <r>
    <x v="50"/>
    <n v="1.99"/>
  </r>
  <r>
    <x v="51"/>
    <n v="1.8"/>
  </r>
  <r>
    <x v="52"/>
    <n v="1.82"/>
  </r>
  <r>
    <x v="53"/>
    <n v="1.18"/>
  </r>
  <r>
    <x v="54"/>
    <n v="1"/>
  </r>
  <r>
    <x v="55"/>
    <n v="1.1200000000000001"/>
  </r>
  <r>
    <x v="56"/>
    <n v="1.01"/>
  </r>
  <r>
    <x v="57"/>
    <n v="1.49"/>
  </r>
  <r>
    <x v="58"/>
    <n v="1.79"/>
  </r>
  <r>
    <x v="59"/>
    <n v="1.37"/>
  </r>
  <r>
    <x v="60"/>
    <n v="1.19"/>
  </r>
  <r>
    <x v="61"/>
    <n v="0.76"/>
  </r>
  <r>
    <x v="62"/>
    <n v="0.87"/>
  </r>
  <r>
    <x v="63"/>
    <n v="0.94"/>
  </r>
  <r>
    <x v="64"/>
    <n v="0.92"/>
  </r>
  <r>
    <x v="65"/>
    <n v="1.52"/>
  </r>
  <r>
    <x v="66"/>
    <n v="1.53"/>
  </r>
  <r>
    <x v="67"/>
    <n v="2.9"/>
  </r>
  <r>
    <x v="68"/>
    <n v="2.41"/>
  </r>
  <r>
    <x v="69"/>
    <n v="2.2000000000000002"/>
  </r>
  <r>
    <x v="70"/>
    <n v="3.32"/>
  </r>
  <r>
    <x v="71"/>
    <n v="4.57"/>
  </r>
  <r>
    <x v="72"/>
    <n v="4.1500000000000004"/>
  </r>
  <r>
    <x v="73"/>
    <n v="5.73"/>
  </r>
  <r>
    <x v="74"/>
    <n v="6.73"/>
  </r>
  <r>
    <x v="75"/>
    <n v="5.95"/>
  </r>
  <r>
    <x v="76"/>
    <n v="4.8899999999999997"/>
  </r>
  <r>
    <x v="77"/>
    <n v="4.8499999999999996"/>
  </r>
  <r>
    <x v="78"/>
    <n v="4.54"/>
  </r>
  <r>
    <x v="79"/>
    <n v="5.4"/>
  </r>
  <r>
    <x v="80"/>
    <n v="4.7300000000000004"/>
  </r>
  <r>
    <x v="81"/>
    <n v="7.23"/>
  </r>
  <r>
    <x v="82"/>
    <n v="9.07"/>
  </r>
  <r>
    <x v="83"/>
    <n v="9.23"/>
  </r>
  <r>
    <x v="84"/>
    <n v="10.039999999999999"/>
  </r>
  <r>
    <x v="85"/>
    <n v="15.17"/>
  </r>
  <r>
    <x v="86"/>
    <n v="18.23"/>
  </r>
  <r>
    <x v="87"/>
    <n v="28.15"/>
  </r>
  <r>
    <x v="88"/>
    <n v="29.67"/>
  </r>
  <r>
    <x v="89"/>
    <n v="22.23"/>
  </r>
  <r>
    <x v="90"/>
    <n v="19.43"/>
  </r>
  <r>
    <x v="91"/>
    <n v="21.870000999999998"/>
  </r>
  <r>
    <x v="92"/>
    <n v="26.129999000000002"/>
  </r>
  <r>
    <x v="93"/>
    <n v="31.52"/>
  </r>
  <r>
    <x v="94"/>
    <n v="48.970001000000003"/>
  </r>
  <r>
    <x v="95"/>
    <n v="32.290000999999997"/>
  </r>
  <r>
    <x v="96"/>
    <n v="46.830002"/>
  </r>
  <r>
    <x v="97"/>
    <n v="58.189999"/>
  </r>
  <r>
    <x v="98"/>
    <n v="47.57"/>
  </r>
  <r>
    <x v="99"/>
    <n v="60.360000999999997"/>
  </r>
  <r>
    <x v="100"/>
    <n v="77.230002999999996"/>
  </r>
  <r>
    <x v="101"/>
    <n v="82.589995999999999"/>
  </r>
  <r>
    <x v="102"/>
    <n v="98.089995999999999"/>
  </r>
  <r>
    <x v="103"/>
    <n v="136.570007"/>
  </r>
  <r>
    <x v="104"/>
    <n v="175.470001"/>
  </r>
  <r>
    <x v="105"/>
    <n v="182.35000600000001"/>
  </r>
  <r>
    <x v="106"/>
    <n v="176.05999800000001"/>
  </r>
  <r>
    <x v="107"/>
    <n v="162.16000399999999"/>
  </r>
  <r>
    <x v="108"/>
    <n v="139.25"/>
  </r>
  <r>
    <x v="109"/>
    <n v="143.050003"/>
  </r>
  <r>
    <x v="110"/>
    <n v="183.63000500000001"/>
  </r>
  <r>
    <x v="111"/>
    <n v="189.60000600000001"/>
  </r>
  <r>
    <x v="112"/>
    <n v="173.729996"/>
  </r>
  <r>
    <x v="113"/>
    <n v="149.970001"/>
  </r>
  <r>
    <x v="114"/>
    <n v="231.63000500000001"/>
  </r>
  <r>
    <x v="115"/>
    <n v="250"/>
  </r>
  <r>
    <x v="116"/>
    <n v="182.94000199999999"/>
  </r>
  <r>
    <x v="117"/>
    <n v="140.470001"/>
  </r>
  <r>
    <x v="118"/>
    <n v="166.699997"/>
  </r>
  <r>
    <x v="119"/>
    <n v="201.779999"/>
  </r>
  <r>
    <x v="120"/>
    <n v="161.39999399999999"/>
  </r>
  <r>
    <x v="121"/>
    <n v="186.19000199999999"/>
  </r>
  <r>
    <x v="122"/>
    <n v="195.240005"/>
  </r>
  <r>
    <x v="123"/>
    <n v="284.17999300000002"/>
  </r>
  <r>
    <x v="124"/>
    <n v="286.44000199999999"/>
  </r>
  <r>
    <x v="125"/>
    <n v="277.47000100000002"/>
  </r>
  <r>
    <x v="126"/>
    <n v="306.07998700000002"/>
  </r>
  <r>
    <x v="127"/>
    <n v="306.079987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83668-017D-4CF9-9F69-96CF26A08B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4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3">
    <field x="3"/>
    <field x="2"/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Adj Close" fld="1" subtotal="average" baseField="3" baseItem="1" numFmtId="2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40D3A81-6635-4AB9-AD50-C8340239DAEC}">
  <we:reference id="f1abd87f-a3ba-42fb-91d5-100000000000" version="1.0.0.6" store="EXCatalog" storeType="EXCatalog"/>
  <we:alternateReferences>
    <we:reference id="WA104380278" version="1.0.0.6" store="nl-NL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6"/>
  <sheetViews>
    <sheetView showGridLines="0" tabSelected="1" zoomScale="106" zoomScaleNormal="106" workbookViewId="0">
      <pane xSplit="1" topLeftCell="I1" activePane="topRight" state="frozen"/>
      <selection activeCell="A3" sqref="A3"/>
      <selection pane="topRight" activeCell="AA23" sqref="AA23"/>
    </sheetView>
  </sheetViews>
  <sheetFormatPr defaultRowHeight="14.4" x14ac:dyDescent="0.3"/>
  <cols>
    <col min="1" max="1" width="17" bestFit="1" customWidth="1"/>
    <col min="3" max="9" width="10.5546875" bestFit="1" customWidth="1"/>
    <col min="10" max="10" width="12" bestFit="1" customWidth="1"/>
    <col min="11" max="12" width="13.109375" bestFit="1" customWidth="1"/>
    <col min="13" max="13" width="10.5546875" bestFit="1" customWidth="1"/>
    <col min="14" max="19" width="10.44140625" bestFit="1" customWidth="1"/>
    <col min="20" max="23" width="12" bestFit="1" customWidth="1"/>
    <col min="25" max="25" width="13.88671875" bestFit="1" customWidth="1"/>
    <col min="26" max="26" width="14.88671875" bestFit="1" customWidth="1"/>
    <col min="27" max="27" width="13.109375" bestFit="1" customWidth="1"/>
    <col min="28" max="28" width="10.109375" bestFit="1" customWidth="1"/>
  </cols>
  <sheetData>
    <row r="1" spans="1:29" x14ac:dyDescent="0.3">
      <c r="A1" t="s">
        <v>0</v>
      </c>
      <c r="C1" t="s">
        <v>2</v>
      </c>
      <c r="D1" t="s">
        <v>3</v>
      </c>
    </row>
    <row r="2" spans="1:29" ht="25.8" x14ac:dyDescent="0.5">
      <c r="A2" s="1" t="s">
        <v>1</v>
      </c>
    </row>
    <row r="3" spans="1:29" x14ac:dyDescent="0.3">
      <c r="C3" s="2">
        <v>2012</v>
      </c>
      <c r="D3" s="2">
        <f>C3+1</f>
        <v>2013</v>
      </c>
      <c r="E3" s="2">
        <f t="shared" ref="E3:L3" si="0">D3+1</f>
        <v>2014</v>
      </c>
      <c r="F3" s="2">
        <f t="shared" si="0"/>
        <v>2015</v>
      </c>
      <c r="G3" s="2">
        <f t="shared" si="0"/>
        <v>2016</v>
      </c>
      <c r="H3" s="2">
        <f t="shared" si="0"/>
        <v>2017</v>
      </c>
      <c r="I3" s="2">
        <f t="shared" si="0"/>
        <v>2018</v>
      </c>
      <c r="J3" s="2">
        <f t="shared" si="0"/>
        <v>2019</v>
      </c>
      <c r="K3" s="2">
        <f t="shared" si="0"/>
        <v>2020</v>
      </c>
      <c r="L3" s="2">
        <f t="shared" si="0"/>
        <v>2021</v>
      </c>
      <c r="M3" s="11" t="s">
        <v>35</v>
      </c>
      <c r="N3" s="19">
        <f>L3+1</f>
        <v>2022</v>
      </c>
      <c r="O3" s="19">
        <f>N3+1</f>
        <v>2023</v>
      </c>
      <c r="P3" s="19">
        <f t="shared" ref="P3:W3" si="1">O3+1</f>
        <v>2024</v>
      </c>
      <c r="Q3" s="19">
        <f t="shared" si="1"/>
        <v>2025</v>
      </c>
      <c r="R3" s="11">
        <f t="shared" si="1"/>
        <v>2026</v>
      </c>
      <c r="S3" s="19">
        <f t="shared" si="1"/>
        <v>2027</v>
      </c>
      <c r="T3" s="19">
        <f t="shared" si="1"/>
        <v>2028</v>
      </c>
      <c r="U3" s="19">
        <f t="shared" si="1"/>
        <v>2029</v>
      </c>
      <c r="V3" s="19">
        <f t="shared" si="1"/>
        <v>2030</v>
      </c>
      <c r="W3" s="19">
        <f t="shared" si="1"/>
        <v>2031</v>
      </c>
    </row>
    <row r="4" spans="1:29" x14ac:dyDescent="0.3">
      <c r="A4" s="8" t="s">
        <v>4</v>
      </c>
      <c r="C4" s="9">
        <v>216678</v>
      </c>
      <c r="D4" s="9">
        <v>232846</v>
      </c>
      <c r="E4" s="9">
        <v>343904</v>
      </c>
      <c r="F4" s="9">
        <v>357249</v>
      </c>
      <c r="G4" s="9">
        <v>322591</v>
      </c>
      <c r="H4" s="9">
        <v>286166</v>
      </c>
      <c r="I4" s="9">
        <v>316159</v>
      </c>
      <c r="J4" s="9">
        <v>624333</v>
      </c>
      <c r="K4" s="9">
        <v>774425</v>
      </c>
      <c r="L4" s="9">
        <v>1382049</v>
      </c>
      <c r="M4" s="12">
        <f>(L4/C4)^(1/($L$3-$C$3))-1</f>
        <v>0.22860440812710947</v>
      </c>
      <c r="Y4" s="34" t="s">
        <v>36</v>
      </c>
      <c r="Z4" s="34"/>
      <c r="AA4" s="34"/>
    </row>
    <row r="5" spans="1:29" x14ac:dyDescent="0.3">
      <c r="A5" s="8"/>
      <c r="Y5" s="25" t="s">
        <v>37</v>
      </c>
      <c r="Z5" s="26">
        <v>2026</v>
      </c>
      <c r="AA5" s="26">
        <f>Z5+5</f>
        <v>2031</v>
      </c>
    </row>
    <row r="6" spans="1:29" x14ac:dyDescent="0.3">
      <c r="A6" s="8" t="s">
        <v>5</v>
      </c>
      <c r="C6" s="9">
        <f>-31161+5568</f>
        <v>-25593</v>
      </c>
      <c r="D6" s="9">
        <f>-22158+6981</f>
        <v>-15177</v>
      </c>
      <c r="E6" s="9">
        <f>-4429+8259</f>
        <v>3830</v>
      </c>
      <c r="F6" s="9">
        <f>-19309+10539</f>
        <v>-8770</v>
      </c>
      <c r="G6" s="9">
        <f>-62700+10638</f>
        <v>-52062</v>
      </c>
      <c r="H6" s="9">
        <f>-39378+9004</f>
        <v>-30374</v>
      </c>
      <c r="I6" s="9">
        <f>1596+9667</f>
        <v>11263</v>
      </c>
      <c r="J6" s="9">
        <f>102729+14119</f>
        <v>116848</v>
      </c>
      <c r="K6" s="9">
        <f>186439+18103</f>
        <v>204542</v>
      </c>
      <c r="L6" s="9">
        <f>215832+32439</f>
        <v>248271</v>
      </c>
      <c r="M6" s="12">
        <f>(L6/J6)^(1/($L$3-$J$3))-1</f>
        <v>0.45764697305941904</v>
      </c>
      <c r="N6" s="9">
        <f>L6*(1+N7)</f>
        <v>372406.5</v>
      </c>
      <c r="O6" s="9">
        <f>N6*(1+O7)</f>
        <v>465508.125</v>
      </c>
      <c r="P6" s="9">
        <f t="shared" ref="P6:W6" si="2">O6*(1+P7)</f>
        <v>581885.15625</v>
      </c>
      <c r="Q6" s="9">
        <f t="shared" si="2"/>
        <v>727356.4453125</v>
      </c>
      <c r="R6" s="9">
        <f t="shared" si="2"/>
        <v>909195.556640625</v>
      </c>
      <c r="S6" s="9">
        <f t="shared" si="2"/>
        <v>1136494.4458007813</v>
      </c>
      <c r="T6" s="9">
        <f t="shared" si="2"/>
        <v>1420618.0572509766</v>
      </c>
      <c r="U6" s="24">
        <f t="shared" si="2"/>
        <v>1775772.5715637207</v>
      </c>
      <c r="V6" s="24">
        <f t="shared" si="2"/>
        <v>2219715.7144546509</v>
      </c>
      <c r="W6" s="24">
        <f t="shared" si="2"/>
        <v>2774644.6430683136</v>
      </c>
      <c r="Y6" s="27" t="s">
        <v>5</v>
      </c>
      <c r="Z6" s="28">
        <f>R6</f>
        <v>909195.556640625</v>
      </c>
      <c r="AA6" s="28">
        <f>W6</f>
        <v>2774644.6430683136</v>
      </c>
    </row>
    <row r="7" spans="1:29" x14ac:dyDescent="0.3">
      <c r="A7" s="8"/>
      <c r="C7" s="9"/>
      <c r="D7" s="9"/>
      <c r="E7" s="9"/>
      <c r="F7" s="9"/>
      <c r="G7" s="9"/>
      <c r="H7" s="9"/>
      <c r="I7" s="9"/>
      <c r="J7" s="9"/>
      <c r="K7" s="9"/>
      <c r="L7" s="9"/>
      <c r="N7" s="20">
        <v>0.5</v>
      </c>
      <c r="O7" s="20">
        <v>0.25</v>
      </c>
      <c r="P7" s="20">
        <v>0.25</v>
      </c>
      <c r="Q7" s="20">
        <v>0.25</v>
      </c>
      <c r="R7" s="20">
        <v>0.25</v>
      </c>
      <c r="S7" s="20">
        <v>0.25</v>
      </c>
      <c r="T7" s="20">
        <v>0.25</v>
      </c>
      <c r="U7" s="20">
        <v>0.25</v>
      </c>
      <c r="V7" s="20">
        <v>0.25</v>
      </c>
      <c r="W7" s="20">
        <v>0.25</v>
      </c>
      <c r="Y7" s="27" t="s">
        <v>38</v>
      </c>
      <c r="Z7" s="29">
        <v>21</v>
      </c>
      <c r="AA7" s="29">
        <v>21</v>
      </c>
    </row>
    <row r="8" spans="1:29" x14ac:dyDescent="0.3">
      <c r="A8" s="8"/>
      <c r="C8" s="9"/>
      <c r="D8" s="13">
        <f>D6/C6-1</f>
        <v>-0.40698628531239012</v>
      </c>
      <c r="E8" s="13">
        <f t="shared" ref="E8:L8" si="3">E6/D6-1</f>
        <v>-1.252355537985109</v>
      </c>
      <c r="F8" s="13">
        <f t="shared" si="3"/>
        <v>-3.2898172323759791</v>
      </c>
      <c r="G8" s="13">
        <f t="shared" si="3"/>
        <v>4.9363740022805018</v>
      </c>
      <c r="H8" s="13">
        <f t="shared" si="3"/>
        <v>-0.41658023126272525</v>
      </c>
      <c r="I8" s="13">
        <f t="shared" si="3"/>
        <v>-1.3708105616645816</v>
      </c>
      <c r="J8" s="13">
        <f t="shared" si="3"/>
        <v>9.3745005771108936</v>
      </c>
      <c r="K8" s="13">
        <f t="shared" si="3"/>
        <v>0.75049637135423808</v>
      </c>
      <c r="L8" s="13">
        <f t="shared" si="3"/>
        <v>0.21378983289495546</v>
      </c>
      <c r="M8" s="18">
        <f>AVERAGE(D8:L8)</f>
        <v>0.94873454833775606</v>
      </c>
      <c r="Y8" s="27" t="s">
        <v>10</v>
      </c>
      <c r="Z8" s="30">
        <f>Z6*Z7</f>
        <v>19093106.689453125</v>
      </c>
      <c r="AA8" s="30">
        <f>AA6*AA7</f>
        <v>58267537.504434586</v>
      </c>
    </row>
    <row r="9" spans="1:29" x14ac:dyDescent="0.3">
      <c r="A9" s="8"/>
      <c r="C9" s="9"/>
      <c r="D9" s="9"/>
      <c r="E9" s="9"/>
      <c r="F9" s="9"/>
      <c r="G9" s="9"/>
      <c r="H9" s="9"/>
      <c r="I9" s="9"/>
      <c r="J9" s="9"/>
      <c r="K9" s="9"/>
      <c r="L9" s="9"/>
      <c r="Y9" s="27" t="s">
        <v>39</v>
      </c>
      <c r="Z9" s="35">
        <f>L12</f>
        <v>1037646</v>
      </c>
      <c r="AA9" s="35"/>
      <c r="AC9" s="23"/>
    </row>
    <row r="10" spans="1:29" x14ac:dyDescent="0.3">
      <c r="A10" s="8" t="s">
        <v>6</v>
      </c>
      <c r="C10" s="9">
        <f>94998-2*33855</f>
        <v>27288</v>
      </c>
      <c r="D10" s="9">
        <f>90509-2*33365</f>
        <v>23779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f>499657-2*199311</f>
        <v>101035</v>
      </c>
      <c r="K10" s="9">
        <v>0</v>
      </c>
      <c r="L10" s="9">
        <f>1462461-2*439796</f>
        <v>582869</v>
      </c>
      <c r="M10" s="14">
        <f>AVERAGE(C10:L10)</f>
        <v>73497.100000000006</v>
      </c>
      <c r="Y10" s="27" t="s">
        <v>40</v>
      </c>
      <c r="Z10" s="36">
        <f>M10</f>
        <v>73497.100000000006</v>
      </c>
      <c r="AA10" s="36"/>
    </row>
    <row r="11" spans="1:29" x14ac:dyDescent="0.3">
      <c r="A11" s="8"/>
      <c r="C11" s="9"/>
      <c r="D11" s="9"/>
      <c r="E11" s="9"/>
      <c r="F11" s="9"/>
      <c r="G11" s="9"/>
      <c r="H11" s="9"/>
      <c r="I11" s="9"/>
      <c r="J11" s="9"/>
      <c r="K11" s="9"/>
      <c r="L11" s="9"/>
      <c r="Y11" s="27" t="s">
        <v>9</v>
      </c>
      <c r="Z11" s="30">
        <f>Z8-Z9+Z10</f>
        <v>18128957.789453126</v>
      </c>
      <c r="AA11" s="30">
        <f>AA8-Z9+Z10</f>
        <v>57303388.604434587</v>
      </c>
    </row>
    <row r="12" spans="1:29" x14ac:dyDescent="0.3">
      <c r="A12" s="8" t="s">
        <v>7</v>
      </c>
      <c r="C12" s="9">
        <v>8677</v>
      </c>
      <c r="D12" s="9">
        <v>5170</v>
      </c>
      <c r="E12" s="9">
        <v>0</v>
      </c>
      <c r="F12" s="9">
        <v>0</v>
      </c>
      <c r="G12" s="9">
        <f>20768+3032</f>
        <v>23800</v>
      </c>
      <c r="H12" s="9">
        <f>32322+17429</f>
        <v>49751</v>
      </c>
      <c r="I12" s="9">
        <f>81628+28155</f>
        <v>109783</v>
      </c>
      <c r="J12" s="9">
        <f>2884+102659</f>
        <v>105543</v>
      </c>
      <c r="K12" s="9">
        <f>325967+4898</f>
        <v>330865</v>
      </c>
      <c r="L12" s="9">
        <f>86052+951594</f>
        <v>1037646</v>
      </c>
      <c r="M12" s="15">
        <f>AVERAGE(J12:L12)</f>
        <v>491351.33333333331</v>
      </c>
      <c r="Y12" s="27" t="s">
        <v>41</v>
      </c>
      <c r="Z12" s="37">
        <f>L14</f>
        <v>142878</v>
      </c>
      <c r="AA12" s="37"/>
    </row>
    <row r="13" spans="1:29" x14ac:dyDescent="0.3">
      <c r="A13" s="8"/>
      <c r="Y13" s="27" t="s">
        <v>18</v>
      </c>
      <c r="Z13" s="31">
        <f>Z11/Z12</f>
        <v>126.88417943597423</v>
      </c>
      <c r="AA13" s="31">
        <f>AA11/Z12</f>
        <v>401.06516471699342</v>
      </c>
    </row>
    <row r="14" spans="1:29" x14ac:dyDescent="0.3">
      <c r="A14" s="8" t="s">
        <v>8</v>
      </c>
      <c r="C14">
        <v>30740</v>
      </c>
      <c r="D14">
        <v>41647</v>
      </c>
      <c r="E14">
        <v>42903</v>
      </c>
      <c r="F14">
        <v>44632</v>
      </c>
      <c r="G14">
        <v>50519</v>
      </c>
      <c r="H14">
        <v>82939</v>
      </c>
      <c r="I14">
        <v>99619</v>
      </c>
      <c r="J14">
        <v>131644</v>
      </c>
      <c r="K14">
        <v>141918</v>
      </c>
      <c r="L14">
        <v>142878</v>
      </c>
      <c r="M14" s="12">
        <f>(L14/C14)^(1/($L$3-$C$3))-1</f>
        <v>0.18615151142272013</v>
      </c>
    </row>
    <row r="15" spans="1:29" x14ac:dyDescent="0.3">
      <c r="A15" s="8"/>
      <c r="Y15" s="34" t="s">
        <v>42</v>
      </c>
      <c r="Z15" s="34"/>
      <c r="AA15" s="34"/>
    </row>
    <row r="16" spans="1:29" x14ac:dyDescent="0.3">
      <c r="A16" s="8" t="s">
        <v>9</v>
      </c>
      <c r="C16" s="9">
        <f>C14*C34</f>
        <v>155134.53333333333</v>
      </c>
      <c r="D16" s="9">
        <f t="shared" ref="D16:L16" si="4">D14*D34</f>
        <v>275182.55250000005</v>
      </c>
      <c r="E16" s="9">
        <f t="shared" si="4"/>
        <v>452519.39249999996</v>
      </c>
      <c r="F16" s="9">
        <f t="shared" si="4"/>
        <v>342178.66666666669</v>
      </c>
      <c r="G16" s="9">
        <f t="shared" si="4"/>
        <v>90976.299166666679</v>
      </c>
      <c r="H16" s="9">
        <f t="shared" si="4"/>
        <v>122265.90916666665</v>
      </c>
      <c r="I16" s="9">
        <f t="shared" si="4"/>
        <v>473688.34499999997</v>
      </c>
      <c r="J16" s="9">
        <f t="shared" si="4"/>
        <v>2374528.6500000004</v>
      </c>
      <c r="K16" s="9">
        <f t="shared" si="4"/>
        <v>10592759.6027855</v>
      </c>
      <c r="L16" s="9">
        <f t="shared" si="4"/>
        <v>25770071.714569002</v>
      </c>
      <c r="M16" s="12">
        <f>(L16/C16)^(1/($L$3-$C$3))-1</f>
        <v>0.76486668391550916</v>
      </c>
      <c r="Y16" s="25" t="s">
        <v>37</v>
      </c>
      <c r="Z16" s="26">
        <v>2026</v>
      </c>
      <c r="AA16" s="26">
        <v>2031</v>
      </c>
    </row>
    <row r="17" spans="1:28" x14ac:dyDescent="0.3">
      <c r="A17" s="8"/>
      <c r="Y17" s="27" t="s">
        <v>17</v>
      </c>
      <c r="Z17" s="31">
        <f>R32</f>
        <v>12.616352647203888</v>
      </c>
      <c r="AA17" s="31">
        <f>W32</f>
        <v>38.502052756359532</v>
      </c>
    </row>
    <row r="18" spans="1:28" x14ac:dyDescent="0.3">
      <c r="A18" s="8" t="s">
        <v>10</v>
      </c>
      <c r="C18" s="9">
        <f>C16+C12-C10</f>
        <v>136523.53333333333</v>
      </c>
      <c r="D18" s="9">
        <f t="shared" ref="D18:L18" si="5">D16+D12-D10</f>
        <v>256573.55250000005</v>
      </c>
      <c r="E18" s="9">
        <f t="shared" si="5"/>
        <v>452519.39249999996</v>
      </c>
      <c r="F18" s="9">
        <f t="shared" si="5"/>
        <v>342178.66666666669</v>
      </c>
      <c r="G18" s="9">
        <f t="shared" si="5"/>
        <v>114776.29916666668</v>
      </c>
      <c r="H18" s="9">
        <f t="shared" si="5"/>
        <v>172016.90916666665</v>
      </c>
      <c r="I18" s="9">
        <f t="shared" si="5"/>
        <v>583471.34499999997</v>
      </c>
      <c r="J18" s="9">
        <f t="shared" si="5"/>
        <v>2379036.6500000004</v>
      </c>
      <c r="K18" s="9">
        <f t="shared" si="5"/>
        <v>10923624.6027855</v>
      </c>
      <c r="L18" s="9">
        <f t="shared" si="5"/>
        <v>26224848.714569002</v>
      </c>
      <c r="M18" s="12">
        <f>(L18/C18)^(1/($L$3-$C$3))-1</f>
        <v>0.79358858065151816</v>
      </c>
      <c r="Y18" s="27" t="s">
        <v>19</v>
      </c>
      <c r="Z18" s="32">
        <v>0.06</v>
      </c>
      <c r="AA18" s="32">
        <v>0.06</v>
      </c>
    </row>
    <row r="19" spans="1:28" x14ac:dyDescent="0.3">
      <c r="A19" s="8"/>
      <c r="Y19" s="27" t="s">
        <v>18</v>
      </c>
      <c r="Z19" s="31">
        <f>Z17/Z18</f>
        <v>210.27254412006479</v>
      </c>
      <c r="AA19" s="31">
        <f>AA17/AA18</f>
        <v>641.70087927265888</v>
      </c>
    </row>
    <row r="20" spans="1:28" x14ac:dyDescent="0.3">
      <c r="A20" s="8" t="s">
        <v>11</v>
      </c>
      <c r="C20" s="3">
        <f>C18/C6</f>
        <v>-5.3344091483348306</v>
      </c>
      <c r="D20" s="3">
        <f t="shared" ref="D20:L20" si="6">D18/D6</f>
        <v>-16.905419549318051</v>
      </c>
      <c r="E20" s="3">
        <f t="shared" si="6"/>
        <v>118.1512774151436</v>
      </c>
      <c r="F20" s="3">
        <f t="shared" si="6"/>
        <v>-39.016951729380466</v>
      </c>
      <c r="G20" s="3">
        <f t="shared" si="6"/>
        <v>-2.2046079514169006</v>
      </c>
      <c r="H20" s="3">
        <f t="shared" si="6"/>
        <v>-5.6632945666249634</v>
      </c>
      <c r="I20" s="3">
        <f t="shared" si="6"/>
        <v>51.804256858741006</v>
      </c>
      <c r="J20" s="3">
        <f t="shared" si="6"/>
        <v>20.360097305901686</v>
      </c>
      <c r="K20" s="3">
        <f t="shared" si="6"/>
        <v>53.405288902941692</v>
      </c>
      <c r="L20" s="3">
        <f t="shared" si="6"/>
        <v>105.62993146428299</v>
      </c>
      <c r="M20" s="3">
        <f>AVERAGE(C20:L20)</f>
        <v>28.022616900193576</v>
      </c>
    </row>
    <row r="21" spans="1:28" x14ac:dyDescent="0.3">
      <c r="A21" s="8"/>
      <c r="Y21" s="38" t="s">
        <v>43</v>
      </c>
      <c r="Z21" s="38"/>
      <c r="AA21" s="38"/>
    </row>
    <row r="22" spans="1:28" x14ac:dyDescent="0.3">
      <c r="A22" s="8" t="s">
        <v>12</v>
      </c>
      <c r="C22" s="3">
        <f>C12/C6</f>
        <v>-0.33903801820810375</v>
      </c>
      <c r="D22" s="3">
        <f t="shared" ref="D22:L22" si="7">D12/D6</f>
        <v>-0.34064703169269289</v>
      </c>
      <c r="E22" s="3">
        <f t="shared" si="7"/>
        <v>0</v>
      </c>
      <c r="F22" s="3">
        <f t="shared" si="7"/>
        <v>0</v>
      </c>
      <c r="G22" s="3">
        <f t="shared" si="7"/>
        <v>-0.45714724751258118</v>
      </c>
      <c r="H22" s="3">
        <f t="shared" si="7"/>
        <v>-1.6379469282939356</v>
      </c>
      <c r="I22" s="3">
        <f t="shared" si="7"/>
        <v>9.7472254283938558</v>
      </c>
      <c r="J22" s="3">
        <f t="shared" si="7"/>
        <v>0.90325037655757912</v>
      </c>
      <c r="K22" s="3">
        <f t="shared" si="7"/>
        <v>1.6175895415122568</v>
      </c>
      <c r="L22" s="22">
        <f t="shared" si="7"/>
        <v>4.179489348333072</v>
      </c>
      <c r="M22" s="3">
        <f>AVERAGE(C22:L22)</f>
        <v>1.3672775469089449</v>
      </c>
      <c r="Y22" s="27" t="s">
        <v>47</v>
      </c>
      <c r="Z22" s="27"/>
      <c r="AA22" s="28">
        <v>119</v>
      </c>
      <c r="AB22" s="4">
        <v>44572</v>
      </c>
    </row>
    <row r="23" spans="1:28" x14ac:dyDescent="0.3">
      <c r="A23" s="8"/>
      <c r="Y23" s="25" t="s">
        <v>37</v>
      </c>
      <c r="Z23" s="26">
        <v>2026</v>
      </c>
      <c r="AA23" s="26">
        <f>Z23+5</f>
        <v>2031</v>
      </c>
    </row>
    <row r="24" spans="1:28" x14ac:dyDescent="0.3">
      <c r="A24" s="8" t="s">
        <v>13</v>
      </c>
      <c r="C24" s="9">
        <v>-44645</v>
      </c>
      <c r="D24" s="9">
        <v>-872</v>
      </c>
      <c r="E24" s="9">
        <v>24222</v>
      </c>
      <c r="F24" s="9">
        <v>-21160</v>
      </c>
      <c r="G24" s="9">
        <v>-32953</v>
      </c>
      <c r="H24" s="9">
        <v>-28442</v>
      </c>
      <c r="I24" s="9">
        <v>16132</v>
      </c>
      <c r="J24" s="9">
        <v>139067</v>
      </c>
      <c r="K24" s="9">
        <v>216334</v>
      </c>
      <c r="L24" s="9">
        <v>352028</v>
      </c>
      <c r="M24" s="12">
        <f>(L24/E24)^(1/($L$3-$E$3))-1</f>
        <v>0.46572487490569925</v>
      </c>
      <c r="Y24" s="27" t="s">
        <v>44</v>
      </c>
      <c r="Z24" s="31">
        <f>Z13</f>
        <v>126.88417943597423</v>
      </c>
      <c r="AA24" s="31">
        <f>AA13</f>
        <v>401.06516471699342</v>
      </c>
    </row>
    <row r="25" spans="1:28" x14ac:dyDescent="0.3">
      <c r="A25" s="8"/>
      <c r="C25" s="9"/>
      <c r="D25" s="9"/>
      <c r="E25" s="9"/>
      <c r="F25" s="9"/>
      <c r="G25" s="9"/>
      <c r="H25" s="9"/>
      <c r="I25" s="9"/>
      <c r="J25" s="9"/>
      <c r="K25" s="9"/>
      <c r="L25" s="9"/>
      <c r="Y25" s="27" t="s">
        <v>45</v>
      </c>
      <c r="Z25" s="31">
        <f>Z19</f>
        <v>210.27254412006479</v>
      </c>
      <c r="AA25" s="31">
        <f>AA19</f>
        <v>641.70087927265888</v>
      </c>
    </row>
    <row r="26" spans="1:28" x14ac:dyDescent="0.3">
      <c r="A26" s="8" t="s">
        <v>14</v>
      </c>
      <c r="C26" s="9">
        <v>-12990</v>
      </c>
      <c r="D26" s="9">
        <v>-6257</v>
      </c>
      <c r="E26" s="9">
        <v>-13249</v>
      </c>
      <c r="F26" s="9">
        <v>-12525</v>
      </c>
      <c r="G26" s="9">
        <v>-12167</v>
      </c>
      <c r="H26" s="9">
        <v>-4121</v>
      </c>
      <c r="I26" s="9">
        <v>-4151</v>
      </c>
      <c r="J26" s="9">
        <v>-14788</v>
      </c>
      <c r="K26" s="9">
        <v>-20558</v>
      </c>
      <c r="L26" s="9">
        <v>-52258</v>
      </c>
      <c r="Y26" s="27" t="s">
        <v>46</v>
      </c>
      <c r="Z26" s="31">
        <f>AVERAGE(Z24:Z25)</f>
        <v>168.57836177801951</v>
      </c>
      <c r="AA26" s="31">
        <f>AVERAGE(AA24:AA25)</f>
        <v>521.38302199482609</v>
      </c>
    </row>
    <row r="27" spans="1:28" x14ac:dyDescent="0.3">
      <c r="A27" s="8"/>
      <c r="C27" s="9"/>
      <c r="D27" s="9"/>
      <c r="E27" s="9"/>
      <c r="F27" s="9"/>
      <c r="G27" s="9"/>
      <c r="H27" s="9"/>
      <c r="I27" s="9"/>
      <c r="J27" s="9"/>
      <c r="K27" s="9"/>
      <c r="L27" s="9"/>
      <c r="Y27" s="27" t="s">
        <v>48</v>
      </c>
      <c r="Z27" s="33">
        <f>(Z26/$AA$22)^(1/(Z23-$L$3))-1</f>
        <v>7.213870227315633E-2</v>
      </c>
      <c r="AA27" s="33">
        <f>(AA26/$AA$22)^(1/(10))-1</f>
        <v>0.1592069929266513</v>
      </c>
    </row>
    <row r="28" spans="1:28" x14ac:dyDescent="0.3">
      <c r="A28" s="8" t="s">
        <v>15</v>
      </c>
      <c r="C28" s="9">
        <f>-96+1000-14103</f>
        <v>-13199</v>
      </c>
      <c r="D28" s="9">
        <v>-2447</v>
      </c>
      <c r="E28" s="9">
        <v>-8708</v>
      </c>
      <c r="F28" s="9">
        <v>0</v>
      </c>
      <c r="G28" s="9">
        <v>0</v>
      </c>
      <c r="H28" s="9">
        <v>26442</v>
      </c>
      <c r="I28" s="9">
        <f>-9976+68124</f>
        <v>58148</v>
      </c>
      <c r="J28" s="9">
        <f>127413-36313-45855</f>
        <v>45245</v>
      </c>
      <c r="K28" s="9">
        <f>312420-89056-40728</f>
        <v>182636</v>
      </c>
      <c r="L28" s="9">
        <f>1188439-286235-290247</f>
        <v>611957</v>
      </c>
      <c r="M28" s="15">
        <f>AVERAGE(C28:L28)</f>
        <v>90007.4</v>
      </c>
    </row>
    <row r="29" spans="1:28" x14ac:dyDescent="0.3">
      <c r="A29" s="8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28" x14ac:dyDescent="0.3">
      <c r="A30" s="8" t="s">
        <v>16</v>
      </c>
      <c r="C30" s="9">
        <f t="shared" ref="C30:I30" si="8">C24+C26+C28</f>
        <v>-70834</v>
      </c>
      <c r="D30" s="9">
        <f t="shared" si="8"/>
        <v>-9576</v>
      </c>
      <c r="E30" s="9">
        <f t="shared" si="8"/>
        <v>2265</v>
      </c>
      <c r="F30" s="9">
        <f t="shared" si="8"/>
        <v>-33685</v>
      </c>
      <c r="G30" s="9">
        <f t="shared" si="8"/>
        <v>-45120</v>
      </c>
      <c r="H30" s="9">
        <f t="shared" si="8"/>
        <v>-6121</v>
      </c>
      <c r="I30" s="9">
        <f t="shared" si="8"/>
        <v>70129</v>
      </c>
      <c r="J30" s="9">
        <f t="shared" ref="J30:K30" si="9">J24+J26+J28</f>
        <v>169524</v>
      </c>
      <c r="K30" s="9">
        <f t="shared" si="9"/>
        <v>378412</v>
      </c>
      <c r="L30" s="9">
        <f>L24+L26+L28</f>
        <v>911727</v>
      </c>
      <c r="M30" s="12">
        <f>(L30/E30)^(1/($L$3-$E$3))-1</f>
        <v>1.3556664758368191</v>
      </c>
    </row>
    <row r="31" spans="1:28" x14ac:dyDescent="0.3">
      <c r="A31" s="8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28" x14ac:dyDescent="0.3">
      <c r="A32" s="8" t="s">
        <v>17</v>
      </c>
      <c r="C32" s="16">
        <f t="shared" ref="C32:I32" si="10">C30/C14</f>
        <v>-2.3042940793754068</v>
      </c>
      <c r="D32" s="16">
        <f t="shared" si="10"/>
        <v>-0.22993252815328835</v>
      </c>
      <c r="E32" s="16">
        <f t="shared" si="10"/>
        <v>5.2793510943290677E-2</v>
      </c>
      <c r="F32" s="16">
        <f t="shared" si="10"/>
        <v>-0.75472754974009681</v>
      </c>
      <c r="G32" s="16">
        <f t="shared" si="10"/>
        <v>-0.89312931768245607</v>
      </c>
      <c r="H32" s="16">
        <f t="shared" si="10"/>
        <v>-7.380122740809511E-2</v>
      </c>
      <c r="I32" s="16">
        <f t="shared" si="10"/>
        <v>0.70397213382989188</v>
      </c>
      <c r="J32" s="16">
        <f t="shared" ref="J32:K32" si="11">J30/J14</f>
        <v>1.2877457385068822</v>
      </c>
      <c r="K32" s="16">
        <f t="shared" si="11"/>
        <v>2.666412999055793</v>
      </c>
      <c r="L32" s="16">
        <f>L30/L14</f>
        <v>6.3811573510267499</v>
      </c>
      <c r="M32" s="17">
        <f>AVERAGE(J32:L32)</f>
        <v>3.4451053628631421</v>
      </c>
      <c r="N32" s="21">
        <f>M32*(1+N33)</f>
        <v>5.1676580442947131</v>
      </c>
      <c r="O32" s="21">
        <f t="shared" ref="O32:W32" si="12">N32*(1+O33)</f>
        <v>6.4595725553683909</v>
      </c>
      <c r="P32" s="21">
        <f t="shared" si="12"/>
        <v>8.0744656942104882</v>
      </c>
      <c r="Q32" s="21">
        <f t="shared" si="12"/>
        <v>10.09308211776311</v>
      </c>
      <c r="R32" s="21">
        <f t="shared" si="12"/>
        <v>12.616352647203888</v>
      </c>
      <c r="S32" s="21">
        <f t="shared" si="12"/>
        <v>15.77044080900486</v>
      </c>
      <c r="T32" s="21">
        <f t="shared" si="12"/>
        <v>19.713051011256077</v>
      </c>
      <c r="U32" s="21">
        <f t="shared" si="12"/>
        <v>24.641313764070098</v>
      </c>
      <c r="V32" s="21">
        <f t="shared" si="12"/>
        <v>30.801642205087624</v>
      </c>
      <c r="W32" s="21">
        <f t="shared" si="12"/>
        <v>38.502052756359532</v>
      </c>
    </row>
    <row r="33" spans="1:23" x14ac:dyDescent="0.3">
      <c r="A33" s="8"/>
      <c r="C33" s="10"/>
      <c r="D33" s="10"/>
      <c r="E33" s="10"/>
      <c r="F33" s="10"/>
      <c r="G33" s="10"/>
      <c r="H33" s="10"/>
      <c r="I33" s="10"/>
      <c r="J33" s="10"/>
      <c r="K33" s="10"/>
      <c r="L33" s="10"/>
      <c r="N33" s="20">
        <v>0.5</v>
      </c>
      <c r="O33" s="20">
        <v>0.25</v>
      </c>
      <c r="P33" s="20">
        <v>0.25</v>
      </c>
      <c r="Q33" s="20">
        <v>0.25</v>
      </c>
      <c r="R33" s="20">
        <v>0.25</v>
      </c>
      <c r="S33" s="20">
        <v>0.25</v>
      </c>
      <c r="T33" s="20">
        <v>0.25</v>
      </c>
      <c r="U33" s="20">
        <v>0.25</v>
      </c>
      <c r="V33" s="20">
        <v>0.25</v>
      </c>
      <c r="W33" s="20">
        <v>0.25</v>
      </c>
    </row>
    <row r="34" spans="1:23" x14ac:dyDescent="0.3">
      <c r="A34" s="8" t="s">
        <v>18</v>
      </c>
      <c r="C34" s="9">
        <v>5.046666666666666</v>
      </c>
      <c r="D34" s="9">
        <v>6.6075000000000008</v>
      </c>
      <c r="E34" s="9">
        <v>10.547499999999999</v>
      </c>
      <c r="F34" s="9">
        <v>7.666666666666667</v>
      </c>
      <c r="G34" s="9">
        <v>1.8008333333333335</v>
      </c>
      <c r="H34" s="9">
        <v>1.4741666666666664</v>
      </c>
      <c r="I34" s="9">
        <v>4.7549999999999999</v>
      </c>
      <c r="J34" s="9">
        <v>18.037500000000001</v>
      </c>
      <c r="K34" s="9">
        <v>74.640000583333332</v>
      </c>
      <c r="L34" s="9">
        <v>180.36416883333334</v>
      </c>
      <c r="M34" s="12">
        <f>(L34/C34)^(1/($L$3-$C$3))-1</f>
        <v>0.48789312909836746</v>
      </c>
    </row>
    <row r="35" spans="1:23" x14ac:dyDescent="0.3">
      <c r="A35" s="8"/>
    </row>
    <row r="36" spans="1:23" x14ac:dyDescent="0.3">
      <c r="A36" s="8" t="s">
        <v>19</v>
      </c>
      <c r="C36" s="7">
        <f>C32/C34</f>
        <v>-0.45659724161996179</v>
      </c>
      <c r="D36" s="7">
        <f t="shared" ref="D36:L36" si="13">D32/D34</f>
        <v>-3.4798717843857484E-2</v>
      </c>
      <c r="E36" s="7">
        <f t="shared" si="13"/>
        <v>5.0053103525281514E-3</v>
      </c>
      <c r="F36" s="7">
        <f t="shared" si="13"/>
        <v>-9.844272387914306E-2</v>
      </c>
      <c r="G36" s="7">
        <f t="shared" si="13"/>
        <v>-0.49595334623736564</v>
      </c>
      <c r="H36" s="7">
        <f t="shared" si="13"/>
        <v>-5.0063014635225632E-2</v>
      </c>
      <c r="I36" s="7">
        <f t="shared" si="13"/>
        <v>0.14804881889167021</v>
      </c>
      <c r="J36" s="7">
        <f t="shared" si="13"/>
        <v>7.1392695135516687E-2</v>
      </c>
      <c r="K36" s="7">
        <f t="shared" si="13"/>
        <v>3.5723646546315636E-2</v>
      </c>
      <c r="L36" s="7">
        <f t="shared" si="13"/>
        <v>3.5379296188941492E-2</v>
      </c>
      <c r="M36" s="12">
        <f>AVERAGE(C36:L36)</f>
        <v>-8.4030527710058131E-2</v>
      </c>
    </row>
  </sheetData>
  <mergeCells count="6">
    <mergeCell ref="Y21:AA21"/>
    <mergeCell ref="Y4:AA4"/>
    <mergeCell ref="Z9:AA9"/>
    <mergeCell ref="Z10:AA10"/>
    <mergeCell ref="Z12:AA12"/>
    <mergeCell ref="Y15:AA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1583-D1A8-4B3D-A06B-62FD47D8F34C}">
  <dimension ref="A3:N15"/>
  <sheetViews>
    <sheetView workbookViewId="0">
      <selection activeCell="D4" sqref="D4:N4"/>
    </sheetView>
  </sheetViews>
  <sheetFormatPr defaultRowHeight="14.4" x14ac:dyDescent="0.3"/>
  <cols>
    <col min="1" max="1" width="13.109375" bestFit="1" customWidth="1"/>
    <col min="2" max="2" width="19.5546875" bestFit="1" customWidth="1"/>
  </cols>
  <sheetData>
    <row r="3" spans="1:14" x14ac:dyDescent="0.3">
      <c r="A3" s="5" t="s">
        <v>21</v>
      </c>
      <c r="B3" t="s">
        <v>34</v>
      </c>
    </row>
    <row r="4" spans="1:14" x14ac:dyDescent="0.3">
      <c r="A4" s="6" t="s">
        <v>23</v>
      </c>
      <c r="B4" s="3">
        <v>5.046666666666666</v>
      </c>
      <c r="D4" s="3" cm="1">
        <f t="array" ref="D4:N4">TRANSPOSE(B4:B14)</f>
        <v>5.046666666666666</v>
      </c>
      <c r="E4" s="3">
        <v>6.6075000000000008</v>
      </c>
      <c r="F4" s="3">
        <v>10.547499999999999</v>
      </c>
      <c r="G4" s="3">
        <v>7.666666666666667</v>
      </c>
      <c r="H4" s="3">
        <v>1.8008333333333335</v>
      </c>
      <c r="I4" s="3">
        <v>1.4741666666666664</v>
      </c>
      <c r="J4" s="3">
        <v>4.7549999999999999</v>
      </c>
      <c r="K4" s="3">
        <v>18.037500000000001</v>
      </c>
      <c r="L4" s="3">
        <v>74.640000583333332</v>
      </c>
      <c r="M4" s="3">
        <v>180.36416883333334</v>
      </c>
      <c r="N4" s="3">
        <v>228.36636072727276</v>
      </c>
    </row>
    <row r="5" spans="1:14" x14ac:dyDescent="0.3">
      <c r="A5" s="6" t="s">
        <v>24</v>
      </c>
      <c r="B5" s="3">
        <v>6.6075000000000008</v>
      </c>
    </row>
    <row r="6" spans="1:14" x14ac:dyDescent="0.3">
      <c r="A6" s="6" t="s">
        <v>25</v>
      </c>
      <c r="B6" s="3">
        <v>10.547499999999999</v>
      </c>
    </row>
    <row r="7" spans="1:14" x14ac:dyDescent="0.3">
      <c r="A7" s="6" t="s">
        <v>26</v>
      </c>
      <c r="B7" s="3">
        <v>7.666666666666667</v>
      </c>
    </row>
    <row r="8" spans="1:14" x14ac:dyDescent="0.3">
      <c r="A8" s="6" t="s">
        <v>27</v>
      </c>
      <c r="B8" s="3">
        <v>1.8008333333333335</v>
      </c>
    </row>
    <row r="9" spans="1:14" x14ac:dyDescent="0.3">
      <c r="A9" s="6" t="s">
        <v>28</v>
      </c>
      <c r="B9" s="3">
        <v>1.4741666666666664</v>
      </c>
    </row>
    <row r="10" spans="1:14" x14ac:dyDescent="0.3">
      <c r="A10" s="6" t="s">
        <v>29</v>
      </c>
      <c r="B10" s="3">
        <v>4.7549999999999999</v>
      </c>
    </row>
    <row r="11" spans="1:14" x14ac:dyDescent="0.3">
      <c r="A11" s="6" t="s">
        <v>30</v>
      </c>
      <c r="B11" s="3">
        <v>18.037500000000001</v>
      </c>
    </row>
    <row r="12" spans="1:14" x14ac:dyDescent="0.3">
      <c r="A12" s="6" t="s">
        <v>31</v>
      </c>
      <c r="B12" s="3">
        <v>74.640000583333332</v>
      </c>
    </row>
    <row r="13" spans="1:14" x14ac:dyDescent="0.3">
      <c r="A13" s="6" t="s">
        <v>32</v>
      </c>
      <c r="B13" s="3">
        <v>180.36416883333334</v>
      </c>
    </row>
    <row r="14" spans="1:14" x14ac:dyDescent="0.3">
      <c r="A14" s="6" t="s">
        <v>33</v>
      </c>
      <c r="B14" s="3">
        <v>228.36636072727276</v>
      </c>
    </row>
    <row r="15" spans="1:14" x14ac:dyDescent="0.3">
      <c r="A15" s="6" t="s">
        <v>22</v>
      </c>
      <c r="B15" s="3">
        <v>48.657578132812503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3F02-F0FE-4617-8C17-D7F6A467EAF7}">
  <dimension ref="A1:B129"/>
  <sheetViews>
    <sheetView workbookViewId="0">
      <selection activeCell="B2" sqref="B2"/>
    </sheetView>
  </sheetViews>
  <sheetFormatPr defaultRowHeight="14.4" x14ac:dyDescent="0.3"/>
  <cols>
    <col min="1" max="1" width="10.6640625" bestFit="1" customWidth="1"/>
  </cols>
  <sheetData>
    <row r="1" spans="1:2" x14ac:dyDescent="0.3">
      <c r="A1" t="s">
        <v>2</v>
      </c>
      <c r="B1" t="s">
        <v>20</v>
      </c>
    </row>
    <row r="2" spans="1:2" x14ac:dyDescent="0.3">
      <c r="A2" s="4">
        <v>41000</v>
      </c>
      <c r="B2">
        <v>7.28</v>
      </c>
    </row>
    <row r="3" spans="1:2" x14ac:dyDescent="0.3">
      <c r="A3" s="4">
        <v>41030</v>
      </c>
      <c r="B3">
        <v>6.9</v>
      </c>
    </row>
    <row r="4" spans="1:2" x14ac:dyDescent="0.3">
      <c r="A4" s="4">
        <v>41061</v>
      </c>
      <c r="B4">
        <v>6.22</v>
      </c>
    </row>
    <row r="5" spans="1:2" x14ac:dyDescent="0.3">
      <c r="A5" s="4">
        <v>41091</v>
      </c>
      <c r="B5">
        <v>5.81</v>
      </c>
    </row>
    <row r="6" spans="1:2" x14ac:dyDescent="0.3">
      <c r="A6" s="4">
        <v>41122</v>
      </c>
      <c r="B6">
        <v>4.96</v>
      </c>
    </row>
    <row r="7" spans="1:2" x14ac:dyDescent="0.3">
      <c r="A7" s="4">
        <v>41153</v>
      </c>
      <c r="B7">
        <v>4.1399999999999997</v>
      </c>
    </row>
    <row r="8" spans="1:2" x14ac:dyDescent="0.3">
      <c r="A8" s="4">
        <v>41183</v>
      </c>
      <c r="B8">
        <v>3.67</v>
      </c>
    </row>
    <row r="9" spans="1:2" x14ac:dyDescent="0.3">
      <c r="A9" s="4">
        <v>41214</v>
      </c>
      <c r="B9">
        <v>2.79</v>
      </c>
    </row>
    <row r="10" spans="1:2" x14ac:dyDescent="0.3">
      <c r="A10" s="4">
        <v>41244</v>
      </c>
      <c r="B10">
        <v>3.65</v>
      </c>
    </row>
    <row r="11" spans="1:2" x14ac:dyDescent="0.3">
      <c r="A11" s="4">
        <v>41275</v>
      </c>
      <c r="B11">
        <v>3.77</v>
      </c>
    </row>
    <row r="12" spans="1:2" x14ac:dyDescent="0.3">
      <c r="A12" s="4">
        <v>41306</v>
      </c>
      <c r="B12">
        <v>4.93</v>
      </c>
    </row>
    <row r="13" spans="1:2" x14ac:dyDescent="0.3">
      <c r="A13" s="4">
        <v>41334</v>
      </c>
      <c r="B13">
        <v>6.2</v>
      </c>
    </row>
    <row r="14" spans="1:2" x14ac:dyDescent="0.3">
      <c r="A14" s="4">
        <v>41365</v>
      </c>
      <c r="B14">
        <v>7.04</v>
      </c>
    </row>
    <row r="15" spans="1:2" x14ac:dyDescent="0.3">
      <c r="A15" s="4">
        <v>41395</v>
      </c>
      <c r="B15">
        <v>7.72</v>
      </c>
    </row>
    <row r="16" spans="1:2" x14ac:dyDescent="0.3">
      <c r="A16" s="4">
        <v>41426</v>
      </c>
      <c r="B16">
        <v>7.73</v>
      </c>
    </row>
    <row r="17" spans="1:2" x14ac:dyDescent="0.3">
      <c r="A17" s="4">
        <v>41456</v>
      </c>
      <c r="B17">
        <v>6.35</v>
      </c>
    </row>
    <row r="18" spans="1:2" x14ac:dyDescent="0.3">
      <c r="A18" s="4">
        <v>41487</v>
      </c>
      <c r="B18">
        <v>6.29</v>
      </c>
    </row>
    <row r="19" spans="1:2" x14ac:dyDescent="0.3">
      <c r="A19" s="4">
        <v>41518</v>
      </c>
      <c r="B19">
        <v>8.1199999999999992</v>
      </c>
    </row>
    <row r="20" spans="1:2" x14ac:dyDescent="0.3">
      <c r="A20" s="4">
        <v>41548</v>
      </c>
      <c r="B20">
        <v>7.55</v>
      </c>
    </row>
    <row r="21" spans="1:2" x14ac:dyDescent="0.3">
      <c r="A21" s="4">
        <v>41579</v>
      </c>
      <c r="B21">
        <v>7.25</v>
      </c>
    </row>
    <row r="22" spans="1:2" x14ac:dyDescent="0.3">
      <c r="A22" s="4">
        <v>41609</v>
      </c>
      <c r="B22">
        <v>6.34</v>
      </c>
    </row>
    <row r="23" spans="1:2" x14ac:dyDescent="0.3">
      <c r="A23" s="4">
        <v>41640</v>
      </c>
      <c r="B23">
        <v>7.4</v>
      </c>
    </row>
    <row r="24" spans="1:2" x14ac:dyDescent="0.3">
      <c r="A24" s="4">
        <v>41671</v>
      </c>
      <c r="B24">
        <v>8.07</v>
      </c>
    </row>
    <row r="25" spans="1:2" x14ac:dyDescent="0.3">
      <c r="A25" s="4">
        <v>41699</v>
      </c>
      <c r="B25">
        <v>7.36</v>
      </c>
    </row>
    <row r="26" spans="1:2" x14ac:dyDescent="0.3">
      <c r="A26" s="4">
        <v>41730</v>
      </c>
      <c r="B26">
        <v>7.55</v>
      </c>
    </row>
    <row r="27" spans="1:2" x14ac:dyDescent="0.3">
      <c r="A27" s="4">
        <v>41760</v>
      </c>
      <c r="B27">
        <v>8.4499999999999993</v>
      </c>
    </row>
    <row r="28" spans="1:2" x14ac:dyDescent="0.3">
      <c r="A28" s="4">
        <v>41791</v>
      </c>
      <c r="B28">
        <v>8.5500000000000007</v>
      </c>
    </row>
    <row r="29" spans="1:2" x14ac:dyDescent="0.3">
      <c r="A29" s="4">
        <v>41821</v>
      </c>
      <c r="B29">
        <v>10.3</v>
      </c>
    </row>
    <row r="30" spans="1:2" x14ac:dyDescent="0.3">
      <c r="A30" s="4">
        <v>41852</v>
      </c>
      <c r="B30">
        <v>14.08</v>
      </c>
    </row>
    <row r="31" spans="1:2" x14ac:dyDescent="0.3">
      <c r="A31" s="4">
        <v>41883</v>
      </c>
      <c r="B31">
        <v>14.99</v>
      </c>
    </row>
    <row r="32" spans="1:2" x14ac:dyDescent="0.3">
      <c r="A32" s="4">
        <v>41913</v>
      </c>
      <c r="B32">
        <v>15.02</v>
      </c>
    </row>
    <row r="33" spans="1:2" x14ac:dyDescent="0.3">
      <c r="A33" s="4">
        <v>41944</v>
      </c>
      <c r="B33">
        <v>10.51</v>
      </c>
    </row>
    <row r="34" spans="1:2" x14ac:dyDescent="0.3">
      <c r="A34" s="4">
        <v>41974</v>
      </c>
      <c r="B34">
        <v>14.29</v>
      </c>
    </row>
    <row r="35" spans="1:2" x14ac:dyDescent="0.3">
      <c r="A35" s="4">
        <v>42005</v>
      </c>
      <c r="B35">
        <v>12.39</v>
      </c>
    </row>
    <row r="36" spans="1:2" x14ac:dyDescent="0.3">
      <c r="A36" s="4">
        <v>42036</v>
      </c>
      <c r="B36">
        <v>13.78</v>
      </c>
    </row>
    <row r="37" spans="1:2" x14ac:dyDescent="0.3">
      <c r="A37" s="4">
        <v>42064</v>
      </c>
      <c r="B37">
        <v>13.19</v>
      </c>
    </row>
    <row r="38" spans="1:2" x14ac:dyDescent="0.3">
      <c r="A38" s="4">
        <v>42095</v>
      </c>
      <c r="B38">
        <v>12.57</v>
      </c>
    </row>
    <row r="39" spans="1:2" x14ac:dyDescent="0.3">
      <c r="A39" s="4">
        <v>42125</v>
      </c>
      <c r="B39">
        <v>9.4700000000000006</v>
      </c>
    </row>
    <row r="40" spans="1:2" x14ac:dyDescent="0.3">
      <c r="A40" s="4">
        <v>42156</v>
      </c>
      <c r="B40">
        <v>7.61</v>
      </c>
    </row>
    <row r="41" spans="1:2" x14ac:dyDescent="0.3">
      <c r="A41" s="4">
        <v>42186</v>
      </c>
      <c r="B41">
        <v>5.91</v>
      </c>
    </row>
    <row r="42" spans="1:2" x14ac:dyDescent="0.3">
      <c r="A42" s="4">
        <v>42217</v>
      </c>
      <c r="B42">
        <v>4.5999999999999996</v>
      </c>
    </row>
    <row r="43" spans="1:2" x14ac:dyDescent="0.3">
      <c r="A43" s="4">
        <v>42248</v>
      </c>
      <c r="B43">
        <v>3.7</v>
      </c>
    </row>
    <row r="44" spans="1:2" x14ac:dyDescent="0.3">
      <c r="A44" s="4">
        <v>42278</v>
      </c>
      <c r="B44">
        <v>3.6</v>
      </c>
    </row>
    <row r="45" spans="1:2" x14ac:dyDescent="0.3">
      <c r="A45" s="4">
        <v>42309</v>
      </c>
      <c r="B45">
        <v>1.67</v>
      </c>
    </row>
    <row r="46" spans="1:2" x14ac:dyDescent="0.3">
      <c r="A46" s="4">
        <v>42339</v>
      </c>
      <c r="B46">
        <v>3.51</v>
      </c>
    </row>
    <row r="47" spans="1:2" x14ac:dyDescent="0.3">
      <c r="A47" s="4">
        <v>42370</v>
      </c>
      <c r="B47">
        <v>2.4300000000000002</v>
      </c>
    </row>
    <row r="48" spans="1:2" x14ac:dyDescent="0.3">
      <c r="A48" s="4">
        <v>42401</v>
      </c>
      <c r="B48">
        <v>2.33</v>
      </c>
    </row>
    <row r="49" spans="1:2" x14ac:dyDescent="0.3">
      <c r="A49" s="4">
        <v>42430</v>
      </c>
      <c r="B49">
        <v>2.33</v>
      </c>
    </row>
    <row r="50" spans="1:2" x14ac:dyDescent="0.3">
      <c r="A50" s="4">
        <v>42461</v>
      </c>
      <c r="B50">
        <v>2.5099999999999998</v>
      </c>
    </row>
    <row r="51" spans="1:2" x14ac:dyDescent="0.3">
      <c r="A51" s="4">
        <v>42491</v>
      </c>
      <c r="B51">
        <v>2.09</v>
      </c>
    </row>
    <row r="52" spans="1:2" x14ac:dyDescent="0.3">
      <c r="A52" s="4">
        <v>42522</v>
      </c>
      <c r="B52">
        <v>1.99</v>
      </c>
    </row>
    <row r="53" spans="1:2" x14ac:dyDescent="0.3">
      <c r="A53" s="4">
        <v>42552</v>
      </c>
      <c r="B53">
        <v>1.8</v>
      </c>
    </row>
    <row r="54" spans="1:2" x14ac:dyDescent="0.3">
      <c r="A54" s="4">
        <v>42583</v>
      </c>
      <c r="B54">
        <v>1.82</v>
      </c>
    </row>
    <row r="55" spans="1:2" x14ac:dyDescent="0.3">
      <c r="A55" s="4">
        <v>42614</v>
      </c>
      <c r="B55">
        <v>1.18</v>
      </c>
    </row>
    <row r="56" spans="1:2" x14ac:dyDescent="0.3">
      <c r="A56" s="4">
        <v>42644</v>
      </c>
      <c r="B56">
        <v>1</v>
      </c>
    </row>
    <row r="57" spans="1:2" x14ac:dyDescent="0.3">
      <c r="A57" s="4">
        <v>42675</v>
      </c>
      <c r="B57">
        <v>1.1200000000000001</v>
      </c>
    </row>
    <row r="58" spans="1:2" x14ac:dyDescent="0.3">
      <c r="A58" s="4">
        <v>42705</v>
      </c>
      <c r="B58">
        <v>1.01</v>
      </c>
    </row>
    <row r="59" spans="1:2" x14ac:dyDescent="0.3">
      <c r="A59" s="4">
        <v>42736</v>
      </c>
      <c r="B59">
        <v>1.49</v>
      </c>
    </row>
    <row r="60" spans="1:2" x14ac:dyDescent="0.3">
      <c r="A60" s="4">
        <v>42767</v>
      </c>
      <c r="B60">
        <v>1.79</v>
      </c>
    </row>
    <row r="61" spans="1:2" x14ac:dyDescent="0.3">
      <c r="A61" s="4">
        <v>42795</v>
      </c>
      <c r="B61">
        <v>1.37</v>
      </c>
    </row>
    <row r="62" spans="1:2" x14ac:dyDescent="0.3">
      <c r="A62" s="4">
        <v>42826</v>
      </c>
      <c r="B62">
        <v>1.19</v>
      </c>
    </row>
    <row r="63" spans="1:2" x14ac:dyDescent="0.3">
      <c r="A63" s="4">
        <v>42856</v>
      </c>
      <c r="B63">
        <v>0.76</v>
      </c>
    </row>
    <row r="64" spans="1:2" x14ac:dyDescent="0.3">
      <c r="A64" s="4">
        <v>42887</v>
      </c>
      <c r="B64">
        <v>0.87</v>
      </c>
    </row>
    <row r="65" spans="1:2" x14ac:dyDescent="0.3">
      <c r="A65" s="4">
        <v>42917</v>
      </c>
      <c r="B65">
        <v>0.94</v>
      </c>
    </row>
    <row r="66" spans="1:2" x14ac:dyDescent="0.3">
      <c r="A66" s="4">
        <v>42948</v>
      </c>
      <c r="B66">
        <v>0.92</v>
      </c>
    </row>
    <row r="67" spans="1:2" x14ac:dyDescent="0.3">
      <c r="A67" s="4">
        <v>42979</v>
      </c>
      <c r="B67">
        <v>1.52</v>
      </c>
    </row>
    <row r="68" spans="1:2" x14ac:dyDescent="0.3">
      <c r="A68" s="4">
        <v>43009</v>
      </c>
      <c r="B68">
        <v>1.53</v>
      </c>
    </row>
    <row r="69" spans="1:2" x14ac:dyDescent="0.3">
      <c r="A69" s="4">
        <v>43040</v>
      </c>
      <c r="B69">
        <v>2.9</v>
      </c>
    </row>
    <row r="70" spans="1:2" x14ac:dyDescent="0.3">
      <c r="A70" s="4">
        <v>43070</v>
      </c>
      <c r="B70">
        <v>2.41</v>
      </c>
    </row>
    <row r="71" spans="1:2" x14ac:dyDescent="0.3">
      <c r="A71" s="4">
        <v>43101</v>
      </c>
      <c r="B71">
        <v>2.2000000000000002</v>
      </c>
    </row>
    <row r="72" spans="1:2" x14ac:dyDescent="0.3">
      <c r="A72" s="4">
        <v>43132</v>
      </c>
      <c r="B72">
        <v>3.32</v>
      </c>
    </row>
    <row r="73" spans="1:2" x14ac:dyDescent="0.3">
      <c r="A73" s="4">
        <v>43160</v>
      </c>
      <c r="B73">
        <v>4.57</v>
      </c>
    </row>
    <row r="74" spans="1:2" x14ac:dyDescent="0.3">
      <c r="A74" s="4">
        <v>43191</v>
      </c>
      <c r="B74">
        <v>4.1500000000000004</v>
      </c>
    </row>
    <row r="75" spans="1:2" x14ac:dyDescent="0.3">
      <c r="A75" s="4">
        <v>43221</v>
      </c>
      <c r="B75">
        <v>5.73</v>
      </c>
    </row>
    <row r="76" spans="1:2" x14ac:dyDescent="0.3">
      <c r="A76" s="4">
        <v>43252</v>
      </c>
      <c r="B76">
        <v>6.73</v>
      </c>
    </row>
    <row r="77" spans="1:2" x14ac:dyDescent="0.3">
      <c r="A77" s="4">
        <v>43282</v>
      </c>
      <c r="B77">
        <v>5.95</v>
      </c>
    </row>
    <row r="78" spans="1:2" x14ac:dyDescent="0.3">
      <c r="A78" s="4">
        <v>43313</v>
      </c>
      <c r="B78">
        <v>4.8899999999999997</v>
      </c>
    </row>
    <row r="79" spans="1:2" x14ac:dyDescent="0.3">
      <c r="A79" s="4">
        <v>43344</v>
      </c>
      <c r="B79">
        <v>4.8499999999999996</v>
      </c>
    </row>
    <row r="80" spans="1:2" x14ac:dyDescent="0.3">
      <c r="A80" s="4">
        <v>43374</v>
      </c>
      <c r="B80">
        <v>4.54</v>
      </c>
    </row>
    <row r="81" spans="1:2" x14ac:dyDescent="0.3">
      <c r="A81" s="4">
        <v>43405</v>
      </c>
      <c r="B81">
        <v>5.4</v>
      </c>
    </row>
    <row r="82" spans="1:2" x14ac:dyDescent="0.3">
      <c r="A82" s="4">
        <v>43435</v>
      </c>
      <c r="B82">
        <v>4.7300000000000004</v>
      </c>
    </row>
    <row r="83" spans="1:2" x14ac:dyDescent="0.3">
      <c r="A83" s="4">
        <v>43466</v>
      </c>
      <c r="B83">
        <v>7.23</v>
      </c>
    </row>
    <row r="84" spans="1:2" x14ac:dyDescent="0.3">
      <c r="A84" s="4">
        <v>43497</v>
      </c>
      <c r="B84">
        <v>9.07</v>
      </c>
    </row>
    <row r="85" spans="1:2" x14ac:dyDescent="0.3">
      <c r="A85" s="4">
        <v>43525</v>
      </c>
      <c r="B85">
        <v>9.23</v>
      </c>
    </row>
    <row r="86" spans="1:2" x14ac:dyDescent="0.3">
      <c r="A86" s="4">
        <v>43556</v>
      </c>
      <c r="B86">
        <v>10.039999999999999</v>
      </c>
    </row>
    <row r="87" spans="1:2" x14ac:dyDescent="0.3">
      <c r="A87" s="4">
        <v>43586</v>
      </c>
      <c r="B87">
        <v>15.17</v>
      </c>
    </row>
    <row r="88" spans="1:2" x14ac:dyDescent="0.3">
      <c r="A88" s="4">
        <v>43617</v>
      </c>
      <c r="B88">
        <v>18.23</v>
      </c>
    </row>
    <row r="89" spans="1:2" x14ac:dyDescent="0.3">
      <c r="A89" s="4">
        <v>43647</v>
      </c>
      <c r="B89">
        <v>28.15</v>
      </c>
    </row>
    <row r="90" spans="1:2" x14ac:dyDescent="0.3">
      <c r="A90" s="4">
        <v>43678</v>
      </c>
      <c r="B90">
        <v>29.67</v>
      </c>
    </row>
    <row r="91" spans="1:2" x14ac:dyDescent="0.3">
      <c r="A91" s="4">
        <v>43709</v>
      </c>
      <c r="B91">
        <v>22.23</v>
      </c>
    </row>
    <row r="92" spans="1:2" x14ac:dyDescent="0.3">
      <c r="A92" s="4">
        <v>43739</v>
      </c>
      <c r="B92">
        <v>19.43</v>
      </c>
    </row>
    <row r="93" spans="1:2" x14ac:dyDescent="0.3">
      <c r="A93" s="4">
        <v>43770</v>
      </c>
      <c r="B93">
        <v>21.870000999999998</v>
      </c>
    </row>
    <row r="94" spans="1:2" x14ac:dyDescent="0.3">
      <c r="A94" s="4">
        <v>43800</v>
      </c>
      <c r="B94">
        <v>26.129999000000002</v>
      </c>
    </row>
    <row r="95" spans="1:2" x14ac:dyDescent="0.3">
      <c r="A95" s="4">
        <v>43831</v>
      </c>
      <c r="B95">
        <v>31.52</v>
      </c>
    </row>
    <row r="96" spans="1:2" x14ac:dyDescent="0.3">
      <c r="A96" s="4">
        <v>43862</v>
      </c>
      <c r="B96">
        <v>48.970001000000003</v>
      </c>
    </row>
    <row r="97" spans="1:2" x14ac:dyDescent="0.3">
      <c r="A97" s="4">
        <v>43891</v>
      </c>
      <c r="B97">
        <v>32.290000999999997</v>
      </c>
    </row>
    <row r="98" spans="1:2" x14ac:dyDescent="0.3">
      <c r="A98" s="4">
        <v>43922</v>
      </c>
      <c r="B98">
        <v>46.830002</v>
      </c>
    </row>
    <row r="99" spans="1:2" x14ac:dyDescent="0.3">
      <c r="A99" s="4">
        <v>43952</v>
      </c>
      <c r="B99">
        <v>58.189999</v>
      </c>
    </row>
    <row r="100" spans="1:2" x14ac:dyDescent="0.3">
      <c r="A100" s="4">
        <v>43983</v>
      </c>
      <c r="B100">
        <v>47.57</v>
      </c>
    </row>
    <row r="101" spans="1:2" x14ac:dyDescent="0.3">
      <c r="A101" s="4">
        <v>44013</v>
      </c>
      <c r="B101">
        <v>60.360000999999997</v>
      </c>
    </row>
    <row r="102" spans="1:2" x14ac:dyDescent="0.3">
      <c r="A102" s="4">
        <v>44044</v>
      </c>
      <c r="B102">
        <v>77.230002999999996</v>
      </c>
    </row>
    <row r="103" spans="1:2" x14ac:dyDescent="0.3">
      <c r="A103" s="4">
        <v>44075</v>
      </c>
      <c r="B103">
        <v>82.589995999999999</v>
      </c>
    </row>
    <row r="104" spans="1:2" x14ac:dyDescent="0.3">
      <c r="A104" s="4">
        <v>44105</v>
      </c>
      <c r="B104">
        <v>98.089995999999999</v>
      </c>
    </row>
    <row r="105" spans="1:2" x14ac:dyDescent="0.3">
      <c r="A105" s="4">
        <v>44136</v>
      </c>
      <c r="B105">
        <v>136.570007</v>
      </c>
    </row>
    <row r="106" spans="1:2" x14ac:dyDescent="0.3">
      <c r="A106" s="4">
        <v>44166</v>
      </c>
      <c r="B106">
        <v>175.470001</v>
      </c>
    </row>
    <row r="107" spans="1:2" x14ac:dyDescent="0.3">
      <c r="A107" s="4">
        <v>44197</v>
      </c>
      <c r="B107">
        <v>182.35000600000001</v>
      </c>
    </row>
    <row r="108" spans="1:2" x14ac:dyDescent="0.3">
      <c r="A108" s="4">
        <v>44228</v>
      </c>
      <c r="B108">
        <v>176.05999800000001</v>
      </c>
    </row>
    <row r="109" spans="1:2" x14ac:dyDescent="0.3">
      <c r="A109" s="4">
        <v>44256</v>
      </c>
      <c r="B109">
        <v>162.16000399999999</v>
      </c>
    </row>
    <row r="110" spans="1:2" x14ac:dyDescent="0.3">
      <c r="A110" s="4">
        <v>44287</v>
      </c>
      <c r="B110">
        <v>139.25</v>
      </c>
    </row>
    <row r="111" spans="1:2" x14ac:dyDescent="0.3">
      <c r="A111" s="4">
        <v>44317</v>
      </c>
      <c r="B111">
        <v>143.050003</v>
      </c>
    </row>
    <row r="112" spans="1:2" x14ac:dyDescent="0.3">
      <c r="A112" s="4">
        <v>44348</v>
      </c>
      <c r="B112">
        <v>183.63000500000001</v>
      </c>
    </row>
    <row r="113" spans="1:2" x14ac:dyDescent="0.3">
      <c r="A113" s="4">
        <v>44378</v>
      </c>
      <c r="B113">
        <v>189.60000600000001</v>
      </c>
    </row>
    <row r="114" spans="1:2" x14ac:dyDescent="0.3">
      <c r="A114" s="4">
        <v>44409</v>
      </c>
      <c r="B114">
        <v>173.729996</v>
      </c>
    </row>
    <row r="115" spans="1:2" x14ac:dyDescent="0.3">
      <c r="A115" s="4">
        <v>44440</v>
      </c>
      <c r="B115">
        <v>149.970001</v>
      </c>
    </row>
    <row r="116" spans="1:2" x14ac:dyDescent="0.3">
      <c r="A116" s="4">
        <v>44470</v>
      </c>
      <c r="B116">
        <v>231.63000500000001</v>
      </c>
    </row>
    <row r="117" spans="1:2" x14ac:dyDescent="0.3">
      <c r="A117" s="4">
        <v>44501</v>
      </c>
      <c r="B117">
        <v>250</v>
      </c>
    </row>
    <row r="118" spans="1:2" x14ac:dyDescent="0.3">
      <c r="A118" s="4">
        <v>44531</v>
      </c>
      <c r="B118">
        <v>182.94000199999999</v>
      </c>
    </row>
    <row r="119" spans="1:2" x14ac:dyDescent="0.3">
      <c r="A119" s="4">
        <v>44562</v>
      </c>
      <c r="B119">
        <v>140.470001</v>
      </c>
    </row>
    <row r="120" spans="1:2" x14ac:dyDescent="0.3">
      <c r="A120" s="4">
        <v>44593</v>
      </c>
      <c r="B120">
        <v>166.699997</v>
      </c>
    </row>
    <row r="121" spans="1:2" x14ac:dyDescent="0.3">
      <c r="A121" s="4">
        <v>44621</v>
      </c>
      <c r="B121">
        <v>201.779999</v>
      </c>
    </row>
    <row r="122" spans="1:2" x14ac:dyDescent="0.3">
      <c r="A122" s="4">
        <v>44652</v>
      </c>
      <c r="B122">
        <v>161.39999399999999</v>
      </c>
    </row>
    <row r="123" spans="1:2" x14ac:dyDescent="0.3">
      <c r="A123" s="4">
        <v>44682</v>
      </c>
      <c r="B123">
        <v>186.19000199999999</v>
      </c>
    </row>
    <row r="124" spans="1:2" x14ac:dyDescent="0.3">
      <c r="A124" s="4">
        <v>44713</v>
      </c>
      <c r="B124">
        <v>195.240005</v>
      </c>
    </row>
    <row r="125" spans="1:2" x14ac:dyDescent="0.3">
      <c r="A125" s="4">
        <v>44743</v>
      </c>
      <c r="B125">
        <v>284.17999300000002</v>
      </c>
    </row>
    <row r="126" spans="1:2" x14ac:dyDescent="0.3">
      <c r="A126" s="4">
        <v>44774</v>
      </c>
      <c r="B126">
        <v>286.44000199999999</v>
      </c>
    </row>
    <row r="127" spans="1:2" x14ac:dyDescent="0.3">
      <c r="A127" s="4">
        <v>44805</v>
      </c>
      <c r="B127">
        <v>277.47000100000002</v>
      </c>
    </row>
    <row r="128" spans="1:2" x14ac:dyDescent="0.3">
      <c r="A128" s="4">
        <v>44835</v>
      </c>
      <c r="B128">
        <v>306.07998700000002</v>
      </c>
    </row>
    <row r="129" spans="1:2" x14ac:dyDescent="0.3">
      <c r="A129" s="4">
        <v>44861</v>
      </c>
      <c r="B129">
        <v>306.07998700000002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ENPH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Tido</dc:creator>
  <cp:lastModifiedBy>Theodor Hogan</cp:lastModifiedBy>
  <dcterms:created xsi:type="dcterms:W3CDTF">2015-06-05T18:17:20Z</dcterms:created>
  <dcterms:modified xsi:type="dcterms:W3CDTF">2023-09-27T09:54:58Z</dcterms:modified>
</cp:coreProperties>
</file>