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371" documentId="13_ncr:1_{D3CC416C-1B12-450B-83DF-B864BCF3747F}" xr6:coauthVersionLast="47" xr6:coauthVersionMax="47" xr10:uidLastSave="{203B25E6-4048-4A4D-9A34-52ED63F1E51F}"/>
  <bookViews>
    <workbookView xWindow="-108" yWindow="-108" windowWidth="23256" windowHeight="12456" xr2:uid="{00000000-000D-0000-FFFF-FFFF00000000}"/>
  </bookViews>
  <sheets>
    <sheet name="Valuation" sheetId="1" r:id="rId1"/>
    <sheet name="NVDA" sheetId="2" r:id="rId2"/>
    <sheet name="Sheet4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2" i="1" l="1"/>
  <c r="AD20" i="1"/>
  <c r="AD18" i="1"/>
  <c r="AD17" i="1"/>
  <c r="AD10" i="1"/>
  <c r="AA36" i="1"/>
  <c r="AD8" i="1"/>
  <c r="AD7" i="1"/>
  <c r="AA18" i="1"/>
  <c r="AA14" i="1"/>
  <c r="Q10" i="1"/>
  <c r="L10" i="1"/>
  <c r="K10" i="1"/>
  <c r="J10" i="1"/>
  <c r="I10" i="1"/>
  <c r="H10" i="1"/>
  <c r="G10" i="1"/>
  <c r="F10" i="1"/>
  <c r="E10" i="1"/>
  <c r="D10" i="1"/>
  <c r="S3" i="1"/>
  <c r="T3" i="1" s="1"/>
  <c r="U3" i="1" s="1"/>
  <c r="V3" i="1" s="1"/>
  <c r="W3" i="1" s="1"/>
  <c r="X3" i="1" s="1"/>
  <c r="Y3" i="1" s="1"/>
  <c r="Z3" i="1" s="1"/>
  <c r="AA3" i="1" s="1"/>
  <c r="N20" i="1"/>
  <c r="M20" i="1"/>
  <c r="N34" i="1"/>
  <c r="N38" i="1" s="1"/>
  <c r="N17" i="1"/>
  <c r="N18" i="1" s="1"/>
  <c r="N22" i="1" s="1"/>
  <c r="N24" i="1" s="1"/>
  <c r="N13" i="1"/>
  <c r="N14" i="1" s="1"/>
  <c r="N26" i="1" s="1"/>
  <c r="N8" i="1"/>
  <c r="D16" i="4"/>
  <c r="D15" i="4"/>
  <c r="M34" i="1"/>
  <c r="M38" i="1" s="1"/>
  <c r="M8" i="1"/>
  <c r="M17" i="1"/>
  <c r="M18" i="1" s="1"/>
  <c r="M14" i="1"/>
  <c r="M26" i="1" s="1"/>
  <c r="M13" i="1"/>
  <c r="Q40" i="1"/>
  <c r="Q30" i="1"/>
  <c r="Q28" i="1"/>
  <c r="Q4" i="1"/>
  <c r="M22" i="1" l="1"/>
  <c r="M24" i="1" s="1"/>
  <c r="E36" i="1"/>
  <c r="E20" i="1" s="1"/>
  <c r="C36" i="1"/>
  <c r="D36" i="1"/>
  <c r="D20" i="1" s="1"/>
  <c r="C17" i="1"/>
  <c r="C18" i="1" s="1"/>
  <c r="D17" i="1"/>
  <c r="D18" i="1" s="1"/>
  <c r="D13" i="1"/>
  <c r="D14" i="1" s="1"/>
  <c r="E17" i="1"/>
  <c r="E18" i="1" s="1"/>
  <c r="F17" i="1"/>
  <c r="F18" i="1" s="1"/>
  <c r="E13" i="1"/>
  <c r="E14" i="1" s="1"/>
  <c r="F36" i="1"/>
  <c r="F20" i="1" s="1"/>
  <c r="G36" i="1"/>
  <c r="G20" i="1" s="1"/>
  <c r="F34" i="1"/>
  <c r="E34" i="1"/>
  <c r="D34" i="1"/>
  <c r="C34" i="1"/>
  <c r="G32" i="1"/>
  <c r="G34" i="1" s="1"/>
  <c r="G17" i="1"/>
  <c r="G18" i="1" s="1"/>
  <c r="H17" i="1"/>
  <c r="H18" i="1" s="1"/>
  <c r="H36" i="1"/>
  <c r="H20" i="1" s="1"/>
  <c r="I36" i="1"/>
  <c r="I34" i="1"/>
  <c r="H34" i="1"/>
  <c r="J18" i="1"/>
  <c r="I16" i="1"/>
  <c r="I18" i="1" s="1"/>
  <c r="I14" i="1"/>
  <c r="H14" i="1"/>
  <c r="G14" i="1"/>
  <c r="F14" i="1"/>
  <c r="C14" i="1"/>
  <c r="J13" i="1"/>
  <c r="J14" i="1" s="1"/>
  <c r="J26" i="1" s="1"/>
  <c r="I8" i="1"/>
  <c r="H8" i="1"/>
  <c r="G8" i="1"/>
  <c r="F8" i="1"/>
  <c r="E8" i="1"/>
  <c r="D8" i="1"/>
  <c r="C8" i="1"/>
  <c r="J36" i="1"/>
  <c r="K36" i="1"/>
  <c r="K20" i="1" s="1"/>
  <c r="K34" i="1"/>
  <c r="K38" i="1" s="1"/>
  <c r="K42" i="1" s="1"/>
  <c r="J34" i="1"/>
  <c r="K8" i="1"/>
  <c r="J8" i="1"/>
  <c r="L8" i="1"/>
  <c r="L34" i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D14" i="1" s="1"/>
  <c r="AD16" i="1" s="1"/>
  <c r="AD19" i="1" s="1"/>
  <c r="AD21" i="1" s="1"/>
  <c r="L20" i="1"/>
  <c r="D3" i="4" a="1"/>
  <c r="D3" i="4" s="1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K16" i="1"/>
  <c r="K17" i="1"/>
  <c r="L17" i="1"/>
  <c r="L16" i="1"/>
  <c r="K13" i="1"/>
  <c r="K14" i="1" s="1"/>
  <c r="K26" i="1" s="1"/>
  <c r="L13" i="1"/>
  <c r="L14" i="1" s="1"/>
  <c r="Q14" i="1" s="1"/>
  <c r="L38" i="1" l="1"/>
  <c r="L42" i="1" s="1"/>
  <c r="Q42" i="1" s="1"/>
  <c r="Q34" i="1"/>
  <c r="Q8" i="1"/>
  <c r="R8" i="1"/>
  <c r="S8" i="1" s="1"/>
  <c r="T8" i="1" s="1"/>
  <c r="U8" i="1" s="1"/>
  <c r="V8" i="1" s="1"/>
  <c r="W8" i="1" s="1"/>
  <c r="X8" i="1" s="1"/>
  <c r="Y8" i="1" s="1"/>
  <c r="Z8" i="1" s="1"/>
  <c r="AA8" i="1" s="1"/>
  <c r="AD4" i="1" s="1"/>
  <c r="AD6" i="1" s="1"/>
  <c r="AD9" i="1" s="1"/>
  <c r="AD11" i="1" s="1"/>
  <c r="C20" i="1"/>
  <c r="C22" i="1" s="1"/>
  <c r="C24" i="1" s="1"/>
  <c r="Q36" i="1"/>
  <c r="Q20" i="1"/>
  <c r="H38" i="1"/>
  <c r="H42" i="1" s="1"/>
  <c r="I26" i="1"/>
  <c r="L26" i="1"/>
  <c r="L18" i="1"/>
  <c r="H26" i="1"/>
  <c r="J38" i="1"/>
  <c r="J42" i="1" s="1"/>
  <c r="H22" i="1"/>
  <c r="H24" i="1" s="1"/>
  <c r="K18" i="1"/>
  <c r="K22" i="1" s="1"/>
  <c r="K24" i="1" s="1"/>
  <c r="G26" i="1"/>
  <c r="G22" i="1"/>
  <c r="G24" i="1" s="1"/>
  <c r="C38" i="1"/>
  <c r="C42" i="1" s="1"/>
  <c r="I38" i="1"/>
  <c r="I42" i="1" s="1"/>
  <c r="D38" i="1"/>
  <c r="D42" i="1" s="1"/>
  <c r="I20" i="1"/>
  <c r="I22" i="1" s="1"/>
  <c r="I24" i="1" s="1"/>
  <c r="J20" i="1"/>
  <c r="J22" i="1" s="1"/>
  <c r="J24" i="1" s="1"/>
  <c r="F38" i="1"/>
  <c r="F42" i="1" s="1"/>
  <c r="E38" i="1"/>
  <c r="E42" i="1" s="1"/>
  <c r="D22" i="1"/>
  <c r="D24" i="1" s="1"/>
  <c r="C26" i="1"/>
  <c r="F22" i="1"/>
  <c r="F24" i="1" s="1"/>
  <c r="E22" i="1"/>
  <c r="E24" i="1" s="1"/>
  <c r="F26" i="1"/>
  <c r="D26" i="1"/>
  <c r="E26" i="1"/>
  <c r="G38" i="1"/>
  <c r="G42" i="1" s="1"/>
  <c r="D3" i="1"/>
  <c r="E3" i="1" s="1"/>
  <c r="F3" i="1" s="1"/>
  <c r="G3" i="1" s="1"/>
  <c r="H3" i="1" s="1"/>
  <c r="I3" i="1" s="1"/>
  <c r="J3" i="1" s="1"/>
  <c r="K3" i="1" s="1"/>
  <c r="L3" i="1" s="1"/>
  <c r="L22" i="1" l="1"/>
  <c r="L24" i="1" s="1"/>
  <c r="Q24" i="1" s="1"/>
  <c r="Q18" i="1"/>
  <c r="Q38" i="1"/>
  <c r="Q26" i="1"/>
  <c r="Q2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<sst xmlns="http://schemas.openxmlformats.org/spreadsheetml/2006/main" count="76" uniqueCount="71">
  <si>
    <t>NVDA</t>
  </si>
  <si>
    <t>Revenue</t>
  </si>
  <si>
    <t>Year</t>
  </si>
  <si>
    <t>EBIT</t>
  </si>
  <si>
    <t>Depr. &amp; Armort.</t>
  </si>
  <si>
    <t>EBITDA</t>
  </si>
  <si>
    <t>ST Debt</t>
  </si>
  <si>
    <t>LT Debt</t>
  </si>
  <si>
    <t>ST + LT Debt</t>
  </si>
  <si>
    <t>2x</t>
  </si>
  <si>
    <t>Current assets + ST invest.</t>
  </si>
  <si>
    <t>Current liablilites</t>
  </si>
  <si>
    <t>Excess cash</t>
  </si>
  <si>
    <t>Market cap</t>
  </si>
  <si>
    <t>EV</t>
  </si>
  <si>
    <t>Net debt/EBITDA</t>
  </si>
  <si>
    <t>EV/EBITDA</t>
  </si>
  <si>
    <t>CFO</t>
  </si>
  <si>
    <t>CapEx</t>
  </si>
  <si>
    <t>FCFE</t>
  </si>
  <si>
    <t>CS Outstanding</t>
  </si>
  <si>
    <t>FCFE/Shr</t>
  </si>
  <si>
    <t>Shr price</t>
  </si>
  <si>
    <t>FCFE yield</t>
  </si>
  <si>
    <t>Low</t>
  </si>
  <si>
    <t>High</t>
  </si>
  <si>
    <t>Date</t>
  </si>
  <si>
    <t>Average</t>
  </si>
  <si>
    <t>Row Labels</t>
  </si>
  <si>
    <t>Grand Total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</si>
  <si>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</si>
  <si>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</si>
  <si>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</si>
  <si>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</si>
  <si>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</si>
  <si>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</si>
  <si>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</si>
  <si>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</si>
  <si>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</si>
  <si>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</si>
  <si>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</si>
  <si>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Average of Average</t>
  </si>
  <si>
    <t>Debt issuance/Pmt</t>
  </si>
  <si>
    <t>in millions</t>
  </si>
  <si>
    <t>2021  June stock split 1 to 4</t>
  </si>
  <si>
    <t>Q122</t>
  </si>
  <si>
    <t>Q222</t>
  </si>
  <si>
    <t>Q322</t>
  </si>
  <si>
    <t>Q422</t>
  </si>
  <si>
    <t>Jan</t>
  </si>
  <si>
    <t>Feb</t>
  </si>
  <si>
    <t>Mar</t>
  </si>
  <si>
    <t>Apr</t>
  </si>
  <si>
    <t>May</t>
  </si>
  <si>
    <t>Jun</t>
  </si>
  <si>
    <t>Jul</t>
  </si>
  <si>
    <t>Aug</t>
  </si>
  <si>
    <t>CAGR/AVG</t>
  </si>
  <si>
    <t>EBITDA Multiple</t>
  </si>
  <si>
    <t>Add cash</t>
  </si>
  <si>
    <t>Sub debt</t>
  </si>
  <si>
    <t>Sub Debt</t>
  </si>
  <si>
    <t>Market Cap</t>
  </si>
  <si>
    <t>Shares</t>
  </si>
  <si>
    <t>Multiple</t>
  </si>
  <si>
    <t>EBITDA 2031</t>
  </si>
  <si>
    <t>P/Shr 2031</t>
  </si>
  <si>
    <t>FCFE Multiple</t>
  </si>
  <si>
    <t>FCFE 2031</t>
  </si>
  <si>
    <t>Yield</t>
  </si>
  <si>
    <t>$/Shr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</si>
</sst>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[$$-409]* #,##0_);_([$$-409]* \(#,##0\);_([$$-409]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/>
    <xf numFmtId="14" fontId="0" fillId="0" borderId="0" xfId="0" applyNumberFormat="1"/>
    <xf numFmtId="4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0" fontId="2" fillId="0" borderId="0" xfId="1" applyNumberFormat="1" applyFont="1"/>
    <xf numFmtId="0" fontId="1" fillId="3" borderId="0" xfId="0" applyFont="1" applyFill="1" applyAlignment="1">
      <alignment horizontal="center"/>
    </xf>
    <xf numFmtId="9" fontId="5" fillId="0" borderId="0" xfId="1" applyFont="1"/>
    <xf numFmtId="164" fontId="0" fillId="0" borderId="0" xfId="0" applyNumberFormat="1"/>
    <xf numFmtId="0" fontId="1" fillId="4" borderId="0" xfId="0" applyFont="1" applyFill="1" applyAlignment="1">
      <alignment horizontal="center"/>
    </xf>
    <xf numFmtId="0" fontId="0" fillId="0" borderId="1" xfId="0" applyBorder="1"/>
    <xf numFmtId="14" fontId="0" fillId="0" borderId="0" xfId="0" applyNumberFormat="1" applyAlignment="1">
      <alignment horizontal="left" indent="1"/>
    </xf>
    <xf numFmtId="0" fontId="0" fillId="5" borderId="0" xfId="0" applyFill="1"/>
    <xf numFmtId="165" fontId="2" fillId="5" borderId="0" xfId="0" applyNumberFormat="1" applyFont="1" applyFill="1"/>
    <xf numFmtId="0" fontId="0" fillId="5" borderId="1" xfId="0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164" fontId="0" fillId="5" borderId="0" xfId="0" applyNumberFormat="1" applyFill="1"/>
    <xf numFmtId="2" fontId="2" fillId="5" borderId="0" xfId="0" applyNumberFormat="1" applyFont="1" applyFill="1"/>
    <xf numFmtId="165" fontId="0" fillId="5" borderId="0" xfId="0" applyNumberFormat="1" applyFill="1"/>
    <xf numFmtId="165" fontId="0" fillId="0" borderId="0" xfId="0" applyNumberFormat="1"/>
    <xf numFmtId="9" fontId="5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0" fontId="5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9" fontId="0" fillId="0" borderId="0" xfId="0" applyNumberFormat="1"/>
    <xf numFmtId="9" fontId="2" fillId="0" borderId="0" xfId="0" applyNumberFormat="1" applyFont="1"/>
    <xf numFmtId="0" fontId="0" fillId="0" borderId="0" xfId="0" applyAlignment="1">
      <alignment horizontal="left" indent="1"/>
    </xf>
    <xf numFmtId="3" fontId="0" fillId="0" borderId="0" xfId="0" applyNumberFormat="1"/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do" refreshedDate="44803.772615162037" createdVersion="8" refreshedVersion="8" minRefreshableVersion="3" recordCount="128" xr:uid="{68F7DC3F-E4CA-49EB-B41E-A7D6D819DD95}">
  <cacheSource type="worksheet">
    <worksheetSource ref="A1:D129" sheet="NVDA"/>
  </cacheSource>
  <cacheFields count="6">
    <cacheField name="Date" numFmtId="14">
      <sharedItems containsSemiMixedTypes="0" containsNonDate="0" containsDate="1" containsString="0" minDate="2012-01-01T00:00:00" maxDate="2022-08-02T00:00:00" count="128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</sharedItems>
      <fieldGroup par="5" base="0">
        <rangePr groupBy="months" startDate="2012-01-01T00:00:00" endDate="2022-08-02T00:00:00"/>
        <groupItems count="14">
          <s v="&lt;1/1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22"/>
        </groupItems>
      </fieldGroup>
    </cacheField>
    <cacheField name="High" numFmtId="0">
      <sharedItems containsSemiMixedTypes="0" containsString="0" containsNumber="1" minValue="3.2025000000000001" maxValue="346.47000100000002"/>
    </cacheField>
    <cacheField name="Low" numFmtId="0">
      <sharedItems containsSemiMixedTypes="0" containsString="0" containsNumber="1" minValue="2.7875000000000001" maxValue="271.45001200000002"/>
    </cacheField>
    <cacheField name="Average" numFmtId="2">
      <sharedItems containsSemiMixedTypes="0" containsString="0" containsNumber="1" minValue="3.0287500000000001" maxValue="302.17001349999998"/>
    </cacheField>
    <cacheField name="Quarters" numFmtId="0" databaseField="0">
      <fieldGroup base="0">
        <rangePr groupBy="quarters" startDate="2012-01-01T00:00:00" endDate="2022-08-02T00:00:00"/>
        <groupItems count="6">
          <s v="&lt;1/1/2012"/>
          <s v="Qtr1"/>
          <s v="Qtr2"/>
          <s v="Qtr3"/>
          <s v="Qtr4"/>
          <s v="&gt;8/2/2022"/>
        </groupItems>
      </fieldGroup>
    </cacheField>
    <cacheField name="Years" numFmtId="0" databaseField="0">
      <fieldGroup base="0">
        <rangePr groupBy="years" startDate="2012-01-01T00:00:00" endDate="2022-08-02T00:00:00"/>
        <groupItems count="13">
          <s v="&lt;1/1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&gt;8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x v="0"/>
    <n v="3.81"/>
    <n v="3.375"/>
    <n v="3.5925000000000002"/>
  </r>
  <r>
    <x v="1"/>
    <n v="4.2249999999999996"/>
    <n v="3.6825000000000001"/>
    <n v="3.9537499999999999"/>
  </r>
  <r>
    <x v="2"/>
    <n v="3.9"/>
    <n v="3.56"/>
    <n v="3.73"/>
  </r>
  <r>
    <x v="3"/>
    <n v="3.8725000000000001"/>
    <n v="3.1875"/>
    <n v="3.5300000000000002"/>
  </r>
  <r>
    <x v="4"/>
    <n v="3.42"/>
    <n v="2.9575"/>
    <n v="3.1887499999999998"/>
  </r>
  <r>
    <x v="5"/>
    <n v="3.4624999999999999"/>
    <n v="2.9075000000000002"/>
    <n v="3.1850000000000001"/>
  </r>
  <r>
    <x v="6"/>
    <n v="3.4750000000000001"/>
    <n v="3.04"/>
    <n v="3.2575000000000003"/>
  </r>
  <r>
    <x v="7"/>
    <n v="3.8050000000000002"/>
    <n v="3.2749999999999999"/>
    <n v="3.54"/>
  </r>
  <r>
    <x v="8"/>
    <n v="3.5225"/>
    <n v="3.2374999999999998"/>
    <n v="3.38"/>
  </r>
  <r>
    <x v="9"/>
    <n v="3.45"/>
    <n v="2.9575"/>
    <n v="3.2037500000000003"/>
  </r>
  <r>
    <x v="10"/>
    <n v="3.27"/>
    <n v="2.7875000000000001"/>
    <n v="3.0287500000000001"/>
  </r>
  <r>
    <x v="11"/>
    <n v="3.2025000000000001"/>
    <n v="2.9249999999999998"/>
    <n v="3.0637499999999998"/>
  </r>
  <r>
    <x v="12"/>
    <n v="3.2974999999999999"/>
    <n v="2.9775"/>
    <n v="3.1375000000000002"/>
  </r>
  <r>
    <x v="13"/>
    <n v="3.2124999999999999"/>
    <n v="3.0125000000000002"/>
    <n v="3.1124999999999998"/>
  </r>
  <r>
    <x v="14"/>
    <n v="3.25"/>
    <n v="3.08"/>
    <n v="3.165"/>
  </r>
  <r>
    <x v="15"/>
    <n v="3.4424999999999999"/>
    <n v="3.01"/>
    <n v="3.2262499999999998"/>
  </r>
  <r>
    <x v="16"/>
    <n v="3.7450000000000001"/>
    <n v="3.38"/>
    <n v="3.5625"/>
  </r>
  <r>
    <x v="17"/>
    <n v="3.87"/>
    <n v="3.4575"/>
    <n v="3.6637500000000003"/>
  </r>
  <r>
    <x v="18"/>
    <n v="3.6949999999999998"/>
    <n v="3.49"/>
    <n v="3.5925000000000002"/>
  </r>
  <r>
    <x v="19"/>
    <n v="3.85"/>
    <n v="3.2774999999999999"/>
    <n v="3.5637499999999998"/>
  </r>
  <r>
    <x v="20"/>
    <n v="4.0250000000000004"/>
    <n v="3.6675"/>
    <n v="3.8462500000000004"/>
  </r>
  <r>
    <x v="21"/>
    <n v="4.0025000000000004"/>
    <n v="3.75"/>
    <n v="3.8762500000000002"/>
  </r>
  <r>
    <x v="22"/>
    <n v="4.08"/>
    <n v="3.63"/>
    <n v="3.855"/>
  </r>
  <r>
    <x v="23"/>
    <n v="4.0250000000000004"/>
    <n v="3.7250000000000001"/>
    <n v="3.875"/>
  </r>
  <r>
    <x v="24"/>
    <n v="4.1100000000000003"/>
    <n v="3.8325"/>
    <n v="3.9712500000000004"/>
  </r>
  <r>
    <x v="25"/>
    <n v="4.7625000000000002"/>
    <n v="3.83"/>
    <n v="4.2962500000000006"/>
  </r>
  <r>
    <x v="26"/>
    <n v="4.7424999999999997"/>
    <n v="4.3899999999999997"/>
    <n v="4.5662500000000001"/>
  </r>
  <r>
    <x v="27"/>
    <n v="4.8650000000000002"/>
    <n v="4.47"/>
    <n v="4.6675000000000004"/>
  </r>
  <r>
    <x v="28"/>
    <n v="4.7824999999999998"/>
    <n v="4.4275000000000002"/>
    <n v="4.6050000000000004"/>
  </r>
  <r>
    <x v="29"/>
    <n v="4.9325000000000001"/>
    <n v="4.5575000000000001"/>
    <n v="4.7450000000000001"/>
  </r>
  <r>
    <x v="30"/>
    <n v="4.9000000000000004"/>
    <n v="4.3550000000000004"/>
    <n v="4.6275000000000004"/>
  </r>
  <r>
    <x v="31"/>
    <n v="4.8724999999999996"/>
    <n v="4.335"/>
    <n v="4.6037499999999998"/>
  </r>
  <r>
    <x v="32"/>
    <n v="5.0374999999999996"/>
    <n v="4.5549999999999997"/>
    <n v="4.7962499999999997"/>
  </r>
  <r>
    <x v="33"/>
    <n v="4.8875000000000002"/>
    <n v="4.1924999999999999"/>
    <n v="4.54"/>
  </r>
  <r>
    <x v="34"/>
    <n v="5.2725"/>
    <n v="4.8449999999999998"/>
    <n v="5.0587499999999999"/>
  </r>
  <r>
    <x v="35"/>
    <n v="5.3125"/>
    <n v="4.7750000000000004"/>
    <n v="5.0437500000000002"/>
  </r>
  <r>
    <x v="36"/>
    <n v="5.1875"/>
    <n v="4.7699999999999996"/>
    <n v="4.9787499999999998"/>
  </r>
  <r>
    <x v="37"/>
    <n v="5.625"/>
    <n v="4.7350000000000003"/>
    <n v="5.18"/>
  </r>
  <r>
    <x v="38"/>
    <n v="5.9024999999999999"/>
    <n v="5.1150000000000002"/>
    <n v="5.50875"/>
  </r>
  <r>
    <x v="39"/>
    <n v="5.71"/>
    <n v="5.1624999999999996"/>
    <n v="5.4362499999999994"/>
  </r>
  <r>
    <x v="40"/>
    <n v="5.72"/>
    <n v="5.0949999999999998"/>
    <n v="5.4074999999999998"/>
  </r>
  <r>
    <x v="41"/>
    <n v="5.65"/>
    <n v="4.9924999999999997"/>
    <n v="5.32125"/>
  </r>
  <r>
    <x v="42"/>
    <n v="5.2249999999999996"/>
    <n v="4.7725"/>
    <n v="4.9987499999999994"/>
  </r>
  <r>
    <x v="43"/>
    <n v="5.9874999999999998"/>
    <n v="4.9625000000000004"/>
    <n v="5.4749999999999996"/>
  </r>
  <r>
    <x v="44"/>
    <n v="6.17"/>
    <n v="5.35"/>
    <n v="5.76"/>
  </r>
  <r>
    <x v="45"/>
    <n v="7.1950000000000003"/>
    <n v="5.8674999999999997"/>
    <n v="6.53125"/>
  </r>
  <r>
    <x v="46"/>
    <n v="7.9850000000000003"/>
    <n v="6.9074999999999998"/>
    <n v="7.44625"/>
  </r>
  <r>
    <x v="47"/>
    <n v="8.4849999999999994"/>
    <n v="7.9924999999999997"/>
    <n v="8.2387499999999996"/>
  </r>
  <r>
    <x v="48"/>
    <n v="8.36"/>
    <n v="6.6124999999999998"/>
    <n v="7.4862500000000001"/>
  </r>
  <r>
    <x v="49"/>
    <n v="8.0299999999999994"/>
    <n v="6.1875"/>
    <n v="7.1087499999999997"/>
  </r>
  <r>
    <x v="50"/>
    <n v="9.0625"/>
    <n v="7.76"/>
    <n v="8.411249999999999"/>
  </r>
  <r>
    <x v="51"/>
    <n v="9.3650000000000002"/>
    <n v="8.6575000000000006"/>
    <n v="9.0112500000000004"/>
  </r>
  <r>
    <x v="52"/>
    <n v="11.705"/>
    <n v="8.6"/>
    <n v="10.1525"/>
  </r>
  <r>
    <x v="53"/>
    <n v="12.135"/>
    <n v="11.1425"/>
    <n v="11.63875"/>
  </r>
  <r>
    <x v="54"/>
    <n v="14.3125"/>
    <n v="11.5075"/>
    <n v="12.91"/>
  </r>
  <r>
    <x v="55"/>
    <n v="15.875"/>
    <n v="13.875"/>
    <n v="14.875"/>
  </r>
  <r>
    <x v="56"/>
    <n v="17.297501"/>
    <n v="14.33"/>
    <n v="15.813750500000001"/>
  </r>
  <r>
    <x v="57"/>
    <n v="18.237499"/>
    <n v="15.925000000000001"/>
    <n v="17.081249499999998"/>
  </r>
  <r>
    <x v="58"/>
    <n v="23.8125"/>
    <n v="16.645"/>
    <n v="20.228749999999998"/>
  </r>
  <r>
    <x v="59"/>
    <n v="29.982500000000002"/>
    <n v="21.192499000000002"/>
    <n v="25.5874995"/>
  </r>
  <r>
    <x v="60"/>
    <n v="27.9725"/>
    <n v="24.7775"/>
    <n v="26.375"/>
  </r>
  <r>
    <x v="61"/>
    <n v="30.23"/>
    <n v="23.924999"/>
    <n v="27.077499500000002"/>
  </r>
  <r>
    <x v="62"/>
    <n v="27.5"/>
    <n v="23.7925"/>
    <n v="25.646250000000002"/>
  </r>
  <r>
    <x v="63"/>
    <n v="27.412500000000001"/>
    <n v="23.872499000000001"/>
    <n v="25.6424995"/>
  </r>
  <r>
    <x v="64"/>
    <n v="36.75"/>
    <n v="25.577499"/>
    <n v="31.163749500000002"/>
  </r>
  <r>
    <x v="65"/>
    <n v="42.125"/>
    <n v="35.527500000000003"/>
    <n v="38.826250000000002"/>
  </r>
  <r>
    <x v="66"/>
    <n v="42.482498"/>
    <n v="34.645000000000003"/>
    <n v="38.563749000000001"/>
  </r>
  <r>
    <x v="67"/>
    <n v="43.639999000000003"/>
    <n v="38.227500999999997"/>
    <n v="40.933750000000003"/>
  </r>
  <r>
    <x v="68"/>
    <n v="47.799999"/>
    <n v="40.677501999999997"/>
    <n v="44.238750499999995"/>
  </r>
  <r>
    <x v="69"/>
    <n v="51.972499999999997"/>
    <n v="44.25"/>
    <n v="48.111249999999998"/>
  </r>
  <r>
    <x v="70"/>
    <n v="54.667499999999997"/>
    <n v="47.807499"/>
    <n v="51.237499499999998"/>
  </r>
  <r>
    <x v="71"/>
    <n v="50.075001"/>
    <n v="45.145000000000003"/>
    <n v="47.610000499999998"/>
  </r>
  <r>
    <x v="72"/>
    <n v="62.317501"/>
    <n v="48.625"/>
    <n v="55.471250499999996"/>
  </r>
  <r>
    <x v="73"/>
    <n v="62.9925"/>
    <n v="51"/>
    <n v="56.996250000000003"/>
  </r>
  <r>
    <x v="74"/>
    <n v="63.625"/>
    <n v="54.25"/>
    <n v="58.9375"/>
  </r>
  <r>
    <x v="75"/>
    <n v="59.8125"/>
    <n v="52.575001"/>
    <n v="56.1937505"/>
  </r>
  <r>
    <x v="76"/>
    <n v="65.125"/>
    <n v="55.549999"/>
    <n v="60.3374995"/>
  </r>
  <r>
    <x v="77"/>
    <n v="67.300003000000004"/>
    <n v="58.752499"/>
    <n v="63.026251000000002"/>
  </r>
  <r>
    <x v="78"/>
    <n v="64.150002000000001"/>
    <n v="58.314999"/>
    <n v="61.2325005"/>
  </r>
  <r>
    <x v="79"/>
    <n v="70.430000000000007"/>
    <n v="59.68"/>
    <n v="65.055000000000007"/>
  </r>
  <r>
    <x v="80"/>
    <n v="71.305000000000007"/>
    <n v="64.669998000000007"/>
    <n v="67.987499000000014"/>
  </r>
  <r>
    <x v="81"/>
    <n v="73.190002000000007"/>
    <n v="44.002499"/>
    <n v="58.596250500000004"/>
  </r>
  <r>
    <x v="82"/>
    <n v="55.5"/>
    <n v="33.327499000000003"/>
    <n v="44.413749500000002"/>
  </r>
  <r>
    <x v="83"/>
    <n v="43.669998"/>
    <n v="31.114999999999998"/>
    <n v="37.392499000000001"/>
  </r>
  <r>
    <x v="84"/>
    <n v="40.220001000000003"/>
    <n v="31.922501"/>
    <n v="36.071251000000004"/>
  </r>
  <r>
    <x v="85"/>
    <n v="41.32"/>
    <n v="35.645000000000003"/>
    <n v="38.482500000000002"/>
  </r>
  <r>
    <x v="86"/>
    <n v="46.25"/>
    <n v="36.200001"/>
    <n v="41.2250005"/>
  </r>
  <r>
    <x v="87"/>
    <n v="48.3675"/>
    <n v="43.325001"/>
    <n v="45.846250499999996"/>
  </r>
  <r>
    <x v="88"/>
    <n v="46.217498999999997"/>
    <n v="33.847499999999997"/>
    <n v="40.0324995"/>
  </r>
  <r>
    <x v="89"/>
    <n v="41.342498999999997"/>
    <n v="33.150002000000001"/>
    <n v="37.246250500000002"/>
  </r>
  <r>
    <x v="90"/>
    <n v="44.722499999999997"/>
    <n v="38.75"/>
    <n v="41.736249999999998"/>
  </r>
  <r>
    <x v="91"/>
    <n v="43.362499"/>
    <n v="36.847499999999997"/>
    <n v="40.104999499999998"/>
  </r>
  <r>
    <x v="92"/>
    <n v="47.099997999999999"/>
    <n v="40.8125"/>
    <n v="43.956249"/>
  </r>
  <r>
    <x v="93"/>
    <n v="52.224997999999999"/>
    <n v="42.532501000000003"/>
    <n v="47.378749499999998"/>
  </r>
  <r>
    <x v="94"/>
    <n v="55.352500999999997"/>
    <n v="49.647499000000003"/>
    <n v="52.5"/>
  </r>
  <r>
    <x v="95"/>
    <n v="60.452499000000003"/>
    <n v="50.092498999999997"/>
    <n v="55.272498999999996"/>
  </r>
  <r>
    <x v="96"/>
    <n v="64.875"/>
    <n v="57.817501"/>
    <n v="61.346250499999996"/>
  </r>
  <r>
    <x v="97"/>
    <n v="79.080001999999993"/>
    <n v="58.862499"/>
    <n v="68.971250499999996"/>
  </r>
  <r>
    <x v="98"/>
    <n v="71.222504000000001"/>
    <n v="45.169998"/>
    <n v="58.196251000000004"/>
  </r>
  <r>
    <x v="99"/>
    <n v="76.050003000000004"/>
    <n v="59.597499999999997"/>
    <n v="67.8237515"/>
  </r>
  <r>
    <x v="100"/>
    <n v="91.817497000000003"/>
    <n v="70.209998999999996"/>
    <n v="81.013747999999993"/>
  </r>
  <r>
    <x v="101"/>
    <n v="96.425003000000004"/>
    <n v="86.580001999999993"/>
    <n v="91.502502499999991"/>
  </r>
  <r>
    <x v="102"/>
    <n v="107.922501"/>
    <n v="94.129997000000003"/>
    <n v="101.02624900000001"/>
  </r>
  <r>
    <x v="103"/>
    <n v="135.75"/>
    <n v="107.152496"/>
    <n v="121.45124799999999"/>
  </r>
  <r>
    <x v="104"/>
    <n v="147.26750200000001"/>
    <n v="117.042503"/>
    <n v="132.15500249999999"/>
  </r>
  <r>
    <x v="105"/>
    <n v="143.48500100000001"/>
    <n v="123"/>
    <n v="133.24250050000001"/>
  </r>
  <r>
    <x v="106"/>
    <n v="146.91499300000001"/>
    <n v="123.949997"/>
    <n v="135.43249500000002"/>
  </r>
  <r>
    <x v="107"/>
    <n v="137.3125"/>
    <n v="127.63249999999999"/>
    <n v="132.4725"/>
  </r>
  <r>
    <x v="108"/>
    <n v="139.992493"/>
    <n v="125.860001"/>
    <n v="132.92624699999999"/>
  </r>
  <r>
    <x v="109"/>
    <n v="153.72500600000001"/>
    <n v="129.02749600000001"/>
    <n v="141.37625100000002"/>
  </r>
  <r>
    <x v="110"/>
    <n v="139.25"/>
    <n v="115.665001"/>
    <n v="127.45750050000001"/>
  </r>
  <r>
    <x v="111"/>
    <n v="162.14250200000001"/>
    <n v="135.112503"/>
    <n v="148.62750249999999"/>
  </r>
  <r>
    <x v="112"/>
    <n v="162.77499399999999"/>
    <n v="134.58999600000001"/>
    <n v="148.68249500000002"/>
  </r>
  <r>
    <x v="113"/>
    <n v="201.625"/>
    <n v="159.032501"/>
    <n v="180.32875050000001"/>
  </r>
  <r>
    <x v="114"/>
    <n v="208.75"/>
    <n v="178.654999"/>
    <n v="193.70249949999999"/>
  </r>
  <r>
    <x v="115"/>
    <n v="230.429993"/>
    <n v="187.61999499999999"/>
    <n v="209.02499399999999"/>
  </r>
  <r>
    <x v="116"/>
    <n v="229.86000100000001"/>
    <n v="204.66999799999999"/>
    <n v="217.26499949999999"/>
  </r>
  <r>
    <x v="117"/>
    <n v="257.08999599999999"/>
    <n v="195.550003"/>
    <n v="226.31999949999999"/>
  </r>
  <r>
    <x v="118"/>
    <n v="346.47000100000002"/>
    <n v="252.270004"/>
    <n v="299.3700025"/>
  </r>
  <r>
    <x v="119"/>
    <n v="332.89001500000001"/>
    <n v="271.45001200000002"/>
    <n v="302.17001349999998"/>
  </r>
  <r>
    <x v="120"/>
    <n v="307.10998499999999"/>
    <n v="208.88000500000001"/>
    <n v="257.99499500000002"/>
  </r>
  <r>
    <x v="121"/>
    <n v="269.25"/>
    <n v="208.89999399999999"/>
    <n v="239.074997"/>
  </r>
  <r>
    <x v="122"/>
    <n v="289.459991"/>
    <n v="206.5"/>
    <n v="247.9799955"/>
  </r>
  <r>
    <x v="123"/>
    <n v="275.57998700000002"/>
    <n v="182.89999399999999"/>
    <n v="229.2399905"/>
  </r>
  <r>
    <x v="124"/>
    <n v="204"/>
    <n v="155.66999799999999"/>
    <n v="179.83499899999998"/>
  </r>
  <r>
    <x v="125"/>
    <n v="196.19000199999999"/>
    <n v="148.61999499999999"/>
    <n v="172.40499849999998"/>
  </r>
  <r>
    <x v="126"/>
    <n v="182.44000199999999"/>
    <n v="140.550003"/>
    <n v="161.4950025"/>
  </r>
  <r>
    <x v="127"/>
    <n v="192.740005"/>
    <n v="157.66999799999999"/>
    <n v="175.2050014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0EF97-129F-45D5-8B15-6DD96AC014E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6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numFmtId="2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t="default"/>
      </items>
    </pivotField>
  </pivotFields>
  <rowFields count="2">
    <field x="5"/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Average of Average" fld="3" subtotal="average" baseField="5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17578A-81A4-497C-9EC3-513EED3E6F0F}">
  <we:reference id="f1abd87f-a3ba-42fb-91d5-100000000000" version="1.0.0.6" store="EXCatalog" storeType="EXCatalog"/>
  <we:alternateReferences>
    <we:reference id="WA104380278" version="1.0.0.6" store="nl-NL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"/>
  <sheetViews>
    <sheetView showGridLines="0" tabSelected="1" topLeftCell="A9" zoomScale="80" zoomScaleNormal="80" workbookViewId="0">
      <pane xSplit="2" topLeftCell="L1" activePane="topRight" state="frozen"/>
      <selection pane="topRight" activeCell="R34" sqref="R34:AA34"/>
    </sheetView>
  </sheetViews>
  <sheetFormatPr defaultRowHeight="14.4" x14ac:dyDescent="0.3"/>
  <cols>
    <col min="1" max="1" width="2.6640625" customWidth="1"/>
    <col min="2" max="2" width="24.33203125" bestFit="1" customWidth="1"/>
    <col min="3" max="7" width="9.33203125" bestFit="1" customWidth="1"/>
    <col min="8" max="11" width="10.5546875" bestFit="1" customWidth="1"/>
    <col min="12" max="12" width="12.6640625" bestFit="1" customWidth="1"/>
    <col min="13" max="14" width="10" bestFit="1" customWidth="1"/>
    <col min="15" max="16" width="5.44140625" bestFit="1" customWidth="1"/>
    <col min="17" max="17" width="10.88671875" bestFit="1" customWidth="1"/>
    <col min="19" max="19" width="12.5546875" bestFit="1" customWidth="1"/>
    <col min="29" max="29" width="11.6640625" bestFit="1" customWidth="1"/>
    <col min="30" max="30" width="14.6640625" bestFit="1" customWidth="1"/>
  </cols>
  <sheetData>
    <row r="1" spans="2:30" ht="25.8" x14ac:dyDescent="0.5">
      <c r="B1" s="1" t="s">
        <v>0</v>
      </c>
      <c r="C1" t="s">
        <v>43</v>
      </c>
    </row>
    <row r="2" spans="2:30" ht="15" customHeight="1" x14ac:dyDescent="0.3">
      <c r="B2" s="4">
        <v>44803</v>
      </c>
    </row>
    <row r="3" spans="2:30" x14ac:dyDescent="0.3">
      <c r="B3" t="s">
        <v>2</v>
      </c>
      <c r="C3" s="2">
        <v>2012</v>
      </c>
      <c r="D3" s="2">
        <f>C3+1</f>
        <v>2013</v>
      </c>
      <c r="E3" s="2">
        <f t="shared" ref="E3:L3" si="0">D3+1</f>
        <v>2014</v>
      </c>
      <c r="F3" s="2">
        <f t="shared" si="0"/>
        <v>2015</v>
      </c>
      <c r="G3" s="2">
        <f t="shared" si="0"/>
        <v>2016</v>
      </c>
      <c r="H3" s="2">
        <f t="shared" si="0"/>
        <v>2017</v>
      </c>
      <c r="I3" s="2">
        <f t="shared" si="0"/>
        <v>2018</v>
      </c>
      <c r="J3" s="2">
        <f t="shared" si="0"/>
        <v>2019</v>
      </c>
      <c r="K3" s="2">
        <f t="shared" si="0"/>
        <v>2020</v>
      </c>
      <c r="L3" s="2">
        <f t="shared" si="0"/>
        <v>2021</v>
      </c>
      <c r="M3" s="17" t="s">
        <v>45</v>
      </c>
      <c r="N3" s="17" t="s">
        <v>46</v>
      </c>
      <c r="O3" s="17" t="s">
        <v>47</v>
      </c>
      <c r="P3" s="17" t="s">
        <v>48</v>
      </c>
      <c r="Q3" s="14" t="s">
        <v>57</v>
      </c>
      <c r="R3" s="44">
        <v>2022</v>
      </c>
      <c r="S3" s="44">
        <f>R3+1</f>
        <v>2023</v>
      </c>
      <c r="T3" s="44">
        <f t="shared" ref="T3:AA3" si="1">S3+1</f>
        <v>2024</v>
      </c>
      <c r="U3" s="44">
        <f t="shared" si="1"/>
        <v>2025</v>
      </c>
      <c r="V3" s="44">
        <f t="shared" si="1"/>
        <v>2026</v>
      </c>
      <c r="W3" s="44">
        <f t="shared" si="1"/>
        <v>2027</v>
      </c>
      <c r="X3" s="44">
        <f t="shared" si="1"/>
        <v>2028</v>
      </c>
      <c r="Y3" s="44">
        <f t="shared" si="1"/>
        <v>2029</v>
      </c>
      <c r="Z3" s="44">
        <f t="shared" si="1"/>
        <v>2030</v>
      </c>
      <c r="AA3" s="44">
        <f t="shared" si="1"/>
        <v>2031</v>
      </c>
      <c r="AC3" s="43" t="s">
        <v>58</v>
      </c>
      <c r="AD3" s="43"/>
    </row>
    <row r="4" spans="2:30" x14ac:dyDescent="0.3">
      <c r="B4" s="3" t="s">
        <v>1</v>
      </c>
      <c r="C4">
        <v>4280</v>
      </c>
      <c r="D4">
        <v>4130</v>
      </c>
      <c r="E4">
        <v>4682</v>
      </c>
      <c r="F4">
        <v>5010</v>
      </c>
      <c r="G4">
        <v>6910</v>
      </c>
      <c r="H4">
        <v>9714</v>
      </c>
      <c r="I4">
        <v>11716</v>
      </c>
      <c r="J4">
        <v>10918</v>
      </c>
      <c r="K4">
        <v>16675</v>
      </c>
      <c r="L4">
        <v>26914</v>
      </c>
      <c r="M4" s="20">
        <v>8288</v>
      </c>
      <c r="N4" s="20">
        <v>6704</v>
      </c>
      <c r="O4" s="20"/>
      <c r="P4" s="20"/>
      <c r="Q4" s="30">
        <f>(L4/C4)^(1/10)-1</f>
        <v>0.20185880053080885</v>
      </c>
      <c r="AC4" t="s">
        <v>65</v>
      </c>
      <c r="AD4" s="29">
        <f>AA8</f>
        <v>22477.72585138027</v>
      </c>
    </row>
    <row r="5" spans="2:30" x14ac:dyDescent="0.3">
      <c r="M5" s="20"/>
      <c r="N5" s="20"/>
      <c r="O5" s="20"/>
      <c r="P5" s="20"/>
      <c r="Q5" s="31"/>
      <c r="AC5" t="s">
        <v>64</v>
      </c>
      <c r="AD5">
        <v>20</v>
      </c>
    </row>
    <row r="6" spans="2:30" x14ac:dyDescent="0.3">
      <c r="B6" t="s">
        <v>3</v>
      </c>
      <c r="C6">
        <v>648</v>
      </c>
      <c r="D6">
        <v>496</v>
      </c>
      <c r="E6">
        <v>759</v>
      </c>
      <c r="F6">
        <v>747</v>
      </c>
      <c r="G6">
        <v>1934</v>
      </c>
      <c r="H6">
        <v>3210</v>
      </c>
      <c r="I6">
        <v>3804</v>
      </c>
      <c r="J6">
        <v>2846</v>
      </c>
      <c r="K6">
        <v>4532</v>
      </c>
      <c r="L6">
        <v>10041</v>
      </c>
      <c r="M6" s="20">
        <v>1868</v>
      </c>
      <c r="N6" s="20">
        <v>499</v>
      </c>
      <c r="O6" s="20"/>
      <c r="P6" s="20"/>
      <c r="Q6" s="31"/>
      <c r="AC6" t="s">
        <v>14</v>
      </c>
      <c r="AD6" s="29">
        <f>AD4*AD5</f>
        <v>449554.51702760538</v>
      </c>
    </row>
    <row r="7" spans="2:30" x14ac:dyDescent="0.3">
      <c r="B7" t="s">
        <v>4</v>
      </c>
      <c r="C7">
        <v>226</v>
      </c>
      <c r="D7">
        <v>239</v>
      </c>
      <c r="E7">
        <v>220</v>
      </c>
      <c r="F7">
        <v>197</v>
      </c>
      <c r="G7">
        <v>187</v>
      </c>
      <c r="H7">
        <v>199</v>
      </c>
      <c r="I7">
        <v>262</v>
      </c>
      <c r="J7">
        <v>381</v>
      </c>
      <c r="K7">
        <v>1098</v>
      </c>
      <c r="L7">
        <v>1174</v>
      </c>
      <c r="M7" s="20">
        <v>334</v>
      </c>
      <c r="N7" s="20">
        <v>378</v>
      </c>
      <c r="O7" s="20"/>
      <c r="P7" s="20"/>
      <c r="Q7" s="31"/>
      <c r="AC7" s="41" t="s">
        <v>59</v>
      </c>
      <c r="AD7" s="29">
        <f>AA18</f>
        <v>12538</v>
      </c>
    </row>
    <row r="8" spans="2:30" x14ac:dyDescent="0.3">
      <c r="B8" s="3" t="s">
        <v>5</v>
      </c>
      <c r="C8" s="9">
        <f t="shared" ref="C8" si="2">SUM(C6:C7)</f>
        <v>874</v>
      </c>
      <c r="D8" s="9">
        <f t="shared" ref="D8" si="3">SUM(D6:D7)</f>
        <v>735</v>
      </c>
      <c r="E8" s="9">
        <f t="shared" ref="E8" si="4">SUM(E6:E7)</f>
        <v>979</v>
      </c>
      <c r="F8" s="9">
        <f t="shared" ref="F8" si="5">SUM(F6:F7)</f>
        <v>944</v>
      </c>
      <c r="G8" s="9">
        <f t="shared" ref="G8" si="6">SUM(G6:G7)</f>
        <v>2121</v>
      </c>
      <c r="H8" s="9">
        <f t="shared" ref="H8" si="7">SUM(H6:H7)</f>
        <v>3409</v>
      </c>
      <c r="I8" s="9">
        <f t="shared" ref="I8" si="8">SUM(I6:I7)</f>
        <v>4066</v>
      </c>
      <c r="J8" s="9">
        <f t="shared" ref="J8:K8" si="9">SUM(J6:J7)</f>
        <v>3227</v>
      </c>
      <c r="K8" s="9">
        <f t="shared" si="9"/>
        <v>5630</v>
      </c>
      <c r="L8" s="9">
        <f>SUM(L6:L7)</f>
        <v>11215</v>
      </c>
      <c r="M8" s="21">
        <f t="shared" ref="M8" si="10">SUM(M6:M7)</f>
        <v>2202</v>
      </c>
      <c r="N8" s="21">
        <f t="shared" ref="N8" si="11">SUM(N6:N7)</f>
        <v>877</v>
      </c>
      <c r="O8" s="20"/>
      <c r="P8" s="20"/>
      <c r="Q8" s="30">
        <f>(L8/C8)^(1/10)-1</f>
        <v>0.29071032599092028</v>
      </c>
      <c r="R8" s="29">
        <f>L8*(1+R9)</f>
        <v>9532.75</v>
      </c>
      <c r="S8" s="29">
        <f t="shared" ref="S8:AA8" si="12">R8*(1+S9)</f>
        <v>10486.025000000001</v>
      </c>
      <c r="T8" s="29">
        <f t="shared" si="12"/>
        <v>11534.627500000002</v>
      </c>
      <c r="U8" s="29">
        <f t="shared" si="12"/>
        <v>12688.090250000003</v>
      </c>
      <c r="V8" s="29">
        <f t="shared" si="12"/>
        <v>13956.899275000005</v>
      </c>
      <c r="W8" s="29">
        <f t="shared" si="12"/>
        <v>15352.589202500007</v>
      </c>
      <c r="X8" s="29">
        <f t="shared" si="12"/>
        <v>16887.848122750009</v>
      </c>
      <c r="Y8" s="29">
        <f t="shared" si="12"/>
        <v>18576.632935025013</v>
      </c>
      <c r="Z8" s="29">
        <f t="shared" si="12"/>
        <v>20434.296228527517</v>
      </c>
      <c r="AA8" s="9">
        <f t="shared" si="12"/>
        <v>22477.72585138027</v>
      </c>
      <c r="AC8" s="41" t="s">
        <v>61</v>
      </c>
      <c r="AD8" s="29">
        <f>AA14</f>
        <v>11705</v>
      </c>
    </row>
    <row r="9" spans="2:30" x14ac:dyDescent="0.3">
      <c r="B9" s="3"/>
      <c r="C9" s="9"/>
      <c r="D9" s="9"/>
      <c r="E9" s="9"/>
      <c r="F9" s="9"/>
      <c r="G9" s="9"/>
      <c r="H9" s="9"/>
      <c r="I9" s="9"/>
      <c r="J9" s="9"/>
      <c r="K9" s="9"/>
      <c r="L9" s="9"/>
      <c r="M9" s="21"/>
      <c r="N9" s="21"/>
      <c r="O9" s="20"/>
      <c r="P9" s="20"/>
      <c r="Q9" s="30"/>
      <c r="R9" s="30">
        <v>-0.15</v>
      </c>
      <c r="S9" s="30">
        <v>0.1</v>
      </c>
      <c r="T9" s="30">
        <v>0.1</v>
      </c>
      <c r="U9" s="30">
        <v>0.1</v>
      </c>
      <c r="V9" s="30">
        <v>0.1</v>
      </c>
      <c r="W9" s="30">
        <v>0.1</v>
      </c>
      <c r="X9" s="30">
        <v>0.1</v>
      </c>
      <c r="Y9" s="30">
        <v>0.1</v>
      </c>
      <c r="Z9" s="30">
        <v>0.1</v>
      </c>
      <c r="AA9" s="30">
        <v>0.1</v>
      </c>
      <c r="AC9" t="s">
        <v>62</v>
      </c>
      <c r="AD9" s="29">
        <f>AD6+AD7-AD8</f>
        <v>450387.51702760538</v>
      </c>
    </row>
    <row r="10" spans="2:30" x14ac:dyDescent="0.3">
      <c r="B10" s="3"/>
      <c r="C10" s="9"/>
      <c r="D10" s="15">
        <f>D8/C8-1</f>
        <v>-0.15903890160183065</v>
      </c>
      <c r="E10" s="15">
        <f t="shared" ref="E10:L10" si="13">E8/D8-1</f>
        <v>0.33197278911564632</v>
      </c>
      <c r="F10" s="15">
        <f t="shared" si="13"/>
        <v>-3.5750766087844776E-2</v>
      </c>
      <c r="G10" s="15">
        <f t="shared" si="13"/>
        <v>1.2468220338983049</v>
      </c>
      <c r="H10" s="15">
        <f t="shared" si="13"/>
        <v>0.60726072607260728</v>
      </c>
      <c r="I10" s="15">
        <f t="shared" si="13"/>
        <v>0.19272513933704905</v>
      </c>
      <c r="J10" s="15">
        <f t="shared" si="13"/>
        <v>-0.20634530250860794</v>
      </c>
      <c r="K10" s="15">
        <f t="shared" si="13"/>
        <v>0.74465447784319805</v>
      </c>
      <c r="L10" s="15">
        <f t="shared" si="13"/>
        <v>0.99200710479573706</v>
      </c>
      <c r="M10" s="28"/>
      <c r="N10" s="28"/>
      <c r="O10" s="20"/>
      <c r="P10" s="20"/>
      <c r="Q10" s="30">
        <f>AVERAGE(D10:L10)</f>
        <v>0.41270081120713992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C10" t="s">
        <v>63</v>
      </c>
      <c r="AD10" s="42">
        <f>AA36</f>
        <v>2510</v>
      </c>
    </row>
    <row r="11" spans="2:30" x14ac:dyDescent="0.3">
      <c r="M11" s="20"/>
      <c r="N11" s="20"/>
      <c r="O11" s="20"/>
      <c r="P11" s="20"/>
      <c r="Q11" s="32"/>
      <c r="AC11" t="s">
        <v>66</v>
      </c>
      <c r="AD11" s="16">
        <f>AD9/AD10</f>
        <v>179.43725777992248</v>
      </c>
    </row>
    <row r="12" spans="2:30" x14ac:dyDescent="0.3">
      <c r="B12" t="s">
        <v>6</v>
      </c>
      <c r="C12">
        <v>0</v>
      </c>
      <c r="D12">
        <v>0</v>
      </c>
      <c r="E12">
        <v>0</v>
      </c>
      <c r="F12">
        <v>1413</v>
      </c>
      <c r="G12">
        <v>796</v>
      </c>
      <c r="H12">
        <v>15</v>
      </c>
      <c r="I12">
        <v>0</v>
      </c>
      <c r="J12">
        <v>0</v>
      </c>
      <c r="K12">
        <v>999</v>
      </c>
      <c r="L12">
        <v>0</v>
      </c>
      <c r="M12" s="20">
        <v>0</v>
      </c>
      <c r="N12" s="20">
        <v>1249</v>
      </c>
      <c r="O12" s="20"/>
      <c r="P12" s="20"/>
      <c r="Q12" s="32"/>
    </row>
    <row r="13" spans="2:30" x14ac:dyDescent="0.3">
      <c r="B13" t="s">
        <v>7</v>
      </c>
      <c r="C13">
        <v>19</v>
      </c>
      <c r="D13">
        <f>1356+18</f>
        <v>1374</v>
      </c>
      <c r="E13">
        <f>14+1384</f>
        <v>1398</v>
      </c>
      <c r="F13">
        <v>10</v>
      </c>
      <c r="G13">
        <v>1983</v>
      </c>
      <c r="H13">
        <v>1985</v>
      </c>
      <c r="I13">
        <v>1988</v>
      </c>
      <c r="J13">
        <f>1991+561</f>
        <v>2552</v>
      </c>
      <c r="K13">
        <f>5964+634</f>
        <v>6598</v>
      </c>
      <c r="L13">
        <f>10964+741</f>
        <v>11705</v>
      </c>
      <c r="M13" s="20">
        <f>10947+752</f>
        <v>11699</v>
      </c>
      <c r="N13" s="20">
        <f>743+9700</f>
        <v>10443</v>
      </c>
      <c r="O13" s="20"/>
      <c r="P13" s="20"/>
      <c r="Q13" s="32"/>
      <c r="AC13" s="43" t="s">
        <v>67</v>
      </c>
      <c r="AD13" s="43"/>
    </row>
    <row r="14" spans="2:30" x14ac:dyDescent="0.3">
      <c r="B14" s="3" t="s">
        <v>8</v>
      </c>
      <c r="C14" s="9">
        <f t="shared" ref="C14:J14" si="14">SUM(C12:C13)</f>
        <v>19</v>
      </c>
      <c r="D14" s="9">
        <f t="shared" si="14"/>
        <v>1374</v>
      </c>
      <c r="E14" s="9">
        <f t="shared" si="14"/>
        <v>1398</v>
      </c>
      <c r="F14" s="9">
        <f t="shared" si="14"/>
        <v>1423</v>
      </c>
      <c r="G14" s="9">
        <f t="shared" si="14"/>
        <v>2779</v>
      </c>
      <c r="H14" s="9">
        <f t="shared" si="14"/>
        <v>2000</v>
      </c>
      <c r="I14" s="9">
        <f t="shared" si="14"/>
        <v>1988</v>
      </c>
      <c r="J14" s="9">
        <f t="shared" si="14"/>
        <v>2552</v>
      </c>
      <c r="K14" s="9">
        <f>SUM(K12:K13)</f>
        <v>7597</v>
      </c>
      <c r="L14" s="9">
        <f>SUM(L12:L13)</f>
        <v>11705</v>
      </c>
      <c r="M14" s="21">
        <f t="shared" ref="M14" si="15">SUM(M12:M13)</f>
        <v>11699</v>
      </c>
      <c r="N14" s="21">
        <f t="shared" ref="N14" si="16">SUM(N12:N13)</f>
        <v>11692</v>
      </c>
      <c r="O14" s="20"/>
      <c r="P14" s="20"/>
      <c r="Q14" s="33">
        <f>L14</f>
        <v>11705</v>
      </c>
      <c r="AA14" s="9">
        <f>Q14</f>
        <v>11705</v>
      </c>
      <c r="AC14" t="s">
        <v>68</v>
      </c>
      <c r="AD14" s="29">
        <f>AA34</f>
        <v>24269.53030177117</v>
      </c>
    </row>
    <row r="15" spans="2:30" x14ac:dyDescent="0.3">
      <c r="M15" s="20"/>
      <c r="N15" s="20"/>
      <c r="O15" s="20"/>
      <c r="P15" s="20"/>
      <c r="Q15" s="32"/>
      <c r="AC15" t="s">
        <v>69</v>
      </c>
      <c r="AD15" s="39">
        <v>0.04</v>
      </c>
    </row>
    <row r="16" spans="2:30" x14ac:dyDescent="0.3">
      <c r="B16" t="s">
        <v>10</v>
      </c>
      <c r="C16">
        <v>4775</v>
      </c>
      <c r="D16">
        <v>5625</v>
      </c>
      <c r="E16">
        <v>5713</v>
      </c>
      <c r="F16">
        <v>6053</v>
      </c>
      <c r="G16">
        <v>8536</v>
      </c>
      <c r="H16">
        <v>9225</v>
      </c>
      <c r="I16">
        <f>782+6640</f>
        <v>7422</v>
      </c>
      <c r="J16">
        <v>10897</v>
      </c>
      <c r="K16">
        <f>847+10714</f>
        <v>11561</v>
      </c>
      <c r="L16">
        <f>1990+19218</f>
        <v>21208</v>
      </c>
      <c r="M16" s="20">
        <v>29575</v>
      </c>
      <c r="N16" s="20">
        <v>27418</v>
      </c>
      <c r="O16" s="20"/>
      <c r="P16" s="20"/>
      <c r="Q16" s="32"/>
      <c r="AC16" t="s">
        <v>14</v>
      </c>
      <c r="AD16" s="16">
        <f>AD14/AD15</f>
        <v>606738.25754427921</v>
      </c>
    </row>
    <row r="17" spans="1:30" x14ac:dyDescent="0.3">
      <c r="A17" t="s">
        <v>9</v>
      </c>
      <c r="B17" t="s">
        <v>11</v>
      </c>
      <c r="C17">
        <f>2*976</f>
        <v>1952</v>
      </c>
      <c r="D17">
        <f>2*946</f>
        <v>1892</v>
      </c>
      <c r="E17">
        <f>2*896</f>
        <v>1792</v>
      </c>
      <c r="F17">
        <f>2*2351</f>
        <v>4702</v>
      </c>
      <c r="G17">
        <f>2*1788</f>
        <v>3576</v>
      </c>
      <c r="H17">
        <f>2*1153</f>
        <v>2306</v>
      </c>
      <c r="I17">
        <v>1329</v>
      </c>
      <c r="J17">
        <v>1784</v>
      </c>
      <c r="K17">
        <f>3925*2</f>
        <v>7850</v>
      </c>
      <c r="L17">
        <f>4335*2</f>
        <v>8670</v>
      </c>
      <c r="M17" s="20">
        <f>2*5562</f>
        <v>11124</v>
      </c>
      <c r="N17" s="20">
        <f>2*7573</f>
        <v>15146</v>
      </c>
      <c r="O17" s="20"/>
      <c r="P17" s="20"/>
      <c r="Q17" s="32"/>
      <c r="AC17" s="41" t="s">
        <v>59</v>
      </c>
      <c r="AD17" s="29">
        <f>AA18</f>
        <v>12538</v>
      </c>
    </row>
    <row r="18" spans="1:30" x14ac:dyDescent="0.3">
      <c r="B18" s="3" t="s">
        <v>12</v>
      </c>
      <c r="C18" s="9">
        <f t="shared" ref="C18:J18" si="17">IF(C17&lt;C16,C16-C17,0)</f>
        <v>2823</v>
      </c>
      <c r="D18" s="9">
        <f t="shared" si="17"/>
        <v>3733</v>
      </c>
      <c r="E18" s="9">
        <f t="shared" si="17"/>
        <v>3921</v>
      </c>
      <c r="F18" s="9">
        <f t="shared" si="17"/>
        <v>1351</v>
      </c>
      <c r="G18" s="9">
        <f t="shared" si="17"/>
        <v>4960</v>
      </c>
      <c r="H18" s="9">
        <f t="shared" si="17"/>
        <v>6919</v>
      </c>
      <c r="I18" s="9">
        <f t="shared" si="17"/>
        <v>6093</v>
      </c>
      <c r="J18" s="9">
        <f t="shared" si="17"/>
        <v>9113</v>
      </c>
      <c r="K18" s="9">
        <f>IF(K17&lt;K16,K16-K17,0)</f>
        <v>3711</v>
      </c>
      <c r="L18" s="9">
        <f>IF(L17&lt;L16,L16-L17,0)</f>
        <v>12538</v>
      </c>
      <c r="M18" s="21">
        <f t="shared" ref="M18" si="18">IF(M17&lt;M16,M16-M17,0)</f>
        <v>18451</v>
      </c>
      <c r="N18" s="21">
        <f t="shared" ref="N18" si="19">IF(N17&lt;N16,N16-N17,0)</f>
        <v>12272</v>
      </c>
      <c r="O18" s="20"/>
      <c r="P18" s="20"/>
      <c r="Q18" s="33">
        <f>L18</f>
        <v>12538</v>
      </c>
      <c r="AA18" s="9">
        <f>Q18</f>
        <v>12538</v>
      </c>
      <c r="AC18" s="41" t="s">
        <v>60</v>
      </c>
      <c r="AD18" s="29">
        <f>AA14</f>
        <v>11705</v>
      </c>
    </row>
    <row r="19" spans="1:30" x14ac:dyDescent="0.3">
      <c r="M19" s="20"/>
      <c r="N19" s="20"/>
      <c r="O19" s="20"/>
      <c r="P19" s="20"/>
      <c r="Q19" s="32"/>
      <c r="AC19" t="s">
        <v>13</v>
      </c>
      <c r="AD19" s="16">
        <f>AD16+AD17-AD18</f>
        <v>607571.25754427921</v>
      </c>
    </row>
    <row r="20" spans="1:30" x14ac:dyDescent="0.3">
      <c r="B20" s="3" t="s">
        <v>13</v>
      </c>
      <c r="C20" s="9">
        <f t="shared" ref="C20:I20" si="20">C36*C40</f>
        <v>8361.1212500000001</v>
      </c>
      <c r="D20" s="9">
        <f t="shared" si="20"/>
        <v>8042.17</v>
      </c>
      <c r="E20" s="9">
        <f t="shared" si="20"/>
        <v>10178.895833333336</v>
      </c>
      <c r="F20" s="9">
        <f t="shared" si="20"/>
        <v>12627.422499999999</v>
      </c>
      <c r="G20" s="9">
        <f t="shared" si="20"/>
        <v>31259.474902500002</v>
      </c>
      <c r="H20" s="9">
        <f t="shared" si="20"/>
        <v>89827.626680000001</v>
      </c>
      <c r="I20" s="9">
        <f t="shared" si="20"/>
        <v>138499.28000000003</v>
      </c>
      <c r="J20" s="9">
        <f t="shared" ref="J20:K20" si="21">J36*J40</f>
        <v>106049.90979600002</v>
      </c>
      <c r="K20" s="9">
        <f t="shared" si="21"/>
        <v>244824.30812666667</v>
      </c>
      <c r="L20" s="9">
        <f>L36*L40</f>
        <v>486783.38750416669</v>
      </c>
      <c r="M20" s="28">
        <f t="shared" ref="M20:N20" si="22">M36*M40</f>
        <v>623358.4895416667</v>
      </c>
      <c r="N20" s="21">
        <f t="shared" si="22"/>
        <v>486504.92329333338</v>
      </c>
      <c r="O20" s="20"/>
      <c r="P20" s="20"/>
      <c r="Q20" s="30">
        <f>(L20/C20)^(1/10)-1</f>
        <v>0.5014370301050648</v>
      </c>
      <c r="AC20" t="s">
        <v>63</v>
      </c>
      <c r="AD20" s="42">
        <f>AA36</f>
        <v>2510</v>
      </c>
    </row>
    <row r="21" spans="1:30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20"/>
      <c r="N21" s="20"/>
      <c r="O21" s="20"/>
      <c r="P21" s="20"/>
      <c r="Q21" s="32"/>
      <c r="AC21" t="s">
        <v>70</v>
      </c>
      <c r="AD21" s="16">
        <f>AD19/AD20</f>
        <v>242.06026196983237</v>
      </c>
    </row>
    <row r="22" spans="1:30" x14ac:dyDescent="0.3">
      <c r="B22" s="3" t="s">
        <v>14</v>
      </c>
      <c r="C22" s="9">
        <f t="shared" ref="C22:I22" si="23">C20-C18+C14</f>
        <v>5557.1212500000001</v>
      </c>
      <c r="D22" s="9">
        <f t="shared" si="23"/>
        <v>5683.17</v>
      </c>
      <c r="E22" s="9">
        <f t="shared" si="23"/>
        <v>7655.8958333333358</v>
      </c>
      <c r="F22" s="9">
        <f t="shared" si="23"/>
        <v>12699.422499999999</v>
      </c>
      <c r="G22" s="9">
        <f t="shared" si="23"/>
        <v>29078.474902500002</v>
      </c>
      <c r="H22" s="9">
        <f t="shared" si="23"/>
        <v>84908.626680000001</v>
      </c>
      <c r="I22" s="9">
        <f t="shared" si="23"/>
        <v>134394.28000000003</v>
      </c>
      <c r="J22" s="9">
        <f t="shared" ref="J22:K22" si="24">J20-J18+J14</f>
        <v>99488.909796000022</v>
      </c>
      <c r="K22" s="9">
        <f t="shared" si="24"/>
        <v>248710.30812666667</v>
      </c>
      <c r="L22" s="9">
        <f>L20-L18+L14</f>
        <v>485950.38750416669</v>
      </c>
      <c r="M22" s="21">
        <f t="shared" ref="M22:N22" si="25">M20-M18+M14</f>
        <v>616606.4895416667</v>
      </c>
      <c r="N22" s="21">
        <f t="shared" si="25"/>
        <v>485924.92329333338</v>
      </c>
      <c r="O22" s="20"/>
      <c r="P22" s="20"/>
      <c r="Q22" s="30">
        <f>(L22/C22)^(1/10)-1</f>
        <v>0.56377478469383391</v>
      </c>
    </row>
    <row r="23" spans="1:30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20"/>
      <c r="N23" s="20"/>
      <c r="O23" s="20"/>
      <c r="P23" s="20"/>
      <c r="Q23" s="32"/>
    </row>
    <row r="24" spans="1:30" x14ac:dyDescent="0.3">
      <c r="B24" s="3" t="s">
        <v>16</v>
      </c>
      <c r="C24" s="10">
        <f t="shared" ref="C24:K24" si="26">IFERROR(C22/C8, "-")</f>
        <v>6.3582622997711669</v>
      </c>
      <c r="D24" s="10">
        <f t="shared" si="26"/>
        <v>7.7322040816326529</v>
      </c>
      <c r="E24" s="10">
        <f t="shared" si="26"/>
        <v>7.8201183180115788</v>
      </c>
      <c r="F24" s="10">
        <f t="shared" si="26"/>
        <v>13.452778072033897</v>
      </c>
      <c r="G24" s="10">
        <f t="shared" si="26"/>
        <v>13.709794862093354</v>
      </c>
      <c r="H24" s="10">
        <f t="shared" si="26"/>
        <v>24.907194684658258</v>
      </c>
      <c r="I24" s="10">
        <f t="shared" si="26"/>
        <v>33.053192326610926</v>
      </c>
      <c r="J24" s="10">
        <f t="shared" si="26"/>
        <v>30.830154879454607</v>
      </c>
      <c r="K24" s="10">
        <f t="shared" si="26"/>
        <v>44.175898423919477</v>
      </c>
      <c r="L24" s="10">
        <f>IFERROR(L22/L8, "-")</f>
        <v>43.330395675806216</v>
      </c>
      <c r="M24" s="27">
        <f t="shared" ref="M24:N24" si="27">IFERROR(M22/M8, "-")</f>
        <v>280.02111241674237</v>
      </c>
      <c r="N24" s="27">
        <f t="shared" si="27"/>
        <v>554.07630934245537</v>
      </c>
      <c r="O24" s="20"/>
      <c r="P24" s="20"/>
      <c r="Q24" s="34">
        <f>AVERAGE(C24:L24)</f>
        <v>22.536999362399214</v>
      </c>
      <c r="AA24" s="3">
        <v>18</v>
      </c>
    </row>
    <row r="25" spans="1:30" x14ac:dyDescent="0.3">
      <c r="B25" s="3"/>
      <c r="M25" s="20"/>
      <c r="N25" s="20"/>
      <c r="O25" s="20"/>
      <c r="P25" s="20"/>
      <c r="Q25" s="31"/>
    </row>
    <row r="26" spans="1:30" x14ac:dyDescent="0.3">
      <c r="B26" s="3" t="s">
        <v>15</v>
      </c>
      <c r="C26" s="10">
        <f t="shared" ref="C26:K26" si="28">IFERROR(C14/C8,"-")</f>
        <v>2.1739130434782608E-2</v>
      </c>
      <c r="D26" s="10">
        <f t="shared" si="28"/>
        <v>1.8693877551020408</v>
      </c>
      <c r="E26" s="10">
        <f t="shared" si="28"/>
        <v>1.4279877425944842</v>
      </c>
      <c r="F26" s="10">
        <f t="shared" si="28"/>
        <v>1.5074152542372881</v>
      </c>
      <c r="G26" s="10">
        <f t="shared" si="28"/>
        <v>1.3102310231023102</v>
      </c>
      <c r="H26" s="10">
        <f t="shared" si="28"/>
        <v>0.58668231152830741</v>
      </c>
      <c r="I26" s="10">
        <f t="shared" si="28"/>
        <v>0.48893261190359077</v>
      </c>
      <c r="J26" s="10">
        <f t="shared" si="28"/>
        <v>0.79082739386427026</v>
      </c>
      <c r="K26" s="10">
        <f t="shared" si="28"/>
        <v>1.3493783303730018</v>
      </c>
      <c r="L26" s="10">
        <f>IFERROR(L14/L8,"-")</f>
        <v>1.0436914846188141</v>
      </c>
      <c r="M26" s="27">
        <f t="shared" ref="M26:N26" si="29">IFERROR(M14/M8,"-")</f>
        <v>5.3128973660308807</v>
      </c>
      <c r="N26" s="27">
        <f t="shared" si="29"/>
        <v>13.33181299885975</v>
      </c>
      <c r="O26" s="20"/>
      <c r="P26" s="20"/>
      <c r="Q26" s="34">
        <f>AVERAGE(C26:L26)</f>
        <v>1.039627303775889</v>
      </c>
    </row>
    <row r="27" spans="1:30" x14ac:dyDescent="0.3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22"/>
      <c r="N27" s="22"/>
      <c r="O27" s="22"/>
      <c r="P27" s="22"/>
      <c r="Q27" s="35"/>
    </row>
    <row r="28" spans="1:30" x14ac:dyDescent="0.3">
      <c r="B28" s="3" t="s">
        <v>17</v>
      </c>
      <c r="C28" s="3">
        <v>824</v>
      </c>
      <c r="D28" s="3">
        <v>835</v>
      </c>
      <c r="E28" s="3">
        <v>906</v>
      </c>
      <c r="F28" s="3">
        <v>1175</v>
      </c>
      <c r="G28" s="3">
        <v>1672</v>
      </c>
      <c r="H28" s="3">
        <v>3502</v>
      </c>
      <c r="I28" s="3">
        <v>3743</v>
      </c>
      <c r="J28" s="3">
        <v>4761</v>
      </c>
      <c r="K28" s="3">
        <v>5822</v>
      </c>
      <c r="L28" s="3">
        <v>9108</v>
      </c>
      <c r="M28" s="23">
        <v>1731</v>
      </c>
      <c r="N28" s="23">
        <v>1270</v>
      </c>
      <c r="O28" s="20"/>
      <c r="P28" s="20"/>
      <c r="Q28" s="30">
        <f>(L28/C28)^(1/10)-1</f>
        <v>0.27159725293103354</v>
      </c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30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20"/>
      <c r="N29" s="20"/>
      <c r="O29" s="20"/>
      <c r="P29" s="20"/>
      <c r="Q29" s="32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30" x14ac:dyDescent="0.3">
      <c r="B30" s="3" t="s">
        <v>18</v>
      </c>
      <c r="C30" s="3">
        <v>-138</v>
      </c>
      <c r="D30" s="3">
        <v>-255</v>
      </c>
      <c r="E30" s="3">
        <v>-122</v>
      </c>
      <c r="F30" s="3">
        <v>-86</v>
      </c>
      <c r="G30" s="3">
        <v>-176</v>
      </c>
      <c r="H30" s="3">
        <v>-593</v>
      </c>
      <c r="I30" s="3">
        <v>-600</v>
      </c>
      <c r="J30" s="3">
        <v>-489</v>
      </c>
      <c r="K30" s="3">
        <v>-1128</v>
      </c>
      <c r="L30" s="3">
        <v>-976</v>
      </c>
      <c r="M30" s="23">
        <v>-361</v>
      </c>
      <c r="N30" s="20">
        <v>-433</v>
      </c>
      <c r="O30" s="20"/>
      <c r="P30" s="20"/>
      <c r="Q30" s="30">
        <f>(L30/C30)^(1/10)-1</f>
        <v>0.21606579538320769</v>
      </c>
    </row>
    <row r="31" spans="1:30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20"/>
      <c r="N31" s="20"/>
      <c r="O31" s="20"/>
      <c r="P31" s="20"/>
      <c r="Q31" s="32"/>
    </row>
    <row r="32" spans="1:30" x14ac:dyDescent="0.3">
      <c r="B32" s="3" t="s">
        <v>42</v>
      </c>
      <c r="C32" s="3">
        <v>0</v>
      </c>
      <c r="D32" s="3">
        <v>1478</v>
      </c>
      <c r="E32" s="3">
        <v>0</v>
      </c>
      <c r="F32" s="3">
        <v>0</v>
      </c>
      <c r="G32" s="3">
        <f>1988-673</f>
        <v>1315</v>
      </c>
      <c r="H32" s="3">
        <v>-812</v>
      </c>
      <c r="I32" s="3">
        <v>-16</v>
      </c>
      <c r="J32" s="3">
        <v>0</v>
      </c>
      <c r="K32" s="3">
        <v>4968</v>
      </c>
      <c r="L32" s="3">
        <f>4977-1000</f>
        <v>3977</v>
      </c>
      <c r="M32" s="23">
        <v>0</v>
      </c>
      <c r="N32" s="20">
        <v>0</v>
      </c>
      <c r="O32" s="20"/>
      <c r="P32" s="20"/>
      <c r="Q32" s="30"/>
    </row>
    <row r="33" spans="2:27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0"/>
      <c r="N33" s="20"/>
      <c r="O33" s="20"/>
      <c r="P33" s="20"/>
      <c r="Q33" s="32"/>
    </row>
    <row r="34" spans="2:27" x14ac:dyDescent="0.3">
      <c r="B34" s="3" t="s">
        <v>19</v>
      </c>
      <c r="C34" s="3">
        <f t="shared" ref="C34:G34" si="30">C28+C30+C32</f>
        <v>686</v>
      </c>
      <c r="D34" s="3">
        <f t="shared" si="30"/>
        <v>2058</v>
      </c>
      <c r="E34" s="3">
        <f t="shared" si="30"/>
        <v>784</v>
      </c>
      <c r="F34" s="3">
        <f t="shared" si="30"/>
        <v>1089</v>
      </c>
      <c r="G34" s="3">
        <f t="shared" si="30"/>
        <v>2811</v>
      </c>
      <c r="H34" s="3">
        <f t="shared" ref="H34:K34" si="31">H28+H30+H32</f>
        <v>2097</v>
      </c>
      <c r="I34" s="3">
        <f t="shared" si="31"/>
        <v>3127</v>
      </c>
      <c r="J34" s="3">
        <f t="shared" si="31"/>
        <v>4272</v>
      </c>
      <c r="K34" s="3">
        <f t="shared" si="31"/>
        <v>9662</v>
      </c>
      <c r="L34" s="3">
        <f>L28+L30+L32</f>
        <v>12109</v>
      </c>
      <c r="M34" s="23">
        <f t="shared" ref="M34:N34" si="32">M28+M30+M32</f>
        <v>1370</v>
      </c>
      <c r="N34" s="23">
        <f t="shared" si="32"/>
        <v>837</v>
      </c>
      <c r="O34" s="20"/>
      <c r="P34" s="20"/>
      <c r="Q34" s="30">
        <f>(L34/C34)^(1/10)-1</f>
        <v>0.33253436008144321</v>
      </c>
      <c r="R34" s="29">
        <f>L34*(1+R35)</f>
        <v>10292.65</v>
      </c>
      <c r="S34" s="29">
        <f t="shared" ref="S34:AA34" si="33">R34*(1+S35)</f>
        <v>11321.915000000001</v>
      </c>
      <c r="T34" s="29">
        <f t="shared" si="33"/>
        <v>12454.106500000002</v>
      </c>
      <c r="U34" s="29">
        <f t="shared" si="33"/>
        <v>13699.517150000003</v>
      </c>
      <c r="V34" s="29">
        <f t="shared" si="33"/>
        <v>15069.468865000004</v>
      </c>
      <c r="W34" s="29">
        <f t="shared" si="33"/>
        <v>16576.415751500008</v>
      </c>
      <c r="X34" s="29">
        <f t="shared" si="33"/>
        <v>18234.057326650011</v>
      </c>
      <c r="Y34" s="29">
        <f t="shared" si="33"/>
        <v>20057.463059315014</v>
      </c>
      <c r="Z34" s="29">
        <f t="shared" si="33"/>
        <v>22063.209365246516</v>
      </c>
      <c r="AA34" s="9">
        <f t="shared" si="33"/>
        <v>24269.53030177117</v>
      </c>
    </row>
    <row r="35" spans="2:27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0"/>
      <c r="N35" s="20"/>
      <c r="O35" s="20"/>
      <c r="P35" s="20"/>
      <c r="Q35" s="32"/>
      <c r="R35" s="30">
        <v>-0.15</v>
      </c>
      <c r="S35" s="30">
        <v>0.1</v>
      </c>
      <c r="T35" s="30">
        <v>0.1</v>
      </c>
      <c r="U35" s="30">
        <v>0.1</v>
      </c>
      <c r="V35" s="30">
        <v>0.1</v>
      </c>
      <c r="W35" s="30">
        <v>0.1</v>
      </c>
      <c r="X35" s="30">
        <v>0.1</v>
      </c>
      <c r="Y35" s="30">
        <v>0.1</v>
      </c>
      <c r="Z35" s="30">
        <v>0.1</v>
      </c>
      <c r="AA35" s="30">
        <v>0.1</v>
      </c>
    </row>
    <row r="36" spans="2:27" x14ac:dyDescent="0.3">
      <c r="B36" s="3" t="s">
        <v>20</v>
      </c>
      <c r="C36" s="3">
        <f>617*4</f>
        <v>2468</v>
      </c>
      <c r="D36" s="3">
        <f>568*4</f>
        <v>2272</v>
      </c>
      <c r="E36" s="3">
        <f>550*4</f>
        <v>2200</v>
      </c>
      <c r="F36" s="3">
        <f>539*4</f>
        <v>2156</v>
      </c>
      <c r="G36" s="3">
        <f>4*585</f>
        <v>2340</v>
      </c>
      <c r="H36" s="3">
        <f>605*4</f>
        <v>2420</v>
      </c>
      <c r="I36" s="3">
        <f>606*4</f>
        <v>2424</v>
      </c>
      <c r="J36" s="3">
        <f>612*4</f>
        <v>2448</v>
      </c>
      <c r="K36" s="3">
        <f>620*4</f>
        <v>2480</v>
      </c>
      <c r="L36" s="11">
        <v>2510</v>
      </c>
      <c r="M36" s="24">
        <v>2510</v>
      </c>
      <c r="N36" s="24">
        <v>2510</v>
      </c>
      <c r="O36" s="20"/>
      <c r="P36" s="20"/>
      <c r="Q36" s="36">
        <f>(L36/C36)^(1/10)-1</f>
        <v>1.6888892798199162E-3</v>
      </c>
      <c r="AA36" s="11">
        <f>N36</f>
        <v>2510</v>
      </c>
    </row>
    <row r="37" spans="2:27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20"/>
      <c r="N37" s="20"/>
      <c r="O37" s="20"/>
      <c r="P37" s="20"/>
      <c r="Q37" s="32"/>
    </row>
    <row r="38" spans="2:27" x14ac:dyDescent="0.3">
      <c r="B38" s="3" t="s">
        <v>21</v>
      </c>
      <c r="C38" s="12">
        <f t="shared" ref="C38:K38" si="34">C34/C36</f>
        <v>0.27795786061588329</v>
      </c>
      <c r="D38" s="12">
        <f t="shared" si="34"/>
        <v>0.90580985915492962</v>
      </c>
      <c r="E38" s="12">
        <f t="shared" si="34"/>
        <v>0.35636363636363638</v>
      </c>
      <c r="F38" s="12">
        <f t="shared" si="34"/>
        <v>0.50510204081632648</v>
      </c>
      <c r="G38" s="12">
        <f t="shared" si="34"/>
        <v>1.2012820512820512</v>
      </c>
      <c r="H38" s="12">
        <f t="shared" si="34"/>
        <v>0.86652892561983474</v>
      </c>
      <c r="I38" s="12">
        <f t="shared" si="34"/>
        <v>1.290016501650165</v>
      </c>
      <c r="J38" s="12">
        <f t="shared" si="34"/>
        <v>1.7450980392156863</v>
      </c>
      <c r="K38" s="12">
        <f t="shared" si="34"/>
        <v>3.8959677419354839</v>
      </c>
      <c r="L38" s="12">
        <f>L34/L36</f>
        <v>4.8243027888446219</v>
      </c>
      <c r="M38" s="25">
        <f t="shared" ref="M38:N38" si="35">M34/M36</f>
        <v>0.54581673306772904</v>
      </c>
      <c r="N38" s="25">
        <f t="shared" si="35"/>
        <v>0.33346613545816733</v>
      </c>
      <c r="O38" s="20"/>
      <c r="P38" s="20"/>
      <c r="Q38" s="37">
        <f>AVERAGE(C38:L38)</f>
        <v>1.586842944549862</v>
      </c>
    </row>
    <row r="39" spans="2:27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0"/>
      <c r="N39" s="20"/>
      <c r="O39" s="20"/>
      <c r="P39" s="20"/>
      <c r="Q39" s="32"/>
    </row>
    <row r="40" spans="2:27" x14ac:dyDescent="0.3">
      <c r="B40" s="3" t="s">
        <v>22</v>
      </c>
      <c r="C40" s="12">
        <v>3.3878125000000003</v>
      </c>
      <c r="D40" s="12">
        <v>3.5396874999999999</v>
      </c>
      <c r="E40" s="12">
        <v>4.6267708333333344</v>
      </c>
      <c r="F40" s="12">
        <v>5.8568749999999996</v>
      </c>
      <c r="G40" s="12">
        <v>13.358749958333334</v>
      </c>
      <c r="H40" s="12">
        <v>37.118853999999999</v>
      </c>
      <c r="I40" s="12">
        <v>57.136666666666677</v>
      </c>
      <c r="J40" s="12">
        <v>43.32104158333334</v>
      </c>
      <c r="K40" s="12">
        <v>98.71947908333334</v>
      </c>
      <c r="L40" s="12">
        <v>193.93760458333335</v>
      </c>
      <c r="M40" s="26">
        <v>248.34999583333334</v>
      </c>
      <c r="N40" s="26">
        <v>193.82666266666669</v>
      </c>
      <c r="O40" s="20"/>
      <c r="P40" s="20"/>
      <c r="Q40" s="30">
        <f>(L40/C40)^(1/10)-1</f>
        <v>0.49890554459932823</v>
      </c>
    </row>
    <row r="41" spans="2:27" x14ac:dyDescent="0.3">
      <c r="B41" s="3"/>
      <c r="M41" s="20"/>
      <c r="N41" s="20"/>
      <c r="O41" s="20"/>
      <c r="P41" s="20"/>
      <c r="Q41" s="32"/>
    </row>
    <row r="42" spans="2:27" x14ac:dyDescent="0.3">
      <c r="B42" s="3" t="s">
        <v>23</v>
      </c>
      <c r="C42" s="13">
        <f t="shared" ref="C42:K42" si="36">C38/C40</f>
        <v>8.2046412136410521E-2</v>
      </c>
      <c r="D42" s="13">
        <f t="shared" si="36"/>
        <v>0.25590108142454093</v>
      </c>
      <c r="E42" s="13">
        <f t="shared" si="36"/>
        <v>7.7022106605374258E-2</v>
      </c>
      <c r="F42" s="13">
        <f t="shared" si="36"/>
        <v>8.6240877740488997E-2</v>
      </c>
      <c r="G42" s="13">
        <f t="shared" si="36"/>
        <v>8.9924735100882572E-2</v>
      </c>
      <c r="H42" s="13">
        <f t="shared" si="36"/>
        <v>2.3344711170766069E-2</v>
      </c>
      <c r="I42" s="13">
        <f t="shared" si="36"/>
        <v>2.2577734700137065E-2</v>
      </c>
      <c r="J42" s="13">
        <f t="shared" si="36"/>
        <v>4.028291969524269E-2</v>
      </c>
      <c r="K42" s="13">
        <f t="shared" si="36"/>
        <v>3.9465035453101718E-2</v>
      </c>
      <c r="L42" s="13">
        <f>L38/L40</f>
        <v>2.4875540765853174E-2</v>
      </c>
      <c r="M42" s="20"/>
      <c r="N42" s="20"/>
      <c r="O42" s="20"/>
      <c r="P42" s="20"/>
      <c r="Q42" s="38">
        <f>AVERAGE(C42:L42)</f>
        <v>7.4168115479279803E-2</v>
      </c>
      <c r="AA42" s="40">
        <v>0.04</v>
      </c>
    </row>
    <row r="43" spans="2:27" x14ac:dyDescent="0.3">
      <c r="C43" t="s">
        <v>44</v>
      </c>
    </row>
  </sheetData>
  <mergeCells count="2">
    <mergeCell ref="AC3:AD3"/>
    <mergeCell ref="AC13:AD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2FDF-3569-44D8-B5A5-B074F56B2B85}">
  <dimension ref="A1:D129"/>
  <sheetViews>
    <sheetView workbookViewId="0">
      <selection activeCell="D2" sqref="D2"/>
    </sheetView>
  </sheetViews>
  <sheetFormatPr defaultRowHeight="14.4" x14ac:dyDescent="0.3"/>
  <cols>
    <col min="1" max="1" width="9.6640625" bestFit="1" customWidth="1"/>
    <col min="4" max="4" width="9.109375" style="5"/>
  </cols>
  <sheetData>
    <row r="1" spans="1:4" x14ac:dyDescent="0.3">
      <c r="A1" t="s">
        <v>26</v>
      </c>
      <c r="B1" t="s">
        <v>25</v>
      </c>
      <c r="C1" t="s">
        <v>24</v>
      </c>
      <c r="D1" s="5" t="s">
        <v>27</v>
      </c>
    </row>
    <row r="2" spans="1:4" x14ac:dyDescent="0.3">
      <c r="A2" s="4">
        <v>40909</v>
      </c>
      <c r="B2">
        <v>3.81</v>
      </c>
      <c r="C2">
        <v>3.375</v>
      </c>
      <c r="D2" s="6">
        <f>(B2+C2)/2</f>
        <v>3.5925000000000002</v>
      </c>
    </row>
    <row r="3" spans="1:4" x14ac:dyDescent="0.3">
      <c r="A3" s="4">
        <v>40940</v>
      </c>
      <c r="B3">
        <v>4.2249999999999996</v>
      </c>
      <c r="C3">
        <v>3.6825000000000001</v>
      </c>
      <c r="D3" s="6">
        <f t="shared" ref="D3:D66" si="0">(B3+C3)/2</f>
        <v>3.9537499999999999</v>
      </c>
    </row>
    <row r="4" spans="1:4" x14ac:dyDescent="0.3">
      <c r="A4" s="4">
        <v>40969</v>
      </c>
      <c r="B4">
        <v>3.9</v>
      </c>
      <c r="C4">
        <v>3.56</v>
      </c>
      <c r="D4" s="6">
        <f t="shared" si="0"/>
        <v>3.73</v>
      </c>
    </row>
    <row r="5" spans="1:4" x14ac:dyDescent="0.3">
      <c r="A5" s="4">
        <v>41000</v>
      </c>
      <c r="B5">
        <v>3.8725000000000001</v>
      </c>
      <c r="C5">
        <v>3.1875</v>
      </c>
      <c r="D5" s="6">
        <f t="shared" si="0"/>
        <v>3.5300000000000002</v>
      </c>
    </row>
    <row r="6" spans="1:4" x14ac:dyDescent="0.3">
      <c r="A6" s="4">
        <v>41030</v>
      </c>
      <c r="B6">
        <v>3.42</v>
      </c>
      <c r="C6">
        <v>2.9575</v>
      </c>
      <c r="D6" s="6">
        <f t="shared" si="0"/>
        <v>3.1887499999999998</v>
      </c>
    </row>
    <row r="7" spans="1:4" x14ac:dyDescent="0.3">
      <c r="A7" s="4">
        <v>41061</v>
      </c>
      <c r="B7">
        <v>3.4624999999999999</v>
      </c>
      <c r="C7">
        <v>2.9075000000000002</v>
      </c>
      <c r="D7" s="6">
        <f t="shared" si="0"/>
        <v>3.1850000000000001</v>
      </c>
    </row>
    <row r="8" spans="1:4" x14ac:dyDescent="0.3">
      <c r="A8" s="4">
        <v>41091</v>
      </c>
      <c r="B8">
        <v>3.4750000000000001</v>
      </c>
      <c r="C8">
        <v>3.04</v>
      </c>
      <c r="D8" s="6">
        <f t="shared" si="0"/>
        <v>3.2575000000000003</v>
      </c>
    </row>
    <row r="9" spans="1:4" x14ac:dyDescent="0.3">
      <c r="A9" s="4">
        <v>41122</v>
      </c>
      <c r="B9">
        <v>3.8050000000000002</v>
      </c>
      <c r="C9">
        <v>3.2749999999999999</v>
      </c>
      <c r="D9" s="6">
        <f t="shared" si="0"/>
        <v>3.54</v>
      </c>
    </row>
    <row r="10" spans="1:4" x14ac:dyDescent="0.3">
      <c r="A10" s="4">
        <v>41153</v>
      </c>
      <c r="B10">
        <v>3.5225</v>
      </c>
      <c r="C10">
        <v>3.2374999999999998</v>
      </c>
      <c r="D10" s="6">
        <f t="shared" si="0"/>
        <v>3.38</v>
      </c>
    </row>
    <row r="11" spans="1:4" x14ac:dyDescent="0.3">
      <c r="A11" s="4">
        <v>41183</v>
      </c>
      <c r="B11">
        <v>3.45</v>
      </c>
      <c r="C11">
        <v>2.9575</v>
      </c>
      <c r="D11" s="6">
        <f t="shared" si="0"/>
        <v>3.2037500000000003</v>
      </c>
    </row>
    <row r="12" spans="1:4" x14ac:dyDescent="0.3">
      <c r="A12" s="4">
        <v>41214</v>
      </c>
      <c r="B12">
        <v>3.27</v>
      </c>
      <c r="C12">
        <v>2.7875000000000001</v>
      </c>
      <c r="D12" s="6">
        <f t="shared" si="0"/>
        <v>3.0287500000000001</v>
      </c>
    </row>
    <row r="13" spans="1:4" x14ac:dyDescent="0.3">
      <c r="A13" s="4">
        <v>41244</v>
      </c>
      <c r="B13">
        <v>3.2025000000000001</v>
      </c>
      <c r="C13">
        <v>2.9249999999999998</v>
      </c>
      <c r="D13" s="6">
        <f t="shared" si="0"/>
        <v>3.0637499999999998</v>
      </c>
    </row>
    <row r="14" spans="1:4" x14ac:dyDescent="0.3">
      <c r="A14" s="4">
        <v>41275</v>
      </c>
      <c r="B14">
        <v>3.2974999999999999</v>
      </c>
      <c r="C14">
        <v>2.9775</v>
      </c>
      <c r="D14" s="6">
        <f t="shared" si="0"/>
        <v>3.1375000000000002</v>
      </c>
    </row>
    <row r="15" spans="1:4" x14ac:dyDescent="0.3">
      <c r="A15" s="4">
        <v>41306</v>
      </c>
      <c r="B15">
        <v>3.2124999999999999</v>
      </c>
      <c r="C15">
        <v>3.0125000000000002</v>
      </c>
      <c r="D15" s="6">
        <f t="shared" si="0"/>
        <v>3.1124999999999998</v>
      </c>
    </row>
    <row r="16" spans="1:4" x14ac:dyDescent="0.3">
      <c r="A16" s="4">
        <v>41334</v>
      </c>
      <c r="B16">
        <v>3.25</v>
      </c>
      <c r="C16">
        <v>3.08</v>
      </c>
      <c r="D16" s="6">
        <f t="shared" si="0"/>
        <v>3.165</v>
      </c>
    </row>
    <row r="17" spans="1:4" x14ac:dyDescent="0.3">
      <c r="A17" s="4">
        <v>41365</v>
      </c>
      <c r="B17">
        <v>3.4424999999999999</v>
      </c>
      <c r="C17">
        <v>3.01</v>
      </c>
      <c r="D17" s="6">
        <f t="shared" si="0"/>
        <v>3.2262499999999998</v>
      </c>
    </row>
    <row r="18" spans="1:4" x14ac:dyDescent="0.3">
      <c r="A18" s="4">
        <v>41395</v>
      </c>
      <c r="B18">
        <v>3.7450000000000001</v>
      </c>
      <c r="C18">
        <v>3.38</v>
      </c>
      <c r="D18" s="6">
        <f t="shared" si="0"/>
        <v>3.5625</v>
      </c>
    </row>
    <row r="19" spans="1:4" x14ac:dyDescent="0.3">
      <c r="A19" s="4">
        <v>41426</v>
      </c>
      <c r="B19">
        <v>3.87</v>
      </c>
      <c r="C19">
        <v>3.4575</v>
      </c>
      <c r="D19" s="6">
        <f t="shared" si="0"/>
        <v>3.6637500000000003</v>
      </c>
    </row>
    <row r="20" spans="1:4" x14ac:dyDescent="0.3">
      <c r="A20" s="4">
        <v>41456</v>
      </c>
      <c r="B20">
        <v>3.6949999999999998</v>
      </c>
      <c r="C20">
        <v>3.49</v>
      </c>
      <c r="D20" s="6">
        <f t="shared" si="0"/>
        <v>3.5925000000000002</v>
      </c>
    </row>
    <row r="21" spans="1:4" x14ac:dyDescent="0.3">
      <c r="A21" s="4">
        <v>41487</v>
      </c>
      <c r="B21">
        <v>3.85</v>
      </c>
      <c r="C21">
        <v>3.2774999999999999</v>
      </c>
      <c r="D21" s="6">
        <f t="shared" si="0"/>
        <v>3.5637499999999998</v>
      </c>
    </row>
    <row r="22" spans="1:4" x14ac:dyDescent="0.3">
      <c r="A22" s="4">
        <v>41518</v>
      </c>
      <c r="B22">
        <v>4.0250000000000004</v>
      </c>
      <c r="C22">
        <v>3.6675</v>
      </c>
      <c r="D22" s="6">
        <f t="shared" si="0"/>
        <v>3.8462500000000004</v>
      </c>
    </row>
    <row r="23" spans="1:4" x14ac:dyDescent="0.3">
      <c r="A23" s="4">
        <v>41548</v>
      </c>
      <c r="B23">
        <v>4.0025000000000004</v>
      </c>
      <c r="C23">
        <v>3.75</v>
      </c>
      <c r="D23" s="6">
        <f t="shared" si="0"/>
        <v>3.8762500000000002</v>
      </c>
    </row>
    <row r="24" spans="1:4" x14ac:dyDescent="0.3">
      <c r="A24" s="4">
        <v>41579</v>
      </c>
      <c r="B24">
        <v>4.08</v>
      </c>
      <c r="C24">
        <v>3.63</v>
      </c>
      <c r="D24" s="6">
        <f t="shared" si="0"/>
        <v>3.855</v>
      </c>
    </row>
    <row r="25" spans="1:4" x14ac:dyDescent="0.3">
      <c r="A25" s="4">
        <v>41609</v>
      </c>
      <c r="B25">
        <v>4.0250000000000004</v>
      </c>
      <c r="C25">
        <v>3.7250000000000001</v>
      </c>
      <c r="D25" s="6">
        <f t="shared" si="0"/>
        <v>3.875</v>
      </c>
    </row>
    <row r="26" spans="1:4" x14ac:dyDescent="0.3">
      <c r="A26" s="4">
        <v>41640</v>
      </c>
      <c r="B26">
        <v>4.1100000000000003</v>
      </c>
      <c r="C26">
        <v>3.8325</v>
      </c>
      <c r="D26" s="6">
        <f t="shared" si="0"/>
        <v>3.9712500000000004</v>
      </c>
    </row>
    <row r="27" spans="1:4" x14ac:dyDescent="0.3">
      <c r="A27" s="4">
        <v>41671</v>
      </c>
      <c r="B27">
        <v>4.7625000000000002</v>
      </c>
      <c r="C27">
        <v>3.83</v>
      </c>
      <c r="D27" s="6">
        <f t="shared" si="0"/>
        <v>4.2962500000000006</v>
      </c>
    </row>
    <row r="28" spans="1:4" x14ac:dyDescent="0.3">
      <c r="A28" s="4">
        <v>41699</v>
      </c>
      <c r="B28">
        <v>4.7424999999999997</v>
      </c>
      <c r="C28">
        <v>4.3899999999999997</v>
      </c>
      <c r="D28" s="6">
        <f t="shared" si="0"/>
        <v>4.5662500000000001</v>
      </c>
    </row>
    <row r="29" spans="1:4" x14ac:dyDescent="0.3">
      <c r="A29" s="4">
        <v>41730</v>
      </c>
      <c r="B29">
        <v>4.8650000000000002</v>
      </c>
      <c r="C29">
        <v>4.47</v>
      </c>
      <c r="D29" s="6">
        <f t="shared" si="0"/>
        <v>4.6675000000000004</v>
      </c>
    </row>
    <row r="30" spans="1:4" x14ac:dyDescent="0.3">
      <c r="A30" s="4">
        <v>41760</v>
      </c>
      <c r="B30">
        <v>4.7824999999999998</v>
      </c>
      <c r="C30">
        <v>4.4275000000000002</v>
      </c>
      <c r="D30" s="6">
        <f t="shared" si="0"/>
        <v>4.6050000000000004</v>
      </c>
    </row>
    <row r="31" spans="1:4" x14ac:dyDescent="0.3">
      <c r="A31" s="4">
        <v>41791</v>
      </c>
      <c r="B31">
        <v>4.9325000000000001</v>
      </c>
      <c r="C31">
        <v>4.5575000000000001</v>
      </c>
      <c r="D31" s="6">
        <f t="shared" si="0"/>
        <v>4.7450000000000001</v>
      </c>
    </row>
    <row r="32" spans="1:4" x14ac:dyDescent="0.3">
      <c r="A32" s="4">
        <v>41821</v>
      </c>
      <c r="B32">
        <v>4.9000000000000004</v>
      </c>
      <c r="C32">
        <v>4.3550000000000004</v>
      </c>
      <c r="D32" s="6">
        <f t="shared" si="0"/>
        <v>4.6275000000000004</v>
      </c>
    </row>
    <row r="33" spans="1:4" x14ac:dyDescent="0.3">
      <c r="A33" s="4">
        <v>41852</v>
      </c>
      <c r="B33">
        <v>4.8724999999999996</v>
      </c>
      <c r="C33">
        <v>4.335</v>
      </c>
      <c r="D33" s="6">
        <f t="shared" si="0"/>
        <v>4.6037499999999998</v>
      </c>
    </row>
    <row r="34" spans="1:4" x14ac:dyDescent="0.3">
      <c r="A34" s="4">
        <v>41883</v>
      </c>
      <c r="B34">
        <v>5.0374999999999996</v>
      </c>
      <c r="C34">
        <v>4.5549999999999997</v>
      </c>
      <c r="D34" s="6">
        <f t="shared" si="0"/>
        <v>4.7962499999999997</v>
      </c>
    </row>
    <row r="35" spans="1:4" x14ac:dyDescent="0.3">
      <c r="A35" s="4">
        <v>41913</v>
      </c>
      <c r="B35">
        <v>4.8875000000000002</v>
      </c>
      <c r="C35">
        <v>4.1924999999999999</v>
      </c>
      <c r="D35" s="6">
        <f t="shared" si="0"/>
        <v>4.54</v>
      </c>
    </row>
    <row r="36" spans="1:4" x14ac:dyDescent="0.3">
      <c r="A36" s="4">
        <v>41944</v>
      </c>
      <c r="B36">
        <v>5.2725</v>
      </c>
      <c r="C36">
        <v>4.8449999999999998</v>
      </c>
      <c r="D36" s="6">
        <f t="shared" si="0"/>
        <v>5.0587499999999999</v>
      </c>
    </row>
    <row r="37" spans="1:4" x14ac:dyDescent="0.3">
      <c r="A37" s="4">
        <v>41974</v>
      </c>
      <c r="B37">
        <v>5.3125</v>
      </c>
      <c r="C37">
        <v>4.7750000000000004</v>
      </c>
      <c r="D37" s="6">
        <f t="shared" si="0"/>
        <v>5.0437500000000002</v>
      </c>
    </row>
    <row r="38" spans="1:4" x14ac:dyDescent="0.3">
      <c r="A38" s="4">
        <v>42005</v>
      </c>
      <c r="B38">
        <v>5.1875</v>
      </c>
      <c r="C38">
        <v>4.7699999999999996</v>
      </c>
      <c r="D38" s="6">
        <f t="shared" si="0"/>
        <v>4.9787499999999998</v>
      </c>
    </row>
    <row r="39" spans="1:4" x14ac:dyDescent="0.3">
      <c r="A39" s="4">
        <v>42036</v>
      </c>
      <c r="B39">
        <v>5.625</v>
      </c>
      <c r="C39">
        <v>4.7350000000000003</v>
      </c>
      <c r="D39" s="6">
        <f t="shared" si="0"/>
        <v>5.18</v>
      </c>
    </row>
    <row r="40" spans="1:4" x14ac:dyDescent="0.3">
      <c r="A40" s="4">
        <v>42064</v>
      </c>
      <c r="B40">
        <v>5.9024999999999999</v>
      </c>
      <c r="C40">
        <v>5.1150000000000002</v>
      </c>
      <c r="D40" s="6">
        <f t="shared" si="0"/>
        <v>5.50875</v>
      </c>
    </row>
    <row r="41" spans="1:4" x14ac:dyDescent="0.3">
      <c r="A41" s="4">
        <v>42095</v>
      </c>
      <c r="B41">
        <v>5.71</v>
      </c>
      <c r="C41">
        <v>5.1624999999999996</v>
      </c>
      <c r="D41" s="6">
        <f t="shared" si="0"/>
        <v>5.4362499999999994</v>
      </c>
    </row>
    <row r="42" spans="1:4" x14ac:dyDescent="0.3">
      <c r="A42" s="4">
        <v>42125</v>
      </c>
      <c r="B42">
        <v>5.72</v>
      </c>
      <c r="C42">
        <v>5.0949999999999998</v>
      </c>
      <c r="D42" s="6">
        <f t="shared" si="0"/>
        <v>5.4074999999999998</v>
      </c>
    </row>
    <row r="43" spans="1:4" x14ac:dyDescent="0.3">
      <c r="A43" s="4">
        <v>42156</v>
      </c>
      <c r="B43">
        <v>5.65</v>
      </c>
      <c r="C43">
        <v>4.9924999999999997</v>
      </c>
      <c r="D43" s="6">
        <f t="shared" si="0"/>
        <v>5.32125</v>
      </c>
    </row>
    <row r="44" spans="1:4" x14ac:dyDescent="0.3">
      <c r="A44" s="4">
        <v>42186</v>
      </c>
      <c r="B44">
        <v>5.2249999999999996</v>
      </c>
      <c r="C44">
        <v>4.7725</v>
      </c>
      <c r="D44" s="6">
        <f t="shared" si="0"/>
        <v>4.9987499999999994</v>
      </c>
    </row>
    <row r="45" spans="1:4" x14ac:dyDescent="0.3">
      <c r="A45" s="4">
        <v>42217</v>
      </c>
      <c r="B45">
        <v>5.9874999999999998</v>
      </c>
      <c r="C45">
        <v>4.9625000000000004</v>
      </c>
      <c r="D45" s="6">
        <f t="shared" si="0"/>
        <v>5.4749999999999996</v>
      </c>
    </row>
    <row r="46" spans="1:4" x14ac:dyDescent="0.3">
      <c r="A46" s="4">
        <v>42248</v>
      </c>
      <c r="B46">
        <v>6.17</v>
      </c>
      <c r="C46">
        <v>5.35</v>
      </c>
      <c r="D46" s="6">
        <f t="shared" si="0"/>
        <v>5.76</v>
      </c>
    </row>
    <row r="47" spans="1:4" x14ac:dyDescent="0.3">
      <c r="A47" s="4">
        <v>42278</v>
      </c>
      <c r="B47">
        <v>7.1950000000000003</v>
      </c>
      <c r="C47">
        <v>5.8674999999999997</v>
      </c>
      <c r="D47" s="6">
        <f t="shared" si="0"/>
        <v>6.53125</v>
      </c>
    </row>
    <row r="48" spans="1:4" x14ac:dyDescent="0.3">
      <c r="A48" s="4">
        <v>42309</v>
      </c>
      <c r="B48">
        <v>7.9850000000000003</v>
      </c>
      <c r="C48">
        <v>6.9074999999999998</v>
      </c>
      <c r="D48" s="6">
        <f t="shared" si="0"/>
        <v>7.44625</v>
      </c>
    </row>
    <row r="49" spans="1:4" x14ac:dyDescent="0.3">
      <c r="A49" s="4">
        <v>42339</v>
      </c>
      <c r="B49">
        <v>8.4849999999999994</v>
      </c>
      <c r="C49">
        <v>7.9924999999999997</v>
      </c>
      <c r="D49" s="6">
        <f t="shared" si="0"/>
        <v>8.2387499999999996</v>
      </c>
    </row>
    <row r="50" spans="1:4" x14ac:dyDescent="0.3">
      <c r="A50" s="4">
        <v>42370</v>
      </c>
      <c r="B50">
        <v>8.36</v>
      </c>
      <c r="C50">
        <v>6.6124999999999998</v>
      </c>
      <c r="D50" s="6">
        <f t="shared" si="0"/>
        <v>7.4862500000000001</v>
      </c>
    </row>
    <row r="51" spans="1:4" x14ac:dyDescent="0.3">
      <c r="A51" s="4">
        <v>42401</v>
      </c>
      <c r="B51">
        <v>8.0299999999999994</v>
      </c>
      <c r="C51">
        <v>6.1875</v>
      </c>
      <c r="D51" s="6">
        <f t="shared" si="0"/>
        <v>7.1087499999999997</v>
      </c>
    </row>
    <row r="52" spans="1:4" x14ac:dyDescent="0.3">
      <c r="A52" s="4">
        <v>42430</v>
      </c>
      <c r="B52">
        <v>9.0625</v>
      </c>
      <c r="C52">
        <v>7.76</v>
      </c>
      <c r="D52" s="6">
        <f t="shared" si="0"/>
        <v>8.411249999999999</v>
      </c>
    </row>
    <row r="53" spans="1:4" x14ac:dyDescent="0.3">
      <c r="A53" s="4">
        <v>42461</v>
      </c>
      <c r="B53">
        <v>9.3650000000000002</v>
      </c>
      <c r="C53">
        <v>8.6575000000000006</v>
      </c>
      <c r="D53" s="6">
        <f t="shared" si="0"/>
        <v>9.0112500000000004</v>
      </c>
    </row>
    <row r="54" spans="1:4" x14ac:dyDescent="0.3">
      <c r="A54" s="4">
        <v>42491</v>
      </c>
      <c r="B54">
        <v>11.705</v>
      </c>
      <c r="C54">
        <v>8.6</v>
      </c>
      <c r="D54" s="6">
        <f t="shared" si="0"/>
        <v>10.1525</v>
      </c>
    </row>
    <row r="55" spans="1:4" x14ac:dyDescent="0.3">
      <c r="A55" s="4">
        <v>42522</v>
      </c>
      <c r="B55">
        <v>12.135</v>
      </c>
      <c r="C55">
        <v>11.1425</v>
      </c>
      <c r="D55" s="6">
        <f t="shared" si="0"/>
        <v>11.63875</v>
      </c>
    </row>
    <row r="56" spans="1:4" x14ac:dyDescent="0.3">
      <c r="A56" s="4">
        <v>42552</v>
      </c>
      <c r="B56">
        <v>14.3125</v>
      </c>
      <c r="C56">
        <v>11.5075</v>
      </c>
      <c r="D56" s="6">
        <f t="shared" si="0"/>
        <v>12.91</v>
      </c>
    </row>
    <row r="57" spans="1:4" x14ac:dyDescent="0.3">
      <c r="A57" s="4">
        <v>42583</v>
      </c>
      <c r="B57">
        <v>15.875</v>
      </c>
      <c r="C57">
        <v>13.875</v>
      </c>
      <c r="D57" s="6">
        <f t="shared" si="0"/>
        <v>14.875</v>
      </c>
    </row>
    <row r="58" spans="1:4" x14ac:dyDescent="0.3">
      <c r="A58" s="4">
        <v>42614</v>
      </c>
      <c r="B58">
        <v>17.297501</v>
      </c>
      <c r="C58">
        <v>14.33</v>
      </c>
      <c r="D58" s="6">
        <f t="shared" si="0"/>
        <v>15.813750500000001</v>
      </c>
    </row>
    <row r="59" spans="1:4" x14ac:dyDescent="0.3">
      <c r="A59" s="4">
        <v>42644</v>
      </c>
      <c r="B59">
        <v>18.237499</v>
      </c>
      <c r="C59">
        <v>15.925000000000001</v>
      </c>
      <c r="D59" s="6">
        <f t="shared" si="0"/>
        <v>17.081249499999998</v>
      </c>
    </row>
    <row r="60" spans="1:4" x14ac:dyDescent="0.3">
      <c r="A60" s="4">
        <v>42675</v>
      </c>
      <c r="B60">
        <v>23.8125</v>
      </c>
      <c r="C60">
        <v>16.645</v>
      </c>
      <c r="D60" s="6">
        <f t="shared" si="0"/>
        <v>20.228749999999998</v>
      </c>
    </row>
    <row r="61" spans="1:4" x14ac:dyDescent="0.3">
      <c r="A61" s="4">
        <v>42705</v>
      </c>
      <c r="B61">
        <v>29.982500000000002</v>
      </c>
      <c r="C61">
        <v>21.192499000000002</v>
      </c>
      <c r="D61" s="6">
        <f t="shared" si="0"/>
        <v>25.5874995</v>
      </c>
    </row>
    <row r="62" spans="1:4" x14ac:dyDescent="0.3">
      <c r="A62" s="4">
        <v>42736</v>
      </c>
      <c r="B62">
        <v>27.9725</v>
      </c>
      <c r="C62">
        <v>24.7775</v>
      </c>
      <c r="D62" s="6">
        <f t="shared" si="0"/>
        <v>26.375</v>
      </c>
    </row>
    <row r="63" spans="1:4" x14ac:dyDescent="0.3">
      <c r="A63" s="4">
        <v>42767</v>
      </c>
      <c r="B63">
        <v>30.23</v>
      </c>
      <c r="C63">
        <v>23.924999</v>
      </c>
      <c r="D63" s="6">
        <f t="shared" si="0"/>
        <v>27.077499500000002</v>
      </c>
    </row>
    <row r="64" spans="1:4" x14ac:dyDescent="0.3">
      <c r="A64" s="4">
        <v>42795</v>
      </c>
      <c r="B64">
        <v>27.5</v>
      </c>
      <c r="C64">
        <v>23.7925</v>
      </c>
      <c r="D64" s="6">
        <f t="shared" si="0"/>
        <v>25.646250000000002</v>
      </c>
    </row>
    <row r="65" spans="1:4" x14ac:dyDescent="0.3">
      <c r="A65" s="4">
        <v>42826</v>
      </c>
      <c r="B65">
        <v>27.412500000000001</v>
      </c>
      <c r="C65">
        <v>23.872499000000001</v>
      </c>
      <c r="D65" s="6">
        <f t="shared" si="0"/>
        <v>25.6424995</v>
      </c>
    </row>
    <row r="66" spans="1:4" x14ac:dyDescent="0.3">
      <c r="A66" s="4">
        <v>42856</v>
      </c>
      <c r="B66">
        <v>36.75</v>
      </c>
      <c r="C66">
        <v>25.577499</v>
      </c>
      <c r="D66" s="6">
        <f t="shared" si="0"/>
        <v>31.163749500000002</v>
      </c>
    </row>
    <row r="67" spans="1:4" x14ac:dyDescent="0.3">
      <c r="A67" s="4">
        <v>42887</v>
      </c>
      <c r="B67">
        <v>42.125</v>
      </c>
      <c r="C67">
        <v>35.527500000000003</v>
      </c>
      <c r="D67" s="6">
        <f t="shared" ref="D67:D129" si="1">(B67+C67)/2</f>
        <v>38.826250000000002</v>
      </c>
    </row>
    <row r="68" spans="1:4" x14ac:dyDescent="0.3">
      <c r="A68" s="4">
        <v>42917</v>
      </c>
      <c r="B68">
        <v>42.482498</v>
      </c>
      <c r="C68">
        <v>34.645000000000003</v>
      </c>
      <c r="D68" s="6">
        <f t="shared" si="1"/>
        <v>38.563749000000001</v>
      </c>
    </row>
    <row r="69" spans="1:4" x14ac:dyDescent="0.3">
      <c r="A69" s="4">
        <v>42948</v>
      </c>
      <c r="B69">
        <v>43.639999000000003</v>
      </c>
      <c r="C69">
        <v>38.227500999999997</v>
      </c>
      <c r="D69" s="6">
        <f t="shared" si="1"/>
        <v>40.933750000000003</v>
      </c>
    </row>
    <row r="70" spans="1:4" x14ac:dyDescent="0.3">
      <c r="A70" s="4">
        <v>42979</v>
      </c>
      <c r="B70">
        <v>47.799999</v>
      </c>
      <c r="C70">
        <v>40.677501999999997</v>
      </c>
      <c r="D70" s="6">
        <f t="shared" si="1"/>
        <v>44.238750499999995</v>
      </c>
    </row>
    <row r="71" spans="1:4" x14ac:dyDescent="0.3">
      <c r="A71" s="4">
        <v>43009</v>
      </c>
      <c r="B71">
        <v>51.972499999999997</v>
      </c>
      <c r="C71">
        <v>44.25</v>
      </c>
      <c r="D71" s="6">
        <f t="shared" si="1"/>
        <v>48.111249999999998</v>
      </c>
    </row>
    <row r="72" spans="1:4" x14ac:dyDescent="0.3">
      <c r="A72" s="4">
        <v>43040</v>
      </c>
      <c r="B72">
        <v>54.667499999999997</v>
      </c>
      <c r="C72">
        <v>47.807499</v>
      </c>
      <c r="D72" s="6">
        <f t="shared" si="1"/>
        <v>51.237499499999998</v>
      </c>
    </row>
    <row r="73" spans="1:4" x14ac:dyDescent="0.3">
      <c r="A73" s="4">
        <v>43070</v>
      </c>
      <c r="B73">
        <v>50.075001</v>
      </c>
      <c r="C73">
        <v>45.145000000000003</v>
      </c>
      <c r="D73" s="6">
        <f t="shared" si="1"/>
        <v>47.610000499999998</v>
      </c>
    </row>
    <row r="74" spans="1:4" x14ac:dyDescent="0.3">
      <c r="A74" s="4">
        <v>43101</v>
      </c>
      <c r="B74">
        <v>62.317501</v>
      </c>
      <c r="C74">
        <v>48.625</v>
      </c>
      <c r="D74" s="6">
        <f t="shared" si="1"/>
        <v>55.471250499999996</v>
      </c>
    </row>
    <row r="75" spans="1:4" x14ac:dyDescent="0.3">
      <c r="A75" s="4">
        <v>43132</v>
      </c>
      <c r="B75">
        <v>62.9925</v>
      </c>
      <c r="C75">
        <v>51</v>
      </c>
      <c r="D75" s="6">
        <f t="shared" si="1"/>
        <v>56.996250000000003</v>
      </c>
    </row>
    <row r="76" spans="1:4" x14ac:dyDescent="0.3">
      <c r="A76" s="4">
        <v>43160</v>
      </c>
      <c r="B76">
        <v>63.625</v>
      </c>
      <c r="C76">
        <v>54.25</v>
      </c>
      <c r="D76" s="6">
        <f t="shared" si="1"/>
        <v>58.9375</v>
      </c>
    </row>
    <row r="77" spans="1:4" x14ac:dyDescent="0.3">
      <c r="A77" s="4">
        <v>43191</v>
      </c>
      <c r="B77">
        <v>59.8125</v>
      </c>
      <c r="C77">
        <v>52.575001</v>
      </c>
      <c r="D77" s="6">
        <f t="shared" si="1"/>
        <v>56.1937505</v>
      </c>
    </row>
    <row r="78" spans="1:4" x14ac:dyDescent="0.3">
      <c r="A78" s="4">
        <v>43221</v>
      </c>
      <c r="B78">
        <v>65.125</v>
      </c>
      <c r="C78">
        <v>55.549999</v>
      </c>
      <c r="D78" s="6">
        <f t="shared" si="1"/>
        <v>60.3374995</v>
      </c>
    </row>
    <row r="79" spans="1:4" x14ac:dyDescent="0.3">
      <c r="A79" s="4">
        <v>43252</v>
      </c>
      <c r="B79">
        <v>67.300003000000004</v>
      </c>
      <c r="C79">
        <v>58.752499</v>
      </c>
      <c r="D79" s="6">
        <f t="shared" si="1"/>
        <v>63.026251000000002</v>
      </c>
    </row>
    <row r="80" spans="1:4" x14ac:dyDescent="0.3">
      <c r="A80" s="4">
        <v>43282</v>
      </c>
      <c r="B80">
        <v>64.150002000000001</v>
      </c>
      <c r="C80">
        <v>58.314999</v>
      </c>
      <c r="D80" s="6">
        <f t="shared" si="1"/>
        <v>61.2325005</v>
      </c>
    </row>
    <row r="81" spans="1:4" x14ac:dyDescent="0.3">
      <c r="A81" s="4">
        <v>43313</v>
      </c>
      <c r="B81">
        <v>70.430000000000007</v>
      </c>
      <c r="C81">
        <v>59.68</v>
      </c>
      <c r="D81" s="6">
        <f t="shared" si="1"/>
        <v>65.055000000000007</v>
      </c>
    </row>
    <row r="82" spans="1:4" x14ac:dyDescent="0.3">
      <c r="A82" s="4">
        <v>43344</v>
      </c>
      <c r="B82">
        <v>71.305000000000007</v>
      </c>
      <c r="C82">
        <v>64.669998000000007</v>
      </c>
      <c r="D82" s="6">
        <f t="shared" si="1"/>
        <v>67.987499000000014</v>
      </c>
    </row>
    <row r="83" spans="1:4" x14ac:dyDescent="0.3">
      <c r="A83" s="4">
        <v>43374</v>
      </c>
      <c r="B83">
        <v>73.190002000000007</v>
      </c>
      <c r="C83">
        <v>44.002499</v>
      </c>
      <c r="D83" s="6">
        <f t="shared" si="1"/>
        <v>58.596250500000004</v>
      </c>
    </row>
    <row r="84" spans="1:4" x14ac:dyDescent="0.3">
      <c r="A84" s="4">
        <v>43405</v>
      </c>
      <c r="B84">
        <v>55.5</v>
      </c>
      <c r="C84">
        <v>33.327499000000003</v>
      </c>
      <c r="D84" s="6">
        <f t="shared" si="1"/>
        <v>44.413749500000002</v>
      </c>
    </row>
    <row r="85" spans="1:4" x14ac:dyDescent="0.3">
      <c r="A85" s="4">
        <v>43435</v>
      </c>
      <c r="B85">
        <v>43.669998</v>
      </c>
      <c r="C85">
        <v>31.114999999999998</v>
      </c>
      <c r="D85" s="6">
        <f t="shared" si="1"/>
        <v>37.392499000000001</v>
      </c>
    </row>
    <row r="86" spans="1:4" x14ac:dyDescent="0.3">
      <c r="A86" s="4">
        <v>43466</v>
      </c>
      <c r="B86">
        <v>40.220001000000003</v>
      </c>
      <c r="C86">
        <v>31.922501</v>
      </c>
      <c r="D86" s="6">
        <f t="shared" si="1"/>
        <v>36.071251000000004</v>
      </c>
    </row>
    <row r="87" spans="1:4" x14ac:dyDescent="0.3">
      <c r="A87" s="4">
        <v>43497</v>
      </c>
      <c r="B87">
        <v>41.32</v>
      </c>
      <c r="C87">
        <v>35.645000000000003</v>
      </c>
      <c r="D87" s="6">
        <f t="shared" si="1"/>
        <v>38.482500000000002</v>
      </c>
    </row>
    <row r="88" spans="1:4" x14ac:dyDescent="0.3">
      <c r="A88" s="4">
        <v>43525</v>
      </c>
      <c r="B88">
        <v>46.25</v>
      </c>
      <c r="C88">
        <v>36.200001</v>
      </c>
      <c r="D88" s="6">
        <f t="shared" si="1"/>
        <v>41.2250005</v>
      </c>
    </row>
    <row r="89" spans="1:4" x14ac:dyDescent="0.3">
      <c r="A89" s="4">
        <v>43556</v>
      </c>
      <c r="B89">
        <v>48.3675</v>
      </c>
      <c r="C89">
        <v>43.325001</v>
      </c>
      <c r="D89" s="6">
        <f t="shared" si="1"/>
        <v>45.846250499999996</v>
      </c>
    </row>
    <row r="90" spans="1:4" x14ac:dyDescent="0.3">
      <c r="A90" s="4">
        <v>43586</v>
      </c>
      <c r="B90">
        <v>46.217498999999997</v>
      </c>
      <c r="C90">
        <v>33.847499999999997</v>
      </c>
      <c r="D90" s="6">
        <f t="shared" si="1"/>
        <v>40.0324995</v>
      </c>
    </row>
    <row r="91" spans="1:4" x14ac:dyDescent="0.3">
      <c r="A91" s="4">
        <v>43617</v>
      </c>
      <c r="B91">
        <v>41.342498999999997</v>
      </c>
      <c r="C91">
        <v>33.150002000000001</v>
      </c>
      <c r="D91" s="6">
        <f t="shared" si="1"/>
        <v>37.246250500000002</v>
      </c>
    </row>
    <row r="92" spans="1:4" x14ac:dyDescent="0.3">
      <c r="A92" s="4">
        <v>43647</v>
      </c>
      <c r="B92">
        <v>44.722499999999997</v>
      </c>
      <c r="C92">
        <v>38.75</v>
      </c>
      <c r="D92" s="6">
        <f t="shared" si="1"/>
        <v>41.736249999999998</v>
      </c>
    </row>
    <row r="93" spans="1:4" x14ac:dyDescent="0.3">
      <c r="A93" s="4">
        <v>43678</v>
      </c>
      <c r="B93">
        <v>43.362499</v>
      </c>
      <c r="C93">
        <v>36.847499999999997</v>
      </c>
      <c r="D93" s="6">
        <f t="shared" si="1"/>
        <v>40.104999499999998</v>
      </c>
    </row>
    <row r="94" spans="1:4" x14ac:dyDescent="0.3">
      <c r="A94" s="4">
        <v>43709</v>
      </c>
      <c r="B94">
        <v>47.099997999999999</v>
      </c>
      <c r="C94">
        <v>40.8125</v>
      </c>
      <c r="D94" s="6">
        <f t="shared" si="1"/>
        <v>43.956249</v>
      </c>
    </row>
    <row r="95" spans="1:4" x14ac:dyDescent="0.3">
      <c r="A95" s="4">
        <v>43739</v>
      </c>
      <c r="B95">
        <v>52.224997999999999</v>
      </c>
      <c r="C95">
        <v>42.532501000000003</v>
      </c>
      <c r="D95" s="6">
        <f t="shared" si="1"/>
        <v>47.378749499999998</v>
      </c>
    </row>
    <row r="96" spans="1:4" x14ac:dyDescent="0.3">
      <c r="A96" s="4">
        <v>43770</v>
      </c>
      <c r="B96">
        <v>55.352500999999997</v>
      </c>
      <c r="C96">
        <v>49.647499000000003</v>
      </c>
      <c r="D96" s="6">
        <f t="shared" si="1"/>
        <v>52.5</v>
      </c>
    </row>
    <row r="97" spans="1:4" x14ac:dyDescent="0.3">
      <c r="A97" s="4">
        <v>43800</v>
      </c>
      <c r="B97">
        <v>60.452499000000003</v>
      </c>
      <c r="C97">
        <v>50.092498999999997</v>
      </c>
      <c r="D97" s="6">
        <f t="shared" si="1"/>
        <v>55.272498999999996</v>
      </c>
    </row>
    <row r="98" spans="1:4" x14ac:dyDescent="0.3">
      <c r="A98" s="4">
        <v>43831</v>
      </c>
      <c r="B98">
        <v>64.875</v>
      </c>
      <c r="C98">
        <v>57.817501</v>
      </c>
      <c r="D98" s="6">
        <f t="shared" si="1"/>
        <v>61.346250499999996</v>
      </c>
    </row>
    <row r="99" spans="1:4" x14ac:dyDescent="0.3">
      <c r="A99" s="4">
        <v>43862</v>
      </c>
      <c r="B99">
        <v>79.080001999999993</v>
      </c>
      <c r="C99">
        <v>58.862499</v>
      </c>
      <c r="D99" s="6">
        <f t="shared" si="1"/>
        <v>68.971250499999996</v>
      </c>
    </row>
    <row r="100" spans="1:4" x14ac:dyDescent="0.3">
      <c r="A100" s="4">
        <v>43891</v>
      </c>
      <c r="B100">
        <v>71.222504000000001</v>
      </c>
      <c r="C100">
        <v>45.169998</v>
      </c>
      <c r="D100" s="6">
        <f t="shared" si="1"/>
        <v>58.196251000000004</v>
      </c>
    </row>
    <row r="101" spans="1:4" x14ac:dyDescent="0.3">
      <c r="A101" s="4">
        <v>43922</v>
      </c>
      <c r="B101">
        <v>76.050003000000004</v>
      </c>
      <c r="C101">
        <v>59.597499999999997</v>
      </c>
      <c r="D101" s="6">
        <f t="shared" si="1"/>
        <v>67.8237515</v>
      </c>
    </row>
    <row r="102" spans="1:4" x14ac:dyDescent="0.3">
      <c r="A102" s="4">
        <v>43952</v>
      </c>
      <c r="B102">
        <v>91.817497000000003</v>
      </c>
      <c r="C102">
        <v>70.209998999999996</v>
      </c>
      <c r="D102" s="6">
        <f t="shared" si="1"/>
        <v>81.013747999999993</v>
      </c>
    </row>
    <row r="103" spans="1:4" x14ac:dyDescent="0.3">
      <c r="A103" s="4">
        <v>43983</v>
      </c>
      <c r="B103">
        <v>96.425003000000004</v>
      </c>
      <c r="C103">
        <v>86.580001999999993</v>
      </c>
      <c r="D103" s="6">
        <f t="shared" si="1"/>
        <v>91.502502499999991</v>
      </c>
    </row>
    <row r="104" spans="1:4" x14ac:dyDescent="0.3">
      <c r="A104" s="4">
        <v>44013</v>
      </c>
      <c r="B104">
        <v>107.922501</v>
      </c>
      <c r="C104">
        <v>94.129997000000003</v>
      </c>
      <c r="D104" s="6">
        <f t="shared" si="1"/>
        <v>101.02624900000001</v>
      </c>
    </row>
    <row r="105" spans="1:4" x14ac:dyDescent="0.3">
      <c r="A105" s="4">
        <v>44044</v>
      </c>
      <c r="B105">
        <v>135.75</v>
      </c>
      <c r="C105">
        <v>107.152496</v>
      </c>
      <c r="D105" s="6">
        <f t="shared" si="1"/>
        <v>121.45124799999999</v>
      </c>
    </row>
    <row r="106" spans="1:4" x14ac:dyDescent="0.3">
      <c r="A106" s="4">
        <v>44075</v>
      </c>
      <c r="B106">
        <v>147.26750200000001</v>
      </c>
      <c r="C106">
        <v>117.042503</v>
      </c>
      <c r="D106" s="6">
        <f t="shared" si="1"/>
        <v>132.15500249999999</v>
      </c>
    </row>
    <row r="107" spans="1:4" x14ac:dyDescent="0.3">
      <c r="A107" s="4">
        <v>44105</v>
      </c>
      <c r="B107">
        <v>143.48500100000001</v>
      </c>
      <c r="C107">
        <v>123</v>
      </c>
      <c r="D107" s="6">
        <f t="shared" si="1"/>
        <v>133.24250050000001</v>
      </c>
    </row>
    <row r="108" spans="1:4" x14ac:dyDescent="0.3">
      <c r="A108" s="4">
        <v>44136</v>
      </c>
      <c r="B108">
        <v>146.91499300000001</v>
      </c>
      <c r="C108">
        <v>123.949997</v>
      </c>
      <c r="D108" s="6">
        <f t="shared" si="1"/>
        <v>135.43249500000002</v>
      </c>
    </row>
    <row r="109" spans="1:4" x14ac:dyDescent="0.3">
      <c r="A109" s="4">
        <v>44166</v>
      </c>
      <c r="B109">
        <v>137.3125</v>
      </c>
      <c r="C109">
        <v>127.63249999999999</v>
      </c>
      <c r="D109" s="6">
        <f t="shared" si="1"/>
        <v>132.4725</v>
      </c>
    </row>
    <row r="110" spans="1:4" x14ac:dyDescent="0.3">
      <c r="A110" s="4">
        <v>44197</v>
      </c>
      <c r="B110">
        <v>139.992493</v>
      </c>
      <c r="C110">
        <v>125.860001</v>
      </c>
      <c r="D110" s="6">
        <f t="shared" si="1"/>
        <v>132.92624699999999</v>
      </c>
    </row>
    <row r="111" spans="1:4" x14ac:dyDescent="0.3">
      <c r="A111" s="4">
        <v>44228</v>
      </c>
      <c r="B111">
        <v>153.72500600000001</v>
      </c>
      <c r="C111">
        <v>129.02749600000001</v>
      </c>
      <c r="D111" s="6">
        <f t="shared" si="1"/>
        <v>141.37625100000002</v>
      </c>
    </row>
    <row r="112" spans="1:4" x14ac:dyDescent="0.3">
      <c r="A112" s="4">
        <v>44256</v>
      </c>
      <c r="B112">
        <v>139.25</v>
      </c>
      <c r="C112">
        <v>115.665001</v>
      </c>
      <c r="D112" s="6">
        <f t="shared" si="1"/>
        <v>127.45750050000001</v>
      </c>
    </row>
    <row r="113" spans="1:4" x14ac:dyDescent="0.3">
      <c r="A113" s="4">
        <v>44287</v>
      </c>
      <c r="B113">
        <v>162.14250200000001</v>
      </c>
      <c r="C113">
        <v>135.112503</v>
      </c>
      <c r="D113" s="6">
        <f t="shared" si="1"/>
        <v>148.62750249999999</v>
      </c>
    </row>
    <row r="114" spans="1:4" x14ac:dyDescent="0.3">
      <c r="A114" s="4">
        <v>44317</v>
      </c>
      <c r="B114">
        <v>162.77499399999999</v>
      </c>
      <c r="C114">
        <v>134.58999600000001</v>
      </c>
      <c r="D114" s="6">
        <f t="shared" si="1"/>
        <v>148.68249500000002</v>
      </c>
    </row>
    <row r="115" spans="1:4" x14ac:dyDescent="0.3">
      <c r="A115" s="4">
        <v>44348</v>
      </c>
      <c r="B115">
        <v>201.625</v>
      </c>
      <c r="C115">
        <v>159.032501</v>
      </c>
      <c r="D115" s="6">
        <f t="shared" si="1"/>
        <v>180.32875050000001</v>
      </c>
    </row>
    <row r="116" spans="1:4" x14ac:dyDescent="0.3">
      <c r="A116" s="4">
        <v>44378</v>
      </c>
      <c r="B116">
        <v>208.75</v>
      </c>
      <c r="C116">
        <v>178.654999</v>
      </c>
      <c r="D116" s="6">
        <f t="shared" si="1"/>
        <v>193.70249949999999</v>
      </c>
    </row>
    <row r="117" spans="1:4" x14ac:dyDescent="0.3">
      <c r="A117" s="4">
        <v>44409</v>
      </c>
      <c r="B117">
        <v>230.429993</v>
      </c>
      <c r="C117">
        <v>187.61999499999999</v>
      </c>
      <c r="D117" s="6">
        <f t="shared" si="1"/>
        <v>209.02499399999999</v>
      </c>
    </row>
    <row r="118" spans="1:4" x14ac:dyDescent="0.3">
      <c r="A118" s="4">
        <v>44440</v>
      </c>
      <c r="B118">
        <v>229.86000100000001</v>
      </c>
      <c r="C118">
        <v>204.66999799999999</v>
      </c>
      <c r="D118" s="6">
        <f t="shared" si="1"/>
        <v>217.26499949999999</v>
      </c>
    </row>
    <row r="119" spans="1:4" x14ac:dyDescent="0.3">
      <c r="A119" s="4">
        <v>44470</v>
      </c>
      <c r="B119">
        <v>257.08999599999999</v>
      </c>
      <c r="C119">
        <v>195.550003</v>
      </c>
      <c r="D119" s="6">
        <f t="shared" si="1"/>
        <v>226.31999949999999</v>
      </c>
    </row>
    <row r="120" spans="1:4" x14ac:dyDescent="0.3">
      <c r="A120" s="4">
        <v>44501</v>
      </c>
      <c r="B120">
        <v>346.47000100000002</v>
      </c>
      <c r="C120">
        <v>252.270004</v>
      </c>
      <c r="D120" s="6">
        <f t="shared" si="1"/>
        <v>299.3700025</v>
      </c>
    </row>
    <row r="121" spans="1:4" x14ac:dyDescent="0.3">
      <c r="A121" s="4">
        <v>44531</v>
      </c>
      <c r="B121">
        <v>332.89001500000001</v>
      </c>
      <c r="C121">
        <v>271.45001200000002</v>
      </c>
      <c r="D121" s="6">
        <f t="shared" si="1"/>
        <v>302.17001349999998</v>
      </c>
    </row>
    <row r="122" spans="1:4" x14ac:dyDescent="0.3">
      <c r="A122" s="4">
        <v>44562</v>
      </c>
      <c r="B122">
        <v>307.10998499999999</v>
      </c>
      <c r="C122">
        <v>208.88000500000001</v>
      </c>
      <c r="D122" s="6">
        <f t="shared" si="1"/>
        <v>257.99499500000002</v>
      </c>
    </row>
    <row r="123" spans="1:4" x14ac:dyDescent="0.3">
      <c r="A123" s="4">
        <v>44593</v>
      </c>
      <c r="B123">
        <v>269.25</v>
      </c>
      <c r="C123">
        <v>208.89999399999999</v>
      </c>
      <c r="D123" s="6">
        <f t="shared" si="1"/>
        <v>239.074997</v>
      </c>
    </row>
    <row r="124" spans="1:4" x14ac:dyDescent="0.3">
      <c r="A124" s="4">
        <v>44621</v>
      </c>
      <c r="B124">
        <v>289.459991</v>
      </c>
      <c r="C124">
        <v>206.5</v>
      </c>
      <c r="D124" s="6">
        <f t="shared" si="1"/>
        <v>247.9799955</v>
      </c>
    </row>
    <row r="125" spans="1:4" x14ac:dyDescent="0.3">
      <c r="A125" s="4">
        <v>44652</v>
      </c>
      <c r="B125">
        <v>275.57998700000002</v>
      </c>
      <c r="C125">
        <v>182.89999399999999</v>
      </c>
      <c r="D125" s="6">
        <f t="shared" si="1"/>
        <v>229.2399905</v>
      </c>
    </row>
    <row r="126" spans="1:4" x14ac:dyDescent="0.3">
      <c r="A126" s="4">
        <v>44682</v>
      </c>
      <c r="B126">
        <v>204</v>
      </c>
      <c r="C126">
        <v>155.66999799999999</v>
      </c>
      <c r="D126" s="6">
        <f t="shared" si="1"/>
        <v>179.83499899999998</v>
      </c>
    </row>
    <row r="127" spans="1:4" x14ac:dyDescent="0.3">
      <c r="A127" s="4">
        <v>44713</v>
      </c>
      <c r="B127">
        <v>196.19000199999999</v>
      </c>
      <c r="C127">
        <v>148.61999499999999</v>
      </c>
      <c r="D127" s="6">
        <f t="shared" si="1"/>
        <v>172.40499849999998</v>
      </c>
    </row>
    <row r="128" spans="1:4" x14ac:dyDescent="0.3">
      <c r="A128" s="4">
        <v>44743</v>
      </c>
      <c r="B128">
        <v>182.44000199999999</v>
      </c>
      <c r="C128">
        <v>140.550003</v>
      </c>
      <c r="D128" s="6">
        <f t="shared" si="1"/>
        <v>161.4950025</v>
      </c>
    </row>
    <row r="129" spans="1:4" x14ac:dyDescent="0.3">
      <c r="A129" s="4">
        <v>44774</v>
      </c>
      <c r="B129">
        <v>192.740005</v>
      </c>
      <c r="C129">
        <v>157.66999799999999</v>
      </c>
      <c r="D129" s="6">
        <f t="shared" si="1"/>
        <v>175.20500149999998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44B8-6BDF-4F98-97ED-E9215B1216CF}">
  <dimension ref="A3:M23"/>
  <sheetViews>
    <sheetView workbookViewId="0">
      <selection activeCell="D16" sqref="D16"/>
    </sheetView>
  </sheetViews>
  <sheetFormatPr defaultRowHeight="14.4" x14ac:dyDescent="0.3"/>
  <cols>
    <col min="1" max="1" width="13.109375" bestFit="1" customWidth="1"/>
    <col min="2" max="2" width="18.5546875" bestFit="1" customWidth="1"/>
  </cols>
  <sheetData>
    <row r="3" spans="1:13" x14ac:dyDescent="0.3">
      <c r="A3" s="7" t="s">
        <v>28</v>
      </c>
      <c r="B3" t="s">
        <v>41</v>
      </c>
      <c r="D3" s="5" cm="1">
        <f t="array" ref="D3:M3">TRANSPOSE(B4:B13)</f>
        <v>3.3878125000000003</v>
      </c>
      <c r="E3">
        <v>3.5396874999999999</v>
      </c>
      <c r="F3">
        <v>4.6267708333333344</v>
      </c>
      <c r="G3">
        <v>5.8568749999999996</v>
      </c>
      <c r="H3">
        <v>13.358749958333334</v>
      </c>
      <c r="I3">
        <v>37.118853999999999</v>
      </c>
      <c r="J3">
        <v>57.136666666666677</v>
      </c>
      <c r="K3">
        <v>43.32104158333334</v>
      </c>
      <c r="L3">
        <v>98.71947908333334</v>
      </c>
      <c r="M3">
        <v>193.93760458333335</v>
      </c>
    </row>
    <row r="4" spans="1:13" x14ac:dyDescent="0.3">
      <c r="A4" s="8" t="s">
        <v>30</v>
      </c>
      <c r="B4">
        <v>3.3878125000000003</v>
      </c>
    </row>
    <row r="5" spans="1:13" x14ac:dyDescent="0.3">
      <c r="A5" s="8" t="s">
        <v>31</v>
      </c>
      <c r="B5">
        <v>3.5396874999999999</v>
      </c>
    </row>
    <row r="6" spans="1:13" x14ac:dyDescent="0.3">
      <c r="A6" s="8" t="s">
        <v>32</v>
      </c>
      <c r="B6">
        <v>4.6267708333333344</v>
      </c>
    </row>
    <row r="7" spans="1:13" x14ac:dyDescent="0.3">
      <c r="A7" s="8" t="s">
        <v>33</v>
      </c>
      <c r="B7">
        <v>5.8568749999999996</v>
      </c>
    </row>
    <row r="8" spans="1:13" x14ac:dyDescent="0.3">
      <c r="A8" s="8" t="s">
        <v>34</v>
      </c>
      <c r="B8">
        <v>13.358749958333334</v>
      </c>
    </row>
    <row r="9" spans="1:13" x14ac:dyDescent="0.3">
      <c r="A9" s="8" t="s">
        <v>35</v>
      </c>
      <c r="B9">
        <v>37.118853999999999</v>
      </c>
    </row>
    <row r="10" spans="1:13" x14ac:dyDescent="0.3">
      <c r="A10" s="8" t="s">
        <v>36</v>
      </c>
      <c r="B10">
        <v>57.136666666666677</v>
      </c>
    </row>
    <row r="11" spans="1:13" x14ac:dyDescent="0.3">
      <c r="A11" s="8" t="s">
        <v>37</v>
      </c>
      <c r="B11">
        <v>43.32104158333334</v>
      </c>
    </row>
    <row r="12" spans="1:13" x14ac:dyDescent="0.3">
      <c r="A12" s="8" t="s">
        <v>38</v>
      </c>
      <c r="B12">
        <v>98.71947908333334</v>
      </c>
    </row>
    <row r="13" spans="1:13" x14ac:dyDescent="0.3">
      <c r="A13" s="8" t="s">
        <v>39</v>
      </c>
      <c r="B13">
        <v>193.93760458333335</v>
      </c>
    </row>
    <row r="14" spans="1:13" x14ac:dyDescent="0.3">
      <c r="A14" s="8" t="s">
        <v>40</v>
      </c>
      <c r="B14">
        <v>207.90374743749999</v>
      </c>
    </row>
    <row r="15" spans="1:13" x14ac:dyDescent="0.3">
      <c r="A15" s="19" t="s">
        <v>49</v>
      </c>
      <c r="B15">
        <v>257.99499500000002</v>
      </c>
      <c r="D15" s="16">
        <f>+AVERAGE(B15:B17)</f>
        <v>248.34999583333334</v>
      </c>
    </row>
    <row r="16" spans="1:13" x14ac:dyDescent="0.3">
      <c r="A16" s="19" t="s">
        <v>50</v>
      </c>
      <c r="B16">
        <v>239.074997</v>
      </c>
      <c r="D16" s="16">
        <f>AVERAGE(B18:B20)</f>
        <v>193.82666266666669</v>
      </c>
    </row>
    <row r="17" spans="1:2" x14ac:dyDescent="0.3">
      <c r="A17" s="19" t="s">
        <v>51</v>
      </c>
      <c r="B17">
        <v>247.9799955</v>
      </c>
    </row>
    <row r="18" spans="1:2" x14ac:dyDescent="0.3">
      <c r="A18" s="19" t="s">
        <v>52</v>
      </c>
      <c r="B18">
        <v>229.2399905</v>
      </c>
    </row>
    <row r="19" spans="1:2" x14ac:dyDescent="0.3">
      <c r="A19" s="19" t="s">
        <v>53</v>
      </c>
      <c r="B19">
        <v>179.83499899999998</v>
      </c>
    </row>
    <row r="20" spans="1:2" x14ac:dyDescent="0.3">
      <c r="A20" s="19" t="s">
        <v>54</v>
      </c>
      <c r="B20">
        <v>172.40499849999998</v>
      </c>
    </row>
    <row r="21" spans="1:2" x14ac:dyDescent="0.3">
      <c r="A21" s="19" t="s">
        <v>55</v>
      </c>
      <c r="B21">
        <v>161.4950025</v>
      </c>
    </row>
    <row r="22" spans="1:2" x14ac:dyDescent="0.3">
      <c r="A22" s="19" t="s">
        <v>56</v>
      </c>
      <c r="B22">
        <v>175.20500149999998</v>
      </c>
    </row>
    <row r="23" spans="1:2" x14ac:dyDescent="0.3">
      <c r="A23" s="8" t="s">
        <v>29</v>
      </c>
      <c r="B23">
        <v>56.213066249999997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NVDA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cp:lastPrinted>2022-09-08T15:14:51Z</cp:lastPrinted>
  <dcterms:created xsi:type="dcterms:W3CDTF">2015-06-05T18:17:20Z</dcterms:created>
  <dcterms:modified xsi:type="dcterms:W3CDTF">2023-07-28T00:46:52Z</dcterms:modified>
</cp:coreProperties>
</file>