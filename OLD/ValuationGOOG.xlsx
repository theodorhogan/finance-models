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63" documentId="11_F25DC773A252ABDACC10487EA91866DC5BDE58E7" xr6:coauthVersionLast="47" xr6:coauthVersionMax="47" xr10:uidLastSave="{8A468969-D841-4875-BC6E-A5EA09254445}"/>
  <bookViews>
    <workbookView xWindow="-108" yWindow="-108" windowWidth="23256" windowHeight="12456" xr2:uid="{00000000-000D-0000-FFFF-FFFF00000000}"/>
  </bookViews>
  <sheets>
    <sheet name="Valuation" sheetId="1" r:id="rId1"/>
    <sheet name="Sheet2" sheetId="3" r:id="rId2"/>
    <sheet name="GOOGL" sheetId="2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O3" i="1"/>
  <c r="P3" i="1" s="1"/>
  <c r="Q3" i="1" s="1"/>
  <c r="R3" i="1" s="1"/>
  <c r="D8" i="1"/>
  <c r="D22" i="1"/>
  <c r="C22" i="1"/>
  <c r="L16" i="1"/>
  <c r="K16" i="1"/>
  <c r="J16" i="1"/>
  <c r="I16" i="1"/>
  <c r="H16" i="1"/>
  <c r="G16" i="1"/>
  <c r="F16" i="1"/>
  <c r="E16" i="1"/>
  <c r="D16" i="1"/>
  <c r="C16" i="1"/>
  <c r="D5" i="3" a="1"/>
  <c r="D5" i="3" s="1"/>
  <c r="D30" i="1"/>
  <c r="D32" i="1" s="1"/>
  <c r="D36" i="1" s="1"/>
  <c r="C30" i="1"/>
  <c r="C32" i="1" s="1"/>
  <c r="C36" i="1" s="1"/>
  <c r="C10" i="1"/>
  <c r="D10" i="1"/>
  <c r="E10" i="1"/>
  <c r="E28" i="1"/>
  <c r="E30" i="1" s="1"/>
  <c r="E32" i="1" s="1"/>
  <c r="E36" i="1" s="1"/>
  <c r="F28" i="1"/>
  <c r="F30" i="1" s="1"/>
  <c r="F32" i="1" s="1"/>
  <c r="F36" i="1" s="1"/>
  <c r="G28" i="1"/>
  <c r="G30" i="1" s="1"/>
  <c r="G32" i="1" s="1"/>
  <c r="G36" i="1" s="1"/>
  <c r="E6" i="1"/>
  <c r="E22" i="1" s="1"/>
  <c r="F6" i="1"/>
  <c r="F22" i="1" s="1"/>
  <c r="G6" i="1"/>
  <c r="G22" i="1" s="1"/>
  <c r="F10" i="1"/>
  <c r="G10" i="1"/>
  <c r="H10" i="1"/>
  <c r="H28" i="1"/>
  <c r="H30" i="1" s="1"/>
  <c r="H32" i="1" s="1"/>
  <c r="H36" i="1" s="1"/>
  <c r="I28" i="1"/>
  <c r="I30" i="1" s="1"/>
  <c r="I32" i="1" s="1"/>
  <c r="I36" i="1" s="1"/>
  <c r="H6" i="1"/>
  <c r="H22" i="1" s="1"/>
  <c r="I6" i="1"/>
  <c r="I22" i="1" s="1"/>
  <c r="J12" i="1"/>
  <c r="J10" i="1"/>
  <c r="I10" i="1"/>
  <c r="J28" i="1"/>
  <c r="J30" i="1" s="1"/>
  <c r="J32" i="1" s="1"/>
  <c r="J36" i="1" s="1"/>
  <c r="K28" i="1"/>
  <c r="K30" i="1" s="1"/>
  <c r="K32" i="1" s="1"/>
  <c r="K36" i="1" s="1"/>
  <c r="L28" i="1"/>
  <c r="L30" i="1" s="1"/>
  <c r="J6" i="1"/>
  <c r="K6" i="1"/>
  <c r="L6" i="1"/>
  <c r="N6" i="1" s="1"/>
  <c r="O6" i="1" s="1"/>
  <c r="P6" i="1" s="1"/>
  <c r="Q6" i="1" s="1"/>
  <c r="R6" i="1" s="1"/>
  <c r="S6" i="1" s="1"/>
  <c r="T6" i="1" s="1"/>
  <c r="U6" i="1" s="1"/>
  <c r="V6" i="1" s="1"/>
  <c r="W6" i="1" s="1"/>
  <c r="AA5" i="1" s="1"/>
  <c r="AA7" i="1" s="1"/>
  <c r="K12" i="1"/>
  <c r="L12" i="1"/>
  <c r="K10" i="1"/>
  <c r="L10" i="1"/>
  <c r="D3" i="1"/>
  <c r="E3" i="1" s="1"/>
  <c r="F3" i="1" s="1"/>
  <c r="G3" i="1" s="1"/>
  <c r="H3" i="1" s="1"/>
  <c r="I3" i="1" s="1"/>
  <c r="J3" i="1" s="1"/>
  <c r="K3" i="1" s="1"/>
  <c r="L3" i="1" s="1"/>
  <c r="M24" i="1" s="1"/>
  <c r="J8" i="1" l="1"/>
  <c r="E18" i="1"/>
  <c r="H18" i="1"/>
  <c r="H20" i="1" s="1"/>
  <c r="M10" i="1"/>
  <c r="Z9" i="1" s="1"/>
  <c r="K8" i="1"/>
  <c r="J22" i="1"/>
  <c r="S3" i="1"/>
  <c r="T3" i="1" s="1"/>
  <c r="U3" i="1" s="1"/>
  <c r="V3" i="1" s="1"/>
  <c r="W3" i="1" s="1"/>
  <c r="Z15" i="1"/>
  <c r="Z4" i="1"/>
  <c r="Z22" i="1"/>
  <c r="G8" i="1"/>
  <c r="L8" i="1"/>
  <c r="E8" i="1"/>
  <c r="F8" i="1"/>
  <c r="H8" i="1"/>
  <c r="M12" i="1"/>
  <c r="Z8" i="1" s="1"/>
  <c r="L22" i="1"/>
  <c r="L18" i="1"/>
  <c r="L20" i="1" s="1"/>
  <c r="I8" i="1"/>
  <c r="Z5" i="1"/>
  <c r="Z7" i="1" s="1"/>
  <c r="E20" i="1"/>
  <c r="M16" i="1"/>
  <c r="I18" i="1"/>
  <c r="I20" i="1" s="1"/>
  <c r="G18" i="1"/>
  <c r="G20" i="1" s="1"/>
  <c r="J18" i="1"/>
  <c r="J20" i="1" s="1"/>
  <c r="K22" i="1"/>
  <c r="F18" i="1"/>
  <c r="F20" i="1" s="1"/>
  <c r="D18" i="1"/>
  <c r="D20" i="1" s="1"/>
  <c r="C18" i="1"/>
  <c r="C20" i="1" s="1"/>
  <c r="K18" i="1"/>
  <c r="K20" i="1" s="1"/>
  <c r="L32" i="1"/>
  <c r="N32" i="1" s="1"/>
  <c r="O32" i="1" s="1"/>
  <c r="P32" i="1" s="1"/>
  <c r="Q32" i="1" s="1"/>
  <c r="R32" i="1" s="1"/>
  <c r="M30" i="1"/>
  <c r="M26" i="1"/>
  <c r="M4" i="1"/>
  <c r="M34" i="1"/>
  <c r="M14" i="1"/>
  <c r="AA10" i="1" l="1"/>
  <c r="AA12" i="1" s="1"/>
  <c r="AA23" i="1" s="1"/>
  <c r="Z10" i="1"/>
  <c r="Z12" i="1" s="1"/>
  <c r="Z23" i="1" s="1"/>
  <c r="M8" i="1"/>
  <c r="M18" i="1"/>
  <c r="M22" i="1"/>
  <c r="S32" i="1"/>
  <c r="T32" i="1" s="1"/>
  <c r="U32" i="1" s="1"/>
  <c r="V32" i="1" s="1"/>
  <c r="W32" i="1" s="1"/>
  <c r="AA16" i="1" s="1"/>
  <c r="AA18" i="1" s="1"/>
  <c r="AA24" i="1" s="1"/>
  <c r="AA25" i="1" s="1"/>
  <c r="Z16" i="1"/>
  <c r="Z18" i="1" s="1"/>
  <c r="Z24" i="1" s="1"/>
  <c r="AA15" i="1"/>
  <c r="AA22" i="1"/>
  <c r="AA4" i="1"/>
  <c r="M20" i="1"/>
  <c r="M32" i="1"/>
  <c r="L36" i="1"/>
  <c r="M36" i="1" s="1"/>
  <c r="Z25" i="1" l="1"/>
  <c r="Z26" i="1" s="1"/>
  <c r="AA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<sst xmlns="http://schemas.openxmlformats.org/spreadsheetml/2006/main" count="59" uniqueCount="49">
  <si>
    <t>Ticker</t>
  </si>
  <si>
    <t>Date</t>
  </si>
  <si>
    <t>GOOG</t>
  </si>
  <si>
    <t>Revenue</t>
  </si>
  <si>
    <t>EBITDA</t>
  </si>
  <si>
    <t>Excess Cash</t>
  </si>
  <si>
    <t>ST + LT Debt</t>
  </si>
  <si>
    <t>CS Outstanding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</si>
  <si>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</si>
  <si>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</si>
  <si>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</si>
  <si>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</si>
  <si>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</si>
  <si>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</si>
  <si>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</si>
  <si>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</si>
  <si>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$/SHR</t>
  </si>
  <si>
    <t>FCFE/SHR</t>
  </si>
  <si>
    <t>FCFE Yield</t>
  </si>
  <si>
    <t>Adj Close</t>
  </si>
  <si>
    <t>Row Labels</t>
  </si>
  <si>
    <t>Grand Total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</si>
  <si>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</si>
  <si>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</si>
  <si>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</si>
  <si>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</si>
  <si>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</si>
  <si>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</si>
  <si>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</si>
  <si>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</si>
  <si>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</si>
  <si>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</si>
  <si>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</si>
  <si>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</si>
  <si>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Max of Adj Close</t>
  </si>
  <si>
    <t>CAGR/AVG</t>
  </si>
  <si>
    <t>EBITDA Multiple Method</t>
  </si>
  <si>
    <t>Year</t>
  </si>
  <si>
    <t>Multiple</t>
  </si>
  <si>
    <t>Less Debt</t>
  </si>
  <si>
    <t>Add Cash</t>
  </si>
  <si>
    <t>FCFE Yield Method</t>
  </si>
  <si>
    <t>FCFE /SHR</t>
  </si>
  <si>
    <t>Average Return Calculation</t>
  </si>
  <si>
    <t>EBITDA Method</t>
  </si>
  <si>
    <t>FCFE Method</t>
  </si>
  <si>
    <t>Average</t>
  </si>
  <si>
    <t>Return</t>
  </si>
  <si>
    <t>Current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</si>
</sst>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0_);_(&quot;$&quot;* \(#,##0.00\);_(&quot;$&quot;* &quot;-&quot;_);_(@_)"/>
    <numFmt numFmtId="165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42" fontId="0" fillId="0" borderId="0" xfId="0" applyNumberFormat="1"/>
    <xf numFmtId="44" fontId="0" fillId="0" borderId="0" xfId="0" applyNumberFormat="1"/>
    <xf numFmtId="3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5" fillId="0" borderId="0" xfId="1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9" fontId="5" fillId="0" borderId="0" xfId="1" applyFont="1" applyAlignment="1">
      <alignment horizontal="center"/>
    </xf>
    <xf numFmtId="9" fontId="6" fillId="0" borderId="0" xfId="1" applyFont="1" applyAlignment="1">
      <alignment horizontal="center"/>
    </xf>
    <xf numFmtId="2" fontId="2" fillId="0" borderId="0" xfId="0" applyNumberFormat="1" applyFont="1" applyAlignment="1">
      <alignment horizontal="center"/>
    </xf>
    <xf numFmtId="42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9" fontId="7" fillId="0" borderId="0" xfId="0" applyNumberFormat="1" applyFont="1" applyAlignment="1">
      <alignment horizontal="center"/>
    </xf>
    <xf numFmtId="9" fontId="7" fillId="0" borderId="0" xfId="1" applyFont="1" applyAlignment="1">
      <alignment horizontal="center"/>
    </xf>
    <xf numFmtId="0" fontId="8" fillId="0" borderId="0" xfId="0" applyFont="1"/>
    <xf numFmtId="0" fontId="1" fillId="5" borderId="0" xfId="0" applyFont="1" applyFill="1" applyAlignment="1">
      <alignment horizontal="center"/>
    </xf>
    <xf numFmtId="9" fontId="9" fillId="0" borderId="0" xfId="0" applyNumberFormat="1" applyFont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0" xfId="0" applyNumberFormat="1" applyFill="1"/>
    <xf numFmtId="0" fontId="2" fillId="6" borderId="0" xfId="0" applyFont="1" applyFill="1"/>
    <xf numFmtId="44" fontId="2" fillId="6" borderId="0" xfId="0" applyNumberFormat="1" applyFont="1" applyFill="1"/>
    <xf numFmtId="44" fontId="0" fillId="6" borderId="1" xfId="0" applyNumberFormat="1" applyFill="1" applyBorder="1"/>
    <xf numFmtId="9" fontId="2" fillId="6" borderId="0" xfId="1" applyFont="1" applyFill="1" applyAlignment="1">
      <alignment horizontal="center"/>
    </xf>
    <xf numFmtId="42" fontId="0" fillId="6" borderId="0" xfId="0" applyNumberFormat="1" applyFill="1"/>
    <xf numFmtId="165" fontId="0" fillId="6" borderId="0" xfId="0" applyNumberFormat="1" applyFill="1"/>
    <xf numFmtId="0" fontId="0" fillId="6" borderId="0" xfId="0" applyFill="1" applyAlignment="1">
      <alignment horizontal="left" indent="1"/>
    </xf>
    <xf numFmtId="0" fontId="0" fillId="7" borderId="0" xfId="0" applyFill="1"/>
    <xf numFmtId="0" fontId="0" fillId="7" borderId="0" xfId="0" applyFill="1" applyAlignment="1">
      <alignment horizontal="center"/>
    </xf>
    <xf numFmtId="9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6" borderId="0" xfId="0" applyFont="1" applyFill="1" applyAlignment="1">
      <alignment horizontal="center"/>
    </xf>
    <xf numFmtId="42" fontId="0" fillId="6" borderId="0" xfId="0" applyNumberFormat="1" applyFill="1" applyAlignment="1">
      <alignment horizontal="center"/>
    </xf>
    <xf numFmtId="37" fontId="0" fillId="6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73.68124953704" createdVersion="8" refreshedVersion="8" minRefreshableVersion="3" recordCount="132" xr:uid="{62E60585-05B1-4513-9CEE-1105424E3F78}">
  <cacheSource type="worksheet">
    <worksheetSource ref="A1:B133" sheet="GOOGL"/>
  </cacheSource>
  <cacheFields count="4">
    <cacheField name="Date" numFmtId="14">
      <sharedItems containsSemiMixedTypes="0" containsNonDate="0" containsDate="1" containsString="0" minDate="2011-12-01T00:00:00" maxDate="2022-11-02T00:00:00" count="132"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</sharedItems>
      <fieldGroup par="3" base="0">
        <rangePr groupBy="months" startDate="2011-12-01T00:00:00" endDate="2022-11-02T00:00:00"/>
        <groupItems count="14">
          <s v="&lt;12/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/2022"/>
        </groupItems>
      </fieldGroup>
    </cacheField>
    <cacheField name="Adj Close" numFmtId="0">
      <sharedItems containsSemiMixedTypes="0" containsString="0" containsNumber="1" minValue="14.516266" maxValue="148.04600500000001"/>
    </cacheField>
    <cacheField name="Quarters" numFmtId="0" databaseField="0">
      <fieldGroup base="0">
        <rangePr groupBy="quarters" startDate="2011-12-01T00:00:00" endDate="2022-11-02T00:00:00"/>
        <groupItems count="6">
          <s v="&lt;12/1/2011"/>
          <s v="Qtr1"/>
          <s v="Qtr2"/>
          <s v="Qtr3"/>
          <s v="Qtr4"/>
          <s v="&gt;11/2/2022"/>
        </groupItems>
      </fieldGroup>
    </cacheField>
    <cacheField name="Years" numFmtId="0" databaseField="0">
      <fieldGroup base="0">
        <rangePr groupBy="years" startDate="2011-12-01T00:00:00" endDate="2022-11-02T00:00:00"/>
        <groupItems count="14">
          <s v="&lt;12/1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1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n v="16.163664000000001"/>
  </r>
  <r>
    <x v="1"/>
    <n v="14.517267"/>
  </r>
  <r>
    <x v="2"/>
    <n v="15.471722"/>
  </r>
  <r>
    <x v="3"/>
    <n v="16.047046999999999"/>
  </r>
  <r>
    <x v="4"/>
    <n v="15.136386"/>
  </r>
  <r>
    <x v="5"/>
    <n v="14.536035999999999"/>
  </r>
  <r>
    <x v="6"/>
    <n v="14.516266"/>
  </r>
  <r>
    <x v="7"/>
    <n v="15.84009"/>
  </r>
  <r>
    <x v="8"/>
    <n v="17.144393999999998"/>
  </r>
  <r>
    <x v="9"/>
    <n v="18.88138"/>
  </r>
  <r>
    <x v="10"/>
    <n v="17.024525000000001"/>
  </r>
  <r>
    <x v="11"/>
    <n v="17.476727"/>
  </r>
  <r>
    <x v="12"/>
    <n v="17.702202"/>
  </r>
  <r>
    <x v="13"/>
    <n v="18.911161"/>
  </r>
  <r>
    <x v="14"/>
    <n v="20.050051"/>
  </r>
  <r>
    <x v="15"/>
    <n v="19.874624000000001"/>
  </r>
  <r>
    <x v="16"/>
    <n v="20.634886000000002"/>
  </r>
  <r>
    <x v="17"/>
    <n v="21.802301"/>
  </r>
  <r>
    <x v="18"/>
    <n v="22.031281"/>
  </r>
  <r>
    <x v="19"/>
    <n v="22.215965000000001"/>
  </r>
  <r>
    <x v="20"/>
    <n v="21.193693"/>
  </r>
  <r>
    <x v="21"/>
    <n v="21.91967"/>
  </r>
  <r>
    <x v="22"/>
    <n v="25.790291"/>
  </r>
  <r>
    <x v="23"/>
    <n v="26.516266000000002"/>
  </r>
  <r>
    <x v="24"/>
    <n v="28.045794999999998"/>
  </r>
  <r>
    <x v="25"/>
    <n v="29.553804"/>
  </r>
  <r>
    <x v="26"/>
    <n v="30.421672999999998"/>
  </r>
  <r>
    <x v="27"/>
    <n v="27.890640000000001"/>
  </r>
  <r>
    <x v="28"/>
    <n v="26.743998999999999"/>
  </r>
  <r>
    <x v="29"/>
    <n v="28.5825"/>
  </r>
  <r>
    <x v="30"/>
    <n v="29.233499999999999"/>
  </r>
  <r>
    <x v="31"/>
    <n v="28.977501"/>
  </r>
  <r>
    <x v="32"/>
    <n v="29.117999999999999"/>
  </r>
  <r>
    <x v="33"/>
    <n v="29.420500000000001"/>
  </r>
  <r>
    <x v="34"/>
    <n v="28.393498999999998"/>
  </r>
  <r>
    <x v="35"/>
    <n v="27.454000000000001"/>
  </r>
  <r>
    <x v="36"/>
    <n v="26.533000999999999"/>
  </r>
  <r>
    <x v="37"/>
    <n v="26.877500999999999"/>
  </r>
  <r>
    <x v="38"/>
    <n v="28.131499999999999"/>
  </r>
  <r>
    <x v="39"/>
    <n v="27.735001"/>
  </r>
  <r>
    <x v="40"/>
    <n v="27.438499"/>
  </r>
  <r>
    <x v="41"/>
    <n v="27.266000999999999"/>
  </r>
  <r>
    <x v="42"/>
    <n v="27.002001"/>
  </r>
  <r>
    <x v="43"/>
    <n v="32.875"/>
  </r>
  <r>
    <x v="44"/>
    <n v="32.390999000000001"/>
  </r>
  <r>
    <x v="45"/>
    <n v="31.918500999999999"/>
  </r>
  <r>
    <x v="46"/>
    <n v="36.869498999999998"/>
  </r>
  <r>
    <x v="47"/>
    <n v="38.142502"/>
  </r>
  <r>
    <x v="48"/>
    <n v="38.900500999999998"/>
  </r>
  <r>
    <x v="49"/>
    <n v="38.067501"/>
  </r>
  <r>
    <x v="50"/>
    <n v="35.860999999999997"/>
  </r>
  <r>
    <x v="51"/>
    <n v="38.145000000000003"/>
  </r>
  <r>
    <x v="52"/>
    <n v="35.394001000000003"/>
  </r>
  <r>
    <x v="53"/>
    <n v="37.442501"/>
  </r>
  <r>
    <x v="54"/>
    <n v="35.176498000000002"/>
  </r>
  <r>
    <x v="55"/>
    <n v="39.567000999999998"/>
  </r>
  <r>
    <x v="56"/>
    <n v="39.4925"/>
  </r>
  <r>
    <x v="57"/>
    <n v="40.202998999999998"/>
  </r>
  <r>
    <x v="58"/>
    <n v="40.494999"/>
  </r>
  <r>
    <x v="59"/>
    <n v="38.793998999999999"/>
  </r>
  <r>
    <x v="60"/>
    <n v="39.622501"/>
  </r>
  <r>
    <x v="61"/>
    <n v="41.009498999999998"/>
  </r>
  <r>
    <x v="62"/>
    <n v="42.246498000000003"/>
  </r>
  <r>
    <x v="63"/>
    <n v="42.389999000000003"/>
  </r>
  <r>
    <x v="64"/>
    <n v="46.226002000000001"/>
  </r>
  <r>
    <x v="65"/>
    <n v="49.354500000000002"/>
  </r>
  <r>
    <x v="66"/>
    <n v="46.484000999999999"/>
  </r>
  <r>
    <x v="67"/>
    <n v="47.275002000000001"/>
  </r>
  <r>
    <x v="68"/>
    <n v="47.762000999999998"/>
  </r>
  <r>
    <x v="69"/>
    <n v="48.686000999999997"/>
  </r>
  <r>
    <x v="70"/>
    <n v="51.652000000000001"/>
  </r>
  <r>
    <x v="71"/>
    <n v="51.808498"/>
  </r>
  <r>
    <x v="72"/>
    <n v="52.669998"/>
  </r>
  <r>
    <x v="73"/>
    <n v="59.110999999999997"/>
  </r>
  <r>
    <x v="74"/>
    <n v="55.195999"/>
  </r>
  <r>
    <x v="75"/>
    <n v="51.856997999999997"/>
  </r>
  <r>
    <x v="76"/>
    <n v="50.929001"/>
  </r>
  <r>
    <x v="77"/>
    <n v="55"/>
  </r>
  <r>
    <x v="78"/>
    <n v="56.459499000000001"/>
  </r>
  <r>
    <x v="79"/>
    <n v="61.360999999999997"/>
  </r>
  <r>
    <x v="80"/>
    <n v="61.59"/>
  </r>
  <r>
    <x v="81"/>
    <n v="60.353999999999999"/>
  </r>
  <r>
    <x v="82"/>
    <n v="54.528998999999999"/>
  </r>
  <r>
    <x v="83"/>
    <n v="55.482498"/>
  </r>
  <r>
    <x v="84"/>
    <n v="52.248001000000002"/>
  </r>
  <r>
    <x v="85"/>
    <n v="56.294497999999997"/>
  </r>
  <r>
    <x v="86"/>
    <n v="56.327499000000003"/>
  </r>
  <r>
    <x v="87"/>
    <n v="58.844501000000001"/>
  </r>
  <r>
    <x v="88"/>
    <n v="59.948002000000002"/>
  </r>
  <r>
    <x v="89"/>
    <n v="55.325001"/>
  </r>
  <r>
    <x v="90"/>
    <n v="54.139999000000003"/>
  </r>
  <r>
    <x v="91"/>
    <n v="60.91"/>
  </r>
  <r>
    <x v="92"/>
    <n v="59.526501000000003"/>
  </r>
  <r>
    <x v="93"/>
    <n v="61.056998999999998"/>
  </r>
  <r>
    <x v="94"/>
    <n v="62.939999"/>
  </r>
  <r>
    <x v="95"/>
    <n v="65.204498000000001"/>
  </r>
  <r>
    <x v="96"/>
    <n v="66.969498000000002"/>
  </r>
  <r>
    <x v="97"/>
    <n v="71.638999999999996"/>
  </r>
  <r>
    <x v="98"/>
    <n v="66.962502000000001"/>
  </r>
  <r>
    <x v="99"/>
    <n v="58.097499999999997"/>
  </r>
  <r>
    <x v="100"/>
    <n v="67.334998999999996"/>
  </r>
  <r>
    <x v="101"/>
    <n v="71.676002999999994"/>
  </r>
  <r>
    <x v="102"/>
    <n v="70.902495999999999"/>
  </r>
  <r>
    <x v="103"/>
    <n v="74.397498999999996"/>
  </r>
  <r>
    <x v="104"/>
    <n v="81.476500999999999"/>
  </r>
  <r>
    <x v="105"/>
    <n v="73.279999000000004"/>
  </r>
  <r>
    <x v="106"/>
    <n v="80.805496000000005"/>
  </r>
  <r>
    <x v="107"/>
    <n v="87.720000999999996"/>
  </r>
  <r>
    <x v="108"/>
    <n v="87.632003999999995"/>
  </r>
  <r>
    <x v="109"/>
    <n v="91.367996000000005"/>
  </r>
  <r>
    <x v="110"/>
    <n v="101.09549699999999"/>
  </r>
  <r>
    <x v="111"/>
    <n v="103.12599899999999"/>
  </r>
  <r>
    <x v="112"/>
    <n v="117.675003"/>
  </r>
  <r>
    <x v="113"/>
    <n v="117.842499"/>
  </r>
  <r>
    <x v="114"/>
    <n v="122.0895"/>
  </r>
  <r>
    <x v="115"/>
    <n v="134.72650100000001"/>
  </r>
  <r>
    <x v="116"/>
    <n v="144.697495"/>
  </r>
  <r>
    <x v="117"/>
    <n v="133.675995"/>
  </r>
  <r>
    <x v="118"/>
    <n v="148.04600500000001"/>
  </r>
  <r>
    <x v="119"/>
    <n v="141.89750699999999"/>
  </r>
  <r>
    <x v="120"/>
    <n v="144.85200499999999"/>
  </r>
  <r>
    <x v="121"/>
    <n v="135.30349699999999"/>
  </r>
  <r>
    <x v="122"/>
    <n v="135.057007"/>
  </r>
  <r>
    <x v="123"/>
    <n v="139.06750500000001"/>
  </r>
  <r>
    <x v="124"/>
    <n v="114.109497"/>
  </r>
  <r>
    <x v="125"/>
    <n v="113.762001"/>
  </r>
  <r>
    <x v="126"/>
    <n v="108.962997"/>
  </r>
  <r>
    <x v="127"/>
    <n v="116.32"/>
  </r>
  <r>
    <x v="128"/>
    <n v="108.220001"/>
  </r>
  <r>
    <x v="129"/>
    <n v="95.650002000000001"/>
  </r>
  <r>
    <x v="130"/>
    <n v="94.510002"/>
  </r>
  <r>
    <x v="131"/>
    <n v="88.48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70879-3EB4-41B9-9D5D-F77E4212D2D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ax of Adj Close" fld="1" subtotal="max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showGridLines="0" tabSelected="1" workbookViewId="0">
      <pane xSplit="1" topLeftCell="C1" activePane="topRight" state="frozen"/>
      <selection pane="topRight" activeCell="M9" sqref="M1:M1048576"/>
    </sheetView>
  </sheetViews>
  <sheetFormatPr defaultRowHeight="14.4" x14ac:dyDescent="0.3"/>
  <cols>
    <col min="1" max="1" width="16.33203125" bestFit="1" customWidth="1"/>
    <col min="3" max="12" width="12.6640625" customWidth="1"/>
    <col min="13" max="13" width="10.5546875" bestFit="1" customWidth="1"/>
    <col min="14" max="23" width="10" bestFit="1" customWidth="1"/>
    <col min="25" max="25" width="14.5546875" bestFit="1" customWidth="1"/>
    <col min="26" max="27" width="11.5546875" bestFit="1" customWidth="1"/>
    <col min="28" max="28" width="9.6640625" bestFit="1" customWidth="1"/>
  </cols>
  <sheetData>
    <row r="1" spans="1:27" x14ac:dyDescent="0.3">
      <c r="A1" t="s">
        <v>0</v>
      </c>
      <c r="C1" t="s">
        <v>1</v>
      </c>
      <c r="D1" s="1">
        <v>44603</v>
      </c>
    </row>
    <row r="2" spans="1:27" ht="25.8" x14ac:dyDescent="0.5">
      <c r="A2" s="2" t="s">
        <v>2</v>
      </c>
    </row>
    <row r="3" spans="1:27" x14ac:dyDescent="0.3">
      <c r="C3" s="4">
        <v>2012</v>
      </c>
      <c r="D3" s="4">
        <f>C3+1</f>
        <v>2013</v>
      </c>
      <c r="E3" s="4">
        <f t="shared" ref="E3:K3" si="0">D3+1</f>
        <v>2014</v>
      </c>
      <c r="F3" s="4">
        <f t="shared" si="0"/>
        <v>2015</v>
      </c>
      <c r="G3" s="4">
        <f t="shared" si="0"/>
        <v>2016</v>
      </c>
      <c r="H3" s="4">
        <f t="shared" si="0"/>
        <v>2017</v>
      </c>
      <c r="I3" s="4">
        <f t="shared" si="0"/>
        <v>2018</v>
      </c>
      <c r="J3" s="4">
        <f t="shared" si="0"/>
        <v>2019</v>
      </c>
      <c r="K3" s="4">
        <f t="shared" si="0"/>
        <v>2020</v>
      </c>
      <c r="L3" s="4">
        <f>K3+1</f>
        <v>2021</v>
      </c>
      <c r="M3" s="14" t="s">
        <v>35</v>
      </c>
      <c r="N3" s="19">
        <v>2022</v>
      </c>
      <c r="O3" s="19">
        <f>N3+1</f>
        <v>2023</v>
      </c>
      <c r="P3" s="19">
        <f t="shared" ref="P3:W3" si="1">O3+1</f>
        <v>2024</v>
      </c>
      <c r="Q3" s="19">
        <f t="shared" si="1"/>
        <v>2025</v>
      </c>
      <c r="R3" s="23">
        <f t="shared" si="1"/>
        <v>2026</v>
      </c>
      <c r="S3" s="19">
        <f t="shared" si="1"/>
        <v>2027</v>
      </c>
      <c r="T3" s="19">
        <f t="shared" si="1"/>
        <v>2028</v>
      </c>
      <c r="U3" s="19">
        <f t="shared" si="1"/>
        <v>2029</v>
      </c>
      <c r="V3" s="19">
        <f t="shared" si="1"/>
        <v>2030</v>
      </c>
      <c r="W3" s="19">
        <f t="shared" si="1"/>
        <v>2031</v>
      </c>
      <c r="Y3" s="39" t="s">
        <v>36</v>
      </c>
      <c r="Z3" s="39"/>
      <c r="AA3" s="39"/>
    </row>
    <row r="4" spans="1:27" x14ac:dyDescent="0.3">
      <c r="A4" s="3" t="s">
        <v>3</v>
      </c>
      <c r="C4" s="5">
        <v>46039</v>
      </c>
      <c r="D4" s="5">
        <v>55519</v>
      </c>
      <c r="E4" s="5">
        <v>66001</v>
      </c>
      <c r="F4" s="5">
        <v>76989</v>
      </c>
      <c r="G4" s="5">
        <v>90272</v>
      </c>
      <c r="H4" s="5">
        <v>110855</v>
      </c>
      <c r="I4" s="5">
        <v>136819</v>
      </c>
      <c r="J4" s="5">
        <v>161857</v>
      </c>
      <c r="K4" s="5">
        <v>182527</v>
      </c>
      <c r="L4" s="5">
        <v>257637</v>
      </c>
      <c r="M4" s="21">
        <f>(L4/C4)^(1/($L$3-$C$3))-1</f>
        <v>0.21087144880509689</v>
      </c>
      <c r="Y4" s="35" t="s">
        <v>37</v>
      </c>
      <c r="Z4" s="36">
        <f>R3</f>
        <v>2026</v>
      </c>
      <c r="AA4" s="36">
        <f>W3</f>
        <v>2031</v>
      </c>
    </row>
    <row r="5" spans="1:27" x14ac:dyDescent="0.3">
      <c r="A5" s="3"/>
      <c r="Y5" s="25" t="s">
        <v>4</v>
      </c>
      <c r="Z5" s="32">
        <f>R6</f>
        <v>178562.34448499998</v>
      </c>
      <c r="AA5" s="32">
        <f>W6</f>
        <v>314687.86273583327</v>
      </c>
    </row>
    <row r="6" spans="1:27" x14ac:dyDescent="0.3">
      <c r="A6" s="3" t="s">
        <v>4</v>
      </c>
      <c r="C6" s="5">
        <v>16796</v>
      </c>
      <c r="D6" s="5">
        <v>19342</v>
      </c>
      <c r="E6" s="5">
        <f>16496+3523+1456</f>
        <v>21475</v>
      </c>
      <c r="F6" s="5">
        <f>19360+4132+931</f>
        <v>24423</v>
      </c>
      <c r="G6" s="5">
        <f>23716+5267+877</f>
        <v>29860</v>
      </c>
      <c r="H6" s="5">
        <f>26178+6103+812</f>
        <v>33093</v>
      </c>
      <c r="I6" s="5">
        <f>27524+8164+871</f>
        <v>36559</v>
      </c>
      <c r="J6" s="5">
        <f>34231+10856+925</f>
        <v>46012</v>
      </c>
      <c r="K6" s="5">
        <f>41224+12905+792</f>
        <v>54921</v>
      </c>
      <c r="L6" s="5">
        <f>78714+11555+886</f>
        <v>91155</v>
      </c>
      <c r="M6" s="16"/>
      <c r="N6" s="5">
        <f>L6*(1+N7)</f>
        <v>104828.24999999999</v>
      </c>
      <c r="O6" s="5">
        <f>N6*(1+O7)</f>
        <v>120552.48749999997</v>
      </c>
      <c r="P6" s="5">
        <f t="shared" ref="P6:W6" si="2">O6*(1+P7)</f>
        <v>138635.36062499997</v>
      </c>
      <c r="Q6" s="5">
        <f t="shared" si="2"/>
        <v>159430.66471874996</v>
      </c>
      <c r="R6" s="5">
        <f t="shared" si="2"/>
        <v>178562.34448499998</v>
      </c>
      <c r="S6" s="5">
        <f t="shared" si="2"/>
        <v>199989.82582319999</v>
      </c>
      <c r="T6" s="5">
        <f t="shared" si="2"/>
        <v>223988.60492198402</v>
      </c>
      <c r="U6" s="5">
        <f t="shared" si="2"/>
        <v>250867.23751262212</v>
      </c>
      <c r="V6" s="5">
        <f t="shared" si="2"/>
        <v>280971.30601413682</v>
      </c>
      <c r="W6" s="5">
        <f t="shared" si="2"/>
        <v>314687.86273583327</v>
      </c>
      <c r="Y6" s="25" t="s">
        <v>38</v>
      </c>
      <c r="Z6" s="40">
        <v>18</v>
      </c>
      <c r="AA6" s="40"/>
    </row>
    <row r="7" spans="1:27" x14ac:dyDescent="0.3">
      <c r="A7" s="3"/>
      <c r="C7" s="5"/>
      <c r="D7" s="5"/>
      <c r="E7" s="5"/>
      <c r="F7" s="5"/>
      <c r="G7" s="5"/>
      <c r="H7" s="5"/>
      <c r="I7" s="5"/>
      <c r="J7" s="5"/>
      <c r="K7" s="5"/>
      <c r="L7" s="5"/>
      <c r="N7" s="24">
        <v>0.15</v>
      </c>
      <c r="O7" s="24">
        <v>0.15</v>
      </c>
      <c r="P7" s="24">
        <v>0.15</v>
      </c>
      <c r="Q7" s="24">
        <v>0.15</v>
      </c>
      <c r="R7" s="24">
        <v>0.12</v>
      </c>
      <c r="S7" s="24">
        <v>0.12</v>
      </c>
      <c r="T7" s="24">
        <v>0.12</v>
      </c>
      <c r="U7" s="24">
        <v>0.12</v>
      </c>
      <c r="V7" s="24">
        <v>0.12</v>
      </c>
      <c r="W7" s="24">
        <v>0.12</v>
      </c>
      <c r="Y7" s="25" t="s">
        <v>9</v>
      </c>
      <c r="Z7" s="33">
        <f>Z5*$Z$6</f>
        <v>3214122.2007299997</v>
      </c>
      <c r="AA7" s="33">
        <f>AA5*$Z$6</f>
        <v>5664381.5292449985</v>
      </c>
    </row>
    <row r="8" spans="1:27" x14ac:dyDescent="0.3">
      <c r="A8" s="3"/>
      <c r="C8" s="5"/>
      <c r="D8" s="15">
        <f>D6/C6-1</f>
        <v>0.15158371040723972</v>
      </c>
      <c r="E8" s="15">
        <f t="shared" ref="E8:K8" si="3">E6/D6-1</f>
        <v>0.11027815117361173</v>
      </c>
      <c r="F8" s="15">
        <f t="shared" si="3"/>
        <v>0.13727590221187436</v>
      </c>
      <c r="G8" s="15">
        <f t="shared" si="3"/>
        <v>0.22261802399377628</v>
      </c>
      <c r="H8" s="15">
        <f t="shared" si="3"/>
        <v>0.1082719356999331</v>
      </c>
      <c r="I8" s="15">
        <f t="shared" si="3"/>
        <v>0.10473514036201004</v>
      </c>
      <c r="J8" s="15">
        <f t="shared" si="3"/>
        <v>0.25856834158483544</v>
      </c>
      <c r="K8" s="15">
        <f t="shared" si="3"/>
        <v>0.19362340259062849</v>
      </c>
      <c r="L8" s="15">
        <f>L6/K6-1</f>
        <v>0.65974763751570431</v>
      </c>
      <c r="M8" s="20">
        <f>AVERAGE(D8:L8)</f>
        <v>0.21630024950440149</v>
      </c>
      <c r="Y8" s="34" t="s">
        <v>39</v>
      </c>
      <c r="Z8" s="41">
        <f>$M$12</f>
        <v>22017.333333333332</v>
      </c>
      <c r="AA8" s="41"/>
    </row>
    <row r="9" spans="1:27" x14ac:dyDescent="0.3">
      <c r="A9" s="3"/>
      <c r="C9" s="5"/>
      <c r="D9" s="5"/>
      <c r="E9" s="5"/>
      <c r="F9" s="5"/>
      <c r="G9" s="5"/>
      <c r="H9" s="5"/>
      <c r="I9" s="5"/>
      <c r="J9" s="5"/>
      <c r="K9" s="5"/>
      <c r="L9" s="5"/>
      <c r="Y9" s="34" t="s">
        <v>40</v>
      </c>
      <c r="Z9" s="41">
        <f>$M$10</f>
        <v>32101</v>
      </c>
      <c r="AA9" s="41"/>
    </row>
    <row r="10" spans="1:27" x14ac:dyDescent="0.3">
      <c r="A10" s="3" t="s">
        <v>5</v>
      </c>
      <c r="C10" s="5">
        <f>60454-2*14337</f>
        <v>31780</v>
      </c>
      <c r="D10" s="5">
        <f>72886-2*15908</f>
        <v>41070</v>
      </c>
      <c r="E10" s="5">
        <f>78656-2*16779</f>
        <v>45098</v>
      </c>
      <c r="F10" s="5">
        <f>90114-2*19310</f>
        <v>51494</v>
      </c>
      <c r="G10" s="5">
        <f>105408-2*16756</f>
        <v>71896</v>
      </c>
      <c r="H10" s="5">
        <f>124308-2*24183</f>
        <v>75942</v>
      </c>
      <c r="I10" s="5">
        <f>135676-2*34620</f>
        <v>66436</v>
      </c>
      <c r="J10" s="5">
        <f>152578-2*45221</f>
        <v>62136</v>
      </c>
      <c r="K10" s="5">
        <f>136694-2*56834</f>
        <v>23026</v>
      </c>
      <c r="L10" s="5">
        <f>139649-2*64254</f>
        <v>11141</v>
      </c>
      <c r="M10" s="18">
        <f>AVERAGE(J10:L10)</f>
        <v>32101</v>
      </c>
      <c r="Y10" s="25" t="s">
        <v>8</v>
      </c>
      <c r="Z10" s="33">
        <f>Z7-$Z$8+$Z$9</f>
        <v>3224205.8673966662</v>
      </c>
      <c r="AA10" s="33">
        <f t="shared" ref="AA10" si="4">AA7-$Z$8+$Z$9</f>
        <v>5674465.1959116654</v>
      </c>
    </row>
    <row r="11" spans="1:27" x14ac:dyDescent="0.3">
      <c r="A11" s="3"/>
      <c r="C11" s="5"/>
      <c r="D11" s="5"/>
      <c r="E11" s="5"/>
      <c r="F11" s="5"/>
      <c r="G11" s="5"/>
      <c r="H11" s="5"/>
      <c r="I11" s="5"/>
      <c r="J11" s="5"/>
      <c r="K11" s="5"/>
      <c r="L11" s="5"/>
      <c r="Y11" s="25" t="s">
        <v>7</v>
      </c>
      <c r="Z11" s="42">
        <f>L14</f>
        <v>14462</v>
      </c>
      <c r="AA11" s="42"/>
    </row>
    <row r="12" spans="1:27" x14ac:dyDescent="0.3">
      <c r="A12" s="3" t="s">
        <v>6</v>
      </c>
      <c r="C12" s="5">
        <v>2988</v>
      </c>
      <c r="D12" s="5">
        <v>2236</v>
      </c>
      <c r="E12" s="5">
        <v>3228</v>
      </c>
      <c r="F12" s="5">
        <v>1995</v>
      </c>
      <c r="G12" s="5">
        <v>3935</v>
      </c>
      <c r="H12" s="5">
        <v>3969</v>
      </c>
      <c r="I12" s="5">
        <v>4012</v>
      </c>
      <c r="J12" s="5">
        <f>4554+10214</f>
        <v>14768</v>
      </c>
      <c r="K12" s="5">
        <f>13932+11146</f>
        <v>25078</v>
      </c>
      <c r="L12" s="5">
        <f>11389+14817</f>
        <v>26206</v>
      </c>
      <c r="M12" s="18">
        <f>AVERAGE(J12:L12)</f>
        <v>22017.333333333332</v>
      </c>
      <c r="Y12" s="28" t="s">
        <v>16</v>
      </c>
      <c r="Z12" s="29">
        <f>Z10/$Z$11</f>
        <v>222.94329051283822</v>
      </c>
      <c r="AA12" s="29">
        <f t="shared" ref="AA12" si="5">AA10/$Z$11</f>
        <v>392.37070916274826</v>
      </c>
    </row>
    <row r="13" spans="1:27" x14ac:dyDescent="0.3">
      <c r="A13" s="3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27" x14ac:dyDescent="0.3">
      <c r="A14" s="3" t="s">
        <v>7</v>
      </c>
      <c r="C14" s="7">
        <v>13292</v>
      </c>
      <c r="D14" s="7">
        <v>14739</v>
      </c>
      <c r="E14" s="7">
        <v>14840</v>
      </c>
      <c r="F14" s="7">
        <v>14894</v>
      </c>
      <c r="G14" s="7">
        <v>14951</v>
      </c>
      <c r="H14" s="7">
        <v>15015</v>
      </c>
      <c r="I14" s="7">
        <v>15003</v>
      </c>
      <c r="J14" s="7">
        <v>14902</v>
      </c>
      <c r="K14" s="7">
        <v>14664</v>
      </c>
      <c r="L14" s="7">
        <v>14462</v>
      </c>
      <c r="M14" s="21">
        <f>(L14/C14)^(1/($L$3-$C$3))-1</f>
        <v>9.4176438991648848E-3</v>
      </c>
      <c r="Y14" s="39" t="s">
        <v>41</v>
      </c>
      <c r="Z14" s="39"/>
      <c r="AA14" s="39"/>
    </row>
    <row r="15" spans="1:27" x14ac:dyDescent="0.3">
      <c r="A15" s="3"/>
      <c r="M15" s="22"/>
      <c r="Y15" s="35" t="s">
        <v>37</v>
      </c>
      <c r="Z15" s="36">
        <f>$R$3</f>
        <v>2026</v>
      </c>
      <c r="AA15" s="36">
        <f>$W$3</f>
        <v>2031</v>
      </c>
    </row>
    <row r="16" spans="1:27" x14ac:dyDescent="0.3">
      <c r="A16" s="3" t="s">
        <v>8</v>
      </c>
      <c r="C16" s="5">
        <f>C14*C34</f>
        <v>250971.30296</v>
      </c>
      <c r="D16" s="5">
        <f t="shared" ref="D16:L16" si="6">D14*D34</f>
        <v>413366.97250499995</v>
      </c>
      <c r="E16" s="5">
        <f t="shared" si="6"/>
        <v>451457.62731999997</v>
      </c>
      <c r="F16" s="5">
        <f t="shared" si="6"/>
        <v>579384.06189399993</v>
      </c>
      <c r="G16" s="5">
        <f t="shared" si="6"/>
        <v>605440.73004900001</v>
      </c>
      <c r="H16" s="5">
        <f t="shared" si="6"/>
        <v>790840.01997000002</v>
      </c>
      <c r="I16" s="5">
        <f t="shared" si="6"/>
        <v>924034.77</v>
      </c>
      <c r="J16" s="5">
        <f t="shared" si="6"/>
        <v>997979.45919600001</v>
      </c>
      <c r="K16" s="5">
        <f t="shared" si="6"/>
        <v>1286326.094664</v>
      </c>
      <c r="L16" s="5">
        <f t="shared" si="6"/>
        <v>2141041.3243100001</v>
      </c>
      <c r="M16" s="21">
        <f>(L16/C16)^(1/($L$3-$C$3))-1</f>
        <v>0.26895012779390992</v>
      </c>
      <c r="Y16" s="25" t="s">
        <v>42</v>
      </c>
      <c r="Z16" s="27">
        <f>R32</f>
        <v>8.9094005885769576</v>
      </c>
      <c r="AA16" s="27">
        <f>W32</f>
        <v>15.701408029575791</v>
      </c>
    </row>
    <row r="17" spans="1:28" x14ac:dyDescent="0.3">
      <c r="A17" s="3"/>
      <c r="M17" s="22"/>
      <c r="Y17" s="25" t="s">
        <v>18</v>
      </c>
      <c r="Z17" s="37">
        <v>0.04</v>
      </c>
      <c r="AA17" s="38"/>
    </row>
    <row r="18" spans="1:28" x14ac:dyDescent="0.3">
      <c r="A18" s="3" t="s">
        <v>9</v>
      </c>
      <c r="C18" s="5">
        <f>C16+C12-C10</f>
        <v>222179.30296</v>
      </c>
      <c r="D18" s="5">
        <f t="shared" ref="D18:L18" si="7">D16+D12-D10</f>
        <v>374532.97250499995</v>
      </c>
      <c r="E18" s="5">
        <f t="shared" si="7"/>
        <v>409587.62731999997</v>
      </c>
      <c r="F18" s="5">
        <f t="shared" si="7"/>
        <v>529885.06189399993</v>
      </c>
      <c r="G18" s="5">
        <f t="shared" si="7"/>
        <v>537479.73004900001</v>
      </c>
      <c r="H18" s="5">
        <f t="shared" si="7"/>
        <v>718867.01997000002</v>
      </c>
      <c r="I18" s="5">
        <f t="shared" si="7"/>
        <v>861610.77</v>
      </c>
      <c r="J18" s="5">
        <f t="shared" si="7"/>
        <v>950611.45919600001</v>
      </c>
      <c r="K18" s="5">
        <f t="shared" si="7"/>
        <v>1288378.094664</v>
      </c>
      <c r="L18" s="5">
        <f t="shared" si="7"/>
        <v>2156106.3243100001</v>
      </c>
      <c r="M18" s="21">
        <f>(L18/C18)^(1/($L$3-$C$3))-1</f>
        <v>0.28725015446800573</v>
      </c>
      <c r="Y18" s="28" t="s">
        <v>16</v>
      </c>
      <c r="Z18" s="29">
        <f>Z16/$Z$17</f>
        <v>222.73501471442393</v>
      </c>
      <c r="AA18" s="29">
        <f t="shared" ref="AA18" si="8">AA16/$Z$17</f>
        <v>392.53520073939478</v>
      </c>
    </row>
    <row r="19" spans="1:28" x14ac:dyDescent="0.3">
      <c r="A19" s="3"/>
    </row>
    <row r="20" spans="1:28" x14ac:dyDescent="0.3">
      <c r="A20" s="3" t="s">
        <v>10</v>
      </c>
      <c r="C20" s="8">
        <f>C18/C6</f>
        <v>13.228108059061681</v>
      </c>
      <c r="D20" s="8">
        <f t="shared" ref="D20:L20" si="9">D18/D6</f>
        <v>19.363714843604587</v>
      </c>
      <c r="E20" s="8">
        <f t="shared" si="9"/>
        <v>19.072764950873108</v>
      </c>
      <c r="F20" s="8">
        <f t="shared" si="9"/>
        <v>21.696149608729474</v>
      </c>
      <c r="G20" s="8">
        <f t="shared" si="9"/>
        <v>17.999990959444073</v>
      </c>
      <c r="H20" s="8">
        <f t="shared" si="9"/>
        <v>21.722630766929562</v>
      </c>
      <c r="I20" s="8">
        <f t="shared" si="9"/>
        <v>23.567678820536667</v>
      </c>
      <c r="J20" s="8">
        <f t="shared" si="9"/>
        <v>20.660076918977659</v>
      </c>
      <c r="K20" s="8">
        <f t="shared" si="9"/>
        <v>23.458751564319659</v>
      </c>
      <c r="L20" s="8">
        <f t="shared" si="9"/>
        <v>23.653187694695848</v>
      </c>
      <c r="M20" s="17">
        <f>AVERAGE(C20:L20)</f>
        <v>20.442305418717233</v>
      </c>
      <c r="Y20" s="39" t="s">
        <v>43</v>
      </c>
      <c r="Z20" s="39"/>
      <c r="AA20" s="39"/>
    </row>
    <row r="21" spans="1:28" x14ac:dyDescent="0.3">
      <c r="A21" s="3"/>
      <c r="M21" s="13"/>
      <c r="Y21" s="35" t="s">
        <v>48</v>
      </c>
      <c r="Z21" s="35"/>
      <c r="AA21" s="35">
        <v>89.34</v>
      </c>
      <c r="AB21" s="1">
        <v>44784</v>
      </c>
    </row>
    <row r="22" spans="1:28" x14ac:dyDescent="0.3">
      <c r="A22" s="3" t="s">
        <v>11</v>
      </c>
      <c r="C22" s="8">
        <f>C12/C6</f>
        <v>0.17789949988092402</v>
      </c>
      <c r="D22" s="8">
        <f t="shared" ref="D22:L22" si="10">D12/D6</f>
        <v>0.11560335022231413</v>
      </c>
      <c r="E22" s="8">
        <f t="shared" si="10"/>
        <v>0.15031431897555297</v>
      </c>
      <c r="F22" s="8">
        <f t="shared" si="10"/>
        <v>8.1685296646603608E-2</v>
      </c>
      <c r="G22" s="8">
        <f t="shared" si="10"/>
        <v>0.13178164768921635</v>
      </c>
      <c r="H22" s="8">
        <f t="shared" si="10"/>
        <v>0.11993472939896654</v>
      </c>
      <c r="I22" s="8">
        <f t="shared" si="10"/>
        <v>0.10974041959572198</v>
      </c>
      <c r="J22" s="8">
        <f t="shared" si="10"/>
        <v>0.32095974963053114</v>
      </c>
      <c r="K22" s="8">
        <f t="shared" si="10"/>
        <v>0.45661950802061141</v>
      </c>
      <c r="L22" s="8">
        <f t="shared" si="10"/>
        <v>0.28748834402940049</v>
      </c>
      <c r="M22" s="17">
        <f>AVERAGE(C22:L22)</f>
        <v>0.19520268640898425</v>
      </c>
      <c r="Y22" s="25" t="s">
        <v>37</v>
      </c>
      <c r="Z22" s="26">
        <f>$R$3</f>
        <v>2026</v>
      </c>
      <c r="AA22" s="26">
        <f>$W$3</f>
        <v>2031</v>
      </c>
    </row>
    <row r="23" spans="1:28" x14ac:dyDescent="0.3">
      <c r="A23" s="3"/>
      <c r="Y23" s="25" t="s">
        <v>44</v>
      </c>
      <c r="Z23" s="27">
        <f>Z12</f>
        <v>222.94329051283822</v>
      </c>
      <c r="AA23" s="27">
        <f>AA12</f>
        <v>392.37070916274826</v>
      </c>
    </row>
    <row r="24" spans="1:28" x14ac:dyDescent="0.3">
      <c r="A24" s="3" t="s">
        <v>12</v>
      </c>
      <c r="C24" s="5">
        <v>16619</v>
      </c>
      <c r="D24" s="5">
        <v>18659</v>
      </c>
      <c r="E24" s="5">
        <v>23024</v>
      </c>
      <c r="F24" s="5">
        <v>26572</v>
      </c>
      <c r="G24" s="5">
        <v>36036</v>
      </c>
      <c r="H24" s="5">
        <v>54520</v>
      </c>
      <c r="I24" s="5">
        <v>47971</v>
      </c>
      <c r="J24" s="5">
        <v>54520</v>
      </c>
      <c r="K24" s="5">
        <v>65124</v>
      </c>
      <c r="L24" s="5">
        <v>91652</v>
      </c>
      <c r="M24" s="21">
        <f>(L24/C24)^(1/($L$3-$C$3))-1</f>
        <v>0.20890731789942496</v>
      </c>
      <c r="Y24" s="25" t="s">
        <v>45</v>
      </c>
      <c r="Z24" s="30">
        <f>Z18</f>
        <v>222.73501471442393</v>
      </c>
      <c r="AA24" s="30">
        <f>AA18</f>
        <v>392.53520073939478</v>
      </c>
    </row>
    <row r="25" spans="1:28" x14ac:dyDescent="0.3">
      <c r="A25" s="3"/>
      <c r="M25" s="22"/>
      <c r="Y25" s="25" t="s">
        <v>46</v>
      </c>
      <c r="Z25" s="27">
        <f>AVERAGE(Z23:Z24)</f>
        <v>222.83915261363109</v>
      </c>
      <c r="AA25" s="27">
        <f t="shared" ref="AA25" si="11">AVERAGE(AA23:AA24)</f>
        <v>392.45295495107155</v>
      </c>
    </row>
    <row r="26" spans="1:28" x14ac:dyDescent="0.3">
      <c r="A26" s="3" t="s">
        <v>13</v>
      </c>
      <c r="C26" s="5">
        <v>-3273</v>
      </c>
      <c r="D26" s="5">
        <v>-7358</v>
      </c>
      <c r="E26" s="5">
        <v>-11014</v>
      </c>
      <c r="F26" s="5">
        <v>-9950</v>
      </c>
      <c r="G26" s="5">
        <v>-10212</v>
      </c>
      <c r="H26" s="5">
        <v>-23548</v>
      </c>
      <c r="I26" s="5">
        <v>-25139</v>
      </c>
      <c r="J26" s="5">
        <v>-23548</v>
      </c>
      <c r="K26" s="5">
        <v>-22281</v>
      </c>
      <c r="L26" s="5">
        <v>-24640</v>
      </c>
      <c r="M26" s="21">
        <f>(L26/C26)^(1/($L$3-$C$3))-1</f>
        <v>0.25144141116679308</v>
      </c>
      <c r="Y26" s="28" t="s">
        <v>47</v>
      </c>
      <c r="Z26" s="31">
        <f>(Z25/AA21)^(1/(Z22-L3))-1</f>
        <v>0.20057448689104285</v>
      </c>
      <c r="AA26" s="31">
        <f>(AA25/AA21)^(1/(AA22-L3))-1</f>
        <v>0.15950911103696819</v>
      </c>
    </row>
    <row r="27" spans="1:28" x14ac:dyDescent="0.3">
      <c r="A27" s="3"/>
    </row>
    <row r="28" spans="1:28" x14ac:dyDescent="0.3">
      <c r="A28" s="3" t="s">
        <v>14</v>
      </c>
      <c r="C28" s="5">
        <v>1328</v>
      </c>
      <c r="D28" s="5">
        <v>-557</v>
      </c>
      <c r="E28" s="5">
        <f>11625-11643</f>
        <v>-18</v>
      </c>
      <c r="F28" s="5">
        <f>13705-13728</f>
        <v>-23</v>
      </c>
      <c r="G28" s="5">
        <f>8729-10064</f>
        <v>-1335</v>
      </c>
      <c r="H28" s="5">
        <f>4291-4377</f>
        <v>-86</v>
      </c>
      <c r="I28" s="5">
        <f>6766-6827</f>
        <v>-61</v>
      </c>
      <c r="J28" s="5">
        <f>317-585</f>
        <v>-268</v>
      </c>
      <c r="K28" s="5">
        <f>11761-2100</f>
        <v>9661</v>
      </c>
      <c r="L28" s="5">
        <f>20199-21435</f>
        <v>-1236</v>
      </c>
    </row>
    <row r="29" spans="1:28" x14ac:dyDescent="0.3">
      <c r="A29" s="3"/>
    </row>
    <row r="30" spans="1:28" x14ac:dyDescent="0.3">
      <c r="A30" s="3" t="s">
        <v>15</v>
      </c>
      <c r="C30" s="5">
        <f t="shared" ref="C30:K30" si="12">C24+C26+C28</f>
        <v>14674</v>
      </c>
      <c r="D30" s="5">
        <f t="shared" si="12"/>
        <v>10744</v>
      </c>
      <c r="E30" s="5">
        <f t="shared" si="12"/>
        <v>11992</v>
      </c>
      <c r="F30" s="5">
        <f t="shared" si="12"/>
        <v>16599</v>
      </c>
      <c r="G30" s="5">
        <f t="shared" si="12"/>
        <v>24489</v>
      </c>
      <c r="H30" s="5">
        <f t="shared" si="12"/>
        <v>30886</v>
      </c>
      <c r="I30" s="5">
        <f t="shared" si="12"/>
        <v>22771</v>
      </c>
      <c r="J30" s="5">
        <f t="shared" si="12"/>
        <v>30704</v>
      </c>
      <c r="K30" s="5">
        <f t="shared" si="12"/>
        <v>52504</v>
      </c>
      <c r="L30" s="5">
        <f>L24+L26+L28</f>
        <v>65776</v>
      </c>
      <c r="M30" s="21">
        <f>(L30/C30)^(1/($L$3-$C$3))-1</f>
        <v>0.18138375282220665</v>
      </c>
    </row>
    <row r="31" spans="1:28" x14ac:dyDescent="0.3">
      <c r="A31" s="3"/>
      <c r="M31" s="22"/>
    </row>
    <row r="32" spans="1:28" x14ac:dyDescent="0.3">
      <c r="A32" s="3" t="s">
        <v>17</v>
      </c>
      <c r="C32" s="9">
        <f t="shared" ref="C32:K32" si="13">C30/C14</f>
        <v>1.1039723141739393</v>
      </c>
      <c r="D32" s="9">
        <f t="shared" si="13"/>
        <v>0.72895040369088815</v>
      </c>
      <c r="E32" s="9">
        <f t="shared" si="13"/>
        <v>0.8080862533692722</v>
      </c>
      <c r="F32" s="9">
        <f t="shared" si="13"/>
        <v>1.1144756277695715</v>
      </c>
      <c r="G32" s="9">
        <f t="shared" si="13"/>
        <v>1.6379506387532607</v>
      </c>
      <c r="H32" s="9">
        <f t="shared" si="13"/>
        <v>2.0570096570096572</v>
      </c>
      <c r="I32" s="9">
        <f t="shared" si="13"/>
        <v>1.5177631140438579</v>
      </c>
      <c r="J32" s="9">
        <f t="shared" si="13"/>
        <v>2.0603945779090056</v>
      </c>
      <c r="K32" s="9">
        <f t="shared" si="13"/>
        <v>3.5804691762138572</v>
      </c>
      <c r="L32" s="9">
        <f>L30/L14</f>
        <v>4.5481952703637116</v>
      </c>
      <c r="M32" s="21">
        <f>(L32/C32)^(1/($L$3-$C$3))-1</f>
        <v>0.17036170306947818</v>
      </c>
      <c r="N32" s="6">
        <f>L32*(1+N33)</f>
        <v>5.2304245609182676</v>
      </c>
      <c r="O32" s="6">
        <f>N32*(1+O33)</f>
        <v>6.0149882450560073</v>
      </c>
      <c r="P32" s="6">
        <f t="shared" ref="P32:W32" si="14">O32*(1+P33)</f>
        <v>6.9172364818144079</v>
      </c>
      <c r="Q32" s="6">
        <f t="shared" si="14"/>
        <v>7.9548219540865688</v>
      </c>
      <c r="R32" s="6">
        <f t="shared" si="14"/>
        <v>8.9094005885769576</v>
      </c>
      <c r="S32" s="6">
        <f t="shared" si="14"/>
        <v>9.9785286592061926</v>
      </c>
      <c r="T32" s="6">
        <f t="shared" si="14"/>
        <v>11.175952098310937</v>
      </c>
      <c r="U32" s="6">
        <f t="shared" si="14"/>
        <v>12.51706635010825</v>
      </c>
      <c r="V32" s="6">
        <f t="shared" si="14"/>
        <v>14.019114312121241</v>
      </c>
      <c r="W32" s="6">
        <f t="shared" si="14"/>
        <v>15.701408029575791</v>
      </c>
    </row>
    <row r="33" spans="1:23" x14ac:dyDescent="0.3">
      <c r="A33" s="3"/>
      <c r="M33" s="22"/>
      <c r="N33" s="24">
        <v>0.15</v>
      </c>
      <c r="O33" s="24">
        <v>0.15</v>
      </c>
      <c r="P33" s="24">
        <v>0.15</v>
      </c>
      <c r="Q33" s="24">
        <v>0.15</v>
      </c>
      <c r="R33" s="24">
        <v>0.12</v>
      </c>
      <c r="S33" s="24">
        <v>0.12</v>
      </c>
      <c r="T33" s="24">
        <v>0.12</v>
      </c>
      <c r="U33" s="24">
        <v>0.12</v>
      </c>
      <c r="V33" s="24">
        <v>0.12</v>
      </c>
      <c r="W33" s="24">
        <v>0.12</v>
      </c>
    </row>
    <row r="34" spans="1:23" x14ac:dyDescent="0.3">
      <c r="A34" s="3" t="s">
        <v>16</v>
      </c>
      <c r="C34" s="5">
        <v>18.88138</v>
      </c>
      <c r="D34" s="5">
        <v>28.045794999999998</v>
      </c>
      <c r="E34" s="5">
        <v>30.421672999999998</v>
      </c>
      <c r="F34" s="5">
        <v>38.900500999999998</v>
      </c>
      <c r="G34" s="5">
        <v>40.494999</v>
      </c>
      <c r="H34" s="5">
        <v>52.669998</v>
      </c>
      <c r="I34" s="5">
        <v>61.59</v>
      </c>
      <c r="J34" s="5">
        <v>66.969498000000002</v>
      </c>
      <c r="K34" s="5">
        <v>87.720000999999996</v>
      </c>
      <c r="L34" s="5">
        <v>148.04600500000001</v>
      </c>
      <c r="M34" s="21">
        <f>(L34/C34)^(1/($L$3-$C$3))-1</f>
        <v>0.25711110308338436</v>
      </c>
    </row>
    <row r="35" spans="1:23" x14ac:dyDescent="0.3">
      <c r="A35" s="3"/>
    </row>
    <row r="36" spans="1:23" x14ac:dyDescent="0.3">
      <c r="A36" s="3" t="s">
        <v>18</v>
      </c>
      <c r="C36" s="12">
        <f>C32/C34</f>
        <v>5.846883618538154E-2</v>
      </c>
      <c r="D36" s="12">
        <f t="shared" ref="D36:L36" si="15">D32/D34</f>
        <v>2.5991433071905726E-2</v>
      </c>
      <c r="E36" s="12">
        <f t="shared" si="15"/>
        <v>2.6562847262518147E-2</v>
      </c>
      <c r="F36" s="12">
        <f t="shared" si="15"/>
        <v>2.8649390088049807E-2</v>
      </c>
      <c r="G36" s="12">
        <f t="shared" si="15"/>
        <v>4.0448220254388961E-2</v>
      </c>
      <c r="H36" s="12">
        <f t="shared" si="15"/>
        <v>3.9054675054471376E-2</v>
      </c>
      <c r="I36" s="12">
        <f t="shared" si="15"/>
        <v>2.4643012080595189E-2</v>
      </c>
      <c r="J36" s="12">
        <f t="shared" si="15"/>
        <v>3.0766164290331181E-2</v>
      </c>
      <c r="K36" s="12">
        <f t="shared" si="15"/>
        <v>4.0817021607351067E-2</v>
      </c>
      <c r="L36" s="12">
        <f t="shared" si="15"/>
        <v>3.0721499512017979E-2</v>
      </c>
      <c r="M36" s="20">
        <f>AVERAGE(C36:L36)</f>
        <v>3.4612309940701094E-2</v>
      </c>
    </row>
  </sheetData>
  <mergeCells count="8">
    <mergeCell ref="Z17:AA17"/>
    <mergeCell ref="Y20:AA20"/>
    <mergeCell ref="Y3:AA3"/>
    <mergeCell ref="Z6:AA6"/>
    <mergeCell ref="Z8:AA8"/>
    <mergeCell ref="Z9:AA9"/>
    <mergeCell ref="Z11:AA11"/>
    <mergeCell ref="Y14:A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51B8-C126-4B59-A2B9-4C338A1F7BE5}">
  <dimension ref="A3:M16"/>
  <sheetViews>
    <sheetView workbookViewId="0">
      <selection activeCell="D5" sqref="D5:M5"/>
    </sheetView>
  </sheetViews>
  <sheetFormatPr defaultRowHeight="14.4" x14ac:dyDescent="0.3"/>
  <cols>
    <col min="1" max="1" width="13.109375" bestFit="1" customWidth="1"/>
    <col min="2" max="2" width="16" bestFit="1" customWidth="1"/>
  </cols>
  <sheetData>
    <row r="3" spans="1:13" x14ac:dyDescent="0.3">
      <c r="A3" s="10" t="s">
        <v>20</v>
      </c>
      <c r="B3" t="s">
        <v>34</v>
      </c>
    </row>
    <row r="4" spans="1:13" x14ac:dyDescent="0.3">
      <c r="A4" s="11" t="s">
        <v>22</v>
      </c>
      <c r="B4">
        <v>16.163664000000001</v>
      </c>
    </row>
    <row r="5" spans="1:13" x14ac:dyDescent="0.3">
      <c r="A5" s="11" t="s">
        <v>23</v>
      </c>
      <c r="B5">
        <v>18.88138</v>
      </c>
      <c r="D5" cm="1">
        <f t="array" ref="D5:M5">TRANSPOSE(B5:B14)</f>
        <v>18.88138</v>
      </c>
      <c r="E5">
        <v>28.045794999999998</v>
      </c>
      <c r="F5">
        <v>30.421672999999998</v>
      </c>
      <c r="G5">
        <v>38.900500999999998</v>
      </c>
      <c r="H5">
        <v>40.494999</v>
      </c>
      <c r="I5">
        <v>52.669998</v>
      </c>
      <c r="J5">
        <v>61.59</v>
      </c>
      <c r="K5">
        <v>66.969498000000002</v>
      </c>
      <c r="L5">
        <v>87.720000999999996</v>
      </c>
      <c r="M5">
        <v>148.04600500000001</v>
      </c>
    </row>
    <row r="6" spans="1:13" x14ac:dyDescent="0.3">
      <c r="A6" s="11" t="s">
        <v>24</v>
      </c>
      <c r="B6">
        <v>28.045794999999998</v>
      </c>
    </row>
    <row r="7" spans="1:13" x14ac:dyDescent="0.3">
      <c r="A7" s="11" t="s">
        <v>25</v>
      </c>
      <c r="B7">
        <v>30.421672999999998</v>
      </c>
    </row>
    <row r="8" spans="1:13" x14ac:dyDescent="0.3">
      <c r="A8" s="11" t="s">
        <v>26</v>
      </c>
      <c r="B8">
        <v>38.900500999999998</v>
      </c>
    </row>
    <row r="9" spans="1:13" x14ac:dyDescent="0.3">
      <c r="A9" s="11" t="s">
        <v>27</v>
      </c>
      <c r="B9">
        <v>40.494999</v>
      </c>
    </row>
    <row r="10" spans="1:13" x14ac:dyDescent="0.3">
      <c r="A10" s="11" t="s">
        <v>28</v>
      </c>
      <c r="B10">
        <v>52.669998</v>
      </c>
    </row>
    <row r="11" spans="1:13" x14ac:dyDescent="0.3">
      <c r="A11" s="11" t="s">
        <v>29</v>
      </c>
      <c r="B11">
        <v>61.59</v>
      </c>
    </row>
    <row r="12" spans="1:13" x14ac:dyDescent="0.3">
      <c r="A12" s="11" t="s">
        <v>30</v>
      </c>
      <c r="B12">
        <v>66.969498000000002</v>
      </c>
    </row>
    <row r="13" spans="1:13" x14ac:dyDescent="0.3">
      <c r="A13" s="11" t="s">
        <v>31</v>
      </c>
      <c r="B13">
        <v>87.720000999999996</v>
      </c>
    </row>
    <row r="14" spans="1:13" x14ac:dyDescent="0.3">
      <c r="A14" s="11" t="s">
        <v>32</v>
      </c>
      <c r="B14">
        <v>148.04600500000001</v>
      </c>
    </row>
    <row r="15" spans="1:13" x14ac:dyDescent="0.3">
      <c r="A15" s="11" t="s">
        <v>33</v>
      </c>
      <c r="B15">
        <v>139.06750500000001</v>
      </c>
    </row>
    <row r="16" spans="1:13" x14ac:dyDescent="0.3">
      <c r="A16" s="11" t="s">
        <v>21</v>
      </c>
      <c r="B16">
        <v>148.04600500000001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9E37-1A21-4566-B948-52C92B7836EB}">
  <dimension ref="A1:B133"/>
  <sheetViews>
    <sheetView workbookViewId="0">
      <selection activeCell="B2" sqref="B2"/>
    </sheetView>
  </sheetViews>
  <sheetFormatPr defaultRowHeight="14.4" x14ac:dyDescent="0.3"/>
  <cols>
    <col min="1" max="1" width="9.6640625" bestFit="1" customWidth="1"/>
  </cols>
  <sheetData>
    <row r="1" spans="1:2" x14ac:dyDescent="0.3">
      <c r="A1" t="s">
        <v>1</v>
      </c>
      <c r="B1" t="s">
        <v>19</v>
      </c>
    </row>
    <row r="2" spans="1:2" x14ac:dyDescent="0.3">
      <c r="A2" s="1">
        <v>40878</v>
      </c>
      <c r="B2">
        <v>16.163664000000001</v>
      </c>
    </row>
    <row r="3" spans="1:2" x14ac:dyDescent="0.3">
      <c r="A3" s="1">
        <v>40909</v>
      </c>
      <c r="B3">
        <v>14.517267</v>
      </c>
    </row>
    <row r="4" spans="1:2" x14ac:dyDescent="0.3">
      <c r="A4" s="1">
        <v>40940</v>
      </c>
      <c r="B4">
        <v>15.471722</v>
      </c>
    </row>
    <row r="5" spans="1:2" x14ac:dyDescent="0.3">
      <c r="A5" s="1">
        <v>40969</v>
      </c>
      <c r="B5">
        <v>16.047046999999999</v>
      </c>
    </row>
    <row r="6" spans="1:2" x14ac:dyDescent="0.3">
      <c r="A6" s="1">
        <v>41000</v>
      </c>
      <c r="B6">
        <v>15.136386</v>
      </c>
    </row>
    <row r="7" spans="1:2" x14ac:dyDescent="0.3">
      <c r="A7" s="1">
        <v>41030</v>
      </c>
      <c r="B7">
        <v>14.536035999999999</v>
      </c>
    </row>
    <row r="8" spans="1:2" x14ac:dyDescent="0.3">
      <c r="A8" s="1">
        <v>41061</v>
      </c>
      <c r="B8">
        <v>14.516266</v>
      </c>
    </row>
    <row r="9" spans="1:2" x14ac:dyDescent="0.3">
      <c r="A9" s="1">
        <v>41091</v>
      </c>
      <c r="B9">
        <v>15.84009</v>
      </c>
    </row>
    <row r="10" spans="1:2" x14ac:dyDescent="0.3">
      <c r="A10" s="1">
        <v>41122</v>
      </c>
      <c r="B10">
        <v>17.144393999999998</v>
      </c>
    </row>
    <row r="11" spans="1:2" x14ac:dyDescent="0.3">
      <c r="A11" s="1">
        <v>41153</v>
      </c>
      <c r="B11">
        <v>18.88138</v>
      </c>
    </row>
    <row r="12" spans="1:2" x14ac:dyDescent="0.3">
      <c r="A12" s="1">
        <v>41183</v>
      </c>
      <c r="B12">
        <v>17.024525000000001</v>
      </c>
    </row>
    <row r="13" spans="1:2" x14ac:dyDescent="0.3">
      <c r="A13" s="1">
        <v>41214</v>
      </c>
      <c r="B13">
        <v>17.476727</v>
      </c>
    </row>
    <row r="14" spans="1:2" x14ac:dyDescent="0.3">
      <c r="A14" s="1">
        <v>41244</v>
      </c>
      <c r="B14">
        <v>17.702202</v>
      </c>
    </row>
    <row r="15" spans="1:2" x14ac:dyDescent="0.3">
      <c r="A15" s="1">
        <v>41275</v>
      </c>
      <c r="B15">
        <v>18.911161</v>
      </c>
    </row>
    <row r="16" spans="1:2" x14ac:dyDescent="0.3">
      <c r="A16" s="1">
        <v>41306</v>
      </c>
      <c r="B16">
        <v>20.050051</v>
      </c>
    </row>
    <row r="17" spans="1:2" x14ac:dyDescent="0.3">
      <c r="A17" s="1">
        <v>41334</v>
      </c>
      <c r="B17">
        <v>19.874624000000001</v>
      </c>
    </row>
    <row r="18" spans="1:2" x14ac:dyDescent="0.3">
      <c r="A18" s="1">
        <v>41365</v>
      </c>
      <c r="B18">
        <v>20.634886000000002</v>
      </c>
    </row>
    <row r="19" spans="1:2" x14ac:dyDescent="0.3">
      <c r="A19" s="1">
        <v>41395</v>
      </c>
      <c r="B19">
        <v>21.802301</v>
      </c>
    </row>
    <row r="20" spans="1:2" x14ac:dyDescent="0.3">
      <c r="A20" s="1">
        <v>41426</v>
      </c>
      <c r="B20">
        <v>22.031281</v>
      </c>
    </row>
    <row r="21" spans="1:2" x14ac:dyDescent="0.3">
      <c r="A21" s="1">
        <v>41456</v>
      </c>
      <c r="B21">
        <v>22.215965000000001</v>
      </c>
    </row>
    <row r="22" spans="1:2" x14ac:dyDescent="0.3">
      <c r="A22" s="1">
        <v>41487</v>
      </c>
      <c r="B22">
        <v>21.193693</v>
      </c>
    </row>
    <row r="23" spans="1:2" x14ac:dyDescent="0.3">
      <c r="A23" s="1">
        <v>41518</v>
      </c>
      <c r="B23">
        <v>21.91967</v>
      </c>
    </row>
    <row r="24" spans="1:2" x14ac:dyDescent="0.3">
      <c r="A24" s="1">
        <v>41548</v>
      </c>
      <c r="B24">
        <v>25.790291</v>
      </c>
    </row>
    <row r="25" spans="1:2" x14ac:dyDescent="0.3">
      <c r="A25" s="1">
        <v>41579</v>
      </c>
      <c r="B25">
        <v>26.516266000000002</v>
      </c>
    </row>
    <row r="26" spans="1:2" x14ac:dyDescent="0.3">
      <c r="A26" s="1">
        <v>41609</v>
      </c>
      <c r="B26">
        <v>28.045794999999998</v>
      </c>
    </row>
    <row r="27" spans="1:2" x14ac:dyDescent="0.3">
      <c r="A27" s="1">
        <v>41640</v>
      </c>
      <c r="B27">
        <v>29.553804</v>
      </c>
    </row>
    <row r="28" spans="1:2" x14ac:dyDescent="0.3">
      <c r="A28" s="1">
        <v>41671</v>
      </c>
      <c r="B28">
        <v>30.421672999999998</v>
      </c>
    </row>
    <row r="29" spans="1:2" x14ac:dyDescent="0.3">
      <c r="A29" s="1">
        <v>41699</v>
      </c>
      <c r="B29">
        <v>27.890640000000001</v>
      </c>
    </row>
    <row r="30" spans="1:2" x14ac:dyDescent="0.3">
      <c r="A30" s="1">
        <v>41730</v>
      </c>
      <c r="B30">
        <v>26.743998999999999</v>
      </c>
    </row>
    <row r="31" spans="1:2" x14ac:dyDescent="0.3">
      <c r="A31" s="1">
        <v>41760</v>
      </c>
      <c r="B31">
        <v>28.5825</v>
      </c>
    </row>
    <row r="32" spans="1:2" x14ac:dyDescent="0.3">
      <c r="A32" s="1">
        <v>41791</v>
      </c>
      <c r="B32">
        <v>29.233499999999999</v>
      </c>
    </row>
    <row r="33" spans="1:2" x14ac:dyDescent="0.3">
      <c r="A33" s="1">
        <v>41821</v>
      </c>
      <c r="B33">
        <v>28.977501</v>
      </c>
    </row>
    <row r="34" spans="1:2" x14ac:dyDescent="0.3">
      <c r="A34" s="1">
        <v>41852</v>
      </c>
      <c r="B34">
        <v>29.117999999999999</v>
      </c>
    </row>
    <row r="35" spans="1:2" x14ac:dyDescent="0.3">
      <c r="A35" s="1">
        <v>41883</v>
      </c>
      <c r="B35">
        <v>29.420500000000001</v>
      </c>
    </row>
    <row r="36" spans="1:2" x14ac:dyDescent="0.3">
      <c r="A36" s="1">
        <v>41913</v>
      </c>
      <c r="B36">
        <v>28.393498999999998</v>
      </c>
    </row>
    <row r="37" spans="1:2" x14ac:dyDescent="0.3">
      <c r="A37" s="1">
        <v>41944</v>
      </c>
      <c r="B37">
        <v>27.454000000000001</v>
      </c>
    </row>
    <row r="38" spans="1:2" x14ac:dyDescent="0.3">
      <c r="A38" s="1">
        <v>41974</v>
      </c>
      <c r="B38">
        <v>26.533000999999999</v>
      </c>
    </row>
    <row r="39" spans="1:2" x14ac:dyDescent="0.3">
      <c r="A39" s="1">
        <v>42005</v>
      </c>
      <c r="B39">
        <v>26.877500999999999</v>
      </c>
    </row>
    <row r="40" spans="1:2" x14ac:dyDescent="0.3">
      <c r="A40" s="1">
        <v>42036</v>
      </c>
      <c r="B40">
        <v>28.131499999999999</v>
      </c>
    </row>
    <row r="41" spans="1:2" x14ac:dyDescent="0.3">
      <c r="A41" s="1">
        <v>42064</v>
      </c>
      <c r="B41">
        <v>27.735001</v>
      </c>
    </row>
    <row r="42" spans="1:2" x14ac:dyDescent="0.3">
      <c r="A42" s="1">
        <v>42095</v>
      </c>
      <c r="B42">
        <v>27.438499</v>
      </c>
    </row>
    <row r="43" spans="1:2" x14ac:dyDescent="0.3">
      <c r="A43" s="1">
        <v>42125</v>
      </c>
      <c r="B43">
        <v>27.266000999999999</v>
      </c>
    </row>
    <row r="44" spans="1:2" x14ac:dyDescent="0.3">
      <c r="A44" s="1">
        <v>42156</v>
      </c>
      <c r="B44">
        <v>27.002001</v>
      </c>
    </row>
    <row r="45" spans="1:2" x14ac:dyDescent="0.3">
      <c r="A45" s="1">
        <v>42186</v>
      </c>
      <c r="B45">
        <v>32.875</v>
      </c>
    </row>
    <row r="46" spans="1:2" x14ac:dyDescent="0.3">
      <c r="A46" s="1">
        <v>42217</v>
      </c>
      <c r="B46">
        <v>32.390999000000001</v>
      </c>
    </row>
    <row r="47" spans="1:2" x14ac:dyDescent="0.3">
      <c r="A47" s="1">
        <v>42248</v>
      </c>
      <c r="B47">
        <v>31.918500999999999</v>
      </c>
    </row>
    <row r="48" spans="1:2" x14ac:dyDescent="0.3">
      <c r="A48" s="1">
        <v>42278</v>
      </c>
      <c r="B48">
        <v>36.869498999999998</v>
      </c>
    </row>
    <row r="49" spans="1:2" x14ac:dyDescent="0.3">
      <c r="A49" s="1">
        <v>42309</v>
      </c>
      <c r="B49">
        <v>38.142502</v>
      </c>
    </row>
    <row r="50" spans="1:2" x14ac:dyDescent="0.3">
      <c r="A50" s="1">
        <v>42339</v>
      </c>
      <c r="B50">
        <v>38.900500999999998</v>
      </c>
    </row>
    <row r="51" spans="1:2" x14ac:dyDescent="0.3">
      <c r="A51" s="1">
        <v>42370</v>
      </c>
      <c r="B51">
        <v>38.067501</v>
      </c>
    </row>
    <row r="52" spans="1:2" x14ac:dyDescent="0.3">
      <c r="A52" s="1">
        <v>42401</v>
      </c>
      <c r="B52">
        <v>35.860999999999997</v>
      </c>
    </row>
    <row r="53" spans="1:2" x14ac:dyDescent="0.3">
      <c r="A53" s="1">
        <v>42430</v>
      </c>
      <c r="B53">
        <v>38.145000000000003</v>
      </c>
    </row>
    <row r="54" spans="1:2" x14ac:dyDescent="0.3">
      <c r="A54" s="1">
        <v>42461</v>
      </c>
      <c r="B54">
        <v>35.394001000000003</v>
      </c>
    </row>
    <row r="55" spans="1:2" x14ac:dyDescent="0.3">
      <c r="A55" s="1">
        <v>42491</v>
      </c>
      <c r="B55">
        <v>37.442501</v>
      </c>
    </row>
    <row r="56" spans="1:2" x14ac:dyDescent="0.3">
      <c r="A56" s="1">
        <v>42522</v>
      </c>
      <c r="B56">
        <v>35.176498000000002</v>
      </c>
    </row>
    <row r="57" spans="1:2" x14ac:dyDescent="0.3">
      <c r="A57" s="1">
        <v>42552</v>
      </c>
      <c r="B57">
        <v>39.567000999999998</v>
      </c>
    </row>
    <row r="58" spans="1:2" x14ac:dyDescent="0.3">
      <c r="A58" s="1">
        <v>42583</v>
      </c>
      <c r="B58">
        <v>39.4925</v>
      </c>
    </row>
    <row r="59" spans="1:2" x14ac:dyDescent="0.3">
      <c r="A59" s="1">
        <v>42614</v>
      </c>
      <c r="B59">
        <v>40.202998999999998</v>
      </c>
    </row>
    <row r="60" spans="1:2" x14ac:dyDescent="0.3">
      <c r="A60" s="1">
        <v>42644</v>
      </c>
      <c r="B60">
        <v>40.494999</v>
      </c>
    </row>
    <row r="61" spans="1:2" x14ac:dyDescent="0.3">
      <c r="A61" s="1">
        <v>42675</v>
      </c>
      <c r="B61">
        <v>38.793998999999999</v>
      </c>
    </row>
    <row r="62" spans="1:2" x14ac:dyDescent="0.3">
      <c r="A62" s="1">
        <v>42705</v>
      </c>
      <c r="B62">
        <v>39.622501</v>
      </c>
    </row>
    <row r="63" spans="1:2" x14ac:dyDescent="0.3">
      <c r="A63" s="1">
        <v>42736</v>
      </c>
      <c r="B63">
        <v>41.009498999999998</v>
      </c>
    </row>
    <row r="64" spans="1:2" x14ac:dyDescent="0.3">
      <c r="A64" s="1">
        <v>42767</v>
      </c>
      <c r="B64">
        <v>42.246498000000003</v>
      </c>
    </row>
    <row r="65" spans="1:2" x14ac:dyDescent="0.3">
      <c r="A65" s="1">
        <v>42795</v>
      </c>
      <c r="B65">
        <v>42.389999000000003</v>
      </c>
    </row>
    <row r="66" spans="1:2" x14ac:dyDescent="0.3">
      <c r="A66" s="1">
        <v>42826</v>
      </c>
      <c r="B66">
        <v>46.226002000000001</v>
      </c>
    </row>
    <row r="67" spans="1:2" x14ac:dyDescent="0.3">
      <c r="A67" s="1">
        <v>42856</v>
      </c>
      <c r="B67">
        <v>49.354500000000002</v>
      </c>
    </row>
    <row r="68" spans="1:2" x14ac:dyDescent="0.3">
      <c r="A68" s="1">
        <v>42887</v>
      </c>
      <c r="B68">
        <v>46.484000999999999</v>
      </c>
    </row>
    <row r="69" spans="1:2" x14ac:dyDescent="0.3">
      <c r="A69" s="1">
        <v>42917</v>
      </c>
      <c r="B69">
        <v>47.275002000000001</v>
      </c>
    </row>
    <row r="70" spans="1:2" x14ac:dyDescent="0.3">
      <c r="A70" s="1">
        <v>42948</v>
      </c>
      <c r="B70">
        <v>47.762000999999998</v>
      </c>
    </row>
    <row r="71" spans="1:2" x14ac:dyDescent="0.3">
      <c r="A71" s="1">
        <v>42979</v>
      </c>
      <c r="B71">
        <v>48.686000999999997</v>
      </c>
    </row>
    <row r="72" spans="1:2" x14ac:dyDescent="0.3">
      <c r="A72" s="1">
        <v>43009</v>
      </c>
      <c r="B72">
        <v>51.652000000000001</v>
      </c>
    </row>
    <row r="73" spans="1:2" x14ac:dyDescent="0.3">
      <c r="A73" s="1">
        <v>43040</v>
      </c>
      <c r="B73">
        <v>51.808498</v>
      </c>
    </row>
    <row r="74" spans="1:2" x14ac:dyDescent="0.3">
      <c r="A74" s="1">
        <v>43070</v>
      </c>
      <c r="B74">
        <v>52.669998</v>
      </c>
    </row>
    <row r="75" spans="1:2" x14ac:dyDescent="0.3">
      <c r="A75" s="1">
        <v>43101</v>
      </c>
      <c r="B75">
        <v>59.110999999999997</v>
      </c>
    </row>
    <row r="76" spans="1:2" x14ac:dyDescent="0.3">
      <c r="A76" s="1">
        <v>43132</v>
      </c>
      <c r="B76">
        <v>55.195999</v>
      </c>
    </row>
    <row r="77" spans="1:2" x14ac:dyDescent="0.3">
      <c r="A77" s="1">
        <v>43160</v>
      </c>
      <c r="B77">
        <v>51.856997999999997</v>
      </c>
    </row>
    <row r="78" spans="1:2" x14ac:dyDescent="0.3">
      <c r="A78" s="1">
        <v>43191</v>
      </c>
      <c r="B78">
        <v>50.929001</v>
      </c>
    </row>
    <row r="79" spans="1:2" x14ac:dyDescent="0.3">
      <c r="A79" s="1">
        <v>43221</v>
      </c>
      <c r="B79">
        <v>55</v>
      </c>
    </row>
    <row r="80" spans="1:2" x14ac:dyDescent="0.3">
      <c r="A80" s="1">
        <v>43252</v>
      </c>
      <c r="B80">
        <v>56.459499000000001</v>
      </c>
    </row>
    <row r="81" spans="1:2" x14ac:dyDescent="0.3">
      <c r="A81" s="1">
        <v>43282</v>
      </c>
      <c r="B81">
        <v>61.360999999999997</v>
      </c>
    </row>
    <row r="82" spans="1:2" x14ac:dyDescent="0.3">
      <c r="A82" s="1">
        <v>43313</v>
      </c>
      <c r="B82">
        <v>61.59</v>
      </c>
    </row>
    <row r="83" spans="1:2" x14ac:dyDescent="0.3">
      <c r="A83" s="1">
        <v>43344</v>
      </c>
      <c r="B83">
        <v>60.353999999999999</v>
      </c>
    </row>
    <row r="84" spans="1:2" x14ac:dyDescent="0.3">
      <c r="A84" s="1">
        <v>43374</v>
      </c>
      <c r="B84">
        <v>54.528998999999999</v>
      </c>
    </row>
    <row r="85" spans="1:2" x14ac:dyDescent="0.3">
      <c r="A85" s="1">
        <v>43405</v>
      </c>
      <c r="B85">
        <v>55.482498</v>
      </c>
    </row>
    <row r="86" spans="1:2" x14ac:dyDescent="0.3">
      <c r="A86" s="1">
        <v>43435</v>
      </c>
      <c r="B86">
        <v>52.248001000000002</v>
      </c>
    </row>
    <row r="87" spans="1:2" x14ac:dyDescent="0.3">
      <c r="A87" s="1">
        <v>43466</v>
      </c>
      <c r="B87">
        <v>56.294497999999997</v>
      </c>
    </row>
    <row r="88" spans="1:2" x14ac:dyDescent="0.3">
      <c r="A88" s="1">
        <v>43497</v>
      </c>
      <c r="B88">
        <v>56.327499000000003</v>
      </c>
    </row>
    <row r="89" spans="1:2" x14ac:dyDescent="0.3">
      <c r="A89" s="1">
        <v>43525</v>
      </c>
      <c r="B89">
        <v>58.844501000000001</v>
      </c>
    </row>
    <row r="90" spans="1:2" x14ac:dyDescent="0.3">
      <c r="A90" s="1">
        <v>43556</v>
      </c>
      <c r="B90">
        <v>59.948002000000002</v>
      </c>
    </row>
    <row r="91" spans="1:2" x14ac:dyDescent="0.3">
      <c r="A91" s="1">
        <v>43586</v>
      </c>
      <c r="B91">
        <v>55.325001</v>
      </c>
    </row>
    <row r="92" spans="1:2" x14ac:dyDescent="0.3">
      <c r="A92" s="1">
        <v>43617</v>
      </c>
      <c r="B92">
        <v>54.139999000000003</v>
      </c>
    </row>
    <row r="93" spans="1:2" x14ac:dyDescent="0.3">
      <c r="A93" s="1">
        <v>43647</v>
      </c>
      <c r="B93">
        <v>60.91</v>
      </c>
    </row>
    <row r="94" spans="1:2" x14ac:dyDescent="0.3">
      <c r="A94" s="1">
        <v>43678</v>
      </c>
      <c r="B94">
        <v>59.526501000000003</v>
      </c>
    </row>
    <row r="95" spans="1:2" x14ac:dyDescent="0.3">
      <c r="A95" s="1">
        <v>43709</v>
      </c>
      <c r="B95">
        <v>61.056998999999998</v>
      </c>
    </row>
    <row r="96" spans="1:2" x14ac:dyDescent="0.3">
      <c r="A96" s="1">
        <v>43739</v>
      </c>
      <c r="B96">
        <v>62.939999</v>
      </c>
    </row>
    <row r="97" spans="1:2" x14ac:dyDescent="0.3">
      <c r="A97" s="1">
        <v>43770</v>
      </c>
      <c r="B97">
        <v>65.204498000000001</v>
      </c>
    </row>
    <row r="98" spans="1:2" x14ac:dyDescent="0.3">
      <c r="A98" s="1">
        <v>43800</v>
      </c>
      <c r="B98">
        <v>66.969498000000002</v>
      </c>
    </row>
    <row r="99" spans="1:2" x14ac:dyDescent="0.3">
      <c r="A99" s="1">
        <v>43831</v>
      </c>
      <c r="B99">
        <v>71.638999999999996</v>
      </c>
    </row>
    <row r="100" spans="1:2" x14ac:dyDescent="0.3">
      <c r="A100" s="1">
        <v>43862</v>
      </c>
      <c r="B100">
        <v>66.962502000000001</v>
      </c>
    </row>
    <row r="101" spans="1:2" x14ac:dyDescent="0.3">
      <c r="A101" s="1">
        <v>43891</v>
      </c>
      <c r="B101">
        <v>58.097499999999997</v>
      </c>
    </row>
    <row r="102" spans="1:2" x14ac:dyDescent="0.3">
      <c r="A102" s="1">
        <v>43922</v>
      </c>
      <c r="B102">
        <v>67.334998999999996</v>
      </c>
    </row>
    <row r="103" spans="1:2" x14ac:dyDescent="0.3">
      <c r="A103" s="1">
        <v>43952</v>
      </c>
      <c r="B103">
        <v>71.676002999999994</v>
      </c>
    </row>
    <row r="104" spans="1:2" x14ac:dyDescent="0.3">
      <c r="A104" s="1">
        <v>43983</v>
      </c>
      <c r="B104">
        <v>70.902495999999999</v>
      </c>
    </row>
    <row r="105" spans="1:2" x14ac:dyDescent="0.3">
      <c r="A105" s="1">
        <v>44013</v>
      </c>
      <c r="B105">
        <v>74.397498999999996</v>
      </c>
    </row>
    <row r="106" spans="1:2" x14ac:dyDescent="0.3">
      <c r="A106" s="1">
        <v>44044</v>
      </c>
      <c r="B106">
        <v>81.476500999999999</v>
      </c>
    </row>
    <row r="107" spans="1:2" x14ac:dyDescent="0.3">
      <c r="A107" s="1">
        <v>44075</v>
      </c>
      <c r="B107">
        <v>73.279999000000004</v>
      </c>
    </row>
    <row r="108" spans="1:2" x14ac:dyDescent="0.3">
      <c r="A108" s="1">
        <v>44105</v>
      </c>
      <c r="B108">
        <v>80.805496000000005</v>
      </c>
    </row>
    <row r="109" spans="1:2" x14ac:dyDescent="0.3">
      <c r="A109" s="1">
        <v>44136</v>
      </c>
      <c r="B109">
        <v>87.720000999999996</v>
      </c>
    </row>
    <row r="110" spans="1:2" x14ac:dyDescent="0.3">
      <c r="A110" s="1">
        <v>44166</v>
      </c>
      <c r="B110">
        <v>87.632003999999995</v>
      </c>
    </row>
    <row r="111" spans="1:2" x14ac:dyDescent="0.3">
      <c r="A111" s="1">
        <v>44197</v>
      </c>
      <c r="B111">
        <v>91.367996000000005</v>
      </c>
    </row>
    <row r="112" spans="1:2" x14ac:dyDescent="0.3">
      <c r="A112" s="1">
        <v>44228</v>
      </c>
      <c r="B112">
        <v>101.09549699999999</v>
      </c>
    </row>
    <row r="113" spans="1:2" x14ac:dyDescent="0.3">
      <c r="A113" s="1">
        <v>44256</v>
      </c>
      <c r="B113">
        <v>103.12599899999999</v>
      </c>
    </row>
    <row r="114" spans="1:2" x14ac:dyDescent="0.3">
      <c r="A114" s="1">
        <v>44287</v>
      </c>
      <c r="B114">
        <v>117.675003</v>
      </c>
    </row>
    <row r="115" spans="1:2" x14ac:dyDescent="0.3">
      <c r="A115" s="1">
        <v>44317</v>
      </c>
      <c r="B115">
        <v>117.842499</v>
      </c>
    </row>
    <row r="116" spans="1:2" x14ac:dyDescent="0.3">
      <c r="A116" s="1">
        <v>44348</v>
      </c>
      <c r="B116">
        <v>122.0895</v>
      </c>
    </row>
    <row r="117" spans="1:2" x14ac:dyDescent="0.3">
      <c r="A117" s="1">
        <v>44378</v>
      </c>
      <c r="B117">
        <v>134.72650100000001</v>
      </c>
    </row>
    <row r="118" spans="1:2" x14ac:dyDescent="0.3">
      <c r="A118" s="1">
        <v>44409</v>
      </c>
      <c r="B118">
        <v>144.697495</v>
      </c>
    </row>
    <row r="119" spans="1:2" x14ac:dyDescent="0.3">
      <c r="A119" s="1">
        <v>44440</v>
      </c>
      <c r="B119">
        <v>133.675995</v>
      </c>
    </row>
    <row r="120" spans="1:2" x14ac:dyDescent="0.3">
      <c r="A120" s="1">
        <v>44470</v>
      </c>
      <c r="B120">
        <v>148.04600500000001</v>
      </c>
    </row>
    <row r="121" spans="1:2" x14ac:dyDescent="0.3">
      <c r="A121" s="1">
        <v>44501</v>
      </c>
      <c r="B121">
        <v>141.89750699999999</v>
      </c>
    </row>
    <row r="122" spans="1:2" x14ac:dyDescent="0.3">
      <c r="A122" s="1">
        <v>44531</v>
      </c>
      <c r="B122">
        <v>144.85200499999999</v>
      </c>
    </row>
    <row r="123" spans="1:2" x14ac:dyDescent="0.3">
      <c r="A123" s="1">
        <v>44562</v>
      </c>
      <c r="B123">
        <v>135.30349699999999</v>
      </c>
    </row>
    <row r="124" spans="1:2" x14ac:dyDescent="0.3">
      <c r="A124" s="1">
        <v>44593</v>
      </c>
      <c r="B124">
        <v>135.057007</v>
      </c>
    </row>
    <row r="125" spans="1:2" x14ac:dyDescent="0.3">
      <c r="A125" s="1">
        <v>44621</v>
      </c>
      <c r="B125">
        <v>139.06750500000001</v>
      </c>
    </row>
    <row r="126" spans="1:2" x14ac:dyDescent="0.3">
      <c r="A126" s="1">
        <v>44652</v>
      </c>
      <c r="B126">
        <v>114.109497</v>
      </c>
    </row>
    <row r="127" spans="1:2" x14ac:dyDescent="0.3">
      <c r="A127" s="1">
        <v>44682</v>
      </c>
      <c r="B127">
        <v>113.762001</v>
      </c>
    </row>
    <row r="128" spans="1:2" x14ac:dyDescent="0.3">
      <c r="A128" s="1">
        <v>44713</v>
      </c>
      <c r="B128">
        <v>108.962997</v>
      </c>
    </row>
    <row r="129" spans="1:2" x14ac:dyDescent="0.3">
      <c r="A129" s="1">
        <v>44743</v>
      </c>
      <c r="B129">
        <v>116.32</v>
      </c>
    </row>
    <row r="130" spans="1:2" x14ac:dyDescent="0.3">
      <c r="A130" s="1">
        <v>44774</v>
      </c>
      <c r="B130">
        <v>108.220001</v>
      </c>
    </row>
    <row r="131" spans="1:2" x14ac:dyDescent="0.3">
      <c r="A131" s="1">
        <v>44805</v>
      </c>
      <c r="B131">
        <v>95.650002000000001</v>
      </c>
    </row>
    <row r="132" spans="1:2" x14ac:dyDescent="0.3">
      <c r="A132" s="1">
        <v>44835</v>
      </c>
      <c r="B132">
        <v>94.510002</v>
      </c>
    </row>
    <row r="133" spans="1:2" x14ac:dyDescent="0.3">
      <c r="A133" s="1">
        <v>44866</v>
      </c>
      <c r="B133">
        <v>88.489998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GOOGL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2015-06-05T18:17:20Z</dcterms:created>
  <dcterms:modified xsi:type="dcterms:W3CDTF">2024-02-23T12:24:37Z</dcterms:modified>
</cp:coreProperties>
</file>