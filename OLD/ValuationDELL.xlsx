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25" documentId="11_F25DC773A252ABDACC10487EA91866DC5BDE58E7" xr6:coauthVersionLast="47" xr6:coauthVersionMax="47" xr10:uidLastSave="{9C1B2AF4-FF93-4EE1-8750-C2AE2ADAE411}"/>
  <bookViews>
    <workbookView xWindow="-120" yWindow="-120" windowWidth="29040" windowHeight="15840" xr2:uid="{00000000-000D-0000-FFFF-FFFF00000000}"/>
  </bookViews>
  <sheets>
    <sheet name="Valuation" sheetId="1" r:id="rId1"/>
    <sheet name="Sheet2" sheetId="3" r:id="rId2"/>
    <sheet name="DELL" sheetId="2" r:id="rId3"/>
  </sheets>
  <calcPr calcId="191028"/>
  <pivotCaches>
    <pivotCache cacheId="44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/>
  <c r="X26" i="1"/>
  <c r="Y25" i="1"/>
  <c r="X25" i="1"/>
  <c r="Y24" i="1"/>
  <c r="X24" i="1"/>
  <c r="Y23" i="1"/>
  <c r="X23" i="1"/>
  <c r="Y22" i="1"/>
  <c r="X22" i="1"/>
  <c r="X7" i="1"/>
  <c r="X10" i="1" s="1"/>
  <c r="X12" i="1" s="1"/>
  <c r="Y12" i="1"/>
  <c r="X11" i="1"/>
  <c r="Y10" i="1"/>
  <c r="X9" i="1"/>
  <c r="X8" i="1"/>
  <c r="Y7" i="1"/>
  <c r="Y18" i="1"/>
  <c r="X18" i="1"/>
  <c r="Y5" i="1"/>
  <c r="X5" i="1"/>
  <c r="Y16" i="1"/>
  <c r="X16" i="1"/>
  <c r="Y15" i="1"/>
  <c r="X15" i="1"/>
  <c r="Y4" i="1"/>
  <c r="X4" i="1"/>
  <c r="L33" i="1"/>
  <c r="M33" i="1" s="1"/>
  <c r="N33" i="1" s="1"/>
  <c r="O33" i="1" s="1"/>
  <c r="P33" i="1" s="1"/>
  <c r="Q33" i="1" s="1"/>
  <c r="R33" i="1" s="1"/>
  <c r="S33" i="1" s="1"/>
  <c r="T33" i="1" s="1"/>
  <c r="U33" i="1" s="1"/>
  <c r="L8" i="1"/>
  <c r="M8" i="1" s="1"/>
  <c r="N8" i="1" s="1"/>
  <c r="O8" i="1" s="1"/>
  <c r="P8" i="1" s="1"/>
  <c r="Q8" i="1" s="1"/>
  <c r="R8" i="1" s="1"/>
  <c r="S8" i="1" s="1"/>
  <c r="T8" i="1" s="1"/>
  <c r="U8" i="1" s="1"/>
  <c r="N3" i="1"/>
  <c r="O3" i="1" s="1"/>
  <c r="P3" i="1" s="1"/>
  <c r="Q3" i="1" s="1"/>
  <c r="R3" i="1" s="1"/>
  <c r="S3" i="1" s="1"/>
  <c r="T3" i="1" s="1"/>
  <c r="U3" i="1" s="1"/>
  <c r="M3" i="1"/>
  <c r="K35" i="1"/>
  <c r="K27" i="1"/>
  <c r="K25" i="1"/>
  <c r="K15" i="1"/>
  <c r="K13" i="1"/>
  <c r="K8" i="1"/>
  <c r="K4" i="1"/>
  <c r="I23" i="1"/>
  <c r="J23" i="1"/>
  <c r="D21" i="1"/>
  <c r="I21" i="1"/>
  <c r="J21" i="1"/>
  <c r="D19" i="1"/>
  <c r="E19" i="1"/>
  <c r="E21" i="1" s="1"/>
  <c r="I19" i="1"/>
  <c r="J19" i="1"/>
  <c r="K19" i="1" s="1"/>
  <c r="D17" i="1"/>
  <c r="E17" i="1"/>
  <c r="F17" i="1"/>
  <c r="F19" i="1" s="1"/>
  <c r="F21" i="1" s="1"/>
  <c r="G17" i="1"/>
  <c r="G19" i="1" s="1"/>
  <c r="G21" i="1" s="1"/>
  <c r="H17" i="1"/>
  <c r="I17" i="1"/>
  <c r="J17" i="1"/>
  <c r="K17" i="1" s="1"/>
  <c r="D4" i="3" a="1"/>
  <c r="D4" i="3" s="1"/>
  <c r="J33" i="1"/>
  <c r="C33" i="1"/>
  <c r="F33" i="1"/>
  <c r="F37" i="1" s="1"/>
  <c r="G33" i="1"/>
  <c r="G37" i="1" s="1"/>
  <c r="H33" i="1"/>
  <c r="H37" i="1" s="1"/>
  <c r="I33" i="1"/>
  <c r="I37" i="1" s="1"/>
  <c r="C31" i="1"/>
  <c r="D31" i="1"/>
  <c r="K31" i="1" s="1"/>
  <c r="E31" i="1"/>
  <c r="E33" i="1" s="1"/>
  <c r="E37" i="1" s="1"/>
  <c r="F31" i="1"/>
  <c r="G31" i="1"/>
  <c r="C8" i="1"/>
  <c r="D8" i="1"/>
  <c r="D9" i="1" s="1"/>
  <c r="E8" i="1"/>
  <c r="E9" i="1" s="1"/>
  <c r="F8" i="1"/>
  <c r="F9" i="1" s="1"/>
  <c r="G8" i="1"/>
  <c r="G9" i="1" s="1"/>
  <c r="H8" i="1"/>
  <c r="H9" i="1" s="1"/>
  <c r="I8" i="1"/>
  <c r="I9" i="1" s="1"/>
  <c r="J8" i="1"/>
  <c r="J9" i="1" s="1"/>
  <c r="D13" i="1"/>
  <c r="D23" i="1" s="1"/>
  <c r="E13" i="1"/>
  <c r="E23" i="1" s="1"/>
  <c r="F13" i="1"/>
  <c r="F23" i="1" s="1"/>
  <c r="G13" i="1"/>
  <c r="G23" i="1" s="1"/>
  <c r="H13" i="1"/>
  <c r="H23" i="1" s="1"/>
  <c r="I31" i="1"/>
  <c r="H29" i="1"/>
  <c r="H31" i="1" s="1"/>
  <c r="I29" i="1"/>
  <c r="J29" i="1"/>
  <c r="J31" i="1" s="1"/>
  <c r="I13" i="1"/>
  <c r="J13" i="1"/>
  <c r="D3" i="1"/>
  <c r="E3" i="1" s="1"/>
  <c r="F3" i="1" s="1"/>
  <c r="G3" i="1" s="1"/>
  <c r="H3" i="1" s="1"/>
  <c r="I3" i="1" s="1"/>
  <c r="J3" i="1" s="1"/>
  <c r="K9" i="1" l="1"/>
  <c r="K23" i="1"/>
  <c r="H19" i="1"/>
  <c r="H21" i="1" s="1"/>
  <c r="K21" i="1" s="1"/>
  <c r="J37" i="1"/>
  <c r="K37" i="1" s="1"/>
  <c r="D33" i="1"/>
  <c r="D37" i="1" s="1"/>
  <c r="K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<sst xmlns="http://schemas.openxmlformats.org/spreadsheetml/2006/main" count="59" uniqueCount="49">
  <si>
    <t>Ticker</t>
  </si>
  <si>
    <t>15/11/2022</t>
  </si>
  <si>
    <t>DELL</t>
  </si>
  <si>
    <t>AVG/ CAGR</t>
  </si>
  <si>
    <t>EBITDA Multiple Method</t>
  </si>
  <si>
    <t>Revenue</t>
  </si>
  <si>
    <t>Year</t>
  </si>
  <si>
    <t>EBITDA</t>
  </si>
  <si>
    <t>EBIT</t>
  </si>
  <si>
    <t>Mutliple</t>
  </si>
  <si>
    <t>D&amp;A</t>
  </si>
  <si>
    <t>EV</t>
  </si>
  <si>
    <t>(-) Debt</t>
  </si>
  <si>
    <t>% growth</t>
  </si>
  <si>
    <t>(+) Cash</t>
  </si>
  <si>
    <t>Market Cap</t>
  </si>
  <si>
    <t>Excess Cash</t>
  </si>
  <si>
    <t>CS Oustanding</t>
  </si>
  <si>
    <t>$/SHR</t>
  </si>
  <si>
    <t>ST + LT Debt</t>
  </si>
  <si>
    <t>FCFE Yield Method</t>
  </si>
  <si>
    <t>FCFE/SHR</t>
  </si>
  <si>
    <t>FCFE Yield</t>
  </si>
  <si>
    <t>Return on Investment</t>
  </si>
  <si>
    <t>EV/EBITDA</t>
  </si>
  <si>
    <t>Price</t>
  </si>
  <si>
    <t>20/11/2022</t>
  </si>
  <si>
    <t>Debt/EBTIDA</t>
  </si>
  <si>
    <t>EBITDA $/SHR</t>
  </si>
  <si>
    <t>FCFE $/SHR</t>
  </si>
  <si>
    <t>CFO</t>
  </si>
  <si>
    <t>Average</t>
  </si>
  <si>
    <t>Return</t>
  </si>
  <si>
    <t>CapEx</t>
  </si>
  <si>
    <t>Debt Issuance</t>
  </si>
  <si>
    <t>FCFE</t>
  </si>
  <si>
    <t>FY Year end in last week of Jan</t>
  </si>
  <si>
    <t>Row Labels</t>
  </si>
  <si>
    <t>Average of Adj Close</t>
  </si>
  <si>
    <t>2016</t>
  </si>
  <si>
    <t>2017</t>
  </si>
  <si>
    <t>2018</t>
  </si>
  <si>
    <t>2019</t>
  </si>
  <si>
    <t>2020</t>
  </si>
  <si>
    <t>2021</t>
  </si>
  <si>
    <t>2022</t>
  </si>
  <si>
    <t>Grand Total</t>
  </si>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</sst>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&quot;$&quot;* #,##0.0_);_(&quot;$&quot;* \(#,##0.0\);_(&quot;$&quot;* &quot;-&quot;_);_(@_)"/>
    <numFmt numFmtId="167" formatCode="0.00\x"/>
    <numFmt numFmtId="168" formatCode="0.0%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9" fontId="5" fillId="0" borderId="0" xfId="1" applyFont="1"/>
    <xf numFmtId="164" fontId="2" fillId="0" borderId="0" xfId="0" applyNumberFormat="1" applyFont="1"/>
    <xf numFmtId="164" fontId="0" fillId="0" borderId="0" xfId="0" applyNumberFormat="1"/>
    <xf numFmtId="166" fontId="2" fillId="0" borderId="0" xfId="0" applyNumberFormat="1" applyFont="1"/>
    <xf numFmtId="3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2" fillId="0" borderId="0" xfId="0" applyNumberFormat="1" applyFont="1"/>
    <xf numFmtId="168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5" fillId="0" borderId="0" xfId="1" applyFont="1" applyAlignment="1">
      <alignment horizontal="center"/>
    </xf>
    <xf numFmtId="0" fontId="1" fillId="4" borderId="0" xfId="0" applyFont="1" applyFill="1" applyAlignment="1">
      <alignment horizontal="center"/>
    </xf>
    <xf numFmtId="9" fontId="6" fillId="0" borderId="0" xfId="0" applyNumberFormat="1" applyFont="1" applyAlignment="1">
      <alignment horizontal="center"/>
    </xf>
    <xf numFmtId="165" fontId="0" fillId="0" borderId="0" xfId="0" applyNumberFormat="1"/>
    <xf numFmtId="0" fontId="1" fillId="5" borderId="0" xfId="0" applyFont="1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9" fontId="0" fillId="6" borderId="0" xfId="1" applyFont="1" applyFill="1"/>
    <xf numFmtId="165" fontId="0" fillId="6" borderId="1" xfId="0" applyNumberFormat="1" applyFill="1" applyBorder="1"/>
    <xf numFmtId="0" fontId="2" fillId="0" borderId="1" xfId="0" applyFon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3" fontId="0" fillId="6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83.563860069444" createdVersion="8" refreshedVersion="8" minRefreshableVersion="3" recordCount="76" xr:uid="{3A8D90DE-BE5F-4EFC-BCC7-013FF9E3A540}">
  <cacheSource type="worksheet">
    <worksheetSource ref="A1:B77" sheet="DELL"/>
  </cacheSource>
  <cacheFields count="4">
    <cacheField name="Date" numFmtId="14">
      <sharedItems containsSemiMixedTypes="0" containsNonDate="0" containsDate="1" containsString="0" minDate="2016-09-01T00:00:00" maxDate="2022-11-18T00:00:00" count="76"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1-17T00:00:00"/>
      </sharedItems>
      <fieldGroup par="3" base="0">
        <rangePr groupBy="months" startDate="2016-09-01T00:00:00" endDate="2022-11-18T00:00:00"/>
        <groupItems count="14">
          <s v="&lt;9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8/2022"/>
        </groupItems>
      </fieldGroup>
    </cacheField>
    <cacheField name="Adj Close" numFmtId="0">
      <sharedItems containsSemiMixedTypes="0" containsString="0" containsNumber="1" minValue="13.092425" maxValue="55.444927"/>
    </cacheField>
    <cacheField name="Quarters" numFmtId="0" databaseField="0">
      <fieldGroup base="0">
        <rangePr groupBy="quarters" startDate="2016-09-01T00:00:00" endDate="2022-11-18T00:00:00"/>
        <groupItems count="6">
          <s v="&lt;9/1/2016"/>
          <s v="Qtr1"/>
          <s v="Qtr2"/>
          <s v="Qtr3"/>
          <s v="Qtr4"/>
          <s v="&gt;11/18/2022"/>
        </groupItems>
      </fieldGroup>
    </cacheField>
    <cacheField name="Years" numFmtId="0" databaseField="0">
      <fieldGroup base="0">
        <rangePr groupBy="years" startDate="2016-09-01T00:00:00" endDate="2022-11-18T00:00:00"/>
        <groupItems count="9">
          <s v="&lt;9/1/2016"/>
          <s v="2016"/>
          <s v="2017"/>
          <s v="2018"/>
          <s v="2019"/>
          <s v="2020"/>
          <s v="2021"/>
          <s v="2022"/>
          <s v="&gt;11/18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n v="13.092425"/>
  </r>
  <r>
    <x v="1"/>
    <n v="13.445755999999999"/>
  </r>
  <r>
    <x v="2"/>
    <n v="14.670089000000001"/>
  </r>
  <r>
    <x v="3"/>
    <n v="15.056290000000001"/>
  </r>
  <r>
    <x v="4"/>
    <n v="17.252966000000001"/>
  </r>
  <r>
    <x v="5"/>
    <n v="17.389917000000001"/>
  </r>
  <r>
    <x v="6"/>
    <n v="17.551517"/>
  </r>
  <r>
    <x v="7"/>
    <n v="18.381435"/>
  </r>
  <r>
    <x v="8"/>
    <n v="19.005928000000001"/>
  </r>
  <r>
    <x v="9"/>
    <n v="16.738033000000001"/>
  </r>
  <r>
    <x v="10"/>
    <n v="17.603558"/>
  </r>
  <r>
    <x v="11"/>
    <n v="20.523334999999999"/>
  </r>
  <r>
    <x v="12"/>
    <n v="21.147825000000001"/>
  </r>
  <r>
    <x v="13"/>
    <n v="22.670712000000002"/>
  </r>
  <r>
    <x v="14"/>
    <n v="21.429943000000002"/>
  </r>
  <r>
    <x v="15"/>
    <n v="22.262599999999999"/>
  </r>
  <r>
    <x v="16"/>
    <n v="19.638636000000002"/>
  </r>
  <r>
    <x v="17"/>
    <n v="20.348037999999999"/>
  </r>
  <r>
    <x v="18"/>
    <n v="20.052225"/>
  </r>
  <r>
    <x v="19"/>
    <n v="19.657807999999999"/>
  </r>
  <r>
    <x v="20"/>
    <n v="22.092780999999999"/>
  </r>
  <r>
    <x v="21"/>
    <n v="23.16647"/>
  </r>
  <r>
    <x v="22"/>
    <n v="25.341235999999999"/>
  </r>
  <r>
    <x v="23"/>
    <n v="26.340969000000001"/>
  </r>
  <r>
    <x v="24"/>
    <n v="26.601177"/>
  </r>
  <r>
    <x v="25"/>
    <n v="24.757829999999998"/>
  </r>
  <r>
    <x v="26"/>
    <n v="28.890982000000001"/>
  </r>
  <r>
    <x v="27"/>
    <n v="24.174208"/>
  </r>
  <r>
    <x v="28"/>
    <n v="24.035706000000001"/>
  </r>
  <r>
    <x v="29"/>
    <n v="27.612120000000001"/>
  </r>
  <r>
    <x v="30"/>
    <n v="29.031803"/>
  </r>
  <r>
    <x v="31"/>
    <n v="33.345267999999997"/>
  </r>
  <r>
    <x v="32"/>
    <n v="29.457215999999999"/>
  </r>
  <r>
    <x v="33"/>
    <n v="25.128910000000001"/>
  </r>
  <r>
    <x v="34"/>
    <n v="28.561874"/>
  </r>
  <r>
    <x v="35"/>
    <n v="25.490010999999999"/>
  </r>
  <r>
    <x v="36"/>
    <n v="25.653251999999998"/>
  </r>
  <r>
    <x v="37"/>
    <n v="26.162756000000002"/>
  </r>
  <r>
    <x v="38"/>
    <n v="23.986238"/>
  </r>
  <r>
    <x v="39"/>
    <n v="25.420759"/>
  </r>
  <r>
    <x v="40"/>
    <n v="24.124742999999999"/>
  </r>
  <r>
    <x v="41"/>
    <n v="20.014085999999999"/>
  </r>
  <r>
    <x v="42"/>
    <n v="19.563943999999999"/>
  </r>
  <r>
    <x v="43"/>
    <n v="21.117187999999999"/>
  </r>
  <r>
    <x v="44"/>
    <n v="24.555098999999998"/>
  </r>
  <r>
    <x v="45"/>
    <n v="27.176817"/>
  </r>
  <r>
    <x v="46"/>
    <n v="29.59572"/>
  </r>
  <r>
    <x v="47"/>
    <n v="32.687370000000001"/>
  </r>
  <r>
    <x v="48"/>
    <n v="33.483780000000003"/>
  </r>
  <r>
    <x v="49"/>
    <n v="29.808426000000001"/>
  </r>
  <r>
    <x v="50"/>
    <n v="34.146625999999998"/>
  </r>
  <r>
    <x v="51"/>
    <n v="36.253891000000003"/>
  </r>
  <r>
    <x v="52"/>
    <n v="36.056026000000003"/>
  </r>
  <r>
    <x v="53"/>
    <n v="40.102375000000002"/>
  </r>
  <r>
    <x v="54"/>
    <n v="43.604595000000003"/>
  </r>
  <r>
    <x v="55"/>
    <n v="48.640270000000001"/>
  </r>
  <r>
    <x v="56"/>
    <n v="48.793610000000001"/>
  </r>
  <r>
    <x v="57"/>
    <n v="49.303116000000003"/>
  </r>
  <r>
    <x v="58"/>
    <n v="47.794392000000002"/>
  </r>
  <r>
    <x v="59"/>
    <n v="48.209910999999998"/>
  </r>
  <r>
    <x v="60"/>
    <n v="51.464798000000002"/>
  </r>
  <r>
    <x v="61"/>
    <n v="54.408047000000003"/>
  </r>
  <r>
    <x v="62"/>
    <n v="55.113093999999997"/>
  </r>
  <r>
    <x v="63"/>
    <n v="54.820301000000001"/>
  </r>
  <r>
    <x v="64"/>
    <n v="55.444927"/>
  </r>
  <r>
    <x v="65"/>
    <n v="49.735492999999998"/>
  </r>
  <r>
    <x v="66"/>
    <n v="48.983994000000003"/>
  </r>
  <r>
    <x v="67"/>
    <n v="45.880405000000003"/>
  </r>
  <r>
    <x v="68"/>
    <n v="49.081420999999999"/>
  </r>
  <r>
    <x v="69"/>
    <n v="45.415550000000003"/>
  </r>
  <r>
    <x v="70"/>
    <n v="44.285319999999999"/>
  </r>
  <r>
    <x v="71"/>
    <n v="37.923431000000001"/>
  </r>
  <r>
    <x v="72"/>
    <n v="33.842872999999997"/>
  </r>
  <r>
    <x v="73"/>
    <n v="38.032378999999999"/>
  </r>
  <r>
    <x v="74"/>
    <n v="41.759998000000003"/>
  </r>
  <r>
    <x v="75"/>
    <n v="41.759998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25215-5EC1-4050-AF99-E1DCD639DAAD}" name="PivotTable3" cacheId="4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3">
    <field x="3"/>
    <field x="2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showGridLines="0" tabSelected="1" workbookViewId="0">
      <pane xSplit="1" topLeftCell="B16" activePane="topRight" state="frozen"/>
      <selection pane="topRight" activeCell="X31" sqref="X31"/>
      <selection activeCell="A2" sqref="A2"/>
    </sheetView>
  </sheetViews>
  <sheetFormatPr defaultRowHeight="15"/>
  <cols>
    <col min="1" max="1" width="13.85546875" bestFit="1" customWidth="1"/>
    <col min="3" max="11" width="12.7109375" customWidth="1"/>
    <col min="23" max="23" width="13.85546875" bestFit="1" customWidth="1"/>
    <col min="24" max="25" width="10" bestFit="1" customWidth="1"/>
  </cols>
  <sheetData>
    <row r="1" spans="1:25">
      <c r="A1" t="s">
        <v>0</v>
      </c>
      <c r="C1" t="s">
        <v>1</v>
      </c>
    </row>
    <row r="2" spans="1:25" ht="26.25">
      <c r="A2" s="1" t="s">
        <v>2</v>
      </c>
      <c r="L2">
        <v>1</v>
      </c>
      <c r="M2">
        <v>2</v>
      </c>
      <c r="N2">
        <v>3</v>
      </c>
      <c r="O2">
        <v>4</v>
      </c>
      <c r="P2">
        <v>5</v>
      </c>
    </row>
    <row r="3" spans="1:25">
      <c r="C3" s="2">
        <v>2015</v>
      </c>
      <c r="D3" s="2">
        <f t="shared" ref="D3:J3" si="0">C3+1</f>
        <v>2016</v>
      </c>
      <c r="E3" s="2">
        <f t="shared" si="0"/>
        <v>2017</v>
      </c>
      <c r="F3" s="2">
        <f t="shared" si="0"/>
        <v>2018</v>
      </c>
      <c r="G3" s="2">
        <f t="shared" si="0"/>
        <v>2019</v>
      </c>
      <c r="H3" s="2">
        <f t="shared" si="0"/>
        <v>2020</v>
      </c>
      <c r="I3" s="2">
        <f t="shared" si="0"/>
        <v>2021</v>
      </c>
      <c r="J3" s="2">
        <f t="shared" si="0"/>
        <v>2022</v>
      </c>
      <c r="K3" s="3" t="s">
        <v>3</v>
      </c>
      <c r="L3" s="19">
        <v>2023</v>
      </c>
      <c r="M3" s="19">
        <f>L3+1</f>
        <v>2024</v>
      </c>
      <c r="N3" s="19">
        <f t="shared" ref="N3:U3" si="1">M3+1</f>
        <v>2025</v>
      </c>
      <c r="O3" s="19">
        <f t="shared" si="1"/>
        <v>2026</v>
      </c>
      <c r="P3" s="22">
        <f t="shared" si="1"/>
        <v>2027</v>
      </c>
      <c r="Q3" s="19">
        <f t="shared" si="1"/>
        <v>2028</v>
      </c>
      <c r="R3" s="19">
        <f t="shared" si="1"/>
        <v>2029</v>
      </c>
      <c r="S3" s="19">
        <f t="shared" si="1"/>
        <v>2030</v>
      </c>
      <c r="T3" s="19">
        <f t="shared" si="1"/>
        <v>2031</v>
      </c>
      <c r="U3" s="19">
        <f t="shared" si="1"/>
        <v>2032</v>
      </c>
      <c r="W3" s="28" t="s">
        <v>4</v>
      </c>
      <c r="X3" s="28"/>
      <c r="Y3" s="28"/>
    </row>
    <row r="4" spans="1:25">
      <c r="A4" s="4" t="s">
        <v>5</v>
      </c>
      <c r="C4" s="6">
        <v>54142</v>
      </c>
      <c r="D4" s="6">
        <v>50911</v>
      </c>
      <c r="E4" s="6">
        <v>62164</v>
      </c>
      <c r="F4" s="6">
        <v>79040</v>
      </c>
      <c r="G4" s="6">
        <v>90621</v>
      </c>
      <c r="H4" s="6">
        <v>84815</v>
      </c>
      <c r="I4" s="6">
        <v>86670</v>
      </c>
      <c r="J4" s="6">
        <v>101197</v>
      </c>
      <c r="K4" s="14">
        <f>(J4/C4)^(1/($J$3-$C$3))-1</f>
        <v>9.3464689804733547E-2</v>
      </c>
      <c r="W4" s="23" t="s">
        <v>6</v>
      </c>
      <c r="X4" s="23">
        <f>$P$3</f>
        <v>2027</v>
      </c>
      <c r="Y4" s="23">
        <f>$U$3</f>
        <v>2032</v>
      </c>
    </row>
    <row r="5" spans="1:25">
      <c r="W5" s="23" t="s">
        <v>7</v>
      </c>
      <c r="X5" s="24">
        <f>P8</f>
        <v>14832.797100000003</v>
      </c>
      <c r="Y5" s="24">
        <f>U8</f>
        <v>23888.368057521016</v>
      </c>
    </row>
    <row r="6" spans="1:25">
      <c r="A6" t="s">
        <v>8</v>
      </c>
      <c r="C6">
        <v>-316</v>
      </c>
      <c r="D6">
        <v>-514</v>
      </c>
      <c r="E6">
        <v>-2390</v>
      </c>
      <c r="F6">
        <v>-2416</v>
      </c>
      <c r="G6">
        <v>-191</v>
      </c>
      <c r="H6">
        <v>2366</v>
      </c>
      <c r="I6">
        <v>3685</v>
      </c>
      <c r="J6">
        <v>4659</v>
      </c>
      <c r="W6" s="23" t="s">
        <v>9</v>
      </c>
      <c r="X6" s="30">
        <v>10</v>
      </c>
      <c r="Y6" s="30"/>
    </row>
    <row r="7" spans="1:25">
      <c r="A7" t="s">
        <v>10</v>
      </c>
      <c r="C7">
        <v>3030</v>
      </c>
      <c r="D7">
        <v>2931</v>
      </c>
      <c r="E7">
        <v>5206</v>
      </c>
      <c r="F7">
        <v>8634</v>
      </c>
      <c r="G7">
        <v>7746</v>
      </c>
      <c r="H7">
        <v>6143</v>
      </c>
      <c r="I7">
        <v>5390</v>
      </c>
      <c r="J7">
        <v>4551</v>
      </c>
      <c r="W7" s="23" t="s">
        <v>11</v>
      </c>
      <c r="X7" s="24">
        <f>X5*$X$6</f>
        <v>148327.97100000002</v>
      </c>
      <c r="Y7" s="24">
        <f t="shared" ref="Y7" si="2">Y5*$X$6</f>
        <v>238883.68057521016</v>
      </c>
    </row>
    <row r="8" spans="1:25">
      <c r="A8" s="4" t="s">
        <v>7</v>
      </c>
      <c r="C8" s="6">
        <f t="shared" ref="C8:J8" si="3">C6+C7</f>
        <v>2714</v>
      </c>
      <c r="D8" s="6">
        <f t="shared" si="3"/>
        <v>2417</v>
      </c>
      <c r="E8" s="6">
        <f t="shared" si="3"/>
        <v>2816</v>
      </c>
      <c r="F8" s="6">
        <f t="shared" si="3"/>
        <v>6218</v>
      </c>
      <c r="G8" s="6">
        <f t="shared" si="3"/>
        <v>7555</v>
      </c>
      <c r="H8" s="6">
        <f t="shared" si="3"/>
        <v>8509</v>
      </c>
      <c r="I8" s="6">
        <f t="shared" si="3"/>
        <v>9075</v>
      </c>
      <c r="J8" s="6">
        <f t="shared" si="3"/>
        <v>9210</v>
      </c>
      <c r="K8" s="14">
        <f>(J8/C8)^(1/($J$3-$C$3))-1</f>
        <v>0.19071304717176574</v>
      </c>
      <c r="L8" s="7">
        <f>J8*(1+L9)</f>
        <v>10131</v>
      </c>
      <c r="M8" s="7">
        <f>L8*(1+M9)</f>
        <v>11144.1</v>
      </c>
      <c r="N8" s="7">
        <f t="shared" ref="N8:U8" si="4">M8*(1+N9)</f>
        <v>12258.510000000002</v>
      </c>
      <c r="O8" s="7">
        <f t="shared" si="4"/>
        <v>13484.361000000003</v>
      </c>
      <c r="P8" s="7">
        <f t="shared" si="4"/>
        <v>14832.797100000003</v>
      </c>
      <c r="Q8" s="7">
        <f t="shared" si="4"/>
        <v>16316.076810000006</v>
      </c>
      <c r="R8" s="7">
        <f t="shared" si="4"/>
        <v>17947.684491000007</v>
      </c>
      <c r="S8" s="7">
        <f t="shared" si="4"/>
        <v>19742.452940100011</v>
      </c>
      <c r="T8" s="7">
        <f t="shared" si="4"/>
        <v>21716.698234110012</v>
      </c>
      <c r="U8" s="7">
        <f t="shared" si="4"/>
        <v>23888.368057521016</v>
      </c>
      <c r="W8" s="23" t="s">
        <v>12</v>
      </c>
      <c r="X8" s="31">
        <f>J13</f>
        <v>26954</v>
      </c>
      <c r="Y8" s="30"/>
    </row>
    <row r="9" spans="1:25">
      <c r="A9" s="4" t="s">
        <v>13</v>
      </c>
      <c r="D9" s="5">
        <f t="shared" ref="D9:J9" si="5">D8/C8-1</f>
        <v>-0.10943257184966837</v>
      </c>
      <c r="E9" s="5">
        <f t="shared" si="5"/>
        <v>0.16508067852709973</v>
      </c>
      <c r="F9" s="5">
        <f t="shared" si="5"/>
        <v>1.2080965909090908</v>
      </c>
      <c r="G9" s="5">
        <f t="shared" si="5"/>
        <v>0.21502090704406562</v>
      </c>
      <c r="H9" s="5">
        <f t="shared" si="5"/>
        <v>0.12627399073461287</v>
      </c>
      <c r="I9" s="5">
        <f t="shared" si="5"/>
        <v>6.6517804677400427E-2</v>
      </c>
      <c r="J9" s="5">
        <f t="shared" si="5"/>
        <v>1.4876033057851235E-2</v>
      </c>
      <c r="K9" s="15">
        <f>AVERAGE(D9:J9)</f>
        <v>0.2409190618714932</v>
      </c>
      <c r="L9" s="20">
        <v>0.1</v>
      </c>
      <c r="M9" s="20">
        <v>0.1</v>
      </c>
      <c r="N9" s="20">
        <v>0.1</v>
      </c>
      <c r="O9" s="20">
        <v>0.1</v>
      </c>
      <c r="P9" s="20">
        <v>0.1</v>
      </c>
      <c r="Q9" s="20">
        <v>0.1</v>
      </c>
      <c r="R9" s="20">
        <v>0.1</v>
      </c>
      <c r="S9" s="20">
        <v>0.1</v>
      </c>
      <c r="T9" s="20">
        <v>0.1</v>
      </c>
      <c r="U9" s="20">
        <v>0.1</v>
      </c>
      <c r="W9" s="23" t="s">
        <v>14</v>
      </c>
      <c r="X9" s="30">
        <f>J11</f>
        <v>0</v>
      </c>
      <c r="Y9" s="30"/>
    </row>
    <row r="10" spans="1:25">
      <c r="W10" s="23" t="s">
        <v>15</v>
      </c>
      <c r="X10" s="24">
        <f>X7-$X$8+$X$9</f>
        <v>121373.97100000002</v>
      </c>
      <c r="Y10" s="24">
        <f t="shared" ref="Y10" si="6">Y7-$X$8+$X$9</f>
        <v>211929.68057521016</v>
      </c>
    </row>
    <row r="11" spans="1:25">
      <c r="A11" s="4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W11" s="23" t="s">
        <v>17</v>
      </c>
      <c r="X11" s="32">
        <f>J15</f>
        <v>791</v>
      </c>
      <c r="Y11" s="32"/>
    </row>
    <row r="12" spans="1:25">
      <c r="A12" s="4"/>
      <c r="W12" s="23" t="s">
        <v>18</v>
      </c>
      <c r="X12" s="25">
        <f>X10/$X$11</f>
        <v>153.44370543615679</v>
      </c>
      <c r="Y12" s="25">
        <f t="shared" ref="Y12" si="7">Y10/$X$11</f>
        <v>267.92627127080931</v>
      </c>
    </row>
    <row r="13" spans="1:25">
      <c r="A13" s="4" t="s">
        <v>19</v>
      </c>
      <c r="C13" s="6">
        <v>11234</v>
      </c>
      <c r="D13" s="6">
        <f>2981+10650</f>
        <v>13631</v>
      </c>
      <c r="E13" s="6">
        <f>6329+43061</f>
        <v>49390</v>
      </c>
      <c r="F13" s="6">
        <f>7873+43998</f>
        <v>51871</v>
      </c>
      <c r="G13" s="6">
        <f>4320+44972</f>
        <v>49292</v>
      </c>
      <c r="H13" s="6">
        <f>7737+44319</f>
        <v>52056</v>
      </c>
      <c r="I13" s="6">
        <f>6357+32865</f>
        <v>39222</v>
      </c>
      <c r="J13" s="6">
        <f>5823+21131</f>
        <v>26954</v>
      </c>
      <c r="K13" s="14">
        <f>(J13/C13)^(1/($J$3-$C$3))-1</f>
        <v>0.13317869481272671</v>
      </c>
    </row>
    <row r="14" spans="1:25">
      <c r="A14" s="4"/>
      <c r="W14" s="28" t="s">
        <v>20</v>
      </c>
      <c r="X14" s="28"/>
      <c r="Y14" s="28"/>
    </row>
    <row r="15" spans="1:25">
      <c r="A15" s="4" t="s">
        <v>17</v>
      </c>
      <c r="C15" s="9">
        <v>404</v>
      </c>
      <c r="D15" s="9">
        <v>405</v>
      </c>
      <c r="E15" s="9">
        <v>687</v>
      </c>
      <c r="F15" s="9">
        <v>770</v>
      </c>
      <c r="G15" s="9">
        <v>781</v>
      </c>
      <c r="H15" s="9">
        <v>751</v>
      </c>
      <c r="I15" s="9">
        <v>767</v>
      </c>
      <c r="J15" s="9">
        <v>791</v>
      </c>
      <c r="K15" s="14">
        <f>(J15/C15)^(1/($J$3-$C$3))-1</f>
        <v>0.10074067986819091</v>
      </c>
      <c r="W15" s="23" t="s">
        <v>6</v>
      </c>
      <c r="X15" s="23">
        <f>$P$3</f>
        <v>2027</v>
      </c>
      <c r="Y15" s="23">
        <f>$U$3</f>
        <v>2032</v>
      </c>
    </row>
    <row r="16" spans="1:25">
      <c r="A16" s="4"/>
      <c r="W16" s="23" t="s">
        <v>21</v>
      </c>
      <c r="X16" s="25">
        <f>$P$33</f>
        <v>2.469720139064477</v>
      </c>
      <c r="Y16" s="25">
        <f>$U$33</f>
        <v>3.9775089811647324</v>
      </c>
    </row>
    <row r="17" spans="1:26">
      <c r="A17" s="4" t="s">
        <v>15</v>
      </c>
      <c r="D17" s="6">
        <f t="shared" ref="D17:J17" si="8">D15*D35</f>
        <v>5696.7867000000006</v>
      </c>
      <c r="E17" s="6">
        <f t="shared" si="8"/>
        <v>13279.582275250001</v>
      </c>
      <c r="F17" s="6">
        <f t="shared" si="8"/>
        <v>18034.83476666667</v>
      </c>
      <c r="G17" s="6">
        <f t="shared" si="8"/>
        <v>21079.574837750002</v>
      </c>
      <c r="H17" s="6">
        <f t="shared" si="8"/>
        <v>20810.691265833339</v>
      </c>
      <c r="I17" s="6">
        <f t="shared" si="8"/>
        <v>36963.681695416672</v>
      </c>
      <c r="J17" s="6">
        <f t="shared" si="8"/>
        <v>35077.276591583337</v>
      </c>
      <c r="K17" s="14">
        <f>(J17/D17)^(1/($J$3-$D$3))-1</f>
        <v>0.35383577072906158</v>
      </c>
      <c r="W17" s="23" t="s">
        <v>22</v>
      </c>
      <c r="X17" s="29">
        <v>0.14000000000000001</v>
      </c>
      <c r="Y17" s="29"/>
    </row>
    <row r="18" spans="1:26">
      <c r="A18" s="4"/>
      <c r="W18" s="23" t="s">
        <v>18</v>
      </c>
      <c r="X18" s="25">
        <f>X16/$X$17</f>
        <v>17.640858136174835</v>
      </c>
      <c r="Y18" s="25">
        <f>Y16/$X$17</f>
        <v>28.410778436890944</v>
      </c>
    </row>
    <row r="19" spans="1:26">
      <c r="A19" s="4" t="s">
        <v>11</v>
      </c>
      <c r="D19" s="6">
        <f t="shared" ref="D19:J19" si="9">D17+D13-D15</f>
        <v>18922.786700000001</v>
      </c>
      <c r="E19" s="6">
        <f t="shared" si="9"/>
        <v>61982.582275250003</v>
      </c>
      <c r="F19" s="6">
        <f t="shared" si="9"/>
        <v>69135.834766666667</v>
      </c>
      <c r="G19" s="6">
        <f t="shared" si="9"/>
        <v>69590.574837749999</v>
      </c>
      <c r="H19" s="6">
        <f t="shared" si="9"/>
        <v>72115.691265833331</v>
      </c>
      <c r="I19" s="6">
        <f t="shared" si="9"/>
        <v>75418.681695416672</v>
      </c>
      <c r="J19" s="6">
        <f t="shared" si="9"/>
        <v>61240.276591583337</v>
      </c>
      <c r="K19" s="14">
        <f>(J19/D19)^(1/($J$3-$D$3))-1</f>
        <v>0.21621029390219859</v>
      </c>
    </row>
    <row r="20" spans="1:26">
      <c r="A20" s="4"/>
      <c r="W20" s="28" t="s">
        <v>23</v>
      </c>
      <c r="X20" s="28"/>
      <c r="Y20" s="28"/>
    </row>
    <row r="21" spans="1:26">
      <c r="A21" s="4" t="s">
        <v>24</v>
      </c>
      <c r="D21" s="16">
        <f t="shared" ref="D21:J21" si="10">D19/D8</f>
        <v>7.8290387670666117</v>
      </c>
      <c r="E21" s="16">
        <f t="shared" si="10"/>
        <v>22.010860182972301</v>
      </c>
      <c r="F21" s="16">
        <f t="shared" si="10"/>
        <v>11.118661107537257</v>
      </c>
      <c r="G21" s="16">
        <f t="shared" si="10"/>
        <v>9.2111945516545326</v>
      </c>
      <c r="H21" s="16">
        <f t="shared" si="10"/>
        <v>8.4752252045873</v>
      </c>
      <c r="I21" s="16">
        <f t="shared" si="10"/>
        <v>8.3105985339302109</v>
      </c>
      <c r="J21" s="16">
        <f t="shared" si="10"/>
        <v>6.6493242770448795</v>
      </c>
      <c r="K21" s="16">
        <f>AVERAGE(D21:J21)</f>
        <v>10.514986089256158</v>
      </c>
      <c r="W21" s="23" t="s">
        <v>25</v>
      </c>
      <c r="X21" s="23"/>
      <c r="Y21" s="23">
        <v>42.04</v>
      </c>
      <c r="Z21" t="s">
        <v>26</v>
      </c>
    </row>
    <row r="22" spans="1:26">
      <c r="A22" s="4"/>
      <c r="D22" s="17"/>
      <c r="E22" s="17"/>
      <c r="F22" s="17"/>
      <c r="G22" s="17"/>
      <c r="H22" s="17"/>
      <c r="I22" s="17"/>
      <c r="J22" s="17"/>
      <c r="K22" s="17"/>
      <c r="W22" s="23" t="s">
        <v>6</v>
      </c>
      <c r="X22" s="23">
        <f>X15</f>
        <v>2027</v>
      </c>
      <c r="Y22" s="23">
        <f t="shared" ref="Y22" si="11">Y15</f>
        <v>2032</v>
      </c>
    </row>
    <row r="23" spans="1:26">
      <c r="A23" s="4" t="s">
        <v>27</v>
      </c>
      <c r="D23" s="16">
        <f t="shared" ref="D23:J23" si="12">D13/D8</f>
        <v>5.63963591228796</v>
      </c>
      <c r="E23" s="16">
        <f t="shared" si="12"/>
        <v>17.5390625</v>
      </c>
      <c r="F23" s="16">
        <f t="shared" si="12"/>
        <v>8.3420714055966556</v>
      </c>
      <c r="G23" s="16">
        <f t="shared" si="12"/>
        <v>6.5244209133024489</v>
      </c>
      <c r="H23" s="16">
        <f t="shared" si="12"/>
        <v>6.1177576683511576</v>
      </c>
      <c r="I23" s="16">
        <f t="shared" si="12"/>
        <v>4.3219834710743799</v>
      </c>
      <c r="J23" s="16">
        <f t="shared" si="12"/>
        <v>2.9266015200868623</v>
      </c>
      <c r="K23" s="16">
        <f>AVERAGE(D23:J23)</f>
        <v>7.344504770099924</v>
      </c>
      <c r="W23" s="23" t="s">
        <v>28</v>
      </c>
      <c r="X23" s="25">
        <f>$X$12</f>
        <v>153.44370543615679</v>
      </c>
      <c r="Y23" s="25">
        <f>$Y$12</f>
        <v>267.92627127080931</v>
      </c>
    </row>
    <row r="24" spans="1:26">
      <c r="A24" s="4"/>
      <c r="W24" s="23" t="s">
        <v>29</v>
      </c>
      <c r="X24" s="27">
        <f>$X$18</f>
        <v>17.640858136174835</v>
      </c>
      <c r="Y24" s="27">
        <f>$Y$18</f>
        <v>28.410778436890944</v>
      </c>
    </row>
    <row r="25" spans="1:26">
      <c r="A25" s="4" t="s">
        <v>30</v>
      </c>
      <c r="C25" s="6">
        <v>1082</v>
      </c>
      <c r="D25" s="6">
        <v>2551</v>
      </c>
      <c r="E25" s="6">
        <v>2367</v>
      </c>
      <c r="F25" s="6">
        <v>6843</v>
      </c>
      <c r="G25" s="6">
        <v>6991</v>
      </c>
      <c r="H25" s="6">
        <v>9291</v>
      </c>
      <c r="I25" s="6">
        <v>11407</v>
      </c>
      <c r="J25" s="6">
        <v>10307</v>
      </c>
      <c r="K25" s="14">
        <f>(J25/C25)^(1/($J$3-$C$3))-1</f>
        <v>0.37988716032733483</v>
      </c>
      <c r="W25" s="23" t="s">
        <v>31</v>
      </c>
      <c r="X25" s="25">
        <f>AVERAGE(X23:X24)</f>
        <v>85.542281786165816</v>
      </c>
      <c r="Y25" s="25">
        <f t="shared" ref="Y25" si="13">AVERAGE(Y23:Y24)</f>
        <v>148.16852485385013</v>
      </c>
    </row>
    <row r="26" spans="1:26">
      <c r="A26" s="4"/>
      <c r="C26" s="6"/>
      <c r="D26" s="6"/>
      <c r="E26" s="6"/>
      <c r="F26" s="6"/>
      <c r="G26" s="6"/>
      <c r="H26" s="6"/>
      <c r="I26" s="6"/>
      <c r="J26" s="6"/>
      <c r="W26" s="23" t="s">
        <v>32</v>
      </c>
      <c r="X26" s="26">
        <f>(X25/$Y$21)^(1/(X22-$J$3))-1</f>
        <v>0.15266637585978904</v>
      </c>
      <c r="Y26" s="26">
        <f t="shared" ref="Y26" si="14">(Y25/$Y$21)^(1/(Y22-$J$3))-1</f>
        <v>0.13425140258888923</v>
      </c>
    </row>
    <row r="27" spans="1:26">
      <c r="A27" s="4" t="s">
        <v>33</v>
      </c>
      <c r="C27" s="6">
        <v>-455</v>
      </c>
      <c r="D27" s="6">
        <v>-394</v>
      </c>
      <c r="E27" s="6">
        <v>-882</v>
      </c>
      <c r="F27" s="6">
        <v>-1736</v>
      </c>
      <c r="G27" s="6">
        <v>-1497</v>
      </c>
      <c r="H27" s="6">
        <v>-2576</v>
      </c>
      <c r="I27" s="6">
        <v>-2082</v>
      </c>
      <c r="J27" s="6">
        <v>-2796</v>
      </c>
      <c r="K27" s="14">
        <f>(J27/C27)^(1/($J$3-$C$3))-1</f>
        <v>0.296123958865536</v>
      </c>
    </row>
    <row r="28" spans="1:26">
      <c r="A28" s="4"/>
      <c r="C28" s="6"/>
      <c r="D28" s="6"/>
      <c r="E28" s="6"/>
      <c r="F28" s="6"/>
      <c r="G28" s="6"/>
      <c r="H28" s="6"/>
      <c r="I28" s="6"/>
      <c r="J28" s="6"/>
    </row>
    <row r="29" spans="1:26">
      <c r="A29" s="4" t="s">
        <v>34</v>
      </c>
      <c r="C29" s="6">
        <v>-3117</v>
      </c>
      <c r="D29" s="6">
        <v>-490</v>
      </c>
      <c r="E29" s="6">
        <v>29897</v>
      </c>
      <c r="F29" s="6">
        <v>2157</v>
      </c>
      <c r="G29" s="6">
        <v>1594</v>
      </c>
      <c r="H29" s="6">
        <f>20481-22117</f>
        <v>-1636</v>
      </c>
      <c r="I29" s="6">
        <f>16391-20919</f>
        <v>-4528</v>
      </c>
      <c r="J29" s="6">
        <f>20425-26723</f>
        <v>-6298</v>
      </c>
    </row>
    <row r="30" spans="1:26">
      <c r="A30" s="4"/>
      <c r="C30" s="6"/>
      <c r="D30" s="6"/>
      <c r="E30" s="6"/>
      <c r="F30" s="6"/>
      <c r="G30" s="6"/>
      <c r="H30" s="6"/>
      <c r="I30" s="6"/>
      <c r="J30" s="6"/>
    </row>
    <row r="31" spans="1:26">
      <c r="A31" s="4" t="s">
        <v>35</v>
      </c>
      <c r="C31" s="6">
        <f t="shared" ref="C31:J31" si="15">C25+C27+C29</f>
        <v>-2490</v>
      </c>
      <c r="D31" s="6">
        <f t="shared" si="15"/>
        <v>1667</v>
      </c>
      <c r="E31" s="6">
        <f t="shared" si="15"/>
        <v>31382</v>
      </c>
      <c r="F31" s="6">
        <f t="shared" si="15"/>
        <v>7264</v>
      </c>
      <c r="G31" s="6">
        <f t="shared" si="15"/>
        <v>7088</v>
      </c>
      <c r="H31" s="6">
        <f t="shared" si="15"/>
        <v>5079</v>
      </c>
      <c r="I31" s="6">
        <f t="shared" si="15"/>
        <v>4797</v>
      </c>
      <c r="J31" s="6">
        <f t="shared" si="15"/>
        <v>1213</v>
      </c>
      <c r="K31" s="14">
        <f>(J31/D31)^(1/($J$3-$D$3))-1</f>
        <v>-5.1608760814244925E-2</v>
      </c>
    </row>
    <row r="32" spans="1:26">
      <c r="A32" s="4"/>
    </row>
    <row r="33" spans="1:21">
      <c r="A33" s="4" t="s">
        <v>21</v>
      </c>
      <c r="C33" s="8">
        <f t="shared" ref="C33:J33" si="16">C31/C15</f>
        <v>-6.1633663366336631</v>
      </c>
      <c r="D33" s="8">
        <f t="shared" si="16"/>
        <v>4.1160493827160494</v>
      </c>
      <c r="E33" s="8">
        <f t="shared" si="16"/>
        <v>45.679767103347892</v>
      </c>
      <c r="F33" s="8">
        <f t="shared" si="16"/>
        <v>9.4337662337662334</v>
      </c>
      <c r="G33" s="8">
        <f t="shared" si="16"/>
        <v>9.0755441741357235</v>
      </c>
      <c r="H33" s="8">
        <f t="shared" si="16"/>
        <v>6.7629826897470036</v>
      </c>
      <c r="I33" s="8">
        <f t="shared" si="16"/>
        <v>6.2542372881355934</v>
      </c>
      <c r="J33" s="8">
        <f t="shared" si="16"/>
        <v>1.5335018963337548</v>
      </c>
      <c r="K33" s="14">
        <f>(J33/D33)^(1/($J$3-$D$3))-1</f>
        <v>-0.15173029528570658</v>
      </c>
      <c r="L33" s="21">
        <f>J33*(1+L34)</f>
        <v>1.6868520859671303</v>
      </c>
      <c r="M33" s="21">
        <f>L33*(1+M34)</f>
        <v>1.8555372945638435</v>
      </c>
      <c r="N33" s="21">
        <f t="shared" ref="N33" si="17">M33*(1+N34)</f>
        <v>2.0410910240202282</v>
      </c>
      <c r="O33" s="21">
        <f t="shared" ref="O33" si="18">N33*(1+O34)</f>
        <v>2.2452001264222514</v>
      </c>
      <c r="P33" s="21">
        <f t="shared" ref="P33" si="19">O33*(1+P34)</f>
        <v>2.469720139064477</v>
      </c>
      <c r="Q33" s="21">
        <f t="shared" ref="Q33" si="20">P33*(1+Q34)</f>
        <v>2.7166921529709249</v>
      </c>
      <c r="R33" s="21">
        <f t="shared" ref="R33" si="21">Q33*(1+R34)</f>
        <v>2.9883613682680177</v>
      </c>
      <c r="S33" s="21">
        <f t="shared" ref="S33" si="22">R33*(1+S34)</f>
        <v>3.2871975050948197</v>
      </c>
      <c r="T33" s="21">
        <f t="shared" ref="T33" si="23">S33*(1+T34)</f>
        <v>3.6159172556043018</v>
      </c>
      <c r="U33" s="21">
        <f t="shared" ref="U33" si="24">T33*(1+U34)</f>
        <v>3.9775089811647324</v>
      </c>
    </row>
    <row r="34" spans="1:21">
      <c r="A34" s="4"/>
      <c r="L34" s="20">
        <v>0.1</v>
      </c>
      <c r="M34" s="20">
        <v>0.1</v>
      </c>
      <c r="N34" s="20">
        <v>0.1</v>
      </c>
      <c r="O34" s="20">
        <v>0.1</v>
      </c>
      <c r="P34" s="20">
        <v>0.1</v>
      </c>
      <c r="Q34" s="20">
        <v>0.1</v>
      </c>
      <c r="R34" s="20">
        <v>0.1</v>
      </c>
      <c r="S34" s="20">
        <v>0.1</v>
      </c>
      <c r="T34" s="20">
        <v>0.1</v>
      </c>
      <c r="U34" s="20">
        <v>0.1</v>
      </c>
    </row>
    <row r="35" spans="1:21">
      <c r="A35" s="4" t="s">
        <v>18</v>
      </c>
      <c r="D35" s="13">
        <v>14.066140000000001</v>
      </c>
      <c r="E35" s="13">
        <v>19.329814083333336</v>
      </c>
      <c r="F35" s="13">
        <v>23.421863333333338</v>
      </c>
      <c r="G35" s="13">
        <v>26.990492750000001</v>
      </c>
      <c r="H35" s="13">
        <v>27.71064083333334</v>
      </c>
      <c r="I35" s="13">
        <v>48.192544583333337</v>
      </c>
      <c r="J35" s="13">
        <v>44.34548241666667</v>
      </c>
      <c r="K35" s="14">
        <f>(J35/D35)^(1/($J$3-$D$3))-1</f>
        <v>0.21091151206116954</v>
      </c>
    </row>
    <row r="36" spans="1:21">
      <c r="A36" s="4"/>
    </row>
    <row r="37" spans="1:21">
      <c r="A37" s="4" t="s">
        <v>22</v>
      </c>
      <c r="D37" s="18">
        <f t="shared" ref="D37:J37" si="25">D33/D35</f>
        <v>0.29262110164665284</v>
      </c>
      <c r="E37" s="18">
        <f t="shared" si="25"/>
        <v>2.3631767437812123</v>
      </c>
      <c r="F37" s="18">
        <f t="shared" si="25"/>
        <v>0.40277607718512992</v>
      </c>
      <c r="G37" s="18">
        <f t="shared" si="25"/>
        <v>0.33624966606568246</v>
      </c>
      <c r="H37" s="18">
        <f t="shared" si="25"/>
        <v>0.24405724611073448</v>
      </c>
      <c r="I37" s="18">
        <f t="shared" si="25"/>
        <v>0.12977603366265344</v>
      </c>
      <c r="J37" s="18">
        <f t="shared" si="25"/>
        <v>3.4580791836360952E-2</v>
      </c>
      <c r="K37" s="15">
        <f>AVERAGE(H37:J37)</f>
        <v>0.13613802386991627</v>
      </c>
    </row>
    <row r="38" spans="1:21">
      <c r="B38" s="8" t="s">
        <v>36</v>
      </c>
    </row>
  </sheetData>
  <mergeCells count="8">
    <mergeCell ref="W20:Y20"/>
    <mergeCell ref="X17:Y17"/>
    <mergeCell ref="W3:Y3"/>
    <mergeCell ref="W14:Y14"/>
    <mergeCell ref="X6:Y6"/>
    <mergeCell ref="X8:Y8"/>
    <mergeCell ref="X9:Y9"/>
    <mergeCell ref="X11:Y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0B5D-D573-46B7-942F-9E11C3011F01}">
  <dimension ref="A3:J11"/>
  <sheetViews>
    <sheetView workbookViewId="0"/>
  </sheetViews>
  <sheetFormatPr defaultRowHeight="15"/>
  <cols>
    <col min="1" max="1" width="13.140625" bestFit="1" customWidth="1"/>
    <col min="2" max="2" width="19.5703125" bestFit="1" customWidth="1"/>
  </cols>
  <sheetData>
    <row r="3" spans="1:10">
      <c r="A3" s="11" t="s">
        <v>37</v>
      </c>
      <c r="B3" t="s">
        <v>38</v>
      </c>
    </row>
    <row r="4" spans="1:10">
      <c r="A4" s="12" t="s">
        <v>39</v>
      </c>
      <c r="B4">
        <v>14.066140000000001</v>
      </c>
      <c r="D4" cm="1">
        <f t="array" ref="D4:J4">TRANSPOSE(B4:B10)</f>
        <v>14.066140000000001</v>
      </c>
      <c r="E4">
        <v>19.329814083333336</v>
      </c>
      <c r="F4">
        <v>23.421863333333338</v>
      </c>
      <c r="G4">
        <v>26.990492750000001</v>
      </c>
      <c r="H4">
        <v>27.71064083333334</v>
      </c>
      <c r="I4">
        <v>48.192544583333337</v>
      </c>
      <c r="J4">
        <v>44.34548241666667</v>
      </c>
    </row>
    <row r="5" spans="1:10">
      <c r="A5" s="12" t="s">
        <v>40</v>
      </c>
      <c r="B5">
        <v>19.329814083333336</v>
      </c>
    </row>
    <row r="6" spans="1:10">
      <c r="A6" s="12" t="s">
        <v>41</v>
      </c>
      <c r="B6">
        <v>23.421863333333338</v>
      </c>
    </row>
    <row r="7" spans="1:10">
      <c r="A7" s="12" t="s">
        <v>42</v>
      </c>
      <c r="B7">
        <v>26.990492750000001</v>
      </c>
    </row>
    <row r="8" spans="1:10">
      <c r="A8" s="12" t="s">
        <v>43</v>
      </c>
      <c r="B8">
        <v>27.71064083333334</v>
      </c>
    </row>
    <row r="9" spans="1:10">
      <c r="A9" s="12" t="s">
        <v>44</v>
      </c>
      <c r="B9">
        <v>48.192544583333337</v>
      </c>
    </row>
    <row r="10" spans="1:10">
      <c r="A10" s="12" t="s">
        <v>45</v>
      </c>
      <c r="B10">
        <v>44.34548241666667</v>
      </c>
    </row>
    <row r="11" spans="1:10">
      <c r="A11" s="12" t="s">
        <v>46</v>
      </c>
      <c r="B11">
        <v>30.738876526315799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A4B8-6E49-4FA9-80C1-AD001BDF32C3}">
  <dimension ref="A1:B77"/>
  <sheetViews>
    <sheetView workbookViewId="0"/>
  </sheetViews>
  <sheetFormatPr defaultRowHeight="15"/>
  <cols>
    <col min="1" max="1" width="10.7109375" bestFit="1" customWidth="1"/>
    <col min="2" max="2" width="10" bestFit="1" customWidth="1"/>
  </cols>
  <sheetData>
    <row r="1" spans="1:2">
      <c r="A1" t="s">
        <v>47</v>
      </c>
      <c r="B1" t="s">
        <v>48</v>
      </c>
    </row>
    <row r="2" spans="1:2">
      <c r="A2" s="10">
        <v>42614</v>
      </c>
      <c r="B2">
        <v>13.092425</v>
      </c>
    </row>
    <row r="3" spans="1:2">
      <c r="A3" s="10">
        <v>42644</v>
      </c>
      <c r="B3">
        <v>13.445755999999999</v>
      </c>
    </row>
    <row r="4" spans="1:2">
      <c r="A4" s="10">
        <v>42675</v>
      </c>
      <c r="B4">
        <v>14.670089000000001</v>
      </c>
    </row>
    <row r="5" spans="1:2">
      <c r="A5" s="10">
        <v>42705</v>
      </c>
      <c r="B5">
        <v>15.056290000000001</v>
      </c>
    </row>
    <row r="6" spans="1:2">
      <c r="A6" s="10">
        <v>42736</v>
      </c>
      <c r="B6">
        <v>17.252966000000001</v>
      </c>
    </row>
    <row r="7" spans="1:2">
      <c r="A7" s="10">
        <v>42767</v>
      </c>
      <c r="B7">
        <v>17.389917000000001</v>
      </c>
    </row>
    <row r="8" spans="1:2">
      <c r="A8" s="10">
        <v>42795</v>
      </c>
      <c r="B8">
        <v>17.551517</v>
      </c>
    </row>
    <row r="9" spans="1:2">
      <c r="A9" s="10">
        <v>42826</v>
      </c>
      <c r="B9">
        <v>18.381435</v>
      </c>
    </row>
    <row r="10" spans="1:2">
      <c r="A10" s="10">
        <v>42856</v>
      </c>
      <c r="B10">
        <v>19.005928000000001</v>
      </c>
    </row>
    <row r="11" spans="1:2">
      <c r="A11" s="10">
        <v>42887</v>
      </c>
      <c r="B11">
        <v>16.738033000000001</v>
      </c>
    </row>
    <row r="12" spans="1:2">
      <c r="A12" s="10">
        <v>42917</v>
      </c>
      <c r="B12">
        <v>17.603558</v>
      </c>
    </row>
    <row r="13" spans="1:2">
      <c r="A13" s="10">
        <v>42948</v>
      </c>
      <c r="B13">
        <v>20.523334999999999</v>
      </c>
    </row>
    <row r="14" spans="1:2">
      <c r="A14" s="10">
        <v>42979</v>
      </c>
      <c r="B14">
        <v>21.147825000000001</v>
      </c>
    </row>
    <row r="15" spans="1:2">
      <c r="A15" s="10">
        <v>43009</v>
      </c>
      <c r="B15">
        <v>22.670712000000002</v>
      </c>
    </row>
    <row r="16" spans="1:2">
      <c r="A16" s="10">
        <v>43040</v>
      </c>
      <c r="B16">
        <v>21.429943000000002</v>
      </c>
    </row>
    <row r="17" spans="1:2">
      <c r="A17" s="10">
        <v>43070</v>
      </c>
      <c r="B17">
        <v>22.262599999999999</v>
      </c>
    </row>
    <row r="18" spans="1:2">
      <c r="A18" s="10">
        <v>43101</v>
      </c>
      <c r="B18">
        <v>19.638636000000002</v>
      </c>
    </row>
    <row r="19" spans="1:2">
      <c r="A19" s="10">
        <v>43132</v>
      </c>
      <c r="B19">
        <v>20.348037999999999</v>
      </c>
    </row>
    <row r="20" spans="1:2">
      <c r="A20" s="10">
        <v>43160</v>
      </c>
      <c r="B20">
        <v>20.052225</v>
      </c>
    </row>
    <row r="21" spans="1:2">
      <c r="A21" s="10">
        <v>43191</v>
      </c>
      <c r="B21">
        <v>19.657807999999999</v>
      </c>
    </row>
    <row r="22" spans="1:2">
      <c r="A22" s="10">
        <v>43221</v>
      </c>
      <c r="B22">
        <v>22.092780999999999</v>
      </c>
    </row>
    <row r="23" spans="1:2">
      <c r="A23" s="10">
        <v>43252</v>
      </c>
      <c r="B23">
        <v>23.16647</v>
      </c>
    </row>
    <row r="24" spans="1:2">
      <c r="A24" s="10">
        <v>43282</v>
      </c>
      <c r="B24">
        <v>25.341235999999999</v>
      </c>
    </row>
    <row r="25" spans="1:2">
      <c r="A25" s="10">
        <v>43313</v>
      </c>
      <c r="B25">
        <v>26.340969000000001</v>
      </c>
    </row>
    <row r="26" spans="1:2">
      <c r="A26" s="10">
        <v>43344</v>
      </c>
      <c r="B26">
        <v>26.601177</v>
      </c>
    </row>
    <row r="27" spans="1:2">
      <c r="A27" s="10">
        <v>43374</v>
      </c>
      <c r="B27">
        <v>24.757829999999998</v>
      </c>
    </row>
    <row r="28" spans="1:2">
      <c r="A28" s="10">
        <v>43405</v>
      </c>
      <c r="B28">
        <v>28.890982000000001</v>
      </c>
    </row>
    <row r="29" spans="1:2">
      <c r="A29" s="10">
        <v>43435</v>
      </c>
      <c r="B29">
        <v>24.174208</v>
      </c>
    </row>
    <row r="30" spans="1:2">
      <c r="A30" s="10">
        <v>43466</v>
      </c>
      <c r="B30">
        <v>24.035706000000001</v>
      </c>
    </row>
    <row r="31" spans="1:2">
      <c r="A31" s="10">
        <v>43497</v>
      </c>
      <c r="B31">
        <v>27.612120000000001</v>
      </c>
    </row>
    <row r="32" spans="1:2">
      <c r="A32" s="10">
        <v>43525</v>
      </c>
      <c r="B32">
        <v>29.031803</v>
      </c>
    </row>
    <row r="33" spans="1:2">
      <c r="A33" s="10">
        <v>43556</v>
      </c>
      <c r="B33">
        <v>33.345267999999997</v>
      </c>
    </row>
    <row r="34" spans="1:2">
      <c r="A34" s="10">
        <v>43586</v>
      </c>
      <c r="B34">
        <v>29.457215999999999</v>
      </c>
    </row>
    <row r="35" spans="1:2">
      <c r="A35" s="10">
        <v>43617</v>
      </c>
      <c r="B35">
        <v>25.128910000000001</v>
      </c>
    </row>
    <row r="36" spans="1:2">
      <c r="A36" s="10">
        <v>43647</v>
      </c>
      <c r="B36">
        <v>28.561874</v>
      </c>
    </row>
    <row r="37" spans="1:2">
      <c r="A37" s="10">
        <v>43678</v>
      </c>
      <c r="B37">
        <v>25.490010999999999</v>
      </c>
    </row>
    <row r="38" spans="1:2">
      <c r="A38" s="10">
        <v>43709</v>
      </c>
      <c r="B38">
        <v>25.653251999999998</v>
      </c>
    </row>
    <row r="39" spans="1:2">
      <c r="A39" s="10">
        <v>43739</v>
      </c>
      <c r="B39">
        <v>26.162756000000002</v>
      </c>
    </row>
    <row r="40" spans="1:2">
      <c r="A40" s="10">
        <v>43770</v>
      </c>
      <c r="B40">
        <v>23.986238</v>
      </c>
    </row>
    <row r="41" spans="1:2">
      <c r="A41" s="10">
        <v>43800</v>
      </c>
      <c r="B41">
        <v>25.420759</v>
      </c>
    </row>
    <row r="42" spans="1:2">
      <c r="A42" s="10">
        <v>43831</v>
      </c>
      <c r="B42">
        <v>24.124742999999999</v>
      </c>
    </row>
    <row r="43" spans="1:2">
      <c r="A43" s="10">
        <v>43862</v>
      </c>
      <c r="B43">
        <v>20.014085999999999</v>
      </c>
    </row>
    <row r="44" spans="1:2">
      <c r="A44" s="10">
        <v>43891</v>
      </c>
      <c r="B44">
        <v>19.563943999999999</v>
      </c>
    </row>
    <row r="45" spans="1:2">
      <c r="A45" s="10">
        <v>43922</v>
      </c>
      <c r="B45">
        <v>21.117187999999999</v>
      </c>
    </row>
    <row r="46" spans="1:2">
      <c r="A46" s="10">
        <v>43952</v>
      </c>
      <c r="B46">
        <v>24.555098999999998</v>
      </c>
    </row>
    <row r="47" spans="1:2">
      <c r="A47" s="10">
        <v>43983</v>
      </c>
      <c r="B47">
        <v>27.176817</v>
      </c>
    </row>
    <row r="48" spans="1:2">
      <c r="A48" s="10">
        <v>44013</v>
      </c>
      <c r="B48">
        <v>29.59572</v>
      </c>
    </row>
    <row r="49" spans="1:2">
      <c r="A49" s="10">
        <v>44044</v>
      </c>
      <c r="B49">
        <v>32.687370000000001</v>
      </c>
    </row>
    <row r="50" spans="1:2">
      <c r="A50" s="10">
        <v>44075</v>
      </c>
      <c r="B50">
        <v>33.483780000000003</v>
      </c>
    </row>
    <row r="51" spans="1:2">
      <c r="A51" s="10">
        <v>44105</v>
      </c>
      <c r="B51">
        <v>29.808426000000001</v>
      </c>
    </row>
    <row r="52" spans="1:2">
      <c r="A52" s="10">
        <v>44136</v>
      </c>
      <c r="B52">
        <v>34.146625999999998</v>
      </c>
    </row>
    <row r="53" spans="1:2">
      <c r="A53" s="10">
        <v>44166</v>
      </c>
      <c r="B53">
        <v>36.253891000000003</v>
      </c>
    </row>
    <row r="54" spans="1:2">
      <c r="A54" s="10">
        <v>44197</v>
      </c>
      <c r="B54">
        <v>36.056026000000003</v>
      </c>
    </row>
    <row r="55" spans="1:2">
      <c r="A55" s="10">
        <v>44228</v>
      </c>
      <c r="B55">
        <v>40.102375000000002</v>
      </c>
    </row>
    <row r="56" spans="1:2">
      <c r="A56" s="10">
        <v>44256</v>
      </c>
      <c r="B56">
        <v>43.604595000000003</v>
      </c>
    </row>
    <row r="57" spans="1:2">
      <c r="A57" s="10">
        <v>44287</v>
      </c>
      <c r="B57">
        <v>48.640270000000001</v>
      </c>
    </row>
    <row r="58" spans="1:2">
      <c r="A58" s="10">
        <v>44317</v>
      </c>
      <c r="B58">
        <v>48.793610000000001</v>
      </c>
    </row>
    <row r="59" spans="1:2">
      <c r="A59" s="10">
        <v>44348</v>
      </c>
      <c r="B59">
        <v>49.303116000000003</v>
      </c>
    </row>
    <row r="60" spans="1:2">
      <c r="A60" s="10">
        <v>44378</v>
      </c>
      <c r="B60">
        <v>47.794392000000002</v>
      </c>
    </row>
    <row r="61" spans="1:2">
      <c r="A61" s="10">
        <v>44409</v>
      </c>
      <c r="B61">
        <v>48.209910999999998</v>
      </c>
    </row>
    <row r="62" spans="1:2">
      <c r="A62" s="10">
        <v>44440</v>
      </c>
      <c r="B62">
        <v>51.464798000000002</v>
      </c>
    </row>
    <row r="63" spans="1:2">
      <c r="A63" s="10">
        <v>44470</v>
      </c>
      <c r="B63">
        <v>54.408047000000003</v>
      </c>
    </row>
    <row r="64" spans="1:2">
      <c r="A64" s="10">
        <v>44501</v>
      </c>
      <c r="B64">
        <v>55.113093999999997</v>
      </c>
    </row>
    <row r="65" spans="1:2">
      <c r="A65" s="10">
        <v>44531</v>
      </c>
      <c r="B65">
        <v>54.820301000000001</v>
      </c>
    </row>
    <row r="66" spans="1:2">
      <c r="A66" s="10">
        <v>44562</v>
      </c>
      <c r="B66">
        <v>55.444927</v>
      </c>
    </row>
    <row r="67" spans="1:2">
      <c r="A67" s="10">
        <v>44593</v>
      </c>
      <c r="B67">
        <v>49.735492999999998</v>
      </c>
    </row>
    <row r="68" spans="1:2">
      <c r="A68" s="10">
        <v>44621</v>
      </c>
      <c r="B68">
        <v>48.983994000000003</v>
      </c>
    </row>
    <row r="69" spans="1:2">
      <c r="A69" s="10">
        <v>44652</v>
      </c>
      <c r="B69">
        <v>45.880405000000003</v>
      </c>
    </row>
    <row r="70" spans="1:2">
      <c r="A70" s="10">
        <v>44682</v>
      </c>
      <c r="B70">
        <v>49.081420999999999</v>
      </c>
    </row>
    <row r="71" spans="1:2">
      <c r="A71" s="10">
        <v>44713</v>
      </c>
      <c r="B71">
        <v>45.415550000000003</v>
      </c>
    </row>
    <row r="72" spans="1:2">
      <c r="A72" s="10">
        <v>44743</v>
      </c>
      <c r="B72">
        <v>44.285319999999999</v>
      </c>
    </row>
    <row r="73" spans="1:2">
      <c r="A73" s="10">
        <v>44774</v>
      </c>
      <c r="B73">
        <v>37.923431000000001</v>
      </c>
    </row>
    <row r="74" spans="1:2">
      <c r="A74" s="10">
        <v>44805</v>
      </c>
      <c r="B74">
        <v>33.842872999999997</v>
      </c>
    </row>
    <row r="75" spans="1:2">
      <c r="A75" s="10">
        <v>44835</v>
      </c>
      <c r="B75">
        <v>38.032378999999999</v>
      </c>
    </row>
    <row r="76" spans="1:2">
      <c r="A76" s="10">
        <v>44866</v>
      </c>
      <c r="B76">
        <v>41.759998000000003</v>
      </c>
    </row>
    <row r="77" spans="1:2">
      <c r="A77" s="10">
        <v>44882</v>
      </c>
      <c r="B77">
        <v>41.759998000000003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Tido</dc:creator>
  <cp:keywords/>
  <dc:description/>
  <cp:lastModifiedBy>Theodor Hogan</cp:lastModifiedBy>
  <cp:revision/>
  <dcterms:created xsi:type="dcterms:W3CDTF">2015-06-05T18:17:20Z</dcterms:created>
  <dcterms:modified xsi:type="dcterms:W3CDTF">2022-12-01T11:50:31Z</dcterms:modified>
  <cp:category/>
  <cp:contentStatus/>
</cp:coreProperties>
</file>