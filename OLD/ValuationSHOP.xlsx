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91" documentId="11_F25DC773A252ABDACC104830195C761C5ADE58EE" xr6:coauthVersionLast="47" xr6:coauthVersionMax="47" xr10:uidLastSave="{C13F236C-442A-4A3F-91EC-EE42224036AB}"/>
  <bookViews>
    <workbookView xWindow="-108" yWindow="-108" windowWidth="23256" windowHeight="12456" xr2:uid="{00000000-000D-0000-FFFF-FFFF00000000}"/>
  </bookViews>
  <sheets>
    <sheet name="Valuation" sheetId="1" r:id="rId1"/>
    <sheet name="Sheet2" sheetId="3" r:id="rId2"/>
    <sheet name="SHOP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" i="1" l="1"/>
  <c r="Z26" i="1"/>
  <c r="AA25" i="1"/>
  <c r="Z25" i="1"/>
  <c r="Z24" i="1"/>
  <c r="AA24" i="1"/>
  <c r="AA23" i="1"/>
  <c r="Z23" i="1"/>
  <c r="AA22" i="1"/>
  <c r="Z22" i="1"/>
  <c r="AA18" i="1"/>
  <c r="Z18" i="1"/>
  <c r="AA16" i="1"/>
  <c r="Z16" i="1"/>
  <c r="AA15" i="1"/>
  <c r="Z15" i="1"/>
  <c r="AA12" i="1"/>
  <c r="Z12" i="1"/>
  <c r="Z11" i="1"/>
  <c r="AA10" i="1"/>
  <c r="Z10" i="1"/>
  <c r="AA7" i="1"/>
  <c r="Z7" i="1"/>
  <c r="Z9" i="1"/>
  <c r="Z8" i="1"/>
  <c r="AA5" i="1"/>
  <c r="Z5" i="1"/>
  <c r="AA4" i="1"/>
  <c r="Z4" i="1"/>
  <c r="N33" i="1"/>
  <c r="O33" i="1" s="1"/>
  <c r="P33" i="1" s="1"/>
  <c r="Q33" i="1" s="1"/>
  <c r="R33" i="1" s="1"/>
  <c r="S33" i="1" s="1"/>
  <c r="T33" i="1" s="1"/>
  <c r="U33" i="1" s="1"/>
  <c r="V33" i="1" s="1"/>
  <c r="W33" i="1" s="1"/>
  <c r="N8" i="1"/>
  <c r="O8" i="1" s="1"/>
  <c r="P8" i="1" s="1"/>
  <c r="Q8" i="1" s="1"/>
  <c r="R8" i="1" s="1"/>
  <c r="S8" i="1" s="1"/>
  <c r="T8" i="1" s="1"/>
  <c r="U8" i="1" s="1"/>
  <c r="V8" i="1" s="1"/>
  <c r="W8" i="1" s="1"/>
  <c r="P3" i="1"/>
  <c r="Q3" i="1" s="1"/>
  <c r="R3" i="1" s="1"/>
  <c r="S3" i="1" s="1"/>
  <c r="T3" i="1" s="1"/>
  <c r="U3" i="1" s="1"/>
  <c r="V3" i="1" s="1"/>
  <c r="W3" i="1" s="1"/>
  <c r="O3" i="1"/>
  <c r="N3" i="1"/>
  <c r="M37" i="1"/>
  <c r="M23" i="1"/>
  <c r="M21" i="1"/>
  <c r="M25" i="1"/>
  <c r="M11" i="1"/>
  <c r="M9" i="1"/>
  <c r="L9" i="1"/>
  <c r="K9" i="1"/>
  <c r="J9" i="1"/>
  <c r="I9" i="1"/>
  <c r="H9" i="1"/>
  <c r="G9" i="1"/>
  <c r="F9" i="1"/>
  <c r="E9" i="1"/>
  <c r="M4" i="1"/>
  <c r="L17" i="1"/>
  <c r="L11" i="1"/>
  <c r="K19" i="1"/>
  <c r="K21" i="1" s="1"/>
  <c r="K17" i="1"/>
  <c r="J17" i="1"/>
  <c r="J19" i="1" s="1"/>
  <c r="J21" i="1" s="1"/>
  <c r="I17" i="1"/>
  <c r="I19" i="1" s="1"/>
  <c r="I21" i="1" s="1"/>
  <c r="H17" i="1"/>
  <c r="G17" i="1"/>
  <c r="G19" i="1" s="1"/>
  <c r="G21" i="1" s="1"/>
  <c r="F17" i="1"/>
  <c r="F19" i="1" s="1"/>
  <c r="F21" i="1" s="1"/>
  <c r="E17" i="1"/>
  <c r="D17" i="1"/>
  <c r="C17" i="1"/>
  <c r="K8" i="1"/>
  <c r="J8" i="1"/>
  <c r="I8" i="1"/>
  <c r="H8" i="1"/>
  <c r="G8" i="1"/>
  <c r="F8" i="1"/>
  <c r="E8" i="1"/>
  <c r="D8" i="1"/>
  <c r="C8" i="1"/>
  <c r="L8" i="1"/>
  <c r="D4" i="3" a="1"/>
  <c r="D4" i="3" s="1"/>
  <c r="K31" i="1"/>
  <c r="K33" i="1" s="1"/>
  <c r="K37" i="1" s="1"/>
  <c r="J31" i="1"/>
  <c r="J33" i="1" s="1"/>
  <c r="J37" i="1" s="1"/>
  <c r="I31" i="1"/>
  <c r="I33" i="1" s="1"/>
  <c r="I37" i="1" s="1"/>
  <c r="H31" i="1"/>
  <c r="H33" i="1" s="1"/>
  <c r="H37" i="1" s="1"/>
  <c r="G31" i="1"/>
  <c r="G33" i="1" s="1"/>
  <c r="G37" i="1" s="1"/>
  <c r="F31" i="1"/>
  <c r="F33" i="1" s="1"/>
  <c r="F37" i="1" s="1"/>
  <c r="E31" i="1"/>
  <c r="E33" i="1" s="1"/>
  <c r="D31" i="1"/>
  <c r="D33" i="1" s="1"/>
  <c r="C31" i="1"/>
  <c r="C33" i="1" s="1"/>
  <c r="L31" i="1"/>
  <c r="F15" i="1"/>
  <c r="F23" i="1" s="1"/>
  <c r="G15" i="1"/>
  <c r="G23" i="1" s="1"/>
  <c r="H15" i="1"/>
  <c r="I15" i="1"/>
  <c r="I23" i="1" s="1"/>
  <c r="J15" i="1"/>
  <c r="J23" i="1" s="1"/>
  <c r="K15" i="1"/>
  <c r="K23" i="1" s="1"/>
  <c r="L15" i="1"/>
  <c r="L23" i="1" s="1"/>
  <c r="L13" i="1"/>
  <c r="K13" i="1"/>
  <c r="J13" i="1"/>
  <c r="I13" i="1"/>
  <c r="H13" i="1"/>
  <c r="G13" i="1"/>
  <c r="F13" i="1"/>
  <c r="D13" i="1"/>
  <c r="E13" i="1"/>
  <c r="K3" i="1"/>
  <c r="J3" i="1" s="1"/>
  <c r="I3" i="1" s="1"/>
  <c r="H3" i="1" s="1"/>
  <c r="G3" i="1" s="1"/>
  <c r="F3" i="1" s="1"/>
  <c r="E3" i="1" s="1"/>
  <c r="D3" i="1" s="1"/>
  <c r="C3" i="1" s="1"/>
  <c r="E2" i="1"/>
  <c r="F2" i="1" s="1"/>
  <c r="G2" i="1" s="1"/>
  <c r="H2" i="1" s="1"/>
  <c r="I2" i="1" s="1"/>
  <c r="J2" i="1" s="1"/>
  <c r="K2" i="1" s="1"/>
  <c r="L2" i="1" s="1"/>
  <c r="D2" i="1"/>
  <c r="L19" i="1" l="1"/>
  <c r="L21" i="1" s="1"/>
  <c r="L33" i="1"/>
  <c r="L37" i="1" s="1"/>
  <c r="H19" i="1"/>
  <c r="H21" i="1" s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<sst xmlns="http://schemas.openxmlformats.org/spreadsheetml/2006/main" count="58" uniqueCount="50">
  <si>
    <t>Ticker</t>
  </si>
  <si>
    <t>SHOP</t>
  </si>
  <si>
    <t xml:space="preserve">Date </t>
  </si>
  <si>
    <t>Revenue</t>
  </si>
  <si>
    <t>EBIT</t>
  </si>
  <si>
    <t>D &amp; A</t>
  </si>
  <si>
    <t>EBITDA</t>
  </si>
  <si>
    <t>CS Oustanding</t>
  </si>
  <si>
    <t>Excess Cash</t>
  </si>
  <si>
    <t>ST + LT Debt</t>
  </si>
  <si>
    <t xml:space="preserve"> % growth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</si>
  <si>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</si>
  <si>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</si>
  <si>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</si>
  <si>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</si>
  <si>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</si>
  <si>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</si>
  <si>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</si>
  <si>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</si>
  <si>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</si>
  <si>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</si>
  <si>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</si>
  <si>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AVG/ CAGR</t>
  </si>
  <si>
    <t>Adj Close</t>
  </si>
  <si>
    <t>Date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</si>
  <si>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</si>
  <si>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</si>
  <si>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</si>
  <si>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</si>
  <si>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</si>
  <si>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</si>
  <si>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</si>
  <si>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</si>
  <si>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</si>
  <si>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</si>
  <si>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</si>
  <si>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EBITDA Multiple Method</t>
  </si>
  <si>
    <t>Year</t>
  </si>
  <si>
    <t>Multiple</t>
  </si>
  <si>
    <t>(-) Debt</t>
  </si>
  <si>
    <t>(+) Cash</t>
  </si>
  <si>
    <t>CS Outstanding</t>
  </si>
  <si>
    <t>FCFE Yield Method</t>
  </si>
  <si>
    <t>Yield</t>
  </si>
  <si>
    <t>Return Calculation</t>
  </si>
  <si>
    <t>Current $/SHR</t>
  </si>
  <si>
    <t>EBITDA $/SHR</t>
  </si>
  <si>
    <t>FCFE $/SHR</t>
  </si>
  <si>
    <t>Average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</si>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</sst>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\x"/>
    <numFmt numFmtId="165" formatCode="_(&quot;$&quot;* #,##0_);_(&quot;$&quot;* \(#,##0\);_(&quot;$&quot;* &quot;-&quot;??_);_(@_)"/>
    <numFmt numFmtId="167" formatCode="#,##0.0"/>
    <numFmt numFmtId="168" formatCode="_(&quot;$&quot;* #,##0.0_);_(&quot;$&quot;* \(#,##0.0\);_(&quot;$&quot;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inden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42" fontId="2" fillId="0" borderId="0" xfId="0" applyNumberFormat="1" applyFont="1"/>
    <xf numFmtId="164" fontId="2" fillId="0" borderId="0" xfId="0" applyNumberFormat="1" applyFont="1"/>
    <xf numFmtId="9" fontId="0" fillId="0" borderId="0" xfId="1" applyFont="1"/>
    <xf numFmtId="37" fontId="2" fillId="0" borderId="0" xfId="0" applyNumberFormat="1" applyFont="1"/>
    <xf numFmtId="3" fontId="0" fillId="0" borderId="0" xfId="0" applyNumberFormat="1"/>
    <xf numFmtId="165" fontId="0" fillId="0" borderId="0" xfId="0" applyNumberFormat="1"/>
    <xf numFmtId="9" fontId="6" fillId="0" borderId="0" xfId="1" applyFont="1" applyAlignment="1">
      <alignment horizontal="center"/>
    </xf>
    <xf numFmtId="9" fontId="5" fillId="0" borderId="0" xfId="1" applyFont="1" applyAlignment="1">
      <alignment horizontal="center"/>
    </xf>
    <xf numFmtId="9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0" fontId="5" fillId="0" borderId="0" xfId="1" applyNumberFormat="1" applyFont="1"/>
    <xf numFmtId="10" fontId="6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9" fontId="7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3" fontId="0" fillId="5" borderId="0" xfId="0" applyNumberFormat="1" applyFill="1"/>
    <xf numFmtId="0" fontId="0" fillId="5" borderId="0" xfId="0" applyFill="1" applyAlignment="1">
      <alignment horizontal="center"/>
    </xf>
    <xf numFmtId="42" fontId="0" fillId="5" borderId="0" xfId="0" applyNumberFormat="1" applyFill="1"/>
    <xf numFmtId="42" fontId="0" fillId="5" borderId="0" xfId="0" applyNumberFormat="1" applyFill="1" applyAlignment="1">
      <alignment horizontal="center"/>
    </xf>
    <xf numFmtId="44" fontId="0" fillId="5" borderId="0" xfId="0" applyNumberFormat="1" applyFill="1"/>
    <xf numFmtId="0" fontId="0" fillId="5" borderId="0" xfId="0" applyFill="1" applyBorder="1"/>
    <xf numFmtId="37" fontId="0" fillId="5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7" fontId="0" fillId="5" borderId="0" xfId="0" applyNumberFormat="1" applyFill="1"/>
    <xf numFmtId="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/>
    <xf numFmtId="44" fontId="2" fillId="5" borderId="0" xfId="0" applyNumberFormat="1" applyFont="1" applyFill="1"/>
    <xf numFmtId="44" fontId="0" fillId="5" borderId="1" xfId="0" applyNumberFormat="1" applyFill="1" applyBorder="1"/>
    <xf numFmtId="42" fontId="0" fillId="5" borderId="1" xfId="0" applyNumberFormat="1" applyFill="1" applyBorder="1"/>
    <xf numFmtId="44" fontId="0" fillId="5" borderId="2" xfId="0" applyNumberFormat="1" applyFill="1" applyBorder="1"/>
    <xf numFmtId="9" fontId="2" fillId="5" borderId="0" xfId="1" applyFont="1" applyFill="1"/>
    <xf numFmtId="9" fontId="2" fillId="5" borderId="3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4899.736450578705" createdVersion="8" refreshedVersion="8" minRefreshableVersion="3" recordCount="92" xr:uid="{DE1C82FE-F40F-4A47-9943-4CC0CE016A1E}">
  <cacheSource type="worksheet">
    <worksheetSource ref="A1:B93" sheet="SHOP"/>
  </cacheSource>
  <cacheFields count="4">
    <cacheField name="Date" numFmtId="14">
      <sharedItems containsSemiMixedTypes="0" containsNonDate="0" containsDate="1" containsString="0" minDate="2015-06-01T00:00:00" maxDate="2022-12-03T00:00:00" count="92"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2-12-02T00:00:00"/>
      </sharedItems>
      <fieldGroup par="3" base="0">
        <rangePr groupBy="months" startDate="2015-06-01T00:00:00" endDate="2022-12-03T00:00:00"/>
        <groupItems count="14">
          <s v="&lt;6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/2022"/>
        </groupItems>
      </fieldGroup>
    </cacheField>
    <cacheField name="Adj Close" numFmtId="0">
      <sharedItems containsSemiMixedTypes="0" containsString="0" containsNumber="1" minValue="2.238" maxValue="152.47799699999999"/>
    </cacheField>
    <cacheField name="Quarters" numFmtId="0" databaseField="0">
      <fieldGroup base="0">
        <rangePr groupBy="quarters" startDate="2015-06-01T00:00:00" endDate="2022-12-03T00:00:00"/>
        <groupItems count="6">
          <s v="&lt;6/1/2015"/>
          <s v="Qtr1"/>
          <s v="Qtr2"/>
          <s v="Qtr3"/>
          <s v="Qtr4"/>
          <s v="&gt;12/3/2022"/>
        </groupItems>
      </fieldGroup>
    </cacheField>
    <cacheField name="Years" numFmtId="0" databaseField="0">
      <fieldGroup base="0">
        <rangePr groupBy="years" startDate="2015-06-01T00:00:00" endDate="2022-12-03T00:00:00"/>
        <groupItems count="10">
          <s v="&lt;6/1/2015"/>
          <s v="2015"/>
          <s v="2016"/>
          <s v="2017"/>
          <s v="2018"/>
          <s v="2019"/>
          <s v="2020"/>
          <s v="2021"/>
          <s v="2022"/>
          <s v="&gt;12/3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3.395"/>
  </r>
  <r>
    <x v="1"/>
    <n v="3.7389999999999999"/>
  </r>
  <r>
    <x v="2"/>
    <n v="2.754"/>
  </r>
  <r>
    <x v="3"/>
    <n v="3.52"/>
  </r>
  <r>
    <x v="4"/>
    <n v="3.222"/>
  </r>
  <r>
    <x v="5"/>
    <n v="2.6339999999999999"/>
  </r>
  <r>
    <x v="6"/>
    <n v="2.58"/>
  </r>
  <r>
    <x v="7"/>
    <n v="2.3220000000000001"/>
  </r>
  <r>
    <x v="8"/>
    <n v="2.238"/>
  </r>
  <r>
    <x v="9"/>
    <n v="2.8210000000000002"/>
  </r>
  <r>
    <x v="10"/>
    <n v="3.1850000000000001"/>
  </r>
  <r>
    <x v="11"/>
    <n v="2.9289999999999998"/>
  </r>
  <r>
    <x v="12"/>
    <n v="3.0760000000000001"/>
  </r>
  <r>
    <x v="13"/>
    <n v="3.427"/>
  </r>
  <r>
    <x v="14"/>
    <n v="4.1360000000000001"/>
  </r>
  <r>
    <x v="15"/>
    <n v="4.2919999999999998"/>
  </r>
  <r>
    <x v="16"/>
    <n v="4.1449999999999996"/>
  </r>
  <r>
    <x v="17"/>
    <n v="4.1669999999999998"/>
  </r>
  <r>
    <x v="18"/>
    <n v="4.2869999999999999"/>
  </r>
  <r>
    <x v="19"/>
    <n v="5.0819999999999999"/>
  </r>
  <r>
    <x v="20"/>
    <n v="5.9210000000000003"/>
  </r>
  <r>
    <x v="21"/>
    <n v="6.8090000000000002"/>
  </r>
  <r>
    <x v="22"/>
    <n v="7.5949999999999998"/>
  </r>
  <r>
    <x v="23"/>
    <n v="9.1859999999999999"/>
  </r>
  <r>
    <x v="24"/>
    <n v="8.69"/>
  </r>
  <r>
    <x v="25"/>
    <n v="9.2370000000000001"/>
  </r>
  <r>
    <x v="26"/>
    <n v="11.092000000000001"/>
  </r>
  <r>
    <x v="27"/>
    <n v="11.648999999999999"/>
  </r>
  <r>
    <x v="28"/>
    <n v="9.9489999999999998"/>
  </r>
  <r>
    <x v="29"/>
    <n v="10.382"/>
  </r>
  <r>
    <x v="30"/>
    <n v="10.1"/>
  </r>
  <r>
    <x v="31"/>
    <n v="12.792"/>
  </r>
  <r>
    <x v="32"/>
    <n v="13.821"/>
  </r>
  <r>
    <x v="33"/>
    <n v="12.459"/>
  </r>
  <r>
    <x v="34"/>
    <n v="13.363"/>
  </r>
  <r>
    <x v="35"/>
    <n v="14.808999999999999"/>
  </r>
  <r>
    <x v="36"/>
    <n v="14.589"/>
  </r>
  <r>
    <x v="37"/>
    <n v="13.821"/>
  </r>
  <r>
    <x v="38"/>
    <n v="14.567"/>
  </r>
  <r>
    <x v="39"/>
    <n v="16.445999"/>
  </r>
  <r>
    <x v="40"/>
    <n v="13.815"/>
  </r>
  <r>
    <x v="41"/>
    <n v="15.266"/>
  </r>
  <r>
    <x v="42"/>
    <n v="13.845000000000001"/>
  </r>
  <r>
    <x v="43"/>
    <n v="16.847000000000001"/>
  </r>
  <r>
    <x v="44"/>
    <n v="18.915001"/>
  </r>
  <r>
    <x v="45"/>
    <n v="20.662001"/>
  </r>
  <r>
    <x v="46"/>
    <n v="24.353000999999999"/>
  </r>
  <r>
    <x v="47"/>
    <n v="27.49"/>
  </r>
  <r>
    <x v="48"/>
    <n v="30.014999"/>
  </r>
  <r>
    <x v="49"/>
    <n v="31.788"/>
  </r>
  <r>
    <x v="50"/>
    <n v="38.539000999999999"/>
  </r>
  <r>
    <x v="51"/>
    <n v="31.166"/>
  </r>
  <r>
    <x v="52"/>
    <n v="31.356999999999999"/>
  </r>
  <r>
    <x v="53"/>
    <n v="33.674999"/>
  </r>
  <r>
    <x v="54"/>
    <n v="39.757998999999998"/>
  </r>
  <r>
    <x v="55"/>
    <n v="46.566001999999997"/>
  </r>
  <r>
    <x v="56"/>
    <n v="46.331001000000001"/>
  </r>
  <r>
    <x v="57"/>
    <n v="41.693001000000002"/>
  </r>
  <r>
    <x v="58"/>
    <n v="63.228999999999999"/>
  </r>
  <r>
    <x v="59"/>
    <n v="75.779999000000004"/>
  </r>
  <r>
    <x v="60"/>
    <n v="94.919998000000007"/>
  </r>
  <r>
    <x v="61"/>
    <n v="102.400002"/>
  </r>
  <r>
    <x v="62"/>
    <n v="106.641998"/>
  </r>
  <r>
    <x v="63"/>
    <n v="102.296997"/>
  </r>
  <r>
    <x v="64"/>
    <n v="92.542998999999995"/>
  </r>
  <r>
    <x v="65"/>
    <n v="109.03800200000001"/>
  </r>
  <r>
    <x v="66"/>
    <n v="113.19499999999999"/>
  </r>
  <r>
    <x v="67"/>
    <n v="109.85900100000001"/>
  </r>
  <r>
    <x v="68"/>
    <n v="128.09700000000001"/>
  </r>
  <r>
    <x v="69"/>
    <n v="110.650002"/>
  </r>
  <r>
    <x v="70"/>
    <n v="118.25099899999999"/>
  </r>
  <r>
    <x v="71"/>
    <n v="124.287003"/>
  </r>
  <r>
    <x v="72"/>
    <n v="146.098007"/>
  </r>
  <r>
    <x v="73"/>
    <n v="149.99299600000001"/>
  </r>
  <r>
    <x v="74"/>
    <n v="152.47799699999999"/>
  </r>
  <r>
    <x v="75"/>
    <n v="135.578003"/>
  </r>
  <r>
    <x v="76"/>
    <n v="146.67300399999999"/>
  </r>
  <r>
    <x v="77"/>
    <n v="152.179001"/>
  </r>
  <r>
    <x v="78"/>
    <n v="137.73899800000001"/>
  </r>
  <r>
    <x v="79"/>
    <n v="96.424003999999996"/>
  </r>
  <r>
    <x v="80"/>
    <n v="69.426002999999994"/>
  </r>
  <r>
    <x v="81"/>
    <n v="67.596001000000001"/>
  </r>
  <r>
    <x v="82"/>
    <n v="42.681998999999998"/>
  </r>
  <r>
    <x v="83"/>
    <n v="37.512000999999998"/>
  </r>
  <r>
    <x v="84"/>
    <n v="31.24"/>
  </r>
  <r>
    <x v="85"/>
    <n v="34.830002"/>
  </r>
  <r>
    <x v="86"/>
    <n v="31.65"/>
  </r>
  <r>
    <x v="87"/>
    <n v="26.940000999999999"/>
  </r>
  <r>
    <x v="88"/>
    <n v="34.229999999999997"/>
  </r>
  <r>
    <x v="89"/>
    <n v="40.880001"/>
  </r>
  <r>
    <x v="90"/>
    <n v="43.060001"/>
  </r>
  <r>
    <x v="91"/>
    <n v="43.06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530F6-831A-424B-81F4-79D23AE347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3">
    <field x="3"/>
    <field x="2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showGridLines="0" tabSelected="1" topLeftCell="J1" workbookViewId="0">
      <selection activeCell="P28" sqref="P28"/>
    </sheetView>
  </sheetViews>
  <sheetFormatPr defaultRowHeight="14.4" x14ac:dyDescent="0.3"/>
  <cols>
    <col min="1" max="1" width="10" bestFit="1" customWidth="1"/>
    <col min="3" max="23" width="10.77734375" customWidth="1"/>
    <col min="25" max="25" width="13.33203125" bestFit="1" customWidth="1"/>
    <col min="26" max="26" width="9" bestFit="1" customWidth="1"/>
    <col min="27" max="28" width="9.5546875" bestFit="1" customWidth="1"/>
  </cols>
  <sheetData>
    <row r="1" spans="1:27" x14ac:dyDescent="0.3">
      <c r="A1" t="s">
        <v>0</v>
      </c>
      <c r="C1" t="s">
        <v>2</v>
      </c>
      <c r="D1" s="2">
        <v>44573</v>
      </c>
    </row>
    <row r="2" spans="1:27" ht="25.8" x14ac:dyDescent="0.5">
      <c r="A2" s="1" t="s">
        <v>1</v>
      </c>
      <c r="C2">
        <v>1</v>
      </c>
      <c r="D2">
        <f>C2+1</f>
        <v>2</v>
      </c>
      <c r="E2">
        <f t="shared" ref="E2:L2" si="0">D2+1</f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N2">
        <v>1</v>
      </c>
      <c r="O2">
        <v>2</v>
      </c>
      <c r="P2">
        <v>3</v>
      </c>
      <c r="Q2">
        <v>4</v>
      </c>
      <c r="R2">
        <v>5</v>
      </c>
    </row>
    <row r="3" spans="1:27" x14ac:dyDescent="0.3">
      <c r="C3" s="5">
        <f t="shared" ref="C3:J3" si="1">D3-1</f>
        <v>2012</v>
      </c>
      <c r="D3" s="5">
        <f t="shared" si="1"/>
        <v>2013</v>
      </c>
      <c r="E3" s="5">
        <f t="shared" si="1"/>
        <v>2014</v>
      </c>
      <c r="F3" s="5">
        <f t="shared" si="1"/>
        <v>2015</v>
      </c>
      <c r="G3" s="5">
        <f t="shared" si="1"/>
        <v>2016</v>
      </c>
      <c r="H3" s="5">
        <f t="shared" si="1"/>
        <v>2017</v>
      </c>
      <c r="I3" s="5">
        <f t="shared" si="1"/>
        <v>2018</v>
      </c>
      <c r="J3" s="5">
        <f t="shared" si="1"/>
        <v>2019</v>
      </c>
      <c r="K3" s="5">
        <f>L3-1</f>
        <v>2020</v>
      </c>
      <c r="L3" s="5">
        <v>2021</v>
      </c>
      <c r="M3" s="6" t="s">
        <v>22</v>
      </c>
      <c r="N3" s="23">
        <f>2022</f>
        <v>2022</v>
      </c>
      <c r="O3" s="23">
        <f>N3+1</f>
        <v>2023</v>
      </c>
      <c r="P3" s="23">
        <f t="shared" ref="P3:W3" si="2">O3+1</f>
        <v>2024</v>
      </c>
      <c r="Q3" s="23">
        <f t="shared" si="2"/>
        <v>2025</v>
      </c>
      <c r="R3" s="23">
        <f t="shared" si="2"/>
        <v>2026</v>
      </c>
      <c r="S3" s="23">
        <f t="shared" si="2"/>
        <v>2027</v>
      </c>
      <c r="T3" s="23">
        <f t="shared" si="2"/>
        <v>2028</v>
      </c>
      <c r="U3" s="23">
        <f t="shared" si="2"/>
        <v>2029</v>
      </c>
      <c r="V3" s="23">
        <f t="shared" si="2"/>
        <v>2030</v>
      </c>
      <c r="W3" s="23">
        <f t="shared" si="2"/>
        <v>2031</v>
      </c>
      <c r="Y3" s="27" t="s">
        <v>36</v>
      </c>
      <c r="Z3" s="27"/>
      <c r="AA3" s="27"/>
    </row>
    <row r="4" spans="1:27" x14ac:dyDescent="0.3">
      <c r="A4" s="3" t="s">
        <v>3</v>
      </c>
      <c r="C4" s="11">
        <v>24</v>
      </c>
      <c r="D4" s="11">
        <v>50</v>
      </c>
      <c r="E4" s="11">
        <v>105</v>
      </c>
      <c r="F4" s="11">
        <v>205</v>
      </c>
      <c r="G4" s="11">
        <v>389</v>
      </c>
      <c r="H4" s="11">
        <v>673</v>
      </c>
      <c r="I4" s="11">
        <v>1073</v>
      </c>
      <c r="J4" s="11">
        <v>1578</v>
      </c>
      <c r="K4" s="11">
        <v>2930</v>
      </c>
      <c r="L4" s="11">
        <v>4612</v>
      </c>
      <c r="M4" s="17">
        <f>(L4/C4)^(1/($L$3-$C$3))-1</f>
        <v>0.79366777764191188</v>
      </c>
      <c r="Y4" s="28" t="s">
        <v>37</v>
      </c>
      <c r="Z4" s="29">
        <f>$R$3</f>
        <v>2026</v>
      </c>
      <c r="AA4" s="29">
        <f>$W$3</f>
        <v>2031</v>
      </c>
    </row>
    <row r="5" spans="1:27" x14ac:dyDescent="0.3">
      <c r="Y5" s="28" t="s">
        <v>6</v>
      </c>
      <c r="Z5" s="30">
        <f>R8</f>
        <v>2536.3125</v>
      </c>
      <c r="AA5" s="30">
        <f>W8</f>
        <v>19260.123046875</v>
      </c>
    </row>
    <row r="6" spans="1:27" x14ac:dyDescent="0.3">
      <c r="A6" t="s">
        <v>4</v>
      </c>
      <c r="C6">
        <v>-1</v>
      </c>
      <c r="D6">
        <v>-4</v>
      </c>
      <c r="E6">
        <v>-22</v>
      </c>
      <c r="F6">
        <v>-18</v>
      </c>
      <c r="G6">
        <v>-37</v>
      </c>
      <c r="H6">
        <v>-49</v>
      </c>
      <c r="I6">
        <v>-92</v>
      </c>
      <c r="J6">
        <v>-141</v>
      </c>
      <c r="K6">
        <v>90</v>
      </c>
      <c r="L6">
        <v>268</v>
      </c>
      <c r="N6" s="15"/>
      <c r="Y6" s="28" t="s">
        <v>38</v>
      </c>
      <c r="Z6" s="31">
        <v>18</v>
      </c>
      <c r="AA6" s="31"/>
    </row>
    <row r="7" spans="1:27" x14ac:dyDescent="0.3">
      <c r="A7" t="s">
        <v>5</v>
      </c>
      <c r="C7">
        <v>1</v>
      </c>
      <c r="D7">
        <v>2</v>
      </c>
      <c r="E7">
        <v>5</v>
      </c>
      <c r="F7">
        <v>7</v>
      </c>
      <c r="G7">
        <v>14</v>
      </c>
      <c r="H7">
        <v>23</v>
      </c>
      <c r="I7">
        <v>27</v>
      </c>
      <c r="J7">
        <v>36</v>
      </c>
      <c r="K7">
        <v>70</v>
      </c>
      <c r="L7">
        <v>66</v>
      </c>
      <c r="N7" s="15"/>
      <c r="Y7" s="28" t="s">
        <v>12</v>
      </c>
      <c r="Z7" s="32">
        <f>Z5*$Z$6</f>
        <v>45653.625</v>
      </c>
      <c r="AA7" s="32">
        <f t="shared" ref="AA7" si="3">AA5*$Z$6</f>
        <v>346682.21484375</v>
      </c>
    </row>
    <row r="8" spans="1:27" x14ac:dyDescent="0.3">
      <c r="A8" s="3" t="s">
        <v>6</v>
      </c>
      <c r="C8" s="11">
        <f t="shared" ref="C8:K8" si="4">C6+C7</f>
        <v>0</v>
      </c>
      <c r="D8" s="11">
        <f t="shared" si="4"/>
        <v>-2</v>
      </c>
      <c r="E8" s="11">
        <f t="shared" si="4"/>
        <v>-17</v>
      </c>
      <c r="F8" s="11">
        <f t="shared" si="4"/>
        <v>-11</v>
      </c>
      <c r="G8" s="11">
        <f t="shared" si="4"/>
        <v>-23</v>
      </c>
      <c r="H8" s="11">
        <f t="shared" si="4"/>
        <v>-26</v>
      </c>
      <c r="I8" s="11">
        <f t="shared" si="4"/>
        <v>-65</v>
      </c>
      <c r="J8" s="11">
        <f t="shared" si="4"/>
        <v>-105</v>
      </c>
      <c r="K8" s="11">
        <f t="shared" si="4"/>
        <v>160</v>
      </c>
      <c r="L8" s="11">
        <f>L6+L7</f>
        <v>334</v>
      </c>
      <c r="M8" s="17"/>
      <c r="N8" s="15">
        <f>L8*(1+N9)</f>
        <v>501</v>
      </c>
      <c r="O8" s="15">
        <f>N8*(1+O9)</f>
        <v>751.5</v>
      </c>
      <c r="P8" s="15">
        <f t="shared" ref="P8:W8" si="5">O8*(1+P9)</f>
        <v>1127.25</v>
      </c>
      <c r="Q8" s="15">
        <f t="shared" si="5"/>
        <v>1690.875</v>
      </c>
      <c r="R8" s="15">
        <f t="shared" si="5"/>
        <v>2536.3125</v>
      </c>
      <c r="S8" s="15">
        <f t="shared" si="5"/>
        <v>3804.46875</v>
      </c>
      <c r="T8" s="15">
        <f t="shared" si="5"/>
        <v>5706.703125</v>
      </c>
      <c r="U8" s="15">
        <f t="shared" si="5"/>
        <v>8560.0546875</v>
      </c>
      <c r="V8" s="15">
        <f t="shared" si="5"/>
        <v>12840.08203125</v>
      </c>
      <c r="W8" s="15">
        <f t="shared" si="5"/>
        <v>19260.123046875</v>
      </c>
      <c r="Y8" s="28" t="s">
        <v>39</v>
      </c>
      <c r="Z8" s="33">
        <f>L15</f>
        <v>1174</v>
      </c>
      <c r="AA8" s="33"/>
    </row>
    <row r="9" spans="1:27" x14ac:dyDescent="0.3">
      <c r="A9" s="4" t="s">
        <v>10</v>
      </c>
      <c r="E9" s="18">
        <f t="shared" ref="E9:L9" si="6">E8/D8-1</f>
        <v>7.5</v>
      </c>
      <c r="F9" s="18">
        <f t="shared" si="6"/>
        <v>-0.3529411764705882</v>
      </c>
      <c r="G9" s="18">
        <f t="shared" si="6"/>
        <v>1.0909090909090908</v>
      </c>
      <c r="H9" s="18">
        <f t="shared" si="6"/>
        <v>0.13043478260869557</v>
      </c>
      <c r="I9" s="18">
        <f t="shared" si="6"/>
        <v>1.5</v>
      </c>
      <c r="J9" s="18">
        <f t="shared" si="6"/>
        <v>0.61538461538461542</v>
      </c>
      <c r="K9" s="18">
        <f t="shared" si="6"/>
        <v>-2.5238095238095237</v>
      </c>
      <c r="L9" s="18">
        <f t="shared" si="6"/>
        <v>1.0874999999999999</v>
      </c>
      <c r="M9" s="19">
        <f>AVERAGE(E9:L9)</f>
        <v>1.1309347235777862</v>
      </c>
      <c r="N9" s="24">
        <v>0.5</v>
      </c>
      <c r="O9" s="24">
        <v>0.5</v>
      </c>
      <c r="P9" s="24">
        <v>0.5</v>
      </c>
      <c r="Q9" s="24">
        <v>0.5</v>
      </c>
      <c r="R9" s="24">
        <v>0.5</v>
      </c>
      <c r="S9" s="24">
        <v>0.5</v>
      </c>
      <c r="T9" s="24">
        <v>0.5</v>
      </c>
      <c r="U9" s="24">
        <v>0.5</v>
      </c>
      <c r="V9" s="24">
        <v>0.5</v>
      </c>
      <c r="W9" s="24">
        <v>0.5</v>
      </c>
      <c r="Y9" s="28" t="s">
        <v>40</v>
      </c>
      <c r="Z9" s="33">
        <f>L13</f>
        <v>4433</v>
      </c>
      <c r="AA9" s="33"/>
    </row>
    <row r="10" spans="1:27" x14ac:dyDescent="0.3">
      <c r="Y10" s="28" t="s">
        <v>11</v>
      </c>
      <c r="Z10" s="32">
        <f>Z7-Z8+Z9</f>
        <v>48912.625</v>
      </c>
      <c r="AA10" s="32">
        <f t="shared" ref="AA10" si="7">AA7-AA8+AA9</f>
        <v>346682.21484375</v>
      </c>
    </row>
    <row r="11" spans="1:27" x14ac:dyDescent="0.3">
      <c r="A11" s="3" t="s">
        <v>7</v>
      </c>
      <c r="C11" s="14">
        <v>362</v>
      </c>
      <c r="D11" s="14">
        <v>372</v>
      </c>
      <c r="E11" s="14">
        <v>389</v>
      </c>
      <c r="F11" s="14">
        <v>617</v>
      </c>
      <c r="G11" s="14">
        <v>840</v>
      </c>
      <c r="H11" s="14">
        <v>958</v>
      </c>
      <c r="I11" s="14">
        <v>1057</v>
      </c>
      <c r="J11" s="14">
        <v>1130</v>
      </c>
      <c r="K11" s="14">
        <v>1235</v>
      </c>
      <c r="L11" s="14">
        <f>1247</f>
        <v>1247</v>
      </c>
      <c r="M11" s="17">
        <f>(L11/C11)^(1/($L$3-$C$3))-1</f>
        <v>0.14731906209500512</v>
      </c>
      <c r="N11" s="15"/>
      <c r="Y11" s="28" t="s">
        <v>41</v>
      </c>
      <c r="Z11" s="36">
        <f>L11</f>
        <v>1247</v>
      </c>
      <c r="AA11" s="36"/>
    </row>
    <row r="12" spans="1:27" x14ac:dyDescent="0.3">
      <c r="A12" s="3"/>
      <c r="Y12" s="41" t="s">
        <v>20</v>
      </c>
      <c r="Z12" s="42">
        <f>Z10/$Z$11</f>
        <v>39.224238171611866</v>
      </c>
      <c r="AA12" s="42">
        <f t="shared" ref="AA12" si="8">AA10/$Z$11</f>
        <v>278.01300308239774</v>
      </c>
    </row>
    <row r="13" spans="1:27" x14ac:dyDescent="0.3">
      <c r="A13" s="3" t="s">
        <v>8</v>
      </c>
      <c r="C13" s="11">
        <v>0</v>
      </c>
      <c r="D13" s="11">
        <f>99-2*10</f>
        <v>79</v>
      </c>
      <c r="E13" s="11">
        <f>68-2*20</f>
        <v>28</v>
      </c>
      <c r="F13" s="11">
        <f>202-2*27</f>
        <v>148</v>
      </c>
      <c r="G13" s="11">
        <f>423-2*66</f>
        <v>291</v>
      </c>
      <c r="H13" s="11">
        <f>1026-2*95</f>
        <v>836</v>
      </c>
      <c r="I13" s="11">
        <f>2129-2*139</f>
        <v>1851</v>
      </c>
      <c r="J13" s="11">
        <f>2742-2*316</f>
        <v>2110</v>
      </c>
      <c r="K13" s="11">
        <f>6877-2*438</f>
        <v>6001</v>
      </c>
      <c r="L13" s="11">
        <f>5839-2*703</f>
        <v>4433</v>
      </c>
    </row>
    <row r="14" spans="1:27" x14ac:dyDescent="0.3">
      <c r="A14" s="3"/>
      <c r="Y14" s="37" t="s">
        <v>42</v>
      </c>
      <c r="Z14" s="37"/>
      <c r="AA14" s="37"/>
    </row>
    <row r="15" spans="1:27" x14ac:dyDescent="0.3">
      <c r="A15" s="3" t="s">
        <v>9</v>
      </c>
      <c r="C15" s="11">
        <v>0</v>
      </c>
      <c r="D15" s="11">
        <v>0</v>
      </c>
      <c r="E15" s="11">
        <v>8</v>
      </c>
      <c r="F15" s="11">
        <f>1+11</f>
        <v>12</v>
      </c>
      <c r="G15" s="11">
        <f>1+13</f>
        <v>14</v>
      </c>
      <c r="H15" s="11">
        <f>2+15</f>
        <v>17</v>
      </c>
      <c r="I15" s="11">
        <f>22+3</f>
        <v>25</v>
      </c>
      <c r="J15" s="11">
        <f>9+143</f>
        <v>152</v>
      </c>
      <c r="K15" s="11">
        <f>11+145+758</f>
        <v>914</v>
      </c>
      <c r="L15" s="11">
        <f>16+247+911</f>
        <v>1174</v>
      </c>
      <c r="Y15" s="35" t="s">
        <v>37</v>
      </c>
      <c r="Z15" s="29">
        <f>Z4</f>
        <v>2026</v>
      </c>
      <c r="AA15" s="29">
        <f>AA4</f>
        <v>2031</v>
      </c>
    </row>
    <row r="16" spans="1:27" x14ac:dyDescent="0.3">
      <c r="Y16" s="28" t="s">
        <v>19</v>
      </c>
      <c r="Z16" s="38">
        <f>R33</f>
        <v>2.7646852445870094</v>
      </c>
      <c r="AA16" s="38">
        <f>W33</f>
        <v>20.994328576082602</v>
      </c>
    </row>
    <row r="17" spans="1:28" x14ac:dyDescent="0.3">
      <c r="A17" s="3" t="s">
        <v>11</v>
      </c>
      <c r="C17" s="11">
        <f t="shared" ref="C17:K17" si="9">C11*C35</f>
        <v>0</v>
      </c>
      <c r="D17" s="11">
        <f t="shared" si="9"/>
        <v>0</v>
      </c>
      <c r="E17" s="11">
        <f t="shared" si="9"/>
        <v>0</v>
      </c>
      <c r="F17" s="11">
        <f t="shared" si="9"/>
        <v>1925.3925714285715</v>
      </c>
      <c r="G17" s="11">
        <f t="shared" si="9"/>
        <v>2871.75</v>
      </c>
      <c r="H17" s="11">
        <f t="shared" si="9"/>
        <v>8437.7446666666656</v>
      </c>
      <c r="I17" s="11">
        <f t="shared" si="9"/>
        <v>14938.316661916666</v>
      </c>
      <c r="J17" s="11">
        <f t="shared" si="9"/>
        <v>32446.537594166672</v>
      </c>
      <c r="K17" s="11">
        <f t="shared" si="9"/>
        <v>102364.41573041669</v>
      </c>
      <c r="L17" s="11">
        <f>L11*L35</f>
        <v>167501.40564308333</v>
      </c>
      <c r="M17" s="17"/>
      <c r="N17" s="16"/>
      <c r="Y17" s="28" t="s">
        <v>43</v>
      </c>
      <c r="Z17" s="39">
        <v>0.05</v>
      </c>
      <c r="AA17" s="40"/>
    </row>
    <row r="18" spans="1:28" x14ac:dyDescent="0.3">
      <c r="Y18" s="41" t="s">
        <v>20</v>
      </c>
      <c r="Z18" s="42">
        <f>Z16/$Z$17</f>
        <v>55.293704891740184</v>
      </c>
      <c r="AA18" s="42">
        <f t="shared" ref="AA18" si="10">AA16/$Z$17</f>
        <v>419.886571521652</v>
      </c>
    </row>
    <row r="19" spans="1:28" x14ac:dyDescent="0.3">
      <c r="A19" s="3" t="s">
        <v>12</v>
      </c>
      <c r="F19" s="11">
        <f t="shared" ref="F19:K19" si="11">F17+F15-F13</f>
        <v>1789.3925714285715</v>
      </c>
      <c r="G19" s="11">
        <f t="shared" si="11"/>
        <v>2594.75</v>
      </c>
      <c r="H19" s="11">
        <f t="shared" si="11"/>
        <v>7618.7446666666656</v>
      </c>
      <c r="I19" s="11">
        <f t="shared" si="11"/>
        <v>13112.316661916666</v>
      </c>
      <c r="J19" s="11">
        <f t="shared" si="11"/>
        <v>30488.537594166672</v>
      </c>
      <c r="K19" s="11">
        <f t="shared" si="11"/>
        <v>97277.415730416687</v>
      </c>
      <c r="L19" s="11">
        <f>L17+L15-L13</f>
        <v>164242.40564308333</v>
      </c>
    </row>
    <row r="20" spans="1:28" x14ac:dyDescent="0.3">
      <c r="Y20" s="37" t="s">
        <v>44</v>
      </c>
      <c r="Z20" s="37"/>
      <c r="AA20" s="37"/>
    </row>
    <row r="21" spans="1:28" x14ac:dyDescent="0.3">
      <c r="A21" s="3" t="s">
        <v>13</v>
      </c>
      <c r="F21" s="12">
        <f t="shared" ref="F21:K21" si="12">F19/F8</f>
        <v>-162.67205194805194</v>
      </c>
      <c r="G21" s="12">
        <f t="shared" si="12"/>
        <v>-112.81521739130434</v>
      </c>
      <c r="H21" s="12">
        <f t="shared" si="12"/>
        <v>-293.02864102564098</v>
      </c>
      <c r="I21" s="12">
        <f t="shared" si="12"/>
        <v>-201.72794864487179</v>
      </c>
      <c r="J21" s="12">
        <f t="shared" si="12"/>
        <v>-290.36702470634924</v>
      </c>
      <c r="K21" s="12">
        <f t="shared" si="12"/>
        <v>607.9838483151043</v>
      </c>
      <c r="L21" s="12">
        <f>L19/L8</f>
        <v>491.74372947030935</v>
      </c>
      <c r="M21" s="20">
        <f>AVERAGE(F21:L21)</f>
        <v>5.5880991527421964</v>
      </c>
      <c r="N21" s="12"/>
      <c r="Y21" s="35" t="s">
        <v>45</v>
      </c>
      <c r="Z21" s="28"/>
      <c r="AA21" s="28">
        <v>43.06</v>
      </c>
      <c r="AB21" s="2">
        <v>44604</v>
      </c>
    </row>
    <row r="22" spans="1:28" x14ac:dyDescent="0.3">
      <c r="Y22" s="28" t="s">
        <v>37</v>
      </c>
      <c r="Z22" s="29">
        <f>Z15</f>
        <v>2026</v>
      </c>
      <c r="AA22" s="29">
        <f t="shared" ref="AA22" si="13">AA15</f>
        <v>2031</v>
      </c>
    </row>
    <row r="23" spans="1:28" x14ac:dyDescent="0.3">
      <c r="A23" s="3" t="s">
        <v>14</v>
      </c>
      <c r="C23" s="10"/>
      <c r="D23" s="12"/>
      <c r="E23" s="12"/>
      <c r="F23" s="12">
        <f>F15/F8</f>
        <v>-1.0909090909090908</v>
      </c>
      <c r="G23" s="12">
        <f t="shared" ref="G23:K23" si="14">G15/G8</f>
        <v>-0.60869565217391308</v>
      </c>
      <c r="H23" s="12">
        <f t="shared" si="14"/>
        <v>-0.65384615384615385</v>
      </c>
      <c r="I23" s="12">
        <f t="shared" si="14"/>
        <v>-0.38461538461538464</v>
      </c>
      <c r="J23" s="12">
        <f t="shared" si="14"/>
        <v>-1.4476190476190476</v>
      </c>
      <c r="K23" s="12">
        <f t="shared" si="14"/>
        <v>5.7125000000000004</v>
      </c>
      <c r="L23" s="12">
        <f>L15/L8</f>
        <v>3.5149700598802394</v>
      </c>
      <c r="M23" s="20">
        <f>AVERAGE(D23:L23)</f>
        <v>0.72025496153094992</v>
      </c>
      <c r="Y23" s="28" t="s">
        <v>46</v>
      </c>
      <c r="Z23" s="34">
        <f>Z12</f>
        <v>39.224238171611866</v>
      </c>
      <c r="AA23" s="34">
        <f t="shared" ref="AA23" si="15">AA12</f>
        <v>278.01300308239774</v>
      </c>
    </row>
    <row r="24" spans="1:28" x14ac:dyDescent="0.3">
      <c r="Y24" s="28" t="s">
        <v>47</v>
      </c>
      <c r="Z24" s="43">
        <f>Z18</f>
        <v>55.293704891740184</v>
      </c>
      <c r="AA24" s="44">
        <f t="shared" ref="AA24" si="16">AA18</f>
        <v>419.886571521652</v>
      </c>
    </row>
    <row r="25" spans="1:28" x14ac:dyDescent="0.3">
      <c r="A25" s="3" t="s">
        <v>15</v>
      </c>
      <c r="C25" s="11">
        <v>2</v>
      </c>
      <c r="D25" s="11">
        <v>1</v>
      </c>
      <c r="E25" s="11">
        <v>-1</v>
      </c>
      <c r="F25" s="11">
        <v>16</v>
      </c>
      <c r="G25" s="11">
        <v>14</v>
      </c>
      <c r="H25" s="11">
        <v>8</v>
      </c>
      <c r="I25" s="11">
        <v>9</v>
      </c>
      <c r="J25" s="11">
        <v>71</v>
      </c>
      <c r="K25" s="11">
        <v>425</v>
      </c>
      <c r="L25" s="11">
        <v>504</v>
      </c>
      <c r="M25" s="17">
        <f>(L25/C25)^(1/($L$3-$C$3))-1</f>
        <v>0.84851203438222278</v>
      </c>
      <c r="Y25" s="28" t="s">
        <v>48</v>
      </c>
      <c r="Z25" s="45">
        <f>AVERAGE(Z23:Z24)</f>
        <v>47.258971531676025</v>
      </c>
      <c r="AA25" s="45">
        <f t="shared" ref="AA25" si="17">AVERAGE(AA23:AA24)</f>
        <v>348.9497873020249</v>
      </c>
    </row>
    <row r="26" spans="1:28" x14ac:dyDescent="0.3">
      <c r="Y26" s="46" t="s">
        <v>49</v>
      </c>
      <c r="Z26" s="47">
        <f>(Z25/AA21)^(1/5)-1</f>
        <v>1.8783841359101716E-2</v>
      </c>
      <c r="AA26" s="47">
        <f>(AA25/AA21)^(1/10)-1</f>
        <v>0.23273262855070387</v>
      </c>
    </row>
    <row r="27" spans="1:28" x14ac:dyDescent="0.3">
      <c r="A27" s="3" t="s">
        <v>16</v>
      </c>
      <c r="C27" s="11">
        <v>-2</v>
      </c>
      <c r="D27" s="11">
        <v>-3</v>
      </c>
      <c r="E27" s="11">
        <v>-20</v>
      </c>
      <c r="F27" s="11">
        <v>-17</v>
      </c>
      <c r="G27" s="11">
        <v>-24</v>
      </c>
      <c r="H27" s="11">
        <v>-20</v>
      </c>
      <c r="I27" s="11">
        <v>-27</v>
      </c>
      <c r="J27" s="11">
        <v>-57</v>
      </c>
      <c r="K27" s="11">
        <v>-42</v>
      </c>
      <c r="L27" s="11">
        <v>-50</v>
      </c>
    </row>
    <row r="29" spans="1:28" x14ac:dyDescent="0.3">
      <c r="A29" s="3" t="s">
        <v>17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907</v>
      </c>
      <c r="L29" s="11">
        <v>0</v>
      </c>
    </row>
    <row r="31" spans="1:28" x14ac:dyDescent="0.3">
      <c r="A31" s="3" t="s">
        <v>18</v>
      </c>
      <c r="C31" s="11">
        <f t="shared" ref="C31:K31" si="18">C25+C27+C29</f>
        <v>0</v>
      </c>
      <c r="D31" s="11">
        <f t="shared" si="18"/>
        <v>-2</v>
      </c>
      <c r="E31" s="11">
        <f t="shared" si="18"/>
        <v>-21</v>
      </c>
      <c r="F31" s="11">
        <f t="shared" si="18"/>
        <v>-1</v>
      </c>
      <c r="G31" s="11">
        <f t="shared" si="18"/>
        <v>-10</v>
      </c>
      <c r="H31" s="11">
        <f t="shared" si="18"/>
        <v>-12</v>
      </c>
      <c r="I31" s="11">
        <f t="shared" si="18"/>
        <v>-18</v>
      </c>
      <c r="J31" s="11">
        <f t="shared" si="18"/>
        <v>14</v>
      </c>
      <c r="K31" s="11">
        <f t="shared" si="18"/>
        <v>1290</v>
      </c>
      <c r="L31" s="11">
        <f>L25+L27+L29</f>
        <v>454</v>
      </c>
    </row>
    <row r="33" spans="1:23" x14ac:dyDescent="0.3">
      <c r="A33" s="3" t="s">
        <v>19</v>
      </c>
      <c r="C33" s="26">
        <f t="shared" ref="C33:K33" si="19">C31/C11</f>
        <v>0</v>
      </c>
      <c r="D33" s="26">
        <f t="shared" si="19"/>
        <v>-5.3763440860215058E-3</v>
      </c>
      <c r="E33" s="26">
        <f t="shared" si="19"/>
        <v>-5.3984575835475578E-2</v>
      </c>
      <c r="F33" s="26">
        <f t="shared" si="19"/>
        <v>-1.6207455429497568E-3</v>
      </c>
      <c r="G33" s="26">
        <f t="shared" si="19"/>
        <v>-1.1904761904761904E-2</v>
      </c>
      <c r="H33" s="26">
        <f t="shared" si="19"/>
        <v>-1.2526096033402923E-2</v>
      </c>
      <c r="I33" s="26">
        <f t="shared" si="19"/>
        <v>-1.7029328287606435E-2</v>
      </c>
      <c r="J33" s="26">
        <f t="shared" si="19"/>
        <v>1.2389380530973451E-2</v>
      </c>
      <c r="K33" s="26">
        <f t="shared" si="19"/>
        <v>1.0445344129554657</v>
      </c>
      <c r="L33" s="26">
        <f>L31/L11</f>
        <v>0.36407377706495592</v>
      </c>
      <c r="N33" s="25">
        <f>L33*(1+N34)</f>
        <v>0.54611066559743393</v>
      </c>
      <c r="O33" s="25">
        <f>N33*(1+O34)</f>
        <v>0.8191659983961509</v>
      </c>
      <c r="P33" s="25">
        <f t="shared" ref="P33" si="20">O33*(1+P34)</f>
        <v>1.2287489975942263</v>
      </c>
      <c r="Q33" s="25">
        <f t="shared" ref="Q33" si="21">P33*(1+Q34)</f>
        <v>1.8431234963913394</v>
      </c>
      <c r="R33" s="25">
        <f t="shared" ref="R33" si="22">Q33*(1+R34)</f>
        <v>2.7646852445870094</v>
      </c>
      <c r="S33" s="25">
        <f t="shared" ref="S33" si="23">R33*(1+S34)</f>
        <v>4.1470278668805136</v>
      </c>
      <c r="T33" s="25">
        <f t="shared" ref="T33" si="24">S33*(1+T34)</f>
        <v>6.2205418003207704</v>
      </c>
      <c r="U33" s="25">
        <f t="shared" ref="U33" si="25">T33*(1+U34)</f>
        <v>9.3308127004811556</v>
      </c>
      <c r="V33" s="25">
        <f t="shared" ref="V33" si="26">U33*(1+V34)</f>
        <v>13.996219050721734</v>
      </c>
      <c r="W33" s="25">
        <f t="shared" ref="W33" si="27">V33*(1+W34)</f>
        <v>20.994328576082602</v>
      </c>
    </row>
    <row r="34" spans="1:23" x14ac:dyDescent="0.3">
      <c r="N34" s="24">
        <v>0.5</v>
      </c>
      <c r="O34" s="24">
        <v>0.5</v>
      </c>
      <c r="P34" s="24">
        <v>0.5</v>
      </c>
      <c r="Q34" s="24">
        <v>0.5</v>
      </c>
      <c r="R34" s="24">
        <v>0.5</v>
      </c>
      <c r="S34" s="24">
        <v>0.5</v>
      </c>
      <c r="T34" s="24">
        <v>0.5</v>
      </c>
      <c r="U34" s="24">
        <v>0.5</v>
      </c>
      <c r="V34" s="24">
        <v>0.5</v>
      </c>
      <c r="W34" s="24">
        <v>0.5</v>
      </c>
    </row>
    <row r="35" spans="1:23" x14ac:dyDescent="0.3">
      <c r="A35" s="3" t="s">
        <v>20</v>
      </c>
      <c r="C35" s="11">
        <v>0</v>
      </c>
      <c r="D35" s="11">
        <v>0</v>
      </c>
      <c r="E35" s="11">
        <v>0</v>
      </c>
      <c r="F35" s="11">
        <v>3.1205714285714286</v>
      </c>
      <c r="G35" s="11">
        <v>3.4187499999999997</v>
      </c>
      <c r="H35" s="11">
        <v>8.8076666666666661</v>
      </c>
      <c r="I35" s="11">
        <v>14.132749916666667</v>
      </c>
      <c r="J35" s="11">
        <v>28.713750083333338</v>
      </c>
      <c r="K35" s="11">
        <v>82.886166583333349</v>
      </c>
      <c r="L35" s="11">
        <v>134.32350091666666</v>
      </c>
    </row>
    <row r="36" spans="1:23" x14ac:dyDescent="0.3">
      <c r="A36" s="3"/>
    </row>
    <row r="37" spans="1:23" x14ac:dyDescent="0.3">
      <c r="A37" s="3" t="s">
        <v>21</v>
      </c>
      <c r="C37" s="13"/>
      <c r="D37" s="13"/>
      <c r="E37" s="13"/>
      <c r="F37" s="21">
        <f t="shared" ref="F37:K37" si="28">F33/F35</f>
        <v>-5.1937460175097497E-4</v>
      </c>
      <c r="G37" s="21">
        <f t="shared" si="28"/>
        <v>-3.482197266475146E-3</v>
      </c>
      <c r="H37" s="21">
        <f t="shared" si="28"/>
        <v>-1.4221809824852883E-3</v>
      </c>
      <c r="I37" s="21">
        <f t="shared" si="28"/>
        <v>-1.2049550432873541E-3</v>
      </c>
      <c r="J37" s="21">
        <f t="shared" si="28"/>
        <v>4.3147901249460151E-4</v>
      </c>
      <c r="K37" s="21">
        <f t="shared" si="28"/>
        <v>1.2602035490509696E-2</v>
      </c>
      <c r="L37" s="21">
        <f>L33/L35</f>
        <v>2.7104250155810389E-3</v>
      </c>
      <c r="M37" s="22">
        <f>AVERAGE(F37:L37)</f>
        <v>1.3021759463695104E-3</v>
      </c>
    </row>
    <row r="38" spans="1:23" x14ac:dyDescent="0.3">
      <c r="M38" s="3"/>
    </row>
  </sheetData>
  <mergeCells count="8">
    <mergeCell ref="Z17:AA17"/>
    <mergeCell ref="Y20:AA20"/>
    <mergeCell ref="Y3:AA3"/>
    <mergeCell ref="Z6:AA6"/>
    <mergeCell ref="Z9:AA9"/>
    <mergeCell ref="Z8:AA8"/>
    <mergeCell ref="Z11:AA11"/>
    <mergeCell ref="Y14:A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6CE0-61A2-4A05-98D2-838C63F91ADC}">
  <dimension ref="A3:K12"/>
  <sheetViews>
    <sheetView workbookViewId="0">
      <selection activeCell="D4" sqref="D4:K4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11" x14ac:dyDescent="0.3">
      <c r="A3" s="7" t="s">
        <v>25</v>
      </c>
      <c r="B3" t="s">
        <v>35</v>
      </c>
    </row>
    <row r="4" spans="1:11" x14ac:dyDescent="0.3">
      <c r="A4" s="8" t="s">
        <v>27</v>
      </c>
      <c r="B4" s="9">
        <v>3.1205714285714286</v>
      </c>
      <c r="D4" cm="1">
        <f t="array" ref="D4:K4">TRANSPOSE(B4:B11)</f>
        <v>3.1205714285714286</v>
      </c>
      <c r="E4">
        <v>3.4187499999999997</v>
      </c>
      <c r="F4">
        <v>8.8076666666666661</v>
      </c>
      <c r="G4">
        <v>14.132749916666667</v>
      </c>
      <c r="H4">
        <v>28.713750083333338</v>
      </c>
      <c r="I4">
        <v>82.886166583333349</v>
      </c>
      <c r="J4">
        <v>134.32350091666666</v>
      </c>
      <c r="K4">
        <v>46.1176933846154</v>
      </c>
    </row>
    <row r="5" spans="1:11" x14ac:dyDescent="0.3">
      <c r="A5" s="8" t="s">
        <v>28</v>
      </c>
      <c r="B5" s="9">
        <v>3.4187499999999997</v>
      </c>
    </row>
    <row r="6" spans="1:11" x14ac:dyDescent="0.3">
      <c r="A6" s="8" t="s">
        <v>29</v>
      </c>
      <c r="B6" s="9">
        <v>8.8076666666666661</v>
      </c>
    </row>
    <row r="7" spans="1:11" x14ac:dyDescent="0.3">
      <c r="A7" s="8" t="s">
        <v>30</v>
      </c>
      <c r="B7" s="9">
        <v>14.132749916666667</v>
      </c>
    </row>
    <row r="8" spans="1:11" x14ac:dyDescent="0.3">
      <c r="A8" s="8" t="s">
        <v>31</v>
      </c>
      <c r="B8" s="9">
        <v>28.713750083333338</v>
      </c>
    </row>
    <row r="9" spans="1:11" x14ac:dyDescent="0.3">
      <c r="A9" s="8" t="s">
        <v>32</v>
      </c>
      <c r="B9" s="9">
        <v>82.886166583333349</v>
      </c>
    </row>
    <row r="10" spans="1:11" x14ac:dyDescent="0.3">
      <c r="A10" s="8" t="s">
        <v>33</v>
      </c>
      <c r="B10" s="9">
        <v>134.32350091666666</v>
      </c>
    </row>
    <row r="11" spans="1:11" x14ac:dyDescent="0.3">
      <c r="A11" s="8" t="s">
        <v>34</v>
      </c>
      <c r="B11" s="9">
        <v>46.1176933846154</v>
      </c>
    </row>
    <row r="12" spans="1:11" x14ac:dyDescent="0.3">
      <c r="A12" s="8" t="s">
        <v>26</v>
      </c>
      <c r="B12" s="9">
        <v>42.269185043478252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C8AA-1D40-46DE-94E0-466E7CE9360A}">
  <dimension ref="A1:B93"/>
  <sheetViews>
    <sheetView showGridLines="0" workbookViewId="0">
      <selection activeCell="A2" sqref="A2"/>
    </sheetView>
  </sheetViews>
  <sheetFormatPr defaultRowHeight="14.4" x14ac:dyDescent="0.3"/>
  <cols>
    <col min="1" max="1" width="9.5546875" bestFit="1" customWidth="1"/>
    <col min="2" max="2" width="11" bestFit="1" customWidth="1"/>
  </cols>
  <sheetData>
    <row r="1" spans="1:2" x14ac:dyDescent="0.3">
      <c r="A1" t="s">
        <v>24</v>
      </c>
      <c r="B1" t="s">
        <v>23</v>
      </c>
    </row>
    <row r="2" spans="1:2" x14ac:dyDescent="0.3">
      <c r="A2" s="2">
        <v>42156</v>
      </c>
      <c r="B2">
        <v>3.395</v>
      </c>
    </row>
    <row r="3" spans="1:2" x14ac:dyDescent="0.3">
      <c r="A3" s="2">
        <v>42186</v>
      </c>
      <c r="B3">
        <v>3.7389999999999999</v>
      </c>
    </row>
    <row r="4" spans="1:2" x14ac:dyDescent="0.3">
      <c r="A4" s="2">
        <v>42217</v>
      </c>
      <c r="B4">
        <v>2.754</v>
      </c>
    </row>
    <row r="5" spans="1:2" x14ac:dyDescent="0.3">
      <c r="A5" s="2">
        <v>42248</v>
      </c>
      <c r="B5">
        <v>3.52</v>
      </c>
    </row>
    <row r="6" spans="1:2" x14ac:dyDescent="0.3">
      <c r="A6" s="2">
        <v>42278</v>
      </c>
      <c r="B6">
        <v>3.222</v>
      </c>
    </row>
    <row r="7" spans="1:2" x14ac:dyDescent="0.3">
      <c r="A7" s="2">
        <v>42309</v>
      </c>
      <c r="B7">
        <v>2.6339999999999999</v>
      </c>
    </row>
    <row r="8" spans="1:2" x14ac:dyDescent="0.3">
      <c r="A8" s="2">
        <v>42339</v>
      </c>
      <c r="B8">
        <v>2.58</v>
      </c>
    </row>
    <row r="9" spans="1:2" x14ac:dyDescent="0.3">
      <c r="A9" s="2">
        <v>42370</v>
      </c>
      <c r="B9">
        <v>2.3220000000000001</v>
      </c>
    </row>
    <row r="10" spans="1:2" x14ac:dyDescent="0.3">
      <c r="A10" s="2">
        <v>42401</v>
      </c>
      <c r="B10">
        <v>2.238</v>
      </c>
    </row>
    <row r="11" spans="1:2" x14ac:dyDescent="0.3">
      <c r="A11" s="2">
        <v>42430</v>
      </c>
      <c r="B11">
        <v>2.8210000000000002</v>
      </c>
    </row>
    <row r="12" spans="1:2" x14ac:dyDescent="0.3">
      <c r="A12" s="2">
        <v>42461</v>
      </c>
      <c r="B12">
        <v>3.1850000000000001</v>
      </c>
    </row>
    <row r="13" spans="1:2" x14ac:dyDescent="0.3">
      <c r="A13" s="2">
        <v>42491</v>
      </c>
      <c r="B13">
        <v>2.9289999999999998</v>
      </c>
    </row>
    <row r="14" spans="1:2" x14ac:dyDescent="0.3">
      <c r="A14" s="2">
        <v>42522</v>
      </c>
      <c r="B14">
        <v>3.0760000000000001</v>
      </c>
    </row>
    <row r="15" spans="1:2" x14ac:dyDescent="0.3">
      <c r="A15" s="2">
        <v>42552</v>
      </c>
      <c r="B15">
        <v>3.427</v>
      </c>
    </row>
    <row r="16" spans="1:2" x14ac:dyDescent="0.3">
      <c r="A16" s="2">
        <v>42583</v>
      </c>
      <c r="B16">
        <v>4.1360000000000001</v>
      </c>
    </row>
    <row r="17" spans="1:2" x14ac:dyDescent="0.3">
      <c r="A17" s="2">
        <v>42614</v>
      </c>
      <c r="B17">
        <v>4.2919999999999998</v>
      </c>
    </row>
    <row r="18" spans="1:2" x14ac:dyDescent="0.3">
      <c r="A18" s="2">
        <v>42644</v>
      </c>
      <c r="B18">
        <v>4.1449999999999996</v>
      </c>
    </row>
    <row r="19" spans="1:2" x14ac:dyDescent="0.3">
      <c r="A19" s="2">
        <v>42675</v>
      </c>
      <c r="B19">
        <v>4.1669999999999998</v>
      </c>
    </row>
    <row r="20" spans="1:2" x14ac:dyDescent="0.3">
      <c r="A20" s="2">
        <v>42705</v>
      </c>
      <c r="B20">
        <v>4.2869999999999999</v>
      </c>
    </row>
    <row r="21" spans="1:2" x14ac:dyDescent="0.3">
      <c r="A21" s="2">
        <v>42736</v>
      </c>
      <c r="B21">
        <v>5.0819999999999999</v>
      </c>
    </row>
    <row r="22" spans="1:2" x14ac:dyDescent="0.3">
      <c r="A22" s="2">
        <v>42767</v>
      </c>
      <c r="B22">
        <v>5.9210000000000003</v>
      </c>
    </row>
    <row r="23" spans="1:2" x14ac:dyDescent="0.3">
      <c r="A23" s="2">
        <v>42795</v>
      </c>
      <c r="B23">
        <v>6.8090000000000002</v>
      </c>
    </row>
    <row r="24" spans="1:2" x14ac:dyDescent="0.3">
      <c r="A24" s="2">
        <v>42826</v>
      </c>
      <c r="B24">
        <v>7.5949999999999998</v>
      </c>
    </row>
    <row r="25" spans="1:2" x14ac:dyDescent="0.3">
      <c r="A25" s="2">
        <v>42856</v>
      </c>
      <c r="B25">
        <v>9.1859999999999999</v>
      </c>
    </row>
    <row r="26" spans="1:2" x14ac:dyDescent="0.3">
      <c r="A26" s="2">
        <v>42887</v>
      </c>
      <c r="B26">
        <v>8.69</v>
      </c>
    </row>
    <row r="27" spans="1:2" x14ac:dyDescent="0.3">
      <c r="A27" s="2">
        <v>42917</v>
      </c>
      <c r="B27">
        <v>9.2370000000000001</v>
      </c>
    </row>
    <row r="28" spans="1:2" x14ac:dyDescent="0.3">
      <c r="A28" s="2">
        <v>42948</v>
      </c>
      <c r="B28">
        <v>11.092000000000001</v>
      </c>
    </row>
    <row r="29" spans="1:2" x14ac:dyDescent="0.3">
      <c r="A29" s="2">
        <v>42979</v>
      </c>
      <c r="B29">
        <v>11.648999999999999</v>
      </c>
    </row>
    <row r="30" spans="1:2" x14ac:dyDescent="0.3">
      <c r="A30" s="2">
        <v>43009</v>
      </c>
      <c r="B30">
        <v>9.9489999999999998</v>
      </c>
    </row>
    <row r="31" spans="1:2" x14ac:dyDescent="0.3">
      <c r="A31" s="2">
        <v>43040</v>
      </c>
      <c r="B31">
        <v>10.382</v>
      </c>
    </row>
    <row r="32" spans="1:2" x14ac:dyDescent="0.3">
      <c r="A32" s="2">
        <v>43070</v>
      </c>
      <c r="B32">
        <v>10.1</v>
      </c>
    </row>
    <row r="33" spans="1:2" x14ac:dyDescent="0.3">
      <c r="A33" s="2">
        <v>43101</v>
      </c>
      <c r="B33">
        <v>12.792</v>
      </c>
    </row>
    <row r="34" spans="1:2" x14ac:dyDescent="0.3">
      <c r="A34" s="2">
        <v>43132</v>
      </c>
      <c r="B34">
        <v>13.821</v>
      </c>
    </row>
    <row r="35" spans="1:2" x14ac:dyDescent="0.3">
      <c r="A35" s="2">
        <v>43160</v>
      </c>
      <c r="B35">
        <v>12.459</v>
      </c>
    </row>
    <row r="36" spans="1:2" x14ac:dyDescent="0.3">
      <c r="A36" s="2">
        <v>43191</v>
      </c>
      <c r="B36">
        <v>13.363</v>
      </c>
    </row>
    <row r="37" spans="1:2" x14ac:dyDescent="0.3">
      <c r="A37" s="2">
        <v>43221</v>
      </c>
      <c r="B37">
        <v>14.808999999999999</v>
      </c>
    </row>
    <row r="38" spans="1:2" x14ac:dyDescent="0.3">
      <c r="A38" s="2">
        <v>43252</v>
      </c>
      <c r="B38">
        <v>14.589</v>
      </c>
    </row>
    <row r="39" spans="1:2" x14ac:dyDescent="0.3">
      <c r="A39" s="2">
        <v>43282</v>
      </c>
      <c r="B39">
        <v>13.821</v>
      </c>
    </row>
    <row r="40" spans="1:2" x14ac:dyDescent="0.3">
      <c r="A40" s="2">
        <v>43313</v>
      </c>
      <c r="B40">
        <v>14.567</v>
      </c>
    </row>
    <row r="41" spans="1:2" x14ac:dyDescent="0.3">
      <c r="A41" s="2">
        <v>43344</v>
      </c>
      <c r="B41">
        <v>16.445999</v>
      </c>
    </row>
    <row r="42" spans="1:2" x14ac:dyDescent="0.3">
      <c r="A42" s="2">
        <v>43374</v>
      </c>
      <c r="B42">
        <v>13.815</v>
      </c>
    </row>
    <row r="43" spans="1:2" x14ac:dyDescent="0.3">
      <c r="A43" s="2">
        <v>43405</v>
      </c>
      <c r="B43">
        <v>15.266</v>
      </c>
    </row>
    <row r="44" spans="1:2" x14ac:dyDescent="0.3">
      <c r="A44" s="2">
        <v>43435</v>
      </c>
      <c r="B44">
        <v>13.845000000000001</v>
      </c>
    </row>
    <row r="45" spans="1:2" x14ac:dyDescent="0.3">
      <c r="A45" s="2">
        <v>43466</v>
      </c>
      <c r="B45">
        <v>16.847000000000001</v>
      </c>
    </row>
    <row r="46" spans="1:2" x14ac:dyDescent="0.3">
      <c r="A46" s="2">
        <v>43497</v>
      </c>
      <c r="B46">
        <v>18.915001</v>
      </c>
    </row>
    <row r="47" spans="1:2" x14ac:dyDescent="0.3">
      <c r="A47" s="2">
        <v>43525</v>
      </c>
      <c r="B47">
        <v>20.662001</v>
      </c>
    </row>
    <row r="48" spans="1:2" x14ac:dyDescent="0.3">
      <c r="A48" s="2">
        <v>43556</v>
      </c>
      <c r="B48">
        <v>24.353000999999999</v>
      </c>
    </row>
    <row r="49" spans="1:2" x14ac:dyDescent="0.3">
      <c r="A49" s="2">
        <v>43586</v>
      </c>
      <c r="B49">
        <v>27.49</v>
      </c>
    </row>
    <row r="50" spans="1:2" x14ac:dyDescent="0.3">
      <c r="A50" s="2">
        <v>43617</v>
      </c>
      <c r="B50">
        <v>30.014999</v>
      </c>
    </row>
    <row r="51" spans="1:2" x14ac:dyDescent="0.3">
      <c r="A51" s="2">
        <v>43647</v>
      </c>
      <c r="B51">
        <v>31.788</v>
      </c>
    </row>
    <row r="52" spans="1:2" x14ac:dyDescent="0.3">
      <c r="A52" s="2">
        <v>43678</v>
      </c>
      <c r="B52">
        <v>38.539000999999999</v>
      </c>
    </row>
    <row r="53" spans="1:2" x14ac:dyDescent="0.3">
      <c r="A53" s="2">
        <v>43709</v>
      </c>
      <c r="B53">
        <v>31.166</v>
      </c>
    </row>
    <row r="54" spans="1:2" x14ac:dyDescent="0.3">
      <c r="A54" s="2">
        <v>43739</v>
      </c>
      <c r="B54">
        <v>31.356999999999999</v>
      </c>
    </row>
    <row r="55" spans="1:2" x14ac:dyDescent="0.3">
      <c r="A55" s="2">
        <v>43770</v>
      </c>
      <c r="B55">
        <v>33.674999</v>
      </c>
    </row>
    <row r="56" spans="1:2" x14ac:dyDescent="0.3">
      <c r="A56" s="2">
        <v>43800</v>
      </c>
      <c r="B56">
        <v>39.757998999999998</v>
      </c>
    </row>
    <row r="57" spans="1:2" x14ac:dyDescent="0.3">
      <c r="A57" s="2">
        <v>43831</v>
      </c>
      <c r="B57">
        <v>46.566001999999997</v>
      </c>
    </row>
    <row r="58" spans="1:2" x14ac:dyDescent="0.3">
      <c r="A58" s="2">
        <v>43862</v>
      </c>
      <c r="B58">
        <v>46.331001000000001</v>
      </c>
    </row>
    <row r="59" spans="1:2" x14ac:dyDescent="0.3">
      <c r="A59" s="2">
        <v>43891</v>
      </c>
      <c r="B59">
        <v>41.693001000000002</v>
      </c>
    </row>
    <row r="60" spans="1:2" x14ac:dyDescent="0.3">
      <c r="A60" s="2">
        <v>43922</v>
      </c>
      <c r="B60">
        <v>63.228999999999999</v>
      </c>
    </row>
    <row r="61" spans="1:2" x14ac:dyDescent="0.3">
      <c r="A61" s="2">
        <v>43952</v>
      </c>
      <c r="B61">
        <v>75.779999000000004</v>
      </c>
    </row>
    <row r="62" spans="1:2" x14ac:dyDescent="0.3">
      <c r="A62" s="2">
        <v>43983</v>
      </c>
      <c r="B62">
        <v>94.919998000000007</v>
      </c>
    </row>
    <row r="63" spans="1:2" x14ac:dyDescent="0.3">
      <c r="A63" s="2">
        <v>44013</v>
      </c>
      <c r="B63">
        <v>102.400002</v>
      </c>
    </row>
    <row r="64" spans="1:2" x14ac:dyDescent="0.3">
      <c r="A64" s="2">
        <v>44044</v>
      </c>
      <c r="B64">
        <v>106.641998</v>
      </c>
    </row>
    <row r="65" spans="1:2" x14ac:dyDescent="0.3">
      <c r="A65" s="2">
        <v>44075</v>
      </c>
      <c r="B65">
        <v>102.296997</v>
      </c>
    </row>
    <row r="66" spans="1:2" x14ac:dyDescent="0.3">
      <c r="A66" s="2">
        <v>44105</v>
      </c>
      <c r="B66">
        <v>92.542998999999995</v>
      </c>
    </row>
    <row r="67" spans="1:2" x14ac:dyDescent="0.3">
      <c r="A67" s="2">
        <v>44136</v>
      </c>
      <c r="B67">
        <v>109.03800200000001</v>
      </c>
    </row>
    <row r="68" spans="1:2" x14ac:dyDescent="0.3">
      <c r="A68" s="2">
        <v>44166</v>
      </c>
      <c r="B68">
        <v>113.19499999999999</v>
      </c>
    </row>
    <row r="69" spans="1:2" x14ac:dyDescent="0.3">
      <c r="A69" s="2">
        <v>44197</v>
      </c>
      <c r="B69">
        <v>109.85900100000001</v>
      </c>
    </row>
    <row r="70" spans="1:2" x14ac:dyDescent="0.3">
      <c r="A70" s="2">
        <v>44228</v>
      </c>
      <c r="B70">
        <v>128.09700000000001</v>
      </c>
    </row>
    <row r="71" spans="1:2" x14ac:dyDescent="0.3">
      <c r="A71" s="2">
        <v>44256</v>
      </c>
      <c r="B71">
        <v>110.650002</v>
      </c>
    </row>
    <row r="72" spans="1:2" x14ac:dyDescent="0.3">
      <c r="A72" s="2">
        <v>44287</v>
      </c>
      <c r="B72">
        <v>118.25099899999999</v>
      </c>
    </row>
    <row r="73" spans="1:2" x14ac:dyDescent="0.3">
      <c r="A73" s="2">
        <v>44317</v>
      </c>
      <c r="B73">
        <v>124.287003</v>
      </c>
    </row>
    <row r="74" spans="1:2" x14ac:dyDescent="0.3">
      <c r="A74" s="2">
        <v>44348</v>
      </c>
      <c r="B74">
        <v>146.098007</v>
      </c>
    </row>
    <row r="75" spans="1:2" x14ac:dyDescent="0.3">
      <c r="A75" s="2">
        <v>44378</v>
      </c>
      <c r="B75">
        <v>149.99299600000001</v>
      </c>
    </row>
    <row r="76" spans="1:2" x14ac:dyDescent="0.3">
      <c r="A76" s="2">
        <v>44409</v>
      </c>
      <c r="B76">
        <v>152.47799699999999</v>
      </c>
    </row>
    <row r="77" spans="1:2" x14ac:dyDescent="0.3">
      <c r="A77" s="2">
        <v>44440</v>
      </c>
      <c r="B77">
        <v>135.578003</v>
      </c>
    </row>
    <row r="78" spans="1:2" x14ac:dyDescent="0.3">
      <c r="A78" s="2">
        <v>44470</v>
      </c>
      <c r="B78">
        <v>146.67300399999999</v>
      </c>
    </row>
    <row r="79" spans="1:2" x14ac:dyDescent="0.3">
      <c r="A79" s="2">
        <v>44501</v>
      </c>
      <c r="B79">
        <v>152.179001</v>
      </c>
    </row>
    <row r="80" spans="1:2" x14ac:dyDescent="0.3">
      <c r="A80" s="2">
        <v>44531</v>
      </c>
      <c r="B80">
        <v>137.73899800000001</v>
      </c>
    </row>
    <row r="81" spans="1:2" x14ac:dyDescent="0.3">
      <c r="A81" s="2">
        <v>44562</v>
      </c>
      <c r="B81">
        <v>96.424003999999996</v>
      </c>
    </row>
    <row r="82" spans="1:2" x14ac:dyDescent="0.3">
      <c r="A82" s="2">
        <v>44593</v>
      </c>
      <c r="B82">
        <v>69.426002999999994</v>
      </c>
    </row>
    <row r="83" spans="1:2" x14ac:dyDescent="0.3">
      <c r="A83" s="2">
        <v>44621</v>
      </c>
      <c r="B83">
        <v>67.596001000000001</v>
      </c>
    </row>
    <row r="84" spans="1:2" x14ac:dyDescent="0.3">
      <c r="A84" s="2">
        <v>44652</v>
      </c>
      <c r="B84">
        <v>42.681998999999998</v>
      </c>
    </row>
    <row r="85" spans="1:2" x14ac:dyDescent="0.3">
      <c r="A85" s="2">
        <v>44682</v>
      </c>
      <c r="B85">
        <v>37.512000999999998</v>
      </c>
    </row>
    <row r="86" spans="1:2" x14ac:dyDescent="0.3">
      <c r="A86" s="2">
        <v>44713</v>
      </c>
      <c r="B86">
        <v>31.24</v>
      </c>
    </row>
    <row r="87" spans="1:2" x14ac:dyDescent="0.3">
      <c r="A87" s="2">
        <v>44743</v>
      </c>
      <c r="B87">
        <v>34.830002</v>
      </c>
    </row>
    <row r="88" spans="1:2" x14ac:dyDescent="0.3">
      <c r="A88" s="2">
        <v>44774</v>
      </c>
      <c r="B88">
        <v>31.65</v>
      </c>
    </row>
    <row r="89" spans="1:2" x14ac:dyDescent="0.3">
      <c r="A89" s="2">
        <v>44805</v>
      </c>
      <c r="B89">
        <v>26.940000999999999</v>
      </c>
    </row>
    <row r="90" spans="1:2" x14ac:dyDescent="0.3">
      <c r="A90" s="2">
        <v>44835</v>
      </c>
      <c r="B90">
        <v>34.229999999999997</v>
      </c>
    </row>
    <row r="91" spans="1:2" x14ac:dyDescent="0.3">
      <c r="A91" s="2">
        <v>44866</v>
      </c>
      <c r="B91">
        <v>40.880001</v>
      </c>
    </row>
    <row r="92" spans="1:2" x14ac:dyDescent="0.3">
      <c r="A92" s="2">
        <v>44896</v>
      </c>
      <c r="B92">
        <v>43.060001</v>
      </c>
    </row>
    <row r="93" spans="1:2" x14ac:dyDescent="0.3">
      <c r="A93" s="2">
        <v>44897</v>
      </c>
      <c r="B93">
        <v>43.060001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2022-12-04T10:51:52Z</dcterms:modified>
</cp:coreProperties>
</file>