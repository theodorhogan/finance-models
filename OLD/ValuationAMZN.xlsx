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"/>
    </mc:Choice>
  </mc:AlternateContent>
  <xr:revisionPtr revIDLastSave="376" documentId="11_F25DC773A252ABDACC104830195C761C5ADE58EE" xr6:coauthVersionLast="47" xr6:coauthVersionMax="47" xr10:uidLastSave="{261C034D-9BF2-4753-801C-66F18B7820FA}"/>
  <bookViews>
    <workbookView xWindow="-108" yWindow="-108" windowWidth="23256" windowHeight="12456" xr2:uid="{00000000-000D-0000-FFFF-FFFF00000000}"/>
  </bookViews>
  <sheets>
    <sheet name="Valuation" sheetId="1" r:id="rId1"/>
    <sheet name="Sheet3" sheetId="3" r:id="rId2"/>
    <sheet name="AMZN" sheetId="2" r:id="rId3"/>
  </sheet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6" i="1" l="1"/>
  <c r="Y26" i="1"/>
  <c r="Z25" i="1"/>
  <c r="Y25" i="1"/>
  <c r="Z24" i="1"/>
  <c r="Y24" i="1"/>
  <c r="Z23" i="1"/>
  <c r="Y23" i="1"/>
  <c r="Z22" i="1"/>
  <c r="Y22" i="1"/>
  <c r="Z18" i="1"/>
  <c r="Y18" i="1"/>
  <c r="Z16" i="1"/>
  <c r="Y16" i="1"/>
  <c r="Z15" i="1"/>
  <c r="Y15" i="1"/>
  <c r="Z12" i="1"/>
  <c r="Y12" i="1"/>
  <c r="Y11" i="1"/>
  <c r="Z10" i="1"/>
  <c r="Y10" i="1"/>
  <c r="Z7" i="1"/>
  <c r="Y7" i="1"/>
  <c r="Y9" i="1"/>
  <c r="Y8" i="1"/>
  <c r="Z5" i="1"/>
  <c r="Y5" i="1"/>
  <c r="Z4" i="1"/>
  <c r="Y4" i="1"/>
  <c r="O33" i="1"/>
  <c r="P33" i="1" s="1"/>
  <c r="Q33" i="1" s="1"/>
  <c r="R33" i="1" s="1"/>
  <c r="S33" i="1" s="1"/>
  <c r="T33" i="1" s="1"/>
  <c r="U33" i="1" s="1"/>
  <c r="V33" i="1" s="1"/>
  <c r="N33" i="1"/>
  <c r="N8" i="1"/>
  <c r="O8" i="1" s="1"/>
  <c r="P8" i="1" s="1"/>
  <c r="Q8" i="1" s="1"/>
  <c r="R8" i="1" s="1"/>
  <c r="S8" i="1" s="1"/>
  <c r="T8" i="1" s="1"/>
  <c r="U8" i="1" s="1"/>
  <c r="V8" i="1" s="1"/>
  <c r="P3" i="1"/>
  <c r="Q3" i="1" s="1"/>
  <c r="R3" i="1" s="1"/>
  <c r="S3" i="1" s="1"/>
  <c r="T3" i="1" s="1"/>
  <c r="U3" i="1" s="1"/>
  <c r="V3" i="1" s="1"/>
  <c r="O3" i="1"/>
  <c r="N3" i="1"/>
  <c r="P2" i="1"/>
  <c r="Q2" i="1" s="1"/>
  <c r="R2" i="1" s="1"/>
  <c r="O2" i="1"/>
  <c r="M37" i="1"/>
  <c r="M35" i="1"/>
  <c r="M33" i="1"/>
  <c r="M25" i="1"/>
  <c r="M19" i="1"/>
  <c r="M17" i="1"/>
  <c r="M15" i="1"/>
  <c r="M4" i="1"/>
  <c r="M9" i="1"/>
  <c r="L9" i="1"/>
  <c r="K9" i="1"/>
  <c r="J9" i="1"/>
  <c r="I9" i="1"/>
  <c r="H9" i="1"/>
  <c r="G9" i="1"/>
  <c r="F9" i="1"/>
  <c r="E9" i="1"/>
  <c r="D9" i="1"/>
  <c r="I33" i="1"/>
  <c r="I37" i="1" s="1"/>
  <c r="H33" i="1"/>
  <c r="H37" i="1" s="1"/>
  <c r="G33" i="1"/>
  <c r="G37" i="1" s="1"/>
  <c r="K23" i="1"/>
  <c r="J23" i="1"/>
  <c r="I23" i="1"/>
  <c r="H23" i="1"/>
  <c r="G23" i="1"/>
  <c r="F23" i="1"/>
  <c r="E23" i="1"/>
  <c r="D23" i="1"/>
  <c r="C23" i="1"/>
  <c r="L23" i="1"/>
  <c r="K19" i="1"/>
  <c r="K21" i="1" s="1"/>
  <c r="J19" i="1"/>
  <c r="J21" i="1" s="1"/>
  <c r="D19" i="1"/>
  <c r="D21" i="1" s="1"/>
  <c r="C19" i="1"/>
  <c r="C21" i="1" s="1"/>
  <c r="L19" i="1"/>
  <c r="L21" i="1" s="1"/>
  <c r="L17" i="1"/>
  <c r="K17" i="1"/>
  <c r="J17" i="1"/>
  <c r="I17" i="1"/>
  <c r="I19" i="1" s="1"/>
  <c r="I21" i="1" s="1"/>
  <c r="H17" i="1"/>
  <c r="H19" i="1" s="1"/>
  <c r="H21" i="1" s="1"/>
  <c r="G17" i="1"/>
  <c r="G19" i="1" s="1"/>
  <c r="G21" i="1" s="1"/>
  <c r="F17" i="1"/>
  <c r="F19" i="1" s="1"/>
  <c r="F21" i="1" s="1"/>
  <c r="E17" i="1"/>
  <c r="E19" i="1" s="1"/>
  <c r="E21" i="1" s="1"/>
  <c r="D17" i="1"/>
  <c r="C17" i="1"/>
  <c r="D19" i="3" a="1"/>
  <c r="D19" i="3" s="1"/>
  <c r="K8" i="1"/>
  <c r="J8" i="1"/>
  <c r="I8" i="1"/>
  <c r="H8" i="1"/>
  <c r="G8" i="1"/>
  <c r="F8" i="1"/>
  <c r="E8" i="1"/>
  <c r="D8" i="1"/>
  <c r="C8" i="1"/>
  <c r="L8" i="1"/>
  <c r="K31" i="1"/>
  <c r="K33" i="1" s="1"/>
  <c r="K37" i="1" s="1"/>
  <c r="J31" i="1"/>
  <c r="J33" i="1" s="1"/>
  <c r="J37" i="1" s="1"/>
  <c r="I31" i="1"/>
  <c r="H31" i="1"/>
  <c r="G31" i="1"/>
  <c r="F31" i="1"/>
  <c r="F33" i="1" s="1"/>
  <c r="F37" i="1" s="1"/>
  <c r="E31" i="1"/>
  <c r="E33" i="1" s="1"/>
  <c r="E37" i="1" s="1"/>
  <c r="D31" i="1"/>
  <c r="D33" i="1" s="1"/>
  <c r="D37" i="1" s="1"/>
  <c r="C31" i="1"/>
  <c r="C33" i="1" s="1"/>
  <c r="C37" i="1" s="1"/>
  <c r="L31" i="1"/>
  <c r="L33" i="1" s="1"/>
  <c r="L37" i="1" s="1"/>
  <c r="H13" i="1"/>
  <c r="I13" i="1"/>
  <c r="J13" i="1"/>
  <c r="K13" i="1"/>
  <c r="L13" i="1"/>
  <c r="E3" i="1"/>
  <c r="F3" i="1" s="1"/>
  <c r="G3" i="1" s="1"/>
  <c r="H3" i="1" s="1"/>
  <c r="I3" i="1" s="1"/>
  <c r="J3" i="1" s="1"/>
  <c r="K3" i="1" s="1"/>
  <c r="L3" i="1" s="1"/>
  <c r="D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<sst xmlns="http://schemas.openxmlformats.org/spreadsheetml/2006/main" count="76" uniqueCount="66">
  <si>
    <t>Ticker</t>
  </si>
  <si>
    <t>AMZN</t>
  </si>
  <si>
    <t>Date</t>
  </si>
  <si>
    <t>Revenue</t>
  </si>
  <si>
    <t>EBIT</t>
  </si>
  <si>
    <t>D &amp; A</t>
  </si>
  <si>
    <t>EBITDA</t>
  </si>
  <si>
    <t>Excess Cash</t>
  </si>
  <si>
    <t>ST + LT Debt</t>
  </si>
  <si>
    <t>CS Oustanding</t>
  </si>
  <si>
    <t>Market Cap</t>
  </si>
  <si>
    <t>EV</t>
  </si>
  <si>
    <t>EV/EBITDA</t>
  </si>
  <si>
    <t>Net Debt/EBTIDA</t>
  </si>
  <si>
    <t>CFO</t>
  </si>
  <si>
    <t>CapEx</t>
  </si>
  <si>
    <t>FCFE</t>
  </si>
  <si>
    <t>Debt Issuance</t>
  </si>
  <si>
    <t>FCFE/SHR</t>
  </si>
  <si>
    <t>$/SHR</t>
  </si>
  <si>
    <t>FCFE Yield</t>
  </si>
  <si>
    <t>% growth</t>
  </si>
  <si>
    <t>AVG/ CAGR</t>
  </si>
  <si>
    <t>Adj Close</t>
  </si>
  <si>
    <t>Row Labels</t>
  </si>
  <si>
    <t>Grand Total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</si>
  <si>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</si>
  <si>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</si>
  <si>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</si>
  <si>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</si>
  <si>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</si>
  <si>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</si>
  <si>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</si>
  <si>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</si>
  <si>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</si>
  <si>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</si>
  <si>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</si>
  <si>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</si>
  <si>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</si>
  <si>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</si>
  <si>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</si>
  <si>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</si>
  <si>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</si>
  <si>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</si>
  <si>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</si>
  <si>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</si>
  <si>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</si>
  <si>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</si>
  <si>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</si>
  <si>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</si>
  <si>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</si>
  <si>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</si>
  <si>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Average of Adj Close</t>
  </si>
  <si>
    <t>EBITDA Multiple Method</t>
  </si>
  <si>
    <t>Year</t>
  </si>
  <si>
    <t>Multiple</t>
  </si>
  <si>
    <t>(-) Debt</t>
  </si>
  <si>
    <t>(+) Cash</t>
  </si>
  <si>
    <t>CS Outstanding</t>
  </si>
  <si>
    <t>FCFE Yield Method</t>
  </si>
  <si>
    <t>Return Calculation</t>
  </si>
  <si>
    <t>Current $/SHR</t>
  </si>
  <si>
    <t>EBITDA $/SHR</t>
  </si>
  <si>
    <t>FCFE $/SHR</t>
  </si>
  <si>
    <t>Average</t>
  </si>
  <si>
    <t>CAGR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</si>
</sst>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7" formatCode="_(&quot;$&quot;* #,##0.0_);_(&quot;$&quot;* \(#,##0.0\);_(&quot;$&quot;* &quot;-&quot;_);_(@_)"/>
    <numFmt numFmtId="168" formatCode="_(&quot;$&quot;* #,##0.00_);_(&quot;$&quot;* \(#,##0.00\);_(&quot;$&quot;* &quot;-&quot;_);_(@_)"/>
    <numFmt numFmtId="169" formatCode="0.0\x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theme="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/>
    <xf numFmtId="0" fontId="0" fillId="0" borderId="0" xfId="0" applyFont="1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42" fontId="3" fillId="0" borderId="0" xfId="0" applyNumberFormat="1" applyFont="1"/>
    <xf numFmtId="168" fontId="3" fillId="0" borderId="0" xfId="0" applyNumberFormat="1" applyFont="1"/>
    <xf numFmtId="169" fontId="3" fillId="0" borderId="0" xfId="0" applyNumberFormat="1" applyFont="1"/>
    <xf numFmtId="10" fontId="5" fillId="0" borderId="0" xfId="1" applyNumberFormat="1" applyFont="1"/>
    <xf numFmtId="9" fontId="5" fillId="0" borderId="0" xfId="1" applyFont="1"/>
    <xf numFmtId="9" fontId="6" fillId="0" borderId="0" xfId="0" applyNumberFormat="1" applyFont="1" applyAlignment="1">
      <alignment horizontal="center"/>
    </xf>
    <xf numFmtId="9" fontId="6" fillId="0" borderId="0" xfId="1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2" fontId="0" fillId="0" borderId="0" xfId="0" applyNumberFormat="1"/>
    <xf numFmtId="9" fontId="7" fillId="0" borderId="0" xfId="0" applyNumberFormat="1" applyFont="1"/>
    <xf numFmtId="167" fontId="0" fillId="0" borderId="0" xfId="0" applyNumberFormat="1"/>
    <xf numFmtId="0" fontId="3" fillId="0" borderId="1" xfId="0" applyFont="1" applyBorder="1" applyAlignment="1">
      <alignment horizontal="center"/>
    </xf>
    <xf numFmtId="0" fontId="0" fillId="6" borderId="0" xfId="0" applyFill="1"/>
    <xf numFmtId="0" fontId="0" fillId="6" borderId="1" xfId="0" applyFill="1" applyBorder="1"/>
    <xf numFmtId="167" fontId="0" fillId="6" borderId="0" xfId="0" applyNumberFormat="1" applyFill="1"/>
    <xf numFmtId="9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3" fillId="6" borderId="0" xfId="0" applyFont="1" applyFill="1"/>
    <xf numFmtId="44" fontId="3" fillId="6" borderId="0" xfId="0" applyNumberFormat="1" applyFont="1" applyFill="1"/>
    <xf numFmtId="0" fontId="0" fillId="6" borderId="2" xfId="0" applyFill="1" applyBorder="1"/>
    <xf numFmtId="42" fontId="0" fillId="6" borderId="0" xfId="0" applyNumberFormat="1" applyFill="1"/>
    <xf numFmtId="0" fontId="0" fillId="6" borderId="0" xfId="0" applyFill="1" applyAlignment="1">
      <alignment horizontal="center"/>
    </xf>
    <xf numFmtId="42" fontId="0" fillId="6" borderId="0" xfId="0" applyNumberFormat="1" applyFill="1" applyAlignment="1">
      <alignment horizontal="center"/>
    </xf>
    <xf numFmtId="0" fontId="0" fillId="6" borderId="3" xfId="0" applyFill="1" applyBorder="1"/>
    <xf numFmtId="0" fontId="0" fillId="6" borderId="0" xfId="0" applyFill="1" applyBorder="1"/>
    <xf numFmtId="44" fontId="0" fillId="6" borderId="0" xfId="0" applyNumberFormat="1" applyFill="1" applyBorder="1"/>
    <xf numFmtId="44" fontId="0" fillId="6" borderId="1" xfId="0" applyNumberFormat="1" applyFill="1" applyBorder="1"/>
    <xf numFmtId="9" fontId="3" fillId="6" borderId="0" xfId="1" applyFont="1" applyFill="1"/>
    <xf numFmtId="44" fontId="0" fillId="6" borderId="2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eodor Hogan" refreshedDate="44902.000650000002" createdVersion="8" refreshedVersion="8" minRefreshableVersion="3" recordCount="307" xr:uid="{312C4366-FC47-44A5-AD84-73688003898D}">
  <cacheSource type="worksheet">
    <worksheetSource ref="A1:B308" sheet="AMZN"/>
  </cacheSource>
  <cacheFields count="4">
    <cacheField name="Date" numFmtId="14">
      <sharedItems containsSemiMixedTypes="0" containsNonDate="0" containsDate="1" containsString="0" minDate="1997-06-01T00:00:00" maxDate="2022-12-02T00:00:00" count="307"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</sharedItems>
      <fieldGroup par="3" base="0">
        <rangePr groupBy="months" startDate="1997-06-01T00:00:00" endDate="2022-12-02T00:00:00"/>
        <groupItems count="14">
          <s v="&lt;6/1/199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2"/>
        </groupItems>
      </fieldGroup>
    </cacheField>
    <cacheField name="Adj Close" numFmtId="0">
      <sharedItems containsSemiMixedTypes="0" containsString="0" containsNumber="1" minValue="7.7082999999999999E-2" maxValue="175.3535"/>
    </cacheField>
    <cacheField name="Quarters" numFmtId="0" databaseField="0">
      <fieldGroup base="0">
        <rangePr groupBy="quarters" startDate="1997-06-01T00:00:00" endDate="2022-12-02T00:00:00"/>
        <groupItems count="6">
          <s v="&lt;6/1/1997"/>
          <s v="Qtr1"/>
          <s v="Qtr2"/>
          <s v="Qtr3"/>
          <s v="Qtr4"/>
          <s v="&gt;12/2/2022"/>
        </groupItems>
      </fieldGroup>
    </cacheField>
    <cacheField name="Years" numFmtId="0" databaseField="0">
      <fieldGroup base="0">
        <rangePr groupBy="years" startDate="1997-06-01T00:00:00" endDate="2022-12-02T00:00:00"/>
        <groupItems count="28">
          <s v="&lt;6/1/1997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&gt;12/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">
  <r>
    <x v="0"/>
    <n v="7.7082999999999999E-2"/>
  </r>
  <r>
    <x v="1"/>
    <n v="0.119792"/>
  </r>
  <r>
    <x v="2"/>
    <n v="0.116927"/>
  </r>
  <r>
    <x v="3"/>
    <n v="0.21692700000000001"/>
  </r>
  <r>
    <x v="4"/>
    <n v="0.25416699999999998"/>
  </r>
  <r>
    <x v="5"/>
    <n v="0.20624999999999999"/>
  </r>
  <r>
    <x v="6"/>
    <n v="0.25104199999999999"/>
  </r>
  <r>
    <x v="7"/>
    <n v="0.245833"/>
  </r>
  <r>
    <x v="8"/>
    <n v="0.32083299999999998"/>
  </r>
  <r>
    <x v="9"/>
    <n v="0.35637999999999997"/>
  </r>
  <r>
    <x v="10"/>
    <n v="0.38229200000000002"/>
  </r>
  <r>
    <x v="11"/>
    <n v="0.36718800000000001"/>
  </r>
  <r>
    <x v="12"/>
    <n v="0.83125000000000004"/>
  </r>
  <r>
    <x v="13"/>
    <n v="0.92395799999999995"/>
  </r>
  <r>
    <x v="14"/>
    <n v="0.69791700000000001"/>
  </r>
  <r>
    <x v="15"/>
    <n v="0.93020800000000003"/>
  </r>
  <r>
    <x v="16"/>
    <n v="1.0536460000000001"/>
  </r>
  <r>
    <x v="17"/>
    <n v="1.6"/>
  </r>
  <r>
    <x v="18"/>
    <n v="2.6770830000000001"/>
  </r>
  <r>
    <x v="19"/>
    <n v="2.923438"/>
  </r>
  <r>
    <x v="20"/>
    <n v="3.203125"/>
  </r>
  <r>
    <x v="21"/>
    <n v="4.3046879999999996"/>
  </r>
  <r>
    <x v="22"/>
    <n v="4.3015629999999998"/>
  </r>
  <r>
    <x v="23"/>
    <n v="2.96875"/>
  </r>
  <r>
    <x v="24"/>
    <n v="3.1281249999999998"/>
  </r>
  <r>
    <x v="25"/>
    <n v="2.501563"/>
  </r>
  <r>
    <x v="26"/>
    <n v="3.109375"/>
  </r>
  <r>
    <x v="27"/>
    <n v="3.9968750000000002"/>
  </r>
  <r>
    <x v="28"/>
    <n v="3.53125"/>
  </r>
  <r>
    <x v="29"/>
    <n v="4.2531249999999998"/>
  </r>
  <r>
    <x v="30"/>
    <n v="3.8062499999999999"/>
  </r>
  <r>
    <x v="31"/>
    <n v="3.2281249999999999"/>
  </r>
  <r>
    <x v="32"/>
    <n v="3.4437500000000001"/>
  </r>
  <r>
    <x v="33"/>
    <n v="3.35"/>
  </r>
  <r>
    <x v="34"/>
    <n v="2.7593749999999999"/>
  </r>
  <r>
    <x v="35"/>
    <n v="2.4156249999999999"/>
  </r>
  <r>
    <x v="36"/>
    <n v="1.815625"/>
  </r>
  <r>
    <x v="37"/>
    <n v="1.5062500000000001"/>
  </r>
  <r>
    <x v="38"/>
    <n v="2.0750000000000002"/>
  </r>
  <r>
    <x v="39"/>
    <n v="1.921875"/>
  </r>
  <r>
    <x v="40"/>
    <n v="1.83125"/>
  </r>
  <r>
    <x v="41"/>
    <n v="1.234375"/>
  </r>
  <r>
    <x v="42"/>
    <n v="0.77812499999999996"/>
  </r>
  <r>
    <x v="43"/>
    <n v="0.86562499999999998"/>
  </r>
  <r>
    <x v="44"/>
    <n v="0.50937500000000002"/>
  </r>
  <r>
    <x v="45"/>
    <n v="0.51149999999999995"/>
  </r>
  <r>
    <x v="46"/>
    <n v="0.78900000000000003"/>
  </r>
  <r>
    <x v="47"/>
    <n v="0.83450000000000002"/>
  </r>
  <r>
    <x v="48"/>
    <n v="0.70750000000000002"/>
  </r>
  <r>
    <x v="49"/>
    <n v="0.62450000000000006"/>
  </r>
  <r>
    <x v="50"/>
    <n v="0.44700000000000001"/>
  </r>
  <r>
    <x v="51"/>
    <n v="0.29849999999999999"/>
  </r>
  <r>
    <x v="52"/>
    <n v="0.34899999999999998"/>
  </r>
  <r>
    <x v="53"/>
    <n v="0.56599999999999995"/>
  </r>
  <r>
    <x v="54"/>
    <n v="0.54100000000000004"/>
  </r>
  <r>
    <x v="55"/>
    <n v="0.70950000000000002"/>
  </r>
  <r>
    <x v="56"/>
    <n v="0.70499999999999996"/>
  </r>
  <r>
    <x v="57"/>
    <n v="0.71499999999999997"/>
  </r>
  <r>
    <x v="58"/>
    <n v="0.83450000000000002"/>
  </r>
  <r>
    <x v="59"/>
    <n v="0.91149999999999998"/>
  </r>
  <r>
    <x v="60"/>
    <n v="0.8125"/>
  </r>
  <r>
    <x v="61"/>
    <n v="0.72250000000000003"/>
  </r>
  <r>
    <x v="62"/>
    <n v="0.747"/>
  </r>
  <r>
    <x v="63"/>
    <n v="0.79649999999999999"/>
  </r>
  <r>
    <x v="64"/>
    <n v="0.96799999999999997"/>
  </r>
  <r>
    <x v="65"/>
    <n v="1.1675"/>
  </r>
  <r>
    <x v="66"/>
    <n v="0.94450000000000001"/>
  </r>
  <r>
    <x v="67"/>
    <n v="1.0925"/>
  </r>
  <r>
    <x v="68"/>
    <n v="1.1005"/>
  </r>
  <r>
    <x v="69"/>
    <n v="1.3015000000000001"/>
  </r>
  <r>
    <x v="70"/>
    <n v="1.4345000000000001"/>
  </r>
  <r>
    <x v="71"/>
    <n v="1.7945"/>
  </r>
  <r>
    <x v="72"/>
    <n v="1.8160000000000001"/>
  </r>
  <r>
    <x v="73"/>
    <n v="2.0819999999999999"/>
  </r>
  <r>
    <x v="74"/>
    <n v="2.3159999999999998"/>
  </r>
  <r>
    <x v="75"/>
    <n v="2.4215"/>
  </r>
  <r>
    <x v="76"/>
    <n v="2.7214999999999998"/>
  </r>
  <r>
    <x v="77"/>
    <n v="2.6985000000000001"/>
  </r>
  <r>
    <x v="78"/>
    <n v="2.6309999999999998"/>
  </r>
  <r>
    <x v="79"/>
    <n v="2.52"/>
  </r>
  <r>
    <x v="80"/>
    <n v="2.1505000000000001"/>
  </r>
  <r>
    <x v="81"/>
    <n v="2.1640000000000001"/>
  </r>
  <r>
    <x v="82"/>
    <n v="2.1800000000000002"/>
  </r>
  <r>
    <x v="83"/>
    <n v="2.4249999999999998"/>
  </r>
  <r>
    <x v="84"/>
    <n v="2.72"/>
  </r>
  <r>
    <x v="85"/>
    <n v="1.946"/>
  </r>
  <r>
    <x v="86"/>
    <n v="1.907"/>
  </r>
  <r>
    <x v="87"/>
    <n v="2.0430000000000001"/>
  </r>
  <r>
    <x v="88"/>
    <n v="1.7064999999999999"/>
  </r>
  <r>
    <x v="89"/>
    <n v="1.984"/>
  </r>
  <r>
    <x v="90"/>
    <n v="2.2145000000000001"/>
  </r>
  <r>
    <x v="91"/>
    <n v="2.161"/>
  </r>
  <r>
    <x v="92"/>
    <n v="1.7589999999999999"/>
  </r>
  <r>
    <x v="93"/>
    <n v="1.7135"/>
  </r>
  <r>
    <x v="94"/>
    <n v="1.6180000000000001"/>
  </r>
  <r>
    <x v="95"/>
    <n v="1.7755000000000001"/>
  </r>
  <r>
    <x v="96"/>
    <n v="1.6545000000000001"/>
  </r>
  <r>
    <x v="97"/>
    <n v="2.2574999999999998"/>
  </r>
  <r>
    <x v="98"/>
    <n v="2.1349999999999998"/>
  </r>
  <r>
    <x v="99"/>
    <n v="2.2650000000000001"/>
  </r>
  <r>
    <x v="100"/>
    <n v="1.9930000000000001"/>
  </r>
  <r>
    <x v="101"/>
    <n v="2.423"/>
  </r>
  <r>
    <x v="102"/>
    <n v="2.3574999999999999"/>
  </r>
  <r>
    <x v="103"/>
    <n v="2.2410000000000001"/>
  </r>
  <r>
    <x v="104"/>
    <n v="1.8720000000000001"/>
  </r>
  <r>
    <x v="105"/>
    <n v="1.8265"/>
  </r>
  <r>
    <x v="106"/>
    <n v="1.7605"/>
  </r>
  <r>
    <x v="107"/>
    <n v="1.7304999999999999"/>
  </r>
  <r>
    <x v="108"/>
    <n v="1.9339999999999999"/>
  </r>
  <r>
    <x v="109"/>
    <n v="1.3445"/>
  </r>
  <r>
    <x v="110"/>
    <n v="1.5415000000000001"/>
  </r>
  <r>
    <x v="111"/>
    <n v="1.6060000000000001"/>
  </r>
  <r>
    <x v="112"/>
    <n v="1.9045000000000001"/>
  </r>
  <r>
    <x v="113"/>
    <n v="2.0169999999999999"/>
  </r>
  <r>
    <x v="114"/>
    <n v="1.9730000000000001"/>
  </r>
  <r>
    <x v="115"/>
    <n v="1.8835"/>
  </r>
  <r>
    <x v="116"/>
    <n v="1.9570000000000001"/>
  </r>
  <r>
    <x v="117"/>
    <n v="1.9895"/>
  </r>
  <r>
    <x v="118"/>
    <n v="3.0665"/>
  </r>
  <r>
    <x v="119"/>
    <n v="3.4569999999999999"/>
  </r>
  <r>
    <x v="120"/>
    <n v="3.4205000000000001"/>
  </r>
  <r>
    <x v="121"/>
    <n v="3.927"/>
  </r>
  <r>
    <x v="122"/>
    <n v="3.9954999999999998"/>
  </r>
  <r>
    <x v="123"/>
    <n v="4.6574999999999998"/>
  </r>
  <r>
    <x v="124"/>
    <n v="4.4574999999999996"/>
  </r>
  <r>
    <x v="125"/>
    <n v="4.5279999999999996"/>
  </r>
  <r>
    <x v="126"/>
    <n v="4.6319999999999997"/>
  </r>
  <r>
    <x v="127"/>
    <n v="3.8849999999999998"/>
  </r>
  <r>
    <x v="128"/>
    <n v="3.2235"/>
  </r>
  <r>
    <x v="129"/>
    <n v="3.5649999999999999"/>
  </r>
  <r>
    <x v="130"/>
    <n v="3.9315000000000002"/>
  </r>
  <r>
    <x v="131"/>
    <n v="4.0810000000000004"/>
  </r>
  <r>
    <x v="132"/>
    <n v="3.6665000000000001"/>
  </r>
  <r>
    <x v="133"/>
    <n v="3.8170000000000002"/>
  </r>
  <r>
    <x v="134"/>
    <n v="4.0404999999999998"/>
  </r>
  <r>
    <x v="135"/>
    <n v="3.6379999999999999"/>
  </r>
  <r>
    <x v="136"/>
    <n v="2.8620000000000001"/>
  </r>
  <r>
    <x v="137"/>
    <n v="2.1349999999999998"/>
  </r>
  <r>
    <x v="138"/>
    <n v="2.5640000000000001"/>
  </r>
  <r>
    <x v="139"/>
    <n v="2.9409999999999998"/>
  </r>
  <r>
    <x v="140"/>
    <n v="3.2395"/>
  </r>
  <r>
    <x v="141"/>
    <n v="3.6720000000000002"/>
  </r>
  <r>
    <x v="142"/>
    <n v="4.0259999999999998"/>
  </r>
  <r>
    <x v="143"/>
    <n v="3.8995000000000002"/>
  </r>
  <r>
    <x v="144"/>
    <n v="4.1829999999999998"/>
  </r>
  <r>
    <x v="145"/>
    <n v="4.2880000000000003"/>
  </r>
  <r>
    <x v="146"/>
    <n v="4.0594999999999999"/>
  </r>
  <r>
    <x v="147"/>
    <n v="4.6680000000000001"/>
  </r>
  <r>
    <x v="148"/>
    <n v="5.9405000000000001"/>
  </r>
  <r>
    <x v="149"/>
    <n v="6.7954999999999997"/>
  </r>
  <r>
    <x v="150"/>
    <n v="6.726"/>
  </r>
  <r>
    <x v="151"/>
    <n v="6.2705000000000002"/>
  </r>
  <r>
    <x v="152"/>
    <n v="5.92"/>
  </r>
  <r>
    <x v="153"/>
    <n v="6.7885"/>
  </r>
  <r>
    <x v="154"/>
    <n v="6.8550000000000004"/>
  </r>
  <r>
    <x v="155"/>
    <n v="6.2729999999999997"/>
  </r>
  <r>
    <x v="156"/>
    <n v="5.4630000000000001"/>
  </r>
  <r>
    <x v="157"/>
    <n v="5.8944999999999999"/>
  </r>
  <r>
    <x v="158"/>
    <n v="6.2415000000000003"/>
  </r>
  <r>
    <x v="159"/>
    <n v="7.8529999999999998"/>
  </r>
  <r>
    <x v="160"/>
    <n v="8.2614999999999998"/>
  </r>
  <r>
    <x v="161"/>
    <n v="8.77"/>
  </r>
  <r>
    <x v="162"/>
    <n v="9"/>
  </r>
  <r>
    <x v="163"/>
    <n v="8.4819999999999993"/>
  </r>
  <r>
    <x v="164"/>
    <n v="8.6645000000000003"/>
  </r>
  <r>
    <x v="165"/>
    <n v="9.0065000000000008"/>
  </r>
  <r>
    <x v="166"/>
    <n v="9.7904999999999998"/>
  </r>
  <r>
    <x v="167"/>
    <n v="9.8345000000000002"/>
  </r>
  <r>
    <x v="168"/>
    <n v="10.224500000000001"/>
  </r>
  <r>
    <x v="169"/>
    <n v="11.125999999999999"/>
  </r>
  <r>
    <x v="170"/>
    <n v="10.7615"/>
  </r>
  <r>
    <x v="171"/>
    <n v="10.811500000000001"/>
  </r>
  <r>
    <x v="172"/>
    <n v="10.6755"/>
  </r>
  <r>
    <x v="173"/>
    <n v="9.6144999999999996"/>
  </r>
  <r>
    <x v="174"/>
    <n v="8.6549999999999994"/>
  </r>
  <r>
    <x v="175"/>
    <n v="9.7219999999999995"/>
  </r>
  <r>
    <x v="176"/>
    <n v="8.9845000000000006"/>
  </r>
  <r>
    <x v="177"/>
    <n v="10.125500000000001"/>
  </r>
  <r>
    <x v="178"/>
    <n v="11.595000000000001"/>
  </r>
  <r>
    <x v="179"/>
    <n v="10.6455"/>
  </r>
  <r>
    <x v="180"/>
    <n v="11.4175"/>
  </r>
  <r>
    <x v="181"/>
    <n v="11.664999999999999"/>
  </r>
  <r>
    <x v="182"/>
    <n v="12.413500000000001"/>
  </r>
  <r>
    <x v="183"/>
    <n v="12.715999999999999"/>
  </r>
  <r>
    <x v="184"/>
    <n v="11.644500000000001"/>
  </r>
  <r>
    <x v="185"/>
    <n v="12.602499999999999"/>
  </r>
  <r>
    <x v="186"/>
    <n v="12.5435"/>
  </r>
  <r>
    <x v="187"/>
    <n v="13.275"/>
  </r>
  <r>
    <x v="188"/>
    <n v="13.2135"/>
  </r>
  <r>
    <x v="189"/>
    <n v="13.3245"/>
  </r>
  <r>
    <x v="190"/>
    <n v="12.6905"/>
  </r>
  <r>
    <x v="191"/>
    <n v="13.46"/>
  </r>
  <r>
    <x v="192"/>
    <n v="13.884499999999999"/>
  </r>
  <r>
    <x v="193"/>
    <n v="15.061"/>
  </r>
  <r>
    <x v="194"/>
    <n v="14.048999999999999"/>
  </r>
  <r>
    <x v="195"/>
    <n v="15.632"/>
  </r>
  <r>
    <x v="196"/>
    <n v="18.201499999999999"/>
  </r>
  <r>
    <x v="197"/>
    <n v="19.681000000000001"/>
  </r>
  <r>
    <x v="198"/>
    <n v="19.939501"/>
  </r>
  <r>
    <x v="199"/>
    <n v="17.9345"/>
  </r>
  <r>
    <x v="200"/>
    <n v="18.105"/>
  </r>
  <r>
    <x v="201"/>
    <n v="16.818501000000001"/>
  </r>
  <r>
    <x v="202"/>
    <n v="15.2065"/>
  </r>
  <r>
    <x v="203"/>
    <n v="15.6275"/>
  </r>
  <r>
    <x v="204"/>
    <n v="16.239000000000001"/>
  </r>
  <r>
    <x v="205"/>
    <n v="15.6495"/>
  </r>
  <r>
    <x v="206"/>
    <n v="16.952000000000002"/>
  </r>
  <r>
    <x v="207"/>
    <n v="16.122"/>
  </r>
  <r>
    <x v="208"/>
    <n v="15.273"/>
  </r>
  <r>
    <x v="209"/>
    <n v="16.931999000000001"/>
  </r>
  <r>
    <x v="210"/>
    <n v="15.5175"/>
  </r>
  <r>
    <x v="211"/>
    <n v="17.726500000000001"/>
  </r>
  <r>
    <x v="212"/>
    <n v="19.007999000000002"/>
  </r>
  <r>
    <x v="213"/>
    <n v="18.605"/>
  </r>
  <r>
    <x v="214"/>
    <n v="21.089001"/>
  </r>
  <r>
    <x v="215"/>
    <n v="21.461500000000001"/>
  </r>
  <r>
    <x v="216"/>
    <n v="21.704499999999999"/>
  </r>
  <r>
    <x v="217"/>
    <n v="26.807500999999998"/>
  </r>
  <r>
    <x v="218"/>
    <n v="25.644501000000002"/>
  </r>
  <r>
    <x v="219"/>
    <n v="25.5945"/>
  </r>
  <r>
    <x v="220"/>
    <n v="31.295000000000002"/>
  </r>
  <r>
    <x v="221"/>
    <n v="33.240001999999997"/>
  </r>
  <r>
    <x v="222"/>
    <n v="33.794497999999997"/>
  </r>
  <r>
    <x v="223"/>
    <n v="29.35"/>
  </r>
  <r>
    <x v="224"/>
    <n v="27.625999"/>
  </r>
  <r>
    <x v="225"/>
    <n v="29.681999000000001"/>
  </r>
  <r>
    <x v="226"/>
    <n v="32.979500000000002"/>
  </r>
  <r>
    <x v="227"/>
    <n v="36.139499999999998"/>
  </r>
  <r>
    <x v="228"/>
    <n v="35.780997999999997"/>
  </r>
  <r>
    <x v="229"/>
    <n v="37.940497999999998"/>
  </r>
  <r>
    <x v="230"/>
    <n v="38.457999999999998"/>
  </r>
  <r>
    <x v="231"/>
    <n v="41.865501000000002"/>
  </r>
  <r>
    <x v="232"/>
    <n v="39.491000999999997"/>
  </r>
  <r>
    <x v="233"/>
    <n v="37.528500000000001"/>
  </r>
  <r>
    <x v="234"/>
    <n v="37.493499999999997"/>
  </r>
  <r>
    <x v="235"/>
    <n v="41.173999999999999"/>
  </r>
  <r>
    <x v="236"/>
    <n v="42.251998999999998"/>
  </r>
  <r>
    <x v="237"/>
    <n v="44.326999999999998"/>
  </r>
  <r>
    <x v="238"/>
    <n v="46.249499999999998"/>
  </r>
  <r>
    <x v="239"/>
    <n v="49.730998999999997"/>
  </r>
  <r>
    <x v="240"/>
    <n v="48.400002000000001"/>
  </r>
  <r>
    <x v="241"/>
    <n v="49.389000000000003"/>
  </r>
  <r>
    <x v="242"/>
    <n v="49.029998999999997"/>
  </r>
  <r>
    <x v="243"/>
    <n v="48.067501"/>
  </r>
  <r>
    <x v="244"/>
    <n v="55.264000000000003"/>
  </r>
  <r>
    <x v="245"/>
    <n v="58.837502000000001"/>
  </r>
  <r>
    <x v="246"/>
    <n v="58.473498999999997"/>
  </r>
  <r>
    <x v="247"/>
    <n v="72.544501999999994"/>
  </r>
  <r>
    <x v="248"/>
    <n v="75.622497999999993"/>
  </r>
  <r>
    <x v="249"/>
    <n v="72.366996999999998"/>
  </r>
  <r>
    <x v="250"/>
    <n v="78.306503000000006"/>
  </r>
  <r>
    <x v="251"/>
    <n v="81.481003000000001"/>
  </r>
  <r>
    <x v="252"/>
    <n v="84.989998"/>
  </r>
  <r>
    <x v="253"/>
    <n v="88.872001999999995"/>
  </r>
  <r>
    <x v="254"/>
    <n v="100.635498"/>
  </r>
  <r>
    <x v="255"/>
    <n v="100.150002"/>
  </r>
  <r>
    <x v="256"/>
    <n v="79.900497000000001"/>
  </r>
  <r>
    <x v="257"/>
    <n v="84.508499"/>
  </r>
  <r>
    <x v="258"/>
    <n v="75.098502999999994"/>
  </r>
  <r>
    <x v="259"/>
    <n v="85.936501000000007"/>
  </r>
  <r>
    <x v="260"/>
    <n v="81.991501"/>
  </r>
  <r>
    <x v="261"/>
    <n v="89.037497999999999"/>
  </r>
  <r>
    <x v="262"/>
    <n v="96.325996000000004"/>
  </r>
  <r>
    <x v="263"/>
    <n v="88.753501999999997"/>
  </r>
  <r>
    <x v="264"/>
    <n v="94.681503000000006"/>
  </r>
  <r>
    <x v="265"/>
    <n v="93.338997000000006"/>
  </r>
  <r>
    <x v="266"/>
    <n v="88.814498999999998"/>
  </r>
  <r>
    <x v="267"/>
    <n v="86.795501999999999"/>
  </r>
  <r>
    <x v="268"/>
    <n v="88.832999999999998"/>
  </r>
  <r>
    <x v="269"/>
    <n v="90.040001000000004"/>
  </r>
  <r>
    <x v="270"/>
    <n v="92.391998000000001"/>
  </r>
  <r>
    <x v="271"/>
    <n v="100.435997"/>
  </r>
  <r>
    <x v="272"/>
    <n v="94.1875"/>
  </r>
  <r>
    <x v="273"/>
    <n v="97.486000000000004"/>
  </r>
  <r>
    <x v="274"/>
    <n v="123.699997"/>
  </r>
  <r>
    <x v="275"/>
    <n v="122.1185"/>
  </r>
  <r>
    <x v="276"/>
    <n v="137.94099399999999"/>
  </r>
  <r>
    <x v="277"/>
    <n v="158.233994"/>
  </r>
  <r>
    <x v="278"/>
    <n v="172.54800399999999"/>
  </r>
  <r>
    <x v="279"/>
    <n v="157.43649300000001"/>
  </r>
  <r>
    <x v="280"/>
    <n v="151.80749499999999"/>
  </r>
  <r>
    <x v="281"/>
    <n v="158.401993"/>
  </r>
  <r>
    <x v="282"/>
    <n v="162.846497"/>
  </r>
  <r>
    <x v="283"/>
    <n v="160.30999800000001"/>
  </r>
  <r>
    <x v="284"/>
    <n v="154.6465"/>
  </r>
  <r>
    <x v="285"/>
    <n v="154.70399499999999"/>
  </r>
  <r>
    <x v="286"/>
    <n v="173.371002"/>
  </r>
  <r>
    <x v="287"/>
    <n v="161.153503"/>
  </r>
  <r>
    <x v="288"/>
    <n v="172.00799599999999"/>
  </r>
  <r>
    <x v="289"/>
    <n v="166.379501"/>
  </r>
  <r>
    <x v="290"/>
    <n v="173.53950499999999"/>
  </r>
  <r>
    <x v="291"/>
    <n v="164.25199900000001"/>
  </r>
  <r>
    <x v="292"/>
    <n v="168.62150600000001"/>
  </r>
  <r>
    <x v="293"/>
    <n v="175.3535"/>
  </r>
  <r>
    <x v="294"/>
    <n v="166.716995"/>
  </r>
  <r>
    <x v="295"/>
    <n v="149.57350199999999"/>
  </r>
  <r>
    <x v="296"/>
    <n v="153.56300400000001"/>
  </r>
  <r>
    <x v="297"/>
    <n v="162.99749800000001"/>
  </r>
  <r>
    <x v="298"/>
    <n v="124.281502"/>
  </r>
  <r>
    <x v="299"/>
    <n v="120.209503"/>
  </r>
  <r>
    <x v="300"/>
    <n v="106.209999"/>
  </r>
  <r>
    <x v="301"/>
    <n v="134.949997"/>
  </r>
  <r>
    <x v="302"/>
    <n v="126.769997"/>
  </r>
  <r>
    <x v="303"/>
    <n v="113"/>
  </r>
  <r>
    <x v="304"/>
    <n v="102.44000200000001"/>
  </r>
  <r>
    <x v="305"/>
    <n v="96.540001000000004"/>
  </r>
  <r>
    <x v="306"/>
    <n v="91.01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624AB-A00C-47C7-916D-A42BD2A4ED88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0" firstHeaderRow="1" firstDataRow="1" firstDataCol="1"/>
  <pivotFields count="4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t="default"/>
      </items>
    </pivotField>
  </pivotFields>
  <rowFields count="3">
    <field x="3"/>
    <field x="2"/>
    <field x="0"/>
  </rowFields>
  <rowItems count="2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Average of Adj Close" fld="1" subtotal="average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"/>
  <sheetViews>
    <sheetView showGridLines="0" tabSelected="1" workbookViewId="0">
      <pane xSplit="1" topLeftCell="L1" activePane="topRight" state="frozen"/>
      <selection pane="topRight" activeCell="X22" sqref="X22"/>
    </sheetView>
  </sheetViews>
  <sheetFormatPr defaultRowHeight="14.4" x14ac:dyDescent="0.3"/>
  <cols>
    <col min="1" max="1" width="15.5546875" bestFit="1" customWidth="1"/>
    <col min="3" max="13" width="12.77734375" customWidth="1"/>
    <col min="14" max="22" width="10.77734375" customWidth="1"/>
    <col min="24" max="24" width="13.33203125" bestFit="1" customWidth="1"/>
    <col min="25" max="26" width="11" bestFit="1" customWidth="1"/>
  </cols>
  <sheetData>
    <row r="1" spans="1:26" x14ac:dyDescent="0.3">
      <c r="A1" t="s">
        <v>0</v>
      </c>
      <c r="C1" t="s">
        <v>2</v>
      </c>
      <c r="D1" s="3">
        <v>44724</v>
      </c>
    </row>
    <row r="2" spans="1:26" ht="25.8" x14ac:dyDescent="0.5">
      <c r="A2" s="2" t="s">
        <v>1</v>
      </c>
      <c r="N2">
        <v>1</v>
      </c>
      <c r="O2">
        <f>N2+1</f>
        <v>2</v>
      </c>
      <c r="P2">
        <f t="shared" ref="P2:R2" si="0">O2+1</f>
        <v>3</v>
      </c>
      <c r="Q2">
        <f t="shared" si="0"/>
        <v>4</v>
      </c>
      <c r="R2">
        <f t="shared" si="0"/>
        <v>5</v>
      </c>
    </row>
    <row r="3" spans="1:26" x14ac:dyDescent="0.3">
      <c r="C3" s="8">
        <v>2012</v>
      </c>
      <c r="D3" s="8">
        <f>C3+1</f>
        <v>2013</v>
      </c>
      <c r="E3" s="8">
        <f t="shared" ref="E3:L3" si="1">D3+1</f>
        <v>2014</v>
      </c>
      <c r="F3" s="8">
        <f t="shared" si="1"/>
        <v>2015</v>
      </c>
      <c r="G3" s="8">
        <f t="shared" si="1"/>
        <v>2016</v>
      </c>
      <c r="H3" s="8">
        <f t="shared" si="1"/>
        <v>2017</v>
      </c>
      <c r="I3" s="8">
        <f t="shared" si="1"/>
        <v>2018</v>
      </c>
      <c r="J3" s="8">
        <f t="shared" si="1"/>
        <v>2019</v>
      </c>
      <c r="K3" s="8">
        <f t="shared" si="1"/>
        <v>2020</v>
      </c>
      <c r="L3" s="8">
        <f t="shared" si="1"/>
        <v>2021</v>
      </c>
      <c r="M3" s="9" t="s">
        <v>22</v>
      </c>
      <c r="N3" s="18">
        <f>L3+1</f>
        <v>2022</v>
      </c>
      <c r="O3" s="18">
        <f>N3+1</f>
        <v>2023</v>
      </c>
      <c r="P3" s="18">
        <f t="shared" ref="P3:V3" si="2">O3+1</f>
        <v>2024</v>
      </c>
      <c r="Q3" s="18">
        <f t="shared" si="2"/>
        <v>2025</v>
      </c>
      <c r="R3" s="19">
        <f t="shared" si="2"/>
        <v>2026</v>
      </c>
      <c r="S3" s="18">
        <f t="shared" si="2"/>
        <v>2027</v>
      </c>
      <c r="T3" s="18">
        <f t="shared" si="2"/>
        <v>2028</v>
      </c>
      <c r="U3" s="18">
        <f t="shared" si="2"/>
        <v>2029</v>
      </c>
      <c r="V3" s="18">
        <f t="shared" si="2"/>
        <v>2030</v>
      </c>
      <c r="W3" s="1"/>
      <c r="X3" s="23" t="s">
        <v>53</v>
      </c>
      <c r="Y3" s="23"/>
      <c r="Z3" s="23"/>
    </row>
    <row r="4" spans="1:26" x14ac:dyDescent="0.3">
      <c r="A4" s="1" t="s">
        <v>3</v>
      </c>
      <c r="C4" s="10">
        <v>61093</v>
      </c>
      <c r="D4" s="10">
        <v>74452</v>
      </c>
      <c r="E4" s="10">
        <v>88988</v>
      </c>
      <c r="F4" s="10">
        <v>107006</v>
      </c>
      <c r="G4" s="10">
        <v>135987</v>
      </c>
      <c r="H4" s="10">
        <v>177866</v>
      </c>
      <c r="I4" s="10">
        <v>232887</v>
      </c>
      <c r="J4" s="10">
        <v>280522</v>
      </c>
      <c r="K4" s="10">
        <v>386064</v>
      </c>
      <c r="L4" s="10">
        <v>439822</v>
      </c>
      <c r="M4" s="16">
        <f>(L4/C4)^(1/($L$3-$C$3))-1</f>
        <v>0.24524252707465655</v>
      </c>
      <c r="X4" s="24" t="s">
        <v>54</v>
      </c>
      <c r="Y4" s="31">
        <f>R3</f>
        <v>2026</v>
      </c>
      <c r="Z4" s="31">
        <f>V3</f>
        <v>2030</v>
      </c>
    </row>
    <row r="5" spans="1:26" x14ac:dyDescent="0.3">
      <c r="X5" s="24" t="s">
        <v>6</v>
      </c>
      <c r="Y5" s="32">
        <f>R8</f>
        <v>119022.06157031249</v>
      </c>
      <c r="Z5" s="32">
        <f>V8</f>
        <v>208170.32957436136</v>
      </c>
    </row>
    <row r="6" spans="1:26" x14ac:dyDescent="0.3">
      <c r="A6" t="s">
        <v>4</v>
      </c>
      <c r="C6">
        <v>676</v>
      </c>
      <c r="D6">
        <v>745</v>
      </c>
      <c r="E6">
        <v>178</v>
      </c>
      <c r="F6">
        <v>2233</v>
      </c>
      <c r="G6">
        <v>4186</v>
      </c>
      <c r="H6">
        <v>4106</v>
      </c>
      <c r="I6">
        <v>12421</v>
      </c>
      <c r="J6">
        <v>14541</v>
      </c>
      <c r="K6">
        <v>22899</v>
      </c>
      <c r="L6">
        <v>24879</v>
      </c>
      <c r="X6" s="24" t="s">
        <v>55</v>
      </c>
      <c r="Y6" s="33">
        <v>18</v>
      </c>
      <c r="Z6" s="33"/>
    </row>
    <row r="7" spans="1:26" x14ac:dyDescent="0.3">
      <c r="A7" t="s">
        <v>5</v>
      </c>
      <c r="C7">
        <v>2159</v>
      </c>
      <c r="D7">
        <v>3253</v>
      </c>
      <c r="E7">
        <v>4746</v>
      </c>
      <c r="F7">
        <v>6281</v>
      </c>
      <c r="G7">
        <v>8116</v>
      </c>
      <c r="H7">
        <v>11478</v>
      </c>
      <c r="I7">
        <v>15341</v>
      </c>
      <c r="J7">
        <v>21789</v>
      </c>
      <c r="K7">
        <v>25251</v>
      </c>
      <c r="L7">
        <v>34296</v>
      </c>
      <c r="X7" s="24" t="s">
        <v>10</v>
      </c>
      <c r="Y7" s="32">
        <f>Y5*$Y$6</f>
        <v>2142397.1082656248</v>
      </c>
      <c r="Z7" s="32">
        <f t="shared" ref="Z7" si="3">Z5*$Y$6</f>
        <v>3747065.9323385046</v>
      </c>
    </row>
    <row r="8" spans="1:26" x14ac:dyDescent="0.3">
      <c r="A8" s="1" t="s">
        <v>6</v>
      </c>
      <c r="C8" s="10">
        <f t="shared" ref="C8:K8" si="4">C6+C7</f>
        <v>2835</v>
      </c>
      <c r="D8" s="10">
        <f t="shared" si="4"/>
        <v>3998</v>
      </c>
      <c r="E8" s="10">
        <f t="shared" si="4"/>
        <v>4924</v>
      </c>
      <c r="F8" s="10">
        <f t="shared" si="4"/>
        <v>8514</v>
      </c>
      <c r="G8" s="10">
        <f t="shared" si="4"/>
        <v>12302</v>
      </c>
      <c r="H8" s="10">
        <f t="shared" si="4"/>
        <v>15584</v>
      </c>
      <c r="I8" s="10">
        <f t="shared" si="4"/>
        <v>27762</v>
      </c>
      <c r="J8" s="10">
        <f t="shared" si="4"/>
        <v>36330</v>
      </c>
      <c r="K8" s="10">
        <f t="shared" si="4"/>
        <v>48150</v>
      </c>
      <c r="L8" s="10">
        <f>L6+L7</f>
        <v>59175</v>
      </c>
      <c r="N8" s="20">
        <f>L8*(1+N9)</f>
        <v>68051.25</v>
      </c>
      <c r="O8" s="20">
        <f>N8*(1+O9)</f>
        <v>78258.9375</v>
      </c>
      <c r="P8" s="20">
        <f t="shared" ref="P8:V8" si="5">O8*(1+P9)</f>
        <v>89997.778124999997</v>
      </c>
      <c r="Q8" s="20">
        <f t="shared" si="5"/>
        <v>103497.44484375</v>
      </c>
      <c r="R8" s="20">
        <f t="shared" si="5"/>
        <v>119022.06157031249</v>
      </c>
      <c r="S8" s="20">
        <f t="shared" si="5"/>
        <v>136875.37080585936</v>
      </c>
      <c r="T8" s="20">
        <f t="shared" si="5"/>
        <v>157406.67642673827</v>
      </c>
      <c r="U8" s="20">
        <f t="shared" si="5"/>
        <v>181017.67789074901</v>
      </c>
      <c r="V8" s="20">
        <f t="shared" si="5"/>
        <v>208170.32957436136</v>
      </c>
      <c r="X8" s="24" t="s">
        <v>56</v>
      </c>
      <c r="Y8" s="34">
        <f>L13</f>
        <v>116395</v>
      </c>
      <c r="Z8" s="34"/>
    </row>
    <row r="9" spans="1:26" x14ac:dyDescent="0.3">
      <c r="A9" s="4" t="s">
        <v>21</v>
      </c>
      <c r="D9" s="14">
        <f>D8/C8-1</f>
        <v>0.41022927689594346</v>
      </c>
      <c r="E9" s="14">
        <f t="shared" ref="E9:L9" si="6">E8/D8-1</f>
        <v>0.23161580790395209</v>
      </c>
      <c r="F9" s="14">
        <f t="shared" si="6"/>
        <v>0.72908204711616564</v>
      </c>
      <c r="G9" s="14">
        <f t="shared" si="6"/>
        <v>0.44491425886774727</v>
      </c>
      <c r="H9" s="14">
        <f t="shared" si="6"/>
        <v>0.26678588847341889</v>
      </c>
      <c r="I9" s="14">
        <f t="shared" si="6"/>
        <v>0.78144250513347013</v>
      </c>
      <c r="J9" s="14">
        <f t="shared" si="6"/>
        <v>0.30862329803328281</v>
      </c>
      <c r="K9" s="14">
        <f t="shared" si="6"/>
        <v>0.32535094962840638</v>
      </c>
      <c r="L9" s="14">
        <f t="shared" si="6"/>
        <v>0.22897196261682251</v>
      </c>
      <c r="M9" s="15">
        <f>AVERAGE(D9:L9)</f>
        <v>0.41411288829657888</v>
      </c>
      <c r="N9" s="21">
        <v>0.15</v>
      </c>
      <c r="O9" s="21">
        <v>0.15</v>
      </c>
      <c r="P9" s="21">
        <v>0.15</v>
      </c>
      <c r="Q9" s="21">
        <v>0.15</v>
      </c>
      <c r="R9" s="21">
        <v>0.15</v>
      </c>
      <c r="S9" s="21">
        <v>0.15</v>
      </c>
      <c r="T9" s="21">
        <v>0.15</v>
      </c>
      <c r="U9" s="21">
        <v>0.15</v>
      </c>
      <c r="V9" s="21">
        <v>0.15</v>
      </c>
      <c r="X9" s="24" t="s">
        <v>57</v>
      </c>
      <c r="Y9" s="33">
        <f>L11</f>
        <v>0</v>
      </c>
      <c r="Z9" s="33"/>
    </row>
    <row r="10" spans="1:26" x14ac:dyDescent="0.3">
      <c r="A10" s="1"/>
      <c r="X10" s="24" t="s">
        <v>11</v>
      </c>
      <c r="Y10" s="32">
        <f>Y7-$Y$8+$Y$9</f>
        <v>2026002.1082656248</v>
      </c>
      <c r="Z10" s="32">
        <f t="shared" ref="Z10" si="7">Z7-$Y$8+$Y$9</f>
        <v>3630670.9323385046</v>
      </c>
    </row>
    <row r="11" spans="1:26" x14ac:dyDescent="0.3">
      <c r="A11" s="1" t="s">
        <v>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X11" s="24" t="s">
        <v>58</v>
      </c>
      <c r="Y11" s="28">
        <f>L15</f>
        <v>10300</v>
      </c>
      <c r="Z11" s="28"/>
    </row>
    <row r="12" spans="1:26" x14ac:dyDescent="0.3">
      <c r="A12" s="1"/>
      <c r="C12" s="1"/>
      <c r="D12" s="1"/>
      <c r="E12" s="1"/>
      <c r="F12" s="1"/>
      <c r="G12" s="1"/>
      <c r="H12" s="1"/>
      <c r="I12" s="1"/>
      <c r="J12" s="1"/>
      <c r="K12" s="1"/>
      <c r="L12" s="1"/>
      <c r="X12" s="29" t="s">
        <v>19</v>
      </c>
      <c r="Y12" s="30">
        <f>Y10/$Y$11</f>
        <v>196.69923381219658</v>
      </c>
      <c r="Z12" s="30">
        <f t="shared" ref="Z12" si="8">Z10/$Y$11</f>
        <v>352.49232352801016</v>
      </c>
    </row>
    <row r="13" spans="1:26" x14ac:dyDescent="0.3">
      <c r="A13" s="1" t="s">
        <v>8</v>
      </c>
      <c r="C13" s="10">
        <v>3084</v>
      </c>
      <c r="D13" s="10">
        <v>3191</v>
      </c>
      <c r="E13" s="10">
        <v>8265</v>
      </c>
      <c r="F13" s="10">
        <v>8235</v>
      </c>
      <c r="G13" s="10">
        <v>7694</v>
      </c>
      <c r="H13" s="10">
        <f>24743</f>
        <v>24743</v>
      </c>
      <c r="I13" s="10">
        <f>9650+23495</f>
        <v>33145</v>
      </c>
      <c r="J13" s="10">
        <f>39791+23414</f>
        <v>63205</v>
      </c>
      <c r="K13" s="10">
        <f>52573+31816</f>
        <v>84389</v>
      </c>
      <c r="L13" s="10">
        <f>67651+48744</f>
        <v>116395</v>
      </c>
    </row>
    <row r="14" spans="1:26" x14ac:dyDescent="0.3">
      <c r="A14" s="1"/>
      <c r="C14" s="1"/>
      <c r="D14" s="1"/>
      <c r="E14" s="1"/>
      <c r="F14" s="1"/>
      <c r="G14" s="1"/>
      <c r="H14" s="1"/>
      <c r="I14" s="1"/>
      <c r="J14" s="1"/>
      <c r="K14" s="1"/>
      <c r="L14" s="1"/>
      <c r="X14" s="23" t="s">
        <v>59</v>
      </c>
      <c r="Y14" s="23"/>
      <c r="Z14" s="23"/>
    </row>
    <row r="15" spans="1:26" x14ac:dyDescent="0.3">
      <c r="A15" s="1" t="s">
        <v>9</v>
      </c>
      <c r="C15" s="1">
        <v>9060</v>
      </c>
      <c r="D15" s="1">
        <v>9300</v>
      </c>
      <c r="E15" s="1">
        <v>9240</v>
      </c>
      <c r="F15" s="1">
        <v>9540</v>
      </c>
      <c r="G15" s="1">
        <v>9680</v>
      </c>
      <c r="H15" s="1">
        <v>9860</v>
      </c>
      <c r="I15" s="1">
        <v>10000</v>
      </c>
      <c r="J15" s="1">
        <v>10080</v>
      </c>
      <c r="K15" s="1">
        <v>10200</v>
      </c>
      <c r="L15" s="1">
        <v>10300</v>
      </c>
      <c r="M15" s="16">
        <f>(L15/C15)^(1/($L$3-$C$3))-1</f>
        <v>1.4354807556340887E-2</v>
      </c>
      <c r="X15" s="24" t="s">
        <v>54</v>
      </c>
      <c r="Y15" s="25">
        <f>Y4</f>
        <v>2026</v>
      </c>
      <c r="Z15" s="25">
        <f>Z4</f>
        <v>2030</v>
      </c>
    </row>
    <row r="16" spans="1:26" x14ac:dyDescent="0.3">
      <c r="A16" s="1"/>
      <c r="X16" s="24" t="s">
        <v>18</v>
      </c>
      <c r="Y16" s="26">
        <f>R33</f>
        <v>1.2284901035497569</v>
      </c>
      <c r="Z16" s="26">
        <f>V33</f>
        <v>2.1486368691716713</v>
      </c>
    </row>
    <row r="17" spans="1:26" x14ac:dyDescent="0.3">
      <c r="A17" s="1" t="s">
        <v>10</v>
      </c>
      <c r="C17" s="10">
        <f t="shared" ref="C17:L17" si="9">C15*C35</f>
        <v>102736.62499999999</v>
      </c>
      <c r="D17" s="10">
        <f t="shared" si="9"/>
        <v>141369.30077500004</v>
      </c>
      <c r="E17" s="10">
        <f t="shared" si="9"/>
        <v>151210.29000000004</v>
      </c>
      <c r="F17" s="10">
        <f t="shared" si="9"/>
        <v>235296.54908999999</v>
      </c>
      <c r="G17" s="10">
        <f t="shared" si="9"/>
        <v>342296.89677333331</v>
      </c>
      <c r="H17" s="10">
        <f t="shared" si="9"/>
        <v>485765.22582166659</v>
      </c>
      <c r="I17" s="10">
        <f t="shared" si="9"/>
        <v>828730.41833333333</v>
      </c>
      <c r="J17" s="10">
        <f t="shared" si="9"/>
        <v>904630.01832000015</v>
      </c>
      <c r="K17" s="10">
        <f t="shared" si="9"/>
        <v>1391571.9443999999</v>
      </c>
      <c r="L17" s="10">
        <f>L15*L35</f>
        <v>1708989.7333333332</v>
      </c>
      <c r="M17" s="16">
        <f>(L17/C17)^(1/($L$3-$C$3))-1</f>
        <v>0.36668440850216166</v>
      </c>
      <c r="N17" s="10"/>
      <c r="X17" s="24" t="s">
        <v>20</v>
      </c>
      <c r="Y17" s="27">
        <v>0.03</v>
      </c>
      <c r="Z17" s="28"/>
    </row>
    <row r="18" spans="1:26" x14ac:dyDescent="0.3">
      <c r="A18" s="1"/>
      <c r="M18" s="16"/>
      <c r="X18" s="29" t="s">
        <v>19</v>
      </c>
      <c r="Y18" s="30">
        <f>Y16/Y17</f>
        <v>40.94967011832523</v>
      </c>
      <c r="Z18" s="30">
        <f>Z16/Y17</f>
        <v>71.621228972389048</v>
      </c>
    </row>
    <row r="19" spans="1:26" x14ac:dyDescent="0.3">
      <c r="A19" s="1" t="s">
        <v>11</v>
      </c>
      <c r="C19" s="10">
        <f t="shared" ref="C19:L19" si="10">C17+C13-C11</f>
        <v>105820.62499999999</v>
      </c>
      <c r="D19" s="10">
        <f t="shared" si="10"/>
        <v>144560.30077500004</v>
      </c>
      <c r="E19" s="10">
        <f t="shared" si="10"/>
        <v>159475.29000000004</v>
      </c>
      <c r="F19" s="10">
        <f t="shared" si="10"/>
        <v>243531.54908999999</v>
      </c>
      <c r="G19" s="10">
        <f t="shared" si="10"/>
        <v>349990.89677333331</v>
      </c>
      <c r="H19" s="10">
        <f t="shared" si="10"/>
        <v>510508.22582166659</v>
      </c>
      <c r="I19" s="10">
        <f t="shared" si="10"/>
        <v>861875.41833333333</v>
      </c>
      <c r="J19" s="10">
        <f t="shared" si="10"/>
        <v>967835.01832000015</v>
      </c>
      <c r="K19" s="10">
        <f t="shared" si="10"/>
        <v>1475960.9443999999</v>
      </c>
      <c r="L19" s="10">
        <f>L17+L13-L11</f>
        <v>1825384.7333333332</v>
      </c>
      <c r="M19" s="16">
        <f>(L19/C19)^(1/($L$3-$C$3))-1</f>
        <v>0.37220960412205439</v>
      </c>
    </row>
    <row r="20" spans="1:26" x14ac:dyDescent="0.3">
      <c r="A20" s="1"/>
      <c r="X20" s="23" t="s">
        <v>60</v>
      </c>
      <c r="Y20" s="23"/>
      <c r="Z20" s="23"/>
    </row>
    <row r="21" spans="1:26" x14ac:dyDescent="0.3">
      <c r="A21" s="1" t="s">
        <v>12</v>
      </c>
      <c r="C21" s="12">
        <f t="shared" ref="C21:L21" si="11">C19/C8</f>
        <v>37.326499118165778</v>
      </c>
      <c r="D21" s="12">
        <f t="shared" si="11"/>
        <v>36.158154270885454</v>
      </c>
      <c r="E21" s="12">
        <f t="shared" si="11"/>
        <v>32.387345653939896</v>
      </c>
      <c r="F21" s="12">
        <f t="shared" si="11"/>
        <v>28.603658572938688</v>
      </c>
      <c r="G21" s="12">
        <f t="shared" si="11"/>
        <v>28.44991845011651</v>
      </c>
      <c r="H21" s="12">
        <f t="shared" si="11"/>
        <v>32.758484716482712</v>
      </c>
      <c r="I21" s="12">
        <f t="shared" si="11"/>
        <v>31.045148704464136</v>
      </c>
      <c r="J21" s="12">
        <f t="shared" si="11"/>
        <v>26.640105101018445</v>
      </c>
      <c r="K21" s="12">
        <f t="shared" si="11"/>
        <v>30.653394483904464</v>
      </c>
      <c r="L21" s="12">
        <f>L19/L8</f>
        <v>30.847228277707362</v>
      </c>
      <c r="X21" s="35" t="s">
        <v>61</v>
      </c>
      <c r="Y21" s="35"/>
      <c r="Z21" s="35">
        <v>88.38</v>
      </c>
    </row>
    <row r="22" spans="1:26" x14ac:dyDescent="0.3">
      <c r="A22" s="1"/>
      <c r="X22" s="36" t="s">
        <v>54</v>
      </c>
      <c r="Y22" s="25">
        <f>Y15</f>
        <v>2026</v>
      </c>
      <c r="Z22" s="25">
        <f>Z15</f>
        <v>2030</v>
      </c>
    </row>
    <row r="23" spans="1:26" x14ac:dyDescent="0.3">
      <c r="A23" s="1" t="s">
        <v>13</v>
      </c>
      <c r="C23" s="12">
        <f t="shared" ref="C23:L23" si="12">C13/C8</f>
        <v>1.0878306878306878</v>
      </c>
      <c r="D23" s="12">
        <f t="shared" si="12"/>
        <v>0.79814907453726869</v>
      </c>
      <c r="E23" s="12">
        <f t="shared" si="12"/>
        <v>1.6785134037367992</v>
      </c>
      <c r="F23" s="12">
        <f t="shared" si="12"/>
        <v>0.96723044397462998</v>
      </c>
      <c r="G23" s="12">
        <f t="shared" si="12"/>
        <v>0.62542675987644281</v>
      </c>
      <c r="H23" s="12">
        <f t="shared" si="12"/>
        <v>1.5877181724845997</v>
      </c>
      <c r="I23" s="12">
        <f t="shared" si="12"/>
        <v>1.1938981341401915</v>
      </c>
      <c r="J23" s="12">
        <f t="shared" si="12"/>
        <v>1.7397467657583265</v>
      </c>
      <c r="K23" s="12">
        <f t="shared" si="12"/>
        <v>1.7526272066458983</v>
      </c>
      <c r="L23" s="12">
        <f>L13/L8</f>
        <v>1.9669623996620194</v>
      </c>
      <c r="X23" s="36" t="s">
        <v>62</v>
      </c>
      <c r="Y23" s="37">
        <f>Y12</f>
        <v>196.69923381219658</v>
      </c>
      <c r="Z23" s="37">
        <f>Z12</f>
        <v>352.49232352801016</v>
      </c>
    </row>
    <row r="24" spans="1:26" x14ac:dyDescent="0.3">
      <c r="A24" s="1"/>
      <c r="X24" s="36" t="s">
        <v>63</v>
      </c>
      <c r="Y24" s="38">
        <f>Y18</f>
        <v>40.94967011832523</v>
      </c>
      <c r="Z24" s="38">
        <f>Z18</f>
        <v>71.621228972389048</v>
      </c>
    </row>
    <row r="25" spans="1:26" x14ac:dyDescent="0.3">
      <c r="A25" s="1" t="s">
        <v>14</v>
      </c>
      <c r="C25" s="10">
        <v>4180</v>
      </c>
      <c r="D25" s="10">
        <v>5475</v>
      </c>
      <c r="E25" s="10">
        <v>6842</v>
      </c>
      <c r="F25" s="10">
        <v>12039</v>
      </c>
      <c r="G25" s="10">
        <v>17203</v>
      </c>
      <c r="H25" s="10">
        <v>18365</v>
      </c>
      <c r="I25" s="10">
        <v>30723</v>
      </c>
      <c r="J25" s="10">
        <v>38514</v>
      </c>
      <c r="K25" s="10">
        <v>66064</v>
      </c>
      <c r="L25" s="10">
        <v>46327</v>
      </c>
      <c r="M25" s="16">
        <f>(L25/C25)^(1/($L$3-$C$3))-1</f>
        <v>0.30639075853997788</v>
      </c>
      <c r="X25" s="36" t="s">
        <v>64</v>
      </c>
      <c r="Y25" s="40">
        <f>AVERAGE(Y23:Y24)</f>
        <v>118.82445196526091</v>
      </c>
      <c r="Z25" s="40">
        <f t="shared" ref="Z25" si="13">AVERAGE(Z23:Z24)</f>
        <v>212.05677625019962</v>
      </c>
    </row>
    <row r="26" spans="1:26" x14ac:dyDescent="0.3">
      <c r="A26" s="1"/>
      <c r="C26" s="1"/>
      <c r="D26" s="1"/>
      <c r="E26" s="1"/>
      <c r="F26" s="1"/>
      <c r="G26" s="1"/>
      <c r="H26" s="1"/>
      <c r="I26" s="1"/>
      <c r="J26" s="1"/>
      <c r="K26" s="1"/>
      <c r="L26" s="1"/>
      <c r="X26" s="39" t="s">
        <v>65</v>
      </c>
      <c r="Y26" s="39">
        <f>(Y25/Z21)^(1/5)-1</f>
        <v>6.0987737565727063E-2</v>
      </c>
      <c r="Z26" s="39">
        <f>(Z25/Z21)^(1/10)-1</f>
        <v>9.1465005055699988E-2</v>
      </c>
    </row>
    <row r="27" spans="1:26" x14ac:dyDescent="0.3">
      <c r="A27" s="1" t="s">
        <v>15</v>
      </c>
      <c r="C27" s="10">
        <v>-3785</v>
      </c>
      <c r="D27" s="10">
        <v>-3444</v>
      </c>
      <c r="E27" s="10">
        <v>-4893</v>
      </c>
      <c r="F27" s="10">
        <v>-4589</v>
      </c>
      <c r="G27" s="10">
        <v>-6737</v>
      </c>
      <c r="H27" s="10">
        <v>-10058</v>
      </c>
      <c r="I27" s="10">
        <v>-11323</v>
      </c>
      <c r="J27" s="10">
        <v>-12689</v>
      </c>
      <c r="K27" s="10">
        <v>-35044</v>
      </c>
      <c r="L27" s="10">
        <v>-55396</v>
      </c>
    </row>
    <row r="28" spans="1:26" x14ac:dyDescent="0.3">
      <c r="A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26" x14ac:dyDescent="0.3">
      <c r="A29" s="1" t="s">
        <v>17</v>
      </c>
      <c r="C29" s="10">
        <v>2970</v>
      </c>
      <c r="D29" s="10">
        <v>-617</v>
      </c>
      <c r="E29" s="10">
        <v>4426</v>
      </c>
      <c r="F29" s="10">
        <v>-3882</v>
      </c>
      <c r="G29" s="10">
        <v>-3716</v>
      </c>
      <c r="H29" s="10">
        <v>-9928</v>
      </c>
      <c r="I29" s="10">
        <v>-7686</v>
      </c>
      <c r="J29" s="10">
        <v>-10066</v>
      </c>
      <c r="K29" s="10">
        <v>-1104</v>
      </c>
      <c r="L29" s="10">
        <v>6291</v>
      </c>
    </row>
    <row r="30" spans="1:26" x14ac:dyDescent="0.3">
      <c r="A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26" x14ac:dyDescent="0.3">
      <c r="A31" s="1" t="s">
        <v>16</v>
      </c>
      <c r="C31" s="10">
        <f t="shared" ref="C31:L31" si="14">C29</f>
        <v>2970</v>
      </c>
      <c r="D31" s="10">
        <f t="shared" si="14"/>
        <v>-617</v>
      </c>
      <c r="E31" s="10">
        <f t="shared" si="14"/>
        <v>4426</v>
      </c>
      <c r="F31" s="10">
        <f t="shared" si="14"/>
        <v>-3882</v>
      </c>
      <c r="G31" s="10">
        <f t="shared" si="14"/>
        <v>-3716</v>
      </c>
      <c r="H31" s="10">
        <f t="shared" si="14"/>
        <v>-9928</v>
      </c>
      <c r="I31" s="10">
        <f t="shared" si="14"/>
        <v>-7686</v>
      </c>
      <c r="J31" s="10">
        <f t="shared" si="14"/>
        <v>-10066</v>
      </c>
      <c r="K31" s="10">
        <f t="shared" si="14"/>
        <v>-1104</v>
      </c>
      <c r="L31" s="10">
        <f>L29</f>
        <v>6291</v>
      </c>
    </row>
    <row r="32" spans="1:26" x14ac:dyDescent="0.3">
      <c r="A32" s="1"/>
    </row>
    <row r="33" spans="1:22" x14ac:dyDescent="0.3">
      <c r="A33" s="1" t="s">
        <v>18</v>
      </c>
      <c r="C33" s="11">
        <f t="shared" ref="C33:L33" si="15">C31/C15</f>
        <v>0.32781456953642385</v>
      </c>
      <c r="D33" s="11">
        <f t="shared" si="15"/>
        <v>-6.6344086021505377E-2</v>
      </c>
      <c r="E33" s="11">
        <f t="shared" si="15"/>
        <v>0.47900432900432899</v>
      </c>
      <c r="F33" s="11">
        <f t="shared" si="15"/>
        <v>-0.40691823899371071</v>
      </c>
      <c r="G33" s="11">
        <f t="shared" si="15"/>
        <v>-0.38388429752066117</v>
      </c>
      <c r="H33" s="11">
        <f t="shared" si="15"/>
        <v>-1.0068965517241379</v>
      </c>
      <c r="I33" s="11">
        <f t="shared" si="15"/>
        <v>-0.76859999999999995</v>
      </c>
      <c r="J33" s="11">
        <f t="shared" si="15"/>
        <v>-0.99861111111111112</v>
      </c>
      <c r="K33" s="11">
        <f t="shared" si="15"/>
        <v>-0.10823529411764705</v>
      </c>
      <c r="L33" s="11">
        <f>L31/L15</f>
        <v>0.61077669902912624</v>
      </c>
      <c r="M33" s="16">
        <f>(L33/C33)^(1/($L$3-$C$3))-1</f>
        <v>7.158899643878458E-2</v>
      </c>
      <c r="N33" s="22">
        <f>L33*(1+N34)</f>
        <v>0.70239320388349513</v>
      </c>
      <c r="O33" s="22">
        <f>N33*(1+O34)</f>
        <v>0.80775218446601937</v>
      </c>
      <c r="P33" s="22">
        <f t="shared" ref="P33" si="16">O33*(1+P34)</f>
        <v>0.9289150121359222</v>
      </c>
      <c r="Q33" s="22">
        <f t="shared" ref="Q33" si="17">P33*(1+Q34)</f>
        <v>1.0682522639563103</v>
      </c>
      <c r="R33" s="22">
        <f t="shared" ref="R33" si="18">Q33*(1+R34)</f>
        <v>1.2284901035497569</v>
      </c>
      <c r="S33" s="22">
        <f t="shared" ref="S33" si="19">R33*(1+S34)</f>
        <v>1.4127636190822204</v>
      </c>
      <c r="T33" s="22">
        <f t="shared" ref="T33" si="20">S33*(1+T34)</f>
        <v>1.6246781619445534</v>
      </c>
      <c r="U33" s="22">
        <f t="shared" ref="U33" si="21">T33*(1+U34)</f>
        <v>1.8683798862362362</v>
      </c>
      <c r="V33" s="22">
        <f t="shared" ref="V33" si="22">U33*(1+V34)</f>
        <v>2.1486368691716713</v>
      </c>
    </row>
    <row r="34" spans="1:22" x14ac:dyDescent="0.3">
      <c r="A34" s="1"/>
      <c r="N34" s="21">
        <v>0.15</v>
      </c>
      <c r="O34" s="21">
        <v>0.15</v>
      </c>
      <c r="P34" s="21">
        <v>0.15</v>
      </c>
      <c r="Q34" s="21">
        <v>0.15</v>
      </c>
      <c r="R34" s="21">
        <v>0.15</v>
      </c>
      <c r="S34" s="21">
        <v>0.15</v>
      </c>
      <c r="T34" s="21">
        <v>0.15</v>
      </c>
      <c r="U34" s="21">
        <v>0.15</v>
      </c>
      <c r="V34" s="21">
        <v>0.15</v>
      </c>
    </row>
    <row r="35" spans="1:22" x14ac:dyDescent="0.3">
      <c r="A35" s="1" t="s">
        <v>19</v>
      </c>
      <c r="C35" s="11">
        <v>11.339583333333332</v>
      </c>
      <c r="D35" s="11">
        <v>15.201000083333339</v>
      </c>
      <c r="E35" s="11">
        <v>16.364750000000004</v>
      </c>
      <c r="F35" s="11">
        <v>24.664208499999997</v>
      </c>
      <c r="G35" s="11">
        <v>35.361249666666666</v>
      </c>
      <c r="H35" s="11">
        <v>49.266250083333325</v>
      </c>
      <c r="I35" s="11">
        <v>82.873041833333332</v>
      </c>
      <c r="J35" s="11">
        <v>89.745041500000013</v>
      </c>
      <c r="K35" s="11">
        <v>136.42862199999999</v>
      </c>
      <c r="L35" s="11">
        <v>165.92133333333331</v>
      </c>
      <c r="M35" s="16">
        <f>(L35/C35)^(1/($L$3-$C$3))-1</f>
        <v>0.34734355111364845</v>
      </c>
    </row>
    <row r="36" spans="1:22" x14ac:dyDescent="0.3">
      <c r="A36" s="1"/>
    </row>
    <row r="37" spans="1:22" x14ac:dyDescent="0.3">
      <c r="A37" s="1" t="s">
        <v>20</v>
      </c>
      <c r="C37" s="13">
        <f t="shared" ref="C37:L37" si="23">C33/C35</f>
        <v>2.8908872566136959E-2</v>
      </c>
      <c r="D37" s="13">
        <f t="shared" si="23"/>
        <v>-4.3644553422670053E-3</v>
      </c>
      <c r="E37" s="13">
        <f t="shared" si="23"/>
        <v>2.9270494752704983E-2</v>
      </c>
      <c r="F37" s="13">
        <f t="shared" si="23"/>
        <v>-1.6498329512325959E-2</v>
      </c>
      <c r="G37" s="13">
        <f t="shared" si="23"/>
        <v>-1.08560727106466E-2</v>
      </c>
      <c r="H37" s="13">
        <f t="shared" si="23"/>
        <v>-2.0437856545220782E-2</v>
      </c>
      <c r="I37" s="13">
        <f t="shared" si="23"/>
        <v>-9.2744272805351819E-3</v>
      </c>
      <c r="J37" s="13">
        <f t="shared" si="23"/>
        <v>-1.112720095083037E-2</v>
      </c>
      <c r="K37" s="13">
        <f t="shared" si="23"/>
        <v>-7.9334741149585943E-4</v>
      </c>
      <c r="L37" s="13">
        <f>L33/L35</f>
        <v>3.6811221725303136E-3</v>
      </c>
      <c r="M37" s="17">
        <f>AVERAGE(C37:L37)</f>
        <v>-1.1491200261949499E-3</v>
      </c>
    </row>
  </sheetData>
  <mergeCells count="8">
    <mergeCell ref="X20:Z20"/>
    <mergeCell ref="X3:Z3"/>
    <mergeCell ref="Y6:Z6"/>
    <mergeCell ref="Y8:Z8"/>
    <mergeCell ref="Y9:Z9"/>
    <mergeCell ref="Y11:Z11"/>
    <mergeCell ref="Y17:Z17"/>
    <mergeCell ref="X14:Z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D6D9-77BF-4B44-86F7-6FC553F6D737}">
  <dimension ref="A3:M30"/>
  <sheetViews>
    <sheetView topLeftCell="A7" workbookViewId="0">
      <selection activeCell="D19" sqref="D19:M19"/>
    </sheetView>
  </sheetViews>
  <sheetFormatPr defaultRowHeight="14.4" x14ac:dyDescent="0.3"/>
  <cols>
    <col min="1" max="1" width="12.5546875" bestFit="1" customWidth="1"/>
    <col min="2" max="2" width="18.5546875" bestFit="1" customWidth="1"/>
  </cols>
  <sheetData>
    <row r="3" spans="1:2" x14ac:dyDescent="0.3">
      <c r="A3" s="5" t="s">
        <v>24</v>
      </c>
      <c r="B3" t="s">
        <v>52</v>
      </c>
    </row>
    <row r="4" spans="1:2" x14ac:dyDescent="0.3">
      <c r="A4" s="6" t="s">
        <v>26</v>
      </c>
      <c r="B4" s="7">
        <v>0.17745542857142857</v>
      </c>
    </row>
    <row r="5" spans="1:2" x14ac:dyDescent="0.3">
      <c r="A5" s="6" t="s">
        <v>27</v>
      </c>
      <c r="B5" s="7">
        <v>0.86554900000000001</v>
      </c>
    </row>
    <row r="6" spans="1:2" x14ac:dyDescent="0.3">
      <c r="A6" s="6" t="s">
        <v>28</v>
      </c>
      <c r="B6" s="7">
        <v>3.5023439166666659</v>
      </c>
    </row>
    <row r="7" spans="1:2" x14ac:dyDescent="0.3">
      <c r="A7" s="6" t="s">
        <v>29</v>
      </c>
      <c r="B7" s="7">
        <v>2.1966145833333335</v>
      </c>
    </row>
    <row r="8" spans="1:2" x14ac:dyDescent="0.3">
      <c r="A8" s="6" t="s">
        <v>30</v>
      </c>
      <c r="B8" s="7">
        <v>0.58695833333333336</v>
      </c>
    </row>
    <row r="9" spans="1:2" x14ac:dyDescent="0.3">
      <c r="A9" s="6" t="s">
        <v>31</v>
      </c>
      <c r="B9" s="7">
        <v>0.83616666666666661</v>
      </c>
    </row>
    <row r="10" spans="1:2" x14ac:dyDescent="0.3">
      <c r="A10" s="6" t="s">
        <v>32</v>
      </c>
      <c r="B10" s="7">
        <v>1.9508333333333334</v>
      </c>
    </row>
    <row r="11" spans="1:2" x14ac:dyDescent="0.3">
      <c r="A11" s="6" t="s">
        <v>33</v>
      </c>
      <c r="B11" s="7">
        <v>2.1633749999999998</v>
      </c>
    </row>
    <row r="12" spans="1:2" x14ac:dyDescent="0.3">
      <c r="A12" s="6" t="s">
        <v>34</v>
      </c>
      <c r="B12" s="7">
        <v>2.0093750000000004</v>
      </c>
    </row>
    <row r="13" spans="1:2" x14ac:dyDescent="0.3">
      <c r="A13" s="6" t="s">
        <v>35</v>
      </c>
      <c r="B13" s="7">
        <v>1.8125833333333332</v>
      </c>
    </row>
    <row r="14" spans="1:2" x14ac:dyDescent="0.3">
      <c r="A14" s="6" t="s">
        <v>36</v>
      </c>
      <c r="B14" s="7">
        <v>3.4976249999999993</v>
      </c>
    </row>
    <row r="15" spans="1:2" x14ac:dyDescent="0.3">
      <c r="A15" s="6" t="s">
        <v>37</v>
      </c>
      <c r="B15" s="7">
        <v>3.4507499999999998</v>
      </c>
    </row>
    <row r="16" spans="1:2" x14ac:dyDescent="0.3">
      <c r="A16" s="6" t="s">
        <v>38</v>
      </c>
      <c r="B16" s="7">
        <v>4.5365416666666665</v>
      </c>
    </row>
    <row r="17" spans="1:13" x14ac:dyDescent="0.3">
      <c r="A17" s="6" t="s">
        <v>39</v>
      </c>
      <c r="B17" s="7">
        <v>6.9658750000000005</v>
      </c>
    </row>
    <row r="18" spans="1:13" x14ac:dyDescent="0.3">
      <c r="A18" s="6" t="s">
        <v>40</v>
      </c>
      <c r="B18" s="7">
        <v>9.8038749999999997</v>
      </c>
    </row>
    <row r="19" spans="1:13" x14ac:dyDescent="0.3">
      <c r="A19" s="6" t="s">
        <v>41</v>
      </c>
      <c r="B19" s="7">
        <v>11.339583333333332</v>
      </c>
      <c r="D19" cm="1">
        <f t="array" ref="D19:M19">TRANSPOSE(B19:B28)</f>
        <v>11.339583333333332</v>
      </c>
      <c r="E19">
        <v>15.201000083333339</v>
      </c>
      <c r="F19">
        <v>16.364750000000004</v>
      </c>
      <c r="G19">
        <v>24.664208499999997</v>
      </c>
      <c r="H19">
        <v>35.361249666666666</v>
      </c>
      <c r="I19">
        <v>49.266250083333325</v>
      </c>
      <c r="J19">
        <v>82.873041833333332</v>
      </c>
      <c r="K19">
        <v>89.745041500000013</v>
      </c>
      <c r="L19">
        <v>136.42862199999999</v>
      </c>
      <c r="M19">
        <v>165.92133333333331</v>
      </c>
    </row>
    <row r="20" spans="1:13" x14ac:dyDescent="0.3">
      <c r="A20" s="6" t="s">
        <v>42</v>
      </c>
      <c r="B20" s="7">
        <v>15.201000083333339</v>
      </c>
    </row>
    <row r="21" spans="1:13" x14ac:dyDescent="0.3">
      <c r="A21" s="6" t="s">
        <v>43</v>
      </c>
      <c r="B21" s="7">
        <v>16.364750000000004</v>
      </c>
    </row>
    <row r="22" spans="1:13" x14ac:dyDescent="0.3">
      <c r="A22" s="6" t="s">
        <v>44</v>
      </c>
      <c r="B22" s="7">
        <v>24.664208499999997</v>
      </c>
    </row>
    <row r="23" spans="1:13" x14ac:dyDescent="0.3">
      <c r="A23" s="6" t="s">
        <v>45</v>
      </c>
      <c r="B23" s="7">
        <v>35.361249666666666</v>
      </c>
    </row>
    <row r="24" spans="1:13" x14ac:dyDescent="0.3">
      <c r="A24" s="6" t="s">
        <v>46</v>
      </c>
      <c r="B24" s="7">
        <v>49.266250083333325</v>
      </c>
    </row>
    <row r="25" spans="1:13" x14ac:dyDescent="0.3">
      <c r="A25" s="6" t="s">
        <v>47</v>
      </c>
      <c r="B25" s="7">
        <v>82.873041833333332</v>
      </c>
    </row>
    <row r="26" spans="1:13" x14ac:dyDescent="0.3">
      <c r="A26" s="6" t="s">
        <v>48</v>
      </c>
      <c r="B26" s="7">
        <v>89.745041500000013</v>
      </c>
    </row>
    <row r="27" spans="1:13" x14ac:dyDescent="0.3">
      <c r="A27" s="6" t="s">
        <v>49</v>
      </c>
      <c r="B27" s="7">
        <v>136.42862199999999</v>
      </c>
    </row>
    <row r="28" spans="1:13" x14ac:dyDescent="0.3">
      <c r="A28" s="6" t="s">
        <v>50</v>
      </c>
      <c r="B28" s="7">
        <v>165.92133333333331</v>
      </c>
    </row>
    <row r="29" spans="1:13" x14ac:dyDescent="0.3">
      <c r="A29" s="6" t="s">
        <v>51</v>
      </c>
      <c r="B29" s="7">
        <v>123.4620839166667</v>
      </c>
    </row>
    <row r="30" spans="1:13" x14ac:dyDescent="0.3">
      <c r="A30" s="6" t="s">
        <v>25</v>
      </c>
      <c r="B30" s="7">
        <v>31.071367260586314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A5AFA-085D-4BB6-943D-0A468F305F08}">
  <dimension ref="A1:B308"/>
  <sheetViews>
    <sheetView workbookViewId="0">
      <selection activeCell="B1" sqref="A1:B1048576"/>
    </sheetView>
  </sheetViews>
  <sheetFormatPr defaultRowHeight="14.4" x14ac:dyDescent="0.3"/>
  <cols>
    <col min="1" max="1" width="9.5546875" bestFit="1" customWidth="1"/>
    <col min="2" max="2" width="11" bestFit="1" customWidth="1"/>
  </cols>
  <sheetData>
    <row r="1" spans="1:2" x14ac:dyDescent="0.3">
      <c r="A1" t="s">
        <v>2</v>
      </c>
      <c r="B1" t="s">
        <v>23</v>
      </c>
    </row>
    <row r="2" spans="1:2" x14ac:dyDescent="0.3">
      <c r="A2" s="3">
        <v>35582</v>
      </c>
      <c r="B2">
        <v>7.7082999999999999E-2</v>
      </c>
    </row>
    <row r="3" spans="1:2" x14ac:dyDescent="0.3">
      <c r="A3" s="3">
        <v>35612</v>
      </c>
      <c r="B3">
        <v>0.119792</v>
      </c>
    </row>
    <row r="4" spans="1:2" x14ac:dyDescent="0.3">
      <c r="A4" s="3">
        <v>35643</v>
      </c>
      <c r="B4">
        <v>0.116927</v>
      </c>
    </row>
    <row r="5" spans="1:2" x14ac:dyDescent="0.3">
      <c r="A5" s="3">
        <v>35674</v>
      </c>
      <c r="B5">
        <v>0.21692700000000001</v>
      </c>
    </row>
    <row r="6" spans="1:2" x14ac:dyDescent="0.3">
      <c r="A6" s="3">
        <v>35704</v>
      </c>
      <c r="B6">
        <v>0.25416699999999998</v>
      </c>
    </row>
    <row r="7" spans="1:2" x14ac:dyDescent="0.3">
      <c r="A7" s="3">
        <v>35735</v>
      </c>
      <c r="B7">
        <v>0.20624999999999999</v>
      </c>
    </row>
    <row r="8" spans="1:2" x14ac:dyDescent="0.3">
      <c r="A8" s="3">
        <v>35765</v>
      </c>
      <c r="B8">
        <v>0.25104199999999999</v>
      </c>
    </row>
    <row r="9" spans="1:2" x14ac:dyDescent="0.3">
      <c r="A9" s="3">
        <v>35796</v>
      </c>
      <c r="B9">
        <v>0.245833</v>
      </c>
    </row>
    <row r="10" spans="1:2" x14ac:dyDescent="0.3">
      <c r="A10" s="3">
        <v>35827</v>
      </c>
      <c r="B10">
        <v>0.32083299999999998</v>
      </c>
    </row>
    <row r="11" spans="1:2" x14ac:dyDescent="0.3">
      <c r="A11" s="3">
        <v>35855</v>
      </c>
      <c r="B11">
        <v>0.35637999999999997</v>
      </c>
    </row>
    <row r="12" spans="1:2" x14ac:dyDescent="0.3">
      <c r="A12" s="3">
        <v>35886</v>
      </c>
      <c r="B12">
        <v>0.38229200000000002</v>
      </c>
    </row>
    <row r="13" spans="1:2" x14ac:dyDescent="0.3">
      <c r="A13" s="3">
        <v>35916</v>
      </c>
      <c r="B13">
        <v>0.36718800000000001</v>
      </c>
    </row>
    <row r="14" spans="1:2" x14ac:dyDescent="0.3">
      <c r="A14" s="3">
        <v>35947</v>
      </c>
      <c r="B14">
        <v>0.83125000000000004</v>
      </c>
    </row>
    <row r="15" spans="1:2" x14ac:dyDescent="0.3">
      <c r="A15" s="3">
        <v>35977</v>
      </c>
      <c r="B15">
        <v>0.92395799999999995</v>
      </c>
    </row>
    <row r="16" spans="1:2" x14ac:dyDescent="0.3">
      <c r="A16" s="3">
        <v>36008</v>
      </c>
      <c r="B16">
        <v>0.69791700000000001</v>
      </c>
    </row>
    <row r="17" spans="1:2" x14ac:dyDescent="0.3">
      <c r="A17" s="3">
        <v>36039</v>
      </c>
      <c r="B17">
        <v>0.93020800000000003</v>
      </c>
    </row>
    <row r="18" spans="1:2" x14ac:dyDescent="0.3">
      <c r="A18" s="3">
        <v>36069</v>
      </c>
      <c r="B18">
        <v>1.0536460000000001</v>
      </c>
    </row>
    <row r="19" spans="1:2" x14ac:dyDescent="0.3">
      <c r="A19" s="3">
        <v>36100</v>
      </c>
      <c r="B19">
        <v>1.6</v>
      </c>
    </row>
    <row r="20" spans="1:2" x14ac:dyDescent="0.3">
      <c r="A20" s="3">
        <v>36130</v>
      </c>
      <c r="B20">
        <v>2.6770830000000001</v>
      </c>
    </row>
    <row r="21" spans="1:2" x14ac:dyDescent="0.3">
      <c r="A21" s="3">
        <v>36161</v>
      </c>
      <c r="B21">
        <v>2.923438</v>
      </c>
    </row>
    <row r="22" spans="1:2" x14ac:dyDescent="0.3">
      <c r="A22" s="3">
        <v>36192</v>
      </c>
      <c r="B22">
        <v>3.203125</v>
      </c>
    </row>
    <row r="23" spans="1:2" x14ac:dyDescent="0.3">
      <c r="A23" s="3">
        <v>36220</v>
      </c>
      <c r="B23">
        <v>4.3046879999999996</v>
      </c>
    </row>
    <row r="24" spans="1:2" x14ac:dyDescent="0.3">
      <c r="A24" s="3">
        <v>36251</v>
      </c>
      <c r="B24">
        <v>4.3015629999999998</v>
      </c>
    </row>
    <row r="25" spans="1:2" x14ac:dyDescent="0.3">
      <c r="A25" s="3">
        <v>36281</v>
      </c>
      <c r="B25">
        <v>2.96875</v>
      </c>
    </row>
    <row r="26" spans="1:2" x14ac:dyDescent="0.3">
      <c r="A26" s="3">
        <v>36312</v>
      </c>
      <c r="B26">
        <v>3.1281249999999998</v>
      </c>
    </row>
    <row r="27" spans="1:2" x14ac:dyDescent="0.3">
      <c r="A27" s="3">
        <v>36342</v>
      </c>
      <c r="B27">
        <v>2.501563</v>
      </c>
    </row>
    <row r="28" spans="1:2" x14ac:dyDescent="0.3">
      <c r="A28" s="3">
        <v>36373</v>
      </c>
      <c r="B28">
        <v>3.109375</v>
      </c>
    </row>
    <row r="29" spans="1:2" x14ac:dyDescent="0.3">
      <c r="A29" s="3">
        <v>36404</v>
      </c>
      <c r="B29">
        <v>3.9968750000000002</v>
      </c>
    </row>
    <row r="30" spans="1:2" x14ac:dyDescent="0.3">
      <c r="A30" s="3">
        <v>36434</v>
      </c>
      <c r="B30">
        <v>3.53125</v>
      </c>
    </row>
    <row r="31" spans="1:2" x14ac:dyDescent="0.3">
      <c r="A31" s="3">
        <v>36465</v>
      </c>
      <c r="B31">
        <v>4.2531249999999998</v>
      </c>
    </row>
    <row r="32" spans="1:2" x14ac:dyDescent="0.3">
      <c r="A32" s="3">
        <v>36495</v>
      </c>
      <c r="B32">
        <v>3.8062499999999999</v>
      </c>
    </row>
    <row r="33" spans="1:2" x14ac:dyDescent="0.3">
      <c r="A33" s="3">
        <v>36526</v>
      </c>
      <c r="B33">
        <v>3.2281249999999999</v>
      </c>
    </row>
    <row r="34" spans="1:2" x14ac:dyDescent="0.3">
      <c r="A34" s="3">
        <v>36557</v>
      </c>
      <c r="B34">
        <v>3.4437500000000001</v>
      </c>
    </row>
    <row r="35" spans="1:2" x14ac:dyDescent="0.3">
      <c r="A35" s="3">
        <v>36586</v>
      </c>
      <c r="B35">
        <v>3.35</v>
      </c>
    </row>
    <row r="36" spans="1:2" x14ac:dyDescent="0.3">
      <c r="A36" s="3">
        <v>36617</v>
      </c>
      <c r="B36">
        <v>2.7593749999999999</v>
      </c>
    </row>
    <row r="37" spans="1:2" x14ac:dyDescent="0.3">
      <c r="A37" s="3">
        <v>36647</v>
      </c>
      <c r="B37">
        <v>2.4156249999999999</v>
      </c>
    </row>
    <row r="38" spans="1:2" x14ac:dyDescent="0.3">
      <c r="A38" s="3">
        <v>36678</v>
      </c>
      <c r="B38">
        <v>1.815625</v>
      </c>
    </row>
    <row r="39" spans="1:2" x14ac:dyDescent="0.3">
      <c r="A39" s="3">
        <v>36708</v>
      </c>
      <c r="B39">
        <v>1.5062500000000001</v>
      </c>
    </row>
    <row r="40" spans="1:2" x14ac:dyDescent="0.3">
      <c r="A40" s="3">
        <v>36739</v>
      </c>
      <c r="B40">
        <v>2.0750000000000002</v>
      </c>
    </row>
    <row r="41" spans="1:2" x14ac:dyDescent="0.3">
      <c r="A41" s="3">
        <v>36770</v>
      </c>
      <c r="B41">
        <v>1.921875</v>
      </c>
    </row>
    <row r="42" spans="1:2" x14ac:dyDescent="0.3">
      <c r="A42" s="3">
        <v>36800</v>
      </c>
      <c r="B42">
        <v>1.83125</v>
      </c>
    </row>
    <row r="43" spans="1:2" x14ac:dyDescent="0.3">
      <c r="A43" s="3">
        <v>36831</v>
      </c>
      <c r="B43">
        <v>1.234375</v>
      </c>
    </row>
    <row r="44" spans="1:2" x14ac:dyDescent="0.3">
      <c r="A44" s="3">
        <v>36861</v>
      </c>
      <c r="B44">
        <v>0.77812499999999996</v>
      </c>
    </row>
    <row r="45" spans="1:2" x14ac:dyDescent="0.3">
      <c r="A45" s="3">
        <v>36892</v>
      </c>
      <c r="B45">
        <v>0.86562499999999998</v>
      </c>
    </row>
    <row r="46" spans="1:2" x14ac:dyDescent="0.3">
      <c r="A46" s="3">
        <v>36923</v>
      </c>
      <c r="B46">
        <v>0.50937500000000002</v>
      </c>
    </row>
    <row r="47" spans="1:2" x14ac:dyDescent="0.3">
      <c r="A47" s="3">
        <v>36951</v>
      </c>
      <c r="B47">
        <v>0.51149999999999995</v>
      </c>
    </row>
    <row r="48" spans="1:2" x14ac:dyDescent="0.3">
      <c r="A48" s="3">
        <v>36982</v>
      </c>
      <c r="B48">
        <v>0.78900000000000003</v>
      </c>
    </row>
    <row r="49" spans="1:2" x14ac:dyDescent="0.3">
      <c r="A49" s="3">
        <v>37012</v>
      </c>
      <c r="B49">
        <v>0.83450000000000002</v>
      </c>
    </row>
    <row r="50" spans="1:2" x14ac:dyDescent="0.3">
      <c r="A50" s="3">
        <v>37043</v>
      </c>
      <c r="B50">
        <v>0.70750000000000002</v>
      </c>
    </row>
    <row r="51" spans="1:2" x14ac:dyDescent="0.3">
      <c r="A51" s="3">
        <v>37073</v>
      </c>
      <c r="B51">
        <v>0.62450000000000006</v>
      </c>
    </row>
    <row r="52" spans="1:2" x14ac:dyDescent="0.3">
      <c r="A52" s="3">
        <v>37104</v>
      </c>
      <c r="B52">
        <v>0.44700000000000001</v>
      </c>
    </row>
    <row r="53" spans="1:2" x14ac:dyDescent="0.3">
      <c r="A53" s="3">
        <v>37135</v>
      </c>
      <c r="B53">
        <v>0.29849999999999999</v>
      </c>
    </row>
    <row r="54" spans="1:2" x14ac:dyDescent="0.3">
      <c r="A54" s="3">
        <v>37165</v>
      </c>
      <c r="B54">
        <v>0.34899999999999998</v>
      </c>
    </row>
    <row r="55" spans="1:2" x14ac:dyDescent="0.3">
      <c r="A55" s="3">
        <v>37196</v>
      </c>
      <c r="B55">
        <v>0.56599999999999995</v>
      </c>
    </row>
    <row r="56" spans="1:2" x14ac:dyDescent="0.3">
      <c r="A56" s="3">
        <v>37226</v>
      </c>
      <c r="B56">
        <v>0.54100000000000004</v>
      </c>
    </row>
    <row r="57" spans="1:2" x14ac:dyDescent="0.3">
      <c r="A57" s="3">
        <v>37257</v>
      </c>
      <c r="B57">
        <v>0.70950000000000002</v>
      </c>
    </row>
    <row r="58" spans="1:2" x14ac:dyDescent="0.3">
      <c r="A58" s="3">
        <v>37288</v>
      </c>
      <c r="B58">
        <v>0.70499999999999996</v>
      </c>
    </row>
    <row r="59" spans="1:2" x14ac:dyDescent="0.3">
      <c r="A59" s="3">
        <v>37316</v>
      </c>
      <c r="B59">
        <v>0.71499999999999997</v>
      </c>
    </row>
    <row r="60" spans="1:2" x14ac:dyDescent="0.3">
      <c r="A60" s="3">
        <v>37347</v>
      </c>
      <c r="B60">
        <v>0.83450000000000002</v>
      </c>
    </row>
    <row r="61" spans="1:2" x14ac:dyDescent="0.3">
      <c r="A61" s="3">
        <v>37377</v>
      </c>
      <c r="B61">
        <v>0.91149999999999998</v>
      </c>
    </row>
    <row r="62" spans="1:2" x14ac:dyDescent="0.3">
      <c r="A62" s="3">
        <v>37408</v>
      </c>
      <c r="B62">
        <v>0.8125</v>
      </c>
    </row>
    <row r="63" spans="1:2" x14ac:dyDescent="0.3">
      <c r="A63" s="3">
        <v>37438</v>
      </c>
      <c r="B63">
        <v>0.72250000000000003</v>
      </c>
    </row>
    <row r="64" spans="1:2" x14ac:dyDescent="0.3">
      <c r="A64" s="3">
        <v>37469</v>
      </c>
      <c r="B64">
        <v>0.747</v>
      </c>
    </row>
    <row r="65" spans="1:2" x14ac:dyDescent="0.3">
      <c r="A65" s="3">
        <v>37500</v>
      </c>
      <c r="B65">
        <v>0.79649999999999999</v>
      </c>
    </row>
    <row r="66" spans="1:2" x14ac:dyDescent="0.3">
      <c r="A66" s="3">
        <v>37530</v>
      </c>
      <c r="B66">
        <v>0.96799999999999997</v>
      </c>
    </row>
    <row r="67" spans="1:2" x14ac:dyDescent="0.3">
      <c r="A67" s="3">
        <v>37561</v>
      </c>
      <c r="B67">
        <v>1.1675</v>
      </c>
    </row>
    <row r="68" spans="1:2" x14ac:dyDescent="0.3">
      <c r="A68" s="3">
        <v>37591</v>
      </c>
      <c r="B68">
        <v>0.94450000000000001</v>
      </c>
    </row>
    <row r="69" spans="1:2" x14ac:dyDescent="0.3">
      <c r="A69" s="3">
        <v>37622</v>
      </c>
      <c r="B69">
        <v>1.0925</v>
      </c>
    </row>
    <row r="70" spans="1:2" x14ac:dyDescent="0.3">
      <c r="A70" s="3">
        <v>37653</v>
      </c>
      <c r="B70">
        <v>1.1005</v>
      </c>
    </row>
    <row r="71" spans="1:2" x14ac:dyDescent="0.3">
      <c r="A71" s="3">
        <v>37681</v>
      </c>
      <c r="B71">
        <v>1.3015000000000001</v>
      </c>
    </row>
    <row r="72" spans="1:2" x14ac:dyDescent="0.3">
      <c r="A72" s="3">
        <v>37712</v>
      </c>
      <c r="B72">
        <v>1.4345000000000001</v>
      </c>
    </row>
    <row r="73" spans="1:2" x14ac:dyDescent="0.3">
      <c r="A73" s="3">
        <v>37742</v>
      </c>
      <c r="B73">
        <v>1.7945</v>
      </c>
    </row>
    <row r="74" spans="1:2" x14ac:dyDescent="0.3">
      <c r="A74" s="3">
        <v>37773</v>
      </c>
      <c r="B74">
        <v>1.8160000000000001</v>
      </c>
    </row>
    <row r="75" spans="1:2" x14ac:dyDescent="0.3">
      <c r="A75" s="3">
        <v>37803</v>
      </c>
      <c r="B75">
        <v>2.0819999999999999</v>
      </c>
    </row>
    <row r="76" spans="1:2" x14ac:dyDescent="0.3">
      <c r="A76" s="3">
        <v>37834</v>
      </c>
      <c r="B76">
        <v>2.3159999999999998</v>
      </c>
    </row>
    <row r="77" spans="1:2" x14ac:dyDescent="0.3">
      <c r="A77" s="3">
        <v>37865</v>
      </c>
      <c r="B77">
        <v>2.4215</v>
      </c>
    </row>
    <row r="78" spans="1:2" x14ac:dyDescent="0.3">
      <c r="A78" s="3">
        <v>37895</v>
      </c>
      <c r="B78">
        <v>2.7214999999999998</v>
      </c>
    </row>
    <row r="79" spans="1:2" x14ac:dyDescent="0.3">
      <c r="A79" s="3">
        <v>37926</v>
      </c>
      <c r="B79">
        <v>2.6985000000000001</v>
      </c>
    </row>
    <row r="80" spans="1:2" x14ac:dyDescent="0.3">
      <c r="A80" s="3">
        <v>37956</v>
      </c>
      <c r="B80">
        <v>2.6309999999999998</v>
      </c>
    </row>
    <row r="81" spans="1:2" x14ac:dyDescent="0.3">
      <c r="A81" s="3">
        <v>37987</v>
      </c>
      <c r="B81">
        <v>2.52</v>
      </c>
    </row>
    <row r="82" spans="1:2" x14ac:dyDescent="0.3">
      <c r="A82" s="3">
        <v>38018</v>
      </c>
      <c r="B82">
        <v>2.1505000000000001</v>
      </c>
    </row>
    <row r="83" spans="1:2" x14ac:dyDescent="0.3">
      <c r="A83" s="3">
        <v>38047</v>
      </c>
      <c r="B83">
        <v>2.1640000000000001</v>
      </c>
    </row>
    <row r="84" spans="1:2" x14ac:dyDescent="0.3">
      <c r="A84" s="3">
        <v>38078</v>
      </c>
      <c r="B84">
        <v>2.1800000000000002</v>
      </c>
    </row>
    <row r="85" spans="1:2" x14ac:dyDescent="0.3">
      <c r="A85" s="3">
        <v>38108</v>
      </c>
      <c r="B85">
        <v>2.4249999999999998</v>
      </c>
    </row>
    <row r="86" spans="1:2" x14ac:dyDescent="0.3">
      <c r="A86" s="3">
        <v>38139</v>
      </c>
      <c r="B86">
        <v>2.72</v>
      </c>
    </row>
    <row r="87" spans="1:2" x14ac:dyDescent="0.3">
      <c r="A87" s="3">
        <v>38169</v>
      </c>
      <c r="B87">
        <v>1.946</v>
      </c>
    </row>
    <row r="88" spans="1:2" x14ac:dyDescent="0.3">
      <c r="A88" s="3">
        <v>38200</v>
      </c>
      <c r="B88">
        <v>1.907</v>
      </c>
    </row>
    <row r="89" spans="1:2" x14ac:dyDescent="0.3">
      <c r="A89" s="3">
        <v>38231</v>
      </c>
      <c r="B89">
        <v>2.0430000000000001</v>
      </c>
    </row>
    <row r="90" spans="1:2" x14ac:dyDescent="0.3">
      <c r="A90" s="3">
        <v>38261</v>
      </c>
      <c r="B90">
        <v>1.7064999999999999</v>
      </c>
    </row>
    <row r="91" spans="1:2" x14ac:dyDescent="0.3">
      <c r="A91" s="3">
        <v>38292</v>
      </c>
      <c r="B91">
        <v>1.984</v>
      </c>
    </row>
    <row r="92" spans="1:2" x14ac:dyDescent="0.3">
      <c r="A92" s="3">
        <v>38322</v>
      </c>
      <c r="B92">
        <v>2.2145000000000001</v>
      </c>
    </row>
    <row r="93" spans="1:2" x14ac:dyDescent="0.3">
      <c r="A93" s="3">
        <v>38353</v>
      </c>
      <c r="B93">
        <v>2.161</v>
      </c>
    </row>
    <row r="94" spans="1:2" x14ac:dyDescent="0.3">
      <c r="A94" s="3">
        <v>38384</v>
      </c>
      <c r="B94">
        <v>1.7589999999999999</v>
      </c>
    </row>
    <row r="95" spans="1:2" x14ac:dyDescent="0.3">
      <c r="A95" s="3">
        <v>38412</v>
      </c>
      <c r="B95">
        <v>1.7135</v>
      </c>
    </row>
    <row r="96" spans="1:2" x14ac:dyDescent="0.3">
      <c r="A96" s="3">
        <v>38443</v>
      </c>
      <c r="B96">
        <v>1.6180000000000001</v>
      </c>
    </row>
    <row r="97" spans="1:2" x14ac:dyDescent="0.3">
      <c r="A97" s="3">
        <v>38473</v>
      </c>
      <c r="B97">
        <v>1.7755000000000001</v>
      </c>
    </row>
    <row r="98" spans="1:2" x14ac:dyDescent="0.3">
      <c r="A98" s="3">
        <v>38504</v>
      </c>
      <c r="B98">
        <v>1.6545000000000001</v>
      </c>
    </row>
    <row r="99" spans="1:2" x14ac:dyDescent="0.3">
      <c r="A99" s="3">
        <v>38534</v>
      </c>
      <c r="B99">
        <v>2.2574999999999998</v>
      </c>
    </row>
    <row r="100" spans="1:2" x14ac:dyDescent="0.3">
      <c r="A100" s="3">
        <v>38565</v>
      </c>
      <c r="B100">
        <v>2.1349999999999998</v>
      </c>
    </row>
    <row r="101" spans="1:2" x14ac:dyDescent="0.3">
      <c r="A101" s="3">
        <v>38596</v>
      </c>
      <c r="B101">
        <v>2.2650000000000001</v>
      </c>
    </row>
    <row r="102" spans="1:2" x14ac:dyDescent="0.3">
      <c r="A102" s="3">
        <v>38626</v>
      </c>
      <c r="B102">
        <v>1.9930000000000001</v>
      </c>
    </row>
    <row r="103" spans="1:2" x14ac:dyDescent="0.3">
      <c r="A103" s="3">
        <v>38657</v>
      </c>
      <c r="B103">
        <v>2.423</v>
      </c>
    </row>
    <row r="104" spans="1:2" x14ac:dyDescent="0.3">
      <c r="A104" s="3">
        <v>38687</v>
      </c>
      <c r="B104">
        <v>2.3574999999999999</v>
      </c>
    </row>
    <row r="105" spans="1:2" x14ac:dyDescent="0.3">
      <c r="A105" s="3">
        <v>38718</v>
      </c>
      <c r="B105">
        <v>2.2410000000000001</v>
      </c>
    </row>
    <row r="106" spans="1:2" x14ac:dyDescent="0.3">
      <c r="A106" s="3">
        <v>38749</v>
      </c>
      <c r="B106">
        <v>1.8720000000000001</v>
      </c>
    </row>
    <row r="107" spans="1:2" x14ac:dyDescent="0.3">
      <c r="A107" s="3">
        <v>38777</v>
      </c>
      <c r="B107">
        <v>1.8265</v>
      </c>
    </row>
    <row r="108" spans="1:2" x14ac:dyDescent="0.3">
      <c r="A108" s="3">
        <v>38808</v>
      </c>
      <c r="B108">
        <v>1.7605</v>
      </c>
    </row>
    <row r="109" spans="1:2" x14ac:dyDescent="0.3">
      <c r="A109" s="3">
        <v>38838</v>
      </c>
      <c r="B109">
        <v>1.7304999999999999</v>
      </c>
    </row>
    <row r="110" spans="1:2" x14ac:dyDescent="0.3">
      <c r="A110" s="3">
        <v>38869</v>
      </c>
      <c r="B110">
        <v>1.9339999999999999</v>
      </c>
    </row>
    <row r="111" spans="1:2" x14ac:dyDescent="0.3">
      <c r="A111" s="3">
        <v>38899</v>
      </c>
      <c r="B111">
        <v>1.3445</v>
      </c>
    </row>
    <row r="112" spans="1:2" x14ac:dyDescent="0.3">
      <c r="A112" s="3">
        <v>38930</v>
      </c>
      <c r="B112">
        <v>1.5415000000000001</v>
      </c>
    </row>
    <row r="113" spans="1:2" x14ac:dyDescent="0.3">
      <c r="A113" s="3">
        <v>38961</v>
      </c>
      <c r="B113">
        <v>1.6060000000000001</v>
      </c>
    </row>
    <row r="114" spans="1:2" x14ac:dyDescent="0.3">
      <c r="A114" s="3">
        <v>38991</v>
      </c>
      <c r="B114">
        <v>1.9045000000000001</v>
      </c>
    </row>
    <row r="115" spans="1:2" x14ac:dyDescent="0.3">
      <c r="A115" s="3">
        <v>39022</v>
      </c>
      <c r="B115">
        <v>2.0169999999999999</v>
      </c>
    </row>
    <row r="116" spans="1:2" x14ac:dyDescent="0.3">
      <c r="A116" s="3">
        <v>39052</v>
      </c>
      <c r="B116">
        <v>1.9730000000000001</v>
      </c>
    </row>
    <row r="117" spans="1:2" x14ac:dyDescent="0.3">
      <c r="A117" s="3">
        <v>39083</v>
      </c>
      <c r="B117">
        <v>1.8835</v>
      </c>
    </row>
    <row r="118" spans="1:2" x14ac:dyDescent="0.3">
      <c r="A118" s="3">
        <v>39114</v>
      </c>
      <c r="B118">
        <v>1.9570000000000001</v>
      </c>
    </row>
    <row r="119" spans="1:2" x14ac:dyDescent="0.3">
      <c r="A119" s="3">
        <v>39142</v>
      </c>
      <c r="B119">
        <v>1.9895</v>
      </c>
    </row>
    <row r="120" spans="1:2" x14ac:dyDescent="0.3">
      <c r="A120" s="3">
        <v>39173</v>
      </c>
      <c r="B120">
        <v>3.0665</v>
      </c>
    </row>
    <row r="121" spans="1:2" x14ac:dyDescent="0.3">
      <c r="A121" s="3">
        <v>39203</v>
      </c>
      <c r="B121">
        <v>3.4569999999999999</v>
      </c>
    </row>
    <row r="122" spans="1:2" x14ac:dyDescent="0.3">
      <c r="A122" s="3">
        <v>39234</v>
      </c>
      <c r="B122">
        <v>3.4205000000000001</v>
      </c>
    </row>
    <row r="123" spans="1:2" x14ac:dyDescent="0.3">
      <c r="A123" s="3">
        <v>39264</v>
      </c>
      <c r="B123">
        <v>3.927</v>
      </c>
    </row>
    <row r="124" spans="1:2" x14ac:dyDescent="0.3">
      <c r="A124" s="3">
        <v>39295</v>
      </c>
      <c r="B124">
        <v>3.9954999999999998</v>
      </c>
    </row>
    <row r="125" spans="1:2" x14ac:dyDescent="0.3">
      <c r="A125" s="3">
        <v>39326</v>
      </c>
      <c r="B125">
        <v>4.6574999999999998</v>
      </c>
    </row>
    <row r="126" spans="1:2" x14ac:dyDescent="0.3">
      <c r="A126" s="3">
        <v>39356</v>
      </c>
      <c r="B126">
        <v>4.4574999999999996</v>
      </c>
    </row>
    <row r="127" spans="1:2" x14ac:dyDescent="0.3">
      <c r="A127" s="3">
        <v>39387</v>
      </c>
      <c r="B127">
        <v>4.5279999999999996</v>
      </c>
    </row>
    <row r="128" spans="1:2" x14ac:dyDescent="0.3">
      <c r="A128" s="3">
        <v>39417</v>
      </c>
      <c r="B128">
        <v>4.6319999999999997</v>
      </c>
    </row>
    <row r="129" spans="1:2" x14ac:dyDescent="0.3">
      <c r="A129" s="3">
        <v>39448</v>
      </c>
      <c r="B129">
        <v>3.8849999999999998</v>
      </c>
    </row>
    <row r="130" spans="1:2" x14ac:dyDescent="0.3">
      <c r="A130" s="3">
        <v>39479</v>
      </c>
      <c r="B130">
        <v>3.2235</v>
      </c>
    </row>
    <row r="131" spans="1:2" x14ac:dyDescent="0.3">
      <c r="A131" s="3">
        <v>39508</v>
      </c>
      <c r="B131">
        <v>3.5649999999999999</v>
      </c>
    </row>
    <row r="132" spans="1:2" x14ac:dyDescent="0.3">
      <c r="A132" s="3">
        <v>39539</v>
      </c>
      <c r="B132">
        <v>3.9315000000000002</v>
      </c>
    </row>
    <row r="133" spans="1:2" x14ac:dyDescent="0.3">
      <c r="A133" s="3">
        <v>39569</v>
      </c>
      <c r="B133">
        <v>4.0810000000000004</v>
      </c>
    </row>
    <row r="134" spans="1:2" x14ac:dyDescent="0.3">
      <c r="A134" s="3">
        <v>39600</v>
      </c>
      <c r="B134">
        <v>3.6665000000000001</v>
      </c>
    </row>
    <row r="135" spans="1:2" x14ac:dyDescent="0.3">
      <c r="A135" s="3">
        <v>39630</v>
      </c>
      <c r="B135">
        <v>3.8170000000000002</v>
      </c>
    </row>
    <row r="136" spans="1:2" x14ac:dyDescent="0.3">
      <c r="A136" s="3">
        <v>39661</v>
      </c>
      <c r="B136">
        <v>4.0404999999999998</v>
      </c>
    </row>
    <row r="137" spans="1:2" x14ac:dyDescent="0.3">
      <c r="A137" s="3">
        <v>39692</v>
      </c>
      <c r="B137">
        <v>3.6379999999999999</v>
      </c>
    </row>
    <row r="138" spans="1:2" x14ac:dyDescent="0.3">
      <c r="A138" s="3">
        <v>39722</v>
      </c>
      <c r="B138">
        <v>2.8620000000000001</v>
      </c>
    </row>
    <row r="139" spans="1:2" x14ac:dyDescent="0.3">
      <c r="A139" s="3">
        <v>39753</v>
      </c>
      <c r="B139">
        <v>2.1349999999999998</v>
      </c>
    </row>
    <row r="140" spans="1:2" x14ac:dyDescent="0.3">
      <c r="A140" s="3">
        <v>39783</v>
      </c>
      <c r="B140">
        <v>2.5640000000000001</v>
      </c>
    </row>
    <row r="141" spans="1:2" x14ac:dyDescent="0.3">
      <c r="A141" s="3">
        <v>39814</v>
      </c>
      <c r="B141">
        <v>2.9409999999999998</v>
      </c>
    </row>
    <row r="142" spans="1:2" x14ac:dyDescent="0.3">
      <c r="A142" s="3">
        <v>39845</v>
      </c>
      <c r="B142">
        <v>3.2395</v>
      </c>
    </row>
    <row r="143" spans="1:2" x14ac:dyDescent="0.3">
      <c r="A143" s="3">
        <v>39873</v>
      </c>
      <c r="B143">
        <v>3.6720000000000002</v>
      </c>
    </row>
    <row r="144" spans="1:2" x14ac:dyDescent="0.3">
      <c r="A144" s="3">
        <v>39904</v>
      </c>
      <c r="B144">
        <v>4.0259999999999998</v>
      </c>
    </row>
    <row r="145" spans="1:2" x14ac:dyDescent="0.3">
      <c r="A145" s="3">
        <v>39934</v>
      </c>
      <c r="B145">
        <v>3.8995000000000002</v>
      </c>
    </row>
    <row r="146" spans="1:2" x14ac:dyDescent="0.3">
      <c r="A146" s="3">
        <v>39965</v>
      </c>
      <c r="B146">
        <v>4.1829999999999998</v>
      </c>
    </row>
    <row r="147" spans="1:2" x14ac:dyDescent="0.3">
      <c r="A147" s="3">
        <v>39995</v>
      </c>
      <c r="B147">
        <v>4.2880000000000003</v>
      </c>
    </row>
    <row r="148" spans="1:2" x14ac:dyDescent="0.3">
      <c r="A148" s="3">
        <v>40026</v>
      </c>
      <c r="B148">
        <v>4.0594999999999999</v>
      </c>
    </row>
    <row r="149" spans="1:2" x14ac:dyDescent="0.3">
      <c r="A149" s="3">
        <v>40057</v>
      </c>
      <c r="B149">
        <v>4.6680000000000001</v>
      </c>
    </row>
    <row r="150" spans="1:2" x14ac:dyDescent="0.3">
      <c r="A150" s="3">
        <v>40087</v>
      </c>
      <c r="B150">
        <v>5.9405000000000001</v>
      </c>
    </row>
    <row r="151" spans="1:2" x14ac:dyDescent="0.3">
      <c r="A151" s="3">
        <v>40118</v>
      </c>
      <c r="B151">
        <v>6.7954999999999997</v>
      </c>
    </row>
    <row r="152" spans="1:2" x14ac:dyDescent="0.3">
      <c r="A152" s="3">
        <v>40148</v>
      </c>
      <c r="B152">
        <v>6.726</v>
      </c>
    </row>
    <row r="153" spans="1:2" x14ac:dyDescent="0.3">
      <c r="A153" s="3">
        <v>40179</v>
      </c>
      <c r="B153">
        <v>6.2705000000000002</v>
      </c>
    </row>
    <row r="154" spans="1:2" x14ac:dyDescent="0.3">
      <c r="A154" s="3">
        <v>40210</v>
      </c>
      <c r="B154">
        <v>5.92</v>
      </c>
    </row>
    <row r="155" spans="1:2" x14ac:dyDescent="0.3">
      <c r="A155" s="3">
        <v>40238</v>
      </c>
      <c r="B155">
        <v>6.7885</v>
      </c>
    </row>
    <row r="156" spans="1:2" x14ac:dyDescent="0.3">
      <c r="A156" s="3">
        <v>40269</v>
      </c>
      <c r="B156">
        <v>6.8550000000000004</v>
      </c>
    </row>
    <row r="157" spans="1:2" x14ac:dyDescent="0.3">
      <c r="A157" s="3">
        <v>40299</v>
      </c>
      <c r="B157">
        <v>6.2729999999999997</v>
      </c>
    </row>
    <row r="158" spans="1:2" x14ac:dyDescent="0.3">
      <c r="A158" s="3">
        <v>40330</v>
      </c>
      <c r="B158">
        <v>5.4630000000000001</v>
      </c>
    </row>
    <row r="159" spans="1:2" x14ac:dyDescent="0.3">
      <c r="A159" s="3">
        <v>40360</v>
      </c>
      <c r="B159">
        <v>5.8944999999999999</v>
      </c>
    </row>
    <row r="160" spans="1:2" x14ac:dyDescent="0.3">
      <c r="A160" s="3">
        <v>40391</v>
      </c>
      <c r="B160">
        <v>6.2415000000000003</v>
      </c>
    </row>
    <row r="161" spans="1:2" x14ac:dyDescent="0.3">
      <c r="A161" s="3">
        <v>40422</v>
      </c>
      <c r="B161">
        <v>7.8529999999999998</v>
      </c>
    </row>
    <row r="162" spans="1:2" x14ac:dyDescent="0.3">
      <c r="A162" s="3">
        <v>40452</v>
      </c>
      <c r="B162">
        <v>8.2614999999999998</v>
      </c>
    </row>
    <row r="163" spans="1:2" x14ac:dyDescent="0.3">
      <c r="A163" s="3">
        <v>40483</v>
      </c>
      <c r="B163">
        <v>8.77</v>
      </c>
    </row>
    <row r="164" spans="1:2" x14ac:dyDescent="0.3">
      <c r="A164" s="3">
        <v>40513</v>
      </c>
      <c r="B164">
        <v>9</v>
      </c>
    </row>
    <row r="165" spans="1:2" x14ac:dyDescent="0.3">
      <c r="A165" s="3">
        <v>40544</v>
      </c>
      <c r="B165">
        <v>8.4819999999999993</v>
      </c>
    </row>
    <row r="166" spans="1:2" x14ac:dyDescent="0.3">
      <c r="A166" s="3">
        <v>40575</v>
      </c>
      <c r="B166">
        <v>8.6645000000000003</v>
      </c>
    </row>
    <row r="167" spans="1:2" x14ac:dyDescent="0.3">
      <c r="A167" s="3">
        <v>40603</v>
      </c>
      <c r="B167">
        <v>9.0065000000000008</v>
      </c>
    </row>
    <row r="168" spans="1:2" x14ac:dyDescent="0.3">
      <c r="A168" s="3">
        <v>40634</v>
      </c>
      <c r="B168">
        <v>9.7904999999999998</v>
      </c>
    </row>
    <row r="169" spans="1:2" x14ac:dyDescent="0.3">
      <c r="A169" s="3">
        <v>40664</v>
      </c>
      <c r="B169">
        <v>9.8345000000000002</v>
      </c>
    </row>
    <row r="170" spans="1:2" x14ac:dyDescent="0.3">
      <c r="A170" s="3">
        <v>40695</v>
      </c>
      <c r="B170">
        <v>10.224500000000001</v>
      </c>
    </row>
    <row r="171" spans="1:2" x14ac:dyDescent="0.3">
      <c r="A171" s="3">
        <v>40725</v>
      </c>
      <c r="B171">
        <v>11.125999999999999</v>
      </c>
    </row>
    <row r="172" spans="1:2" x14ac:dyDescent="0.3">
      <c r="A172" s="3">
        <v>40756</v>
      </c>
      <c r="B172">
        <v>10.7615</v>
      </c>
    </row>
    <row r="173" spans="1:2" x14ac:dyDescent="0.3">
      <c r="A173" s="3">
        <v>40787</v>
      </c>
      <c r="B173">
        <v>10.811500000000001</v>
      </c>
    </row>
    <row r="174" spans="1:2" x14ac:dyDescent="0.3">
      <c r="A174" s="3">
        <v>40817</v>
      </c>
      <c r="B174">
        <v>10.6755</v>
      </c>
    </row>
    <row r="175" spans="1:2" x14ac:dyDescent="0.3">
      <c r="A175" s="3">
        <v>40848</v>
      </c>
      <c r="B175">
        <v>9.6144999999999996</v>
      </c>
    </row>
    <row r="176" spans="1:2" x14ac:dyDescent="0.3">
      <c r="A176" s="3">
        <v>40878</v>
      </c>
      <c r="B176">
        <v>8.6549999999999994</v>
      </c>
    </row>
    <row r="177" spans="1:2" x14ac:dyDescent="0.3">
      <c r="A177" s="3">
        <v>40909</v>
      </c>
      <c r="B177">
        <v>9.7219999999999995</v>
      </c>
    </row>
    <row r="178" spans="1:2" x14ac:dyDescent="0.3">
      <c r="A178" s="3">
        <v>40940</v>
      </c>
      <c r="B178">
        <v>8.9845000000000006</v>
      </c>
    </row>
    <row r="179" spans="1:2" x14ac:dyDescent="0.3">
      <c r="A179" s="3">
        <v>40969</v>
      </c>
      <c r="B179">
        <v>10.125500000000001</v>
      </c>
    </row>
    <row r="180" spans="1:2" x14ac:dyDescent="0.3">
      <c r="A180" s="3">
        <v>41000</v>
      </c>
      <c r="B180">
        <v>11.595000000000001</v>
      </c>
    </row>
    <row r="181" spans="1:2" x14ac:dyDescent="0.3">
      <c r="A181" s="3">
        <v>41030</v>
      </c>
      <c r="B181">
        <v>10.6455</v>
      </c>
    </row>
    <row r="182" spans="1:2" x14ac:dyDescent="0.3">
      <c r="A182" s="3">
        <v>41061</v>
      </c>
      <c r="B182">
        <v>11.4175</v>
      </c>
    </row>
    <row r="183" spans="1:2" x14ac:dyDescent="0.3">
      <c r="A183" s="3">
        <v>41091</v>
      </c>
      <c r="B183">
        <v>11.664999999999999</v>
      </c>
    </row>
    <row r="184" spans="1:2" x14ac:dyDescent="0.3">
      <c r="A184" s="3">
        <v>41122</v>
      </c>
      <c r="B184">
        <v>12.413500000000001</v>
      </c>
    </row>
    <row r="185" spans="1:2" x14ac:dyDescent="0.3">
      <c r="A185" s="3">
        <v>41153</v>
      </c>
      <c r="B185">
        <v>12.715999999999999</v>
      </c>
    </row>
    <row r="186" spans="1:2" x14ac:dyDescent="0.3">
      <c r="A186" s="3">
        <v>41183</v>
      </c>
      <c r="B186">
        <v>11.644500000000001</v>
      </c>
    </row>
    <row r="187" spans="1:2" x14ac:dyDescent="0.3">
      <c r="A187" s="3">
        <v>41214</v>
      </c>
      <c r="B187">
        <v>12.602499999999999</v>
      </c>
    </row>
    <row r="188" spans="1:2" x14ac:dyDescent="0.3">
      <c r="A188" s="3">
        <v>41244</v>
      </c>
      <c r="B188">
        <v>12.5435</v>
      </c>
    </row>
    <row r="189" spans="1:2" x14ac:dyDescent="0.3">
      <c r="A189" s="3">
        <v>41275</v>
      </c>
      <c r="B189">
        <v>13.275</v>
      </c>
    </row>
    <row r="190" spans="1:2" x14ac:dyDescent="0.3">
      <c r="A190" s="3">
        <v>41306</v>
      </c>
      <c r="B190">
        <v>13.2135</v>
      </c>
    </row>
    <row r="191" spans="1:2" x14ac:dyDescent="0.3">
      <c r="A191" s="3">
        <v>41334</v>
      </c>
      <c r="B191">
        <v>13.3245</v>
      </c>
    </row>
    <row r="192" spans="1:2" x14ac:dyDescent="0.3">
      <c r="A192" s="3">
        <v>41365</v>
      </c>
      <c r="B192">
        <v>12.6905</v>
      </c>
    </row>
    <row r="193" spans="1:2" x14ac:dyDescent="0.3">
      <c r="A193" s="3">
        <v>41395</v>
      </c>
      <c r="B193">
        <v>13.46</v>
      </c>
    </row>
    <row r="194" spans="1:2" x14ac:dyDescent="0.3">
      <c r="A194" s="3">
        <v>41426</v>
      </c>
      <c r="B194">
        <v>13.884499999999999</v>
      </c>
    </row>
    <row r="195" spans="1:2" x14ac:dyDescent="0.3">
      <c r="A195" s="3">
        <v>41456</v>
      </c>
      <c r="B195">
        <v>15.061</v>
      </c>
    </row>
    <row r="196" spans="1:2" x14ac:dyDescent="0.3">
      <c r="A196" s="3">
        <v>41487</v>
      </c>
      <c r="B196">
        <v>14.048999999999999</v>
      </c>
    </row>
    <row r="197" spans="1:2" x14ac:dyDescent="0.3">
      <c r="A197" s="3">
        <v>41518</v>
      </c>
      <c r="B197">
        <v>15.632</v>
      </c>
    </row>
    <row r="198" spans="1:2" x14ac:dyDescent="0.3">
      <c r="A198" s="3">
        <v>41548</v>
      </c>
      <c r="B198">
        <v>18.201499999999999</v>
      </c>
    </row>
    <row r="199" spans="1:2" x14ac:dyDescent="0.3">
      <c r="A199" s="3">
        <v>41579</v>
      </c>
      <c r="B199">
        <v>19.681000000000001</v>
      </c>
    </row>
    <row r="200" spans="1:2" x14ac:dyDescent="0.3">
      <c r="A200" s="3">
        <v>41609</v>
      </c>
      <c r="B200">
        <v>19.939501</v>
      </c>
    </row>
    <row r="201" spans="1:2" x14ac:dyDescent="0.3">
      <c r="A201" s="3">
        <v>41640</v>
      </c>
      <c r="B201">
        <v>17.9345</v>
      </c>
    </row>
    <row r="202" spans="1:2" x14ac:dyDescent="0.3">
      <c r="A202" s="3">
        <v>41671</v>
      </c>
      <c r="B202">
        <v>18.105</v>
      </c>
    </row>
    <row r="203" spans="1:2" x14ac:dyDescent="0.3">
      <c r="A203" s="3">
        <v>41699</v>
      </c>
      <c r="B203">
        <v>16.818501000000001</v>
      </c>
    </row>
    <row r="204" spans="1:2" x14ac:dyDescent="0.3">
      <c r="A204" s="3">
        <v>41730</v>
      </c>
      <c r="B204">
        <v>15.2065</v>
      </c>
    </row>
    <row r="205" spans="1:2" x14ac:dyDescent="0.3">
      <c r="A205" s="3">
        <v>41760</v>
      </c>
      <c r="B205">
        <v>15.6275</v>
      </c>
    </row>
    <row r="206" spans="1:2" x14ac:dyDescent="0.3">
      <c r="A206" s="3">
        <v>41791</v>
      </c>
      <c r="B206">
        <v>16.239000000000001</v>
      </c>
    </row>
    <row r="207" spans="1:2" x14ac:dyDescent="0.3">
      <c r="A207" s="3">
        <v>41821</v>
      </c>
      <c r="B207">
        <v>15.6495</v>
      </c>
    </row>
    <row r="208" spans="1:2" x14ac:dyDescent="0.3">
      <c r="A208" s="3">
        <v>41852</v>
      </c>
      <c r="B208">
        <v>16.952000000000002</v>
      </c>
    </row>
    <row r="209" spans="1:2" x14ac:dyDescent="0.3">
      <c r="A209" s="3">
        <v>41883</v>
      </c>
      <c r="B209">
        <v>16.122</v>
      </c>
    </row>
    <row r="210" spans="1:2" x14ac:dyDescent="0.3">
      <c r="A210" s="3">
        <v>41913</v>
      </c>
      <c r="B210">
        <v>15.273</v>
      </c>
    </row>
    <row r="211" spans="1:2" x14ac:dyDescent="0.3">
      <c r="A211" s="3">
        <v>41944</v>
      </c>
      <c r="B211">
        <v>16.931999000000001</v>
      </c>
    </row>
    <row r="212" spans="1:2" x14ac:dyDescent="0.3">
      <c r="A212" s="3">
        <v>41974</v>
      </c>
      <c r="B212">
        <v>15.5175</v>
      </c>
    </row>
    <row r="213" spans="1:2" x14ac:dyDescent="0.3">
      <c r="A213" s="3">
        <v>42005</v>
      </c>
      <c r="B213">
        <v>17.726500000000001</v>
      </c>
    </row>
    <row r="214" spans="1:2" x14ac:dyDescent="0.3">
      <c r="A214" s="3">
        <v>42036</v>
      </c>
      <c r="B214">
        <v>19.007999000000002</v>
      </c>
    </row>
    <row r="215" spans="1:2" x14ac:dyDescent="0.3">
      <c r="A215" s="3">
        <v>42064</v>
      </c>
      <c r="B215">
        <v>18.605</v>
      </c>
    </row>
    <row r="216" spans="1:2" x14ac:dyDescent="0.3">
      <c r="A216" s="3">
        <v>42095</v>
      </c>
      <c r="B216">
        <v>21.089001</v>
      </c>
    </row>
    <row r="217" spans="1:2" x14ac:dyDescent="0.3">
      <c r="A217" s="3">
        <v>42125</v>
      </c>
      <c r="B217">
        <v>21.461500000000001</v>
      </c>
    </row>
    <row r="218" spans="1:2" x14ac:dyDescent="0.3">
      <c r="A218" s="3">
        <v>42156</v>
      </c>
      <c r="B218">
        <v>21.704499999999999</v>
      </c>
    </row>
    <row r="219" spans="1:2" x14ac:dyDescent="0.3">
      <c r="A219" s="3">
        <v>42186</v>
      </c>
      <c r="B219">
        <v>26.807500999999998</v>
      </c>
    </row>
    <row r="220" spans="1:2" x14ac:dyDescent="0.3">
      <c r="A220" s="3">
        <v>42217</v>
      </c>
      <c r="B220">
        <v>25.644501000000002</v>
      </c>
    </row>
    <row r="221" spans="1:2" x14ac:dyDescent="0.3">
      <c r="A221" s="3">
        <v>42248</v>
      </c>
      <c r="B221">
        <v>25.5945</v>
      </c>
    </row>
    <row r="222" spans="1:2" x14ac:dyDescent="0.3">
      <c r="A222" s="3">
        <v>42278</v>
      </c>
      <c r="B222">
        <v>31.295000000000002</v>
      </c>
    </row>
    <row r="223" spans="1:2" x14ac:dyDescent="0.3">
      <c r="A223" s="3">
        <v>42309</v>
      </c>
      <c r="B223">
        <v>33.240001999999997</v>
      </c>
    </row>
    <row r="224" spans="1:2" x14ac:dyDescent="0.3">
      <c r="A224" s="3">
        <v>42339</v>
      </c>
      <c r="B224">
        <v>33.794497999999997</v>
      </c>
    </row>
    <row r="225" spans="1:2" x14ac:dyDescent="0.3">
      <c r="A225" s="3">
        <v>42370</v>
      </c>
      <c r="B225">
        <v>29.35</v>
      </c>
    </row>
    <row r="226" spans="1:2" x14ac:dyDescent="0.3">
      <c r="A226" s="3">
        <v>42401</v>
      </c>
      <c r="B226">
        <v>27.625999</v>
      </c>
    </row>
    <row r="227" spans="1:2" x14ac:dyDescent="0.3">
      <c r="A227" s="3">
        <v>42430</v>
      </c>
      <c r="B227">
        <v>29.681999000000001</v>
      </c>
    </row>
    <row r="228" spans="1:2" x14ac:dyDescent="0.3">
      <c r="A228" s="3">
        <v>42461</v>
      </c>
      <c r="B228">
        <v>32.979500000000002</v>
      </c>
    </row>
    <row r="229" spans="1:2" x14ac:dyDescent="0.3">
      <c r="A229" s="3">
        <v>42491</v>
      </c>
      <c r="B229">
        <v>36.139499999999998</v>
      </c>
    </row>
    <row r="230" spans="1:2" x14ac:dyDescent="0.3">
      <c r="A230" s="3">
        <v>42522</v>
      </c>
      <c r="B230">
        <v>35.780997999999997</v>
      </c>
    </row>
    <row r="231" spans="1:2" x14ac:dyDescent="0.3">
      <c r="A231" s="3">
        <v>42552</v>
      </c>
      <c r="B231">
        <v>37.940497999999998</v>
      </c>
    </row>
    <row r="232" spans="1:2" x14ac:dyDescent="0.3">
      <c r="A232" s="3">
        <v>42583</v>
      </c>
      <c r="B232">
        <v>38.457999999999998</v>
      </c>
    </row>
    <row r="233" spans="1:2" x14ac:dyDescent="0.3">
      <c r="A233" s="3">
        <v>42614</v>
      </c>
      <c r="B233">
        <v>41.865501000000002</v>
      </c>
    </row>
    <row r="234" spans="1:2" x14ac:dyDescent="0.3">
      <c r="A234" s="3">
        <v>42644</v>
      </c>
      <c r="B234">
        <v>39.491000999999997</v>
      </c>
    </row>
    <row r="235" spans="1:2" x14ac:dyDescent="0.3">
      <c r="A235" s="3">
        <v>42675</v>
      </c>
      <c r="B235">
        <v>37.528500000000001</v>
      </c>
    </row>
    <row r="236" spans="1:2" x14ac:dyDescent="0.3">
      <c r="A236" s="3">
        <v>42705</v>
      </c>
      <c r="B236">
        <v>37.493499999999997</v>
      </c>
    </row>
    <row r="237" spans="1:2" x14ac:dyDescent="0.3">
      <c r="A237" s="3">
        <v>42736</v>
      </c>
      <c r="B237">
        <v>41.173999999999999</v>
      </c>
    </row>
    <row r="238" spans="1:2" x14ac:dyDescent="0.3">
      <c r="A238" s="3">
        <v>42767</v>
      </c>
      <c r="B238">
        <v>42.251998999999998</v>
      </c>
    </row>
    <row r="239" spans="1:2" x14ac:dyDescent="0.3">
      <c r="A239" s="3">
        <v>42795</v>
      </c>
      <c r="B239">
        <v>44.326999999999998</v>
      </c>
    </row>
    <row r="240" spans="1:2" x14ac:dyDescent="0.3">
      <c r="A240" s="3">
        <v>42826</v>
      </c>
      <c r="B240">
        <v>46.249499999999998</v>
      </c>
    </row>
    <row r="241" spans="1:2" x14ac:dyDescent="0.3">
      <c r="A241" s="3">
        <v>42856</v>
      </c>
      <c r="B241">
        <v>49.730998999999997</v>
      </c>
    </row>
    <row r="242" spans="1:2" x14ac:dyDescent="0.3">
      <c r="A242" s="3">
        <v>42887</v>
      </c>
      <c r="B242">
        <v>48.400002000000001</v>
      </c>
    </row>
    <row r="243" spans="1:2" x14ac:dyDescent="0.3">
      <c r="A243" s="3">
        <v>42917</v>
      </c>
      <c r="B243">
        <v>49.389000000000003</v>
      </c>
    </row>
    <row r="244" spans="1:2" x14ac:dyDescent="0.3">
      <c r="A244" s="3">
        <v>42948</v>
      </c>
      <c r="B244">
        <v>49.029998999999997</v>
      </c>
    </row>
    <row r="245" spans="1:2" x14ac:dyDescent="0.3">
      <c r="A245" s="3">
        <v>42979</v>
      </c>
      <c r="B245">
        <v>48.067501</v>
      </c>
    </row>
    <row r="246" spans="1:2" x14ac:dyDescent="0.3">
      <c r="A246" s="3">
        <v>43009</v>
      </c>
      <c r="B246">
        <v>55.264000000000003</v>
      </c>
    </row>
    <row r="247" spans="1:2" x14ac:dyDescent="0.3">
      <c r="A247" s="3">
        <v>43040</v>
      </c>
      <c r="B247">
        <v>58.837502000000001</v>
      </c>
    </row>
    <row r="248" spans="1:2" x14ac:dyDescent="0.3">
      <c r="A248" s="3">
        <v>43070</v>
      </c>
      <c r="B248">
        <v>58.473498999999997</v>
      </c>
    </row>
    <row r="249" spans="1:2" x14ac:dyDescent="0.3">
      <c r="A249" s="3">
        <v>43101</v>
      </c>
      <c r="B249">
        <v>72.544501999999994</v>
      </c>
    </row>
    <row r="250" spans="1:2" x14ac:dyDescent="0.3">
      <c r="A250" s="3">
        <v>43132</v>
      </c>
      <c r="B250">
        <v>75.622497999999993</v>
      </c>
    </row>
    <row r="251" spans="1:2" x14ac:dyDescent="0.3">
      <c r="A251" s="3">
        <v>43160</v>
      </c>
      <c r="B251">
        <v>72.366996999999998</v>
      </c>
    </row>
    <row r="252" spans="1:2" x14ac:dyDescent="0.3">
      <c r="A252" s="3">
        <v>43191</v>
      </c>
      <c r="B252">
        <v>78.306503000000006</v>
      </c>
    </row>
    <row r="253" spans="1:2" x14ac:dyDescent="0.3">
      <c r="A253" s="3">
        <v>43221</v>
      </c>
      <c r="B253">
        <v>81.481003000000001</v>
      </c>
    </row>
    <row r="254" spans="1:2" x14ac:dyDescent="0.3">
      <c r="A254" s="3">
        <v>43252</v>
      </c>
      <c r="B254">
        <v>84.989998</v>
      </c>
    </row>
    <row r="255" spans="1:2" x14ac:dyDescent="0.3">
      <c r="A255" s="3">
        <v>43282</v>
      </c>
      <c r="B255">
        <v>88.872001999999995</v>
      </c>
    </row>
    <row r="256" spans="1:2" x14ac:dyDescent="0.3">
      <c r="A256" s="3">
        <v>43313</v>
      </c>
      <c r="B256">
        <v>100.635498</v>
      </c>
    </row>
    <row r="257" spans="1:2" x14ac:dyDescent="0.3">
      <c r="A257" s="3">
        <v>43344</v>
      </c>
      <c r="B257">
        <v>100.150002</v>
      </c>
    </row>
    <row r="258" spans="1:2" x14ac:dyDescent="0.3">
      <c r="A258" s="3">
        <v>43374</v>
      </c>
      <c r="B258">
        <v>79.900497000000001</v>
      </c>
    </row>
    <row r="259" spans="1:2" x14ac:dyDescent="0.3">
      <c r="A259" s="3">
        <v>43405</v>
      </c>
      <c r="B259">
        <v>84.508499</v>
      </c>
    </row>
    <row r="260" spans="1:2" x14ac:dyDescent="0.3">
      <c r="A260" s="3">
        <v>43435</v>
      </c>
      <c r="B260">
        <v>75.098502999999994</v>
      </c>
    </row>
    <row r="261" spans="1:2" x14ac:dyDescent="0.3">
      <c r="A261" s="3">
        <v>43466</v>
      </c>
      <c r="B261">
        <v>85.936501000000007</v>
      </c>
    </row>
    <row r="262" spans="1:2" x14ac:dyDescent="0.3">
      <c r="A262" s="3">
        <v>43497</v>
      </c>
      <c r="B262">
        <v>81.991501</v>
      </c>
    </row>
    <row r="263" spans="1:2" x14ac:dyDescent="0.3">
      <c r="A263" s="3">
        <v>43525</v>
      </c>
      <c r="B263">
        <v>89.037497999999999</v>
      </c>
    </row>
    <row r="264" spans="1:2" x14ac:dyDescent="0.3">
      <c r="A264" s="3">
        <v>43556</v>
      </c>
      <c r="B264">
        <v>96.325996000000004</v>
      </c>
    </row>
    <row r="265" spans="1:2" x14ac:dyDescent="0.3">
      <c r="A265" s="3">
        <v>43586</v>
      </c>
      <c r="B265">
        <v>88.753501999999997</v>
      </c>
    </row>
    <row r="266" spans="1:2" x14ac:dyDescent="0.3">
      <c r="A266" s="3">
        <v>43617</v>
      </c>
      <c r="B266">
        <v>94.681503000000006</v>
      </c>
    </row>
    <row r="267" spans="1:2" x14ac:dyDescent="0.3">
      <c r="A267" s="3">
        <v>43647</v>
      </c>
      <c r="B267">
        <v>93.338997000000006</v>
      </c>
    </row>
    <row r="268" spans="1:2" x14ac:dyDescent="0.3">
      <c r="A268" s="3">
        <v>43678</v>
      </c>
      <c r="B268">
        <v>88.814498999999998</v>
      </c>
    </row>
    <row r="269" spans="1:2" x14ac:dyDescent="0.3">
      <c r="A269" s="3">
        <v>43709</v>
      </c>
      <c r="B269">
        <v>86.795501999999999</v>
      </c>
    </row>
    <row r="270" spans="1:2" x14ac:dyDescent="0.3">
      <c r="A270" s="3">
        <v>43739</v>
      </c>
      <c r="B270">
        <v>88.832999999999998</v>
      </c>
    </row>
    <row r="271" spans="1:2" x14ac:dyDescent="0.3">
      <c r="A271" s="3">
        <v>43770</v>
      </c>
      <c r="B271">
        <v>90.040001000000004</v>
      </c>
    </row>
    <row r="272" spans="1:2" x14ac:dyDescent="0.3">
      <c r="A272" s="3">
        <v>43800</v>
      </c>
      <c r="B272">
        <v>92.391998000000001</v>
      </c>
    </row>
    <row r="273" spans="1:2" x14ac:dyDescent="0.3">
      <c r="A273" s="3">
        <v>43831</v>
      </c>
      <c r="B273">
        <v>100.435997</v>
      </c>
    </row>
    <row r="274" spans="1:2" x14ac:dyDescent="0.3">
      <c r="A274" s="3">
        <v>43862</v>
      </c>
      <c r="B274">
        <v>94.1875</v>
      </c>
    </row>
    <row r="275" spans="1:2" x14ac:dyDescent="0.3">
      <c r="A275" s="3">
        <v>43891</v>
      </c>
      <c r="B275">
        <v>97.486000000000004</v>
      </c>
    </row>
    <row r="276" spans="1:2" x14ac:dyDescent="0.3">
      <c r="A276" s="3">
        <v>43922</v>
      </c>
      <c r="B276">
        <v>123.699997</v>
      </c>
    </row>
    <row r="277" spans="1:2" x14ac:dyDescent="0.3">
      <c r="A277" s="3">
        <v>43952</v>
      </c>
      <c r="B277">
        <v>122.1185</v>
      </c>
    </row>
    <row r="278" spans="1:2" x14ac:dyDescent="0.3">
      <c r="A278" s="3">
        <v>43983</v>
      </c>
      <c r="B278">
        <v>137.94099399999999</v>
      </c>
    </row>
    <row r="279" spans="1:2" x14ac:dyDescent="0.3">
      <c r="A279" s="3">
        <v>44013</v>
      </c>
      <c r="B279">
        <v>158.233994</v>
      </c>
    </row>
    <row r="280" spans="1:2" x14ac:dyDescent="0.3">
      <c r="A280" s="3">
        <v>44044</v>
      </c>
      <c r="B280">
        <v>172.54800399999999</v>
      </c>
    </row>
    <row r="281" spans="1:2" x14ac:dyDescent="0.3">
      <c r="A281" s="3">
        <v>44075</v>
      </c>
      <c r="B281">
        <v>157.43649300000001</v>
      </c>
    </row>
    <row r="282" spans="1:2" x14ac:dyDescent="0.3">
      <c r="A282" s="3">
        <v>44105</v>
      </c>
      <c r="B282">
        <v>151.80749499999999</v>
      </c>
    </row>
    <row r="283" spans="1:2" x14ac:dyDescent="0.3">
      <c r="A283" s="3">
        <v>44136</v>
      </c>
      <c r="B283">
        <v>158.401993</v>
      </c>
    </row>
    <row r="284" spans="1:2" x14ac:dyDescent="0.3">
      <c r="A284" s="3">
        <v>44166</v>
      </c>
      <c r="B284">
        <v>162.846497</v>
      </c>
    </row>
    <row r="285" spans="1:2" x14ac:dyDescent="0.3">
      <c r="A285" s="3">
        <v>44197</v>
      </c>
      <c r="B285">
        <v>160.30999800000001</v>
      </c>
    </row>
    <row r="286" spans="1:2" x14ac:dyDescent="0.3">
      <c r="A286" s="3">
        <v>44228</v>
      </c>
      <c r="B286">
        <v>154.6465</v>
      </c>
    </row>
    <row r="287" spans="1:2" x14ac:dyDescent="0.3">
      <c r="A287" s="3">
        <v>44256</v>
      </c>
      <c r="B287">
        <v>154.70399499999999</v>
      </c>
    </row>
    <row r="288" spans="1:2" x14ac:dyDescent="0.3">
      <c r="A288" s="3">
        <v>44287</v>
      </c>
      <c r="B288">
        <v>173.371002</v>
      </c>
    </row>
    <row r="289" spans="1:2" x14ac:dyDescent="0.3">
      <c r="A289" s="3">
        <v>44317</v>
      </c>
      <c r="B289">
        <v>161.153503</v>
      </c>
    </row>
    <row r="290" spans="1:2" x14ac:dyDescent="0.3">
      <c r="A290" s="3">
        <v>44348</v>
      </c>
      <c r="B290">
        <v>172.00799599999999</v>
      </c>
    </row>
    <row r="291" spans="1:2" x14ac:dyDescent="0.3">
      <c r="A291" s="3">
        <v>44378</v>
      </c>
      <c r="B291">
        <v>166.379501</v>
      </c>
    </row>
    <row r="292" spans="1:2" x14ac:dyDescent="0.3">
      <c r="A292" s="3">
        <v>44409</v>
      </c>
      <c r="B292">
        <v>173.53950499999999</v>
      </c>
    </row>
    <row r="293" spans="1:2" x14ac:dyDescent="0.3">
      <c r="A293" s="3">
        <v>44440</v>
      </c>
      <c r="B293">
        <v>164.25199900000001</v>
      </c>
    </row>
    <row r="294" spans="1:2" x14ac:dyDescent="0.3">
      <c r="A294" s="3">
        <v>44470</v>
      </c>
      <c r="B294">
        <v>168.62150600000001</v>
      </c>
    </row>
    <row r="295" spans="1:2" x14ac:dyDescent="0.3">
      <c r="A295" s="3">
        <v>44501</v>
      </c>
      <c r="B295">
        <v>175.3535</v>
      </c>
    </row>
    <row r="296" spans="1:2" x14ac:dyDescent="0.3">
      <c r="A296" s="3">
        <v>44531</v>
      </c>
      <c r="B296">
        <v>166.716995</v>
      </c>
    </row>
    <row r="297" spans="1:2" x14ac:dyDescent="0.3">
      <c r="A297" s="3">
        <v>44562</v>
      </c>
      <c r="B297">
        <v>149.57350199999999</v>
      </c>
    </row>
    <row r="298" spans="1:2" x14ac:dyDescent="0.3">
      <c r="A298" s="3">
        <v>44593</v>
      </c>
      <c r="B298">
        <v>153.56300400000001</v>
      </c>
    </row>
    <row r="299" spans="1:2" x14ac:dyDescent="0.3">
      <c r="A299" s="3">
        <v>44621</v>
      </c>
      <c r="B299">
        <v>162.99749800000001</v>
      </c>
    </row>
    <row r="300" spans="1:2" x14ac:dyDescent="0.3">
      <c r="A300" s="3">
        <v>44652</v>
      </c>
      <c r="B300">
        <v>124.281502</v>
      </c>
    </row>
    <row r="301" spans="1:2" x14ac:dyDescent="0.3">
      <c r="A301" s="3">
        <v>44682</v>
      </c>
      <c r="B301">
        <v>120.209503</v>
      </c>
    </row>
    <row r="302" spans="1:2" x14ac:dyDescent="0.3">
      <c r="A302" s="3">
        <v>44713</v>
      </c>
      <c r="B302">
        <v>106.209999</v>
      </c>
    </row>
    <row r="303" spans="1:2" x14ac:dyDescent="0.3">
      <c r="A303" s="3">
        <v>44743</v>
      </c>
      <c r="B303">
        <v>134.949997</v>
      </c>
    </row>
    <row r="304" spans="1:2" x14ac:dyDescent="0.3">
      <c r="A304" s="3">
        <v>44774</v>
      </c>
      <c r="B304">
        <v>126.769997</v>
      </c>
    </row>
    <row r="305" spans="1:2" x14ac:dyDescent="0.3">
      <c r="A305" s="3">
        <v>44805</v>
      </c>
      <c r="B305">
        <v>113</v>
      </c>
    </row>
    <row r="306" spans="1:2" x14ac:dyDescent="0.3">
      <c r="A306" s="3">
        <v>44835</v>
      </c>
      <c r="B306">
        <v>102.44000200000001</v>
      </c>
    </row>
    <row r="307" spans="1:2" x14ac:dyDescent="0.3">
      <c r="A307" s="3">
        <v>44866</v>
      </c>
      <c r="B307">
        <v>96.540001000000004</v>
      </c>
    </row>
    <row r="308" spans="1:2" x14ac:dyDescent="0.3">
      <c r="A308" s="3">
        <v>44896</v>
      </c>
      <c r="B308">
        <v>91.010002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Valuation</vt:lpstr>
      <vt:lpstr>Sheet3</vt:lpstr>
      <vt:lpstr>AMZN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 Hogan</dc:creator>
  <cp:lastModifiedBy>Theodor Hogan</cp:lastModifiedBy>
  <dcterms:created xsi:type="dcterms:W3CDTF">2015-06-05T18:17:20Z</dcterms:created>
  <dcterms:modified xsi:type="dcterms:W3CDTF">2022-12-07T18:10:41Z</dcterms:modified>
</cp:coreProperties>
</file>