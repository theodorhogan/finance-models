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theodor_hogan_student_uva_nl/Documents/Stocks 10ks/"/>
    </mc:Choice>
  </mc:AlternateContent>
  <xr:revisionPtr revIDLastSave="419" documentId="11_F25DC773A252ABDACC104830195C761C5ADE58EE" xr6:coauthVersionLast="47" xr6:coauthVersionMax="47" xr10:uidLastSave="{58320493-7F25-4BF6-8E9A-392E9094DDBB}"/>
  <bookViews>
    <workbookView xWindow="-108" yWindow="-108" windowWidth="23256" windowHeight="12456" xr2:uid="{00000000-000D-0000-FFFF-FFFF00000000}"/>
  </bookViews>
  <sheets>
    <sheet name="Valuation" sheetId="1" r:id="rId1"/>
    <sheet name="Sheet2" sheetId="3" r:id="rId2"/>
    <sheet name="KO" sheetId="2" r:id="rId3"/>
  </sheets>
  <calcPr calcId="191029"/>
  <pivotCaches>
    <pivotCache cacheId="1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AA11" i="1"/>
  <c r="AA9" i="1"/>
  <c r="N39" i="1"/>
  <c r="N29" i="1"/>
  <c r="N21" i="1"/>
  <c r="N19" i="1"/>
  <c r="N4" i="1"/>
  <c r="P3" i="1"/>
  <c r="Q3" i="1" s="1"/>
  <c r="R3" i="1" s="1"/>
  <c r="S3" i="1" s="1"/>
  <c r="L27" i="1"/>
  <c r="K27" i="1"/>
  <c r="E27" i="1"/>
  <c r="D27" i="1"/>
  <c r="C27" i="1"/>
  <c r="F23" i="1"/>
  <c r="E23" i="1"/>
  <c r="E25" i="1" s="1"/>
  <c r="D23" i="1"/>
  <c r="D25" i="1" s="1"/>
  <c r="L21" i="1"/>
  <c r="K21" i="1"/>
  <c r="J21" i="1"/>
  <c r="I21" i="1"/>
  <c r="I23" i="1" s="1"/>
  <c r="I25" i="1" s="1"/>
  <c r="H21" i="1"/>
  <c r="H23" i="1" s="1"/>
  <c r="H25" i="1" s="1"/>
  <c r="G21" i="1"/>
  <c r="G23" i="1" s="1"/>
  <c r="G25" i="1" s="1"/>
  <c r="F21" i="1"/>
  <c r="E21" i="1"/>
  <c r="D21" i="1"/>
  <c r="C21" i="1"/>
  <c r="D31" i="3" a="1"/>
  <c r="D31" i="3" s="1"/>
  <c r="K35" i="1"/>
  <c r="K37" i="1" s="1"/>
  <c r="K41" i="1" s="1"/>
  <c r="J35" i="1"/>
  <c r="J37" i="1" s="1"/>
  <c r="J41" i="1" s="1"/>
  <c r="N41" i="1" s="1"/>
  <c r="I35" i="1"/>
  <c r="I37" i="1" s="1"/>
  <c r="I41" i="1" s="1"/>
  <c r="H35" i="1"/>
  <c r="H37" i="1" s="1"/>
  <c r="H41" i="1" s="1"/>
  <c r="G35" i="1"/>
  <c r="G37" i="1" s="1"/>
  <c r="G41" i="1" s="1"/>
  <c r="F35" i="1"/>
  <c r="F37" i="1" s="1"/>
  <c r="F41" i="1" s="1"/>
  <c r="E35" i="1"/>
  <c r="E37" i="1" s="1"/>
  <c r="E41" i="1" s="1"/>
  <c r="D35" i="1"/>
  <c r="D37" i="1" s="1"/>
  <c r="D41" i="1" s="1"/>
  <c r="C35" i="1"/>
  <c r="C37" i="1" s="1"/>
  <c r="C41" i="1" s="1"/>
  <c r="L35" i="1"/>
  <c r="L37" i="1" s="1"/>
  <c r="L41" i="1" s="1"/>
  <c r="L9" i="1"/>
  <c r="J9" i="1"/>
  <c r="E9" i="1"/>
  <c r="D9" i="1"/>
  <c r="L8" i="1"/>
  <c r="O8" i="1" s="1"/>
  <c r="P8" i="1" s="1"/>
  <c r="Q8" i="1" s="1"/>
  <c r="R8" i="1" s="1"/>
  <c r="S8" i="1" s="1"/>
  <c r="K8" i="1"/>
  <c r="K9" i="1" s="1"/>
  <c r="J8" i="1"/>
  <c r="I8" i="1"/>
  <c r="H8" i="1"/>
  <c r="I9" i="1" s="1"/>
  <c r="G8" i="1"/>
  <c r="G9" i="1" s="1"/>
  <c r="F8" i="1"/>
  <c r="F9" i="1" s="1"/>
  <c r="E8" i="1"/>
  <c r="D8" i="1"/>
  <c r="C8" i="1"/>
  <c r="N8" i="1" s="1"/>
  <c r="C16" i="1"/>
  <c r="C15" i="1"/>
  <c r="C17" i="1" s="1"/>
  <c r="D16" i="1"/>
  <c r="D15" i="1"/>
  <c r="C13" i="1"/>
  <c r="C23" i="1" s="1"/>
  <c r="C25" i="1" s="1"/>
  <c r="D13" i="1"/>
  <c r="E16" i="1"/>
  <c r="E15" i="1"/>
  <c r="E17" i="1" s="1"/>
  <c r="F16" i="1"/>
  <c r="F15" i="1"/>
  <c r="F17" i="1" s="1"/>
  <c r="E13" i="1"/>
  <c r="F13" i="1"/>
  <c r="F27" i="1" s="1"/>
  <c r="G16" i="1"/>
  <c r="G15" i="1"/>
  <c r="G17" i="1" s="1"/>
  <c r="G13" i="1"/>
  <c r="G27" i="1" s="1"/>
  <c r="H16" i="1"/>
  <c r="H15" i="1"/>
  <c r="H17" i="1" s="1"/>
  <c r="H13" i="1"/>
  <c r="H27" i="1" s="1"/>
  <c r="I16" i="1"/>
  <c r="J16" i="1"/>
  <c r="I15" i="1"/>
  <c r="J15" i="1"/>
  <c r="J17" i="1" s="1"/>
  <c r="I13" i="1"/>
  <c r="I27" i="1" s="1"/>
  <c r="J13" i="1"/>
  <c r="J27" i="1" s="1"/>
  <c r="K16" i="1"/>
  <c r="L16" i="1"/>
  <c r="K15" i="1"/>
  <c r="L15" i="1"/>
  <c r="K13" i="1"/>
  <c r="K23" i="1" s="1"/>
  <c r="K25" i="1" s="1"/>
  <c r="L13" i="1"/>
  <c r="L23" i="1" s="1"/>
  <c r="D3" i="1"/>
  <c r="E3" i="1" s="1"/>
  <c r="F3" i="1" s="1"/>
  <c r="G3" i="1" s="1"/>
  <c r="H3" i="1" s="1"/>
  <c r="I3" i="1" s="1"/>
  <c r="J3" i="1" s="1"/>
  <c r="K3" i="1" s="1"/>
  <c r="L3" i="1" s="1"/>
  <c r="T8" i="1" l="1"/>
  <c r="U8" i="1" s="1"/>
  <c r="V8" i="1" s="1"/>
  <c r="W8" i="1" s="1"/>
  <c r="X8" i="1" s="1"/>
  <c r="AB5" i="1" s="1"/>
  <c r="AB7" i="1" s="1"/>
  <c r="AB10" i="1" s="1"/>
  <c r="AB12" i="1" s="1"/>
  <c r="AB23" i="1" s="1"/>
  <c r="AA5" i="1"/>
  <c r="AA7" i="1" s="1"/>
  <c r="AA10" i="1" s="1"/>
  <c r="AA12" i="1" s="1"/>
  <c r="AA23" i="1" s="1"/>
  <c r="T3" i="1"/>
  <c r="U3" i="1" s="1"/>
  <c r="V3" i="1" s="1"/>
  <c r="W3" i="1" s="1"/>
  <c r="X3" i="1" s="1"/>
  <c r="AB4" i="1" s="1"/>
  <c r="AB15" i="1" s="1"/>
  <c r="AB22" i="1" s="1"/>
  <c r="AA4" i="1"/>
  <c r="AA15" i="1" s="1"/>
  <c r="AA22" i="1" s="1"/>
  <c r="L25" i="1"/>
  <c r="N23" i="1"/>
  <c r="N9" i="1"/>
  <c r="N27" i="1"/>
  <c r="F25" i="1"/>
  <c r="N25" i="1" s="1"/>
  <c r="H9" i="1"/>
  <c r="I17" i="1"/>
  <c r="J23" i="1"/>
  <c r="J25" i="1" s="1"/>
  <c r="AA8" i="1"/>
  <c r="L17" i="1"/>
  <c r="D17" i="1"/>
  <c r="N35" i="1"/>
  <c r="O37" i="1"/>
  <c r="P37" i="1" s="1"/>
  <c r="Q37" i="1" s="1"/>
  <c r="R37" i="1" s="1"/>
  <c r="S37" i="1" s="1"/>
  <c r="K17" i="1"/>
  <c r="N37" i="1"/>
  <c r="T37" i="1" l="1"/>
  <c r="U37" i="1" s="1"/>
  <c r="V37" i="1" s="1"/>
  <c r="W37" i="1" s="1"/>
  <c r="X37" i="1" s="1"/>
  <c r="AB16" i="1" s="1"/>
  <c r="AB18" i="1" s="1"/>
  <c r="AB24" i="1" s="1"/>
  <c r="AB25" i="1" s="1"/>
  <c r="AB26" i="1" s="1"/>
  <c r="AA16" i="1"/>
  <c r="AA18" i="1" s="1"/>
  <c r="AA24" i="1" s="1"/>
  <c r="AA25" i="1" s="1"/>
  <c r="AA26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<sst xmlns="http://schemas.openxmlformats.org/spreadsheetml/2006/main" count="94" uniqueCount="84">
  <si>
    <t>Ticker</t>
  </si>
  <si>
    <t>KO</t>
  </si>
  <si>
    <t>Date</t>
  </si>
  <si>
    <t>13/01/2023</t>
  </si>
  <si>
    <t>Revenue</t>
  </si>
  <si>
    <t>EBIT</t>
  </si>
  <si>
    <t>D &amp; A</t>
  </si>
  <si>
    <t>EBITDA</t>
  </si>
  <si>
    <t>Excess Cash</t>
  </si>
  <si>
    <t>ST + LT Debt</t>
  </si>
  <si>
    <t>CA - Cash</t>
  </si>
  <si>
    <t>CL - Debt</t>
  </si>
  <si>
    <t>Working Capital</t>
  </si>
  <si>
    <t>CS Outstanding</t>
  </si>
  <si>
    <t>Market Cap</t>
  </si>
  <si>
    <t>EV</t>
  </si>
  <si>
    <t>EV/EBITDA</t>
  </si>
  <si>
    <t>Net Debt/EBITDA</t>
  </si>
  <si>
    <t>CFO</t>
  </si>
  <si>
    <t>CapEx</t>
  </si>
  <si>
    <t>Debt Issuance</t>
  </si>
  <si>
    <t>FCFE</t>
  </si>
  <si>
    <t>FCFE/SHR</t>
  </si>
  <si>
    <t>$/SHR</t>
  </si>
  <si>
    <t>FCFE Yield</t>
  </si>
  <si>
    <t>% growth</t>
  </si>
  <si>
    <t>Adj Close</t>
  </si>
  <si>
    <t>Row Labels</t>
  </si>
  <si>
    <t>Grand Total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</si>
  <si>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</si>
  <si>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</si>
  <si>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</si>
  <si>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</si>
  <si>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</si>
  <si>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</si>
  <si>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</si>
  <si>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</si>
  <si>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</si>
  <si>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</si>
  <si>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</si>
  <si>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</si>
  <si>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</si>
  <si>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</si>
  <si>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</si>
  <si>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</si>
  <si>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</si>
  <si>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</si>
  <si>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</si>
  <si>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</si>
  <si>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</si>
  <si>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</si>
  <si>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</si>
  <si>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</si>
  <si>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</si>
  <si>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</si>
  <si>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</si>
  <si>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</si>
  <si>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</si>
  <si>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</si>
  <si>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</si>
  <si>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</si>
  <si>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</si>
  <si>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</si>
  <si>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</si>
  <si>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</si>
  <si>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</si>
  <si>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</si>
  <si>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</si>
  <si>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Average of Adj Close</t>
  </si>
  <si>
    <t>AVG /CAGR</t>
  </si>
  <si>
    <t>EBITDA Multiple Method</t>
  </si>
  <si>
    <t>Year</t>
  </si>
  <si>
    <t>Multiple</t>
  </si>
  <si>
    <t>(-) Debt</t>
  </si>
  <si>
    <t>(+) Cash</t>
  </si>
  <si>
    <t>CS Oustanding</t>
  </si>
  <si>
    <t>FCFE Yield Method</t>
  </si>
  <si>
    <t>Estimated Return Calculation</t>
  </si>
  <si>
    <t>Current Price</t>
  </si>
  <si>
    <t>17/01/2023</t>
  </si>
  <si>
    <t>EBITDA $/SHR</t>
  </si>
  <si>
    <t>FCFE $/SHR</t>
  </si>
  <si>
    <t>Average $/SHR</t>
  </si>
  <si>
    <t>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</si>
</sst>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_(&quot;$&quot;* #,##0.0_);_(&quot;$&quot;* \(#,##0.0\);_(&quot;$&quot;* &quot;-&quot;?_);_(@_)"/>
    <numFmt numFmtId="165" formatCode="_(&quot;$&quot;* #,##0_);_(&quot;$&quot;* \(#,##0\);_(&quot;$&quot;* &quot;-&quot;?_);_(@_)"/>
    <numFmt numFmtId="166" formatCode="0.0\x"/>
    <numFmt numFmtId="167" formatCode="_(&quot;$&quot;* #,##0_);_(&quot;$&quot;* \(#,##0\);_(&quot;$&quot;* &quot;-&quot;??_);_(@_)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4"/>
      <name val="Calibri"/>
      <family val="2"/>
      <scheme val="minor"/>
    </font>
    <font>
      <b/>
      <i/>
      <sz val="11"/>
      <color theme="8"/>
      <name val="Calibri"/>
      <family val="2"/>
      <scheme val="minor"/>
    </font>
    <font>
      <sz val="11"/>
      <color theme="5"/>
      <name val="Calibri"/>
      <family val="2"/>
      <scheme val="minor"/>
    </font>
    <font>
      <i/>
      <sz val="11"/>
      <color theme="5"/>
      <name val="Calibri"/>
      <family val="2"/>
      <scheme val="minor"/>
    </font>
    <font>
      <i/>
      <sz val="11"/>
      <color theme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inden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/>
    </xf>
    <xf numFmtId="9" fontId="6" fillId="0" borderId="0" xfId="1" applyFont="1" applyAlignment="1">
      <alignment horizont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2" fontId="0" fillId="0" borderId="0" xfId="0" applyNumberFormat="1"/>
    <xf numFmtId="0" fontId="1" fillId="3" borderId="0" xfId="0" applyFont="1" applyFill="1" applyAlignment="1">
      <alignment horizontal="center"/>
    </xf>
    <xf numFmtId="9" fontId="7" fillId="0" borderId="0" xfId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1" fillId="4" borderId="0" xfId="0" applyFont="1" applyFill="1" applyAlignment="1">
      <alignment horizontal="center"/>
    </xf>
    <xf numFmtId="9" fontId="8" fillId="0" borderId="0" xfId="0" applyNumberFormat="1" applyFont="1" applyAlignment="1">
      <alignment horizontal="center"/>
    </xf>
    <xf numFmtId="167" fontId="0" fillId="0" borderId="0" xfId="0" applyNumberFormat="1"/>
    <xf numFmtId="0" fontId="0" fillId="5" borderId="0" xfId="0" applyFill="1"/>
    <xf numFmtId="167" fontId="0" fillId="5" borderId="0" xfId="0" applyNumberFormat="1" applyFill="1"/>
    <xf numFmtId="44" fontId="0" fillId="5" borderId="0" xfId="0" applyNumberFormat="1" applyFill="1"/>
    <xf numFmtId="0" fontId="0" fillId="5" borderId="0" xfId="0" applyFill="1" applyAlignment="1">
      <alignment horizontal="center"/>
    </xf>
    <xf numFmtId="44" fontId="0" fillId="5" borderId="1" xfId="0" applyNumberFormat="1" applyFill="1" applyBorder="1"/>
    <xf numFmtId="44" fontId="0" fillId="5" borderId="2" xfId="0" applyNumberFormat="1" applyFill="1" applyBorder="1"/>
    <xf numFmtId="9" fontId="10" fillId="5" borderId="3" xfId="1" applyFont="1" applyFill="1" applyBorder="1" applyAlignment="1">
      <alignment horizontal="center"/>
    </xf>
    <xf numFmtId="9" fontId="9" fillId="5" borderId="0" xfId="0" applyNumberFormat="1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5" fillId="0" borderId="1" xfId="0" applyFont="1" applyBorder="1" applyAlignment="1">
      <alignment horizontal="center"/>
    </xf>
    <xf numFmtId="0" fontId="0" fillId="5" borderId="0" xfId="0" applyFill="1" applyAlignment="1">
      <alignment horizontal="center"/>
    </xf>
    <xf numFmtId="42" fontId="0" fillId="5" borderId="0" xfId="0" applyNumberForma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eodor Hogan" refreshedDate="44943.622103703703" createdVersion="8" refreshedVersion="8" minRefreshableVersion="3" recordCount="458" xr:uid="{0A760E07-6566-4692-9CA9-FAC786DE853C}">
  <cacheSource type="worksheet">
    <worksheetSource ref="A1:B459" sheet="KO"/>
  </cacheSource>
  <cacheFields count="4">
    <cacheField name="Date" numFmtId="14">
      <sharedItems containsSemiMixedTypes="0" containsNonDate="0" containsDate="1" containsString="0" minDate="1985-01-01T00:00:00" maxDate="2023-01-14T00:00:00" count="458">
        <d v="1985-01-01T00:00:00"/>
        <d v="1985-02-01T00:00:00"/>
        <d v="1985-03-01T00:00:00"/>
        <d v="1985-04-01T00:00:00"/>
        <d v="1985-05-01T00:00:00"/>
        <d v="1985-06-01T00:00:00"/>
        <d v="1985-07-01T00:00:00"/>
        <d v="1985-08-01T00:00:00"/>
        <d v="1985-09-01T00:00:00"/>
        <d v="1985-10-01T00:00:00"/>
        <d v="1985-11-01T00:00:00"/>
        <d v="1985-12-01T00:00:00"/>
        <d v="1986-01-01T00:00:00"/>
        <d v="1986-02-01T00:00:00"/>
        <d v="1986-03-01T00:00:00"/>
        <d v="1986-04-01T00:00:00"/>
        <d v="1986-05-01T00:00:00"/>
        <d v="1986-06-01T00:00:00"/>
        <d v="1986-07-01T00:00:00"/>
        <d v="1986-08-01T00:00:00"/>
        <d v="1986-09-01T00:00:00"/>
        <d v="1986-10-01T00:00:00"/>
        <d v="1986-11-01T00:00:00"/>
        <d v="1986-12-01T00:00:00"/>
        <d v="1987-01-01T00:00:00"/>
        <d v="1987-02-01T00:00:00"/>
        <d v="1987-03-01T00:00:00"/>
        <d v="1987-04-01T00:00:00"/>
        <d v="1987-05-01T00:00:00"/>
        <d v="1987-06-01T00:00:00"/>
        <d v="1987-07-01T00:00:00"/>
        <d v="1987-08-01T00:00:00"/>
        <d v="1987-09-01T00:00:00"/>
        <d v="1987-10-01T00:00:00"/>
        <d v="1987-11-01T00:00:00"/>
        <d v="1987-12-01T00:00:00"/>
        <d v="1988-01-01T00:00:00"/>
        <d v="1988-02-01T00:00:00"/>
        <d v="1988-03-01T00:00:00"/>
        <d v="1988-04-01T00:00:00"/>
        <d v="1988-05-01T00:00:00"/>
        <d v="1988-06-01T00:00:00"/>
        <d v="1988-07-01T00:00:00"/>
        <d v="1988-08-01T00:00:00"/>
        <d v="1988-09-01T00:00:00"/>
        <d v="1988-10-01T00:00:00"/>
        <d v="1988-11-01T00:00:00"/>
        <d v="1988-12-01T00:00:00"/>
        <d v="1989-01-01T00:00:00"/>
        <d v="1989-02-01T00:00:00"/>
        <d v="1989-03-01T00:00:00"/>
        <d v="1989-04-01T00:00:00"/>
        <d v="1989-05-01T00:00:00"/>
        <d v="1989-06-01T00:00:00"/>
        <d v="1989-07-01T00:00:00"/>
        <d v="1989-08-01T00:00:00"/>
        <d v="1989-09-01T00:00:00"/>
        <d v="1989-10-01T00:00:00"/>
        <d v="1989-11-01T00:00:00"/>
        <d v="1989-12-01T00:00:00"/>
        <d v="1990-01-01T00:00:00"/>
        <d v="1990-02-01T00:00:00"/>
        <d v="1990-03-01T00:00:00"/>
        <d v="1990-04-01T00:00:00"/>
        <d v="1990-05-01T00:00:00"/>
        <d v="1990-06-01T00:00:00"/>
        <d v="1990-07-01T00:00:00"/>
        <d v="1990-08-01T00:00:00"/>
        <d v="1990-09-01T00:00:00"/>
        <d v="1990-10-01T00:00:00"/>
        <d v="1990-11-01T00:00:00"/>
        <d v="1990-12-01T00:00:00"/>
        <d v="1991-01-01T00:00:00"/>
        <d v="1991-02-01T00:00:00"/>
        <d v="1991-03-01T00:00:00"/>
        <d v="1991-04-01T00:00:00"/>
        <d v="1991-05-01T00:00:00"/>
        <d v="1991-06-01T00:00:00"/>
        <d v="1991-07-01T00:00:00"/>
        <d v="1991-08-01T00:00:00"/>
        <d v="1991-09-01T00:00:00"/>
        <d v="1991-10-01T00:00:00"/>
        <d v="1991-11-01T00:00:00"/>
        <d v="1991-12-01T00:00:00"/>
        <d v="1992-01-01T00:00:00"/>
        <d v="1992-02-01T00:00:00"/>
        <d v="1992-03-01T00:00:00"/>
        <d v="1992-04-01T00:00:00"/>
        <d v="1992-05-01T00:00:00"/>
        <d v="1992-06-01T00:00:00"/>
        <d v="1992-07-01T00:00:00"/>
        <d v="1992-08-01T00:00:00"/>
        <d v="1992-09-01T00:00:00"/>
        <d v="1992-10-01T00:00:00"/>
        <d v="1992-11-01T00:00:00"/>
        <d v="1992-12-01T00:00:00"/>
        <d v="1993-01-01T00:00:00"/>
        <d v="1993-02-01T00:00:00"/>
        <d v="1993-03-01T00:00:00"/>
        <d v="1993-04-01T00:00:00"/>
        <d v="1993-05-01T00:00:00"/>
        <d v="1993-06-01T00:00:00"/>
        <d v="1993-07-01T00:00:00"/>
        <d v="1993-08-01T00:00:00"/>
        <d v="1993-09-01T00:00:00"/>
        <d v="1993-10-01T00:00:00"/>
        <d v="1993-11-01T00:00:00"/>
        <d v="1993-12-01T00:00:00"/>
        <d v="1994-01-01T00:00:00"/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d v="2016-12-01T00:00:00"/>
        <d v="2017-01-01T00:00:00"/>
        <d v="2017-02-01T00:00:00"/>
        <d v="2017-03-01T00:00:00"/>
        <d v="2017-04-01T00:00:00"/>
        <d v="2017-05-01T00:00:00"/>
        <d v="2017-06-01T00:00:00"/>
        <d v="2017-07-01T00:00:00"/>
        <d v="2017-08-01T00:00:00"/>
        <d v="2017-09-01T00:00:00"/>
        <d v="2017-10-01T00:00:00"/>
        <d v="2017-11-01T00:00:00"/>
        <d v="2017-12-01T00:00:00"/>
        <d v="2018-01-01T00:00:00"/>
        <d v="2018-02-01T00:00:00"/>
        <d v="2018-03-01T00:00:00"/>
        <d v="2018-04-01T00:00:00"/>
        <d v="2018-05-01T00:00:00"/>
        <d v="2018-06-01T00:00:00"/>
        <d v="2018-07-01T00:00:00"/>
        <d v="2018-08-01T00:00:00"/>
        <d v="2018-09-01T00:00:00"/>
        <d v="2018-10-01T00:00:00"/>
        <d v="2018-11-01T00:00:00"/>
        <d v="2018-12-01T00:00:00"/>
        <d v="2019-01-01T00:00:00"/>
        <d v="2019-02-01T00:00:00"/>
        <d v="2019-03-01T00:00:00"/>
        <d v="2019-04-01T00:00:00"/>
        <d v="2019-05-01T00:00:00"/>
        <d v="2019-06-01T00:00:00"/>
        <d v="2019-07-01T00:00:00"/>
        <d v="2019-08-01T00:00:00"/>
        <d v="2019-09-01T00:00:00"/>
        <d v="2019-10-01T00:00:00"/>
        <d v="2019-11-01T00:00:00"/>
        <d v="2019-12-01T00:00:00"/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  <d v="2023-01-01T00:00:00"/>
        <d v="2023-01-13T00:00:00"/>
      </sharedItems>
      <fieldGroup par="3" base="0">
        <rangePr groupBy="months" startDate="1985-01-01T00:00:00" endDate="2023-01-14T00:00:00"/>
        <groupItems count="14">
          <s v="&lt;1/1/198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4/2023"/>
        </groupItems>
      </fieldGroup>
    </cacheField>
    <cacheField name="Adj Close" numFmtId="0">
      <sharedItems containsSemiMixedTypes="0" containsString="0" containsNumber="1" minValue="0.50140899999999999" maxValue="63.610000999999997"/>
    </cacheField>
    <cacheField name="Quarters" numFmtId="0" databaseField="0">
      <fieldGroup base="0">
        <rangePr groupBy="quarters" startDate="1985-01-01T00:00:00" endDate="2023-01-14T00:00:00"/>
        <groupItems count="6">
          <s v="&lt;1/1/1985"/>
          <s v="Qtr1"/>
          <s v="Qtr2"/>
          <s v="Qtr3"/>
          <s v="Qtr4"/>
          <s v="&gt;1/14/2023"/>
        </groupItems>
      </fieldGroup>
    </cacheField>
    <cacheField name="Years" numFmtId="0" databaseField="0">
      <fieldGroup base="0">
        <rangePr groupBy="years" startDate="1985-01-01T00:00:00" endDate="2023-01-14T00:00:00"/>
        <groupItems count="41">
          <s v="&lt;1/1/1985"/>
          <s v="1985"/>
          <s v="1986"/>
          <s v="1987"/>
          <s v="1988"/>
          <s v="1989"/>
          <s v="1990"/>
          <s v="1991"/>
          <s v="1992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&gt;1/14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8">
  <r>
    <x v="0"/>
    <n v="0.50140899999999999"/>
  </r>
  <r>
    <x v="1"/>
    <n v="0.53065700000000005"/>
  </r>
  <r>
    <x v="2"/>
    <n v="0.58497699999999997"/>
  </r>
  <r>
    <x v="3"/>
    <n v="0.57891999999999999"/>
  </r>
  <r>
    <x v="4"/>
    <n v="0.57363799999999998"/>
  </r>
  <r>
    <x v="5"/>
    <n v="0.58631599999999995"/>
  </r>
  <r>
    <x v="6"/>
    <n v="0.61725699999999994"/>
  </r>
  <r>
    <x v="7"/>
    <n v="0.61191799999999996"/>
  </r>
  <r>
    <x v="8"/>
    <n v="0.59589899999999996"/>
  </r>
  <r>
    <x v="9"/>
    <n v="0.61855099999999996"/>
  </r>
  <r>
    <x v="10"/>
    <n v="0.71894400000000003"/>
  </r>
  <r>
    <x v="11"/>
    <n v="0.736375"/>
  </r>
  <r>
    <x v="12"/>
    <n v="0.73092800000000002"/>
  </r>
  <r>
    <x v="13"/>
    <n v="0.83877000000000002"/>
  </r>
  <r>
    <x v="14"/>
    <n v="0.91720000000000002"/>
  </r>
  <r>
    <x v="15"/>
    <n v="0.97940300000000002"/>
  </r>
  <r>
    <x v="16"/>
    <n v="1.0189299999999999"/>
  </r>
  <r>
    <x v="17"/>
    <n v="1.102376"/>
  </r>
  <r>
    <x v="18"/>
    <n v="1.038111"/>
  </r>
  <r>
    <x v="19"/>
    <n v="1.0049440000000001"/>
  </r>
  <r>
    <x v="20"/>
    <n v="0.89881200000000006"/>
  </r>
  <r>
    <x v="21"/>
    <n v="0.97870199999999996"/>
  </r>
  <r>
    <x v="22"/>
    <n v="0.97536100000000003"/>
  </r>
  <r>
    <x v="23"/>
    <n v="1.016027"/>
  </r>
  <r>
    <x v="24"/>
    <n v="1.1472359999999999"/>
  </r>
  <r>
    <x v="25"/>
    <n v="1.2077929999999999"/>
  </r>
  <r>
    <x v="26"/>
    <n v="1.231344"/>
  </r>
  <r>
    <x v="27"/>
    <n v="1.154399"/>
  </r>
  <r>
    <x v="28"/>
    <n v="1.1611689999999999"/>
  </r>
  <r>
    <x v="29"/>
    <n v="1.2051780000000001"/>
  </r>
  <r>
    <x v="30"/>
    <n v="1.298168"/>
  </r>
  <r>
    <x v="31"/>
    <n v="1.379942"/>
  </r>
  <r>
    <x v="32"/>
    <n v="1.318611"/>
  </r>
  <r>
    <x v="33"/>
    <n v="1.1308260000000001"/>
  </r>
  <r>
    <x v="34"/>
    <n v="1.014316"/>
  </r>
  <r>
    <x v="35"/>
    <n v="1.0527150000000001"/>
  </r>
  <r>
    <x v="36"/>
    <n v="1.0389090000000001"/>
  </r>
  <r>
    <x v="37"/>
    <n v="1.032006"/>
  </r>
  <r>
    <x v="38"/>
    <n v="1.0561670000000001"/>
  </r>
  <r>
    <x v="39"/>
    <n v="1.064462"/>
  </r>
  <r>
    <x v="40"/>
    <n v="1.057504"/>
  </r>
  <r>
    <x v="41"/>
    <n v="1.0853330000000001"/>
  </r>
  <r>
    <x v="42"/>
    <n v="1.076166"/>
  </r>
  <r>
    <x v="43"/>
    <n v="1.1217360000000001"/>
  </r>
  <r>
    <x v="44"/>
    <n v="1.226899"/>
  </r>
  <r>
    <x v="45"/>
    <n v="1.218072"/>
  </r>
  <r>
    <x v="46"/>
    <n v="1.2251339999999999"/>
  </r>
  <r>
    <x v="47"/>
    <n v="1.2692969999999999"/>
  </r>
  <r>
    <x v="48"/>
    <n v="1.3297380000000001"/>
  </r>
  <r>
    <x v="49"/>
    <n v="1.358182"/>
  </r>
  <r>
    <x v="50"/>
    <n v="1.4577340000000001"/>
  </r>
  <r>
    <x v="51"/>
    <n v="1.5536840000000001"/>
  </r>
  <r>
    <x v="52"/>
    <n v="1.653921"/>
  </r>
  <r>
    <x v="53"/>
    <n v="1.614541"/>
  </r>
  <r>
    <x v="54"/>
    <n v="1.959057"/>
  </r>
  <r>
    <x v="55"/>
    <n v="1.9158440000000001"/>
  </r>
  <r>
    <x v="56"/>
    <n v="1.930248"/>
  </r>
  <r>
    <x v="57"/>
    <n v="2.096279"/>
  </r>
  <r>
    <x v="58"/>
    <n v="2.2374809999999998"/>
  </r>
  <r>
    <x v="59"/>
    <n v="2.2472300000000001"/>
  </r>
  <r>
    <x v="60"/>
    <n v="2.0035980000000002"/>
  </r>
  <r>
    <x v="61"/>
    <n v="2.0508700000000002"/>
  </r>
  <r>
    <x v="62"/>
    <n v="2.1745030000000001"/>
  </r>
  <r>
    <x v="63"/>
    <n v="2.2304659999999998"/>
  </r>
  <r>
    <x v="64"/>
    <n v="2.6399949999999999"/>
  </r>
  <r>
    <x v="65"/>
    <n v="2.596117"/>
  </r>
  <r>
    <x v="66"/>
    <n v="2.6666729999999998"/>
  </r>
  <r>
    <x v="67"/>
    <n v="2.4830190000000001"/>
  </r>
  <r>
    <x v="68"/>
    <n v="2.3214009999999998"/>
  </r>
  <r>
    <x v="69"/>
    <n v="2.6498680000000001"/>
  </r>
  <r>
    <x v="70"/>
    <n v="2.7310620000000001"/>
  </r>
  <r>
    <x v="71"/>
    <n v="2.7578819999999999"/>
  </r>
  <r>
    <x v="72"/>
    <n v="2.8913289999999998"/>
  </r>
  <r>
    <x v="73"/>
    <n v="3.1063230000000002"/>
  </r>
  <r>
    <x v="74"/>
    <n v="3.2175289999999999"/>
  </r>
  <r>
    <x v="75"/>
    <n v="3.1430020000000001"/>
  </r>
  <r>
    <x v="76"/>
    <n v="3.4111250000000002"/>
  </r>
  <r>
    <x v="77"/>
    <n v="3.2472720000000002"/>
  </r>
  <r>
    <x v="78"/>
    <n v="3.5981640000000001"/>
  </r>
  <r>
    <x v="79"/>
    <n v="3.9347880000000002"/>
  </r>
  <r>
    <x v="80"/>
    <n v="3.8599809999999999"/>
  </r>
  <r>
    <x v="81"/>
    <n v="4.0019030000000004"/>
  </r>
  <r>
    <x v="82"/>
    <n v="4.1670819999999997"/>
  </r>
  <r>
    <x v="83"/>
    <n v="4.8371890000000004"/>
  </r>
  <r>
    <x v="84"/>
    <n v="4.6714279999999997"/>
  </r>
  <r>
    <x v="85"/>
    <n v="4.9276020000000003"/>
  </r>
  <r>
    <x v="86"/>
    <n v="4.9276020000000003"/>
  </r>
  <r>
    <x v="87"/>
    <n v="5.0207709999999999"/>
  </r>
  <r>
    <x v="88"/>
    <n v="5.3232299999999997"/>
  </r>
  <r>
    <x v="89"/>
    <n v="4.8392980000000003"/>
  </r>
  <r>
    <x v="90"/>
    <n v="5.0824480000000003"/>
  </r>
  <r>
    <x v="91"/>
    <n v="5.2189969999999999"/>
  </r>
  <r>
    <x v="92"/>
    <n v="4.9155610000000003"/>
  </r>
  <r>
    <x v="93"/>
    <n v="4.9466089999999996"/>
  </r>
  <r>
    <x v="94"/>
    <n v="4.8400670000000003"/>
  </r>
  <r>
    <x v="95"/>
    <n v="5.1163920000000003"/>
  </r>
  <r>
    <x v="96"/>
    <n v="5.1774820000000004"/>
  </r>
  <r>
    <x v="97"/>
    <n v="5.1774820000000004"/>
  </r>
  <r>
    <x v="98"/>
    <n v="5.2080270000000004"/>
  </r>
  <r>
    <x v="99"/>
    <n v="4.829701"/>
  </r>
  <r>
    <x v="100"/>
    <n v="5.0903539999999996"/>
  </r>
  <r>
    <x v="101"/>
    <n v="5.274343"/>
  </r>
  <r>
    <x v="102"/>
    <n v="5.3272979999999999"/>
  </r>
  <r>
    <x v="103"/>
    <n v="5.3426960000000001"/>
  </r>
  <r>
    <x v="104"/>
    <n v="5.2041230000000001"/>
  </r>
  <r>
    <x v="105"/>
    <n v="5.3638399999999997"/>
  </r>
  <r>
    <x v="106"/>
    <n v="5.1938040000000001"/>
  </r>
  <r>
    <x v="107"/>
    <n v="5.5407120000000001"/>
  </r>
  <r>
    <x v="108"/>
    <n v="5.0751030000000004"/>
  </r>
  <r>
    <x v="109"/>
    <n v="5.2923879999999999"/>
  </r>
  <r>
    <x v="110"/>
    <n v="5.0440649999999998"/>
  </r>
  <r>
    <x v="111"/>
    <n v="5.2085160000000004"/>
  </r>
  <r>
    <x v="112"/>
    <n v="5.0213869999999998"/>
  </r>
  <r>
    <x v="113"/>
    <n v="5.0681700000000003"/>
  </r>
  <r>
    <x v="114"/>
    <n v="5.5619009999999998"/>
  </r>
  <r>
    <x v="115"/>
    <n v="5.7655760000000003"/>
  </r>
  <r>
    <x v="116"/>
    <n v="6.0945939999999998"/>
  </r>
  <r>
    <x v="117"/>
    <n v="6.3407410000000004"/>
  </r>
  <r>
    <x v="118"/>
    <n v="6.4351440000000002"/>
  </r>
  <r>
    <x v="119"/>
    <n v="6.5068599999999996"/>
  </r>
  <r>
    <x v="120"/>
    <n v="6.6332089999999999"/>
  </r>
  <r>
    <x v="121"/>
    <n v="6.9490749999999997"/>
  </r>
  <r>
    <x v="122"/>
    <n v="7.1228020000000001"/>
  </r>
  <r>
    <x v="123"/>
    <n v="7.3731369999999998"/>
  </r>
  <r>
    <x v="124"/>
    <n v="7.8171090000000003"/>
  </r>
  <r>
    <x v="125"/>
    <n v="8.0866670000000003"/>
  </r>
  <r>
    <x v="126"/>
    <n v="8.3550149999999999"/>
  </r>
  <r>
    <x v="127"/>
    <n v="8.1799610000000005"/>
  </r>
  <r>
    <x v="128"/>
    <n v="8.7847050000000007"/>
  </r>
  <r>
    <x v="129"/>
    <n v="9.1819869999999995"/>
  </r>
  <r>
    <x v="130"/>
    <n v="9.6770209999999999"/>
  </r>
  <r>
    <x v="131"/>
    <n v="9.5131569999999996"/>
  </r>
  <r>
    <x v="132"/>
    <n v="9.6572980000000008"/>
  </r>
  <r>
    <x v="133"/>
    <n v="10.345962999999999"/>
  </r>
  <r>
    <x v="134"/>
    <n v="10.602211"/>
  </r>
  <r>
    <x v="135"/>
    <n v="10.474285999999999"/>
  </r>
  <r>
    <x v="136"/>
    <n v="11.823732"/>
  </r>
  <r>
    <x v="137"/>
    <n v="12.594847"/>
  </r>
  <r>
    <x v="138"/>
    <n v="12.080772"/>
  </r>
  <r>
    <x v="139"/>
    <n v="12.886151999999999"/>
  </r>
  <r>
    <x v="140"/>
    <n v="13.111659"/>
  </r>
  <r>
    <x v="141"/>
    <n v="13.046144"/>
  </r>
  <r>
    <x v="142"/>
    <n v="13.207617000000001"/>
  </r>
  <r>
    <x v="143"/>
    <n v="13.62828"/>
  </r>
  <r>
    <x v="144"/>
    <n v="14.987869"/>
  </r>
  <r>
    <x v="145"/>
    <n v="15.79716"/>
  </r>
  <r>
    <x v="146"/>
    <n v="14.437562"/>
  </r>
  <r>
    <x v="147"/>
    <n v="16.514236"/>
  </r>
  <r>
    <x v="148"/>
    <n v="17.779577"/>
  </r>
  <r>
    <x v="149"/>
    <n v="17.649802999999999"/>
  </r>
  <r>
    <x v="150"/>
    <n v="17.978603"/>
  </r>
  <r>
    <x v="151"/>
    <n v="14.906318000000001"/>
  </r>
  <r>
    <x v="152"/>
    <n v="15.865396"/>
  </r>
  <r>
    <x v="153"/>
    <n v="14.763375999999999"/>
  </r>
  <r>
    <x v="154"/>
    <n v="16.295116"/>
  </r>
  <r>
    <x v="155"/>
    <n v="17.424927"/>
  </r>
  <r>
    <x v="156"/>
    <n v="16.918671"/>
  </r>
  <r>
    <x v="157"/>
    <n v="17.931184999999999"/>
  </r>
  <r>
    <x v="158"/>
    <n v="20.233816000000001"/>
  </r>
  <r>
    <x v="159"/>
    <n v="19.866589999999999"/>
  </r>
  <r>
    <x v="160"/>
    <n v="20.521159999999998"/>
  </r>
  <r>
    <x v="161"/>
    <n v="22.386724000000001"/>
  </r>
  <r>
    <x v="162"/>
    <n v="21.116539"/>
  </r>
  <r>
    <x v="163"/>
    <n v="17.083414000000001"/>
  </r>
  <r>
    <x v="164"/>
    <n v="15.116034000000001"/>
  </r>
  <r>
    <x v="165"/>
    <n v="17.766594000000001"/>
  </r>
  <r>
    <x v="166"/>
    <n v="18.424005999999999"/>
  </r>
  <r>
    <x v="167"/>
    <n v="17.654799000000001"/>
  </r>
  <r>
    <x v="168"/>
    <n v="17.210135000000001"/>
  </r>
  <r>
    <x v="169"/>
    <n v="16.831347000000001"/>
  </r>
  <r>
    <x v="170"/>
    <n v="16.172585000000002"/>
  </r>
  <r>
    <x v="171"/>
    <n v="17.980522000000001"/>
  </r>
  <r>
    <x v="172"/>
    <n v="18.096107"/>
  </r>
  <r>
    <x v="173"/>
    <n v="16.378955999999999"/>
  </r>
  <r>
    <x v="174"/>
    <n v="16.037994000000001"/>
  </r>
  <r>
    <x v="175"/>
    <n v="15.839387"/>
  </r>
  <r>
    <x v="176"/>
    <n v="12.777442000000001"/>
  </r>
  <r>
    <x v="177"/>
    <n v="15.669712000000001"/>
  </r>
  <r>
    <x v="178"/>
    <n v="17.877414999999999"/>
  </r>
  <r>
    <x v="179"/>
    <n v="15.507801000000001"/>
  </r>
  <r>
    <x v="180"/>
    <n v="15.291485"/>
  </r>
  <r>
    <x v="181"/>
    <n v="12.945353000000001"/>
  </r>
  <r>
    <x v="182"/>
    <n v="12.496089"/>
  </r>
  <r>
    <x v="183"/>
    <n v="12.626461000000001"/>
  </r>
  <r>
    <x v="184"/>
    <n v="14.263223999999999"/>
  </r>
  <r>
    <x v="185"/>
    <n v="15.348833000000001"/>
  </r>
  <r>
    <x v="186"/>
    <n v="16.437441"/>
  </r>
  <r>
    <x v="187"/>
    <n v="14.112572"/>
  </r>
  <r>
    <x v="188"/>
    <n v="14.778605000000001"/>
  </r>
  <r>
    <x v="189"/>
    <n v="16.237698000000002"/>
  </r>
  <r>
    <x v="190"/>
    <n v="16.842831"/>
  </r>
  <r>
    <x v="191"/>
    <n v="16.435209"/>
  </r>
  <r>
    <x v="192"/>
    <n v="15.642948000000001"/>
  </r>
  <r>
    <x v="193"/>
    <n v="14.302507"/>
  </r>
  <r>
    <x v="194"/>
    <n v="12.179925000000001"/>
  </r>
  <r>
    <x v="195"/>
    <n v="12.502643000000001"/>
  </r>
  <r>
    <x v="196"/>
    <n v="12.830158000000001"/>
  </r>
  <r>
    <x v="197"/>
    <n v="12.180529999999999"/>
  </r>
  <r>
    <x v="198"/>
    <n v="12.119781"/>
  </r>
  <r>
    <x v="199"/>
    <n v="13.225773999999999"/>
  </r>
  <r>
    <x v="200"/>
    <n v="12.731199"/>
  </r>
  <r>
    <x v="201"/>
    <n v="13.058153000000001"/>
  </r>
  <r>
    <x v="202"/>
    <n v="12.807245"/>
  </r>
  <r>
    <x v="203"/>
    <n v="12.907481000000001"/>
  </r>
  <r>
    <x v="204"/>
    <n v="11.976713999999999"/>
  </r>
  <r>
    <x v="205"/>
    <n v="12.973182"/>
  </r>
  <r>
    <x v="206"/>
    <n v="14.306355"/>
  </r>
  <r>
    <x v="207"/>
    <n v="15.259512000000001"/>
  </r>
  <r>
    <x v="208"/>
    <n v="15.273263"/>
  </r>
  <r>
    <x v="209"/>
    <n v="15.394216"/>
  </r>
  <r>
    <x v="210"/>
    <n v="13.779377"/>
  </r>
  <r>
    <x v="211"/>
    <n v="14.071854999999999"/>
  </r>
  <r>
    <x v="212"/>
    <n v="13.233059000000001"/>
  </r>
  <r>
    <x v="213"/>
    <n v="12.875223"/>
  </r>
  <r>
    <x v="214"/>
    <n v="12.642542000000001"/>
  </r>
  <r>
    <x v="215"/>
    <n v="12.198007"/>
  </r>
  <r>
    <x v="216"/>
    <n v="11.257562999999999"/>
  </r>
  <r>
    <x v="217"/>
    <n v="11.190784000000001"/>
  </r>
  <r>
    <x v="218"/>
    <n v="11.263127000000001"/>
  </r>
  <r>
    <x v="219"/>
    <n v="11.306918"/>
  </r>
  <r>
    <x v="220"/>
    <n v="12.753863000000001"/>
  </r>
  <r>
    <x v="221"/>
    <n v="12.988958999999999"/>
  </r>
  <r>
    <x v="222"/>
    <n v="12.645644000000001"/>
  </r>
  <r>
    <x v="223"/>
    <n v="12.237904"/>
  </r>
  <r>
    <x v="224"/>
    <n v="12.080425999999999"/>
  </r>
  <r>
    <x v="225"/>
    <n v="13.111933000000001"/>
  </r>
  <r>
    <x v="226"/>
    <n v="13.140191"/>
  </r>
  <r>
    <x v="227"/>
    <n v="14.409247000000001"/>
  </r>
  <r>
    <x v="228"/>
    <n v="13.980521"/>
  </r>
  <r>
    <x v="229"/>
    <n v="14.184946999999999"/>
  </r>
  <r>
    <x v="230"/>
    <n v="14.281487"/>
  </r>
  <r>
    <x v="231"/>
    <n v="14.430436"/>
  </r>
  <r>
    <x v="232"/>
    <n v="14.653017"/>
  </r>
  <r>
    <x v="233"/>
    <n v="14.404757"/>
  </r>
  <r>
    <x v="234"/>
    <n v="12.576599"/>
  </r>
  <r>
    <x v="235"/>
    <n v="12.82033"/>
  </r>
  <r>
    <x v="236"/>
    <n v="11.484105"/>
  </r>
  <r>
    <x v="237"/>
    <n v="11.727266"/>
  </r>
  <r>
    <x v="238"/>
    <n v="11.337892999999999"/>
  </r>
  <r>
    <x v="239"/>
    <n v="12.08572"/>
  </r>
  <r>
    <x v="240"/>
    <n v="12.042183"/>
  </r>
  <r>
    <x v="241"/>
    <n v="12.422397999999999"/>
  </r>
  <r>
    <x v="242"/>
    <n v="12.094423000000001"/>
  </r>
  <r>
    <x v="243"/>
    <n v="12.690659999999999"/>
  </r>
  <r>
    <x v="244"/>
    <n v="13.038307"/>
  </r>
  <r>
    <x v="245"/>
    <n v="12.196936000000001"/>
  </r>
  <r>
    <x v="246"/>
    <n v="12.866114"/>
  </r>
  <r>
    <x v="247"/>
    <n v="12.936679"/>
  </r>
  <r>
    <x v="248"/>
    <n v="12.698524000000001"/>
  </r>
  <r>
    <x v="249"/>
    <n v="12.658077"/>
  </r>
  <r>
    <x v="250"/>
    <n v="12.631444999999999"/>
  </r>
  <r>
    <x v="251"/>
    <n v="12.005812000000001"/>
  </r>
  <r>
    <x v="252"/>
    <n v="12.324496"/>
  </r>
  <r>
    <x v="253"/>
    <n v="12.500216999999999"/>
  </r>
  <r>
    <x v="254"/>
    <n v="12.470442"/>
  </r>
  <r>
    <x v="255"/>
    <n v="12.588488"/>
  </r>
  <r>
    <x v="256"/>
    <n v="13.209509000000001"/>
  </r>
  <r>
    <x v="257"/>
    <n v="12.906496000000001"/>
  </r>
  <r>
    <x v="258"/>
    <n v="13.446763000000001"/>
  </r>
  <r>
    <x v="259"/>
    <n v="13.540441"/>
  </r>
  <r>
    <x v="260"/>
    <n v="13.501156999999999"/>
  </r>
  <r>
    <x v="261"/>
    <n v="14.216003000000001"/>
  </r>
  <r>
    <x v="262"/>
    <n v="14.249477000000001"/>
  </r>
  <r>
    <x v="263"/>
    <n v="14.779702"/>
  </r>
  <r>
    <x v="264"/>
    <n v="14.666368"/>
  </r>
  <r>
    <x v="265"/>
    <n v="14.298793"/>
  </r>
  <r>
    <x v="266"/>
    <n v="14.703122"/>
  </r>
  <r>
    <x v="267"/>
    <n v="16.100757999999999"/>
  </r>
  <r>
    <x v="268"/>
    <n v="16.347549000000001"/>
  </r>
  <r>
    <x v="269"/>
    <n v="16.137777"/>
  </r>
  <r>
    <x v="270"/>
    <n v="16.183668000000001"/>
  </r>
  <r>
    <x v="271"/>
    <n v="16.702314000000001"/>
  </r>
  <r>
    <x v="272"/>
    <n v="17.848306999999998"/>
  </r>
  <r>
    <x v="273"/>
    <n v="19.298525000000001"/>
  </r>
  <r>
    <x v="274"/>
    <n v="19.404768000000001"/>
  </r>
  <r>
    <x v="275"/>
    <n v="19.280746000000001"/>
  </r>
  <r>
    <x v="276"/>
    <n v="18.536159999999999"/>
  </r>
  <r>
    <x v="277"/>
    <n v="18.366506999999999"/>
  </r>
  <r>
    <x v="278"/>
    <n v="19.123663000000001"/>
  </r>
  <r>
    <x v="279"/>
    <n v="18.614263999999999"/>
  </r>
  <r>
    <x v="280"/>
    <n v="18.105184999999999"/>
  </r>
  <r>
    <x v="281"/>
    <n v="16.435694000000002"/>
  </r>
  <r>
    <x v="282"/>
    <n v="16.391293999999998"/>
  </r>
  <r>
    <x v="283"/>
    <n v="16.572716"/>
  </r>
  <r>
    <x v="284"/>
    <n v="16.830517"/>
  </r>
  <r>
    <x v="285"/>
    <n v="14.123042"/>
  </r>
  <r>
    <x v="286"/>
    <n v="15.023768"/>
  </r>
  <r>
    <x v="287"/>
    <n v="14.634288"/>
  </r>
  <r>
    <x v="288"/>
    <n v="13.809957000000001"/>
  </r>
  <r>
    <x v="289"/>
    <n v="13.205443000000001"/>
  </r>
  <r>
    <x v="290"/>
    <n v="14.207573999999999"/>
  </r>
  <r>
    <x v="291"/>
    <n v="14.063882"/>
  </r>
  <r>
    <x v="292"/>
    <n v="16.059937999999999"/>
  </r>
  <r>
    <x v="293"/>
    <n v="15.677711"/>
  </r>
  <r>
    <x v="294"/>
    <n v="16.421156"/>
  </r>
  <r>
    <x v="295"/>
    <n v="16.068619000000002"/>
  </r>
  <r>
    <x v="296"/>
    <n v="17.692945000000002"/>
  </r>
  <r>
    <x v="297"/>
    <n v="17.707992999999998"/>
  </r>
  <r>
    <x v="298"/>
    <n v="19.000133999999999"/>
  </r>
  <r>
    <x v="299"/>
    <n v="19.068235000000001"/>
  </r>
  <r>
    <x v="300"/>
    <n v="18.148273"/>
  </r>
  <r>
    <x v="301"/>
    <n v="17.63644"/>
  </r>
  <r>
    <x v="302"/>
    <n v="18.399177999999999"/>
  </r>
  <r>
    <x v="303"/>
    <n v="18.026994999999999"/>
  </r>
  <r>
    <x v="304"/>
    <n v="17.335595999999999"/>
  </r>
  <r>
    <x v="305"/>
    <n v="16.903888999999999"/>
  </r>
  <r>
    <x v="306"/>
    <n v="18.744105999999999"/>
  </r>
  <r>
    <x v="307"/>
    <n v="19.005993"/>
  </r>
  <r>
    <x v="308"/>
    <n v="19.903922999999999"/>
  </r>
  <r>
    <x v="309"/>
    <n v="21.014263"/>
  </r>
  <r>
    <x v="310"/>
    <n v="21.648250999999998"/>
  </r>
  <r>
    <x v="311"/>
    <n v="22.695028000000001"/>
  </r>
  <r>
    <x v="312"/>
    <n v="21.687441"/>
  </r>
  <r>
    <x v="313"/>
    <n v="22.056657999999999"/>
  </r>
  <r>
    <x v="314"/>
    <n v="22.891718000000001"/>
  </r>
  <r>
    <x v="315"/>
    <n v="23.446982999999999"/>
  </r>
  <r>
    <x v="316"/>
    <n v="23.221060000000001"/>
  </r>
  <r>
    <x v="317"/>
    <n v="23.387892000000001"/>
  </r>
  <r>
    <x v="318"/>
    <n v="23.809277999999999"/>
  </r>
  <r>
    <x v="319"/>
    <n v="24.663485000000001"/>
  </r>
  <r>
    <x v="320"/>
    <n v="23.651733"/>
  </r>
  <r>
    <x v="321"/>
    <n v="24.080931"/>
  </r>
  <r>
    <x v="322"/>
    <n v="23.696736999999999"/>
  </r>
  <r>
    <x v="323"/>
    <n v="24.841674999999999"/>
  </r>
  <r>
    <x v="324"/>
    <n v="23.975394999999999"/>
  </r>
  <r>
    <x v="325"/>
    <n v="24.802613999999998"/>
  </r>
  <r>
    <x v="326"/>
    <n v="26.275998999999999"/>
  </r>
  <r>
    <x v="327"/>
    <n v="27.294559"/>
  </r>
  <r>
    <x v="328"/>
    <n v="26.725925"/>
  </r>
  <r>
    <x v="329"/>
    <n v="27.963346000000001"/>
  </r>
  <r>
    <x v="330"/>
    <n v="29.094073999999999"/>
  </r>
  <r>
    <x v="331"/>
    <n v="26.933626"/>
  </r>
  <r>
    <x v="332"/>
    <n v="27.315304000000001"/>
  </r>
  <r>
    <x v="333"/>
    <n v="26.957193"/>
  </r>
  <r>
    <x v="334"/>
    <n v="27.493728999999998"/>
  </r>
  <r>
    <x v="335"/>
    <n v="26.463228000000001"/>
  </r>
  <r>
    <x v="336"/>
    <n v="27.185946999999999"/>
  </r>
  <r>
    <x v="337"/>
    <n v="28.266383999999999"/>
  </r>
  <r>
    <x v="338"/>
    <n v="29.522017000000002"/>
  </r>
  <r>
    <x v="339"/>
    <n v="31.125456"/>
  </r>
  <r>
    <x v="340"/>
    <n v="29.404841999999999"/>
  </r>
  <r>
    <x v="341"/>
    <n v="29.493075999999999"/>
  </r>
  <r>
    <x v="342"/>
    <n v="29.674714999999999"/>
  </r>
  <r>
    <x v="343"/>
    <n v="28.267975"/>
  </r>
  <r>
    <x v="344"/>
    <n v="28.045862"/>
  </r>
  <r>
    <x v="345"/>
    <n v="29.510185"/>
  </r>
  <r>
    <x v="346"/>
    <n v="29.972556999999998"/>
  </r>
  <r>
    <x v="347"/>
    <n v="31.02364"/>
  </r>
  <r>
    <x v="348"/>
    <n v="28.402666"/>
  </r>
  <r>
    <x v="349"/>
    <n v="28.688051000000002"/>
  </r>
  <r>
    <x v="350"/>
    <n v="29.033504000000001"/>
  </r>
  <r>
    <x v="351"/>
    <n v="30.875838999999999"/>
  </r>
  <r>
    <x v="352"/>
    <n v="30.966667000000001"/>
  </r>
  <r>
    <x v="353"/>
    <n v="32.064239999999998"/>
  </r>
  <r>
    <x v="354"/>
    <n v="29.964092000000001"/>
  </r>
  <r>
    <x v="355"/>
    <n v="31.817298999999998"/>
  </r>
  <r>
    <x v="356"/>
    <n v="32.534187000000003"/>
  </r>
  <r>
    <x v="357"/>
    <n v="32.172020000000003"/>
  </r>
  <r>
    <x v="358"/>
    <n v="34.438178999999998"/>
  </r>
  <r>
    <x v="359"/>
    <n v="32.657383000000003"/>
  </r>
  <r>
    <x v="360"/>
    <n v="31.845199999999998"/>
  </r>
  <r>
    <x v="361"/>
    <n v="33.492759999999997"/>
  </r>
  <r>
    <x v="362"/>
    <n v="31.365625000000001"/>
  </r>
  <r>
    <x v="363"/>
    <n v="31.633687999999999"/>
  </r>
  <r>
    <x v="364"/>
    <n v="31.945658000000002"/>
  </r>
  <r>
    <x v="365"/>
    <n v="30.596395000000001"/>
  </r>
  <r>
    <x v="366"/>
    <n v="32.303576999999997"/>
  </r>
  <r>
    <x v="367"/>
    <n v="30.919581999999998"/>
  </r>
  <r>
    <x v="368"/>
    <n v="31.548666000000001"/>
  </r>
  <r>
    <x v="369"/>
    <n v="33.590767"/>
  </r>
  <r>
    <x v="370"/>
    <n v="33.804920000000003"/>
  </r>
  <r>
    <x v="371"/>
    <n v="34.335915"/>
  </r>
  <r>
    <x v="372"/>
    <n v="34.303947000000001"/>
  </r>
  <r>
    <x v="373"/>
    <n v="34.471806000000001"/>
  </r>
  <r>
    <x v="374"/>
    <n v="37.077357999999997"/>
  </r>
  <r>
    <x v="375"/>
    <n v="36.085788999999998"/>
  </r>
  <r>
    <x v="376"/>
    <n v="35.924689999999998"/>
  </r>
  <r>
    <x v="377"/>
    <n v="36.512690999999997"/>
  </r>
  <r>
    <x v="378"/>
    <n v="35.412875999999997"/>
  </r>
  <r>
    <x v="379"/>
    <n v="35.250534000000002"/>
  </r>
  <r>
    <x v="380"/>
    <n v="34.349586000000002"/>
  </r>
  <r>
    <x v="381"/>
    <n v="34.695689999999999"/>
  </r>
  <r>
    <x v="382"/>
    <n v="33.018185000000003"/>
  </r>
  <r>
    <x v="383"/>
    <n v="34.21331"/>
  </r>
  <r>
    <x v="384"/>
    <n v="34.304080999999996"/>
  </r>
  <r>
    <x v="385"/>
    <n v="34.625919000000003"/>
  </r>
  <r>
    <x v="386"/>
    <n v="35.022015000000003"/>
  </r>
  <r>
    <x v="387"/>
    <n v="35.922210999999997"/>
  </r>
  <r>
    <x v="388"/>
    <n v="37.853596000000003"/>
  </r>
  <r>
    <x v="389"/>
    <n v="37.337456000000003"/>
  </r>
  <r>
    <x v="390"/>
    <n v="38.475673999999998"/>
  </r>
  <r>
    <x v="391"/>
    <n v="38.232261999999999"/>
  </r>
  <r>
    <x v="392"/>
    <n v="37.779018000000001"/>
  </r>
  <r>
    <x v="393"/>
    <n v="38.900261"/>
  </r>
  <r>
    <x v="394"/>
    <n v="38.722599000000002"/>
  </r>
  <r>
    <x v="395"/>
    <n v="39.133896"/>
  </r>
  <r>
    <x v="396"/>
    <n v="40.592461"/>
  </r>
  <r>
    <x v="397"/>
    <n v="36.865017000000002"/>
  </r>
  <r>
    <x v="398"/>
    <n v="37.044136000000002"/>
  </r>
  <r>
    <x v="399"/>
    <n v="37.181846999999998"/>
  </r>
  <r>
    <x v="400"/>
    <n v="37.001137"/>
  </r>
  <r>
    <x v="401"/>
    <n v="37.741149999999998"/>
  </r>
  <r>
    <x v="402"/>
    <n v="40.482070999999998"/>
  </r>
  <r>
    <x v="403"/>
    <n v="38.693676000000004"/>
  </r>
  <r>
    <x v="404"/>
    <n v="40.100090000000002"/>
  </r>
  <r>
    <x v="405"/>
    <n v="41.920841000000003"/>
  </r>
  <r>
    <x v="406"/>
    <n v="44.127197000000002"/>
  </r>
  <r>
    <x v="407"/>
    <n v="41.784626000000003"/>
  </r>
  <r>
    <x v="408"/>
    <n v="42.472949999999997"/>
  </r>
  <r>
    <x v="409"/>
    <n v="40.010876000000003"/>
  </r>
  <r>
    <x v="410"/>
    <n v="41.352218999999998"/>
  </r>
  <r>
    <x v="411"/>
    <n v="43.671581000000003"/>
  </r>
  <r>
    <x v="412"/>
    <n v="43.733893999999999"/>
  </r>
  <r>
    <x v="413"/>
    <n v="45.327286000000001"/>
  </r>
  <r>
    <x v="414"/>
    <n v="47.215206000000002"/>
  </r>
  <r>
    <x v="415"/>
    <n v="49.377251000000001"/>
  </r>
  <r>
    <x v="416"/>
    <n v="48.838982000000001"/>
  </r>
  <r>
    <x v="417"/>
    <n v="49.187023000000003"/>
  </r>
  <r>
    <x v="418"/>
    <n v="48.256233000000002"/>
  </r>
  <r>
    <x v="419"/>
    <n v="50.392029000000001"/>
  </r>
  <r>
    <x v="420"/>
    <n v="53.168818999999999"/>
  </r>
  <r>
    <x v="421"/>
    <n v="48.698642999999997"/>
  </r>
  <r>
    <x v="422"/>
    <n v="40.286307999999998"/>
  </r>
  <r>
    <x v="423"/>
    <n v="42.145812999999997"/>
  </r>
  <r>
    <x v="424"/>
    <n v="42.871352999999999"/>
  </r>
  <r>
    <x v="425"/>
    <n v="41.034537999999998"/>
  </r>
  <r>
    <x v="426"/>
    <n v="43.779812"/>
  </r>
  <r>
    <x v="427"/>
    <n v="45.902084000000002"/>
  </r>
  <r>
    <x v="428"/>
    <n v="45.753802999999998"/>
  </r>
  <r>
    <x v="429"/>
    <n v="44.900291000000003"/>
  </r>
  <r>
    <x v="430"/>
    <n v="48.207549999999998"/>
  </r>
  <r>
    <x v="431"/>
    <n v="51.636265000000002"/>
  </r>
  <r>
    <x v="432"/>
    <n v="45.337093000000003"/>
  </r>
  <r>
    <x v="433"/>
    <n v="46.128025000000001"/>
  </r>
  <r>
    <x v="434"/>
    <n v="49.630702999999997"/>
  </r>
  <r>
    <x v="435"/>
    <n v="51.249554000000003"/>
  </r>
  <r>
    <x v="436"/>
    <n v="52.493298000000003"/>
  </r>
  <r>
    <x v="437"/>
    <n v="51.372978000000003"/>
  </r>
  <r>
    <x v="438"/>
    <n v="54.553260999999999"/>
  </r>
  <r>
    <x v="439"/>
    <n v="53.864539999999998"/>
  </r>
  <r>
    <x v="440"/>
    <n v="50.191299000000001"/>
  </r>
  <r>
    <x v="441"/>
    <n v="54.328884000000002"/>
  </r>
  <r>
    <x v="442"/>
    <n v="50.550823000000001"/>
  </r>
  <r>
    <x v="443"/>
    <n v="57.508586999999999"/>
  </r>
  <r>
    <x v="444"/>
    <n v="59.256866000000002"/>
  </r>
  <r>
    <x v="445"/>
    <n v="60.451523000000002"/>
  </r>
  <r>
    <x v="446"/>
    <n v="60.218414000000003"/>
  </r>
  <r>
    <x v="447"/>
    <n v="63.233784"/>
  </r>
  <r>
    <x v="448"/>
    <n v="62.029986999999998"/>
  </r>
  <r>
    <x v="449"/>
    <n v="61.569996000000003"/>
  </r>
  <r>
    <x v="450"/>
    <n v="63.256905000000003"/>
  </r>
  <r>
    <x v="451"/>
    <n v="60.831913"/>
  </r>
  <r>
    <x v="452"/>
    <n v="55.222878000000001"/>
  </r>
  <r>
    <x v="453"/>
    <n v="59.428519999999999"/>
  </r>
  <r>
    <x v="454"/>
    <n v="63.162044999999999"/>
  </r>
  <r>
    <x v="455"/>
    <n v="63.610000999999997"/>
  </r>
  <r>
    <x v="456"/>
    <n v="61.43"/>
  </r>
  <r>
    <x v="457"/>
    <n v="61.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4FD837-3502-42AD-B3C6-33BAF61A05C6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3" firstHeaderRow="1" firstDataRow="1" firstDataCol="1"/>
  <pivotFields count="4"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4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t="default"/>
      </items>
    </pivotField>
  </pivotFields>
  <rowFields count="3">
    <field x="3"/>
    <field x="2"/>
    <field x="0"/>
  </rowFields>
  <rowItems count="40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 t="grand">
      <x/>
    </i>
  </rowItems>
  <colItems count="1">
    <i/>
  </colItems>
  <dataFields count="1">
    <dataField name="Average of Adj Close" fld="1" subtotal="average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1"/>
  <sheetViews>
    <sheetView showGridLines="0" tabSelected="1" zoomScale="90" zoomScaleNormal="90" workbookViewId="0">
      <pane xSplit="1" topLeftCell="B1" activePane="topRight" state="frozen"/>
      <selection pane="topRight" activeCell="M9" sqref="M9"/>
    </sheetView>
  </sheetViews>
  <sheetFormatPr defaultRowHeight="14.4" x14ac:dyDescent="0.3"/>
  <cols>
    <col min="1" max="1" width="15.33203125" bestFit="1" customWidth="1"/>
    <col min="3" max="3" width="12" bestFit="1" customWidth="1"/>
    <col min="4" max="12" width="10.88671875" bestFit="1" customWidth="1"/>
    <col min="13" max="13" width="10.88671875" customWidth="1"/>
    <col min="14" max="14" width="12.6640625" bestFit="1" customWidth="1"/>
    <col min="15" max="24" width="11.6640625" customWidth="1"/>
    <col min="26" max="26" width="14" bestFit="1" customWidth="1"/>
    <col min="27" max="27" width="10.6640625" customWidth="1"/>
    <col min="28" max="28" width="10.88671875" bestFit="1" customWidth="1"/>
  </cols>
  <sheetData>
    <row r="1" spans="1:28" x14ac:dyDescent="0.3">
      <c r="A1" t="s">
        <v>0</v>
      </c>
      <c r="C1" t="s">
        <v>2</v>
      </c>
      <c r="D1" t="s">
        <v>3</v>
      </c>
    </row>
    <row r="2" spans="1:28" ht="25.8" x14ac:dyDescent="0.5">
      <c r="A2" s="1" t="s">
        <v>1</v>
      </c>
      <c r="O2">
        <v>1</v>
      </c>
      <c r="P2">
        <v>2</v>
      </c>
      <c r="Q2">
        <v>3</v>
      </c>
      <c r="R2">
        <v>4</v>
      </c>
      <c r="S2">
        <v>5</v>
      </c>
    </row>
    <row r="3" spans="1:28" x14ac:dyDescent="0.3">
      <c r="C3" s="4">
        <v>2012</v>
      </c>
      <c r="D3" s="4">
        <f>C3+1</f>
        <v>2013</v>
      </c>
      <c r="E3" s="4">
        <f t="shared" ref="E3:L3" si="0">D3+1</f>
        <v>2014</v>
      </c>
      <c r="F3" s="4">
        <f t="shared" si="0"/>
        <v>2015</v>
      </c>
      <c r="G3" s="4">
        <f t="shared" si="0"/>
        <v>2016</v>
      </c>
      <c r="H3" s="4">
        <f t="shared" si="0"/>
        <v>2017</v>
      </c>
      <c r="I3" s="4">
        <f t="shared" si="0"/>
        <v>2018</v>
      </c>
      <c r="J3" s="4">
        <f t="shared" si="0"/>
        <v>2019</v>
      </c>
      <c r="K3" s="4">
        <f t="shared" si="0"/>
        <v>2020</v>
      </c>
      <c r="L3" s="4">
        <f t="shared" si="0"/>
        <v>2021</v>
      </c>
      <c r="M3" s="4">
        <f t="shared" ref="M3" si="1">L3+1</f>
        <v>2022</v>
      </c>
      <c r="N3" s="13" t="s">
        <v>69</v>
      </c>
      <c r="O3" s="16">
        <v>2022</v>
      </c>
      <c r="P3" s="16">
        <f>O3+1</f>
        <v>2023</v>
      </c>
      <c r="Q3" s="16">
        <f t="shared" ref="Q3:X3" si="2">P3+1</f>
        <v>2024</v>
      </c>
      <c r="R3" s="16">
        <f t="shared" si="2"/>
        <v>2025</v>
      </c>
      <c r="S3" s="16">
        <f t="shared" si="2"/>
        <v>2026</v>
      </c>
      <c r="T3" s="16">
        <f t="shared" si="2"/>
        <v>2027</v>
      </c>
      <c r="U3" s="16">
        <f t="shared" si="2"/>
        <v>2028</v>
      </c>
      <c r="V3" s="16">
        <f t="shared" si="2"/>
        <v>2029</v>
      </c>
      <c r="W3" s="16">
        <f t="shared" si="2"/>
        <v>2030</v>
      </c>
      <c r="X3" s="16">
        <f t="shared" si="2"/>
        <v>2031</v>
      </c>
      <c r="Z3" s="28" t="s">
        <v>70</v>
      </c>
      <c r="AA3" s="28"/>
      <c r="AB3" s="28"/>
    </row>
    <row r="4" spans="1:28" x14ac:dyDescent="0.3">
      <c r="A4" t="s">
        <v>4</v>
      </c>
      <c r="C4" s="12">
        <v>48017</v>
      </c>
      <c r="D4" s="12">
        <v>46854</v>
      </c>
      <c r="E4" s="12">
        <v>45998</v>
      </c>
      <c r="F4" s="12">
        <v>44294</v>
      </c>
      <c r="G4" s="12">
        <v>41863</v>
      </c>
      <c r="H4" s="12">
        <v>36212</v>
      </c>
      <c r="I4" s="12">
        <v>34300</v>
      </c>
      <c r="J4" s="12">
        <v>37266</v>
      </c>
      <c r="K4" s="12">
        <v>33014</v>
      </c>
      <c r="L4" s="12">
        <v>38655</v>
      </c>
      <c r="M4" s="12"/>
      <c r="N4" s="14">
        <f>(L4/C4)^(1/10)-1</f>
        <v>-2.1454406771433399E-2</v>
      </c>
      <c r="Z4" s="19" t="s">
        <v>71</v>
      </c>
      <c r="AA4" s="19">
        <f>S3</f>
        <v>2026</v>
      </c>
      <c r="AB4" s="19">
        <f>X3</f>
        <v>2031</v>
      </c>
    </row>
    <row r="5" spans="1:28" x14ac:dyDescent="0.3">
      <c r="Z5" s="19" t="s">
        <v>7</v>
      </c>
      <c r="AA5" s="20">
        <f>S8</f>
        <v>12983.990245632001</v>
      </c>
      <c r="AB5" s="20">
        <f>X8</f>
        <v>14335.374379138348</v>
      </c>
    </row>
    <row r="6" spans="1:28" x14ac:dyDescent="0.3">
      <c r="A6" t="s">
        <v>5</v>
      </c>
      <c r="C6">
        <v>10779</v>
      </c>
      <c r="D6">
        <v>10228</v>
      </c>
      <c r="E6">
        <v>9708</v>
      </c>
      <c r="F6">
        <v>8728</v>
      </c>
      <c r="G6">
        <v>8657</v>
      </c>
      <c r="H6">
        <v>7755</v>
      </c>
      <c r="I6">
        <v>9152</v>
      </c>
      <c r="J6">
        <v>10086</v>
      </c>
      <c r="K6">
        <v>8997</v>
      </c>
      <c r="L6">
        <v>10308</v>
      </c>
      <c r="Z6" s="19" t="s">
        <v>72</v>
      </c>
      <c r="AA6" s="29">
        <v>15</v>
      </c>
      <c r="AB6" s="29"/>
    </row>
    <row r="7" spans="1:28" x14ac:dyDescent="0.3">
      <c r="A7" t="s">
        <v>6</v>
      </c>
      <c r="C7">
        <v>1982</v>
      </c>
      <c r="D7">
        <v>1977</v>
      </c>
      <c r="E7">
        <v>1976</v>
      </c>
      <c r="F7">
        <v>1970</v>
      </c>
      <c r="G7">
        <v>1787</v>
      </c>
      <c r="H7">
        <v>1260</v>
      </c>
      <c r="I7">
        <v>1086</v>
      </c>
      <c r="J7">
        <v>1365</v>
      </c>
      <c r="K7">
        <v>1536</v>
      </c>
      <c r="L7">
        <v>1452</v>
      </c>
      <c r="Z7" s="19" t="s">
        <v>15</v>
      </c>
      <c r="AA7" s="20">
        <f>AA5*$AA$6</f>
        <v>194759.85368448001</v>
      </c>
      <c r="AB7" s="20">
        <f>AB5*$AA$6</f>
        <v>215030.61568707522</v>
      </c>
    </row>
    <row r="8" spans="1:28" x14ac:dyDescent="0.3">
      <c r="A8" t="s">
        <v>7</v>
      </c>
      <c r="C8" s="12">
        <f>C6+C7</f>
        <v>12761</v>
      </c>
      <c r="D8" s="12">
        <f t="shared" ref="D8:L8" si="3">D6+D7</f>
        <v>12205</v>
      </c>
      <c r="E8" s="12">
        <f t="shared" si="3"/>
        <v>11684</v>
      </c>
      <c r="F8" s="12">
        <f t="shared" si="3"/>
        <v>10698</v>
      </c>
      <c r="G8" s="12">
        <f t="shared" si="3"/>
        <v>10444</v>
      </c>
      <c r="H8" s="12">
        <f t="shared" si="3"/>
        <v>9015</v>
      </c>
      <c r="I8" s="12">
        <f t="shared" si="3"/>
        <v>10238</v>
      </c>
      <c r="J8" s="12">
        <f t="shared" si="3"/>
        <v>11451</v>
      </c>
      <c r="K8" s="12">
        <f t="shared" si="3"/>
        <v>10533</v>
      </c>
      <c r="L8" s="12">
        <f t="shared" si="3"/>
        <v>11760</v>
      </c>
      <c r="M8" s="12"/>
      <c r="N8" s="14">
        <f>(L8/C8)^(1/10)-1</f>
        <v>-8.1356948609841995E-3</v>
      </c>
      <c r="O8" s="18">
        <f>L8*(1+O9)</f>
        <v>11995.2</v>
      </c>
      <c r="P8" s="18">
        <f>O8*(1+P9)</f>
        <v>12235.104000000001</v>
      </c>
      <c r="Q8" s="18">
        <f t="shared" ref="Q8:X8" si="4">P8*(1+Q9)</f>
        <v>12479.806080000002</v>
      </c>
      <c r="R8" s="18">
        <f t="shared" si="4"/>
        <v>12729.402201600002</v>
      </c>
      <c r="S8" s="18">
        <f t="shared" si="4"/>
        <v>12983.990245632001</v>
      </c>
      <c r="T8" s="18">
        <f t="shared" si="4"/>
        <v>13243.670050544642</v>
      </c>
      <c r="U8" s="18">
        <f t="shared" si="4"/>
        <v>13508.543451555535</v>
      </c>
      <c r="V8" s="18">
        <f t="shared" si="4"/>
        <v>13778.714320586647</v>
      </c>
      <c r="W8" s="18">
        <f t="shared" si="4"/>
        <v>14054.28860699838</v>
      </c>
      <c r="X8" s="18">
        <f t="shared" si="4"/>
        <v>14335.374379138348</v>
      </c>
      <c r="Z8" s="19" t="s">
        <v>73</v>
      </c>
      <c r="AA8" s="30">
        <f>L13</f>
        <v>39454</v>
      </c>
      <c r="AB8" s="30"/>
    </row>
    <row r="9" spans="1:28" x14ac:dyDescent="0.3">
      <c r="A9" s="2" t="s">
        <v>25</v>
      </c>
      <c r="D9" s="5">
        <f>D8/C8-1</f>
        <v>-4.3570253114959656E-2</v>
      </c>
      <c r="E9" s="5">
        <f t="shared" ref="E9:L9" si="5">E8/D8-1</f>
        <v>-4.2687423187218299E-2</v>
      </c>
      <c r="F9" s="5">
        <f t="shared" si="5"/>
        <v>-8.4388907908250599E-2</v>
      </c>
      <c r="G9" s="5">
        <f t="shared" si="5"/>
        <v>-2.3742755655262626E-2</v>
      </c>
      <c r="H9" s="5">
        <f t="shared" si="5"/>
        <v>-0.13682497127537341</v>
      </c>
      <c r="I9" s="5">
        <f t="shared" si="5"/>
        <v>0.13566278424847478</v>
      </c>
      <c r="J9" s="5">
        <f t="shared" si="5"/>
        <v>0.11848017190857596</v>
      </c>
      <c r="K9" s="5">
        <f t="shared" si="5"/>
        <v>-8.0167670945768932E-2</v>
      </c>
      <c r="L9" s="5">
        <f t="shared" si="5"/>
        <v>0.11649102819709478</v>
      </c>
      <c r="M9" s="5"/>
      <c r="N9" s="14">
        <f>AVERAGE(D9:L9)</f>
        <v>-4.5275553036320006E-3</v>
      </c>
      <c r="O9" s="17">
        <v>0.02</v>
      </c>
      <c r="P9" s="17">
        <v>0.02</v>
      </c>
      <c r="Q9" s="17">
        <v>0.02</v>
      </c>
      <c r="R9" s="17">
        <v>0.02</v>
      </c>
      <c r="S9" s="17">
        <v>0.02</v>
      </c>
      <c r="T9" s="17">
        <v>0.02</v>
      </c>
      <c r="U9" s="17">
        <v>0.02</v>
      </c>
      <c r="V9" s="17">
        <v>0.02</v>
      </c>
      <c r="W9" s="17">
        <v>0.02</v>
      </c>
      <c r="X9" s="17">
        <v>0.02</v>
      </c>
      <c r="Z9" s="19" t="s">
        <v>74</v>
      </c>
      <c r="AA9" s="30">
        <f>L11</f>
        <v>1242</v>
      </c>
      <c r="AB9" s="30"/>
    </row>
    <row r="10" spans="1:28" x14ac:dyDescent="0.3">
      <c r="Z10" s="19" t="s">
        <v>14</v>
      </c>
      <c r="AA10" s="20">
        <f>AA7-$AA$8+$AA$9</f>
        <v>156547.85368448001</v>
      </c>
      <c r="AB10" s="20">
        <f t="shared" ref="AB10" si="6">AB7-$AA$8+$AA$9</f>
        <v>176818.61568707522</v>
      </c>
    </row>
    <row r="11" spans="1:28" x14ac:dyDescent="0.3">
      <c r="A11" t="s">
        <v>8</v>
      </c>
      <c r="C11" s="12">
        <v>5017</v>
      </c>
      <c r="D11" s="12">
        <v>6707</v>
      </c>
      <c r="E11" s="12">
        <v>9052</v>
      </c>
      <c r="F11" s="12">
        <v>8322</v>
      </c>
      <c r="G11" s="12">
        <v>9595</v>
      </c>
      <c r="H11" s="12">
        <v>9352</v>
      </c>
      <c r="I11" s="12">
        <v>2025</v>
      </c>
      <c r="J11" s="12">
        <v>1467</v>
      </c>
      <c r="K11" s="12">
        <v>1771</v>
      </c>
      <c r="L11" s="12">
        <v>1242</v>
      </c>
      <c r="M11" s="12"/>
      <c r="Z11" s="19" t="s">
        <v>75</v>
      </c>
      <c r="AA11" s="29">
        <f>L19</f>
        <v>4340</v>
      </c>
      <c r="AB11" s="29"/>
    </row>
    <row r="12" spans="1:28" x14ac:dyDescent="0.3">
      <c r="Z12" s="19" t="s">
        <v>23</v>
      </c>
      <c r="AA12" s="21">
        <f>AA10/AA11</f>
        <v>36.070934028682032</v>
      </c>
      <c r="AB12" s="21">
        <f>AB10/AA11</f>
        <v>40.741616517759269</v>
      </c>
    </row>
    <row r="13" spans="1:28" x14ac:dyDescent="0.3">
      <c r="A13" t="s">
        <v>9</v>
      </c>
      <c r="C13" s="12">
        <f>1577+14736</f>
        <v>16313</v>
      </c>
      <c r="D13" s="12">
        <f>1024+19154</f>
        <v>20178</v>
      </c>
      <c r="E13" s="12">
        <f>3552+19063</f>
        <v>22615</v>
      </c>
      <c r="F13" s="12">
        <f>2677+28407</f>
        <v>31084</v>
      </c>
      <c r="G13" s="12">
        <f>3527+29684</f>
        <v>33211</v>
      </c>
      <c r="H13" s="12">
        <f>3298+31182</f>
        <v>34480</v>
      </c>
      <c r="I13" s="12">
        <f>5003+25376</f>
        <v>30379</v>
      </c>
      <c r="J13" s="12">
        <f>4253+27516</f>
        <v>31769</v>
      </c>
      <c r="K13" s="12">
        <f>485+40125</f>
        <v>40610</v>
      </c>
      <c r="L13" s="12">
        <f>1338+38116</f>
        <v>39454</v>
      </c>
      <c r="M13" s="12"/>
    </row>
    <row r="14" spans="1:28" x14ac:dyDescent="0.3">
      <c r="Z14" s="28" t="s">
        <v>76</v>
      </c>
      <c r="AA14" s="28"/>
      <c r="AB14" s="28"/>
    </row>
    <row r="15" spans="1:28" x14ac:dyDescent="0.3">
      <c r="A15" t="s">
        <v>10</v>
      </c>
      <c r="C15">
        <f>30328-C11</f>
        <v>25311</v>
      </c>
      <c r="D15">
        <f>31304-D11</f>
        <v>24597</v>
      </c>
      <c r="E15">
        <f>32986-E11</f>
        <v>23934</v>
      </c>
      <c r="F15">
        <f>33395-F11</f>
        <v>25073</v>
      </c>
      <c r="G15">
        <f>34010-G11</f>
        <v>24415</v>
      </c>
      <c r="H15">
        <f>36545-H11</f>
        <v>27193</v>
      </c>
      <c r="I15">
        <f>24930-I11</f>
        <v>22905</v>
      </c>
      <c r="J15">
        <f>20411-J11</f>
        <v>18944</v>
      </c>
      <c r="K15">
        <f>19240-K11</f>
        <v>17469</v>
      </c>
      <c r="L15">
        <f>22545-L11</f>
        <v>21303</v>
      </c>
      <c r="Z15" s="19" t="s">
        <v>71</v>
      </c>
      <c r="AA15" s="19">
        <f>AA4</f>
        <v>2026</v>
      </c>
      <c r="AB15" s="19">
        <f>AB4</f>
        <v>2031</v>
      </c>
    </row>
    <row r="16" spans="1:28" x14ac:dyDescent="0.3">
      <c r="A16" t="s">
        <v>11</v>
      </c>
      <c r="C16">
        <f>27821-1577</f>
        <v>26244</v>
      </c>
      <c r="D16">
        <f>26811-1024</f>
        <v>25787</v>
      </c>
      <c r="E16">
        <f>32374-3552</f>
        <v>28822</v>
      </c>
      <c r="F16">
        <f>26390-2677</f>
        <v>23713</v>
      </c>
      <c r="G16">
        <f>26532-3527</f>
        <v>23005</v>
      </c>
      <c r="H16">
        <f>27194-3298</f>
        <v>23896</v>
      </c>
      <c r="I16">
        <f>28782-5003</f>
        <v>23779</v>
      </c>
      <c r="J16">
        <f>26973-4253</f>
        <v>22720</v>
      </c>
      <c r="K16">
        <f>14601-485</f>
        <v>14116</v>
      </c>
      <c r="L16">
        <f>19950-1338</f>
        <v>18612</v>
      </c>
      <c r="Z16" s="19" t="s">
        <v>22</v>
      </c>
      <c r="AA16" s="20">
        <f>S37</f>
        <v>2.9494730028342859</v>
      </c>
      <c r="AB16" s="20">
        <f>X37</f>
        <v>3.2564565219859944</v>
      </c>
    </row>
    <row r="17" spans="1:29" ht="15" customHeight="1" x14ac:dyDescent="0.3">
      <c r="A17" s="3" t="s">
        <v>12</v>
      </c>
      <c r="C17" s="12">
        <f t="shared" ref="C17:K17" si="7">C15-C16</f>
        <v>-933</v>
      </c>
      <c r="D17" s="12">
        <f t="shared" si="7"/>
        <v>-1190</v>
      </c>
      <c r="E17" s="12">
        <f t="shared" si="7"/>
        <v>-4888</v>
      </c>
      <c r="F17" s="12">
        <f t="shared" si="7"/>
        <v>1360</v>
      </c>
      <c r="G17" s="12">
        <f t="shared" si="7"/>
        <v>1410</v>
      </c>
      <c r="H17" s="12">
        <f t="shared" si="7"/>
        <v>3297</v>
      </c>
      <c r="I17" s="12">
        <f t="shared" si="7"/>
        <v>-874</v>
      </c>
      <c r="J17" s="12">
        <f t="shared" si="7"/>
        <v>-3776</v>
      </c>
      <c r="K17" s="12">
        <f t="shared" si="7"/>
        <v>3353</v>
      </c>
      <c r="L17" s="12">
        <f>L15-L16</f>
        <v>2691</v>
      </c>
      <c r="M17" s="12"/>
      <c r="Z17" s="19" t="s">
        <v>24</v>
      </c>
      <c r="AA17" s="26">
        <v>7.0000000000000007E-2</v>
      </c>
      <c r="AB17" s="27"/>
    </row>
    <row r="18" spans="1:29" x14ac:dyDescent="0.3">
      <c r="Z18" s="19" t="s">
        <v>23</v>
      </c>
      <c r="AA18" s="21">
        <f>AA16/AA17</f>
        <v>42.135328611918368</v>
      </c>
      <c r="AB18" s="21">
        <f>AB16/AA17</f>
        <v>46.520807456942777</v>
      </c>
    </row>
    <row r="19" spans="1:29" x14ac:dyDescent="0.3">
      <c r="A19" t="s">
        <v>13</v>
      </c>
      <c r="C19">
        <v>4584</v>
      </c>
      <c r="D19">
        <v>4509</v>
      </c>
      <c r="E19">
        <v>4450</v>
      </c>
      <c r="F19">
        <v>4405</v>
      </c>
      <c r="G19">
        <v>4367</v>
      </c>
      <c r="H19">
        <v>4324</v>
      </c>
      <c r="I19">
        <v>4299</v>
      </c>
      <c r="J19">
        <v>4314</v>
      </c>
      <c r="K19">
        <v>4323</v>
      </c>
      <c r="L19">
        <v>4340</v>
      </c>
      <c r="N19" s="14">
        <f>(L19/C19)^(1/10)-1</f>
        <v>-5.4548312127515874E-3</v>
      </c>
    </row>
    <row r="20" spans="1:29" x14ac:dyDescent="0.3">
      <c r="Z20" s="28" t="s">
        <v>77</v>
      </c>
      <c r="AA20" s="28"/>
      <c r="AB20" s="28"/>
    </row>
    <row r="21" spans="1:29" x14ac:dyDescent="0.3">
      <c r="A21" t="s">
        <v>14</v>
      </c>
      <c r="C21" s="10">
        <f>C39*C19</f>
        <v>122734.68694399999</v>
      </c>
      <c r="D21" s="10">
        <f t="shared" ref="D21:L21" si="8">D39*D19</f>
        <v>132073.36549199998</v>
      </c>
      <c r="E21" s="10">
        <f t="shared" si="8"/>
        <v>138548.57209583331</v>
      </c>
      <c r="F21" s="10">
        <f t="shared" si="8"/>
        <v>142201.75224708335</v>
      </c>
      <c r="G21" s="10">
        <f t="shared" si="8"/>
        <v>153324.08246283332</v>
      </c>
      <c r="H21" s="10">
        <f t="shared" si="8"/>
        <v>160820.00534266667</v>
      </c>
      <c r="I21" s="10">
        <f t="shared" si="8"/>
        <v>169643.64470425001</v>
      </c>
      <c r="J21" s="10">
        <f t="shared" si="8"/>
        <v>197665.87303500003</v>
      </c>
      <c r="K21" s="10">
        <f t="shared" si="8"/>
        <v>197555.79675974997</v>
      </c>
      <c r="L21" s="10">
        <f t="shared" si="8"/>
        <v>223223.93794166669</v>
      </c>
      <c r="M21" s="10"/>
      <c r="N21" s="14">
        <f>(L21/C21)^(1/10)-1</f>
        <v>6.1640174283270399E-2</v>
      </c>
      <c r="Z21" s="19" t="s">
        <v>78</v>
      </c>
      <c r="AA21" s="19"/>
      <c r="AB21" s="19">
        <v>62.13</v>
      </c>
      <c r="AC21" t="s">
        <v>79</v>
      </c>
    </row>
    <row r="22" spans="1:29" x14ac:dyDescent="0.3">
      <c r="Z22" s="19" t="s">
        <v>71</v>
      </c>
      <c r="AA22" s="22">
        <f>AA15</f>
        <v>2026</v>
      </c>
      <c r="AB22" s="22">
        <f>AB15</f>
        <v>2031</v>
      </c>
    </row>
    <row r="23" spans="1:29" x14ac:dyDescent="0.3">
      <c r="A23" t="s">
        <v>15</v>
      </c>
      <c r="C23" s="10">
        <f>C21+C13-C11</f>
        <v>134030.68694399999</v>
      </c>
      <c r="D23" s="10">
        <f t="shared" ref="D23:L23" si="9">D21+D13-D11</f>
        <v>145544.36549199998</v>
      </c>
      <c r="E23" s="10">
        <f t="shared" si="9"/>
        <v>152111.57209583331</v>
      </c>
      <c r="F23" s="10">
        <f t="shared" si="9"/>
        <v>164963.75224708335</v>
      </c>
      <c r="G23" s="10">
        <f t="shared" si="9"/>
        <v>176940.08246283332</v>
      </c>
      <c r="H23" s="10">
        <f t="shared" si="9"/>
        <v>185948.00534266667</v>
      </c>
      <c r="I23" s="10">
        <f t="shared" si="9"/>
        <v>197997.64470425001</v>
      </c>
      <c r="J23" s="10">
        <f t="shared" si="9"/>
        <v>227967.87303500003</v>
      </c>
      <c r="K23" s="10">
        <f t="shared" si="9"/>
        <v>236394.79675974997</v>
      </c>
      <c r="L23" s="10">
        <f t="shared" si="9"/>
        <v>261435.93794166669</v>
      </c>
      <c r="M23" s="10"/>
      <c r="N23" s="14">
        <f>(L23/C23)^(1/10)-1</f>
        <v>6.9094522282544757E-2</v>
      </c>
      <c r="Z23" s="19" t="s">
        <v>80</v>
      </c>
      <c r="AA23" s="21">
        <f>AA12</f>
        <v>36.070934028682032</v>
      </c>
      <c r="AB23" s="21">
        <f>AB12</f>
        <v>40.741616517759269</v>
      </c>
    </row>
    <row r="24" spans="1:29" x14ac:dyDescent="0.3">
      <c r="Z24" s="19" t="s">
        <v>81</v>
      </c>
      <c r="AA24" s="23">
        <f>AA18</f>
        <v>42.135328611918368</v>
      </c>
      <c r="AB24" s="23">
        <f>AB18</f>
        <v>46.520807456942777</v>
      </c>
    </row>
    <row r="25" spans="1:29" x14ac:dyDescent="0.3">
      <c r="A25" t="s">
        <v>16</v>
      </c>
      <c r="C25" s="11">
        <f>C23/C8</f>
        <v>10.503149200219417</v>
      </c>
      <c r="D25" s="11">
        <f t="shared" ref="D25:L25" si="10">D23/D8</f>
        <v>11.924978737566569</v>
      </c>
      <c r="E25" s="11">
        <f t="shared" si="10"/>
        <v>13.018792545004564</v>
      </c>
      <c r="F25" s="11">
        <f t="shared" si="10"/>
        <v>15.42005536054247</v>
      </c>
      <c r="G25" s="11">
        <f t="shared" si="10"/>
        <v>16.941792652511808</v>
      </c>
      <c r="H25" s="11">
        <f t="shared" si="10"/>
        <v>20.626511962580885</v>
      </c>
      <c r="I25" s="11">
        <f t="shared" si="10"/>
        <v>19.339484733761477</v>
      </c>
      <c r="J25" s="11">
        <f t="shared" si="10"/>
        <v>19.90811920661951</v>
      </c>
      <c r="K25" s="11">
        <f t="shared" si="10"/>
        <v>22.443254225742901</v>
      </c>
      <c r="L25" s="11">
        <f t="shared" si="10"/>
        <v>22.230947103883221</v>
      </c>
      <c r="M25" s="11"/>
      <c r="N25" s="15">
        <f>AVERAGE(C25:L25)</f>
        <v>17.235708572843283</v>
      </c>
      <c r="Z25" s="19" t="s">
        <v>82</v>
      </c>
      <c r="AA25" s="24">
        <f>AVERAGE(AA23:AA24)</f>
        <v>39.1031313203002</v>
      </c>
      <c r="AB25" s="24">
        <f>AVERAGE(AB23:AB24)</f>
        <v>43.631211987351023</v>
      </c>
    </row>
    <row r="26" spans="1:29" x14ac:dyDescent="0.3">
      <c r="Z26" s="19" t="s">
        <v>83</v>
      </c>
      <c r="AA26" s="25">
        <f>(AA25/AB21)^(1/5)-1</f>
        <v>-8.8446765214956424E-2</v>
      </c>
      <c r="AB26" s="25">
        <f>(AB25/AB21)^(1/10)-1</f>
        <v>-3.4728258482178753E-2</v>
      </c>
    </row>
    <row r="27" spans="1:29" x14ac:dyDescent="0.3">
      <c r="A27" t="s">
        <v>17</v>
      </c>
      <c r="C27" s="11">
        <f>C13/C8</f>
        <v>1.278348091842332</v>
      </c>
      <c r="D27" s="11">
        <f t="shared" ref="D27:L27" si="11">D13/D8</f>
        <v>1.6532568619418271</v>
      </c>
      <c r="E27" s="11">
        <f t="shared" si="11"/>
        <v>1.9355528928449162</v>
      </c>
      <c r="F27" s="11">
        <f t="shared" si="11"/>
        <v>2.9055898298747431</v>
      </c>
      <c r="G27" s="11">
        <f t="shared" si="11"/>
        <v>3.179911911145155</v>
      </c>
      <c r="H27" s="11">
        <f t="shared" si="11"/>
        <v>3.8247365501941211</v>
      </c>
      <c r="I27" s="11">
        <f t="shared" si="11"/>
        <v>2.9672787653838641</v>
      </c>
      <c r="J27" s="11">
        <f t="shared" si="11"/>
        <v>2.7743428521526505</v>
      </c>
      <c r="K27" s="11">
        <f t="shared" si="11"/>
        <v>3.8555017563846956</v>
      </c>
      <c r="L27" s="11">
        <f t="shared" si="11"/>
        <v>3.3549319727891156</v>
      </c>
      <c r="M27" s="11"/>
      <c r="N27" s="15">
        <f>AVERAGE(C27:L27)</f>
        <v>2.7729451484553422</v>
      </c>
    </row>
    <row r="29" spans="1:29" x14ac:dyDescent="0.3">
      <c r="A29" t="s">
        <v>18</v>
      </c>
      <c r="C29" s="12">
        <v>10645</v>
      </c>
      <c r="D29" s="12">
        <v>10542</v>
      </c>
      <c r="E29" s="12">
        <v>10615</v>
      </c>
      <c r="F29" s="12">
        <v>10528</v>
      </c>
      <c r="G29" s="12">
        <v>8792</v>
      </c>
      <c r="H29" s="12">
        <v>7041</v>
      </c>
      <c r="I29" s="12">
        <v>7627</v>
      </c>
      <c r="J29" s="12">
        <v>10471</v>
      </c>
      <c r="K29" s="12">
        <v>9844</v>
      </c>
      <c r="L29" s="12">
        <v>12625</v>
      </c>
      <c r="M29" s="12"/>
      <c r="N29" s="14">
        <f>(L29/C29)^(1/10)-1</f>
        <v>1.7205201074658616E-2</v>
      </c>
    </row>
    <row r="31" spans="1:29" x14ac:dyDescent="0.3">
      <c r="A31" t="s">
        <v>19</v>
      </c>
      <c r="C31" s="12">
        <v>-2637</v>
      </c>
      <c r="D31" s="12">
        <v>-2439</v>
      </c>
      <c r="E31" s="12">
        <v>-2183</v>
      </c>
      <c r="F31" s="12">
        <v>-2468</v>
      </c>
      <c r="G31" s="12">
        <v>-2112</v>
      </c>
      <c r="H31" s="12">
        <v>-1642</v>
      </c>
      <c r="I31" s="12">
        <v>-1300</v>
      </c>
      <c r="J31" s="12">
        <v>-1076</v>
      </c>
      <c r="K31" s="12">
        <v>-988</v>
      </c>
      <c r="L31" s="12">
        <v>-1259</v>
      </c>
      <c r="M31" s="12"/>
    </row>
    <row r="33" spans="1:24" x14ac:dyDescent="0.3">
      <c r="A33" t="s">
        <v>20</v>
      </c>
      <c r="C33" s="12">
        <v>4218</v>
      </c>
      <c r="D33" s="12">
        <v>4711</v>
      </c>
      <c r="E33" s="12">
        <v>4712</v>
      </c>
      <c r="F33" s="12">
        <v>2696</v>
      </c>
      <c r="G33" s="12">
        <v>1666</v>
      </c>
      <c r="H33" s="12">
        <v>1055</v>
      </c>
      <c r="I33" s="12">
        <v>-2995</v>
      </c>
      <c r="J33" s="12">
        <v>-1841</v>
      </c>
      <c r="K33" s="12">
        <v>-1862</v>
      </c>
      <c r="L33" s="12">
        <v>228</v>
      </c>
      <c r="M33" s="12"/>
    </row>
    <row r="35" spans="1:24" x14ac:dyDescent="0.3">
      <c r="A35" t="s">
        <v>21</v>
      </c>
      <c r="C35" s="12">
        <f t="shared" ref="C35:K35" si="12">C29+C31+C33</f>
        <v>12226</v>
      </c>
      <c r="D35" s="12">
        <f t="shared" si="12"/>
        <v>12814</v>
      </c>
      <c r="E35" s="12">
        <f t="shared" si="12"/>
        <v>13144</v>
      </c>
      <c r="F35" s="12">
        <f t="shared" si="12"/>
        <v>10756</v>
      </c>
      <c r="G35" s="12">
        <f t="shared" si="12"/>
        <v>8346</v>
      </c>
      <c r="H35" s="12">
        <f t="shared" si="12"/>
        <v>6454</v>
      </c>
      <c r="I35" s="12">
        <f t="shared" si="12"/>
        <v>3332</v>
      </c>
      <c r="J35" s="12">
        <f t="shared" si="12"/>
        <v>7554</v>
      </c>
      <c r="K35" s="12">
        <f t="shared" si="12"/>
        <v>6994</v>
      </c>
      <c r="L35" s="12">
        <f>L29+L31+L33</f>
        <v>11594</v>
      </c>
      <c r="M35" s="12"/>
      <c r="N35" s="14">
        <f>(L35/C35)^(1/10)-1</f>
        <v>-5.2936498598218362E-3</v>
      </c>
    </row>
    <row r="37" spans="1:24" x14ac:dyDescent="0.3">
      <c r="A37" t="s">
        <v>22</v>
      </c>
      <c r="C37" s="9">
        <f t="shared" ref="C37:K37" si="13">C35/C19</f>
        <v>2.6671029668411865</v>
      </c>
      <c r="D37" s="9">
        <f t="shared" si="13"/>
        <v>2.8418718119316924</v>
      </c>
      <c r="E37" s="9">
        <f t="shared" si="13"/>
        <v>2.9537078651685391</v>
      </c>
      <c r="F37" s="9">
        <f t="shared" si="13"/>
        <v>2.4417707150964811</v>
      </c>
      <c r="G37" s="9">
        <f t="shared" si="13"/>
        <v>1.9111518204717197</v>
      </c>
      <c r="H37" s="9">
        <f t="shared" si="13"/>
        <v>1.4925994449583719</v>
      </c>
      <c r="I37" s="9">
        <f t="shared" si="13"/>
        <v>0.77506396836473601</v>
      </c>
      <c r="J37" s="9">
        <f t="shared" si="13"/>
        <v>1.7510431154381085</v>
      </c>
      <c r="K37" s="9">
        <f t="shared" si="13"/>
        <v>1.6178579690030073</v>
      </c>
      <c r="L37" s="9">
        <f>L35/L19</f>
        <v>2.6714285714285713</v>
      </c>
      <c r="M37" s="9"/>
      <c r="N37" s="14">
        <f>(L37/C37)^(1/10)-1</f>
        <v>1.6206539229024486E-4</v>
      </c>
      <c r="O37" s="18">
        <f>L37*(1+O38)</f>
        <v>2.7248571428571426</v>
      </c>
      <c r="P37" s="18">
        <f>O37*(1+P38)</f>
        <v>2.7793542857142857</v>
      </c>
      <c r="Q37" s="18">
        <f t="shared" ref="Q37" si="14">P37*(1+Q38)</f>
        <v>2.8349413714285716</v>
      </c>
      <c r="R37" s="18">
        <f t="shared" ref="R37" si="15">Q37*(1+R38)</f>
        <v>2.891640198857143</v>
      </c>
      <c r="S37" s="18">
        <f t="shared" ref="S37" si="16">R37*(1+S38)</f>
        <v>2.9494730028342859</v>
      </c>
      <c r="T37" s="18">
        <f t="shared" ref="T37" si="17">S37*(1+T38)</f>
        <v>3.0084624628909715</v>
      </c>
      <c r="U37" s="18">
        <f t="shared" ref="U37" si="18">T37*(1+U38)</f>
        <v>3.0686317121487909</v>
      </c>
      <c r="V37" s="18">
        <f t="shared" ref="V37" si="19">U37*(1+V38)</f>
        <v>3.1300043463917668</v>
      </c>
      <c r="W37" s="18">
        <f t="shared" ref="W37" si="20">V37*(1+W38)</f>
        <v>3.1926044333196022</v>
      </c>
      <c r="X37" s="18">
        <f t="shared" ref="X37" si="21">W37*(1+X38)</f>
        <v>3.2564565219859944</v>
      </c>
    </row>
    <row r="38" spans="1:24" x14ac:dyDescent="0.3">
      <c r="O38" s="17">
        <v>0.02</v>
      </c>
      <c r="P38" s="17">
        <v>0.02</v>
      </c>
      <c r="Q38" s="17">
        <v>0.02</v>
      </c>
      <c r="R38" s="17">
        <v>0.02</v>
      </c>
      <c r="S38" s="17">
        <v>0.02</v>
      </c>
      <c r="T38" s="17">
        <v>0.02</v>
      </c>
      <c r="U38" s="17">
        <v>0.02</v>
      </c>
      <c r="V38" s="17">
        <v>0.02</v>
      </c>
      <c r="W38" s="17">
        <v>0.02</v>
      </c>
      <c r="X38" s="17">
        <v>0.02</v>
      </c>
    </row>
    <row r="39" spans="1:24" x14ac:dyDescent="0.3">
      <c r="A39" t="s">
        <v>23</v>
      </c>
      <c r="C39" s="9">
        <v>26.774582666666664</v>
      </c>
      <c r="D39" s="9">
        <v>29.291054666666664</v>
      </c>
      <c r="E39" s="9">
        <v>31.134510583333327</v>
      </c>
      <c r="F39" s="9">
        <v>32.281896083333336</v>
      </c>
      <c r="G39" s="9">
        <v>35.109705166666664</v>
      </c>
      <c r="H39" s="9">
        <v>37.192415666666669</v>
      </c>
      <c r="I39" s="9">
        <v>39.461187416666668</v>
      </c>
      <c r="J39" s="9">
        <v>45.819627500000003</v>
      </c>
      <c r="K39" s="9">
        <v>45.698773249999995</v>
      </c>
      <c r="L39" s="9">
        <v>51.434087083333338</v>
      </c>
      <c r="M39" s="9"/>
      <c r="N39" s="14">
        <f>(L39/C39)^(1/10)-1</f>
        <v>6.7463004800312865E-2</v>
      </c>
    </row>
    <row r="41" spans="1:24" x14ac:dyDescent="0.3">
      <c r="A41" t="s">
        <v>24</v>
      </c>
      <c r="C41" s="5">
        <f>C37/C39</f>
        <v>9.9613241410542258E-2</v>
      </c>
      <c r="D41" s="5">
        <f t="shared" ref="D41:L41" si="22">D37/D39</f>
        <v>9.7021832920401938E-2</v>
      </c>
      <c r="E41" s="5">
        <f t="shared" si="22"/>
        <v>9.4869256327725734E-2</v>
      </c>
      <c r="F41" s="5">
        <f t="shared" si="22"/>
        <v>7.5639011686092716E-2</v>
      </c>
      <c r="G41" s="5">
        <f t="shared" si="22"/>
        <v>5.4433718864896001E-2</v>
      </c>
      <c r="H41" s="5">
        <f t="shared" si="22"/>
        <v>4.0131823066714631E-2</v>
      </c>
      <c r="I41" s="5">
        <f t="shared" si="22"/>
        <v>1.9641171974398904E-2</v>
      </c>
      <c r="J41" s="5">
        <f t="shared" si="22"/>
        <v>3.8216005039283837E-2</v>
      </c>
      <c r="K41" s="5">
        <f t="shared" si="22"/>
        <v>3.5402656437894808E-2</v>
      </c>
      <c r="L41" s="5">
        <f t="shared" si="22"/>
        <v>5.1938874060315908E-2</v>
      </c>
      <c r="M41" s="5"/>
      <c r="N41" s="14">
        <f>AVERAGE(C41:L41)</f>
        <v>6.0690759178826673E-2</v>
      </c>
    </row>
  </sheetData>
  <mergeCells count="8">
    <mergeCell ref="AA17:AB17"/>
    <mergeCell ref="Z20:AB20"/>
    <mergeCell ref="Z3:AB3"/>
    <mergeCell ref="AA6:AB6"/>
    <mergeCell ref="AA8:AB8"/>
    <mergeCell ref="AA9:AB9"/>
    <mergeCell ref="AA11:AB11"/>
    <mergeCell ref="Z14:AB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89173E-BAED-4123-A55E-29D24599CB4A}">
  <dimension ref="A3:M43"/>
  <sheetViews>
    <sheetView topLeftCell="A18" workbookViewId="0">
      <selection activeCell="D31" sqref="D31:M31"/>
    </sheetView>
  </sheetViews>
  <sheetFormatPr defaultRowHeight="14.4" x14ac:dyDescent="0.3"/>
  <cols>
    <col min="1" max="1" width="13.109375" bestFit="1" customWidth="1"/>
    <col min="2" max="2" width="19.5546875" bestFit="1" customWidth="1"/>
    <col min="4" max="4" width="11" bestFit="1" customWidth="1"/>
  </cols>
  <sheetData>
    <row r="3" spans="1:2" x14ac:dyDescent="0.3">
      <c r="A3" s="7" t="s">
        <v>27</v>
      </c>
      <c r="B3" t="s">
        <v>68</v>
      </c>
    </row>
    <row r="4" spans="1:2" x14ac:dyDescent="0.3">
      <c r="A4" s="8" t="s">
        <v>29</v>
      </c>
      <c r="B4">
        <v>0.60457174999999996</v>
      </c>
    </row>
    <row r="5" spans="1:2" x14ac:dyDescent="0.3">
      <c r="A5" s="8" t="s">
        <v>30</v>
      </c>
      <c r="B5">
        <v>0.95829699999999995</v>
      </c>
    </row>
    <row r="6" spans="1:2" x14ac:dyDescent="0.3">
      <c r="A6" s="8" t="s">
        <v>31</v>
      </c>
      <c r="B6">
        <v>1.1918080833333333</v>
      </c>
    </row>
    <row r="7" spans="1:2" x14ac:dyDescent="0.3">
      <c r="A7" s="8" t="s">
        <v>32</v>
      </c>
      <c r="B7">
        <v>1.1226404166666666</v>
      </c>
    </row>
    <row r="8" spans="1:2" x14ac:dyDescent="0.3">
      <c r="A8" s="8" t="s">
        <v>33</v>
      </c>
      <c r="B8">
        <v>1.7794949166666665</v>
      </c>
    </row>
    <row r="9" spans="1:2" x14ac:dyDescent="0.3">
      <c r="A9" s="8" t="s">
        <v>34</v>
      </c>
      <c r="B9">
        <v>2.4421211666666665</v>
      </c>
    </row>
    <row r="10" spans="1:2" x14ac:dyDescent="0.3">
      <c r="A10" s="8" t="s">
        <v>35</v>
      </c>
      <c r="B10">
        <v>3.6179739166666671</v>
      </c>
    </row>
    <row r="11" spans="1:2" x14ac:dyDescent="0.3">
      <c r="A11" s="8" t="s">
        <v>36</v>
      </c>
      <c r="B11">
        <v>4.9858337499999994</v>
      </c>
    </row>
    <row r="12" spans="1:2" x14ac:dyDescent="0.3">
      <c r="A12" s="8" t="s">
        <v>37</v>
      </c>
      <c r="B12">
        <v>5.2274885000000006</v>
      </c>
    </row>
    <row r="13" spans="1:2" x14ac:dyDescent="0.3">
      <c r="A13" s="8" t="s">
        <v>38</v>
      </c>
      <c r="B13">
        <v>5.6178704166666664</v>
      </c>
    </row>
    <row r="14" spans="1:2" x14ac:dyDescent="0.3">
      <c r="A14" s="8" t="s">
        <v>39</v>
      </c>
      <c r="B14">
        <v>8.1394870833333339</v>
      </c>
    </row>
    <row r="15" spans="1:2" x14ac:dyDescent="0.3">
      <c r="A15" s="8" t="s">
        <v>40</v>
      </c>
      <c r="B15">
        <v>11.954913416666665</v>
      </c>
    </row>
    <row r="16" spans="1:2" x14ac:dyDescent="0.3">
      <c r="A16" s="8" t="s">
        <v>41</v>
      </c>
      <c r="B16">
        <v>16.199995250000001</v>
      </c>
    </row>
    <row r="17" spans="1:13" x14ac:dyDescent="0.3">
      <c r="A17" s="8" t="s">
        <v>42</v>
      </c>
      <c r="B17">
        <v>18.751627666666668</v>
      </c>
    </row>
    <row r="18" spans="1:13" x14ac:dyDescent="0.3">
      <c r="A18" s="8" t="s">
        <v>43</v>
      </c>
      <c r="B18">
        <v>16.36495025</v>
      </c>
    </row>
    <row r="19" spans="1:13" x14ac:dyDescent="0.3">
      <c r="A19" s="8" t="s">
        <v>44</v>
      </c>
      <c r="B19">
        <v>14.817983416666664</v>
      </c>
    </row>
    <row r="20" spans="1:13" x14ac:dyDescent="0.3">
      <c r="A20" s="8" t="s">
        <v>45</v>
      </c>
      <c r="B20">
        <v>13.040695333333334</v>
      </c>
    </row>
    <row r="21" spans="1:13" x14ac:dyDescent="0.3">
      <c r="A21" s="8" t="s">
        <v>46</v>
      </c>
      <c r="B21">
        <v>13.665275416666665</v>
      </c>
    </row>
    <row r="22" spans="1:13" x14ac:dyDescent="0.3">
      <c r="A22" s="8" t="s">
        <v>47</v>
      </c>
      <c r="B22">
        <v>12.365546583333332</v>
      </c>
    </row>
    <row r="23" spans="1:13" x14ac:dyDescent="0.3">
      <c r="A23" s="8" t="s">
        <v>48</v>
      </c>
      <c r="B23">
        <v>13.163923166666669</v>
      </c>
    </row>
    <row r="24" spans="1:13" x14ac:dyDescent="0.3">
      <c r="A24" s="8" t="s">
        <v>49</v>
      </c>
      <c r="B24">
        <v>12.523463166666666</v>
      </c>
    </row>
    <row r="25" spans="1:13" x14ac:dyDescent="0.3">
      <c r="A25" s="8" t="s">
        <v>50</v>
      </c>
      <c r="B25">
        <v>13.311099250000003</v>
      </c>
    </row>
    <row r="26" spans="1:13" x14ac:dyDescent="0.3">
      <c r="A26" s="8" t="s">
        <v>51</v>
      </c>
      <c r="B26">
        <v>16.747724583333333</v>
      </c>
    </row>
    <row r="27" spans="1:13" x14ac:dyDescent="0.3">
      <c r="A27" s="8" t="s">
        <v>52</v>
      </c>
      <c r="B27">
        <v>16.896424833333331</v>
      </c>
    </row>
    <row r="28" spans="1:13" x14ac:dyDescent="0.3">
      <c r="A28" s="8" t="s">
        <v>53</v>
      </c>
      <c r="B28">
        <v>16.081965583333332</v>
      </c>
    </row>
    <row r="29" spans="1:13" x14ac:dyDescent="0.3">
      <c r="A29" s="8" t="s">
        <v>54</v>
      </c>
      <c r="B29">
        <v>19.121827916666664</v>
      </c>
    </row>
    <row r="30" spans="1:13" x14ac:dyDescent="0.3">
      <c r="A30" s="8" t="s">
        <v>55</v>
      </c>
      <c r="B30">
        <v>23.45296591666667</v>
      </c>
    </row>
    <row r="31" spans="1:13" x14ac:dyDescent="0.3">
      <c r="A31" s="8" t="s">
        <v>56</v>
      </c>
      <c r="B31">
        <v>26.774582666666664</v>
      </c>
      <c r="D31" cm="1">
        <f t="array" ref="D31:M31">TRANSPOSE(B31:B40)</f>
        <v>26.774582666666664</v>
      </c>
      <c r="E31">
        <v>29.291054666666664</v>
      </c>
      <c r="F31">
        <v>31.134510583333327</v>
      </c>
      <c r="G31">
        <v>32.281896083333336</v>
      </c>
      <c r="H31">
        <v>35.109705166666664</v>
      </c>
      <c r="I31">
        <v>37.192415666666669</v>
      </c>
      <c r="J31">
        <v>39.461187416666668</v>
      </c>
      <c r="K31">
        <v>45.819627500000003</v>
      </c>
      <c r="L31">
        <v>45.698773249999995</v>
      </c>
      <c r="M31">
        <v>51.434087083333338</v>
      </c>
    </row>
    <row r="32" spans="1:13" x14ac:dyDescent="0.3">
      <c r="A32" s="8" t="s">
        <v>57</v>
      </c>
      <c r="B32">
        <v>29.291054666666664</v>
      </c>
    </row>
    <row r="33" spans="1:2" x14ac:dyDescent="0.3">
      <c r="A33" s="8" t="s">
        <v>58</v>
      </c>
      <c r="B33">
        <v>31.134510583333327</v>
      </c>
    </row>
    <row r="34" spans="1:2" x14ac:dyDescent="0.3">
      <c r="A34" s="8" t="s">
        <v>59</v>
      </c>
      <c r="B34">
        <v>32.281896083333336</v>
      </c>
    </row>
    <row r="35" spans="1:2" x14ac:dyDescent="0.3">
      <c r="A35" s="8" t="s">
        <v>60</v>
      </c>
      <c r="B35">
        <v>35.109705166666664</v>
      </c>
    </row>
    <row r="36" spans="1:2" x14ac:dyDescent="0.3">
      <c r="A36" s="8" t="s">
        <v>61</v>
      </c>
      <c r="B36">
        <v>37.192415666666669</v>
      </c>
    </row>
    <row r="37" spans="1:2" x14ac:dyDescent="0.3">
      <c r="A37" s="8" t="s">
        <v>62</v>
      </c>
      <c r="B37">
        <v>39.461187416666668</v>
      </c>
    </row>
    <row r="38" spans="1:2" x14ac:dyDescent="0.3">
      <c r="A38" s="8" t="s">
        <v>63</v>
      </c>
      <c r="B38">
        <v>45.819627500000003</v>
      </c>
    </row>
    <row r="39" spans="1:2" x14ac:dyDescent="0.3">
      <c r="A39" s="8" t="s">
        <v>64</v>
      </c>
      <c r="B39">
        <v>45.698773249999995</v>
      </c>
    </row>
    <row r="40" spans="1:2" x14ac:dyDescent="0.3">
      <c r="A40" s="8" t="s">
        <v>65</v>
      </c>
      <c r="B40">
        <v>51.434087083333338</v>
      </c>
    </row>
    <row r="41" spans="1:2" x14ac:dyDescent="0.3">
      <c r="A41" s="8" t="s">
        <v>66</v>
      </c>
      <c r="B41">
        <v>61.022736000000009</v>
      </c>
    </row>
    <row r="42" spans="1:2" x14ac:dyDescent="0.3">
      <c r="A42" s="8" t="s">
        <v>67</v>
      </c>
      <c r="B42">
        <v>61.43</v>
      </c>
    </row>
    <row r="43" spans="1:2" x14ac:dyDescent="0.3">
      <c r="A43" s="8" t="s">
        <v>28</v>
      </c>
      <c r="B43">
        <v>19.11633741921397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C33E8-CBA8-403E-9E89-B6CC30745594}">
  <dimension ref="A1:B459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2</v>
      </c>
      <c r="B1" t="s">
        <v>26</v>
      </c>
    </row>
    <row r="2" spans="1:2" x14ac:dyDescent="0.3">
      <c r="A2" s="6">
        <v>31048</v>
      </c>
      <c r="B2">
        <v>0.50140899999999999</v>
      </c>
    </row>
    <row r="3" spans="1:2" x14ac:dyDescent="0.3">
      <c r="A3" s="6">
        <v>31079</v>
      </c>
      <c r="B3">
        <v>0.53065700000000005</v>
      </c>
    </row>
    <row r="4" spans="1:2" x14ac:dyDescent="0.3">
      <c r="A4" s="6">
        <v>31107</v>
      </c>
      <c r="B4">
        <v>0.58497699999999997</v>
      </c>
    </row>
    <row r="5" spans="1:2" x14ac:dyDescent="0.3">
      <c r="A5" s="6">
        <v>31138</v>
      </c>
      <c r="B5">
        <v>0.57891999999999999</v>
      </c>
    </row>
    <row r="6" spans="1:2" x14ac:dyDescent="0.3">
      <c r="A6" s="6">
        <v>31168</v>
      </c>
      <c r="B6">
        <v>0.57363799999999998</v>
      </c>
    </row>
    <row r="7" spans="1:2" x14ac:dyDescent="0.3">
      <c r="A7" s="6">
        <v>31199</v>
      </c>
      <c r="B7">
        <v>0.58631599999999995</v>
      </c>
    </row>
    <row r="8" spans="1:2" x14ac:dyDescent="0.3">
      <c r="A8" s="6">
        <v>31229</v>
      </c>
      <c r="B8">
        <v>0.61725699999999994</v>
      </c>
    </row>
    <row r="9" spans="1:2" x14ac:dyDescent="0.3">
      <c r="A9" s="6">
        <v>31260</v>
      </c>
      <c r="B9">
        <v>0.61191799999999996</v>
      </c>
    </row>
    <row r="10" spans="1:2" x14ac:dyDescent="0.3">
      <c r="A10" s="6">
        <v>31291</v>
      </c>
      <c r="B10">
        <v>0.59589899999999996</v>
      </c>
    </row>
    <row r="11" spans="1:2" x14ac:dyDescent="0.3">
      <c r="A11" s="6">
        <v>31321</v>
      </c>
      <c r="B11">
        <v>0.61855099999999996</v>
      </c>
    </row>
    <row r="12" spans="1:2" x14ac:dyDescent="0.3">
      <c r="A12" s="6">
        <v>31352</v>
      </c>
      <c r="B12">
        <v>0.71894400000000003</v>
      </c>
    </row>
    <row r="13" spans="1:2" x14ac:dyDescent="0.3">
      <c r="A13" s="6">
        <v>31382</v>
      </c>
      <c r="B13">
        <v>0.736375</v>
      </c>
    </row>
    <row r="14" spans="1:2" x14ac:dyDescent="0.3">
      <c r="A14" s="6">
        <v>31413</v>
      </c>
      <c r="B14">
        <v>0.73092800000000002</v>
      </c>
    </row>
    <row r="15" spans="1:2" x14ac:dyDescent="0.3">
      <c r="A15" s="6">
        <v>31444</v>
      </c>
      <c r="B15">
        <v>0.83877000000000002</v>
      </c>
    </row>
    <row r="16" spans="1:2" x14ac:dyDescent="0.3">
      <c r="A16" s="6">
        <v>31472</v>
      </c>
      <c r="B16">
        <v>0.91720000000000002</v>
      </c>
    </row>
    <row r="17" spans="1:2" x14ac:dyDescent="0.3">
      <c r="A17" s="6">
        <v>31503</v>
      </c>
      <c r="B17">
        <v>0.97940300000000002</v>
      </c>
    </row>
    <row r="18" spans="1:2" x14ac:dyDescent="0.3">
      <c r="A18" s="6">
        <v>31533</v>
      </c>
      <c r="B18">
        <v>1.0189299999999999</v>
      </c>
    </row>
    <row r="19" spans="1:2" x14ac:dyDescent="0.3">
      <c r="A19" s="6">
        <v>31564</v>
      </c>
      <c r="B19">
        <v>1.102376</v>
      </c>
    </row>
    <row r="20" spans="1:2" x14ac:dyDescent="0.3">
      <c r="A20" s="6">
        <v>31594</v>
      </c>
      <c r="B20">
        <v>1.038111</v>
      </c>
    </row>
    <row r="21" spans="1:2" x14ac:dyDescent="0.3">
      <c r="A21" s="6">
        <v>31625</v>
      </c>
      <c r="B21">
        <v>1.0049440000000001</v>
      </c>
    </row>
    <row r="22" spans="1:2" x14ac:dyDescent="0.3">
      <c r="A22" s="6">
        <v>31656</v>
      </c>
      <c r="B22">
        <v>0.89881200000000006</v>
      </c>
    </row>
    <row r="23" spans="1:2" x14ac:dyDescent="0.3">
      <c r="A23" s="6">
        <v>31686</v>
      </c>
      <c r="B23">
        <v>0.97870199999999996</v>
      </c>
    </row>
    <row r="24" spans="1:2" x14ac:dyDescent="0.3">
      <c r="A24" s="6">
        <v>31717</v>
      </c>
      <c r="B24">
        <v>0.97536100000000003</v>
      </c>
    </row>
    <row r="25" spans="1:2" x14ac:dyDescent="0.3">
      <c r="A25" s="6">
        <v>31747</v>
      </c>
      <c r="B25">
        <v>1.016027</v>
      </c>
    </row>
    <row r="26" spans="1:2" x14ac:dyDescent="0.3">
      <c r="A26" s="6">
        <v>31778</v>
      </c>
      <c r="B26">
        <v>1.1472359999999999</v>
      </c>
    </row>
    <row r="27" spans="1:2" x14ac:dyDescent="0.3">
      <c r="A27" s="6">
        <v>31809</v>
      </c>
      <c r="B27">
        <v>1.2077929999999999</v>
      </c>
    </row>
    <row r="28" spans="1:2" x14ac:dyDescent="0.3">
      <c r="A28" s="6">
        <v>31837</v>
      </c>
      <c r="B28">
        <v>1.231344</v>
      </c>
    </row>
    <row r="29" spans="1:2" x14ac:dyDescent="0.3">
      <c r="A29" s="6">
        <v>31868</v>
      </c>
      <c r="B29">
        <v>1.154399</v>
      </c>
    </row>
    <row r="30" spans="1:2" x14ac:dyDescent="0.3">
      <c r="A30" s="6">
        <v>31898</v>
      </c>
      <c r="B30">
        <v>1.1611689999999999</v>
      </c>
    </row>
    <row r="31" spans="1:2" x14ac:dyDescent="0.3">
      <c r="A31" s="6">
        <v>31929</v>
      </c>
      <c r="B31">
        <v>1.2051780000000001</v>
      </c>
    </row>
    <row r="32" spans="1:2" x14ac:dyDescent="0.3">
      <c r="A32" s="6">
        <v>31959</v>
      </c>
      <c r="B32">
        <v>1.298168</v>
      </c>
    </row>
    <row r="33" spans="1:2" x14ac:dyDescent="0.3">
      <c r="A33" s="6">
        <v>31990</v>
      </c>
      <c r="B33">
        <v>1.379942</v>
      </c>
    </row>
    <row r="34" spans="1:2" x14ac:dyDescent="0.3">
      <c r="A34" s="6">
        <v>32021</v>
      </c>
      <c r="B34">
        <v>1.318611</v>
      </c>
    </row>
    <row r="35" spans="1:2" x14ac:dyDescent="0.3">
      <c r="A35" s="6">
        <v>32051</v>
      </c>
      <c r="B35">
        <v>1.1308260000000001</v>
      </c>
    </row>
    <row r="36" spans="1:2" x14ac:dyDescent="0.3">
      <c r="A36" s="6">
        <v>32082</v>
      </c>
      <c r="B36">
        <v>1.014316</v>
      </c>
    </row>
    <row r="37" spans="1:2" x14ac:dyDescent="0.3">
      <c r="A37" s="6">
        <v>32112</v>
      </c>
      <c r="B37">
        <v>1.0527150000000001</v>
      </c>
    </row>
    <row r="38" spans="1:2" x14ac:dyDescent="0.3">
      <c r="A38" s="6">
        <v>32143</v>
      </c>
      <c r="B38">
        <v>1.0389090000000001</v>
      </c>
    </row>
    <row r="39" spans="1:2" x14ac:dyDescent="0.3">
      <c r="A39" s="6">
        <v>32174</v>
      </c>
      <c r="B39">
        <v>1.032006</v>
      </c>
    </row>
    <row r="40" spans="1:2" x14ac:dyDescent="0.3">
      <c r="A40" s="6">
        <v>32203</v>
      </c>
      <c r="B40">
        <v>1.0561670000000001</v>
      </c>
    </row>
    <row r="41" spans="1:2" x14ac:dyDescent="0.3">
      <c r="A41" s="6">
        <v>32234</v>
      </c>
      <c r="B41">
        <v>1.064462</v>
      </c>
    </row>
    <row r="42" spans="1:2" x14ac:dyDescent="0.3">
      <c r="A42" s="6">
        <v>32264</v>
      </c>
      <c r="B42">
        <v>1.057504</v>
      </c>
    </row>
    <row r="43" spans="1:2" x14ac:dyDescent="0.3">
      <c r="A43" s="6">
        <v>32295</v>
      </c>
      <c r="B43">
        <v>1.0853330000000001</v>
      </c>
    </row>
    <row r="44" spans="1:2" x14ac:dyDescent="0.3">
      <c r="A44" s="6">
        <v>32325</v>
      </c>
      <c r="B44">
        <v>1.076166</v>
      </c>
    </row>
    <row r="45" spans="1:2" x14ac:dyDescent="0.3">
      <c r="A45" s="6">
        <v>32356</v>
      </c>
      <c r="B45">
        <v>1.1217360000000001</v>
      </c>
    </row>
    <row r="46" spans="1:2" x14ac:dyDescent="0.3">
      <c r="A46" s="6">
        <v>32387</v>
      </c>
      <c r="B46">
        <v>1.226899</v>
      </c>
    </row>
    <row r="47" spans="1:2" x14ac:dyDescent="0.3">
      <c r="A47" s="6">
        <v>32417</v>
      </c>
      <c r="B47">
        <v>1.218072</v>
      </c>
    </row>
    <row r="48" spans="1:2" x14ac:dyDescent="0.3">
      <c r="A48" s="6">
        <v>32448</v>
      </c>
      <c r="B48">
        <v>1.2251339999999999</v>
      </c>
    </row>
    <row r="49" spans="1:2" x14ac:dyDescent="0.3">
      <c r="A49" s="6">
        <v>32478</v>
      </c>
      <c r="B49">
        <v>1.2692969999999999</v>
      </c>
    </row>
    <row r="50" spans="1:2" x14ac:dyDescent="0.3">
      <c r="A50" s="6">
        <v>32509</v>
      </c>
      <c r="B50">
        <v>1.3297380000000001</v>
      </c>
    </row>
    <row r="51" spans="1:2" x14ac:dyDescent="0.3">
      <c r="A51" s="6">
        <v>32540</v>
      </c>
      <c r="B51">
        <v>1.358182</v>
      </c>
    </row>
    <row r="52" spans="1:2" x14ac:dyDescent="0.3">
      <c r="A52" s="6">
        <v>32568</v>
      </c>
      <c r="B52">
        <v>1.4577340000000001</v>
      </c>
    </row>
    <row r="53" spans="1:2" x14ac:dyDescent="0.3">
      <c r="A53" s="6">
        <v>32599</v>
      </c>
      <c r="B53">
        <v>1.5536840000000001</v>
      </c>
    </row>
    <row r="54" spans="1:2" x14ac:dyDescent="0.3">
      <c r="A54" s="6">
        <v>32629</v>
      </c>
      <c r="B54">
        <v>1.653921</v>
      </c>
    </row>
    <row r="55" spans="1:2" x14ac:dyDescent="0.3">
      <c r="A55" s="6">
        <v>32660</v>
      </c>
      <c r="B55">
        <v>1.614541</v>
      </c>
    </row>
    <row r="56" spans="1:2" x14ac:dyDescent="0.3">
      <c r="A56" s="6">
        <v>32690</v>
      </c>
      <c r="B56">
        <v>1.959057</v>
      </c>
    </row>
    <row r="57" spans="1:2" x14ac:dyDescent="0.3">
      <c r="A57" s="6">
        <v>32721</v>
      </c>
      <c r="B57">
        <v>1.9158440000000001</v>
      </c>
    </row>
    <row r="58" spans="1:2" x14ac:dyDescent="0.3">
      <c r="A58" s="6">
        <v>32752</v>
      </c>
      <c r="B58">
        <v>1.930248</v>
      </c>
    </row>
    <row r="59" spans="1:2" x14ac:dyDescent="0.3">
      <c r="A59" s="6">
        <v>32782</v>
      </c>
      <c r="B59">
        <v>2.096279</v>
      </c>
    </row>
    <row r="60" spans="1:2" x14ac:dyDescent="0.3">
      <c r="A60" s="6">
        <v>32813</v>
      </c>
      <c r="B60">
        <v>2.2374809999999998</v>
      </c>
    </row>
    <row r="61" spans="1:2" x14ac:dyDescent="0.3">
      <c r="A61" s="6">
        <v>32843</v>
      </c>
      <c r="B61">
        <v>2.2472300000000001</v>
      </c>
    </row>
    <row r="62" spans="1:2" x14ac:dyDescent="0.3">
      <c r="A62" s="6">
        <v>32874</v>
      </c>
      <c r="B62">
        <v>2.0035980000000002</v>
      </c>
    </row>
    <row r="63" spans="1:2" x14ac:dyDescent="0.3">
      <c r="A63" s="6">
        <v>32905</v>
      </c>
      <c r="B63">
        <v>2.0508700000000002</v>
      </c>
    </row>
    <row r="64" spans="1:2" x14ac:dyDescent="0.3">
      <c r="A64" s="6">
        <v>32933</v>
      </c>
      <c r="B64">
        <v>2.1745030000000001</v>
      </c>
    </row>
    <row r="65" spans="1:2" x14ac:dyDescent="0.3">
      <c r="A65" s="6">
        <v>32964</v>
      </c>
      <c r="B65">
        <v>2.2304659999999998</v>
      </c>
    </row>
    <row r="66" spans="1:2" x14ac:dyDescent="0.3">
      <c r="A66" s="6">
        <v>32994</v>
      </c>
      <c r="B66">
        <v>2.6399949999999999</v>
      </c>
    </row>
    <row r="67" spans="1:2" x14ac:dyDescent="0.3">
      <c r="A67" s="6">
        <v>33025</v>
      </c>
      <c r="B67">
        <v>2.596117</v>
      </c>
    </row>
    <row r="68" spans="1:2" x14ac:dyDescent="0.3">
      <c r="A68" s="6">
        <v>33055</v>
      </c>
      <c r="B68">
        <v>2.6666729999999998</v>
      </c>
    </row>
    <row r="69" spans="1:2" x14ac:dyDescent="0.3">
      <c r="A69" s="6">
        <v>33086</v>
      </c>
      <c r="B69">
        <v>2.4830190000000001</v>
      </c>
    </row>
    <row r="70" spans="1:2" x14ac:dyDescent="0.3">
      <c r="A70" s="6">
        <v>33117</v>
      </c>
      <c r="B70">
        <v>2.3214009999999998</v>
      </c>
    </row>
    <row r="71" spans="1:2" x14ac:dyDescent="0.3">
      <c r="A71" s="6">
        <v>33147</v>
      </c>
      <c r="B71">
        <v>2.6498680000000001</v>
      </c>
    </row>
    <row r="72" spans="1:2" x14ac:dyDescent="0.3">
      <c r="A72" s="6">
        <v>33178</v>
      </c>
      <c r="B72">
        <v>2.7310620000000001</v>
      </c>
    </row>
    <row r="73" spans="1:2" x14ac:dyDescent="0.3">
      <c r="A73" s="6">
        <v>33208</v>
      </c>
      <c r="B73">
        <v>2.7578819999999999</v>
      </c>
    </row>
    <row r="74" spans="1:2" x14ac:dyDescent="0.3">
      <c r="A74" s="6">
        <v>33239</v>
      </c>
      <c r="B74">
        <v>2.8913289999999998</v>
      </c>
    </row>
    <row r="75" spans="1:2" x14ac:dyDescent="0.3">
      <c r="A75" s="6">
        <v>33270</v>
      </c>
      <c r="B75">
        <v>3.1063230000000002</v>
      </c>
    </row>
    <row r="76" spans="1:2" x14ac:dyDescent="0.3">
      <c r="A76" s="6">
        <v>33298</v>
      </c>
      <c r="B76">
        <v>3.2175289999999999</v>
      </c>
    </row>
    <row r="77" spans="1:2" x14ac:dyDescent="0.3">
      <c r="A77" s="6">
        <v>33329</v>
      </c>
      <c r="B77">
        <v>3.1430020000000001</v>
      </c>
    </row>
    <row r="78" spans="1:2" x14ac:dyDescent="0.3">
      <c r="A78" s="6">
        <v>33359</v>
      </c>
      <c r="B78">
        <v>3.4111250000000002</v>
      </c>
    </row>
    <row r="79" spans="1:2" x14ac:dyDescent="0.3">
      <c r="A79" s="6">
        <v>33390</v>
      </c>
      <c r="B79">
        <v>3.2472720000000002</v>
      </c>
    </row>
    <row r="80" spans="1:2" x14ac:dyDescent="0.3">
      <c r="A80" s="6">
        <v>33420</v>
      </c>
      <c r="B80">
        <v>3.5981640000000001</v>
      </c>
    </row>
    <row r="81" spans="1:2" x14ac:dyDescent="0.3">
      <c r="A81" s="6">
        <v>33451</v>
      </c>
      <c r="B81">
        <v>3.9347880000000002</v>
      </c>
    </row>
    <row r="82" spans="1:2" x14ac:dyDescent="0.3">
      <c r="A82" s="6">
        <v>33482</v>
      </c>
      <c r="B82">
        <v>3.8599809999999999</v>
      </c>
    </row>
    <row r="83" spans="1:2" x14ac:dyDescent="0.3">
      <c r="A83" s="6">
        <v>33512</v>
      </c>
      <c r="B83">
        <v>4.0019030000000004</v>
      </c>
    </row>
    <row r="84" spans="1:2" x14ac:dyDescent="0.3">
      <c r="A84" s="6">
        <v>33543</v>
      </c>
      <c r="B84">
        <v>4.1670819999999997</v>
      </c>
    </row>
    <row r="85" spans="1:2" x14ac:dyDescent="0.3">
      <c r="A85" s="6">
        <v>33573</v>
      </c>
      <c r="B85">
        <v>4.8371890000000004</v>
      </c>
    </row>
    <row r="86" spans="1:2" x14ac:dyDescent="0.3">
      <c r="A86" s="6">
        <v>33604</v>
      </c>
      <c r="B86">
        <v>4.6714279999999997</v>
      </c>
    </row>
    <row r="87" spans="1:2" x14ac:dyDescent="0.3">
      <c r="A87" s="6">
        <v>33635</v>
      </c>
      <c r="B87">
        <v>4.9276020000000003</v>
      </c>
    </row>
    <row r="88" spans="1:2" x14ac:dyDescent="0.3">
      <c r="A88" s="6">
        <v>33664</v>
      </c>
      <c r="B88">
        <v>4.9276020000000003</v>
      </c>
    </row>
    <row r="89" spans="1:2" x14ac:dyDescent="0.3">
      <c r="A89" s="6">
        <v>33695</v>
      </c>
      <c r="B89">
        <v>5.0207709999999999</v>
      </c>
    </row>
    <row r="90" spans="1:2" x14ac:dyDescent="0.3">
      <c r="A90" s="6">
        <v>33725</v>
      </c>
      <c r="B90">
        <v>5.3232299999999997</v>
      </c>
    </row>
    <row r="91" spans="1:2" x14ac:dyDescent="0.3">
      <c r="A91" s="6">
        <v>33756</v>
      </c>
      <c r="B91">
        <v>4.8392980000000003</v>
      </c>
    </row>
    <row r="92" spans="1:2" x14ac:dyDescent="0.3">
      <c r="A92" s="6">
        <v>33786</v>
      </c>
      <c r="B92">
        <v>5.0824480000000003</v>
      </c>
    </row>
    <row r="93" spans="1:2" x14ac:dyDescent="0.3">
      <c r="A93" s="6">
        <v>33817</v>
      </c>
      <c r="B93">
        <v>5.2189969999999999</v>
      </c>
    </row>
    <row r="94" spans="1:2" x14ac:dyDescent="0.3">
      <c r="A94" s="6">
        <v>33848</v>
      </c>
      <c r="B94">
        <v>4.9155610000000003</v>
      </c>
    </row>
    <row r="95" spans="1:2" x14ac:dyDescent="0.3">
      <c r="A95" s="6">
        <v>33878</v>
      </c>
      <c r="B95">
        <v>4.9466089999999996</v>
      </c>
    </row>
    <row r="96" spans="1:2" x14ac:dyDescent="0.3">
      <c r="A96" s="6">
        <v>33909</v>
      </c>
      <c r="B96">
        <v>4.8400670000000003</v>
      </c>
    </row>
    <row r="97" spans="1:2" x14ac:dyDescent="0.3">
      <c r="A97" s="6">
        <v>33939</v>
      </c>
      <c r="B97">
        <v>5.1163920000000003</v>
      </c>
    </row>
    <row r="98" spans="1:2" x14ac:dyDescent="0.3">
      <c r="A98" s="6">
        <v>33970</v>
      </c>
      <c r="B98">
        <v>5.1774820000000004</v>
      </c>
    </row>
    <row r="99" spans="1:2" x14ac:dyDescent="0.3">
      <c r="A99" s="6">
        <v>34001</v>
      </c>
      <c r="B99">
        <v>5.1774820000000004</v>
      </c>
    </row>
    <row r="100" spans="1:2" x14ac:dyDescent="0.3">
      <c r="A100" s="6">
        <v>34029</v>
      </c>
      <c r="B100">
        <v>5.2080270000000004</v>
      </c>
    </row>
    <row r="101" spans="1:2" x14ac:dyDescent="0.3">
      <c r="A101" s="6">
        <v>34060</v>
      </c>
      <c r="B101">
        <v>4.829701</v>
      </c>
    </row>
    <row r="102" spans="1:2" x14ac:dyDescent="0.3">
      <c r="A102" s="6">
        <v>34090</v>
      </c>
      <c r="B102">
        <v>5.0903539999999996</v>
      </c>
    </row>
    <row r="103" spans="1:2" x14ac:dyDescent="0.3">
      <c r="A103" s="6">
        <v>34121</v>
      </c>
      <c r="B103">
        <v>5.274343</v>
      </c>
    </row>
    <row r="104" spans="1:2" x14ac:dyDescent="0.3">
      <c r="A104" s="6">
        <v>34151</v>
      </c>
      <c r="B104">
        <v>5.3272979999999999</v>
      </c>
    </row>
    <row r="105" spans="1:2" x14ac:dyDescent="0.3">
      <c r="A105" s="6">
        <v>34182</v>
      </c>
      <c r="B105">
        <v>5.3426960000000001</v>
      </c>
    </row>
    <row r="106" spans="1:2" x14ac:dyDescent="0.3">
      <c r="A106" s="6">
        <v>34213</v>
      </c>
      <c r="B106">
        <v>5.2041230000000001</v>
      </c>
    </row>
    <row r="107" spans="1:2" x14ac:dyDescent="0.3">
      <c r="A107" s="6">
        <v>34243</v>
      </c>
      <c r="B107">
        <v>5.3638399999999997</v>
      </c>
    </row>
    <row r="108" spans="1:2" x14ac:dyDescent="0.3">
      <c r="A108" s="6">
        <v>34274</v>
      </c>
      <c r="B108">
        <v>5.1938040000000001</v>
      </c>
    </row>
    <row r="109" spans="1:2" x14ac:dyDescent="0.3">
      <c r="A109" s="6">
        <v>34304</v>
      </c>
      <c r="B109">
        <v>5.5407120000000001</v>
      </c>
    </row>
    <row r="110" spans="1:2" x14ac:dyDescent="0.3">
      <c r="A110" s="6">
        <v>34335</v>
      </c>
      <c r="B110">
        <v>5.0751030000000004</v>
      </c>
    </row>
    <row r="111" spans="1:2" x14ac:dyDescent="0.3">
      <c r="A111" s="6">
        <v>34366</v>
      </c>
      <c r="B111">
        <v>5.2923879999999999</v>
      </c>
    </row>
    <row r="112" spans="1:2" x14ac:dyDescent="0.3">
      <c r="A112" s="6">
        <v>34394</v>
      </c>
      <c r="B112">
        <v>5.0440649999999998</v>
      </c>
    </row>
    <row r="113" spans="1:2" x14ac:dyDescent="0.3">
      <c r="A113" s="6">
        <v>34425</v>
      </c>
      <c r="B113">
        <v>5.2085160000000004</v>
      </c>
    </row>
    <row r="114" spans="1:2" x14ac:dyDescent="0.3">
      <c r="A114" s="6">
        <v>34455</v>
      </c>
      <c r="B114">
        <v>5.0213869999999998</v>
      </c>
    </row>
    <row r="115" spans="1:2" x14ac:dyDescent="0.3">
      <c r="A115" s="6">
        <v>34486</v>
      </c>
      <c r="B115">
        <v>5.0681700000000003</v>
      </c>
    </row>
    <row r="116" spans="1:2" x14ac:dyDescent="0.3">
      <c r="A116" s="6">
        <v>34516</v>
      </c>
      <c r="B116">
        <v>5.5619009999999998</v>
      </c>
    </row>
    <row r="117" spans="1:2" x14ac:dyDescent="0.3">
      <c r="A117" s="6">
        <v>34547</v>
      </c>
      <c r="B117">
        <v>5.7655760000000003</v>
      </c>
    </row>
    <row r="118" spans="1:2" x14ac:dyDescent="0.3">
      <c r="A118" s="6">
        <v>34578</v>
      </c>
      <c r="B118">
        <v>6.0945939999999998</v>
      </c>
    </row>
    <row r="119" spans="1:2" x14ac:dyDescent="0.3">
      <c r="A119" s="6">
        <v>34608</v>
      </c>
      <c r="B119">
        <v>6.3407410000000004</v>
      </c>
    </row>
    <row r="120" spans="1:2" x14ac:dyDescent="0.3">
      <c r="A120" s="6">
        <v>34639</v>
      </c>
      <c r="B120">
        <v>6.4351440000000002</v>
      </c>
    </row>
    <row r="121" spans="1:2" x14ac:dyDescent="0.3">
      <c r="A121" s="6">
        <v>34669</v>
      </c>
      <c r="B121">
        <v>6.5068599999999996</v>
      </c>
    </row>
    <row r="122" spans="1:2" x14ac:dyDescent="0.3">
      <c r="A122" s="6">
        <v>34700</v>
      </c>
      <c r="B122">
        <v>6.6332089999999999</v>
      </c>
    </row>
    <row r="123" spans="1:2" x14ac:dyDescent="0.3">
      <c r="A123" s="6">
        <v>34731</v>
      </c>
      <c r="B123">
        <v>6.9490749999999997</v>
      </c>
    </row>
    <row r="124" spans="1:2" x14ac:dyDescent="0.3">
      <c r="A124" s="6">
        <v>34759</v>
      </c>
      <c r="B124">
        <v>7.1228020000000001</v>
      </c>
    </row>
    <row r="125" spans="1:2" x14ac:dyDescent="0.3">
      <c r="A125" s="6">
        <v>34790</v>
      </c>
      <c r="B125">
        <v>7.3731369999999998</v>
      </c>
    </row>
    <row r="126" spans="1:2" x14ac:dyDescent="0.3">
      <c r="A126" s="6">
        <v>34820</v>
      </c>
      <c r="B126">
        <v>7.8171090000000003</v>
      </c>
    </row>
    <row r="127" spans="1:2" x14ac:dyDescent="0.3">
      <c r="A127" s="6">
        <v>34851</v>
      </c>
      <c r="B127">
        <v>8.0866670000000003</v>
      </c>
    </row>
    <row r="128" spans="1:2" x14ac:dyDescent="0.3">
      <c r="A128" s="6">
        <v>34881</v>
      </c>
      <c r="B128">
        <v>8.3550149999999999</v>
      </c>
    </row>
    <row r="129" spans="1:2" x14ac:dyDescent="0.3">
      <c r="A129" s="6">
        <v>34912</v>
      </c>
      <c r="B129">
        <v>8.1799610000000005</v>
      </c>
    </row>
    <row r="130" spans="1:2" x14ac:dyDescent="0.3">
      <c r="A130" s="6">
        <v>34943</v>
      </c>
      <c r="B130">
        <v>8.7847050000000007</v>
      </c>
    </row>
    <row r="131" spans="1:2" x14ac:dyDescent="0.3">
      <c r="A131" s="6">
        <v>34973</v>
      </c>
      <c r="B131">
        <v>9.1819869999999995</v>
      </c>
    </row>
    <row r="132" spans="1:2" x14ac:dyDescent="0.3">
      <c r="A132" s="6">
        <v>35004</v>
      </c>
      <c r="B132">
        <v>9.6770209999999999</v>
      </c>
    </row>
    <row r="133" spans="1:2" x14ac:dyDescent="0.3">
      <c r="A133" s="6">
        <v>35034</v>
      </c>
      <c r="B133">
        <v>9.5131569999999996</v>
      </c>
    </row>
    <row r="134" spans="1:2" x14ac:dyDescent="0.3">
      <c r="A134" s="6">
        <v>35065</v>
      </c>
      <c r="B134">
        <v>9.6572980000000008</v>
      </c>
    </row>
    <row r="135" spans="1:2" x14ac:dyDescent="0.3">
      <c r="A135" s="6">
        <v>35096</v>
      </c>
      <c r="B135">
        <v>10.345962999999999</v>
      </c>
    </row>
    <row r="136" spans="1:2" x14ac:dyDescent="0.3">
      <c r="A136" s="6">
        <v>35125</v>
      </c>
      <c r="B136">
        <v>10.602211</v>
      </c>
    </row>
    <row r="137" spans="1:2" x14ac:dyDescent="0.3">
      <c r="A137" s="6">
        <v>35156</v>
      </c>
      <c r="B137">
        <v>10.474285999999999</v>
      </c>
    </row>
    <row r="138" spans="1:2" x14ac:dyDescent="0.3">
      <c r="A138" s="6">
        <v>35186</v>
      </c>
      <c r="B138">
        <v>11.823732</v>
      </c>
    </row>
    <row r="139" spans="1:2" x14ac:dyDescent="0.3">
      <c r="A139" s="6">
        <v>35217</v>
      </c>
      <c r="B139">
        <v>12.594847</v>
      </c>
    </row>
    <row r="140" spans="1:2" x14ac:dyDescent="0.3">
      <c r="A140" s="6">
        <v>35247</v>
      </c>
      <c r="B140">
        <v>12.080772</v>
      </c>
    </row>
    <row r="141" spans="1:2" x14ac:dyDescent="0.3">
      <c r="A141" s="6">
        <v>35278</v>
      </c>
      <c r="B141">
        <v>12.886151999999999</v>
      </c>
    </row>
    <row r="142" spans="1:2" x14ac:dyDescent="0.3">
      <c r="A142" s="6">
        <v>35309</v>
      </c>
      <c r="B142">
        <v>13.111659</v>
      </c>
    </row>
    <row r="143" spans="1:2" x14ac:dyDescent="0.3">
      <c r="A143" s="6">
        <v>35339</v>
      </c>
      <c r="B143">
        <v>13.046144</v>
      </c>
    </row>
    <row r="144" spans="1:2" x14ac:dyDescent="0.3">
      <c r="A144" s="6">
        <v>35370</v>
      </c>
      <c r="B144">
        <v>13.207617000000001</v>
      </c>
    </row>
    <row r="145" spans="1:2" x14ac:dyDescent="0.3">
      <c r="A145" s="6">
        <v>35400</v>
      </c>
      <c r="B145">
        <v>13.62828</v>
      </c>
    </row>
    <row r="146" spans="1:2" x14ac:dyDescent="0.3">
      <c r="A146" s="6">
        <v>35431</v>
      </c>
      <c r="B146">
        <v>14.987869</v>
      </c>
    </row>
    <row r="147" spans="1:2" x14ac:dyDescent="0.3">
      <c r="A147" s="6">
        <v>35462</v>
      </c>
      <c r="B147">
        <v>15.79716</v>
      </c>
    </row>
    <row r="148" spans="1:2" x14ac:dyDescent="0.3">
      <c r="A148" s="6">
        <v>35490</v>
      </c>
      <c r="B148">
        <v>14.437562</v>
      </c>
    </row>
    <row r="149" spans="1:2" x14ac:dyDescent="0.3">
      <c r="A149" s="6">
        <v>35521</v>
      </c>
      <c r="B149">
        <v>16.514236</v>
      </c>
    </row>
    <row r="150" spans="1:2" x14ac:dyDescent="0.3">
      <c r="A150" s="6">
        <v>35551</v>
      </c>
      <c r="B150">
        <v>17.779577</v>
      </c>
    </row>
    <row r="151" spans="1:2" x14ac:dyDescent="0.3">
      <c r="A151" s="6">
        <v>35582</v>
      </c>
      <c r="B151">
        <v>17.649802999999999</v>
      </c>
    </row>
    <row r="152" spans="1:2" x14ac:dyDescent="0.3">
      <c r="A152" s="6">
        <v>35612</v>
      </c>
      <c r="B152">
        <v>17.978603</v>
      </c>
    </row>
    <row r="153" spans="1:2" x14ac:dyDescent="0.3">
      <c r="A153" s="6">
        <v>35643</v>
      </c>
      <c r="B153">
        <v>14.906318000000001</v>
      </c>
    </row>
    <row r="154" spans="1:2" x14ac:dyDescent="0.3">
      <c r="A154" s="6">
        <v>35674</v>
      </c>
      <c r="B154">
        <v>15.865396</v>
      </c>
    </row>
    <row r="155" spans="1:2" x14ac:dyDescent="0.3">
      <c r="A155" s="6">
        <v>35704</v>
      </c>
      <c r="B155">
        <v>14.763375999999999</v>
      </c>
    </row>
    <row r="156" spans="1:2" x14ac:dyDescent="0.3">
      <c r="A156" s="6">
        <v>35735</v>
      </c>
      <c r="B156">
        <v>16.295116</v>
      </c>
    </row>
    <row r="157" spans="1:2" x14ac:dyDescent="0.3">
      <c r="A157" s="6">
        <v>35765</v>
      </c>
      <c r="B157">
        <v>17.424927</v>
      </c>
    </row>
    <row r="158" spans="1:2" x14ac:dyDescent="0.3">
      <c r="A158" s="6">
        <v>35796</v>
      </c>
      <c r="B158">
        <v>16.918671</v>
      </c>
    </row>
    <row r="159" spans="1:2" x14ac:dyDescent="0.3">
      <c r="A159" s="6">
        <v>35827</v>
      </c>
      <c r="B159">
        <v>17.931184999999999</v>
      </c>
    </row>
    <row r="160" spans="1:2" x14ac:dyDescent="0.3">
      <c r="A160" s="6">
        <v>35855</v>
      </c>
      <c r="B160">
        <v>20.233816000000001</v>
      </c>
    </row>
    <row r="161" spans="1:2" x14ac:dyDescent="0.3">
      <c r="A161" s="6">
        <v>35886</v>
      </c>
      <c r="B161">
        <v>19.866589999999999</v>
      </c>
    </row>
    <row r="162" spans="1:2" x14ac:dyDescent="0.3">
      <c r="A162" s="6">
        <v>35916</v>
      </c>
      <c r="B162">
        <v>20.521159999999998</v>
      </c>
    </row>
    <row r="163" spans="1:2" x14ac:dyDescent="0.3">
      <c r="A163" s="6">
        <v>35947</v>
      </c>
      <c r="B163">
        <v>22.386724000000001</v>
      </c>
    </row>
    <row r="164" spans="1:2" x14ac:dyDescent="0.3">
      <c r="A164" s="6">
        <v>35977</v>
      </c>
      <c r="B164">
        <v>21.116539</v>
      </c>
    </row>
    <row r="165" spans="1:2" x14ac:dyDescent="0.3">
      <c r="A165" s="6">
        <v>36008</v>
      </c>
      <c r="B165">
        <v>17.083414000000001</v>
      </c>
    </row>
    <row r="166" spans="1:2" x14ac:dyDescent="0.3">
      <c r="A166" s="6">
        <v>36039</v>
      </c>
      <c r="B166">
        <v>15.116034000000001</v>
      </c>
    </row>
    <row r="167" spans="1:2" x14ac:dyDescent="0.3">
      <c r="A167" s="6">
        <v>36069</v>
      </c>
      <c r="B167">
        <v>17.766594000000001</v>
      </c>
    </row>
    <row r="168" spans="1:2" x14ac:dyDescent="0.3">
      <c r="A168" s="6">
        <v>36100</v>
      </c>
      <c r="B168">
        <v>18.424005999999999</v>
      </c>
    </row>
    <row r="169" spans="1:2" x14ac:dyDescent="0.3">
      <c r="A169" s="6">
        <v>36130</v>
      </c>
      <c r="B169">
        <v>17.654799000000001</v>
      </c>
    </row>
    <row r="170" spans="1:2" x14ac:dyDescent="0.3">
      <c r="A170" s="6">
        <v>36161</v>
      </c>
      <c r="B170">
        <v>17.210135000000001</v>
      </c>
    </row>
    <row r="171" spans="1:2" x14ac:dyDescent="0.3">
      <c r="A171" s="6">
        <v>36192</v>
      </c>
      <c r="B171">
        <v>16.831347000000001</v>
      </c>
    </row>
    <row r="172" spans="1:2" x14ac:dyDescent="0.3">
      <c r="A172" s="6">
        <v>36220</v>
      </c>
      <c r="B172">
        <v>16.172585000000002</v>
      </c>
    </row>
    <row r="173" spans="1:2" x14ac:dyDescent="0.3">
      <c r="A173" s="6">
        <v>36251</v>
      </c>
      <c r="B173">
        <v>17.980522000000001</v>
      </c>
    </row>
    <row r="174" spans="1:2" x14ac:dyDescent="0.3">
      <c r="A174" s="6">
        <v>36281</v>
      </c>
      <c r="B174">
        <v>18.096107</v>
      </c>
    </row>
    <row r="175" spans="1:2" x14ac:dyDescent="0.3">
      <c r="A175" s="6">
        <v>36312</v>
      </c>
      <c r="B175">
        <v>16.378955999999999</v>
      </c>
    </row>
    <row r="176" spans="1:2" x14ac:dyDescent="0.3">
      <c r="A176" s="6">
        <v>36342</v>
      </c>
      <c r="B176">
        <v>16.037994000000001</v>
      </c>
    </row>
    <row r="177" spans="1:2" x14ac:dyDescent="0.3">
      <c r="A177" s="6">
        <v>36373</v>
      </c>
      <c r="B177">
        <v>15.839387</v>
      </c>
    </row>
    <row r="178" spans="1:2" x14ac:dyDescent="0.3">
      <c r="A178" s="6">
        <v>36404</v>
      </c>
      <c r="B178">
        <v>12.777442000000001</v>
      </c>
    </row>
    <row r="179" spans="1:2" x14ac:dyDescent="0.3">
      <c r="A179" s="6">
        <v>36434</v>
      </c>
      <c r="B179">
        <v>15.669712000000001</v>
      </c>
    </row>
    <row r="180" spans="1:2" x14ac:dyDescent="0.3">
      <c r="A180" s="6">
        <v>36465</v>
      </c>
      <c r="B180">
        <v>17.877414999999999</v>
      </c>
    </row>
    <row r="181" spans="1:2" x14ac:dyDescent="0.3">
      <c r="A181" s="6">
        <v>36495</v>
      </c>
      <c r="B181">
        <v>15.507801000000001</v>
      </c>
    </row>
    <row r="182" spans="1:2" x14ac:dyDescent="0.3">
      <c r="A182" s="6">
        <v>36526</v>
      </c>
      <c r="B182">
        <v>15.291485</v>
      </c>
    </row>
    <row r="183" spans="1:2" x14ac:dyDescent="0.3">
      <c r="A183" s="6">
        <v>36557</v>
      </c>
      <c r="B183">
        <v>12.945353000000001</v>
      </c>
    </row>
    <row r="184" spans="1:2" x14ac:dyDescent="0.3">
      <c r="A184" s="6">
        <v>36586</v>
      </c>
      <c r="B184">
        <v>12.496089</v>
      </c>
    </row>
    <row r="185" spans="1:2" x14ac:dyDescent="0.3">
      <c r="A185" s="6">
        <v>36617</v>
      </c>
      <c r="B185">
        <v>12.626461000000001</v>
      </c>
    </row>
    <row r="186" spans="1:2" x14ac:dyDescent="0.3">
      <c r="A186" s="6">
        <v>36647</v>
      </c>
      <c r="B186">
        <v>14.263223999999999</v>
      </c>
    </row>
    <row r="187" spans="1:2" x14ac:dyDescent="0.3">
      <c r="A187" s="6">
        <v>36678</v>
      </c>
      <c r="B187">
        <v>15.348833000000001</v>
      </c>
    </row>
    <row r="188" spans="1:2" x14ac:dyDescent="0.3">
      <c r="A188" s="6">
        <v>36708</v>
      </c>
      <c r="B188">
        <v>16.437441</v>
      </c>
    </row>
    <row r="189" spans="1:2" x14ac:dyDescent="0.3">
      <c r="A189" s="6">
        <v>36739</v>
      </c>
      <c r="B189">
        <v>14.112572</v>
      </c>
    </row>
    <row r="190" spans="1:2" x14ac:dyDescent="0.3">
      <c r="A190" s="6">
        <v>36770</v>
      </c>
      <c r="B190">
        <v>14.778605000000001</v>
      </c>
    </row>
    <row r="191" spans="1:2" x14ac:dyDescent="0.3">
      <c r="A191" s="6">
        <v>36800</v>
      </c>
      <c r="B191">
        <v>16.237698000000002</v>
      </c>
    </row>
    <row r="192" spans="1:2" x14ac:dyDescent="0.3">
      <c r="A192" s="6">
        <v>36831</v>
      </c>
      <c r="B192">
        <v>16.842831</v>
      </c>
    </row>
    <row r="193" spans="1:2" x14ac:dyDescent="0.3">
      <c r="A193" s="6">
        <v>36861</v>
      </c>
      <c r="B193">
        <v>16.435209</v>
      </c>
    </row>
    <row r="194" spans="1:2" x14ac:dyDescent="0.3">
      <c r="A194" s="6">
        <v>36892</v>
      </c>
      <c r="B194">
        <v>15.642948000000001</v>
      </c>
    </row>
    <row r="195" spans="1:2" x14ac:dyDescent="0.3">
      <c r="A195" s="6">
        <v>36923</v>
      </c>
      <c r="B195">
        <v>14.302507</v>
      </c>
    </row>
    <row r="196" spans="1:2" x14ac:dyDescent="0.3">
      <c r="A196" s="6">
        <v>36951</v>
      </c>
      <c r="B196">
        <v>12.179925000000001</v>
      </c>
    </row>
    <row r="197" spans="1:2" x14ac:dyDescent="0.3">
      <c r="A197" s="6">
        <v>36982</v>
      </c>
      <c r="B197">
        <v>12.502643000000001</v>
      </c>
    </row>
    <row r="198" spans="1:2" x14ac:dyDescent="0.3">
      <c r="A198" s="6">
        <v>37012</v>
      </c>
      <c r="B198">
        <v>12.830158000000001</v>
      </c>
    </row>
    <row r="199" spans="1:2" x14ac:dyDescent="0.3">
      <c r="A199" s="6">
        <v>37043</v>
      </c>
      <c r="B199">
        <v>12.180529999999999</v>
      </c>
    </row>
    <row r="200" spans="1:2" x14ac:dyDescent="0.3">
      <c r="A200" s="6">
        <v>37073</v>
      </c>
      <c r="B200">
        <v>12.119781</v>
      </c>
    </row>
    <row r="201" spans="1:2" x14ac:dyDescent="0.3">
      <c r="A201" s="6">
        <v>37104</v>
      </c>
      <c r="B201">
        <v>13.225773999999999</v>
      </c>
    </row>
    <row r="202" spans="1:2" x14ac:dyDescent="0.3">
      <c r="A202" s="6">
        <v>37135</v>
      </c>
      <c r="B202">
        <v>12.731199</v>
      </c>
    </row>
    <row r="203" spans="1:2" x14ac:dyDescent="0.3">
      <c r="A203" s="6">
        <v>37165</v>
      </c>
      <c r="B203">
        <v>13.058153000000001</v>
      </c>
    </row>
    <row r="204" spans="1:2" x14ac:dyDescent="0.3">
      <c r="A204" s="6">
        <v>37196</v>
      </c>
      <c r="B204">
        <v>12.807245</v>
      </c>
    </row>
    <row r="205" spans="1:2" x14ac:dyDescent="0.3">
      <c r="A205" s="6">
        <v>37226</v>
      </c>
      <c r="B205">
        <v>12.907481000000001</v>
      </c>
    </row>
    <row r="206" spans="1:2" x14ac:dyDescent="0.3">
      <c r="A206" s="6">
        <v>37257</v>
      </c>
      <c r="B206">
        <v>11.976713999999999</v>
      </c>
    </row>
    <row r="207" spans="1:2" x14ac:dyDescent="0.3">
      <c r="A207" s="6">
        <v>37288</v>
      </c>
      <c r="B207">
        <v>12.973182</v>
      </c>
    </row>
    <row r="208" spans="1:2" x14ac:dyDescent="0.3">
      <c r="A208" s="6">
        <v>37316</v>
      </c>
      <c r="B208">
        <v>14.306355</v>
      </c>
    </row>
    <row r="209" spans="1:2" x14ac:dyDescent="0.3">
      <c r="A209" s="6">
        <v>37347</v>
      </c>
      <c r="B209">
        <v>15.259512000000001</v>
      </c>
    </row>
    <row r="210" spans="1:2" x14ac:dyDescent="0.3">
      <c r="A210" s="6">
        <v>37377</v>
      </c>
      <c r="B210">
        <v>15.273263</v>
      </c>
    </row>
    <row r="211" spans="1:2" x14ac:dyDescent="0.3">
      <c r="A211" s="6">
        <v>37408</v>
      </c>
      <c r="B211">
        <v>15.394216</v>
      </c>
    </row>
    <row r="212" spans="1:2" x14ac:dyDescent="0.3">
      <c r="A212" s="6">
        <v>37438</v>
      </c>
      <c r="B212">
        <v>13.779377</v>
      </c>
    </row>
    <row r="213" spans="1:2" x14ac:dyDescent="0.3">
      <c r="A213" s="6">
        <v>37469</v>
      </c>
      <c r="B213">
        <v>14.071854999999999</v>
      </c>
    </row>
    <row r="214" spans="1:2" x14ac:dyDescent="0.3">
      <c r="A214" s="6">
        <v>37500</v>
      </c>
      <c r="B214">
        <v>13.233059000000001</v>
      </c>
    </row>
    <row r="215" spans="1:2" x14ac:dyDescent="0.3">
      <c r="A215" s="6">
        <v>37530</v>
      </c>
      <c r="B215">
        <v>12.875223</v>
      </c>
    </row>
    <row r="216" spans="1:2" x14ac:dyDescent="0.3">
      <c r="A216" s="6">
        <v>37561</v>
      </c>
      <c r="B216">
        <v>12.642542000000001</v>
      </c>
    </row>
    <row r="217" spans="1:2" x14ac:dyDescent="0.3">
      <c r="A217" s="6">
        <v>37591</v>
      </c>
      <c r="B217">
        <v>12.198007</v>
      </c>
    </row>
    <row r="218" spans="1:2" x14ac:dyDescent="0.3">
      <c r="A218" s="6">
        <v>37622</v>
      </c>
      <c r="B218">
        <v>11.257562999999999</v>
      </c>
    </row>
    <row r="219" spans="1:2" x14ac:dyDescent="0.3">
      <c r="A219" s="6">
        <v>37653</v>
      </c>
      <c r="B219">
        <v>11.190784000000001</v>
      </c>
    </row>
    <row r="220" spans="1:2" x14ac:dyDescent="0.3">
      <c r="A220" s="6">
        <v>37681</v>
      </c>
      <c r="B220">
        <v>11.263127000000001</v>
      </c>
    </row>
    <row r="221" spans="1:2" x14ac:dyDescent="0.3">
      <c r="A221" s="6">
        <v>37712</v>
      </c>
      <c r="B221">
        <v>11.306918</v>
      </c>
    </row>
    <row r="222" spans="1:2" x14ac:dyDescent="0.3">
      <c r="A222" s="6">
        <v>37742</v>
      </c>
      <c r="B222">
        <v>12.753863000000001</v>
      </c>
    </row>
    <row r="223" spans="1:2" x14ac:dyDescent="0.3">
      <c r="A223" s="6">
        <v>37773</v>
      </c>
      <c r="B223">
        <v>12.988958999999999</v>
      </c>
    </row>
    <row r="224" spans="1:2" x14ac:dyDescent="0.3">
      <c r="A224" s="6">
        <v>37803</v>
      </c>
      <c r="B224">
        <v>12.645644000000001</v>
      </c>
    </row>
    <row r="225" spans="1:2" x14ac:dyDescent="0.3">
      <c r="A225" s="6">
        <v>37834</v>
      </c>
      <c r="B225">
        <v>12.237904</v>
      </c>
    </row>
    <row r="226" spans="1:2" x14ac:dyDescent="0.3">
      <c r="A226" s="6">
        <v>37865</v>
      </c>
      <c r="B226">
        <v>12.080425999999999</v>
      </c>
    </row>
    <row r="227" spans="1:2" x14ac:dyDescent="0.3">
      <c r="A227" s="6">
        <v>37895</v>
      </c>
      <c r="B227">
        <v>13.111933000000001</v>
      </c>
    </row>
    <row r="228" spans="1:2" x14ac:dyDescent="0.3">
      <c r="A228" s="6">
        <v>37926</v>
      </c>
      <c r="B228">
        <v>13.140191</v>
      </c>
    </row>
    <row r="229" spans="1:2" x14ac:dyDescent="0.3">
      <c r="A229" s="6">
        <v>37956</v>
      </c>
      <c r="B229">
        <v>14.409247000000001</v>
      </c>
    </row>
    <row r="230" spans="1:2" x14ac:dyDescent="0.3">
      <c r="A230" s="6">
        <v>37987</v>
      </c>
      <c r="B230">
        <v>13.980521</v>
      </c>
    </row>
    <row r="231" spans="1:2" x14ac:dyDescent="0.3">
      <c r="A231" s="6">
        <v>38018</v>
      </c>
      <c r="B231">
        <v>14.184946999999999</v>
      </c>
    </row>
    <row r="232" spans="1:2" x14ac:dyDescent="0.3">
      <c r="A232" s="6">
        <v>38047</v>
      </c>
      <c r="B232">
        <v>14.281487</v>
      </c>
    </row>
    <row r="233" spans="1:2" x14ac:dyDescent="0.3">
      <c r="A233" s="6">
        <v>38078</v>
      </c>
      <c r="B233">
        <v>14.430436</v>
      </c>
    </row>
    <row r="234" spans="1:2" x14ac:dyDescent="0.3">
      <c r="A234" s="6">
        <v>38108</v>
      </c>
      <c r="B234">
        <v>14.653017</v>
      </c>
    </row>
    <row r="235" spans="1:2" x14ac:dyDescent="0.3">
      <c r="A235" s="6">
        <v>38139</v>
      </c>
      <c r="B235">
        <v>14.404757</v>
      </c>
    </row>
    <row r="236" spans="1:2" x14ac:dyDescent="0.3">
      <c r="A236" s="6">
        <v>38169</v>
      </c>
      <c r="B236">
        <v>12.576599</v>
      </c>
    </row>
    <row r="237" spans="1:2" x14ac:dyDescent="0.3">
      <c r="A237" s="6">
        <v>38200</v>
      </c>
      <c r="B237">
        <v>12.82033</v>
      </c>
    </row>
    <row r="238" spans="1:2" x14ac:dyDescent="0.3">
      <c r="A238" s="6">
        <v>38231</v>
      </c>
      <c r="B238">
        <v>11.484105</v>
      </c>
    </row>
    <row r="239" spans="1:2" x14ac:dyDescent="0.3">
      <c r="A239" s="6">
        <v>38261</v>
      </c>
      <c r="B239">
        <v>11.727266</v>
      </c>
    </row>
    <row r="240" spans="1:2" x14ac:dyDescent="0.3">
      <c r="A240" s="6">
        <v>38292</v>
      </c>
      <c r="B240">
        <v>11.337892999999999</v>
      </c>
    </row>
    <row r="241" spans="1:2" x14ac:dyDescent="0.3">
      <c r="A241" s="6">
        <v>38322</v>
      </c>
      <c r="B241">
        <v>12.08572</v>
      </c>
    </row>
    <row r="242" spans="1:2" x14ac:dyDescent="0.3">
      <c r="A242" s="6">
        <v>38353</v>
      </c>
      <c r="B242">
        <v>12.042183</v>
      </c>
    </row>
    <row r="243" spans="1:2" x14ac:dyDescent="0.3">
      <c r="A243" s="6">
        <v>38384</v>
      </c>
      <c r="B243">
        <v>12.422397999999999</v>
      </c>
    </row>
    <row r="244" spans="1:2" x14ac:dyDescent="0.3">
      <c r="A244" s="6">
        <v>38412</v>
      </c>
      <c r="B244">
        <v>12.094423000000001</v>
      </c>
    </row>
    <row r="245" spans="1:2" x14ac:dyDescent="0.3">
      <c r="A245" s="6">
        <v>38443</v>
      </c>
      <c r="B245">
        <v>12.690659999999999</v>
      </c>
    </row>
    <row r="246" spans="1:2" x14ac:dyDescent="0.3">
      <c r="A246" s="6">
        <v>38473</v>
      </c>
      <c r="B246">
        <v>13.038307</v>
      </c>
    </row>
    <row r="247" spans="1:2" x14ac:dyDescent="0.3">
      <c r="A247" s="6">
        <v>38504</v>
      </c>
      <c r="B247">
        <v>12.196936000000001</v>
      </c>
    </row>
    <row r="248" spans="1:2" x14ac:dyDescent="0.3">
      <c r="A248" s="6">
        <v>38534</v>
      </c>
      <c r="B248">
        <v>12.866114</v>
      </c>
    </row>
    <row r="249" spans="1:2" x14ac:dyDescent="0.3">
      <c r="A249" s="6">
        <v>38565</v>
      </c>
      <c r="B249">
        <v>12.936679</v>
      </c>
    </row>
    <row r="250" spans="1:2" x14ac:dyDescent="0.3">
      <c r="A250" s="6">
        <v>38596</v>
      </c>
      <c r="B250">
        <v>12.698524000000001</v>
      </c>
    </row>
    <row r="251" spans="1:2" x14ac:dyDescent="0.3">
      <c r="A251" s="6">
        <v>38626</v>
      </c>
      <c r="B251">
        <v>12.658077</v>
      </c>
    </row>
    <row r="252" spans="1:2" x14ac:dyDescent="0.3">
      <c r="A252" s="6">
        <v>38657</v>
      </c>
      <c r="B252">
        <v>12.631444999999999</v>
      </c>
    </row>
    <row r="253" spans="1:2" x14ac:dyDescent="0.3">
      <c r="A253" s="6">
        <v>38687</v>
      </c>
      <c r="B253">
        <v>12.005812000000001</v>
      </c>
    </row>
    <row r="254" spans="1:2" x14ac:dyDescent="0.3">
      <c r="A254" s="6">
        <v>38718</v>
      </c>
      <c r="B254">
        <v>12.324496</v>
      </c>
    </row>
    <row r="255" spans="1:2" x14ac:dyDescent="0.3">
      <c r="A255" s="6">
        <v>38749</v>
      </c>
      <c r="B255">
        <v>12.500216999999999</v>
      </c>
    </row>
    <row r="256" spans="1:2" x14ac:dyDescent="0.3">
      <c r="A256" s="6">
        <v>38777</v>
      </c>
      <c r="B256">
        <v>12.470442</v>
      </c>
    </row>
    <row r="257" spans="1:2" x14ac:dyDescent="0.3">
      <c r="A257" s="6">
        <v>38808</v>
      </c>
      <c r="B257">
        <v>12.588488</v>
      </c>
    </row>
    <row r="258" spans="1:2" x14ac:dyDescent="0.3">
      <c r="A258" s="6">
        <v>38838</v>
      </c>
      <c r="B258">
        <v>13.209509000000001</v>
      </c>
    </row>
    <row r="259" spans="1:2" x14ac:dyDescent="0.3">
      <c r="A259" s="6">
        <v>38869</v>
      </c>
      <c r="B259">
        <v>12.906496000000001</v>
      </c>
    </row>
    <row r="260" spans="1:2" x14ac:dyDescent="0.3">
      <c r="A260" s="6">
        <v>38899</v>
      </c>
      <c r="B260">
        <v>13.446763000000001</v>
      </c>
    </row>
    <row r="261" spans="1:2" x14ac:dyDescent="0.3">
      <c r="A261" s="6">
        <v>38930</v>
      </c>
      <c r="B261">
        <v>13.540441</v>
      </c>
    </row>
    <row r="262" spans="1:2" x14ac:dyDescent="0.3">
      <c r="A262" s="6">
        <v>38961</v>
      </c>
      <c r="B262">
        <v>13.501156999999999</v>
      </c>
    </row>
    <row r="263" spans="1:2" x14ac:dyDescent="0.3">
      <c r="A263" s="6">
        <v>38991</v>
      </c>
      <c r="B263">
        <v>14.216003000000001</v>
      </c>
    </row>
    <row r="264" spans="1:2" x14ac:dyDescent="0.3">
      <c r="A264" s="6">
        <v>39022</v>
      </c>
      <c r="B264">
        <v>14.249477000000001</v>
      </c>
    </row>
    <row r="265" spans="1:2" x14ac:dyDescent="0.3">
      <c r="A265" s="6">
        <v>39052</v>
      </c>
      <c r="B265">
        <v>14.779702</v>
      </c>
    </row>
    <row r="266" spans="1:2" x14ac:dyDescent="0.3">
      <c r="A266" s="6">
        <v>39083</v>
      </c>
      <c r="B266">
        <v>14.666368</v>
      </c>
    </row>
    <row r="267" spans="1:2" x14ac:dyDescent="0.3">
      <c r="A267" s="6">
        <v>39114</v>
      </c>
      <c r="B267">
        <v>14.298793</v>
      </c>
    </row>
    <row r="268" spans="1:2" x14ac:dyDescent="0.3">
      <c r="A268" s="6">
        <v>39142</v>
      </c>
      <c r="B268">
        <v>14.703122</v>
      </c>
    </row>
    <row r="269" spans="1:2" x14ac:dyDescent="0.3">
      <c r="A269" s="6">
        <v>39173</v>
      </c>
      <c r="B269">
        <v>16.100757999999999</v>
      </c>
    </row>
    <row r="270" spans="1:2" x14ac:dyDescent="0.3">
      <c r="A270" s="6">
        <v>39203</v>
      </c>
      <c r="B270">
        <v>16.347549000000001</v>
      </c>
    </row>
    <row r="271" spans="1:2" x14ac:dyDescent="0.3">
      <c r="A271" s="6">
        <v>39234</v>
      </c>
      <c r="B271">
        <v>16.137777</v>
      </c>
    </row>
    <row r="272" spans="1:2" x14ac:dyDescent="0.3">
      <c r="A272" s="6">
        <v>39264</v>
      </c>
      <c r="B272">
        <v>16.183668000000001</v>
      </c>
    </row>
    <row r="273" spans="1:2" x14ac:dyDescent="0.3">
      <c r="A273" s="6">
        <v>39295</v>
      </c>
      <c r="B273">
        <v>16.702314000000001</v>
      </c>
    </row>
    <row r="274" spans="1:2" x14ac:dyDescent="0.3">
      <c r="A274" s="6">
        <v>39326</v>
      </c>
      <c r="B274">
        <v>17.848306999999998</v>
      </c>
    </row>
    <row r="275" spans="1:2" x14ac:dyDescent="0.3">
      <c r="A275" s="6">
        <v>39356</v>
      </c>
      <c r="B275">
        <v>19.298525000000001</v>
      </c>
    </row>
    <row r="276" spans="1:2" x14ac:dyDescent="0.3">
      <c r="A276" s="6">
        <v>39387</v>
      </c>
      <c r="B276">
        <v>19.404768000000001</v>
      </c>
    </row>
    <row r="277" spans="1:2" x14ac:dyDescent="0.3">
      <c r="A277" s="6">
        <v>39417</v>
      </c>
      <c r="B277">
        <v>19.280746000000001</v>
      </c>
    </row>
    <row r="278" spans="1:2" x14ac:dyDescent="0.3">
      <c r="A278" s="6">
        <v>39448</v>
      </c>
      <c r="B278">
        <v>18.536159999999999</v>
      </c>
    </row>
    <row r="279" spans="1:2" x14ac:dyDescent="0.3">
      <c r="A279" s="6">
        <v>39479</v>
      </c>
      <c r="B279">
        <v>18.366506999999999</v>
      </c>
    </row>
    <row r="280" spans="1:2" x14ac:dyDescent="0.3">
      <c r="A280" s="6">
        <v>39508</v>
      </c>
      <c r="B280">
        <v>19.123663000000001</v>
      </c>
    </row>
    <row r="281" spans="1:2" x14ac:dyDescent="0.3">
      <c r="A281" s="6">
        <v>39539</v>
      </c>
      <c r="B281">
        <v>18.614263999999999</v>
      </c>
    </row>
    <row r="282" spans="1:2" x14ac:dyDescent="0.3">
      <c r="A282" s="6">
        <v>39569</v>
      </c>
      <c r="B282">
        <v>18.105184999999999</v>
      </c>
    </row>
    <row r="283" spans="1:2" x14ac:dyDescent="0.3">
      <c r="A283" s="6">
        <v>39600</v>
      </c>
      <c r="B283">
        <v>16.435694000000002</v>
      </c>
    </row>
    <row r="284" spans="1:2" x14ac:dyDescent="0.3">
      <c r="A284" s="6">
        <v>39630</v>
      </c>
      <c r="B284">
        <v>16.391293999999998</v>
      </c>
    </row>
    <row r="285" spans="1:2" x14ac:dyDescent="0.3">
      <c r="A285" s="6">
        <v>39661</v>
      </c>
      <c r="B285">
        <v>16.572716</v>
      </c>
    </row>
    <row r="286" spans="1:2" x14ac:dyDescent="0.3">
      <c r="A286" s="6">
        <v>39692</v>
      </c>
      <c r="B286">
        <v>16.830517</v>
      </c>
    </row>
    <row r="287" spans="1:2" x14ac:dyDescent="0.3">
      <c r="A287" s="6">
        <v>39722</v>
      </c>
      <c r="B287">
        <v>14.123042</v>
      </c>
    </row>
    <row r="288" spans="1:2" x14ac:dyDescent="0.3">
      <c r="A288" s="6">
        <v>39753</v>
      </c>
      <c r="B288">
        <v>15.023768</v>
      </c>
    </row>
    <row r="289" spans="1:2" x14ac:dyDescent="0.3">
      <c r="A289" s="6">
        <v>39783</v>
      </c>
      <c r="B289">
        <v>14.634288</v>
      </c>
    </row>
    <row r="290" spans="1:2" x14ac:dyDescent="0.3">
      <c r="A290" s="6">
        <v>39814</v>
      </c>
      <c r="B290">
        <v>13.809957000000001</v>
      </c>
    </row>
    <row r="291" spans="1:2" x14ac:dyDescent="0.3">
      <c r="A291" s="6">
        <v>39845</v>
      </c>
      <c r="B291">
        <v>13.205443000000001</v>
      </c>
    </row>
    <row r="292" spans="1:2" x14ac:dyDescent="0.3">
      <c r="A292" s="6">
        <v>39873</v>
      </c>
      <c r="B292">
        <v>14.207573999999999</v>
      </c>
    </row>
    <row r="293" spans="1:2" x14ac:dyDescent="0.3">
      <c r="A293" s="6">
        <v>39904</v>
      </c>
      <c r="B293">
        <v>14.063882</v>
      </c>
    </row>
    <row r="294" spans="1:2" x14ac:dyDescent="0.3">
      <c r="A294" s="6">
        <v>39934</v>
      </c>
      <c r="B294">
        <v>16.059937999999999</v>
      </c>
    </row>
    <row r="295" spans="1:2" x14ac:dyDescent="0.3">
      <c r="A295" s="6">
        <v>39965</v>
      </c>
      <c r="B295">
        <v>15.677711</v>
      </c>
    </row>
    <row r="296" spans="1:2" x14ac:dyDescent="0.3">
      <c r="A296" s="6">
        <v>39995</v>
      </c>
      <c r="B296">
        <v>16.421156</v>
      </c>
    </row>
    <row r="297" spans="1:2" x14ac:dyDescent="0.3">
      <c r="A297" s="6">
        <v>40026</v>
      </c>
      <c r="B297">
        <v>16.068619000000002</v>
      </c>
    </row>
    <row r="298" spans="1:2" x14ac:dyDescent="0.3">
      <c r="A298" s="6">
        <v>40057</v>
      </c>
      <c r="B298">
        <v>17.692945000000002</v>
      </c>
    </row>
    <row r="299" spans="1:2" x14ac:dyDescent="0.3">
      <c r="A299" s="6">
        <v>40087</v>
      </c>
      <c r="B299">
        <v>17.707992999999998</v>
      </c>
    </row>
    <row r="300" spans="1:2" x14ac:dyDescent="0.3">
      <c r="A300" s="6">
        <v>40118</v>
      </c>
      <c r="B300">
        <v>19.000133999999999</v>
      </c>
    </row>
    <row r="301" spans="1:2" x14ac:dyDescent="0.3">
      <c r="A301" s="6">
        <v>40148</v>
      </c>
      <c r="B301">
        <v>19.068235000000001</v>
      </c>
    </row>
    <row r="302" spans="1:2" x14ac:dyDescent="0.3">
      <c r="A302" s="6">
        <v>40179</v>
      </c>
      <c r="B302">
        <v>18.148273</v>
      </c>
    </row>
    <row r="303" spans="1:2" x14ac:dyDescent="0.3">
      <c r="A303" s="6">
        <v>40210</v>
      </c>
      <c r="B303">
        <v>17.63644</v>
      </c>
    </row>
    <row r="304" spans="1:2" x14ac:dyDescent="0.3">
      <c r="A304" s="6">
        <v>40238</v>
      </c>
      <c r="B304">
        <v>18.399177999999999</v>
      </c>
    </row>
    <row r="305" spans="1:2" x14ac:dyDescent="0.3">
      <c r="A305" s="6">
        <v>40269</v>
      </c>
      <c r="B305">
        <v>18.026994999999999</v>
      </c>
    </row>
    <row r="306" spans="1:2" x14ac:dyDescent="0.3">
      <c r="A306" s="6">
        <v>40299</v>
      </c>
      <c r="B306">
        <v>17.335595999999999</v>
      </c>
    </row>
    <row r="307" spans="1:2" x14ac:dyDescent="0.3">
      <c r="A307" s="6">
        <v>40330</v>
      </c>
      <c r="B307">
        <v>16.903888999999999</v>
      </c>
    </row>
    <row r="308" spans="1:2" x14ac:dyDescent="0.3">
      <c r="A308" s="6">
        <v>40360</v>
      </c>
      <c r="B308">
        <v>18.744105999999999</v>
      </c>
    </row>
    <row r="309" spans="1:2" x14ac:dyDescent="0.3">
      <c r="A309" s="6">
        <v>40391</v>
      </c>
      <c r="B309">
        <v>19.005993</v>
      </c>
    </row>
    <row r="310" spans="1:2" x14ac:dyDescent="0.3">
      <c r="A310" s="6">
        <v>40422</v>
      </c>
      <c r="B310">
        <v>19.903922999999999</v>
      </c>
    </row>
    <row r="311" spans="1:2" x14ac:dyDescent="0.3">
      <c r="A311" s="6">
        <v>40452</v>
      </c>
      <c r="B311">
        <v>21.014263</v>
      </c>
    </row>
    <row r="312" spans="1:2" x14ac:dyDescent="0.3">
      <c r="A312" s="6">
        <v>40483</v>
      </c>
      <c r="B312">
        <v>21.648250999999998</v>
      </c>
    </row>
    <row r="313" spans="1:2" x14ac:dyDescent="0.3">
      <c r="A313" s="6">
        <v>40513</v>
      </c>
      <c r="B313">
        <v>22.695028000000001</v>
      </c>
    </row>
    <row r="314" spans="1:2" x14ac:dyDescent="0.3">
      <c r="A314" s="6">
        <v>40544</v>
      </c>
      <c r="B314">
        <v>21.687441</v>
      </c>
    </row>
    <row r="315" spans="1:2" x14ac:dyDescent="0.3">
      <c r="A315" s="6">
        <v>40575</v>
      </c>
      <c r="B315">
        <v>22.056657999999999</v>
      </c>
    </row>
    <row r="316" spans="1:2" x14ac:dyDescent="0.3">
      <c r="A316" s="6">
        <v>40603</v>
      </c>
      <c r="B316">
        <v>22.891718000000001</v>
      </c>
    </row>
    <row r="317" spans="1:2" x14ac:dyDescent="0.3">
      <c r="A317" s="6">
        <v>40634</v>
      </c>
      <c r="B317">
        <v>23.446982999999999</v>
      </c>
    </row>
    <row r="318" spans="1:2" x14ac:dyDescent="0.3">
      <c r="A318" s="6">
        <v>40664</v>
      </c>
      <c r="B318">
        <v>23.221060000000001</v>
      </c>
    </row>
    <row r="319" spans="1:2" x14ac:dyDescent="0.3">
      <c r="A319" s="6">
        <v>40695</v>
      </c>
      <c r="B319">
        <v>23.387892000000001</v>
      </c>
    </row>
    <row r="320" spans="1:2" x14ac:dyDescent="0.3">
      <c r="A320" s="6">
        <v>40725</v>
      </c>
      <c r="B320">
        <v>23.809277999999999</v>
      </c>
    </row>
    <row r="321" spans="1:2" x14ac:dyDescent="0.3">
      <c r="A321" s="6">
        <v>40756</v>
      </c>
      <c r="B321">
        <v>24.663485000000001</v>
      </c>
    </row>
    <row r="322" spans="1:2" x14ac:dyDescent="0.3">
      <c r="A322" s="6">
        <v>40787</v>
      </c>
      <c r="B322">
        <v>23.651733</v>
      </c>
    </row>
    <row r="323" spans="1:2" x14ac:dyDescent="0.3">
      <c r="A323" s="6">
        <v>40817</v>
      </c>
      <c r="B323">
        <v>24.080931</v>
      </c>
    </row>
    <row r="324" spans="1:2" x14ac:dyDescent="0.3">
      <c r="A324" s="6">
        <v>40848</v>
      </c>
      <c r="B324">
        <v>23.696736999999999</v>
      </c>
    </row>
    <row r="325" spans="1:2" x14ac:dyDescent="0.3">
      <c r="A325" s="6">
        <v>40878</v>
      </c>
      <c r="B325">
        <v>24.841674999999999</v>
      </c>
    </row>
    <row r="326" spans="1:2" x14ac:dyDescent="0.3">
      <c r="A326" s="6">
        <v>40909</v>
      </c>
      <c r="B326">
        <v>23.975394999999999</v>
      </c>
    </row>
    <row r="327" spans="1:2" x14ac:dyDescent="0.3">
      <c r="A327" s="6">
        <v>40940</v>
      </c>
      <c r="B327">
        <v>24.802613999999998</v>
      </c>
    </row>
    <row r="328" spans="1:2" x14ac:dyDescent="0.3">
      <c r="A328" s="6">
        <v>40969</v>
      </c>
      <c r="B328">
        <v>26.275998999999999</v>
      </c>
    </row>
    <row r="329" spans="1:2" x14ac:dyDescent="0.3">
      <c r="A329" s="6">
        <v>41000</v>
      </c>
      <c r="B329">
        <v>27.294559</v>
      </c>
    </row>
    <row r="330" spans="1:2" x14ac:dyDescent="0.3">
      <c r="A330" s="6">
        <v>41030</v>
      </c>
      <c r="B330">
        <v>26.725925</v>
      </c>
    </row>
    <row r="331" spans="1:2" x14ac:dyDescent="0.3">
      <c r="A331" s="6">
        <v>41061</v>
      </c>
      <c r="B331">
        <v>27.963346000000001</v>
      </c>
    </row>
    <row r="332" spans="1:2" x14ac:dyDescent="0.3">
      <c r="A332" s="6">
        <v>41091</v>
      </c>
      <c r="B332">
        <v>29.094073999999999</v>
      </c>
    </row>
    <row r="333" spans="1:2" x14ac:dyDescent="0.3">
      <c r="A333" s="6">
        <v>41122</v>
      </c>
      <c r="B333">
        <v>26.933626</v>
      </c>
    </row>
    <row r="334" spans="1:2" x14ac:dyDescent="0.3">
      <c r="A334" s="6">
        <v>41153</v>
      </c>
      <c r="B334">
        <v>27.315304000000001</v>
      </c>
    </row>
    <row r="335" spans="1:2" x14ac:dyDescent="0.3">
      <c r="A335" s="6">
        <v>41183</v>
      </c>
      <c r="B335">
        <v>26.957193</v>
      </c>
    </row>
    <row r="336" spans="1:2" x14ac:dyDescent="0.3">
      <c r="A336" s="6">
        <v>41214</v>
      </c>
      <c r="B336">
        <v>27.493728999999998</v>
      </c>
    </row>
    <row r="337" spans="1:2" x14ac:dyDescent="0.3">
      <c r="A337" s="6">
        <v>41244</v>
      </c>
      <c r="B337">
        <v>26.463228000000001</v>
      </c>
    </row>
    <row r="338" spans="1:2" x14ac:dyDescent="0.3">
      <c r="A338" s="6">
        <v>41275</v>
      </c>
      <c r="B338">
        <v>27.185946999999999</v>
      </c>
    </row>
    <row r="339" spans="1:2" x14ac:dyDescent="0.3">
      <c r="A339" s="6">
        <v>41306</v>
      </c>
      <c r="B339">
        <v>28.266383999999999</v>
      </c>
    </row>
    <row r="340" spans="1:2" x14ac:dyDescent="0.3">
      <c r="A340" s="6">
        <v>41334</v>
      </c>
      <c r="B340">
        <v>29.522017000000002</v>
      </c>
    </row>
    <row r="341" spans="1:2" x14ac:dyDescent="0.3">
      <c r="A341" s="6">
        <v>41365</v>
      </c>
      <c r="B341">
        <v>31.125456</v>
      </c>
    </row>
    <row r="342" spans="1:2" x14ac:dyDescent="0.3">
      <c r="A342" s="6">
        <v>41395</v>
      </c>
      <c r="B342">
        <v>29.404841999999999</v>
      </c>
    </row>
    <row r="343" spans="1:2" x14ac:dyDescent="0.3">
      <c r="A343" s="6">
        <v>41426</v>
      </c>
      <c r="B343">
        <v>29.493075999999999</v>
      </c>
    </row>
    <row r="344" spans="1:2" x14ac:dyDescent="0.3">
      <c r="A344" s="6">
        <v>41456</v>
      </c>
      <c r="B344">
        <v>29.674714999999999</v>
      </c>
    </row>
    <row r="345" spans="1:2" x14ac:dyDescent="0.3">
      <c r="A345" s="6">
        <v>41487</v>
      </c>
      <c r="B345">
        <v>28.267975</v>
      </c>
    </row>
    <row r="346" spans="1:2" x14ac:dyDescent="0.3">
      <c r="A346" s="6">
        <v>41518</v>
      </c>
      <c r="B346">
        <v>28.045862</v>
      </c>
    </row>
    <row r="347" spans="1:2" x14ac:dyDescent="0.3">
      <c r="A347" s="6">
        <v>41548</v>
      </c>
      <c r="B347">
        <v>29.510185</v>
      </c>
    </row>
    <row r="348" spans="1:2" x14ac:dyDescent="0.3">
      <c r="A348" s="6">
        <v>41579</v>
      </c>
      <c r="B348">
        <v>29.972556999999998</v>
      </c>
    </row>
    <row r="349" spans="1:2" x14ac:dyDescent="0.3">
      <c r="A349" s="6">
        <v>41609</v>
      </c>
      <c r="B349">
        <v>31.02364</v>
      </c>
    </row>
    <row r="350" spans="1:2" x14ac:dyDescent="0.3">
      <c r="A350" s="6">
        <v>41640</v>
      </c>
      <c r="B350">
        <v>28.402666</v>
      </c>
    </row>
    <row r="351" spans="1:2" x14ac:dyDescent="0.3">
      <c r="A351" s="6">
        <v>41671</v>
      </c>
      <c r="B351">
        <v>28.688051000000002</v>
      </c>
    </row>
    <row r="352" spans="1:2" x14ac:dyDescent="0.3">
      <c r="A352" s="6">
        <v>41699</v>
      </c>
      <c r="B352">
        <v>29.033504000000001</v>
      </c>
    </row>
    <row r="353" spans="1:2" x14ac:dyDescent="0.3">
      <c r="A353" s="6">
        <v>41730</v>
      </c>
      <c r="B353">
        <v>30.875838999999999</v>
      </c>
    </row>
    <row r="354" spans="1:2" x14ac:dyDescent="0.3">
      <c r="A354" s="6">
        <v>41760</v>
      </c>
      <c r="B354">
        <v>30.966667000000001</v>
      </c>
    </row>
    <row r="355" spans="1:2" x14ac:dyDescent="0.3">
      <c r="A355" s="6">
        <v>41791</v>
      </c>
      <c r="B355">
        <v>32.064239999999998</v>
      </c>
    </row>
    <row r="356" spans="1:2" x14ac:dyDescent="0.3">
      <c r="A356" s="6">
        <v>41821</v>
      </c>
      <c r="B356">
        <v>29.964092000000001</v>
      </c>
    </row>
    <row r="357" spans="1:2" x14ac:dyDescent="0.3">
      <c r="A357" s="6">
        <v>41852</v>
      </c>
      <c r="B357">
        <v>31.817298999999998</v>
      </c>
    </row>
    <row r="358" spans="1:2" x14ac:dyDescent="0.3">
      <c r="A358" s="6">
        <v>41883</v>
      </c>
      <c r="B358">
        <v>32.534187000000003</v>
      </c>
    </row>
    <row r="359" spans="1:2" x14ac:dyDescent="0.3">
      <c r="A359" s="6">
        <v>41913</v>
      </c>
      <c r="B359">
        <v>32.172020000000003</v>
      </c>
    </row>
    <row r="360" spans="1:2" x14ac:dyDescent="0.3">
      <c r="A360" s="6">
        <v>41944</v>
      </c>
      <c r="B360">
        <v>34.438178999999998</v>
      </c>
    </row>
    <row r="361" spans="1:2" x14ac:dyDescent="0.3">
      <c r="A361" s="6">
        <v>41974</v>
      </c>
      <c r="B361">
        <v>32.657383000000003</v>
      </c>
    </row>
    <row r="362" spans="1:2" x14ac:dyDescent="0.3">
      <c r="A362" s="6">
        <v>42005</v>
      </c>
      <c r="B362">
        <v>31.845199999999998</v>
      </c>
    </row>
    <row r="363" spans="1:2" x14ac:dyDescent="0.3">
      <c r="A363" s="6">
        <v>42036</v>
      </c>
      <c r="B363">
        <v>33.492759999999997</v>
      </c>
    </row>
    <row r="364" spans="1:2" x14ac:dyDescent="0.3">
      <c r="A364" s="6">
        <v>42064</v>
      </c>
      <c r="B364">
        <v>31.365625000000001</v>
      </c>
    </row>
    <row r="365" spans="1:2" x14ac:dyDescent="0.3">
      <c r="A365" s="6">
        <v>42095</v>
      </c>
      <c r="B365">
        <v>31.633687999999999</v>
      </c>
    </row>
    <row r="366" spans="1:2" x14ac:dyDescent="0.3">
      <c r="A366" s="6">
        <v>42125</v>
      </c>
      <c r="B366">
        <v>31.945658000000002</v>
      </c>
    </row>
    <row r="367" spans="1:2" x14ac:dyDescent="0.3">
      <c r="A367" s="6">
        <v>42156</v>
      </c>
      <c r="B367">
        <v>30.596395000000001</v>
      </c>
    </row>
    <row r="368" spans="1:2" x14ac:dyDescent="0.3">
      <c r="A368" s="6">
        <v>42186</v>
      </c>
      <c r="B368">
        <v>32.303576999999997</v>
      </c>
    </row>
    <row r="369" spans="1:2" x14ac:dyDescent="0.3">
      <c r="A369" s="6">
        <v>42217</v>
      </c>
      <c r="B369">
        <v>30.919581999999998</v>
      </c>
    </row>
    <row r="370" spans="1:2" x14ac:dyDescent="0.3">
      <c r="A370" s="6">
        <v>42248</v>
      </c>
      <c r="B370">
        <v>31.548666000000001</v>
      </c>
    </row>
    <row r="371" spans="1:2" x14ac:dyDescent="0.3">
      <c r="A371" s="6">
        <v>42278</v>
      </c>
      <c r="B371">
        <v>33.590767</v>
      </c>
    </row>
    <row r="372" spans="1:2" x14ac:dyDescent="0.3">
      <c r="A372" s="6">
        <v>42309</v>
      </c>
      <c r="B372">
        <v>33.804920000000003</v>
      </c>
    </row>
    <row r="373" spans="1:2" x14ac:dyDescent="0.3">
      <c r="A373" s="6">
        <v>42339</v>
      </c>
      <c r="B373">
        <v>34.335915</v>
      </c>
    </row>
    <row r="374" spans="1:2" x14ac:dyDescent="0.3">
      <c r="A374" s="6">
        <v>42370</v>
      </c>
      <c r="B374">
        <v>34.303947000000001</v>
      </c>
    </row>
    <row r="375" spans="1:2" x14ac:dyDescent="0.3">
      <c r="A375" s="6">
        <v>42401</v>
      </c>
      <c r="B375">
        <v>34.471806000000001</v>
      </c>
    </row>
    <row r="376" spans="1:2" x14ac:dyDescent="0.3">
      <c r="A376" s="6">
        <v>42430</v>
      </c>
      <c r="B376">
        <v>37.077357999999997</v>
      </c>
    </row>
    <row r="377" spans="1:2" x14ac:dyDescent="0.3">
      <c r="A377" s="6">
        <v>42461</v>
      </c>
      <c r="B377">
        <v>36.085788999999998</v>
      </c>
    </row>
    <row r="378" spans="1:2" x14ac:dyDescent="0.3">
      <c r="A378" s="6">
        <v>42491</v>
      </c>
      <c r="B378">
        <v>35.924689999999998</v>
      </c>
    </row>
    <row r="379" spans="1:2" x14ac:dyDescent="0.3">
      <c r="A379" s="6">
        <v>42522</v>
      </c>
      <c r="B379">
        <v>36.512690999999997</v>
      </c>
    </row>
    <row r="380" spans="1:2" x14ac:dyDescent="0.3">
      <c r="A380" s="6">
        <v>42552</v>
      </c>
      <c r="B380">
        <v>35.412875999999997</v>
      </c>
    </row>
    <row r="381" spans="1:2" x14ac:dyDescent="0.3">
      <c r="A381" s="6">
        <v>42583</v>
      </c>
      <c r="B381">
        <v>35.250534000000002</v>
      </c>
    </row>
    <row r="382" spans="1:2" x14ac:dyDescent="0.3">
      <c r="A382" s="6">
        <v>42614</v>
      </c>
      <c r="B382">
        <v>34.349586000000002</v>
      </c>
    </row>
    <row r="383" spans="1:2" x14ac:dyDescent="0.3">
      <c r="A383" s="6">
        <v>42644</v>
      </c>
      <c r="B383">
        <v>34.695689999999999</v>
      </c>
    </row>
    <row r="384" spans="1:2" x14ac:dyDescent="0.3">
      <c r="A384" s="6">
        <v>42675</v>
      </c>
      <c r="B384">
        <v>33.018185000000003</v>
      </c>
    </row>
    <row r="385" spans="1:2" x14ac:dyDescent="0.3">
      <c r="A385" s="6">
        <v>42705</v>
      </c>
      <c r="B385">
        <v>34.21331</v>
      </c>
    </row>
    <row r="386" spans="1:2" x14ac:dyDescent="0.3">
      <c r="A386" s="6">
        <v>42736</v>
      </c>
      <c r="B386">
        <v>34.304080999999996</v>
      </c>
    </row>
    <row r="387" spans="1:2" x14ac:dyDescent="0.3">
      <c r="A387" s="6">
        <v>42767</v>
      </c>
      <c r="B387">
        <v>34.625919000000003</v>
      </c>
    </row>
    <row r="388" spans="1:2" x14ac:dyDescent="0.3">
      <c r="A388" s="6">
        <v>42795</v>
      </c>
      <c r="B388">
        <v>35.022015000000003</v>
      </c>
    </row>
    <row r="389" spans="1:2" x14ac:dyDescent="0.3">
      <c r="A389" s="6">
        <v>42826</v>
      </c>
      <c r="B389">
        <v>35.922210999999997</v>
      </c>
    </row>
    <row r="390" spans="1:2" x14ac:dyDescent="0.3">
      <c r="A390" s="6">
        <v>42856</v>
      </c>
      <c r="B390">
        <v>37.853596000000003</v>
      </c>
    </row>
    <row r="391" spans="1:2" x14ac:dyDescent="0.3">
      <c r="A391" s="6">
        <v>42887</v>
      </c>
      <c r="B391">
        <v>37.337456000000003</v>
      </c>
    </row>
    <row r="392" spans="1:2" x14ac:dyDescent="0.3">
      <c r="A392" s="6">
        <v>42917</v>
      </c>
      <c r="B392">
        <v>38.475673999999998</v>
      </c>
    </row>
    <row r="393" spans="1:2" x14ac:dyDescent="0.3">
      <c r="A393" s="6">
        <v>42948</v>
      </c>
      <c r="B393">
        <v>38.232261999999999</v>
      </c>
    </row>
    <row r="394" spans="1:2" x14ac:dyDescent="0.3">
      <c r="A394" s="6">
        <v>42979</v>
      </c>
      <c r="B394">
        <v>37.779018000000001</v>
      </c>
    </row>
    <row r="395" spans="1:2" x14ac:dyDescent="0.3">
      <c r="A395" s="6">
        <v>43009</v>
      </c>
      <c r="B395">
        <v>38.900261</v>
      </c>
    </row>
    <row r="396" spans="1:2" x14ac:dyDescent="0.3">
      <c r="A396" s="6">
        <v>43040</v>
      </c>
      <c r="B396">
        <v>38.722599000000002</v>
      </c>
    </row>
    <row r="397" spans="1:2" x14ac:dyDescent="0.3">
      <c r="A397" s="6">
        <v>43070</v>
      </c>
      <c r="B397">
        <v>39.133896</v>
      </c>
    </row>
    <row r="398" spans="1:2" x14ac:dyDescent="0.3">
      <c r="A398" s="6">
        <v>43101</v>
      </c>
      <c r="B398">
        <v>40.592461</v>
      </c>
    </row>
    <row r="399" spans="1:2" x14ac:dyDescent="0.3">
      <c r="A399" s="6">
        <v>43132</v>
      </c>
      <c r="B399">
        <v>36.865017000000002</v>
      </c>
    </row>
    <row r="400" spans="1:2" x14ac:dyDescent="0.3">
      <c r="A400" s="6">
        <v>43160</v>
      </c>
      <c r="B400">
        <v>37.044136000000002</v>
      </c>
    </row>
    <row r="401" spans="1:2" x14ac:dyDescent="0.3">
      <c r="A401" s="6">
        <v>43191</v>
      </c>
      <c r="B401">
        <v>37.181846999999998</v>
      </c>
    </row>
    <row r="402" spans="1:2" x14ac:dyDescent="0.3">
      <c r="A402" s="6">
        <v>43221</v>
      </c>
      <c r="B402">
        <v>37.001137</v>
      </c>
    </row>
    <row r="403" spans="1:2" x14ac:dyDescent="0.3">
      <c r="A403" s="6">
        <v>43252</v>
      </c>
      <c r="B403">
        <v>37.741149999999998</v>
      </c>
    </row>
    <row r="404" spans="1:2" x14ac:dyDescent="0.3">
      <c r="A404" s="6">
        <v>43282</v>
      </c>
      <c r="B404">
        <v>40.482070999999998</v>
      </c>
    </row>
    <row r="405" spans="1:2" x14ac:dyDescent="0.3">
      <c r="A405" s="6">
        <v>43313</v>
      </c>
      <c r="B405">
        <v>38.693676000000004</v>
      </c>
    </row>
    <row r="406" spans="1:2" x14ac:dyDescent="0.3">
      <c r="A406" s="6">
        <v>43344</v>
      </c>
      <c r="B406">
        <v>40.100090000000002</v>
      </c>
    </row>
    <row r="407" spans="1:2" x14ac:dyDescent="0.3">
      <c r="A407" s="6">
        <v>43374</v>
      </c>
      <c r="B407">
        <v>41.920841000000003</v>
      </c>
    </row>
    <row r="408" spans="1:2" x14ac:dyDescent="0.3">
      <c r="A408" s="6">
        <v>43405</v>
      </c>
      <c r="B408">
        <v>44.127197000000002</v>
      </c>
    </row>
    <row r="409" spans="1:2" x14ac:dyDescent="0.3">
      <c r="A409" s="6">
        <v>43435</v>
      </c>
      <c r="B409">
        <v>41.784626000000003</v>
      </c>
    </row>
    <row r="410" spans="1:2" x14ac:dyDescent="0.3">
      <c r="A410" s="6">
        <v>43466</v>
      </c>
      <c r="B410">
        <v>42.472949999999997</v>
      </c>
    </row>
    <row r="411" spans="1:2" x14ac:dyDescent="0.3">
      <c r="A411" s="6">
        <v>43497</v>
      </c>
      <c r="B411">
        <v>40.010876000000003</v>
      </c>
    </row>
    <row r="412" spans="1:2" x14ac:dyDescent="0.3">
      <c r="A412" s="6">
        <v>43525</v>
      </c>
      <c r="B412">
        <v>41.352218999999998</v>
      </c>
    </row>
    <row r="413" spans="1:2" x14ac:dyDescent="0.3">
      <c r="A413" s="6">
        <v>43556</v>
      </c>
      <c r="B413">
        <v>43.671581000000003</v>
      </c>
    </row>
    <row r="414" spans="1:2" x14ac:dyDescent="0.3">
      <c r="A414" s="6">
        <v>43586</v>
      </c>
      <c r="B414">
        <v>43.733893999999999</v>
      </c>
    </row>
    <row r="415" spans="1:2" x14ac:dyDescent="0.3">
      <c r="A415" s="6">
        <v>43617</v>
      </c>
      <c r="B415">
        <v>45.327286000000001</v>
      </c>
    </row>
    <row r="416" spans="1:2" x14ac:dyDescent="0.3">
      <c r="A416" s="6">
        <v>43647</v>
      </c>
      <c r="B416">
        <v>47.215206000000002</v>
      </c>
    </row>
    <row r="417" spans="1:2" x14ac:dyDescent="0.3">
      <c r="A417" s="6">
        <v>43678</v>
      </c>
      <c r="B417">
        <v>49.377251000000001</v>
      </c>
    </row>
    <row r="418" spans="1:2" x14ac:dyDescent="0.3">
      <c r="A418" s="6">
        <v>43709</v>
      </c>
      <c r="B418">
        <v>48.838982000000001</v>
      </c>
    </row>
    <row r="419" spans="1:2" x14ac:dyDescent="0.3">
      <c r="A419" s="6">
        <v>43739</v>
      </c>
      <c r="B419">
        <v>49.187023000000003</v>
      </c>
    </row>
    <row r="420" spans="1:2" x14ac:dyDescent="0.3">
      <c r="A420" s="6">
        <v>43770</v>
      </c>
      <c r="B420">
        <v>48.256233000000002</v>
      </c>
    </row>
    <row r="421" spans="1:2" x14ac:dyDescent="0.3">
      <c r="A421" s="6">
        <v>43800</v>
      </c>
      <c r="B421">
        <v>50.392029000000001</v>
      </c>
    </row>
    <row r="422" spans="1:2" x14ac:dyDescent="0.3">
      <c r="A422" s="6">
        <v>43831</v>
      </c>
      <c r="B422">
        <v>53.168818999999999</v>
      </c>
    </row>
    <row r="423" spans="1:2" x14ac:dyDescent="0.3">
      <c r="A423" s="6">
        <v>43862</v>
      </c>
      <c r="B423">
        <v>48.698642999999997</v>
      </c>
    </row>
    <row r="424" spans="1:2" x14ac:dyDescent="0.3">
      <c r="A424" s="6">
        <v>43891</v>
      </c>
      <c r="B424">
        <v>40.286307999999998</v>
      </c>
    </row>
    <row r="425" spans="1:2" x14ac:dyDescent="0.3">
      <c r="A425" s="6">
        <v>43922</v>
      </c>
      <c r="B425">
        <v>42.145812999999997</v>
      </c>
    </row>
    <row r="426" spans="1:2" x14ac:dyDescent="0.3">
      <c r="A426" s="6">
        <v>43952</v>
      </c>
      <c r="B426">
        <v>42.871352999999999</v>
      </c>
    </row>
    <row r="427" spans="1:2" x14ac:dyDescent="0.3">
      <c r="A427" s="6">
        <v>43983</v>
      </c>
      <c r="B427">
        <v>41.034537999999998</v>
      </c>
    </row>
    <row r="428" spans="1:2" x14ac:dyDescent="0.3">
      <c r="A428" s="6">
        <v>44013</v>
      </c>
      <c r="B428">
        <v>43.779812</v>
      </c>
    </row>
    <row r="429" spans="1:2" x14ac:dyDescent="0.3">
      <c r="A429" s="6">
        <v>44044</v>
      </c>
      <c r="B429">
        <v>45.902084000000002</v>
      </c>
    </row>
    <row r="430" spans="1:2" x14ac:dyDescent="0.3">
      <c r="A430" s="6">
        <v>44075</v>
      </c>
      <c r="B430">
        <v>45.753802999999998</v>
      </c>
    </row>
    <row r="431" spans="1:2" x14ac:dyDescent="0.3">
      <c r="A431" s="6">
        <v>44105</v>
      </c>
      <c r="B431">
        <v>44.900291000000003</v>
      </c>
    </row>
    <row r="432" spans="1:2" x14ac:dyDescent="0.3">
      <c r="A432" s="6">
        <v>44136</v>
      </c>
      <c r="B432">
        <v>48.207549999999998</v>
      </c>
    </row>
    <row r="433" spans="1:2" x14ac:dyDescent="0.3">
      <c r="A433" s="6">
        <v>44166</v>
      </c>
      <c r="B433">
        <v>51.636265000000002</v>
      </c>
    </row>
    <row r="434" spans="1:2" x14ac:dyDescent="0.3">
      <c r="A434" s="6">
        <v>44197</v>
      </c>
      <c r="B434">
        <v>45.337093000000003</v>
      </c>
    </row>
    <row r="435" spans="1:2" x14ac:dyDescent="0.3">
      <c r="A435" s="6">
        <v>44228</v>
      </c>
      <c r="B435">
        <v>46.128025000000001</v>
      </c>
    </row>
    <row r="436" spans="1:2" x14ac:dyDescent="0.3">
      <c r="A436" s="6">
        <v>44256</v>
      </c>
      <c r="B436">
        <v>49.630702999999997</v>
      </c>
    </row>
    <row r="437" spans="1:2" x14ac:dyDescent="0.3">
      <c r="A437" s="6">
        <v>44287</v>
      </c>
      <c r="B437">
        <v>51.249554000000003</v>
      </c>
    </row>
    <row r="438" spans="1:2" x14ac:dyDescent="0.3">
      <c r="A438" s="6">
        <v>44317</v>
      </c>
      <c r="B438">
        <v>52.493298000000003</v>
      </c>
    </row>
    <row r="439" spans="1:2" x14ac:dyDescent="0.3">
      <c r="A439" s="6">
        <v>44348</v>
      </c>
      <c r="B439">
        <v>51.372978000000003</v>
      </c>
    </row>
    <row r="440" spans="1:2" x14ac:dyDescent="0.3">
      <c r="A440" s="6">
        <v>44378</v>
      </c>
      <c r="B440">
        <v>54.553260999999999</v>
      </c>
    </row>
    <row r="441" spans="1:2" x14ac:dyDescent="0.3">
      <c r="A441" s="6">
        <v>44409</v>
      </c>
      <c r="B441">
        <v>53.864539999999998</v>
      </c>
    </row>
    <row r="442" spans="1:2" x14ac:dyDescent="0.3">
      <c r="A442" s="6">
        <v>44440</v>
      </c>
      <c r="B442">
        <v>50.191299000000001</v>
      </c>
    </row>
    <row r="443" spans="1:2" x14ac:dyDescent="0.3">
      <c r="A443" s="6">
        <v>44470</v>
      </c>
      <c r="B443">
        <v>54.328884000000002</v>
      </c>
    </row>
    <row r="444" spans="1:2" x14ac:dyDescent="0.3">
      <c r="A444" s="6">
        <v>44501</v>
      </c>
      <c r="B444">
        <v>50.550823000000001</v>
      </c>
    </row>
    <row r="445" spans="1:2" x14ac:dyDescent="0.3">
      <c r="A445" s="6">
        <v>44531</v>
      </c>
      <c r="B445">
        <v>57.508586999999999</v>
      </c>
    </row>
    <row r="446" spans="1:2" x14ac:dyDescent="0.3">
      <c r="A446" s="6">
        <v>44562</v>
      </c>
      <c r="B446">
        <v>59.256866000000002</v>
      </c>
    </row>
    <row r="447" spans="1:2" x14ac:dyDescent="0.3">
      <c r="A447" s="6">
        <v>44593</v>
      </c>
      <c r="B447">
        <v>60.451523000000002</v>
      </c>
    </row>
    <row r="448" spans="1:2" x14ac:dyDescent="0.3">
      <c r="A448" s="6">
        <v>44621</v>
      </c>
      <c r="B448">
        <v>60.218414000000003</v>
      </c>
    </row>
    <row r="449" spans="1:2" x14ac:dyDescent="0.3">
      <c r="A449" s="6">
        <v>44652</v>
      </c>
      <c r="B449">
        <v>63.233784</v>
      </c>
    </row>
    <row r="450" spans="1:2" x14ac:dyDescent="0.3">
      <c r="A450" s="6">
        <v>44682</v>
      </c>
      <c r="B450">
        <v>62.029986999999998</v>
      </c>
    </row>
    <row r="451" spans="1:2" x14ac:dyDescent="0.3">
      <c r="A451" s="6">
        <v>44713</v>
      </c>
      <c r="B451">
        <v>61.569996000000003</v>
      </c>
    </row>
    <row r="452" spans="1:2" x14ac:dyDescent="0.3">
      <c r="A452" s="6">
        <v>44743</v>
      </c>
      <c r="B452">
        <v>63.256905000000003</v>
      </c>
    </row>
    <row r="453" spans="1:2" x14ac:dyDescent="0.3">
      <c r="A453" s="6">
        <v>44774</v>
      </c>
      <c r="B453">
        <v>60.831913</v>
      </c>
    </row>
    <row r="454" spans="1:2" x14ac:dyDescent="0.3">
      <c r="A454" s="6">
        <v>44805</v>
      </c>
      <c r="B454">
        <v>55.222878000000001</v>
      </c>
    </row>
    <row r="455" spans="1:2" x14ac:dyDescent="0.3">
      <c r="A455" s="6">
        <v>44835</v>
      </c>
      <c r="B455">
        <v>59.428519999999999</v>
      </c>
    </row>
    <row r="456" spans="1:2" x14ac:dyDescent="0.3">
      <c r="A456" s="6">
        <v>44866</v>
      </c>
      <c r="B456">
        <v>63.162044999999999</v>
      </c>
    </row>
    <row r="457" spans="1:2" x14ac:dyDescent="0.3">
      <c r="A457" s="6">
        <v>44896</v>
      </c>
      <c r="B457">
        <v>63.610000999999997</v>
      </c>
    </row>
    <row r="458" spans="1:2" x14ac:dyDescent="0.3">
      <c r="A458" s="6">
        <v>44927</v>
      </c>
      <c r="B458">
        <v>61.43</v>
      </c>
    </row>
    <row r="459" spans="1:2" x14ac:dyDescent="0.3">
      <c r="A459" s="6">
        <v>44939</v>
      </c>
      <c r="B459">
        <v>61.43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Valuation</vt:lpstr>
      <vt:lpstr>Sheet2</vt:lpstr>
      <vt:lpstr>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Theodor Hogan</dc:creator>
  <cp:lastModifiedBy>Theodor Hogan</cp:lastModifiedBy>
  <dcterms:created xsi:type="dcterms:W3CDTF">2015-06-05T18:17:20Z</dcterms:created>
  <dcterms:modified xsi:type="dcterms:W3CDTF">2023-05-22T12:09:11Z</dcterms:modified>
</cp:coreProperties>
</file>