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3" documentId="8_{CD934941-F52B-4660-B615-A8658E4EB890}" xr6:coauthVersionLast="47" xr6:coauthVersionMax="47" xr10:uidLastSave="{3CE0B069-4E0C-4FCA-8FDB-C1A582184195}"/>
  <bookViews>
    <workbookView xWindow="-120" yWindow="-120" windowWidth="29040" windowHeight="15990" xr2:uid="{13F31FFB-55FA-4A66-A16B-96BD52C77962}"/>
  </bookViews>
  <sheets>
    <sheet name="Valuation" sheetId="1" r:id="rId1"/>
    <sheet name="Sheet3" sheetId="3" r:id="rId2"/>
    <sheet name="Sheet2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3" i="1" l="1"/>
  <c r="G33" i="1"/>
  <c r="F33" i="1"/>
  <c r="E33" i="1"/>
  <c r="D33" i="1"/>
  <c r="C33" i="1"/>
  <c r="H25" i="1"/>
  <c r="H19" i="1"/>
  <c r="H21" i="1" s="1"/>
  <c r="H23" i="1" s="1"/>
  <c r="H29" i="1"/>
  <c r="H27" i="1"/>
  <c r="H35" i="1"/>
  <c r="H17" i="1"/>
  <c r="H16" i="1"/>
  <c r="H13" i="1"/>
  <c r="H9" i="1"/>
  <c r="H8" i="1"/>
  <c r="G35" i="1"/>
  <c r="G9" i="1"/>
  <c r="G25" i="1" s="1"/>
  <c r="G19" i="1"/>
  <c r="G21" i="1" s="1"/>
  <c r="G17" i="1"/>
  <c r="G16" i="1"/>
  <c r="G13" i="1"/>
  <c r="F25" i="1"/>
  <c r="E25" i="1"/>
  <c r="D25" i="1"/>
  <c r="C25" i="1"/>
  <c r="E23" i="1"/>
  <c r="D23" i="1"/>
  <c r="C23" i="1"/>
  <c r="F21" i="1"/>
  <c r="F23" i="1" s="1"/>
  <c r="E21" i="1"/>
  <c r="D21" i="1"/>
  <c r="C21" i="1"/>
  <c r="F35" i="1"/>
  <c r="F19" i="1" s="1"/>
  <c r="E35" i="1"/>
  <c r="E19" i="1" s="1"/>
  <c r="D35" i="1"/>
  <c r="D19" i="1" s="1"/>
  <c r="C35" i="1"/>
  <c r="C19" i="1" s="1"/>
  <c r="D7" i="3" a="1"/>
  <c r="D7" i="3" s="1"/>
  <c r="D3" i="3" a="1"/>
  <c r="D3" i="3" s="1"/>
  <c r="F17" i="1"/>
  <c r="F16" i="1"/>
  <c r="F13" i="1"/>
  <c r="F9" i="1"/>
  <c r="E31" i="1"/>
  <c r="E9" i="1"/>
  <c r="E17" i="1"/>
  <c r="E16" i="1"/>
  <c r="E13" i="1"/>
  <c r="D13" i="1"/>
  <c r="E12" i="1"/>
  <c r="C13" i="1"/>
  <c r="D31" i="1"/>
  <c r="D9" i="1"/>
  <c r="C9" i="1"/>
  <c r="D17" i="1"/>
  <c r="C17" i="1"/>
  <c r="D16" i="1"/>
  <c r="C16" i="1"/>
  <c r="D4" i="1"/>
  <c r="E4" i="1" s="1"/>
  <c r="F4" i="1" s="1"/>
  <c r="G2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<sst xmlns="http://schemas.openxmlformats.org/spreadsheetml/2006/main" count="46" uniqueCount="45">
  <si>
    <t>Valuation</t>
  </si>
  <si>
    <t>PLTR</t>
  </si>
  <si>
    <t>Date</t>
  </si>
  <si>
    <t>Q122</t>
  </si>
  <si>
    <t>Q222</t>
  </si>
  <si>
    <t>Q322</t>
  </si>
  <si>
    <t>Q422</t>
  </si>
  <si>
    <t>Revenue</t>
  </si>
  <si>
    <t>EBIT</t>
  </si>
  <si>
    <t>Depr. &amp; Armor.</t>
  </si>
  <si>
    <t>EBITDA</t>
  </si>
  <si>
    <t>ST Debt</t>
  </si>
  <si>
    <t>LT Debt</t>
  </si>
  <si>
    <t>ST + LT  Debt</t>
  </si>
  <si>
    <t>Current Assets</t>
  </si>
  <si>
    <t>Current Liabilities</t>
  </si>
  <si>
    <t>Excess Cash</t>
  </si>
  <si>
    <t>2x</t>
  </si>
  <si>
    <t>Market Cap</t>
  </si>
  <si>
    <t>EV</t>
  </si>
  <si>
    <t>EV/EBITDA</t>
  </si>
  <si>
    <t>Net Debt/EBITDA</t>
  </si>
  <si>
    <t>CFO</t>
  </si>
  <si>
    <t>CapEx</t>
  </si>
  <si>
    <t>Debt Issuance</t>
  </si>
  <si>
    <t>FCFE</t>
  </si>
  <si>
    <t>CS Outstanding</t>
  </si>
  <si>
    <t>$/Share</t>
  </si>
  <si>
    <t>FCFE Yield</t>
  </si>
  <si>
    <t>FY end 31. DEC</t>
  </si>
  <si>
    <t>Open</t>
  </si>
  <si>
    <t>High</t>
  </si>
  <si>
    <t>Low</t>
  </si>
  <si>
    <t>Close</t>
  </si>
  <si>
    <t>Adj Close</t>
  </si>
  <si>
    <t>Volume</t>
  </si>
  <si>
    <t>Row Labels</t>
  </si>
  <si>
    <t>Grand Total</t>
  </si>
  <si>
    <t>2020</t>
  </si>
  <si>
    <t>2021</t>
  </si>
  <si>
    <t>Qtr1</t>
  </si>
  <si>
    <t>Qtr2</t>
  </si>
  <si>
    <t>Qtr3</t>
  </si>
  <si>
    <t>2022</t>
  </si>
  <si>
    <t>Average of 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</si>
</sst>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/>
    <xf numFmtId="0" fontId="1" fillId="3" borderId="0" xfId="0" applyFont="1" applyFill="1" applyAlignment="1">
      <alignment horizontal="center"/>
    </xf>
    <xf numFmtId="42" fontId="0" fillId="0" borderId="0" xfId="0" applyNumberFormat="1"/>
    <xf numFmtId="42" fontId="2" fillId="0" borderId="0" xfId="0" applyNumberFormat="1" applyFont="1"/>
    <xf numFmtId="37" fontId="0" fillId="0" borderId="0" xfId="0" applyNumberFormat="1"/>
    <xf numFmtId="3" fontId="2" fillId="0" borderId="0" xfId="0" applyNumberFormat="1" applyFont="1"/>
    <xf numFmtId="38" fontId="2" fillId="4" borderId="0" xfId="0" applyNumberFormat="1" applyFont="1" applyFill="1"/>
    <xf numFmtId="3" fontId="2" fillId="4" borderId="0" xfId="0" applyNumberFormat="1" applyFont="1" applyFill="1"/>
    <xf numFmtId="0" fontId="0" fillId="5" borderId="0" xfId="0" applyFill="1"/>
    <xf numFmtId="37" fontId="2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6" borderId="0" xfId="0" applyFill="1"/>
    <xf numFmtId="42" fontId="0" fillId="6" borderId="0" xfId="0" applyNumberFormat="1" applyFill="1"/>
    <xf numFmtId="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25.650354050929" createdVersion="8" refreshedVersion="8" minRefreshableVersion="3" recordCount="24" xr:uid="{17120D17-BC91-43B8-8F9A-DBE7C260F527}">
  <cacheSource type="worksheet">
    <worksheetSource ref="A1:G25" sheet="Sheet2"/>
  </cacheSource>
  <cacheFields count="9">
    <cacheField name="Date" numFmtId="14">
      <sharedItems containsSemiMixedTypes="0" containsNonDate="0" containsDate="1" containsString="0" minDate="2020-10-01T00:00:00" maxDate="2022-09-02T00:00:00" count="24"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</sharedItems>
      <fieldGroup par="8" base="0">
        <rangePr groupBy="months" startDate="2020-10-01T00:00:00" endDate="2022-09-02T00:00:00"/>
        <groupItems count="14">
          <s v="&lt;10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/2022"/>
        </groupItems>
      </fieldGroup>
    </cacheField>
    <cacheField name="Open" numFmtId="0">
      <sharedItems containsSemiMixedTypes="0" containsString="0" containsNumber="1" minValue="7.61" maxValue="35.330002"/>
    </cacheField>
    <cacheField name="High" numFmtId="0">
      <sharedItems containsSemiMixedTypes="0" containsString="0" containsNumber="1" minValue="8.1" maxValue="45"/>
    </cacheField>
    <cacheField name="Low" numFmtId="0">
      <sharedItems containsSemiMixedTypes="0" containsString="0" containsNumber="1" minValue="6.44" maxValue="23.879999000000002"/>
    </cacheField>
    <cacheField name="Close" numFmtId="0">
      <sharedItems containsSemiMixedTypes="0" containsString="0" containsNumber="1" minValue="7.62" maxValue="35.18"/>
    </cacheField>
    <cacheField name="Adj Close" numFmtId="0">
      <sharedItems containsSemiMixedTypes="0" containsString="0" containsNumber="1" minValue="7.62" maxValue="35.18"/>
    </cacheField>
    <cacheField name="Volume" numFmtId="0">
      <sharedItems containsSemiMixedTypes="0" containsString="0" containsNumber="1" containsInteger="1" minValue="422919100" maxValue="2181517700"/>
    </cacheField>
    <cacheField name="Quarters" numFmtId="0" databaseField="0">
      <fieldGroup base="0">
        <rangePr groupBy="quarters" startDate="2020-10-01T00:00:00" endDate="2022-09-02T00:00:00"/>
        <groupItems count="6">
          <s v="&lt;10/1/2020"/>
          <s v="Qtr1"/>
          <s v="Qtr2"/>
          <s v="Qtr3"/>
          <s v="Qtr4"/>
          <s v="&gt;9/2/2022"/>
        </groupItems>
      </fieldGroup>
    </cacheField>
    <cacheField name="Years" numFmtId="0" databaseField="0">
      <fieldGroup base="0">
        <rangePr groupBy="years" startDate="2020-10-01T00:00:00" endDate="2022-09-02T00:00:00"/>
        <groupItems count="5">
          <s v="&lt;10/1/2020"/>
          <s v="2020"/>
          <s v="2021"/>
          <s v="2022"/>
          <s v="&gt;9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9.69"/>
    <n v="11.1"/>
    <n v="8.9"/>
    <n v="10.130000000000001"/>
    <n v="10.130000000000001"/>
    <n v="704629200"/>
  </r>
  <r>
    <x v="1"/>
    <n v="10.23"/>
    <n v="33.5"/>
    <n v="10.23"/>
    <n v="27.110001"/>
    <n v="27.110001"/>
    <n v="1655174000"/>
  </r>
  <r>
    <x v="2"/>
    <n v="28.09"/>
    <n v="31.24"/>
    <n v="21.15"/>
    <n v="23.549999"/>
    <n v="23.549999"/>
    <n v="1476607700"/>
  </r>
  <r>
    <x v="3"/>
    <n v="23.91"/>
    <n v="45"/>
    <n v="22.5"/>
    <n v="35.18"/>
    <n v="35.18"/>
    <n v="1244340400"/>
  </r>
  <r>
    <x v="4"/>
    <n v="35.330002"/>
    <n v="39.220001000000003"/>
    <n v="22.700001"/>
    <n v="23.9"/>
    <n v="23.9"/>
    <n v="2181517700"/>
  </r>
  <r>
    <x v="5"/>
    <n v="25.190000999999999"/>
    <n v="27.469999000000001"/>
    <n v="20.18"/>
    <n v="23.290001"/>
    <n v="23.290001"/>
    <n v="1805085500"/>
  </r>
  <r>
    <x v="6"/>
    <n v="23.950001"/>
    <n v="26.200001"/>
    <n v="21.24"/>
    <n v="23.040001"/>
    <n v="23.040001"/>
    <n v="1012475100"/>
  </r>
  <r>
    <x v="7"/>
    <n v="23.01"/>
    <n v="24.75"/>
    <n v="17.055"/>
    <n v="22.950001"/>
    <n v="22.950001"/>
    <n v="1460052600"/>
  </r>
  <r>
    <x v="8"/>
    <n v="23.190000999999999"/>
    <n v="27.5"/>
    <n v="22.360001"/>
    <n v="26.360001"/>
    <n v="26.360001"/>
    <n v="1178021600"/>
  </r>
  <r>
    <x v="9"/>
    <n v="26.1"/>
    <n v="26.129999000000002"/>
    <n v="20.549999"/>
    <n v="21.709999"/>
    <n v="21.709999"/>
    <n v="579358800"/>
  </r>
  <r>
    <x v="10"/>
    <n v="21.91"/>
    <n v="26.6"/>
    <n v="21.48"/>
    <n v="26.34"/>
    <n v="26.34"/>
    <n v="1091002700"/>
  </r>
  <r>
    <x v="11"/>
    <n v="26.459999"/>
    <n v="29.290001"/>
    <n v="23.879999000000002"/>
    <n v="24.040001"/>
    <n v="24.040001"/>
    <n v="1178728900"/>
  </r>
  <r>
    <x v="12"/>
    <n v="24.209999"/>
    <n v="26.75"/>
    <n v="23.02"/>
    <n v="25.879999000000002"/>
    <n v="25.879999000000002"/>
    <n v="750518600"/>
  </r>
  <r>
    <x v="13"/>
    <n v="26.110001"/>
    <n v="27.110001"/>
    <n v="20.049999"/>
    <n v="20.65"/>
    <n v="20.65"/>
    <n v="885986000"/>
  </r>
  <r>
    <x v="14"/>
    <n v="20.530000999999999"/>
    <n v="20.889999"/>
    <n v="17.809999000000001"/>
    <n v="18.209999"/>
    <n v="18.209999"/>
    <n v="781294500"/>
  </r>
  <r>
    <x v="15"/>
    <n v="18.360001"/>
    <n v="18.84"/>
    <n v="11.75"/>
    <n v="13.71"/>
    <n v="13.71"/>
    <n v="1057405800"/>
  </r>
  <r>
    <x v="16"/>
    <n v="14.23"/>
    <n v="14.37"/>
    <n v="9.74"/>
    <n v="11.85"/>
    <n v="11.85"/>
    <n v="1301730900"/>
  </r>
  <r>
    <x v="17"/>
    <n v="11.99"/>
    <n v="14.36"/>
    <n v="10.27"/>
    <n v="13.73"/>
    <n v="13.73"/>
    <n v="1015571800"/>
  </r>
  <r>
    <x v="18"/>
    <n v="13.77"/>
    <n v="14.86"/>
    <n v="10.36"/>
    <n v="10.4"/>
    <n v="10.4"/>
    <n v="645660400"/>
  </r>
  <r>
    <x v="19"/>
    <n v="10.38"/>
    <n v="11.01"/>
    <n v="6.44"/>
    <n v="8.68"/>
    <n v="8.68"/>
    <n v="1127366900"/>
  </r>
  <r>
    <x v="20"/>
    <n v="8.7200000000000006"/>
    <n v="10.199999999999999"/>
    <n v="7.5"/>
    <n v="9.07"/>
    <n v="9.07"/>
    <n v="826595600"/>
  </r>
  <r>
    <x v="21"/>
    <n v="9.11"/>
    <n v="10.76"/>
    <n v="8.65"/>
    <n v="10.35"/>
    <n v="10.35"/>
    <n v="711722800"/>
  </r>
  <r>
    <x v="22"/>
    <n v="10.25"/>
    <n v="11.62"/>
    <n v="7.68"/>
    <n v="7.72"/>
    <n v="7.72"/>
    <n v="905373100"/>
  </r>
  <r>
    <x v="23"/>
    <n v="7.61"/>
    <n v="8.1"/>
    <n v="7.17"/>
    <n v="7.62"/>
    <n v="7.62"/>
    <n v="422919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571BC-D2CC-4ADA-9ACD-540766D3EE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9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x="3"/>
        <item sd="0" x="4"/>
        <item t="default"/>
      </items>
    </pivotField>
  </pivotFields>
  <rowFields count="3">
    <field x="8"/>
    <field x="7"/>
    <field x="0"/>
  </rowFields>
  <rowItems count="7">
    <i>
      <x v="1"/>
    </i>
    <i>
      <x v="2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Adj Close" fld="5" subtotal="average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72FC-2744-4502-B460-CA6D6166F4F5}">
  <dimension ref="A1:J39"/>
  <sheetViews>
    <sheetView showGridLines="0" tabSelected="1" workbookViewId="0">
      <pane xSplit="2" topLeftCell="C1" activePane="topRight" state="frozen"/>
      <selection pane="topRight" activeCell="E31" sqref="E31"/>
    </sheetView>
  </sheetViews>
  <sheetFormatPr defaultRowHeight="15" x14ac:dyDescent="0.25"/>
  <cols>
    <col min="1" max="1" width="2.7109375" style="5" customWidth="1"/>
    <col min="2" max="2" width="16.85546875" bestFit="1" customWidth="1"/>
    <col min="3" max="4" width="11.85546875" bestFit="1" customWidth="1"/>
    <col min="5" max="5" width="12.7109375" bestFit="1" customWidth="1"/>
    <col min="6" max="6" width="11.5703125" bestFit="1" customWidth="1"/>
    <col min="7" max="7" width="12.28515625" bestFit="1" customWidth="1"/>
    <col min="8" max="8" width="11.5703125" bestFit="1" customWidth="1"/>
  </cols>
  <sheetData>
    <row r="1" spans="1:10" x14ac:dyDescent="0.25">
      <c r="B1" t="s">
        <v>0</v>
      </c>
      <c r="D1" t="s">
        <v>2</v>
      </c>
      <c r="E1" s="3">
        <v>44825</v>
      </c>
    </row>
    <row r="2" spans="1:10" ht="26.25" x14ac:dyDescent="0.4">
      <c r="B2" s="2" t="s">
        <v>1</v>
      </c>
      <c r="C2" t="s">
        <v>29</v>
      </c>
    </row>
    <row r="3" spans="1:10" ht="5.0999999999999996" customHeight="1" x14ac:dyDescent="0.25"/>
    <row r="4" spans="1:10" x14ac:dyDescent="0.25">
      <c r="C4" s="4">
        <v>2018</v>
      </c>
      <c r="D4" s="4">
        <f>C4+1</f>
        <v>2019</v>
      </c>
      <c r="E4" s="4">
        <f t="shared" ref="E4:F4" si="0">D4+1</f>
        <v>2020</v>
      </c>
      <c r="F4" s="4">
        <f t="shared" si="0"/>
        <v>2021</v>
      </c>
      <c r="G4" s="6" t="s">
        <v>3</v>
      </c>
      <c r="H4" s="6" t="s">
        <v>4</v>
      </c>
      <c r="I4" s="6" t="s">
        <v>5</v>
      </c>
      <c r="J4" s="6" t="s">
        <v>6</v>
      </c>
    </row>
    <row r="5" spans="1:10" x14ac:dyDescent="0.25">
      <c r="B5" s="5" t="s">
        <v>7</v>
      </c>
      <c r="C5" s="8">
        <v>595409</v>
      </c>
      <c r="D5" s="8">
        <v>724555</v>
      </c>
      <c r="E5" s="8">
        <v>1092673</v>
      </c>
      <c r="F5" s="8">
        <v>1541889</v>
      </c>
      <c r="G5" s="8">
        <v>446357</v>
      </c>
      <c r="H5" s="8">
        <v>437010</v>
      </c>
    </row>
    <row r="7" spans="1:10" x14ac:dyDescent="0.25">
      <c r="B7" t="s">
        <v>8</v>
      </c>
      <c r="C7" s="9">
        <v>-623440</v>
      </c>
      <c r="D7" s="9">
        <v>-576444</v>
      </c>
      <c r="E7" s="9">
        <v>-1173679</v>
      </c>
      <c r="F7" s="9">
        <v>-411046</v>
      </c>
      <c r="G7" s="9">
        <v>-39439</v>
      </c>
      <c r="H7" s="9">
        <v>-41745</v>
      </c>
      <c r="I7" s="9"/>
      <c r="J7" s="9"/>
    </row>
    <row r="8" spans="1:10" x14ac:dyDescent="0.25">
      <c r="B8" t="s">
        <v>9</v>
      </c>
      <c r="C8" s="9">
        <v>13910</v>
      </c>
      <c r="D8" s="9">
        <v>12255</v>
      </c>
      <c r="E8" s="9">
        <v>13871</v>
      </c>
      <c r="F8" s="9">
        <v>14897</v>
      </c>
      <c r="G8" s="9">
        <v>4320</v>
      </c>
      <c r="H8" s="9">
        <f>9207-G8</f>
        <v>4887</v>
      </c>
      <c r="I8" s="9"/>
      <c r="J8" s="9"/>
    </row>
    <row r="9" spans="1:10" x14ac:dyDescent="0.25">
      <c r="B9" s="1" t="s">
        <v>10</v>
      </c>
      <c r="C9" s="8">
        <f>SUM(C7:C8)</f>
        <v>-609530</v>
      </c>
      <c r="D9" s="8">
        <f t="shared" ref="D9" si="1">SUM(D7:D8)</f>
        <v>-564189</v>
      </c>
      <c r="E9" s="8">
        <f t="shared" ref="E9" si="2">SUM(E7:E8)</f>
        <v>-1159808</v>
      </c>
      <c r="F9" s="8">
        <f t="shared" ref="F9" si="3">SUM(F7:F8)</f>
        <v>-396149</v>
      </c>
      <c r="G9" s="8">
        <f t="shared" ref="G9" si="4">SUM(G7:G8)</f>
        <v>-35119</v>
      </c>
      <c r="H9" s="8">
        <f t="shared" ref="H9" si="5">SUM(H7:H8)</f>
        <v>-36858</v>
      </c>
    </row>
    <row r="11" spans="1:10" x14ac:dyDescent="0.25">
      <c r="B11" t="s">
        <v>11</v>
      </c>
      <c r="C11" s="9">
        <v>0</v>
      </c>
      <c r="D11" s="9">
        <v>0</v>
      </c>
      <c r="E11" s="9">
        <v>29079</v>
      </c>
      <c r="F11" s="9">
        <v>39927</v>
      </c>
      <c r="G11" s="9">
        <v>40045</v>
      </c>
      <c r="H11" s="9">
        <v>40909</v>
      </c>
      <c r="I11" s="9"/>
      <c r="J11" s="9"/>
    </row>
    <row r="12" spans="1:10" x14ac:dyDescent="0.25">
      <c r="B12" t="s">
        <v>12</v>
      </c>
      <c r="C12" s="9">
        <v>0</v>
      </c>
      <c r="D12" s="9">
        <v>396065</v>
      </c>
      <c r="E12" s="9">
        <f>197977+229800</f>
        <v>427777</v>
      </c>
      <c r="F12" s="9">
        <v>220146</v>
      </c>
      <c r="G12" s="9">
        <v>227617</v>
      </c>
      <c r="H12" s="9">
        <v>216059</v>
      </c>
      <c r="I12" s="9"/>
      <c r="J12" s="9"/>
    </row>
    <row r="13" spans="1:10" x14ac:dyDescent="0.25">
      <c r="B13" s="1" t="s">
        <v>13</v>
      </c>
      <c r="C13" s="8">
        <f>SUM(C11:C12)</f>
        <v>0</v>
      </c>
      <c r="D13" s="8">
        <f t="shared" ref="D13:E13" si="6">SUM(D11:D12)</f>
        <v>396065</v>
      </c>
      <c r="E13" s="8">
        <f t="shared" si="6"/>
        <v>456856</v>
      </c>
      <c r="F13" s="8">
        <f t="shared" ref="F13" si="7">SUM(F11:F12)</f>
        <v>260073</v>
      </c>
      <c r="G13" s="8">
        <f t="shared" ref="G13" si="8">SUM(G11:G12)</f>
        <v>267662</v>
      </c>
      <c r="H13" s="8">
        <f t="shared" ref="H13" si="9">SUM(H11:H12)</f>
        <v>256968</v>
      </c>
    </row>
    <row r="15" spans="1:10" x14ac:dyDescent="0.25">
      <c r="B15" t="s">
        <v>14</v>
      </c>
      <c r="C15" s="9">
        <v>1220076</v>
      </c>
      <c r="D15" s="9">
        <v>1214153</v>
      </c>
      <c r="E15" s="9">
        <v>2257429</v>
      </c>
      <c r="F15" s="9">
        <v>2863250</v>
      </c>
      <c r="G15" s="9">
        <v>2927374</v>
      </c>
      <c r="H15" s="9">
        <v>3282338</v>
      </c>
      <c r="I15" s="9"/>
      <c r="J15" s="9"/>
    </row>
    <row r="16" spans="1:10" x14ac:dyDescent="0.25">
      <c r="A16" s="5" t="s">
        <v>17</v>
      </c>
      <c r="B16" t="s">
        <v>15</v>
      </c>
      <c r="C16" s="9">
        <f>2*531902</f>
        <v>1063804</v>
      </c>
      <c r="D16" s="9">
        <f>2*728598</f>
        <v>1457196</v>
      </c>
      <c r="E16" s="9">
        <f>2*603823</f>
        <v>1207646</v>
      </c>
      <c r="F16" s="9">
        <f>2*660061</f>
        <v>1320122</v>
      </c>
      <c r="G16" s="9">
        <f>2*669104</f>
        <v>1338208</v>
      </c>
      <c r="H16" s="9">
        <f>2*665742</f>
        <v>1331484</v>
      </c>
      <c r="I16" s="9"/>
      <c r="J16" s="9"/>
    </row>
    <row r="17" spans="2:10" x14ac:dyDescent="0.25">
      <c r="B17" s="1" t="s">
        <v>16</v>
      </c>
      <c r="C17" s="8">
        <f>IF(C15&gt;C16,C15-C16,0)</f>
        <v>156272</v>
      </c>
      <c r="D17" s="8">
        <f t="shared" ref="D17" si="10">IF(D15&gt;D16,D15-D16,0)</f>
        <v>0</v>
      </c>
      <c r="E17" s="8">
        <f t="shared" ref="E17" si="11">IF(E15&gt;E16,E15-E16,0)</f>
        <v>1049783</v>
      </c>
      <c r="F17" s="8">
        <f t="shared" ref="F17" si="12">IF(F15&gt;F16,F15-F16,0)</f>
        <v>1543128</v>
      </c>
      <c r="G17" s="8">
        <f t="shared" ref="G17" si="13">IF(G15&gt;G16,G15-G16,0)</f>
        <v>1589166</v>
      </c>
      <c r="H17" s="8">
        <f t="shared" ref="H17" si="14">IF(H15&gt;H16,H15-H16,0)</f>
        <v>1950854</v>
      </c>
    </row>
    <row r="19" spans="2:10" x14ac:dyDescent="0.25">
      <c r="B19" s="1" t="s">
        <v>18</v>
      </c>
      <c r="C19" s="8">
        <f>C35*C37</f>
        <v>549367.69100000011</v>
      </c>
      <c r="D19" s="8">
        <f t="shared" ref="D19:F19" si="15">D35*D37</f>
        <v>581497.11600000004</v>
      </c>
      <c r="E19" s="8">
        <f t="shared" si="15"/>
        <v>3631472.0959920003</v>
      </c>
      <c r="F19" s="8">
        <f t="shared" si="15"/>
        <v>4924765.4504500004</v>
      </c>
      <c r="G19" s="8">
        <f t="shared" ref="G19:H19" si="16">G35*G37</f>
        <v>2679578.0000000005</v>
      </c>
      <c r="H19" s="8">
        <f t="shared" si="16"/>
        <v>1935781.6666666665</v>
      </c>
    </row>
    <row r="21" spans="2:10" x14ac:dyDescent="0.25">
      <c r="B21" s="1" t="s">
        <v>19</v>
      </c>
      <c r="C21" s="8">
        <f>C19+-C17+C13</f>
        <v>393095.69100000011</v>
      </c>
      <c r="D21" s="8">
        <f t="shared" ref="D21:F21" si="17">D19+-D17+D13</f>
        <v>977562.11600000004</v>
      </c>
      <c r="E21" s="8">
        <f t="shared" si="17"/>
        <v>3038545.0959920003</v>
      </c>
      <c r="F21" s="8">
        <f t="shared" si="17"/>
        <v>3641710.4504500004</v>
      </c>
      <c r="G21" s="8">
        <f t="shared" ref="G21:H21" si="18">G19+-G17+G13</f>
        <v>1358074.0000000005</v>
      </c>
      <c r="H21" s="8">
        <f t="shared" si="18"/>
        <v>241895.66666666651</v>
      </c>
    </row>
    <row r="23" spans="2:10" x14ac:dyDescent="0.25">
      <c r="B23" s="1" t="s">
        <v>20</v>
      </c>
      <c r="C23" s="21">
        <f>C21/C9</f>
        <v>-0.64491606811805835</v>
      </c>
      <c r="D23" s="21">
        <f t="shared" ref="D23:F23" si="19">D21/D9</f>
        <v>-1.7326855291400578</v>
      </c>
      <c r="E23" s="21">
        <f t="shared" si="19"/>
        <v>-2.6198690610790756</v>
      </c>
      <c r="F23" s="21">
        <f t="shared" si="19"/>
        <v>-9.1927796118379703</v>
      </c>
      <c r="G23" s="21">
        <f t="shared" ref="G23:H23" si="20">G21/G9</f>
        <v>-38.67063412967341</v>
      </c>
      <c r="H23" s="21">
        <f t="shared" si="20"/>
        <v>-6.5629080977444927</v>
      </c>
    </row>
    <row r="24" spans="2:10" x14ac:dyDescent="0.25">
      <c r="C24" s="1"/>
      <c r="D24" s="1"/>
      <c r="E24" s="1"/>
      <c r="F24" s="1"/>
      <c r="G24" s="1"/>
      <c r="H24" s="1"/>
    </row>
    <row r="25" spans="2:10" x14ac:dyDescent="0.25">
      <c r="B25" s="1" t="s">
        <v>21</v>
      </c>
      <c r="C25" s="22">
        <f>C13/C9</f>
        <v>0</v>
      </c>
      <c r="D25" s="22">
        <f t="shared" ref="D25:F25" si="21">D13/D9</f>
        <v>-0.70200766055346697</v>
      </c>
      <c r="E25" s="22">
        <f t="shared" si="21"/>
        <v>-0.39390657764043702</v>
      </c>
      <c r="F25" s="22">
        <f t="shared" si="21"/>
        <v>-0.656502982463669</v>
      </c>
      <c r="G25" s="22">
        <f t="shared" ref="G25:H25" si="22">G13/G9</f>
        <v>-7.6215723682337195</v>
      </c>
      <c r="H25" s="22">
        <f t="shared" si="22"/>
        <v>-6.9718378642357157</v>
      </c>
    </row>
    <row r="27" spans="2:10" x14ac:dyDescent="0.25">
      <c r="B27" s="1" t="s">
        <v>22</v>
      </c>
      <c r="C27" s="8">
        <v>-39012</v>
      </c>
      <c r="D27" s="8">
        <v>-165215</v>
      </c>
      <c r="E27" s="8">
        <v>-296608</v>
      </c>
      <c r="F27" s="8">
        <v>333851</v>
      </c>
      <c r="G27" s="8">
        <v>35477</v>
      </c>
      <c r="H27" s="8">
        <f>97908-G27</f>
        <v>62431</v>
      </c>
      <c r="I27" s="8"/>
      <c r="J27" s="8"/>
    </row>
    <row r="28" spans="2:10" x14ac:dyDescent="0.25">
      <c r="C28" s="8"/>
      <c r="D28" s="8"/>
    </row>
    <row r="29" spans="2:10" x14ac:dyDescent="0.25">
      <c r="B29" s="1" t="s">
        <v>23</v>
      </c>
      <c r="C29" s="8">
        <v>-13004</v>
      </c>
      <c r="D29" s="8">
        <v>-13096</v>
      </c>
      <c r="E29">
        <v>-12236</v>
      </c>
      <c r="F29">
        <v>-12627</v>
      </c>
      <c r="G29">
        <v>-15215</v>
      </c>
      <c r="H29">
        <f>-20673-G29</f>
        <v>-5458</v>
      </c>
    </row>
    <row r="30" spans="2:10" x14ac:dyDescent="0.25">
      <c r="C30" s="1"/>
      <c r="D30" s="1"/>
    </row>
    <row r="31" spans="2:10" x14ac:dyDescent="0.25">
      <c r="B31" s="1" t="s">
        <v>24</v>
      </c>
      <c r="C31" s="8">
        <v>-56391</v>
      </c>
      <c r="D31" s="8">
        <f>544413-150000</f>
        <v>394413</v>
      </c>
      <c r="E31" s="13">
        <f>199369-400000</f>
        <v>-200631</v>
      </c>
    </row>
    <row r="32" spans="2:10" x14ac:dyDescent="0.25">
      <c r="C32" s="1"/>
      <c r="D32" s="1"/>
    </row>
    <row r="33" spans="2:9" x14ac:dyDescent="0.25">
      <c r="B33" s="1" t="s">
        <v>25</v>
      </c>
      <c r="C33" s="8">
        <f>SUM(C27:C31)</f>
        <v>-108407</v>
      </c>
      <c r="D33" s="8">
        <f t="shared" ref="D33:H33" si="23">SUM(D27:D31)</f>
        <v>216102</v>
      </c>
      <c r="E33" s="8">
        <f t="shared" si="23"/>
        <v>-509475</v>
      </c>
      <c r="F33" s="8">
        <f t="shared" si="23"/>
        <v>321224</v>
      </c>
      <c r="G33" s="8">
        <f t="shared" si="23"/>
        <v>20262</v>
      </c>
      <c r="H33" s="8">
        <f t="shared" si="23"/>
        <v>56973</v>
      </c>
    </row>
    <row r="34" spans="2:9" x14ac:dyDescent="0.25">
      <c r="C34" s="1"/>
      <c r="D34" s="1"/>
    </row>
    <row r="35" spans="2:9" x14ac:dyDescent="0.25">
      <c r="B35" s="1" t="s">
        <v>26</v>
      </c>
      <c r="C35" s="11">
        <f>0.0001*549367691</f>
        <v>54936.769100000005</v>
      </c>
      <c r="D35" s="11">
        <f>0.0001*581497116</f>
        <v>58149.711600000002</v>
      </c>
      <c r="E35" s="12">
        <f>0.0001*1792139544</f>
        <v>179213.95440000002</v>
      </c>
      <c r="F35" s="14">
        <f>100*2027</f>
        <v>202700</v>
      </c>
      <c r="G35" s="10">
        <f>100*2046</f>
        <v>204600</v>
      </c>
      <c r="H35" s="10">
        <f>100*2063</f>
        <v>206300</v>
      </c>
    </row>
    <row r="37" spans="2:9" x14ac:dyDescent="0.25">
      <c r="B37" s="1" t="s">
        <v>27</v>
      </c>
      <c r="C37" s="19">
        <v>10</v>
      </c>
      <c r="D37" s="20">
        <v>10</v>
      </c>
      <c r="E37" s="7">
        <v>20.263333333333332</v>
      </c>
      <c r="F37" s="7">
        <v>24.295833500000001</v>
      </c>
      <c r="G37" s="7">
        <v>13.096666666666669</v>
      </c>
      <c r="H37" s="7">
        <v>9.3833333333333329</v>
      </c>
      <c r="I37" s="7">
        <v>8.5633333333333344</v>
      </c>
    </row>
    <row r="39" spans="2:9" x14ac:dyDescent="0.25">
      <c r="B39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9BF2-4F1D-4E29-8221-CCEBC05D1570}">
  <dimension ref="A3:F10"/>
  <sheetViews>
    <sheetView workbookViewId="0">
      <selection activeCell="D7" sqref="D7:F7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6" x14ac:dyDescent="0.25">
      <c r="A3" s="16" t="s">
        <v>36</v>
      </c>
      <c r="B3" t="s">
        <v>44</v>
      </c>
      <c r="D3" cm="1">
        <f t="array" ref="D3:E3">TRANSPOSE(B4:B5)</f>
        <v>20.263333333333332</v>
      </c>
      <c r="E3">
        <v>24.295833500000001</v>
      </c>
    </row>
    <row r="4" spans="1:6" x14ac:dyDescent="0.25">
      <c r="A4" s="17" t="s">
        <v>38</v>
      </c>
      <c r="B4" s="15">
        <v>20.263333333333332</v>
      </c>
    </row>
    <row r="5" spans="1:6" x14ac:dyDescent="0.25">
      <c r="A5" s="17" t="s">
        <v>39</v>
      </c>
      <c r="B5" s="15">
        <v>24.295833500000001</v>
      </c>
    </row>
    <row r="6" spans="1:6" x14ac:dyDescent="0.25">
      <c r="A6" s="17" t="s">
        <v>43</v>
      </c>
      <c r="B6" s="15">
        <v>10.347777777777777</v>
      </c>
    </row>
    <row r="7" spans="1:6" x14ac:dyDescent="0.25">
      <c r="A7" s="18" t="s">
        <v>40</v>
      </c>
      <c r="B7" s="15">
        <v>13.096666666666669</v>
      </c>
      <c r="D7" cm="1">
        <f t="array" ref="D7:F7">TRANSPOSE(B7:B9)</f>
        <v>13.096666666666669</v>
      </c>
      <c r="E7">
        <v>9.3833333333333329</v>
      </c>
      <c r="F7">
        <v>8.5633333333333344</v>
      </c>
    </row>
    <row r="8" spans="1:6" x14ac:dyDescent="0.25">
      <c r="A8" s="18" t="s">
        <v>41</v>
      </c>
      <c r="B8" s="15">
        <v>9.3833333333333329</v>
      </c>
    </row>
    <row r="9" spans="1:6" x14ac:dyDescent="0.25">
      <c r="A9" s="18" t="s">
        <v>42</v>
      </c>
      <c r="B9" s="15">
        <v>8.5633333333333344</v>
      </c>
    </row>
    <row r="10" spans="1:6" x14ac:dyDescent="0.25">
      <c r="A10" s="17" t="s">
        <v>37</v>
      </c>
      <c r="B10" s="15">
        <v>18.561250083333334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2FF4-74C5-4C2C-9940-DDE4603F201E}">
  <dimension ref="A1:G25"/>
  <sheetViews>
    <sheetView workbookViewId="0">
      <selection activeCell="C2" sqref="C2"/>
    </sheetView>
  </sheetViews>
  <sheetFormatPr defaultRowHeight="15" x14ac:dyDescent="0.25"/>
  <cols>
    <col min="1" max="1" width="9.7109375" bestFit="1" customWidth="1"/>
    <col min="2" max="6" width="10" bestFit="1" customWidth="1"/>
    <col min="7" max="7" width="11" bestFit="1" customWidth="1"/>
  </cols>
  <sheetData>
    <row r="1" spans="1:7" x14ac:dyDescent="0.25">
      <c r="A1" t="s">
        <v>2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5">
      <c r="A2" s="3">
        <v>44105</v>
      </c>
      <c r="B2">
        <v>9.69</v>
      </c>
      <c r="C2">
        <v>11.1</v>
      </c>
      <c r="D2">
        <v>8.9</v>
      </c>
      <c r="E2">
        <v>10.130000000000001</v>
      </c>
      <c r="F2">
        <v>10.130000000000001</v>
      </c>
      <c r="G2">
        <v>704629200</v>
      </c>
    </row>
    <row r="3" spans="1:7" x14ac:dyDescent="0.25">
      <c r="A3" s="3">
        <v>44136</v>
      </c>
      <c r="B3">
        <v>10.23</v>
      </c>
      <c r="C3">
        <v>33.5</v>
      </c>
      <c r="D3">
        <v>10.23</v>
      </c>
      <c r="E3">
        <v>27.110001</v>
      </c>
      <c r="F3">
        <v>27.110001</v>
      </c>
      <c r="G3">
        <v>1655174000</v>
      </c>
    </row>
    <row r="4" spans="1:7" x14ac:dyDescent="0.25">
      <c r="A4" s="3">
        <v>44166</v>
      </c>
      <c r="B4">
        <v>28.09</v>
      </c>
      <c r="C4">
        <v>31.24</v>
      </c>
      <c r="D4">
        <v>21.15</v>
      </c>
      <c r="E4">
        <v>23.549999</v>
      </c>
      <c r="F4">
        <v>23.549999</v>
      </c>
      <c r="G4">
        <v>1476607700</v>
      </c>
    </row>
    <row r="5" spans="1:7" x14ac:dyDescent="0.25">
      <c r="A5" s="3">
        <v>44197</v>
      </c>
      <c r="B5">
        <v>23.91</v>
      </c>
      <c r="C5">
        <v>45</v>
      </c>
      <c r="D5">
        <v>22.5</v>
      </c>
      <c r="E5">
        <v>35.18</v>
      </c>
      <c r="F5">
        <v>35.18</v>
      </c>
      <c r="G5">
        <v>1244340400</v>
      </c>
    </row>
    <row r="6" spans="1:7" x14ac:dyDescent="0.25">
      <c r="A6" s="3">
        <v>44228</v>
      </c>
      <c r="B6">
        <v>35.330002</v>
      </c>
      <c r="C6">
        <v>39.220001000000003</v>
      </c>
      <c r="D6">
        <v>22.700001</v>
      </c>
      <c r="E6">
        <v>23.9</v>
      </c>
      <c r="F6">
        <v>23.9</v>
      </c>
      <c r="G6">
        <v>2181517700</v>
      </c>
    </row>
    <row r="7" spans="1:7" x14ac:dyDescent="0.25">
      <c r="A7" s="3">
        <v>44256</v>
      </c>
      <c r="B7">
        <v>25.190000999999999</v>
      </c>
      <c r="C7">
        <v>27.469999000000001</v>
      </c>
      <c r="D7">
        <v>20.18</v>
      </c>
      <c r="E7">
        <v>23.290001</v>
      </c>
      <c r="F7">
        <v>23.290001</v>
      </c>
      <c r="G7">
        <v>1805085500</v>
      </c>
    </row>
    <row r="8" spans="1:7" x14ac:dyDescent="0.25">
      <c r="A8" s="3">
        <v>44287</v>
      </c>
      <c r="B8">
        <v>23.950001</v>
      </c>
      <c r="C8">
        <v>26.200001</v>
      </c>
      <c r="D8">
        <v>21.24</v>
      </c>
      <c r="E8">
        <v>23.040001</v>
      </c>
      <c r="F8">
        <v>23.040001</v>
      </c>
      <c r="G8">
        <v>1012475100</v>
      </c>
    </row>
    <row r="9" spans="1:7" x14ac:dyDescent="0.25">
      <c r="A9" s="3">
        <v>44317</v>
      </c>
      <c r="B9">
        <v>23.01</v>
      </c>
      <c r="C9">
        <v>24.75</v>
      </c>
      <c r="D9">
        <v>17.055</v>
      </c>
      <c r="E9">
        <v>22.950001</v>
      </c>
      <c r="F9">
        <v>22.950001</v>
      </c>
      <c r="G9">
        <v>1460052600</v>
      </c>
    </row>
    <row r="10" spans="1:7" x14ac:dyDescent="0.25">
      <c r="A10" s="3">
        <v>44348</v>
      </c>
      <c r="B10">
        <v>23.190000999999999</v>
      </c>
      <c r="C10">
        <v>27.5</v>
      </c>
      <c r="D10">
        <v>22.360001</v>
      </c>
      <c r="E10">
        <v>26.360001</v>
      </c>
      <c r="F10">
        <v>26.360001</v>
      </c>
      <c r="G10">
        <v>1178021600</v>
      </c>
    </row>
    <row r="11" spans="1:7" x14ac:dyDescent="0.25">
      <c r="A11" s="3">
        <v>44378</v>
      </c>
      <c r="B11">
        <v>26.1</v>
      </c>
      <c r="C11">
        <v>26.129999000000002</v>
      </c>
      <c r="D11">
        <v>20.549999</v>
      </c>
      <c r="E11">
        <v>21.709999</v>
      </c>
      <c r="F11">
        <v>21.709999</v>
      </c>
      <c r="G11">
        <v>579358800</v>
      </c>
    </row>
    <row r="12" spans="1:7" x14ac:dyDescent="0.25">
      <c r="A12" s="3">
        <v>44409</v>
      </c>
      <c r="B12">
        <v>21.91</v>
      </c>
      <c r="C12">
        <v>26.6</v>
      </c>
      <c r="D12">
        <v>21.48</v>
      </c>
      <c r="E12">
        <v>26.34</v>
      </c>
      <c r="F12">
        <v>26.34</v>
      </c>
      <c r="G12">
        <v>1091002700</v>
      </c>
    </row>
    <row r="13" spans="1:7" x14ac:dyDescent="0.25">
      <c r="A13" s="3">
        <v>44440</v>
      </c>
      <c r="B13">
        <v>26.459999</v>
      </c>
      <c r="C13">
        <v>29.290001</v>
      </c>
      <c r="D13">
        <v>23.879999000000002</v>
      </c>
      <c r="E13">
        <v>24.040001</v>
      </c>
      <c r="F13">
        <v>24.040001</v>
      </c>
      <c r="G13">
        <v>1178728900</v>
      </c>
    </row>
    <row r="14" spans="1:7" x14ac:dyDescent="0.25">
      <c r="A14" s="3">
        <v>44470</v>
      </c>
      <c r="B14">
        <v>24.209999</v>
      </c>
      <c r="C14">
        <v>26.75</v>
      </c>
      <c r="D14">
        <v>23.02</v>
      </c>
      <c r="E14">
        <v>25.879999000000002</v>
      </c>
      <c r="F14">
        <v>25.879999000000002</v>
      </c>
      <c r="G14">
        <v>750518600</v>
      </c>
    </row>
    <row r="15" spans="1:7" x14ac:dyDescent="0.25">
      <c r="A15" s="3">
        <v>44501</v>
      </c>
      <c r="B15">
        <v>26.110001</v>
      </c>
      <c r="C15">
        <v>27.110001</v>
      </c>
      <c r="D15">
        <v>20.049999</v>
      </c>
      <c r="E15">
        <v>20.65</v>
      </c>
      <c r="F15">
        <v>20.65</v>
      </c>
      <c r="G15">
        <v>885986000</v>
      </c>
    </row>
    <row r="16" spans="1:7" x14ac:dyDescent="0.25">
      <c r="A16" s="3">
        <v>44531</v>
      </c>
      <c r="B16">
        <v>20.530000999999999</v>
      </c>
      <c r="C16">
        <v>20.889999</v>
      </c>
      <c r="D16">
        <v>17.809999000000001</v>
      </c>
      <c r="E16">
        <v>18.209999</v>
      </c>
      <c r="F16">
        <v>18.209999</v>
      </c>
      <c r="G16">
        <v>781294500</v>
      </c>
    </row>
    <row r="17" spans="1:7" x14ac:dyDescent="0.25">
      <c r="A17" s="3">
        <v>44562</v>
      </c>
      <c r="B17">
        <v>18.360001</v>
      </c>
      <c r="C17">
        <v>18.84</v>
      </c>
      <c r="D17">
        <v>11.75</v>
      </c>
      <c r="E17">
        <v>13.71</v>
      </c>
      <c r="F17">
        <v>13.71</v>
      </c>
      <c r="G17">
        <v>1057405800</v>
      </c>
    </row>
    <row r="18" spans="1:7" x14ac:dyDescent="0.25">
      <c r="A18" s="3">
        <v>44593</v>
      </c>
      <c r="B18">
        <v>14.23</v>
      </c>
      <c r="C18">
        <v>14.37</v>
      </c>
      <c r="D18">
        <v>9.74</v>
      </c>
      <c r="E18">
        <v>11.85</v>
      </c>
      <c r="F18">
        <v>11.85</v>
      </c>
      <c r="G18">
        <v>1301730900</v>
      </c>
    </row>
    <row r="19" spans="1:7" x14ac:dyDescent="0.25">
      <c r="A19" s="3">
        <v>44621</v>
      </c>
      <c r="B19">
        <v>11.99</v>
      </c>
      <c r="C19">
        <v>14.36</v>
      </c>
      <c r="D19">
        <v>10.27</v>
      </c>
      <c r="E19">
        <v>13.73</v>
      </c>
      <c r="F19">
        <v>13.73</v>
      </c>
      <c r="G19">
        <v>1015571800</v>
      </c>
    </row>
    <row r="20" spans="1:7" x14ac:dyDescent="0.25">
      <c r="A20" s="3">
        <v>44652</v>
      </c>
      <c r="B20">
        <v>13.77</v>
      </c>
      <c r="C20">
        <v>14.86</v>
      </c>
      <c r="D20">
        <v>10.36</v>
      </c>
      <c r="E20">
        <v>10.4</v>
      </c>
      <c r="F20">
        <v>10.4</v>
      </c>
      <c r="G20">
        <v>645660400</v>
      </c>
    </row>
    <row r="21" spans="1:7" x14ac:dyDescent="0.25">
      <c r="A21" s="3">
        <v>44682</v>
      </c>
      <c r="B21">
        <v>10.38</v>
      </c>
      <c r="C21">
        <v>11.01</v>
      </c>
      <c r="D21">
        <v>6.44</v>
      </c>
      <c r="E21">
        <v>8.68</v>
      </c>
      <c r="F21">
        <v>8.68</v>
      </c>
      <c r="G21">
        <v>1127366900</v>
      </c>
    </row>
    <row r="22" spans="1:7" x14ac:dyDescent="0.25">
      <c r="A22" s="3">
        <v>44713</v>
      </c>
      <c r="B22">
        <v>8.7200000000000006</v>
      </c>
      <c r="C22">
        <v>10.199999999999999</v>
      </c>
      <c r="D22">
        <v>7.5</v>
      </c>
      <c r="E22">
        <v>9.07</v>
      </c>
      <c r="F22">
        <v>9.07</v>
      </c>
      <c r="G22">
        <v>826595600</v>
      </c>
    </row>
    <row r="23" spans="1:7" x14ac:dyDescent="0.25">
      <c r="A23" s="3">
        <v>44743</v>
      </c>
      <c r="B23">
        <v>9.11</v>
      </c>
      <c r="C23">
        <v>10.76</v>
      </c>
      <c r="D23">
        <v>8.65</v>
      </c>
      <c r="E23">
        <v>10.35</v>
      </c>
      <c r="F23">
        <v>10.35</v>
      </c>
      <c r="G23">
        <v>711722800</v>
      </c>
    </row>
    <row r="24" spans="1:7" x14ac:dyDescent="0.25">
      <c r="A24" s="3">
        <v>44774</v>
      </c>
      <c r="B24">
        <v>10.25</v>
      </c>
      <c r="C24">
        <v>11.62</v>
      </c>
      <c r="D24">
        <v>7.68</v>
      </c>
      <c r="E24">
        <v>7.72</v>
      </c>
      <c r="F24">
        <v>7.72</v>
      </c>
      <c r="G24">
        <v>905373100</v>
      </c>
    </row>
    <row r="25" spans="1:7" x14ac:dyDescent="0.25">
      <c r="A25" s="3">
        <v>44805</v>
      </c>
      <c r="B25">
        <v>7.61</v>
      </c>
      <c r="C25">
        <v>8.1</v>
      </c>
      <c r="D25">
        <v>7.17</v>
      </c>
      <c r="E25">
        <v>7.62</v>
      </c>
      <c r="F25">
        <v>7.62</v>
      </c>
      <c r="G25">
        <v>422919100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 (21053197)</cp:lastModifiedBy>
  <dcterms:created xsi:type="dcterms:W3CDTF">2022-09-21T07:14:42Z</dcterms:created>
  <dcterms:modified xsi:type="dcterms:W3CDTF">2022-09-21T22:48:25Z</dcterms:modified>
</cp:coreProperties>
</file>