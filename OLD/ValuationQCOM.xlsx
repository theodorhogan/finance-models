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372" documentId="8_{53E2B46D-5B89-46B9-A48D-5259F0A1EDEC}" xr6:coauthVersionLast="47" xr6:coauthVersionMax="47" xr10:uidLastSave="{59D26C7A-3331-4C35-BCAB-0155A5D517CE}"/>
  <bookViews>
    <workbookView xWindow="-120" yWindow="-120" windowWidth="29040" windowHeight="15720" xr2:uid="{102EAD91-1609-48A3-9438-CB628837423D}"/>
  </bookViews>
  <sheets>
    <sheet name="Valuation" sheetId="1" r:id="rId1"/>
    <sheet name="Sheet2" sheetId="3" r:id="rId2"/>
    <sheet name="QCOM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21" i="1" l="1"/>
  <c r="AA21" i="1"/>
  <c r="AB15" i="1"/>
  <c r="AA15" i="1"/>
  <c r="AA4" i="1"/>
  <c r="AB4" i="1"/>
  <c r="O32" i="1"/>
  <c r="O6" i="1"/>
  <c r="N22" i="1"/>
  <c r="N20" i="1"/>
  <c r="N8" i="1"/>
  <c r="M8" i="1"/>
  <c r="N34" i="1"/>
  <c r="N30" i="1"/>
  <c r="N26" i="1"/>
  <c r="N24" i="1"/>
  <c r="N18" i="1"/>
  <c r="N16" i="1"/>
  <c r="N14" i="1"/>
  <c r="N4" i="1"/>
  <c r="N6" i="1"/>
  <c r="M36" i="1"/>
  <c r="L16" i="1"/>
  <c r="L18" i="1" s="1"/>
  <c r="L20" i="1" s="1"/>
  <c r="M16" i="1"/>
  <c r="M18" i="1" s="1"/>
  <c r="M20" i="1" s="1"/>
  <c r="L22" i="1"/>
  <c r="M22" i="1"/>
  <c r="M32" i="1"/>
  <c r="M30" i="1"/>
  <c r="M28" i="1"/>
  <c r="M6" i="1"/>
  <c r="M12" i="1"/>
  <c r="AB11" i="1"/>
  <c r="AA11" i="1"/>
  <c r="P3" i="1"/>
  <c r="Q3" i="1" s="1"/>
  <c r="R3" i="1" s="1"/>
  <c r="S3" i="1" s="1"/>
  <c r="T3" i="1" s="1"/>
  <c r="U3" i="1" s="1"/>
  <c r="V3" i="1" s="1"/>
  <c r="W3" i="1" s="1"/>
  <c r="X3" i="1" s="1"/>
  <c r="C16" i="1"/>
  <c r="D16" i="1"/>
  <c r="E16" i="1"/>
  <c r="E18" i="1" s="1"/>
  <c r="E20" i="1" s="1"/>
  <c r="F16" i="1"/>
  <c r="F18" i="1" s="1"/>
  <c r="F20" i="1" s="1"/>
  <c r="G16" i="1"/>
  <c r="H16" i="1"/>
  <c r="I16" i="1"/>
  <c r="J16" i="1"/>
  <c r="J18" i="1" s="1"/>
  <c r="J20" i="1" s="1"/>
  <c r="K16" i="1"/>
  <c r="D25" i="3" a="1"/>
  <c r="D25" i="3" s="1"/>
  <c r="C28" i="1"/>
  <c r="C30" i="1" s="1"/>
  <c r="C32" i="1" s="1"/>
  <c r="C6" i="1"/>
  <c r="C22" i="1" s="1"/>
  <c r="C10" i="1"/>
  <c r="D10" i="1"/>
  <c r="E30" i="1"/>
  <c r="E32" i="1" s="1"/>
  <c r="E36" i="1" s="1"/>
  <c r="D28" i="1"/>
  <c r="D30" i="1" s="1"/>
  <c r="D32" i="1" s="1"/>
  <c r="D36" i="1" s="1"/>
  <c r="D6" i="1"/>
  <c r="D8" i="1" s="1"/>
  <c r="E6" i="1"/>
  <c r="E8" i="1" s="1"/>
  <c r="F12" i="1"/>
  <c r="F22" i="1" s="1"/>
  <c r="E10" i="1"/>
  <c r="F10" i="1"/>
  <c r="F28" i="1"/>
  <c r="F30" i="1" s="1"/>
  <c r="F32" i="1" s="1"/>
  <c r="F36" i="1" s="1"/>
  <c r="G28" i="1"/>
  <c r="G30" i="1" s="1"/>
  <c r="G32" i="1" s="1"/>
  <c r="G36" i="1" s="1"/>
  <c r="F6" i="1"/>
  <c r="G6" i="1"/>
  <c r="G8" i="1" s="1"/>
  <c r="G12" i="1"/>
  <c r="G22" i="1" s="1"/>
  <c r="H12" i="1"/>
  <c r="H22" i="1" s="1"/>
  <c r="G10" i="1"/>
  <c r="H10" i="1"/>
  <c r="H28" i="1"/>
  <c r="H30" i="1" s="1"/>
  <c r="H32" i="1" s="1"/>
  <c r="H36" i="1" s="1"/>
  <c r="I28" i="1"/>
  <c r="I30" i="1" s="1"/>
  <c r="I32" i="1" s="1"/>
  <c r="I36" i="1" s="1"/>
  <c r="H6" i="1"/>
  <c r="I6" i="1"/>
  <c r="I8" i="1" s="1"/>
  <c r="I12" i="1"/>
  <c r="I22" i="1" s="1"/>
  <c r="J12" i="1"/>
  <c r="J22" i="1" s="1"/>
  <c r="L30" i="1"/>
  <c r="J28" i="1"/>
  <c r="J30" i="1" s="1"/>
  <c r="J32" i="1" s="1"/>
  <c r="J36" i="1" s="1"/>
  <c r="K28" i="1"/>
  <c r="K30" i="1" s="1"/>
  <c r="K32" i="1" s="1"/>
  <c r="K36" i="1" s="1"/>
  <c r="J6" i="1"/>
  <c r="K6" i="1"/>
  <c r="K8" i="1" s="1"/>
  <c r="L6" i="1"/>
  <c r="L8" i="1" s="1"/>
  <c r="K12" i="1"/>
  <c r="L12" i="1"/>
  <c r="AB8" i="1" s="1"/>
  <c r="K10" i="1"/>
  <c r="D3" i="1"/>
  <c r="E3" i="1" s="1"/>
  <c r="F3" i="1" s="1"/>
  <c r="G3" i="1" s="1"/>
  <c r="H3" i="1" s="1"/>
  <c r="I3" i="1" s="1"/>
  <c r="J3" i="1" s="1"/>
  <c r="K3" i="1" s="1"/>
  <c r="L3" i="1" s="1"/>
  <c r="H8" i="1" l="1"/>
  <c r="D18" i="1"/>
  <c r="D20" i="1" s="1"/>
  <c r="K18" i="1"/>
  <c r="K20" i="1" s="1"/>
  <c r="C18" i="1"/>
  <c r="C20" i="1" s="1"/>
  <c r="AA8" i="1"/>
  <c r="I18" i="1"/>
  <c r="I20" i="1" s="1"/>
  <c r="H18" i="1"/>
  <c r="H20" i="1" s="1"/>
  <c r="K22" i="1"/>
  <c r="G18" i="1"/>
  <c r="G20" i="1" s="1"/>
  <c r="C36" i="1"/>
  <c r="N32" i="1"/>
  <c r="J8" i="1"/>
  <c r="L32" i="1"/>
  <c r="E22" i="1"/>
  <c r="D22" i="1"/>
  <c r="P6" i="1"/>
  <c r="Q6" i="1" s="1"/>
  <c r="R6" i="1" s="1"/>
  <c r="S6" i="1" s="1"/>
  <c r="F8" i="1"/>
  <c r="AA5" i="1" l="1"/>
  <c r="AA7" i="1" s="1"/>
  <c r="AA10" i="1" s="1"/>
  <c r="AA12" i="1" s="1"/>
  <c r="AA23" i="1" s="1"/>
  <c r="T6" i="1"/>
  <c r="U6" i="1" s="1"/>
  <c r="V6" i="1" s="1"/>
  <c r="W6" i="1" s="1"/>
  <c r="X6" i="1" s="1"/>
  <c r="AB5" i="1" s="1"/>
  <c r="AB7" i="1" s="1"/>
  <c r="AB10" i="1" s="1"/>
  <c r="AB12" i="1" s="1"/>
  <c r="AB23" i="1" s="1"/>
  <c r="P32" i="1"/>
  <c r="Q32" i="1" s="1"/>
  <c r="R32" i="1" s="1"/>
  <c r="S32" i="1" s="1"/>
  <c r="L36" i="1"/>
  <c r="N36" i="1" s="1"/>
  <c r="AA16" i="1" l="1"/>
  <c r="AA18" i="1" s="1"/>
  <c r="AA24" i="1" s="1"/>
  <c r="AA25" i="1" s="1"/>
  <c r="AA26" i="1" s="1"/>
  <c r="T32" i="1"/>
  <c r="U32" i="1" s="1"/>
  <c r="V32" i="1" s="1"/>
  <c r="W32" i="1" s="1"/>
  <c r="X32" i="1" s="1"/>
  <c r="AB16" i="1" s="1"/>
  <c r="AB18" i="1" s="1"/>
  <c r="AB24" i="1" s="1"/>
  <c r="AB25" i="1" s="1"/>
  <c r="AB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<sst xmlns="http://schemas.openxmlformats.org/spreadsheetml/2006/main" count="79" uniqueCount="71">
  <si>
    <t>Ticker</t>
  </si>
  <si>
    <t>Date</t>
  </si>
  <si>
    <t>14/10/2022</t>
  </si>
  <si>
    <t>QCOM</t>
  </si>
  <si>
    <t>Revenue</t>
  </si>
  <si>
    <t>EBITDA</t>
  </si>
  <si>
    <t>Excess Cash</t>
  </si>
  <si>
    <t>ST + LT Debt</t>
  </si>
  <si>
    <t>CS Oustanding</t>
  </si>
  <si>
    <t>Market Cap</t>
  </si>
  <si>
    <t>EV</t>
  </si>
  <si>
    <t>EV/EBITDA</t>
  </si>
  <si>
    <t>Net Debt/ EBITDA</t>
  </si>
  <si>
    <t>CFO</t>
  </si>
  <si>
    <t>CapEx</t>
  </si>
  <si>
    <t>Debt Issuance</t>
  </si>
  <si>
    <t>FCFE</t>
  </si>
  <si>
    <t>FCFE/SHR</t>
  </si>
  <si>
    <t>$/SHR</t>
  </si>
  <si>
    <t>FCFE Yield</t>
  </si>
  <si>
    <t>Fiscal Year ends on the 26. of September</t>
  </si>
  <si>
    <t>Adj Close</t>
  </si>
  <si>
    <t>Row Labels</t>
  </si>
  <si>
    <t>Grand Total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</si>
  <si>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</si>
  <si>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</si>
  <si>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</si>
  <si>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</si>
  <si>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</si>
  <si>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</si>
  <si>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</si>
  <si>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</si>
  <si>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</si>
  <si>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</si>
  <si>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</si>
  <si>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</si>
  <si>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</si>
  <si>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</si>
  <si>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</si>
  <si>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</si>
  <si>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</si>
  <si>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</si>
  <si>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</si>
  <si>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</si>
  <si>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</si>
  <si>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</si>
  <si>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</si>
  <si>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</si>
  <si>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</si>
  <si>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</si>
  <si>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</si>
  <si>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</si>
  <si>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</si>
  <si>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</si>
  <si>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</si>
  <si>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</si>
  <si>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</si>
  <si>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Shareprices are not adjusted to fiscal year</t>
  </si>
  <si>
    <t>AVG/CAGR</t>
  </si>
  <si>
    <t>EBITDA Multiple Method</t>
  </si>
  <si>
    <t>Multiple</t>
  </si>
  <si>
    <t>Less Debt</t>
  </si>
  <si>
    <t>Add Cash</t>
  </si>
  <si>
    <t>CS Outstanding</t>
  </si>
  <si>
    <t>FCFE Yield Method</t>
  </si>
  <si>
    <t>Current $/SHR</t>
  </si>
  <si>
    <t>EBITDA $/SHR</t>
  </si>
  <si>
    <t>FCFE $/SHR</t>
  </si>
  <si>
    <t>Average</t>
  </si>
  <si>
    <t>Return</t>
  </si>
  <si>
    <t xml:space="preserve">Return Calculation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</si>
</sst>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_(&quot;$&quot;* #,##0.00_);_(&quot;$&quot;* \(#,##0.00\);_(&quot;$&quot;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42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center"/>
    </xf>
    <xf numFmtId="10" fontId="6" fillId="0" borderId="0" xfId="1" applyNumberFormat="1" applyFont="1" applyAlignment="1">
      <alignment horizontal="center"/>
    </xf>
    <xf numFmtId="166" fontId="0" fillId="0" borderId="0" xfId="0" applyNumberFormat="1"/>
    <xf numFmtId="166" fontId="2" fillId="0" borderId="0" xfId="0" applyNumberFormat="1" applyFont="1"/>
    <xf numFmtId="10" fontId="2" fillId="0" borderId="0" xfId="0" applyNumberFormat="1" applyFont="1" applyAlignment="1">
      <alignment horizontal="center"/>
    </xf>
    <xf numFmtId="9" fontId="5" fillId="0" borderId="0" xfId="1" applyFont="1"/>
    <xf numFmtId="0" fontId="1" fillId="4" borderId="0" xfId="0" applyFont="1" applyFill="1" applyAlignment="1">
      <alignment horizontal="center"/>
    </xf>
    <xf numFmtId="165" fontId="7" fillId="0" borderId="0" xfId="0" applyNumberFormat="1" applyFont="1"/>
    <xf numFmtId="0" fontId="1" fillId="5" borderId="0" xfId="0" applyFont="1" applyFill="1" applyAlignment="1">
      <alignment horizontal="center"/>
    </xf>
    <xf numFmtId="2" fontId="2" fillId="0" borderId="0" xfId="0" applyNumberFormat="1" applyFont="1"/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6" borderId="0" xfId="0" applyFont="1" applyFill="1"/>
    <xf numFmtId="16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left" indent="1"/>
    </xf>
    <xf numFmtId="42" fontId="0" fillId="6" borderId="0" xfId="0" applyNumberFormat="1" applyFill="1" applyAlignment="1">
      <alignment horizontal="center"/>
    </xf>
    <xf numFmtId="44" fontId="0" fillId="6" borderId="0" xfId="0" applyNumberFormat="1" applyFill="1" applyAlignment="1">
      <alignment horizontal="center"/>
    </xf>
    <xf numFmtId="44" fontId="0" fillId="6" borderId="0" xfId="0" applyNumberFormat="1" applyFill="1"/>
    <xf numFmtId="9" fontId="0" fillId="6" borderId="0" xfId="1" applyFont="1" applyFill="1"/>
    <xf numFmtId="0" fontId="2" fillId="0" borderId="1" xfId="0" applyFont="1" applyBorder="1" applyAlignment="1">
      <alignment horizontal="center"/>
    </xf>
    <xf numFmtId="44" fontId="0" fillId="6" borderId="0" xfId="0" applyNumberFormat="1" applyFill="1" applyAlignment="1">
      <alignment horizontal="center"/>
    </xf>
    <xf numFmtId="42" fontId="0" fillId="7" borderId="0" xfId="0" applyNumberFormat="1" applyFill="1"/>
    <xf numFmtId="9" fontId="5" fillId="7" borderId="0" xfId="1" applyFont="1" applyFill="1"/>
    <xf numFmtId="0" fontId="0" fillId="7" borderId="0" xfId="0" applyFill="1"/>
    <xf numFmtId="164" fontId="0" fillId="7" borderId="0" xfId="0" applyNumberFormat="1" applyFill="1"/>
    <xf numFmtId="2" fontId="0" fillId="7" borderId="0" xfId="0" applyNumberFormat="1" applyFill="1"/>
    <xf numFmtId="166" fontId="0" fillId="7" borderId="0" xfId="0" applyNumberFormat="1" applyFill="1"/>
    <xf numFmtId="9" fontId="0" fillId="7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50.617933912035" createdVersion="8" refreshedVersion="8" minRefreshableVersion="3" recordCount="7768" xr:uid="{1D720241-B33E-4BFE-BD28-73232B4262D4}">
  <cacheSource type="worksheet">
    <worksheetSource ref="A1:B7769" sheet="QCOM"/>
  </cacheSource>
  <cacheFields count="4">
    <cacheField name="Date" numFmtId="14">
      <sharedItems containsSemiMixedTypes="0" containsNonDate="0" containsDate="1" containsString="0" minDate="1991-12-13T00:00:00" maxDate="2022-10-15T00:00:00" count="7768">
        <d v="1991-12-13T00:00:00"/>
        <d v="1991-12-16T00:00:00"/>
        <d v="1991-12-17T00:00:00"/>
        <d v="1991-12-18T00:00:00"/>
        <d v="1991-12-19T00:00:00"/>
        <d v="1991-12-20T00:00:00"/>
        <d v="1991-12-23T00:00:00"/>
        <d v="1991-12-24T00:00:00"/>
        <d v="1991-12-26T00:00:00"/>
        <d v="1991-12-27T00:00:00"/>
        <d v="1991-12-30T00:00:00"/>
        <d v="1991-12-31T00:00:00"/>
        <d v="1992-01-02T00:00:00"/>
        <d v="1992-01-03T00:00:00"/>
        <d v="1992-01-06T00:00:00"/>
        <d v="1992-01-07T00:00:00"/>
        <d v="1992-01-08T00:00:00"/>
        <d v="1992-01-09T00:00:00"/>
        <d v="1992-01-10T00:00:00"/>
        <d v="1992-01-13T00:00:00"/>
        <d v="1992-01-14T00:00:00"/>
        <d v="1992-01-15T00:00:00"/>
        <d v="1992-01-16T00:00:00"/>
        <d v="1992-01-17T00:00:00"/>
        <d v="1992-01-20T00:00:00"/>
        <d v="1992-01-21T00:00:00"/>
        <d v="1992-01-22T00:00:00"/>
        <d v="1992-01-23T00:00:00"/>
        <d v="1992-01-24T00:00:00"/>
        <d v="1992-01-27T00:00:00"/>
        <d v="1992-01-28T00:00:00"/>
        <d v="1992-01-29T00:00:00"/>
        <d v="1992-01-30T00:00:00"/>
        <d v="1992-01-31T00:00:00"/>
        <d v="1992-02-03T00:00:00"/>
        <d v="1992-02-04T00:00:00"/>
        <d v="1992-02-05T00:00:00"/>
        <d v="1992-02-06T00:00:00"/>
        <d v="1992-02-07T00:00:00"/>
        <d v="1992-02-10T00:00:00"/>
        <d v="1992-02-11T00:00:00"/>
        <d v="1992-02-12T00:00:00"/>
        <d v="1992-02-13T00:00:00"/>
        <d v="1992-02-14T00:00:00"/>
        <d v="1992-02-18T00:00:00"/>
        <d v="1992-02-19T00:00:00"/>
        <d v="1992-02-20T00:00:00"/>
        <d v="1992-02-21T00:00:00"/>
        <d v="1992-02-24T00:00:00"/>
        <d v="1992-02-25T00:00:00"/>
        <d v="1992-02-26T00:00:00"/>
        <d v="1992-02-27T00:00:00"/>
        <d v="1992-02-28T00:00:00"/>
        <d v="1992-03-02T00:00:00"/>
        <d v="1992-03-03T00:00:00"/>
        <d v="1992-03-04T00:00:00"/>
        <d v="1992-03-05T00:00:00"/>
        <d v="1992-03-06T00:00:00"/>
        <d v="1992-03-09T00:00:00"/>
        <d v="1992-03-10T00:00:00"/>
        <d v="1992-03-11T00:00:00"/>
        <d v="1992-03-12T00:00:00"/>
        <d v="1992-03-13T00:00:00"/>
        <d v="1992-03-16T00:00:00"/>
        <d v="1992-03-17T00:00:00"/>
        <d v="1992-03-18T00:00:00"/>
        <d v="1992-03-19T00:00:00"/>
        <d v="1992-03-20T00:00:00"/>
        <d v="1992-03-23T00:00:00"/>
        <d v="1992-03-24T00:00:00"/>
        <d v="1992-03-25T00:00:00"/>
        <d v="1992-03-26T00:00:00"/>
        <d v="1992-03-27T00:00:00"/>
        <d v="1992-03-30T00:00:00"/>
        <d v="1992-03-31T00:00:00"/>
        <d v="1992-04-01T00:00:00"/>
        <d v="1992-04-02T00:00:00"/>
        <d v="1992-04-03T00:00:00"/>
        <d v="1992-04-06T00:00:00"/>
        <d v="1992-04-07T00:00:00"/>
        <d v="1992-04-08T00:00:00"/>
        <d v="1992-04-09T00:00:00"/>
        <d v="1992-04-10T00:00:00"/>
        <d v="1992-04-13T00:00:00"/>
        <d v="1992-04-14T00:00:00"/>
        <d v="1992-04-15T00:00:00"/>
        <d v="1992-04-16T00:00:00"/>
        <d v="1992-04-20T00:00:00"/>
        <d v="1992-04-21T00:00:00"/>
        <d v="1992-04-22T00:00:00"/>
        <d v="1992-04-23T00:00:00"/>
        <d v="1992-04-24T00:00:00"/>
        <d v="1992-04-27T00:00:00"/>
        <d v="1992-04-28T00:00:00"/>
        <d v="1992-04-29T00:00:00"/>
        <d v="1992-04-30T00:00:00"/>
        <d v="1992-05-01T00:00:00"/>
        <d v="1992-05-04T00:00:00"/>
        <d v="1992-05-05T00:00:00"/>
        <d v="1992-05-06T00:00:00"/>
        <d v="1992-05-07T00:00:00"/>
        <d v="1992-05-08T00:00:00"/>
        <d v="1992-05-11T00:00:00"/>
        <d v="1992-05-12T00:00:00"/>
        <d v="1992-05-13T00:00:00"/>
        <d v="1992-05-14T00:00:00"/>
        <d v="1992-05-15T00:00:00"/>
        <d v="1992-05-18T00:00:00"/>
        <d v="1992-05-19T00:00:00"/>
        <d v="1992-05-20T00:00:00"/>
        <d v="1992-05-21T00:00:00"/>
        <d v="1992-05-22T00:00:00"/>
        <d v="1992-05-26T00:00:00"/>
        <d v="1992-05-27T00:00:00"/>
        <d v="1992-05-28T00:00:00"/>
        <d v="1992-05-29T00:00:00"/>
        <d v="1992-06-01T00:00:00"/>
        <d v="1992-06-02T00:00:00"/>
        <d v="1992-06-03T00:00:00"/>
        <d v="1992-06-04T00:00:00"/>
        <d v="1992-06-05T00:00:00"/>
        <d v="1992-06-08T00:00:00"/>
        <d v="1992-06-09T00:00:00"/>
        <d v="1992-06-10T00:00:00"/>
        <d v="1992-06-11T00:00:00"/>
        <d v="1992-06-12T00:00:00"/>
        <d v="1992-06-15T00:00:00"/>
        <d v="1992-06-16T00:00:00"/>
        <d v="1992-06-17T00:00:00"/>
        <d v="1992-06-18T00:00:00"/>
        <d v="1992-06-19T00:00:00"/>
        <d v="1992-06-22T00:00:00"/>
        <d v="1992-06-23T00:00:00"/>
        <d v="1992-06-24T00:00:00"/>
        <d v="1992-06-25T00:00:00"/>
        <d v="1992-06-26T00:00:00"/>
        <d v="1992-06-29T00:00:00"/>
        <d v="1992-06-30T00:00:00"/>
        <d v="1992-07-01T00:00:00"/>
        <d v="1992-07-02T00:00:00"/>
        <d v="1992-07-06T00:00:00"/>
        <d v="1992-07-07T00:00:00"/>
        <d v="1992-07-08T00:00:00"/>
        <d v="1992-07-09T00:00:00"/>
        <d v="1992-07-10T00:00:00"/>
        <d v="1992-07-13T00:00:00"/>
        <d v="1992-07-14T00:00:00"/>
        <d v="1992-07-15T00:00:00"/>
        <d v="1992-07-16T00:00:00"/>
        <d v="1992-07-17T00:00:00"/>
        <d v="1992-07-20T00:00:00"/>
        <d v="1992-07-21T00:00:00"/>
        <d v="1992-07-22T00:00:00"/>
        <d v="1992-07-23T00:00:00"/>
        <d v="1992-07-24T00:00:00"/>
        <d v="1992-07-27T00:00:00"/>
        <d v="1992-07-28T00:00:00"/>
        <d v="1992-07-29T00:00:00"/>
        <d v="1992-07-30T00:00:00"/>
        <d v="1992-07-31T00:00:00"/>
        <d v="1992-08-03T00:00:00"/>
        <d v="1992-08-04T00:00:00"/>
        <d v="1992-08-05T00:00:00"/>
        <d v="1992-08-06T00:00:00"/>
        <d v="1992-08-07T00:00:00"/>
        <d v="1992-08-10T00:00:00"/>
        <d v="1992-08-11T00:00:00"/>
        <d v="1992-08-12T00:00:00"/>
        <d v="1992-08-13T00:00:00"/>
        <d v="1992-08-14T00:00:00"/>
        <d v="1992-08-17T00:00:00"/>
        <d v="1992-08-18T00:00:00"/>
        <d v="1992-08-19T00:00:00"/>
        <d v="1992-08-20T00:00:00"/>
        <d v="1992-08-21T00:00:00"/>
        <d v="1992-08-24T00:00:00"/>
        <d v="1992-08-25T00:00:00"/>
        <d v="1992-08-26T00:00:00"/>
        <d v="1992-08-27T00:00:00"/>
        <d v="1992-08-28T00:00:00"/>
        <d v="1992-08-31T00:00:00"/>
        <d v="1992-09-01T00:00:00"/>
        <d v="1992-09-02T00:00:00"/>
        <d v="1992-09-03T00:00:00"/>
        <d v="1992-09-04T00:00:00"/>
        <d v="1992-09-08T00:00:00"/>
        <d v="1992-09-09T00:00:00"/>
        <d v="1992-09-10T00:00:00"/>
        <d v="1992-09-11T00:00:00"/>
        <d v="1992-09-14T00:00:00"/>
        <d v="1992-09-15T00:00:00"/>
        <d v="1992-09-16T00:00:00"/>
        <d v="1992-09-17T00:00:00"/>
        <d v="1992-09-18T00:00:00"/>
        <d v="1992-09-21T00:00:00"/>
        <d v="1992-09-22T00:00:00"/>
        <d v="1992-09-23T00:00:00"/>
        <d v="1992-09-24T00:00:00"/>
        <d v="1992-09-25T00:00:00"/>
        <d v="1992-09-28T00:00:00"/>
        <d v="1992-09-29T00:00:00"/>
        <d v="1992-09-30T00:00:00"/>
        <d v="1992-10-01T00:00:00"/>
        <d v="1992-10-02T00:00:00"/>
        <d v="1992-10-05T00:00:00"/>
        <d v="1992-10-06T00:00:00"/>
        <d v="1992-10-07T00:00:00"/>
        <d v="1992-10-08T00:00:00"/>
        <d v="1992-10-09T00:00:00"/>
        <d v="1992-10-12T00:00:00"/>
        <d v="1992-10-13T00:00:00"/>
        <d v="1992-10-14T00:00:00"/>
        <d v="1992-10-15T00:00:00"/>
        <d v="1992-10-16T00:00:00"/>
        <d v="1992-10-19T00:00:00"/>
        <d v="1992-10-20T00:00:00"/>
        <d v="1992-10-21T00:00:00"/>
        <d v="1992-10-22T00:00:00"/>
        <d v="1992-10-23T00:00:00"/>
        <d v="1992-10-26T00:00:00"/>
        <d v="1992-10-27T00:00:00"/>
        <d v="1992-10-28T00:00:00"/>
        <d v="1992-10-29T00:00:00"/>
        <d v="1992-10-30T00:00:00"/>
        <d v="1992-11-02T00:00:00"/>
        <d v="1992-11-03T00:00:00"/>
        <d v="1992-11-04T00:00:00"/>
        <d v="1992-11-05T00:00:00"/>
        <d v="1992-11-06T00:00:00"/>
        <d v="1992-11-09T00:00:00"/>
        <d v="1992-11-10T00:00:00"/>
        <d v="1992-11-11T00:00:00"/>
        <d v="1992-11-12T00:00:00"/>
        <d v="1992-11-13T00:00:00"/>
        <d v="1992-11-16T00:00:00"/>
        <d v="1992-11-17T00:00:00"/>
        <d v="1992-11-18T00:00:00"/>
        <d v="1992-11-19T00:00:00"/>
        <d v="1992-11-20T00:00:00"/>
        <d v="1992-11-23T00:00:00"/>
        <d v="1992-11-24T00:00:00"/>
        <d v="1992-11-25T00:00:00"/>
        <d v="1992-11-27T00:00:00"/>
        <d v="1992-11-30T00:00:00"/>
        <d v="1992-12-01T00:00:00"/>
        <d v="1992-12-02T00:00:00"/>
        <d v="1992-12-03T00:00:00"/>
        <d v="1992-12-04T00:00:00"/>
        <d v="1992-12-07T00:00:00"/>
        <d v="1992-12-08T00:00:00"/>
        <d v="1992-12-09T00:00:00"/>
        <d v="1992-12-10T00:00:00"/>
        <d v="1992-12-11T00:00:00"/>
        <d v="1992-12-14T00:00:00"/>
        <d v="1992-12-15T00:00:00"/>
        <d v="1992-12-16T00:00:00"/>
        <d v="1992-12-17T00:00:00"/>
        <d v="1992-12-18T00:00:00"/>
        <d v="1992-12-21T00:00:00"/>
        <d v="1992-12-22T00:00:00"/>
        <d v="1992-12-23T00:00:00"/>
        <d v="1992-12-24T00:00:00"/>
        <d v="1992-12-28T00:00:00"/>
        <d v="1992-12-29T00:00:00"/>
        <d v="1992-12-30T00:00:00"/>
        <d v="1992-12-31T00:00:00"/>
        <d v="1993-01-04T00:00:00"/>
        <d v="1993-01-05T00:00:00"/>
        <d v="1993-01-06T00:00:00"/>
        <d v="1993-01-07T00:00:00"/>
        <d v="1993-01-08T00:00:00"/>
        <d v="1993-01-11T00:00:00"/>
        <d v="1993-01-12T00:00:00"/>
        <d v="1993-01-13T00:00:00"/>
        <d v="1993-01-14T00:00:00"/>
        <d v="1993-01-15T00:00:00"/>
        <d v="1993-01-18T00:00:00"/>
        <d v="1993-01-19T00:00:00"/>
        <d v="1993-01-20T00:00:00"/>
        <d v="1993-01-21T00:00:00"/>
        <d v="1993-01-22T00:00:00"/>
        <d v="1993-01-25T00:00:00"/>
        <d v="1993-01-26T00:00:00"/>
        <d v="1993-01-27T00:00:00"/>
        <d v="1993-01-28T00:00:00"/>
        <d v="1993-01-29T00:00:00"/>
        <d v="1993-02-01T00:00:00"/>
        <d v="1993-02-02T00:00:00"/>
        <d v="1993-02-03T00:00:00"/>
        <d v="1993-02-04T00:00:00"/>
        <d v="1993-02-05T00:00:00"/>
        <d v="1993-02-08T00:00:00"/>
        <d v="1993-02-09T00:00:00"/>
        <d v="1993-02-10T00:00:00"/>
        <d v="1993-02-11T00:00:00"/>
        <d v="1993-02-12T00:00:00"/>
        <d v="1993-02-16T00:00:00"/>
        <d v="1993-02-17T00:00:00"/>
        <d v="1993-02-18T00:00:00"/>
        <d v="1993-02-19T00:00:00"/>
        <d v="1993-02-22T00:00:00"/>
        <d v="1993-02-23T00:00:00"/>
        <d v="1993-02-24T00:00:00"/>
        <d v="1993-02-25T00:00:00"/>
        <d v="1993-02-26T00:00:00"/>
        <d v="1993-03-01T00:00:00"/>
        <d v="1993-03-02T00:00:00"/>
        <d v="1993-03-03T00:00:00"/>
        <d v="1993-03-04T00:00:00"/>
        <d v="1993-03-05T00:00:00"/>
        <d v="1993-03-08T00:00:00"/>
        <d v="1993-03-09T00:00:00"/>
        <d v="1993-03-10T00:00:00"/>
        <d v="1993-03-11T00:00:00"/>
        <d v="1993-03-12T00:00:00"/>
        <d v="1993-03-15T00:00:00"/>
        <d v="1993-03-16T00:00:00"/>
        <d v="1993-03-17T00:00:00"/>
        <d v="1993-03-18T00:00:00"/>
        <d v="1993-03-19T00:00:00"/>
        <d v="1993-03-22T00:00:00"/>
        <d v="1993-03-23T00:00:00"/>
        <d v="1993-03-24T00:00:00"/>
        <d v="1993-03-25T00:00:00"/>
        <d v="1993-03-26T00:00:00"/>
        <d v="1993-03-29T00:00:00"/>
        <d v="1993-03-30T00:00:00"/>
        <d v="1993-03-31T00:00:00"/>
        <d v="1993-04-01T00:00:00"/>
        <d v="1993-04-02T00:00:00"/>
        <d v="1993-04-05T00:00:00"/>
        <d v="1993-04-06T00:00:00"/>
        <d v="1993-04-07T00:00:00"/>
        <d v="1993-04-08T00:00:00"/>
        <d v="1993-04-12T00:00:00"/>
        <d v="1993-04-13T00:00:00"/>
        <d v="1993-04-14T00:00:00"/>
        <d v="1993-04-15T00:00:00"/>
        <d v="1993-04-16T00:00:00"/>
        <d v="1993-04-19T00:00:00"/>
        <d v="1993-04-20T00:00:00"/>
        <d v="1993-04-21T00:00:00"/>
        <d v="1993-04-22T00:00:00"/>
        <d v="1993-04-23T00:00:00"/>
        <d v="1993-04-26T00:00:00"/>
        <d v="1993-04-27T00:00:00"/>
        <d v="1993-04-28T00:00:00"/>
        <d v="1993-04-29T00:00:00"/>
        <d v="1993-04-30T00:00:00"/>
        <d v="1993-05-03T00:00:00"/>
        <d v="1993-05-04T00:00:00"/>
        <d v="1993-05-05T00:00:00"/>
        <d v="1993-05-06T00:00:00"/>
        <d v="1993-05-07T00:00:00"/>
        <d v="1993-05-10T00:00:00"/>
        <d v="1993-05-11T00:00:00"/>
        <d v="1993-05-12T00:00:00"/>
        <d v="1993-05-13T00:00:00"/>
        <d v="1993-05-14T00:00:00"/>
        <d v="1993-05-17T00:00:00"/>
        <d v="1993-05-18T00:00:00"/>
        <d v="1993-05-19T00:00:00"/>
        <d v="1993-05-20T00:00:00"/>
        <d v="1993-05-21T00:00:00"/>
        <d v="1993-05-24T00:00:00"/>
        <d v="1993-05-25T00:00:00"/>
        <d v="1993-05-26T00:00:00"/>
        <d v="1993-05-27T00:00:00"/>
        <d v="1993-05-28T00:00:00"/>
        <d v="1993-06-01T00:00:00"/>
        <d v="1993-06-02T00:00:00"/>
        <d v="1993-06-03T00:00:00"/>
        <d v="1993-06-04T00:00:00"/>
        <d v="1993-06-07T00:00:00"/>
        <d v="1993-06-08T00:00:00"/>
        <d v="1993-06-09T00:00:00"/>
        <d v="1993-06-10T00:00:00"/>
        <d v="1993-06-11T00:00:00"/>
        <d v="1993-06-14T00:00:00"/>
        <d v="1993-06-15T00:00:00"/>
        <d v="1993-06-16T00:00:00"/>
        <d v="1993-06-17T00:00:00"/>
        <d v="1993-06-18T00:00:00"/>
        <d v="1993-06-21T00:00:00"/>
        <d v="1993-06-22T00:00:00"/>
        <d v="1993-06-23T00:00:00"/>
        <d v="1993-06-24T00:00:00"/>
        <d v="1993-06-25T00:00:00"/>
        <d v="1993-06-28T00:00:00"/>
        <d v="1993-06-29T00:00:00"/>
        <d v="1993-06-30T00:00:00"/>
        <d v="1993-07-01T00:00:00"/>
        <d v="1993-07-02T00:00:00"/>
        <d v="1993-07-06T00:00:00"/>
        <d v="1993-07-07T00:00:00"/>
        <d v="1993-07-08T00:00:00"/>
        <d v="1993-07-09T00:00:00"/>
        <d v="1993-07-12T00:00:00"/>
        <d v="1993-07-13T00:00:00"/>
        <d v="1993-07-14T00:00:00"/>
        <d v="1993-07-15T00:00:00"/>
        <d v="1993-07-16T00:00:00"/>
        <d v="1993-07-19T00:00:00"/>
        <d v="1993-07-20T00:00:00"/>
        <d v="1993-07-21T00:00:00"/>
        <d v="1993-07-22T00:00:00"/>
        <d v="1993-07-23T00:00:00"/>
        <d v="1993-07-26T00:00:00"/>
        <d v="1993-07-27T00:00:00"/>
        <d v="1993-07-28T00:00:00"/>
        <d v="1993-07-29T00:00:00"/>
        <d v="1993-07-30T00:00:00"/>
        <d v="1993-08-02T00:00:00"/>
        <d v="1993-08-03T00:00:00"/>
        <d v="1993-08-04T00:00:00"/>
        <d v="1993-08-05T00:00:00"/>
        <d v="1993-08-06T00:00:00"/>
        <d v="1993-08-09T00:00:00"/>
        <d v="1993-08-10T00:00:00"/>
        <d v="1993-08-11T00:00:00"/>
        <d v="1993-08-12T00:00:00"/>
        <d v="1993-08-13T00:00:00"/>
        <d v="1993-08-16T00:00:00"/>
        <d v="1993-08-17T00:00:00"/>
        <d v="1993-08-18T00:00:00"/>
        <d v="1993-08-19T00:00:00"/>
        <d v="1993-08-20T00:00:00"/>
        <d v="1993-08-23T00:00:00"/>
        <d v="1993-08-24T00:00:00"/>
        <d v="1993-08-25T00:00:00"/>
        <d v="1993-08-26T00:00:00"/>
        <d v="1993-08-27T00:00:00"/>
        <d v="1993-08-30T00:00:00"/>
        <d v="1993-08-31T00:00:00"/>
        <d v="1993-09-01T00:00:00"/>
        <d v="1993-09-02T00:00:00"/>
        <d v="1993-09-03T00:00:00"/>
        <d v="1993-09-07T00:00:00"/>
        <d v="1993-09-08T00:00:00"/>
        <d v="1993-09-09T00:00:00"/>
        <d v="1993-09-10T00:00:00"/>
        <d v="1993-09-13T00:00:00"/>
        <d v="1993-09-14T00:00:00"/>
        <d v="1993-09-15T00:00:00"/>
        <d v="1993-09-16T00:00:00"/>
        <d v="1993-09-17T00:00:00"/>
        <d v="1993-09-20T00:00:00"/>
        <d v="1993-09-21T00:00:00"/>
        <d v="1993-09-22T00:00:00"/>
        <d v="1993-09-23T00:00:00"/>
        <d v="1993-09-24T00:00:00"/>
        <d v="1993-09-27T00:00:00"/>
        <d v="1993-09-28T00:00:00"/>
        <d v="1993-09-29T00:00:00"/>
        <d v="1993-09-30T00:00:00"/>
        <d v="1993-10-01T00:00:00"/>
        <d v="1993-10-04T00:00:00"/>
        <d v="1993-10-05T00:00:00"/>
        <d v="1993-10-06T00:00:00"/>
        <d v="1993-10-07T00:00:00"/>
        <d v="1993-10-08T00:00:00"/>
        <d v="1993-10-11T00:00:00"/>
        <d v="1993-10-12T00:00:00"/>
        <d v="1993-10-13T00:00:00"/>
        <d v="1993-10-14T00:00:00"/>
        <d v="1993-10-15T00:00:00"/>
        <d v="1993-10-18T00:00:00"/>
        <d v="1993-10-19T00:00:00"/>
        <d v="1993-10-20T00:00:00"/>
        <d v="1993-10-21T00:00:00"/>
        <d v="1993-10-22T00:00:00"/>
        <d v="1993-10-25T00:00:00"/>
        <d v="1993-10-26T00:00:00"/>
        <d v="1993-10-27T00:00:00"/>
        <d v="1993-10-28T00:00:00"/>
        <d v="1993-10-29T00:00:00"/>
        <d v="1993-11-01T00:00:00"/>
        <d v="1993-11-02T00:00:00"/>
        <d v="1993-11-03T00:00:00"/>
        <d v="1993-11-04T00:00:00"/>
        <d v="1993-11-05T00:00:00"/>
        <d v="1993-11-08T00:00:00"/>
        <d v="1993-11-09T00:00:00"/>
        <d v="1993-11-10T00:00:00"/>
        <d v="1993-11-11T00:00:00"/>
        <d v="1993-11-12T00:00:00"/>
        <d v="1993-11-15T00:00:00"/>
        <d v="1993-11-16T00:00:00"/>
        <d v="1993-11-17T00:00:00"/>
        <d v="1993-11-18T00:00:00"/>
        <d v="1993-11-19T00:00:00"/>
        <d v="1993-11-22T00:00:00"/>
        <d v="1993-11-23T00:00:00"/>
        <d v="1993-11-24T00:00:00"/>
        <d v="1993-11-26T00:00:00"/>
        <d v="1993-11-29T00:00:00"/>
        <d v="1993-11-30T00:00:00"/>
        <d v="1993-12-01T00:00:00"/>
        <d v="1993-12-02T00:00:00"/>
        <d v="1993-12-03T00:00:00"/>
        <d v="1993-12-06T00:00:00"/>
        <d v="1993-12-07T00:00:00"/>
        <d v="1993-12-08T00:00:00"/>
        <d v="1993-12-09T00:00:00"/>
        <d v="1993-12-10T00:00:00"/>
        <d v="1993-12-13T00:00:00"/>
        <d v="1993-12-14T00:00:00"/>
        <d v="1993-12-15T00:00:00"/>
        <d v="1993-12-16T00:00:00"/>
        <d v="1993-12-17T00:00:00"/>
        <d v="1993-12-20T00:00:00"/>
        <d v="1993-12-21T00:00:00"/>
        <d v="1993-12-22T00:00:00"/>
        <d v="1993-12-23T00:00:00"/>
        <d v="1993-12-27T00:00:00"/>
        <d v="1993-12-28T00:00:00"/>
        <d v="1993-12-29T00:00:00"/>
        <d v="1993-12-30T00:00:00"/>
        <d v="1993-12-31T00:00:00"/>
        <d v="1994-01-03T00:00:00"/>
        <d v="1994-01-04T00:00:00"/>
        <d v="1994-01-05T00:00:00"/>
        <d v="1994-01-06T00:00:00"/>
        <d v="1994-01-07T00:00:00"/>
        <d v="1994-01-10T00:00:00"/>
        <d v="1994-01-11T00:00:00"/>
        <d v="1994-01-12T00:00:00"/>
        <d v="1994-01-13T00:00:00"/>
        <d v="1994-01-14T00:00:00"/>
        <d v="1994-01-17T00:00:00"/>
        <d v="1994-01-18T00:00:00"/>
        <d v="1994-01-19T00:00:00"/>
        <d v="1994-01-20T00:00:00"/>
        <d v="1994-01-21T00:00:00"/>
        <d v="1994-01-24T00:00:00"/>
        <d v="1994-01-25T00:00:00"/>
        <d v="1994-01-26T00:00:00"/>
        <d v="1994-01-27T00:00:00"/>
        <d v="1994-01-28T00:00:00"/>
        <d v="1994-01-31T00:00:00"/>
        <d v="1994-02-01T00:00:00"/>
        <d v="1994-02-02T00:00:00"/>
        <d v="1994-02-03T00:00:00"/>
        <d v="1994-02-04T00:00:00"/>
        <d v="1994-02-07T00:00:00"/>
        <d v="1994-02-08T00:00:00"/>
        <d v="1994-02-09T00:00:00"/>
        <d v="1994-02-10T00:00:00"/>
        <d v="1994-02-11T00:00:00"/>
        <d v="1994-02-14T00:00:00"/>
        <d v="1994-02-15T00:00:00"/>
        <d v="1994-02-16T00:00:00"/>
        <d v="1994-02-17T00:00:00"/>
        <d v="1994-02-18T00:00:00"/>
        <d v="1994-02-22T00:00:00"/>
        <d v="1994-02-23T00:00:00"/>
        <d v="1994-02-24T00:00:00"/>
        <d v="1994-02-25T00:00:00"/>
        <d v="1994-02-28T00:00:00"/>
        <d v="1994-03-01T00:00:00"/>
        <d v="1994-03-02T00:00:00"/>
        <d v="1994-03-03T00:00:00"/>
        <d v="1994-03-04T00:00:00"/>
        <d v="1994-03-07T00:00:00"/>
        <d v="1994-03-08T00:00:00"/>
        <d v="1994-03-09T00:00:00"/>
        <d v="1994-03-10T00:00:00"/>
        <d v="1994-03-11T00:00:00"/>
        <d v="1994-03-14T00:00:00"/>
        <d v="1994-03-15T00:00:00"/>
        <d v="1994-03-16T00:00:00"/>
        <d v="1994-03-17T00:00:00"/>
        <d v="1994-03-18T00:00:00"/>
        <d v="1994-03-21T00:00:00"/>
        <d v="1994-03-22T00:00:00"/>
        <d v="1994-03-23T00:00:00"/>
        <d v="1994-03-24T00:00:00"/>
        <d v="1994-03-25T00:00:00"/>
        <d v="1994-03-28T00:00:00"/>
        <d v="1994-03-29T00:00:00"/>
        <d v="1994-03-30T00:00:00"/>
        <d v="1994-03-31T00:00:00"/>
        <d v="1994-04-04T00:00:00"/>
        <d v="1994-04-05T00:00:00"/>
        <d v="1994-04-06T00:00:00"/>
        <d v="1994-04-07T00:00:00"/>
        <d v="1994-04-08T00:00:00"/>
        <d v="1994-04-11T00:00:00"/>
        <d v="1994-04-12T00:00:00"/>
        <d v="1994-04-13T00:00:00"/>
        <d v="1994-04-14T00:00:00"/>
        <d v="1994-04-15T00:00:00"/>
        <d v="1994-04-18T00:00:00"/>
        <d v="1994-04-19T00:00:00"/>
        <d v="1994-04-20T00:00:00"/>
        <d v="1994-04-21T00:00:00"/>
        <d v="1994-04-22T00:00:00"/>
        <d v="1994-04-25T00:00:00"/>
        <d v="1994-04-26T00:00:00"/>
        <d v="1994-04-28T00:00:00"/>
        <d v="1994-04-29T00:00:00"/>
        <d v="1994-05-02T00:00:00"/>
        <d v="1994-05-03T00:00:00"/>
        <d v="1994-05-04T00:00:00"/>
        <d v="1994-05-05T00:00:00"/>
        <d v="1994-05-06T00:00:00"/>
        <d v="1994-05-09T00:00:00"/>
        <d v="1994-05-10T00:00:00"/>
        <d v="1994-05-11T00:00:00"/>
        <d v="1994-05-12T00:00:00"/>
        <d v="1994-05-13T00:00:00"/>
        <d v="1994-05-16T00:00:00"/>
        <d v="1994-05-17T00:00:00"/>
        <d v="1994-05-18T00:00:00"/>
        <d v="1994-05-19T00:00:00"/>
        <d v="1994-05-20T00:00:00"/>
        <d v="1994-05-23T00:00:00"/>
        <d v="1994-05-24T00:00:00"/>
        <d v="1994-05-25T00:00:00"/>
        <d v="1994-05-26T00:00:00"/>
        <d v="1994-05-27T00:00:00"/>
        <d v="1994-05-31T00:00:00"/>
        <d v="1994-06-01T00:00:00"/>
        <d v="1994-06-02T00:00:00"/>
        <d v="1994-06-03T00:00:00"/>
        <d v="1994-06-06T00:00:00"/>
        <d v="1994-06-07T00:00:00"/>
        <d v="1994-06-08T00:00:00"/>
        <d v="1994-06-09T00:00:00"/>
        <d v="1994-06-10T00:00:00"/>
        <d v="1994-06-13T00:00:00"/>
        <d v="1994-06-14T00:00:00"/>
        <d v="1994-06-15T00:00:00"/>
        <d v="1994-06-16T00:00:00"/>
        <d v="1994-06-17T00:00:00"/>
        <d v="1994-06-20T00:00:00"/>
        <d v="1994-06-21T00:00:00"/>
        <d v="1994-06-22T00:00:00"/>
        <d v="1994-06-23T00:00:00"/>
        <d v="1994-06-24T00:00:00"/>
        <d v="1994-06-27T00:00:00"/>
        <d v="1994-06-28T00:00:00"/>
        <d v="1994-06-29T00:00:00"/>
        <d v="1994-06-30T00:00:00"/>
        <d v="1994-07-01T00:00:00"/>
        <d v="1994-07-05T00:00:00"/>
        <d v="1994-07-06T00:00:00"/>
        <d v="1994-07-07T00:00:00"/>
        <d v="1994-07-08T00:00:00"/>
        <d v="1994-07-11T00:00:00"/>
        <d v="1994-07-12T00:00:00"/>
        <d v="1994-07-13T00:00:00"/>
        <d v="1994-07-14T00:00:00"/>
        <d v="1994-07-15T00:00:00"/>
        <d v="1994-07-18T00:00:00"/>
        <d v="1994-07-19T00:00:00"/>
        <d v="1994-07-20T00:00:00"/>
        <d v="1994-07-21T00:00:00"/>
        <d v="1994-07-22T00:00:00"/>
        <d v="1994-07-25T00:00:00"/>
        <d v="1994-07-26T00:00:00"/>
        <d v="1994-07-27T00:00:00"/>
        <d v="1994-07-28T00:00:00"/>
        <d v="1994-07-29T00:00:00"/>
        <d v="1994-08-01T00:00:00"/>
        <d v="1994-08-02T00:00:00"/>
        <d v="1994-08-03T00:00:00"/>
        <d v="1994-08-04T00:00:00"/>
        <d v="1994-08-05T00:00:00"/>
        <d v="1994-08-08T00:00:00"/>
        <d v="1994-08-09T00:00:00"/>
        <d v="1994-08-10T00:00:00"/>
        <d v="1994-08-11T00:00:00"/>
        <d v="1994-08-12T00:00:00"/>
        <d v="1994-08-15T00:00:00"/>
        <d v="1994-08-16T00:00:00"/>
        <d v="1994-08-17T00:00:00"/>
        <d v="1994-08-18T00:00:00"/>
        <d v="1994-08-19T00:00:00"/>
        <d v="1994-08-22T00:00:00"/>
        <d v="1994-08-23T00:00:00"/>
        <d v="1994-08-24T00:00:00"/>
        <d v="1994-08-25T00:00:00"/>
        <d v="1994-08-26T00:00:00"/>
        <d v="1994-08-29T00:00:00"/>
        <d v="1994-08-30T00:00:00"/>
        <d v="1994-08-31T00:00:00"/>
        <d v="1994-09-01T00:00:00"/>
        <d v="1994-09-02T00:00:00"/>
        <d v="1994-09-06T00:00:00"/>
        <d v="1994-09-07T00:00:00"/>
        <d v="1994-09-08T00:00:00"/>
        <d v="1994-09-09T00:00:00"/>
        <d v="1994-09-12T00:00:00"/>
        <d v="1994-09-13T00:00:00"/>
        <d v="1994-09-14T00:00:00"/>
        <d v="1994-09-15T00:00:00"/>
        <d v="1994-09-16T00:00:00"/>
        <d v="1994-09-19T00:00:00"/>
        <d v="1994-09-20T00:00:00"/>
        <d v="1994-09-21T00:00:00"/>
        <d v="1994-09-22T00:00:00"/>
        <d v="1994-09-23T00:00:00"/>
        <d v="1994-09-26T00:00:00"/>
        <d v="1994-09-27T00:00:00"/>
        <d v="1994-09-28T00:00:00"/>
        <d v="1994-09-29T00:00:00"/>
        <d v="1994-09-30T00:00:00"/>
        <d v="1994-10-03T00:00:00"/>
        <d v="1994-10-04T00:00:00"/>
        <d v="1994-10-05T00:00:00"/>
        <d v="1994-10-06T00:00:00"/>
        <d v="1994-10-07T00:00:00"/>
        <d v="1994-10-10T00:00:00"/>
        <d v="1994-10-11T00:00:00"/>
        <d v="1994-10-12T00:00:00"/>
        <d v="1994-10-13T00:00:00"/>
        <d v="1994-10-14T00:00:00"/>
        <d v="1994-10-17T00:00:00"/>
        <d v="1994-10-18T00:00:00"/>
        <d v="1994-10-19T00:00:00"/>
        <d v="1994-10-20T00:00:00"/>
        <d v="1994-10-21T00:00:00"/>
        <d v="1994-10-24T00:00:00"/>
        <d v="1994-10-25T00:00:00"/>
        <d v="1994-10-26T00:00:00"/>
        <d v="1994-10-27T00:00:00"/>
        <d v="1994-10-28T00:00:00"/>
        <d v="1994-10-31T00:00:00"/>
        <d v="1994-11-01T00:00:00"/>
        <d v="1994-11-02T00:00:00"/>
        <d v="1994-11-03T00:00:00"/>
        <d v="1994-11-04T00:00:00"/>
        <d v="1994-11-07T00:00:00"/>
        <d v="1994-11-08T00:00:00"/>
        <d v="1994-11-09T00:00:00"/>
        <d v="1994-11-10T00:00:00"/>
        <d v="1994-11-11T00:00:00"/>
        <d v="1994-11-14T00:00:00"/>
        <d v="1994-11-15T00:00:00"/>
        <d v="1994-11-16T00:00:00"/>
        <d v="1994-11-17T00:00:00"/>
        <d v="1994-11-18T00:00:00"/>
        <d v="1994-11-21T00:00:00"/>
        <d v="1994-11-22T00:00:00"/>
        <d v="1994-11-23T00:00:00"/>
        <d v="1994-11-25T00:00:00"/>
        <d v="1994-11-28T00:00:00"/>
        <d v="1994-11-29T00:00:00"/>
        <d v="1994-11-30T00:00:00"/>
        <d v="1994-12-01T00:00:00"/>
        <d v="1994-12-02T00:00:00"/>
        <d v="1994-12-05T00:00:00"/>
        <d v="1994-12-06T00:00:00"/>
        <d v="1994-12-07T00:00:00"/>
        <d v="1994-12-08T00:00:00"/>
        <d v="1994-12-09T00:00:00"/>
        <d v="1994-12-12T00:00:00"/>
        <d v="1994-12-13T00:00:00"/>
        <d v="1994-12-14T00:00:00"/>
        <d v="1994-12-15T00:00:00"/>
        <d v="1994-12-16T00:00:00"/>
        <d v="1994-12-19T00:00:00"/>
        <d v="1994-12-20T00:00:00"/>
        <d v="1994-12-21T00:00:00"/>
        <d v="1994-12-22T00:00:00"/>
        <d v="1994-12-23T00:00:00"/>
        <d v="1994-12-27T00:00:00"/>
        <d v="1994-12-28T00:00:00"/>
        <d v="1994-12-29T00:00:00"/>
        <d v="1994-12-30T00:00:00"/>
        <d v="1995-01-03T00:00:00"/>
        <d v="1995-01-04T00:00:00"/>
        <d v="1995-01-05T00:00:00"/>
        <d v="1995-01-06T00:00:00"/>
        <d v="1995-01-09T00:00:00"/>
        <d v="1995-01-10T00:00:00"/>
        <d v="1995-01-11T00:00:00"/>
        <d v="1995-01-12T00:00:00"/>
        <d v="1995-01-13T00:00:00"/>
        <d v="1995-01-16T00:00:00"/>
        <d v="1995-01-17T00:00:00"/>
        <d v="1995-01-18T00:00:00"/>
        <d v="1995-01-19T00:00:00"/>
        <d v="1995-01-20T00:00:00"/>
        <d v="1995-01-23T00:00:00"/>
        <d v="1995-01-24T00:00:00"/>
        <d v="1995-01-25T00:00:00"/>
        <d v="1995-01-26T00:00:00"/>
        <d v="1995-01-27T00:00:00"/>
        <d v="1995-01-30T00:00:00"/>
        <d v="1995-01-31T00:00:00"/>
        <d v="1995-02-01T00:00:00"/>
        <d v="1995-02-02T00:00:00"/>
        <d v="1995-02-03T00:00:00"/>
        <d v="1995-02-06T00:00:00"/>
        <d v="1995-02-07T00:00:00"/>
        <d v="1995-02-08T00:00:00"/>
        <d v="1995-02-09T00:00:00"/>
        <d v="1995-02-10T00:00:00"/>
        <d v="1995-02-13T00:00:00"/>
        <d v="1995-02-14T00:00:00"/>
        <d v="1995-02-15T00:00:00"/>
        <d v="1995-02-16T00:00:00"/>
        <d v="1995-02-17T00:00:00"/>
        <d v="1995-02-21T00:00:00"/>
        <d v="1995-02-22T00:00:00"/>
        <d v="1995-02-23T00:00:00"/>
        <d v="1995-02-24T00:00:00"/>
        <d v="1995-02-27T00:00:00"/>
        <d v="1995-02-28T00:00:00"/>
        <d v="1995-03-01T00:00:00"/>
        <d v="1995-03-02T00:00:00"/>
        <d v="1995-03-03T00:00:00"/>
        <d v="1995-03-06T00:00:00"/>
        <d v="1995-03-07T00:00:00"/>
        <d v="1995-03-08T00:00:00"/>
        <d v="1995-03-09T00:00:00"/>
        <d v="1995-03-10T00:00:00"/>
        <d v="1995-03-13T00:00:00"/>
        <d v="1995-03-14T00:00:00"/>
        <d v="1995-03-15T00:00:00"/>
        <d v="1995-03-16T00:00:00"/>
        <d v="1995-03-17T00:00:00"/>
        <d v="1995-03-20T00:00:00"/>
        <d v="1995-03-21T00:00:00"/>
        <d v="1995-03-22T00:00:00"/>
        <d v="1995-03-23T00:00:00"/>
        <d v="1995-03-24T00:00:00"/>
        <d v="1995-03-27T00:00:00"/>
        <d v="1995-03-28T00:00:00"/>
        <d v="1995-03-29T00:00:00"/>
        <d v="1995-03-30T00:00:00"/>
        <d v="1995-03-31T00:00:00"/>
        <d v="1995-04-03T00:00:00"/>
        <d v="1995-04-04T00:00:00"/>
        <d v="1995-04-05T00:00:00"/>
        <d v="1995-04-06T00:00:00"/>
        <d v="1995-04-07T00:00:00"/>
        <d v="1995-04-10T00:00:00"/>
        <d v="1995-04-11T00:00:00"/>
        <d v="1995-04-12T00:00:00"/>
        <d v="1995-04-13T00:00:00"/>
        <d v="1995-04-17T00:00:00"/>
        <d v="1995-04-18T00:00:00"/>
        <d v="1995-04-19T00:00:00"/>
        <d v="1995-04-20T00:00:00"/>
        <d v="1995-04-21T00:00:00"/>
        <d v="1995-04-24T00:00:00"/>
        <d v="1995-04-25T00:00:00"/>
        <d v="1995-04-26T00:00:00"/>
        <d v="1995-04-27T00:00:00"/>
        <d v="1995-04-28T00:00:00"/>
        <d v="1995-05-01T00:00:00"/>
        <d v="1995-05-02T00:00:00"/>
        <d v="1995-05-03T00:00:00"/>
        <d v="1995-05-04T00:00:00"/>
        <d v="1995-05-05T00:00:00"/>
        <d v="1995-05-08T00:00:00"/>
        <d v="1995-05-09T00:00:00"/>
        <d v="1995-05-10T00:00:00"/>
        <d v="1995-05-11T00:00:00"/>
        <d v="1995-05-12T00:00:00"/>
        <d v="1995-05-15T00:00:00"/>
        <d v="1995-05-16T00:00:00"/>
        <d v="1995-05-17T00:00:00"/>
        <d v="1995-05-18T00:00:00"/>
        <d v="1995-05-19T00:00:00"/>
        <d v="1995-05-22T00:00:00"/>
        <d v="1995-05-23T00:00:00"/>
        <d v="1995-05-24T00:00:00"/>
        <d v="1995-05-25T00:00:00"/>
        <d v="1995-05-26T00:00:00"/>
        <d v="1995-05-30T00:00:00"/>
        <d v="1995-05-31T00:00:00"/>
        <d v="1995-06-01T00:00:00"/>
        <d v="1995-06-02T00:00:00"/>
        <d v="1995-06-05T00:00:00"/>
        <d v="1995-06-06T00:00:00"/>
        <d v="1995-06-07T00:00:00"/>
        <d v="1995-06-08T00:00:00"/>
        <d v="1995-06-09T00:00:00"/>
        <d v="1995-06-12T00:00:00"/>
        <d v="1995-06-13T00:00:00"/>
        <d v="1995-06-14T00:00:00"/>
        <d v="1995-06-15T00:00:00"/>
        <d v="1995-06-16T00:00:00"/>
        <d v="1995-06-19T00:00:00"/>
        <d v="1995-06-20T00:00:00"/>
        <d v="1995-06-21T00:00:00"/>
        <d v="1995-06-22T00:00:00"/>
        <d v="1995-06-23T00:00:00"/>
        <d v="1995-06-26T00:00:00"/>
        <d v="1995-06-27T00:00:00"/>
        <d v="1995-06-28T00:00:00"/>
        <d v="1995-06-29T00:00:00"/>
        <d v="1995-06-30T00:00:00"/>
        <d v="1995-07-03T00:00:00"/>
        <d v="1995-07-05T00:00:00"/>
        <d v="1995-07-06T00:00:00"/>
        <d v="1995-07-07T00:00:00"/>
        <d v="1995-07-10T00:00:00"/>
        <d v="1995-07-11T00:00:00"/>
        <d v="1995-07-12T00:00:00"/>
        <d v="1995-07-13T00:00:00"/>
        <d v="1995-07-14T00:00:00"/>
        <d v="1995-07-17T00:00:00"/>
        <d v="1995-07-18T00:00:00"/>
        <d v="1995-07-19T00:00:00"/>
        <d v="1995-07-20T00:00:00"/>
        <d v="1995-07-21T00:00:00"/>
        <d v="1995-07-24T00:00:00"/>
        <d v="1995-07-25T00:00:00"/>
        <d v="1995-07-26T00:00:00"/>
        <d v="1995-07-27T00:00:00"/>
        <d v="1995-07-28T00:00:00"/>
        <d v="1995-07-31T00:00:00"/>
        <d v="1995-08-01T00:00:00"/>
        <d v="1995-08-02T00:00:00"/>
        <d v="1995-08-03T00:00:00"/>
        <d v="1995-08-04T00:00:00"/>
        <d v="1995-08-07T00:00:00"/>
        <d v="1995-08-08T00:00:00"/>
        <d v="1995-08-09T00:00:00"/>
        <d v="1995-08-10T00:00:00"/>
        <d v="1995-08-11T00:00:00"/>
        <d v="1995-08-14T00:00:00"/>
        <d v="1995-08-15T00:00:00"/>
        <d v="1995-08-16T00:00:00"/>
        <d v="1995-08-17T00:00:00"/>
        <d v="1995-08-18T00:00:00"/>
        <d v="1995-08-21T00:00:00"/>
        <d v="1995-08-22T00:00:00"/>
        <d v="1995-08-23T00:00:00"/>
        <d v="1995-08-24T00:00:00"/>
        <d v="1995-08-25T00:00:00"/>
        <d v="1995-08-28T00:00:00"/>
        <d v="1995-08-29T00:00:00"/>
        <d v="1995-08-30T00:00:00"/>
        <d v="1995-08-31T00:00:00"/>
        <d v="1995-09-01T00:00:00"/>
        <d v="1995-09-05T00:00:00"/>
        <d v="1995-09-06T00:00:00"/>
        <d v="1995-09-07T00:00:00"/>
        <d v="1995-09-08T00:00:00"/>
        <d v="1995-09-11T00:00:00"/>
        <d v="1995-09-12T00:00:00"/>
        <d v="1995-09-13T00:00:00"/>
        <d v="1995-09-14T00:00:00"/>
        <d v="1995-09-15T00:00:00"/>
        <d v="1995-09-18T00:00:00"/>
        <d v="1995-09-19T00:00:00"/>
        <d v="1995-09-20T00:00:00"/>
        <d v="1995-09-21T00:00:00"/>
        <d v="1995-09-22T00:00:00"/>
        <d v="1995-09-25T00:00:00"/>
        <d v="1995-09-26T00:00:00"/>
        <d v="1995-09-27T00:00:00"/>
        <d v="1995-09-28T00:00:00"/>
        <d v="1995-09-29T00:00:00"/>
        <d v="1995-10-02T00:00:00"/>
        <d v="1995-10-03T00:00:00"/>
        <d v="1995-10-04T00:00:00"/>
        <d v="1995-10-05T00:00:00"/>
        <d v="1995-10-06T00:00:00"/>
        <d v="1995-10-09T00:00:00"/>
        <d v="1995-10-10T00:00:00"/>
        <d v="1995-10-11T00:00:00"/>
        <d v="1995-10-12T00:00:00"/>
        <d v="1995-10-13T00:00:00"/>
        <d v="1995-10-16T00:00:00"/>
        <d v="1995-10-17T00:00:00"/>
        <d v="1995-10-18T00:00:00"/>
        <d v="1995-10-19T00:00:00"/>
        <d v="1995-10-20T00:00:00"/>
        <d v="1995-10-23T00:00:00"/>
        <d v="1995-10-24T00:00:00"/>
        <d v="1995-10-25T00:00:00"/>
        <d v="1995-10-26T00:00:00"/>
        <d v="1995-10-27T00:00:00"/>
        <d v="1995-10-30T00:00:00"/>
        <d v="1995-10-31T00:00:00"/>
        <d v="1995-11-01T00:00:00"/>
        <d v="1995-11-02T00:00:00"/>
        <d v="1995-11-03T00:00:00"/>
        <d v="1995-11-06T00:00:00"/>
        <d v="1995-11-07T00:00:00"/>
        <d v="1995-11-08T00:00:00"/>
        <d v="1995-11-09T00:00:00"/>
        <d v="1995-11-10T00:00:00"/>
        <d v="1995-11-13T00:00:00"/>
        <d v="1995-11-14T00:00:00"/>
        <d v="1995-11-15T00:00:00"/>
        <d v="1995-11-16T00:00:00"/>
        <d v="1995-11-17T00:00:00"/>
        <d v="1995-11-20T00:00:00"/>
        <d v="1995-11-21T00:00:00"/>
        <d v="1995-11-22T00:00:00"/>
        <d v="1995-11-24T00:00:00"/>
        <d v="1995-11-27T00:00:00"/>
        <d v="1995-11-28T00:00:00"/>
        <d v="1995-11-29T00:00:00"/>
        <d v="1995-11-30T00:00:00"/>
        <d v="1995-12-01T00:00:00"/>
        <d v="1995-12-04T00:00:00"/>
        <d v="1995-12-05T00:00:00"/>
        <d v="1995-12-06T00:00:00"/>
        <d v="1995-12-07T00:00:00"/>
        <d v="1995-12-08T00:00:00"/>
        <d v="1995-12-11T00:00:00"/>
        <d v="1995-12-12T00:00:00"/>
        <d v="1995-12-13T00:00:00"/>
        <d v="1995-12-14T00:00:00"/>
        <d v="1995-12-15T00:00:00"/>
        <d v="1995-12-18T00:00:00"/>
        <d v="1995-12-19T00:00:00"/>
        <d v="1995-12-20T00:00:00"/>
        <d v="1995-12-21T00:00:00"/>
        <d v="1995-12-22T00:00:00"/>
        <d v="1995-12-26T00:00:00"/>
        <d v="1995-12-27T00:00:00"/>
        <d v="1995-12-28T00:00:00"/>
        <d v="1995-12-29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5T00:00:00"/>
        <d v="1996-01-26T00:00:00"/>
        <d v="1996-01-29T00:00:00"/>
        <d v="1996-01-30T00:00:00"/>
        <d v="1996-01-31T00:00:00"/>
        <d v="1996-02-01T00:00:00"/>
        <d v="1996-02-02T00:00:00"/>
        <d v="1996-02-05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20T00:00:00"/>
        <d v="1996-02-21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1T00:00:00"/>
        <d v="1996-04-02T00:00:00"/>
        <d v="1996-04-03T00:00:00"/>
        <d v="1996-04-04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29T00:00:00"/>
        <d v="1996-04-30T00:00:00"/>
        <d v="1996-05-01T00:00:00"/>
        <d v="1996-05-02T00:00:00"/>
        <d v="1996-05-03T00:00:00"/>
        <d v="1996-05-06T00:00:00"/>
        <d v="1996-05-07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8T00:00:00"/>
        <d v="1996-05-29T00:00:00"/>
        <d v="1996-05-30T00:00:00"/>
        <d v="1996-05-31T00:00:00"/>
        <d v="1996-06-03T00:00:00"/>
        <d v="1996-06-04T00:00:00"/>
        <d v="1996-06-05T00:00:00"/>
        <d v="1996-06-06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6T00:00:00"/>
        <d v="1996-12-27T00:00:00"/>
        <d v="1996-12-30T00:00:00"/>
        <d v="1996-12-3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6T00:00:00"/>
        <d v="1997-12-29T00:00:00"/>
        <d v="1997-12-30T00:00:00"/>
        <d v="1997-12-3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8T00:00:00"/>
        <d v="1998-12-29T00:00:00"/>
        <d v="1998-12-30T00:00:00"/>
        <d v="1998-12-3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6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1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7T00:00:00"/>
        <d v="1999-12-28T00:00:00"/>
        <d v="1999-12-29T00:00:00"/>
        <d v="1999-12-30T00:00:00"/>
        <d v="1999-12-31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8T00:00:00"/>
        <d v="2000-01-19T00:00:00"/>
        <d v="2000-01-20T00:00:00"/>
        <d v="2000-01-21T00:00:00"/>
        <d v="2000-01-24T00:00:00"/>
        <d v="2000-01-25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0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4T00:00:00"/>
        <d v="2000-04-25T00:00:00"/>
        <d v="2000-04-26T00:00:00"/>
        <d v="2000-04-27T00:00:00"/>
        <d v="2000-04-28T00:00:00"/>
        <d v="2000-05-01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4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6T00:00:00"/>
        <d v="2003-12-29T00:00:00"/>
        <d v="2003-12-30T00:00:00"/>
        <d v="2003-12-3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</sharedItems>
      <fieldGroup par="3" base="0">
        <rangePr groupBy="months" startDate="1991-12-13T00:00:00" endDate="2022-10-15T00:00:00"/>
        <groupItems count="14">
          <s v="&lt;12/13/199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5/2022"/>
        </groupItems>
      </fieldGroup>
    </cacheField>
    <cacheField name="Adj Close" numFmtId="0">
      <sharedItems containsSemiMixedTypes="0" containsString="0" containsNumber="1" minValue="0.26770300000000002" maxValue="186.460342"/>
    </cacheField>
    <cacheField name="Quarters" numFmtId="0" databaseField="0">
      <fieldGroup base="0">
        <rangePr groupBy="quarters" startDate="1991-12-13T00:00:00" endDate="2022-10-15T00:00:00"/>
        <groupItems count="6">
          <s v="&lt;12/13/1991"/>
          <s v="Qtr1"/>
          <s v="Qtr2"/>
          <s v="Qtr3"/>
          <s v="Qtr4"/>
          <s v="&gt;10/15/2022"/>
        </groupItems>
      </fieldGroup>
    </cacheField>
    <cacheField name="Years" numFmtId="0" databaseField="0">
      <fieldGroup base="0">
        <rangePr groupBy="years" startDate="1991-12-13T00:00:00" endDate="2022-10-15T00:00:00"/>
        <groupItems count="34">
          <s v="&lt;12/13/1991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0/15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68">
  <r>
    <x v="0"/>
    <n v="0.36713600000000002"/>
  </r>
  <r>
    <x v="1"/>
    <n v="0.362037"/>
  </r>
  <r>
    <x v="2"/>
    <n v="0.362037"/>
  </r>
  <r>
    <x v="3"/>
    <n v="0.37223600000000001"/>
  </r>
  <r>
    <x v="4"/>
    <n v="0.35693799999999998"/>
  </r>
  <r>
    <x v="5"/>
    <n v="0.36713600000000002"/>
  </r>
  <r>
    <x v="6"/>
    <n v="0.36458699999999999"/>
  </r>
  <r>
    <x v="7"/>
    <n v="0.39263199999999998"/>
  </r>
  <r>
    <x v="8"/>
    <n v="0.44872200000000001"/>
  </r>
  <r>
    <x v="9"/>
    <n v="0.433425"/>
  </r>
  <r>
    <x v="10"/>
    <n v="0.44362299999999999"/>
  </r>
  <r>
    <x v="11"/>
    <n v="0.50481200000000004"/>
  </r>
  <r>
    <x v="12"/>
    <n v="0.56345199999999995"/>
  </r>
  <r>
    <x v="13"/>
    <n v="0.57110099999999997"/>
  </r>
  <r>
    <x v="14"/>
    <n v="0.53540699999999997"/>
  </r>
  <r>
    <x v="15"/>
    <n v="0.52010999999999996"/>
  </r>
  <r>
    <x v="16"/>
    <n v="0.45891999999999999"/>
  </r>
  <r>
    <x v="17"/>
    <n v="0.50481200000000004"/>
  </r>
  <r>
    <x v="18"/>
    <n v="0.48951499999999998"/>
  </r>
  <r>
    <x v="19"/>
    <n v="0.530308"/>
  </r>
  <r>
    <x v="20"/>
    <n v="0.53540699999999997"/>
  </r>
  <r>
    <x v="21"/>
    <n v="0.54050600000000004"/>
  </r>
  <r>
    <x v="22"/>
    <n v="0.52520900000000004"/>
  </r>
  <r>
    <x v="23"/>
    <n v="0.515011"/>
  </r>
  <r>
    <x v="24"/>
    <n v="0.509911"/>
  </r>
  <r>
    <x v="25"/>
    <n v="0.48951499999999998"/>
  </r>
  <r>
    <x v="26"/>
    <n v="0.509911"/>
  </r>
  <r>
    <x v="27"/>
    <n v="0.47931699999999999"/>
  </r>
  <r>
    <x v="28"/>
    <n v="0.48441600000000001"/>
  </r>
  <r>
    <x v="29"/>
    <n v="0.47421799999999997"/>
  </r>
  <r>
    <x v="30"/>
    <n v="0.45891999999999999"/>
  </r>
  <r>
    <x v="31"/>
    <n v="0.46911799999999998"/>
  </r>
  <r>
    <x v="32"/>
    <n v="0.48441600000000001"/>
  </r>
  <r>
    <x v="33"/>
    <n v="0.48951499999999998"/>
  </r>
  <r>
    <x v="34"/>
    <n v="0.50226199999999999"/>
  </r>
  <r>
    <x v="35"/>
    <n v="0.509911"/>
  </r>
  <r>
    <x v="36"/>
    <n v="0.50481200000000004"/>
  </r>
  <r>
    <x v="37"/>
    <n v="0.494614"/>
  </r>
  <r>
    <x v="38"/>
    <n v="0.47931699999999999"/>
  </r>
  <r>
    <x v="39"/>
    <n v="0.45891999999999999"/>
  </r>
  <r>
    <x v="40"/>
    <n v="0.46401999999999999"/>
  </r>
  <r>
    <x v="41"/>
    <n v="0.48951499999999998"/>
  </r>
  <r>
    <x v="42"/>
    <n v="0.46401999999999999"/>
  </r>
  <r>
    <x v="43"/>
    <n v="0.47421799999999997"/>
  </r>
  <r>
    <x v="44"/>
    <n v="0.46401999999999999"/>
  </r>
  <r>
    <x v="45"/>
    <n v="0.44872200000000001"/>
  </r>
  <r>
    <x v="46"/>
    <n v="0.47421799999999997"/>
  </r>
  <r>
    <x v="47"/>
    <n v="0.42832599999999998"/>
  </r>
  <r>
    <x v="48"/>
    <n v="0.40028000000000002"/>
  </r>
  <r>
    <x v="49"/>
    <n v="0.40792899999999999"/>
  </r>
  <r>
    <x v="50"/>
    <n v="0.42322700000000002"/>
  </r>
  <r>
    <x v="51"/>
    <n v="0.41302800000000001"/>
  </r>
  <r>
    <x v="52"/>
    <n v="0.41812700000000003"/>
  </r>
  <r>
    <x v="53"/>
    <n v="0.41812700000000003"/>
  </r>
  <r>
    <x v="54"/>
    <n v="0.40283000000000002"/>
  </r>
  <r>
    <x v="55"/>
    <n v="0.397731"/>
  </r>
  <r>
    <x v="56"/>
    <n v="0.38753199999999999"/>
  </r>
  <r>
    <x v="57"/>
    <n v="0.377334"/>
  </r>
  <r>
    <x v="58"/>
    <n v="0.377334"/>
  </r>
  <r>
    <x v="59"/>
    <n v="0.40283000000000002"/>
  </r>
  <r>
    <x v="60"/>
    <n v="0.377334"/>
  </r>
  <r>
    <x v="61"/>
    <n v="0.39263199999999998"/>
  </r>
  <r>
    <x v="62"/>
    <n v="0.39263199999999998"/>
  </r>
  <r>
    <x v="63"/>
    <n v="0.377334"/>
  </r>
  <r>
    <x v="64"/>
    <n v="0.382434"/>
  </r>
  <r>
    <x v="65"/>
    <n v="0.415578"/>
  </r>
  <r>
    <x v="66"/>
    <n v="0.44362299999999999"/>
  </r>
  <r>
    <x v="67"/>
    <n v="0.45382099999999997"/>
  </r>
  <r>
    <x v="68"/>
    <n v="0.43852400000000002"/>
  </r>
  <r>
    <x v="69"/>
    <n v="0.43852400000000002"/>
  </r>
  <r>
    <x v="70"/>
    <n v="0.44872200000000001"/>
  </r>
  <r>
    <x v="71"/>
    <n v="0.45382099999999997"/>
  </r>
  <r>
    <x v="72"/>
    <n v="0.43852400000000002"/>
  </r>
  <r>
    <x v="73"/>
    <n v="0.43852400000000002"/>
  </r>
  <r>
    <x v="74"/>
    <n v="0.46911799999999998"/>
  </r>
  <r>
    <x v="75"/>
    <n v="0.44617299999999999"/>
  </r>
  <r>
    <x v="76"/>
    <n v="0.42322700000000002"/>
  </r>
  <r>
    <x v="77"/>
    <n v="0.42322700000000002"/>
  </r>
  <r>
    <x v="78"/>
    <n v="0.43087500000000001"/>
  </r>
  <r>
    <x v="79"/>
    <n v="0.433425"/>
  </r>
  <r>
    <x v="80"/>
    <n v="0.433425"/>
  </r>
  <r>
    <x v="81"/>
    <n v="0.42832599999999998"/>
  </r>
  <r>
    <x v="82"/>
    <n v="0.43852400000000002"/>
  </r>
  <r>
    <x v="83"/>
    <n v="0.44872200000000001"/>
  </r>
  <r>
    <x v="84"/>
    <n v="0.45891999999999999"/>
  </r>
  <r>
    <x v="85"/>
    <n v="0.47421799999999997"/>
  </r>
  <r>
    <x v="86"/>
    <n v="0.46656900000000001"/>
  </r>
  <r>
    <x v="87"/>
    <n v="0.46911799999999998"/>
  </r>
  <r>
    <x v="88"/>
    <n v="0.47421799999999997"/>
  </r>
  <r>
    <x v="89"/>
    <n v="0.48951499999999998"/>
  </r>
  <r>
    <x v="90"/>
    <n v="0.47421799999999997"/>
  </r>
  <r>
    <x v="91"/>
    <n v="0.46401999999999999"/>
  </r>
  <r>
    <x v="92"/>
    <n v="0.45891999999999999"/>
  </r>
  <r>
    <x v="93"/>
    <n v="0.433425"/>
  </r>
  <r>
    <x v="94"/>
    <n v="0.44362299999999999"/>
  </r>
  <r>
    <x v="95"/>
    <n v="0.42832599999999998"/>
  </r>
  <r>
    <x v="96"/>
    <n v="0.433425"/>
  </r>
  <r>
    <x v="97"/>
    <n v="0.433425"/>
  </r>
  <r>
    <x v="98"/>
    <n v="0.43852400000000002"/>
  </r>
  <r>
    <x v="99"/>
    <n v="0.43852400000000002"/>
  </r>
  <r>
    <x v="100"/>
    <n v="0.433425"/>
  </r>
  <r>
    <x v="101"/>
    <n v="0.433425"/>
  </r>
  <r>
    <x v="102"/>
    <n v="0.433425"/>
  </r>
  <r>
    <x v="103"/>
    <n v="0.40792899999999999"/>
  </r>
  <r>
    <x v="104"/>
    <n v="0.39263199999999998"/>
  </r>
  <r>
    <x v="105"/>
    <n v="0.39263199999999998"/>
  </r>
  <r>
    <x v="106"/>
    <n v="0.382434"/>
  </r>
  <r>
    <x v="107"/>
    <n v="0.379884"/>
  </r>
  <r>
    <x v="108"/>
    <n v="0.377334"/>
  </r>
  <r>
    <x v="109"/>
    <n v="0.362037"/>
  </r>
  <r>
    <x v="110"/>
    <n v="0.36713600000000002"/>
  </r>
  <r>
    <x v="111"/>
    <n v="0.37223600000000001"/>
  </r>
  <r>
    <x v="112"/>
    <n v="0.38498300000000002"/>
  </r>
  <r>
    <x v="113"/>
    <n v="0.36968600000000001"/>
  </r>
  <r>
    <x v="114"/>
    <n v="0.36713600000000002"/>
  </r>
  <r>
    <x v="115"/>
    <n v="0.37478499999999998"/>
  </r>
  <r>
    <x v="116"/>
    <n v="0.38753199999999999"/>
  </r>
  <r>
    <x v="117"/>
    <n v="0.377334"/>
  </r>
  <r>
    <x v="118"/>
    <n v="0.397731"/>
  </r>
  <r>
    <x v="119"/>
    <n v="0.41302800000000001"/>
  </r>
  <r>
    <x v="120"/>
    <n v="0.41302800000000001"/>
  </r>
  <r>
    <x v="121"/>
    <n v="0.38753199999999999"/>
  </r>
  <r>
    <x v="122"/>
    <n v="0.37223600000000001"/>
  </r>
  <r>
    <x v="123"/>
    <n v="0.362037"/>
  </r>
  <r>
    <x v="124"/>
    <n v="0.382434"/>
  </r>
  <r>
    <x v="125"/>
    <n v="0.41812700000000003"/>
  </r>
  <r>
    <x v="126"/>
    <n v="0.41812700000000003"/>
  </r>
  <r>
    <x v="127"/>
    <n v="0.397731"/>
  </r>
  <r>
    <x v="128"/>
    <n v="0.37223600000000001"/>
  </r>
  <r>
    <x v="129"/>
    <n v="0.36458699999999999"/>
  </r>
  <r>
    <x v="130"/>
    <n v="0.36713600000000002"/>
  </r>
  <r>
    <x v="131"/>
    <n v="0.359487"/>
  </r>
  <r>
    <x v="132"/>
    <n v="0.36713600000000002"/>
  </r>
  <r>
    <x v="133"/>
    <n v="0.362037"/>
  </r>
  <r>
    <x v="134"/>
    <n v="0.36713600000000002"/>
  </r>
  <r>
    <x v="135"/>
    <n v="0.36713600000000002"/>
  </r>
  <r>
    <x v="136"/>
    <n v="0.38753199999999999"/>
  </r>
  <r>
    <x v="137"/>
    <n v="0.397731"/>
  </r>
  <r>
    <x v="138"/>
    <n v="0.397731"/>
  </r>
  <r>
    <x v="139"/>
    <n v="0.39263199999999998"/>
  </r>
  <r>
    <x v="140"/>
    <n v="0.382434"/>
  </r>
  <r>
    <x v="141"/>
    <n v="0.38753199999999999"/>
  </r>
  <r>
    <x v="142"/>
    <n v="0.39263199999999998"/>
  </r>
  <r>
    <x v="143"/>
    <n v="0.38753199999999999"/>
  </r>
  <r>
    <x v="144"/>
    <n v="0.38753199999999999"/>
  </r>
  <r>
    <x v="145"/>
    <n v="0.382434"/>
  </r>
  <r>
    <x v="146"/>
    <n v="0.39263199999999998"/>
  </r>
  <r>
    <x v="147"/>
    <n v="0.36458699999999999"/>
  </r>
  <r>
    <x v="148"/>
    <n v="0.36458699999999999"/>
  </r>
  <r>
    <x v="149"/>
    <n v="0.36458699999999999"/>
  </r>
  <r>
    <x v="150"/>
    <n v="0.35183900000000001"/>
  </r>
  <r>
    <x v="151"/>
    <n v="0.32379400000000003"/>
  </r>
  <r>
    <x v="152"/>
    <n v="0.30849599999999999"/>
  </r>
  <r>
    <x v="153"/>
    <n v="0.33144299999999999"/>
  </r>
  <r>
    <x v="154"/>
    <n v="0.31614500000000001"/>
  </r>
  <r>
    <x v="155"/>
    <n v="0.32124399999999997"/>
  </r>
  <r>
    <x v="156"/>
    <n v="0.35183900000000001"/>
  </r>
  <r>
    <x v="157"/>
    <n v="0.35183900000000001"/>
  </r>
  <r>
    <x v="158"/>
    <n v="0.35693799999999998"/>
  </r>
  <r>
    <x v="159"/>
    <n v="0.362037"/>
  </r>
  <r>
    <x v="160"/>
    <n v="0.362037"/>
  </r>
  <r>
    <x v="161"/>
    <n v="0.35693799999999998"/>
  </r>
  <r>
    <x v="162"/>
    <n v="0.33909099999999998"/>
  </r>
  <r>
    <x v="163"/>
    <n v="0.31614500000000001"/>
  </r>
  <r>
    <x v="164"/>
    <n v="0.33144299999999999"/>
  </r>
  <r>
    <x v="165"/>
    <n v="0.32124399999999997"/>
  </r>
  <r>
    <x v="166"/>
    <n v="0.32124399999999997"/>
  </r>
  <r>
    <x v="167"/>
    <n v="0.33144299999999999"/>
  </r>
  <r>
    <x v="168"/>
    <n v="0.33144299999999999"/>
  </r>
  <r>
    <x v="169"/>
    <n v="0.33144299999999999"/>
  </r>
  <r>
    <x v="170"/>
    <n v="0.32634299999999999"/>
  </r>
  <r>
    <x v="171"/>
    <n v="0.32634299999999999"/>
  </r>
  <r>
    <x v="172"/>
    <n v="0.31614500000000001"/>
  </r>
  <r>
    <x v="173"/>
    <n v="0.31614500000000001"/>
  </r>
  <r>
    <x v="174"/>
    <n v="0.31614500000000001"/>
  </r>
  <r>
    <x v="175"/>
    <n v="0.31104599999999999"/>
  </r>
  <r>
    <x v="176"/>
    <n v="0.31359599999999999"/>
  </r>
  <r>
    <x v="177"/>
    <n v="0.31104599999999999"/>
  </r>
  <r>
    <x v="178"/>
    <n v="0.31614500000000001"/>
  </r>
  <r>
    <x v="179"/>
    <n v="0.32634299999999999"/>
  </r>
  <r>
    <x v="180"/>
    <n v="0.31359599999999999"/>
  </r>
  <r>
    <x v="181"/>
    <n v="0.31614500000000001"/>
  </r>
  <r>
    <x v="182"/>
    <n v="0.33144299999999999"/>
  </r>
  <r>
    <x v="183"/>
    <n v="0.32889299999999999"/>
  </r>
  <r>
    <x v="184"/>
    <n v="0.32124399999999997"/>
  </r>
  <r>
    <x v="185"/>
    <n v="0.31614500000000001"/>
  </r>
  <r>
    <x v="186"/>
    <n v="0.31359599999999999"/>
  </r>
  <r>
    <x v="187"/>
    <n v="0.31104599999999999"/>
  </r>
  <r>
    <x v="188"/>
    <n v="0.29574899999999998"/>
  </r>
  <r>
    <x v="189"/>
    <n v="0.29829800000000001"/>
  </r>
  <r>
    <x v="190"/>
    <n v="0.28555000000000003"/>
  </r>
  <r>
    <x v="191"/>
    <n v="0.27535199999999999"/>
  </r>
  <r>
    <x v="192"/>
    <n v="0.28045199999999998"/>
  </r>
  <r>
    <x v="193"/>
    <n v="0.29065000000000002"/>
  </r>
  <r>
    <x v="194"/>
    <n v="0.27535199999999999"/>
  </r>
  <r>
    <x v="195"/>
    <n v="0.27025300000000002"/>
  </r>
  <r>
    <x v="196"/>
    <n v="0.26770300000000002"/>
  </r>
  <r>
    <x v="197"/>
    <n v="0.29065000000000002"/>
  </r>
  <r>
    <x v="198"/>
    <n v="0.283001"/>
  </r>
  <r>
    <x v="199"/>
    <n v="0.28045199999999998"/>
  </r>
  <r>
    <x v="200"/>
    <n v="0.28045199999999998"/>
  </r>
  <r>
    <x v="201"/>
    <n v="0.36713600000000002"/>
  </r>
  <r>
    <x v="202"/>
    <n v="0.35183900000000001"/>
  </r>
  <r>
    <x v="203"/>
    <n v="0.34673999999999999"/>
  </r>
  <r>
    <x v="204"/>
    <n v="0.35183900000000001"/>
  </r>
  <r>
    <x v="205"/>
    <n v="0.39263199999999998"/>
  </r>
  <r>
    <x v="206"/>
    <n v="0.41302800000000001"/>
  </r>
  <r>
    <x v="207"/>
    <n v="0.41812700000000003"/>
  </r>
  <r>
    <x v="208"/>
    <n v="0.40283000000000002"/>
  </r>
  <r>
    <x v="209"/>
    <n v="0.41812700000000003"/>
  </r>
  <r>
    <x v="210"/>
    <n v="0.41302800000000001"/>
  </r>
  <r>
    <x v="211"/>
    <n v="0.40283000000000002"/>
  </r>
  <r>
    <x v="212"/>
    <n v="0.41812700000000003"/>
  </r>
  <r>
    <x v="213"/>
    <n v="0.47931699999999999"/>
  </r>
  <r>
    <x v="214"/>
    <n v="0.46401999999999999"/>
  </r>
  <r>
    <x v="215"/>
    <n v="0.48186600000000002"/>
  </r>
  <r>
    <x v="216"/>
    <n v="0.50481200000000004"/>
  </r>
  <r>
    <x v="217"/>
    <n v="0.509911"/>
  </r>
  <r>
    <x v="218"/>
    <n v="0.50481200000000004"/>
  </r>
  <r>
    <x v="219"/>
    <n v="0.509911"/>
  </r>
  <r>
    <x v="220"/>
    <n v="0.46401999999999999"/>
  </r>
  <r>
    <x v="221"/>
    <n v="0.49971300000000002"/>
  </r>
  <r>
    <x v="222"/>
    <n v="0.49971300000000002"/>
  </r>
  <r>
    <x v="223"/>
    <n v="0.49971300000000002"/>
  </r>
  <r>
    <x v="224"/>
    <n v="0.49971300000000002"/>
  </r>
  <r>
    <x v="225"/>
    <n v="0.50481200000000004"/>
  </r>
  <r>
    <x v="226"/>
    <n v="0.515011"/>
  </r>
  <r>
    <x v="227"/>
    <n v="0.54050600000000004"/>
  </r>
  <r>
    <x v="228"/>
    <n v="0.509911"/>
  </r>
  <r>
    <x v="229"/>
    <n v="0.51756000000000002"/>
  </r>
  <r>
    <x v="230"/>
    <n v="0.54050600000000004"/>
  </r>
  <r>
    <x v="231"/>
    <n v="0.55070399999999997"/>
  </r>
  <r>
    <x v="232"/>
    <n v="0.54050600000000004"/>
  </r>
  <r>
    <x v="233"/>
    <n v="0.54560500000000001"/>
  </r>
  <r>
    <x v="234"/>
    <n v="0.54560500000000001"/>
  </r>
  <r>
    <x v="235"/>
    <n v="0.54560500000000001"/>
  </r>
  <r>
    <x v="236"/>
    <n v="0.57620000000000005"/>
  </r>
  <r>
    <x v="237"/>
    <n v="0.57620000000000005"/>
  </r>
  <r>
    <x v="238"/>
    <n v="0.57620000000000005"/>
  </r>
  <r>
    <x v="239"/>
    <n v="0.58129900000000001"/>
  </r>
  <r>
    <x v="240"/>
    <n v="0.57110099999999997"/>
  </r>
  <r>
    <x v="241"/>
    <n v="0.57110099999999997"/>
  </r>
  <r>
    <x v="242"/>
    <n v="0.58129900000000001"/>
  </r>
  <r>
    <x v="243"/>
    <n v="0.58129900000000001"/>
  </r>
  <r>
    <x v="244"/>
    <n v="0.56855100000000003"/>
  </r>
  <r>
    <x v="245"/>
    <n v="0.56600200000000001"/>
  </r>
  <r>
    <x v="246"/>
    <n v="0.54050600000000004"/>
  </r>
  <r>
    <x v="247"/>
    <n v="0.52010999999999996"/>
  </r>
  <r>
    <x v="248"/>
    <n v="0.53540699999999997"/>
  </r>
  <r>
    <x v="249"/>
    <n v="0.52010999999999996"/>
  </r>
  <r>
    <x v="250"/>
    <n v="0.509911"/>
  </r>
  <r>
    <x v="251"/>
    <n v="0.50481200000000004"/>
  </r>
  <r>
    <x v="252"/>
    <n v="0.509911"/>
  </r>
  <r>
    <x v="253"/>
    <n v="0.509911"/>
  </r>
  <r>
    <x v="254"/>
    <n v="0.52010999999999996"/>
  </r>
  <r>
    <x v="255"/>
    <n v="0.509911"/>
  </r>
  <r>
    <x v="256"/>
    <n v="0.492064"/>
  </r>
  <r>
    <x v="257"/>
    <n v="0.48951499999999998"/>
  </r>
  <r>
    <x v="258"/>
    <n v="0.50481200000000004"/>
  </r>
  <r>
    <x v="259"/>
    <n v="0.55070399999999997"/>
  </r>
  <r>
    <x v="260"/>
    <n v="0.55580399999999996"/>
  </r>
  <r>
    <x v="261"/>
    <n v="0.55070399999999997"/>
  </r>
  <r>
    <x v="262"/>
    <n v="0.55580399999999996"/>
  </r>
  <r>
    <x v="263"/>
    <n v="0.54560500000000001"/>
  </r>
  <r>
    <x v="264"/>
    <n v="0.515011"/>
  </r>
  <r>
    <x v="265"/>
    <n v="0.494614"/>
  </r>
  <r>
    <x v="266"/>
    <n v="0.494614"/>
  </r>
  <r>
    <x v="267"/>
    <n v="0.515011"/>
  </r>
  <r>
    <x v="268"/>
    <n v="0.530308"/>
  </r>
  <r>
    <x v="269"/>
    <n v="0.47421799999999997"/>
  </r>
  <r>
    <x v="270"/>
    <n v="0.51246000000000003"/>
  </r>
  <r>
    <x v="271"/>
    <n v="0.51756000000000002"/>
  </r>
  <r>
    <x v="272"/>
    <n v="0.509911"/>
  </r>
  <r>
    <x v="273"/>
    <n v="0.59149700000000005"/>
  </r>
  <r>
    <x v="274"/>
    <n v="0.64758800000000005"/>
  </r>
  <r>
    <x v="275"/>
    <n v="0.68837999999999999"/>
  </r>
  <r>
    <x v="276"/>
    <n v="0.68837999999999999"/>
  </r>
  <r>
    <x v="277"/>
    <n v="0.67818199999999995"/>
  </r>
  <r>
    <x v="278"/>
    <n v="0.66543399999999997"/>
  </r>
  <r>
    <x v="279"/>
    <n v="0.63738899999999998"/>
  </r>
  <r>
    <x v="280"/>
    <n v="0.60169499999999998"/>
  </r>
  <r>
    <x v="281"/>
    <n v="0.64248799999999995"/>
  </r>
  <r>
    <x v="282"/>
    <n v="0.65268599999999999"/>
  </r>
  <r>
    <x v="283"/>
    <n v="0.64248799999999995"/>
  </r>
  <r>
    <x v="284"/>
    <n v="0.63738899999999998"/>
  </r>
  <r>
    <x v="285"/>
    <n v="0.60169499999999998"/>
  </r>
  <r>
    <x v="286"/>
    <n v="0.61699300000000001"/>
  </r>
  <r>
    <x v="287"/>
    <n v="0.63483900000000004"/>
  </r>
  <r>
    <x v="288"/>
    <n v="0.66288499999999995"/>
  </r>
  <r>
    <x v="289"/>
    <n v="0.71387599999999996"/>
  </r>
  <r>
    <x v="290"/>
    <n v="0.68328100000000003"/>
  </r>
  <r>
    <x v="291"/>
    <n v="0.73937200000000003"/>
  </r>
  <r>
    <x v="292"/>
    <n v="0.71387599999999996"/>
  </r>
  <r>
    <x v="293"/>
    <n v="0.67818199999999995"/>
  </r>
  <r>
    <x v="294"/>
    <n v="0.67308299999999999"/>
  </r>
  <r>
    <x v="295"/>
    <n v="0.67818199999999995"/>
  </r>
  <r>
    <x v="296"/>
    <n v="0.61189300000000002"/>
  </r>
  <r>
    <x v="297"/>
    <n v="0.61699300000000001"/>
  </r>
  <r>
    <x v="298"/>
    <n v="0.63229000000000002"/>
  </r>
  <r>
    <x v="299"/>
    <n v="0.64758800000000005"/>
  </r>
  <r>
    <x v="300"/>
    <n v="0.66288499999999995"/>
  </r>
  <r>
    <x v="301"/>
    <n v="0.65778599999999998"/>
  </r>
  <r>
    <x v="302"/>
    <n v="0.64758800000000005"/>
  </r>
  <r>
    <x v="303"/>
    <n v="0.64248799999999995"/>
  </r>
  <r>
    <x v="304"/>
    <n v="0.64248799999999995"/>
  </r>
  <r>
    <x v="305"/>
    <n v="0.64248799999999995"/>
  </r>
  <r>
    <x v="306"/>
    <n v="0.66288499999999995"/>
  </r>
  <r>
    <x v="307"/>
    <n v="0.72917299999999996"/>
  </r>
  <r>
    <x v="308"/>
    <n v="0.76996600000000004"/>
  </r>
  <r>
    <x v="309"/>
    <n v="0.75211899999999998"/>
  </r>
  <r>
    <x v="310"/>
    <n v="0.76996600000000004"/>
  </r>
  <r>
    <x v="311"/>
    <n v="0.82605600000000001"/>
  </r>
  <r>
    <x v="312"/>
    <n v="0.84135400000000005"/>
  </r>
  <r>
    <x v="313"/>
    <n v="0.795462"/>
  </r>
  <r>
    <x v="314"/>
    <n v="0.795462"/>
  </r>
  <r>
    <x v="315"/>
    <n v="0.83115499999999998"/>
  </r>
  <r>
    <x v="316"/>
    <n v="0.80566000000000004"/>
  </r>
  <r>
    <x v="317"/>
    <n v="0.82095700000000005"/>
  </r>
  <r>
    <x v="318"/>
    <n v="0.89234500000000005"/>
  </r>
  <r>
    <x v="319"/>
    <n v="0.88214599999999999"/>
  </r>
  <r>
    <x v="320"/>
    <n v="0.94078600000000001"/>
  </r>
  <r>
    <x v="321"/>
    <n v="0.90764199999999995"/>
  </r>
  <r>
    <x v="322"/>
    <n v="0.89744400000000002"/>
  </r>
  <r>
    <x v="323"/>
    <n v="0.89234500000000005"/>
  </r>
  <r>
    <x v="324"/>
    <n v="0.92803800000000003"/>
  </r>
  <r>
    <x v="325"/>
    <n v="0.96373200000000003"/>
  </r>
  <r>
    <x v="326"/>
    <n v="0.98412900000000003"/>
  </r>
  <r>
    <x v="327"/>
    <n v="0.99942600000000004"/>
  </r>
  <r>
    <x v="328"/>
    <n v="1.0504169999999999"/>
  </r>
  <r>
    <x v="329"/>
    <n v="0.98412900000000003"/>
  </r>
  <r>
    <x v="330"/>
    <n v="1.0198229999999999"/>
  </r>
  <r>
    <x v="331"/>
    <n v="0.99177700000000002"/>
  </r>
  <r>
    <x v="332"/>
    <n v="0.94078600000000001"/>
  </r>
  <r>
    <x v="333"/>
    <n v="0.99432699999999996"/>
  </r>
  <r>
    <x v="334"/>
    <n v="0.96373200000000003"/>
  </r>
  <r>
    <x v="335"/>
    <n v="0.94843500000000003"/>
  </r>
  <r>
    <x v="336"/>
    <n v="0.93823599999999996"/>
  </r>
  <r>
    <x v="337"/>
    <n v="0.89234500000000005"/>
  </r>
  <r>
    <x v="338"/>
    <n v="0.85155199999999998"/>
  </r>
  <r>
    <x v="339"/>
    <n v="0.83625400000000005"/>
  </r>
  <r>
    <x v="340"/>
    <n v="0.86429999999999996"/>
  </r>
  <r>
    <x v="341"/>
    <n v="0.90254299999999998"/>
  </r>
  <r>
    <x v="342"/>
    <n v="0.93823599999999996"/>
  </r>
  <r>
    <x v="343"/>
    <n v="0.89744400000000002"/>
  </r>
  <r>
    <x v="344"/>
    <n v="0.85665100000000005"/>
  </r>
  <r>
    <x v="345"/>
    <n v="0.86175000000000002"/>
  </r>
  <r>
    <x v="346"/>
    <n v="0.91274100000000002"/>
  </r>
  <r>
    <x v="347"/>
    <n v="0.90509300000000004"/>
  </r>
  <r>
    <x v="348"/>
    <n v="0.92803800000000003"/>
  </r>
  <r>
    <x v="349"/>
    <n v="0.91783999999999999"/>
  </r>
  <r>
    <x v="350"/>
    <n v="0.87704700000000002"/>
  </r>
  <r>
    <x v="351"/>
    <n v="0.88469600000000004"/>
  </r>
  <r>
    <x v="352"/>
    <n v="0.88214599999999999"/>
  </r>
  <r>
    <x v="353"/>
    <n v="0.90254299999999998"/>
  </r>
  <r>
    <x v="354"/>
    <n v="0.92293999999999998"/>
  </r>
  <r>
    <x v="355"/>
    <n v="0.968831"/>
  </r>
  <r>
    <x v="356"/>
    <n v="0.968831"/>
  </r>
  <r>
    <x v="357"/>
    <n v="0.94333599999999995"/>
  </r>
  <r>
    <x v="358"/>
    <n v="0.87704700000000002"/>
  </r>
  <r>
    <x v="359"/>
    <n v="0.90764199999999995"/>
  </r>
  <r>
    <x v="360"/>
    <n v="0.91783999999999999"/>
  </r>
  <r>
    <x v="361"/>
    <n v="0.94843500000000003"/>
  </r>
  <r>
    <x v="362"/>
    <n v="0.91783999999999999"/>
  </r>
  <r>
    <x v="363"/>
    <n v="0.90254299999999998"/>
  </r>
  <r>
    <x v="364"/>
    <n v="0.92293999999999998"/>
  </r>
  <r>
    <x v="365"/>
    <n v="0.93313800000000002"/>
  </r>
  <r>
    <x v="366"/>
    <n v="0.96118300000000001"/>
  </r>
  <r>
    <x v="367"/>
    <n v="0.93313800000000002"/>
  </r>
  <r>
    <x v="368"/>
    <n v="0.92293999999999998"/>
  </r>
  <r>
    <x v="369"/>
    <n v="0.889795"/>
  </r>
  <r>
    <x v="370"/>
    <n v="0.92803800000000003"/>
  </r>
  <r>
    <x v="371"/>
    <n v="0.95863299999999996"/>
  </r>
  <r>
    <x v="372"/>
    <n v="0.96628199999999997"/>
  </r>
  <r>
    <x v="373"/>
    <n v="0.95098400000000005"/>
  </r>
  <r>
    <x v="374"/>
    <n v="0.94843500000000003"/>
  </r>
  <r>
    <x v="375"/>
    <n v="0.96373200000000003"/>
  </r>
  <r>
    <x v="376"/>
    <n v="0.968831"/>
  </r>
  <r>
    <x v="377"/>
    <n v="1.03512"/>
  </r>
  <r>
    <x v="378"/>
    <n v="1.1269039999999999"/>
  </r>
  <r>
    <x v="379"/>
    <n v="1.162598"/>
  </r>
  <r>
    <x v="380"/>
    <n v="1.0810120000000001"/>
  </r>
  <r>
    <x v="381"/>
    <n v="1.1269039999999999"/>
  </r>
  <r>
    <x v="382"/>
    <n v="1.096309"/>
  </r>
  <r>
    <x v="383"/>
    <n v="1.0504169999999999"/>
  </r>
  <r>
    <x v="384"/>
    <n v="1.0759129999999999"/>
  </r>
  <r>
    <x v="385"/>
    <n v="1.0810120000000001"/>
  </r>
  <r>
    <x v="386"/>
    <n v="1.1320030000000001"/>
  </r>
  <r>
    <x v="387"/>
    <n v="1.1269039999999999"/>
  </r>
  <r>
    <x v="388"/>
    <n v="1.152399"/>
  </r>
  <r>
    <x v="389"/>
    <n v="1.142201"/>
  </r>
  <r>
    <x v="390"/>
    <n v="1.1829940000000001"/>
  </r>
  <r>
    <x v="391"/>
    <n v="1.2212369999999999"/>
  </r>
  <r>
    <x v="392"/>
    <n v="1.2084900000000001"/>
  </r>
  <r>
    <x v="393"/>
    <n v="1.20339"/>
  </r>
  <r>
    <x v="394"/>
    <n v="1.193192"/>
  </r>
  <r>
    <x v="395"/>
    <n v="1.2263360000000001"/>
  </r>
  <r>
    <x v="396"/>
    <n v="1.239085"/>
  </r>
  <r>
    <x v="397"/>
    <n v="1.218688"/>
  </r>
  <r>
    <x v="398"/>
    <n v="1.218688"/>
  </r>
  <r>
    <x v="399"/>
    <n v="1.213589"/>
  </r>
  <r>
    <x v="400"/>
    <n v="1.223787"/>
  </r>
  <r>
    <x v="401"/>
    <n v="1.223787"/>
  </r>
  <r>
    <x v="402"/>
    <n v="1.295174"/>
  </r>
  <r>
    <x v="403"/>
    <n v="1.32067"/>
  </r>
  <r>
    <x v="404"/>
    <n v="1.315571"/>
  </r>
  <r>
    <x v="405"/>
    <n v="1.338517"/>
  </r>
  <r>
    <x v="406"/>
    <n v="1.4201029999999999"/>
  </r>
  <r>
    <x v="407"/>
    <n v="1.3818600000000001"/>
  </r>
  <r>
    <x v="408"/>
    <n v="1.37676"/>
  </r>
  <r>
    <x v="409"/>
    <n v="1.346166"/>
  </r>
  <r>
    <x v="410"/>
    <n v="1.392058"/>
  </r>
  <r>
    <x v="411"/>
    <n v="1.371661"/>
  </r>
  <r>
    <x v="412"/>
    <n v="1.3359669999999999"/>
  </r>
  <r>
    <x v="413"/>
    <n v="1.346166"/>
  </r>
  <r>
    <x v="414"/>
    <n v="1.3818600000000001"/>
  </r>
  <r>
    <x v="415"/>
    <n v="1.3818600000000001"/>
  </r>
  <r>
    <x v="416"/>
    <n v="1.448148"/>
  </r>
  <r>
    <x v="417"/>
    <n v="1.427751"/>
  </r>
  <r>
    <x v="418"/>
    <n v="1.4838420000000001"/>
  </r>
  <r>
    <x v="419"/>
    <n v="1.5399309999999999"/>
  </r>
  <r>
    <x v="420"/>
    <n v="1.5195350000000001"/>
  </r>
  <r>
    <x v="421"/>
    <n v="1.545032"/>
  </r>
  <r>
    <x v="422"/>
    <n v="1.5858239999999999"/>
  </r>
  <r>
    <x v="423"/>
    <n v="1.5348329999999999"/>
  </r>
  <r>
    <x v="424"/>
    <n v="1.5705260000000001"/>
  </r>
  <r>
    <x v="425"/>
    <n v="1.5985720000000001"/>
  </r>
  <r>
    <x v="426"/>
    <n v="1.5832740000000001"/>
  </r>
  <r>
    <x v="427"/>
    <n v="1.5909230000000001"/>
  </r>
  <r>
    <x v="428"/>
    <n v="1.652112"/>
  </r>
  <r>
    <x v="429"/>
    <n v="1.6419140000000001"/>
  </r>
  <r>
    <x v="430"/>
    <n v="1.639364"/>
  </r>
  <r>
    <x v="431"/>
    <n v="1.596023"/>
  </r>
  <r>
    <x v="432"/>
    <n v="1.5399309999999999"/>
  </r>
  <r>
    <x v="433"/>
    <n v="1.5909230000000001"/>
  </r>
  <r>
    <x v="434"/>
    <n v="1.5858239999999999"/>
  </r>
  <r>
    <x v="435"/>
    <n v="1.626617"/>
  </r>
  <r>
    <x v="436"/>
    <n v="1.621518"/>
  </r>
  <r>
    <x v="437"/>
    <n v="1.565428"/>
  </r>
  <r>
    <x v="438"/>
    <n v="1.4634450000000001"/>
  </r>
  <r>
    <x v="439"/>
    <n v="1.524634"/>
  </r>
  <r>
    <x v="440"/>
    <n v="1.5526789999999999"/>
  </r>
  <r>
    <x v="441"/>
    <n v="1.504238"/>
  </r>
  <r>
    <x v="442"/>
    <n v="1.453247"/>
  </r>
  <r>
    <x v="443"/>
    <n v="1.49404"/>
  </r>
  <r>
    <x v="444"/>
    <n v="1.506788"/>
  </r>
  <r>
    <x v="445"/>
    <n v="1.555229"/>
  </r>
  <r>
    <x v="446"/>
    <n v="1.5934729999999999"/>
  </r>
  <r>
    <x v="447"/>
    <n v="1.55013"/>
  </r>
  <r>
    <x v="448"/>
    <n v="1.6036710000000001"/>
  </r>
  <r>
    <x v="449"/>
    <n v="1.6368149999999999"/>
  </r>
  <r>
    <x v="450"/>
    <n v="1.677608"/>
  </r>
  <r>
    <x v="451"/>
    <n v="1.6546620000000001"/>
  </r>
  <r>
    <x v="452"/>
    <n v="1.7133020000000001"/>
  </r>
  <r>
    <x v="453"/>
    <n v="1.748996"/>
  </r>
  <r>
    <x v="454"/>
    <n v="1.6878059999999999"/>
  </r>
  <r>
    <x v="455"/>
    <n v="1.6419140000000001"/>
  </r>
  <r>
    <x v="456"/>
    <n v="1.6878059999999999"/>
  </r>
  <r>
    <x v="457"/>
    <n v="1.6113189999999999"/>
  </r>
  <r>
    <x v="458"/>
    <n v="1.5858239999999999"/>
  </r>
  <r>
    <x v="459"/>
    <n v="1.613869"/>
  </r>
  <r>
    <x v="460"/>
    <n v="1.6164190000000001"/>
  </r>
  <r>
    <x v="461"/>
    <n v="1.657211"/>
  </r>
  <r>
    <x v="462"/>
    <n v="1.6980040000000001"/>
  </r>
  <r>
    <x v="463"/>
    <n v="1.7133020000000001"/>
  </r>
  <r>
    <x v="464"/>
    <n v="1.7438959999999999"/>
  </r>
  <r>
    <x v="465"/>
    <n v="1.7438959999999999"/>
  </r>
  <r>
    <x v="466"/>
    <n v="1.7591939999999999"/>
  </r>
  <r>
    <x v="467"/>
    <n v="1.6725080000000001"/>
  </r>
  <r>
    <x v="468"/>
    <n v="1.6470130000000001"/>
  </r>
  <r>
    <x v="469"/>
    <n v="1.60622"/>
  </r>
  <r>
    <x v="470"/>
    <n v="1.5909230000000001"/>
  </r>
  <r>
    <x v="471"/>
    <n v="1.504238"/>
  </r>
  <r>
    <x v="472"/>
    <n v="1.4889399999999999"/>
  </r>
  <r>
    <x v="473"/>
    <n v="1.5858239999999999"/>
  </r>
  <r>
    <x v="474"/>
    <n v="1.557779"/>
  </r>
  <r>
    <x v="475"/>
    <n v="1.5603279999999999"/>
  </r>
  <r>
    <x v="476"/>
    <n v="1.626617"/>
  </r>
  <r>
    <x v="477"/>
    <n v="1.60622"/>
  </r>
  <r>
    <x v="478"/>
    <n v="1.5016879999999999"/>
  </r>
  <r>
    <x v="479"/>
    <n v="1.422652"/>
  </r>
  <r>
    <x v="480"/>
    <n v="1.422652"/>
  </r>
  <r>
    <x v="481"/>
    <n v="1.4838420000000001"/>
  </r>
  <r>
    <x v="482"/>
    <n v="1.5297339999999999"/>
  </r>
  <r>
    <x v="483"/>
    <n v="1.555229"/>
  </r>
  <r>
    <x v="484"/>
    <n v="1.5169859999999999"/>
  </r>
  <r>
    <x v="485"/>
    <n v="1.499139"/>
  </r>
  <r>
    <x v="486"/>
    <n v="1.422652"/>
  </r>
  <r>
    <x v="487"/>
    <n v="1.346166"/>
  </r>
  <r>
    <x v="488"/>
    <n v="1.274778"/>
  </r>
  <r>
    <x v="489"/>
    <n v="1.1269039999999999"/>
  </r>
  <r>
    <x v="490"/>
    <n v="1.106508"/>
  </r>
  <r>
    <x v="491"/>
    <n v="1.142201"/>
  </r>
  <r>
    <x v="492"/>
    <n v="1.1778949999999999"/>
  </r>
  <r>
    <x v="493"/>
    <n v="1.193192"/>
  </r>
  <r>
    <x v="494"/>
    <n v="1.142201"/>
  </r>
  <r>
    <x v="495"/>
    <n v="1.0504169999999999"/>
  </r>
  <r>
    <x v="496"/>
    <n v="1.0759129999999999"/>
  </r>
  <r>
    <x v="497"/>
    <n v="1.1549480000000001"/>
  </r>
  <r>
    <x v="498"/>
    <n v="1.193192"/>
  </r>
  <r>
    <x v="499"/>
    <n v="1.2084900000000001"/>
  </r>
  <r>
    <x v="500"/>
    <n v="1.188094"/>
  </r>
  <r>
    <x v="501"/>
    <n v="1.152399"/>
  </r>
  <r>
    <x v="502"/>
    <n v="1.1269039999999999"/>
  </r>
  <r>
    <x v="503"/>
    <n v="1.0810120000000001"/>
  </r>
  <r>
    <x v="504"/>
    <n v="1.0810120000000001"/>
  </r>
  <r>
    <x v="505"/>
    <n v="1.1141559999999999"/>
  </r>
  <r>
    <x v="506"/>
    <n v="1.09121"/>
  </r>
  <r>
    <x v="507"/>
    <n v="1.116706"/>
  </r>
  <r>
    <x v="508"/>
    <n v="1.111607"/>
  </r>
  <r>
    <x v="509"/>
    <n v="1.142201"/>
  </r>
  <r>
    <x v="510"/>
    <n v="1.180445"/>
  </r>
  <r>
    <x v="511"/>
    <n v="1.1574990000000001"/>
  </r>
  <r>
    <x v="512"/>
    <n v="1.152399"/>
  </r>
  <r>
    <x v="513"/>
    <n v="1.152399"/>
  </r>
  <r>
    <x v="514"/>
    <n v="1.111607"/>
  </r>
  <r>
    <x v="515"/>
    <n v="1.0733630000000001"/>
  </r>
  <r>
    <x v="516"/>
    <n v="1.106508"/>
  </r>
  <r>
    <x v="517"/>
    <n v="1.106508"/>
  </r>
  <r>
    <x v="518"/>
    <n v="1.0810120000000001"/>
  </r>
  <r>
    <x v="519"/>
    <n v="1.083561"/>
  </r>
  <r>
    <x v="520"/>
    <n v="1.103958"/>
  </r>
  <r>
    <x v="521"/>
    <n v="1.0708139999999999"/>
  </r>
  <r>
    <x v="522"/>
    <n v="1.0810120000000001"/>
  </r>
  <r>
    <x v="523"/>
    <n v="1.0504169999999999"/>
  </r>
  <r>
    <x v="524"/>
    <n v="0.968831"/>
  </r>
  <r>
    <x v="525"/>
    <n v="0.99432699999999996"/>
  </r>
  <r>
    <x v="526"/>
    <n v="0.98412900000000003"/>
  </r>
  <r>
    <x v="527"/>
    <n v="1.0708139999999999"/>
  </r>
  <r>
    <x v="528"/>
    <n v="1.103958"/>
  </r>
  <r>
    <x v="529"/>
    <n v="1.040219"/>
  </r>
  <r>
    <x v="530"/>
    <n v="1.004526"/>
  </r>
  <r>
    <x v="531"/>
    <n v="0.99177700000000002"/>
  </r>
  <r>
    <x v="532"/>
    <n v="1.004526"/>
  </r>
  <r>
    <x v="533"/>
    <n v="0.98667800000000006"/>
  </r>
  <r>
    <x v="534"/>
    <n v="0.97902999999999996"/>
  </r>
  <r>
    <x v="535"/>
    <n v="0.99432699999999996"/>
  </r>
  <r>
    <x v="536"/>
    <n v="1.014724"/>
  </r>
  <r>
    <x v="537"/>
    <n v="1.014724"/>
  </r>
  <r>
    <x v="538"/>
    <n v="1.0096240000000001"/>
  </r>
  <r>
    <x v="539"/>
    <n v="1.0249220000000001"/>
  </r>
  <r>
    <x v="540"/>
    <n v="1.0096240000000001"/>
  </r>
  <r>
    <x v="541"/>
    <n v="1.014724"/>
  </r>
  <r>
    <x v="542"/>
    <n v="0.98412900000000003"/>
  </r>
  <r>
    <x v="543"/>
    <n v="0.93313800000000002"/>
  </r>
  <r>
    <x v="544"/>
    <n v="0.945886"/>
  </r>
  <r>
    <x v="545"/>
    <n v="0.95863299999999996"/>
  </r>
  <r>
    <x v="546"/>
    <n v="0.94843500000000003"/>
  </r>
  <r>
    <x v="547"/>
    <n v="0.92803800000000003"/>
  </r>
  <r>
    <x v="548"/>
    <n v="0.94333599999999995"/>
  </r>
  <r>
    <x v="549"/>
    <n v="0.94843500000000003"/>
  </r>
  <r>
    <x v="550"/>
    <n v="0.91019099999999997"/>
  </r>
  <r>
    <x v="551"/>
    <n v="0.89744400000000002"/>
  </r>
  <r>
    <x v="552"/>
    <n v="0.85665100000000005"/>
  </r>
  <r>
    <x v="553"/>
    <n v="0.86684899999999998"/>
  </r>
  <r>
    <x v="554"/>
    <n v="0.84645300000000001"/>
  </r>
  <r>
    <x v="555"/>
    <n v="0.86684899999999998"/>
  </r>
  <r>
    <x v="556"/>
    <n v="0.85155199999999998"/>
  </r>
  <r>
    <x v="557"/>
    <n v="0.86684899999999998"/>
  </r>
  <r>
    <x v="558"/>
    <n v="0.91783999999999999"/>
  </r>
  <r>
    <x v="559"/>
    <n v="1.0300210000000001"/>
  </r>
  <r>
    <x v="560"/>
    <n v="1.111607"/>
  </r>
  <r>
    <x v="561"/>
    <n v="1.0708139999999999"/>
  </r>
  <r>
    <x v="562"/>
    <n v="1.0504169999999999"/>
  </r>
  <r>
    <x v="563"/>
    <n v="1.0300210000000001"/>
  </r>
  <r>
    <x v="564"/>
    <n v="1.0198229999999999"/>
  </r>
  <r>
    <x v="565"/>
    <n v="1.004526"/>
  </r>
  <r>
    <x v="566"/>
    <n v="1.014724"/>
  </r>
  <r>
    <x v="567"/>
    <n v="1.040219"/>
  </r>
  <r>
    <x v="568"/>
    <n v="1.09121"/>
  </r>
  <r>
    <x v="569"/>
    <n v="1.116706"/>
  </r>
  <r>
    <x v="570"/>
    <n v="1.1727959999999999"/>
  </r>
  <r>
    <x v="571"/>
    <n v="1.142201"/>
  </r>
  <r>
    <x v="572"/>
    <n v="1.162598"/>
  </r>
  <r>
    <x v="573"/>
    <n v="1.1269039999999999"/>
  </r>
  <r>
    <x v="574"/>
    <n v="1.1014079999999999"/>
  </r>
  <r>
    <x v="575"/>
    <n v="1.0708139999999999"/>
  </r>
  <r>
    <x v="576"/>
    <n v="1.09121"/>
  </r>
  <r>
    <x v="577"/>
    <n v="1.060616"/>
  </r>
  <r>
    <x v="578"/>
    <n v="0.99942600000000004"/>
  </r>
  <r>
    <x v="579"/>
    <n v="0.94843500000000003"/>
  </r>
  <r>
    <x v="580"/>
    <n v="0.968831"/>
  </r>
  <r>
    <x v="581"/>
    <n v="0.99942600000000004"/>
  </r>
  <r>
    <x v="582"/>
    <n v="0.95353399999999999"/>
  </r>
  <r>
    <x v="583"/>
    <n v="0.94843500000000003"/>
  </r>
  <r>
    <x v="584"/>
    <n v="0.94843500000000003"/>
  </r>
  <r>
    <x v="585"/>
    <n v="0.94843500000000003"/>
  </r>
  <r>
    <x v="586"/>
    <n v="0.92803800000000003"/>
  </r>
  <r>
    <x v="587"/>
    <n v="0.89744400000000002"/>
  </r>
  <r>
    <x v="588"/>
    <n v="0.88724599999999998"/>
  </r>
  <r>
    <x v="589"/>
    <n v="0.83625400000000005"/>
  </r>
  <r>
    <x v="590"/>
    <n v="0.84645300000000001"/>
  </r>
  <r>
    <x v="591"/>
    <n v="0.92803800000000003"/>
  </r>
  <r>
    <x v="592"/>
    <n v="0.89744400000000002"/>
  </r>
  <r>
    <x v="593"/>
    <n v="0.85155199999999998"/>
  </r>
  <r>
    <x v="594"/>
    <n v="0.83625400000000005"/>
  </r>
  <r>
    <x v="595"/>
    <n v="0.81585799999999997"/>
  </r>
  <r>
    <x v="596"/>
    <n v="0.85665100000000005"/>
  </r>
  <r>
    <x v="597"/>
    <n v="0.89234500000000005"/>
  </r>
  <r>
    <x v="598"/>
    <n v="0.90764199999999995"/>
  </r>
  <r>
    <x v="599"/>
    <n v="0.86684899999999998"/>
  </r>
  <r>
    <x v="600"/>
    <n v="0.86684899999999998"/>
  </r>
  <r>
    <x v="601"/>
    <n v="0.86684899999999998"/>
  </r>
  <r>
    <x v="602"/>
    <n v="0.86684899999999998"/>
  </r>
  <r>
    <x v="603"/>
    <n v="0.84135400000000005"/>
  </r>
  <r>
    <x v="604"/>
    <n v="0.85665100000000005"/>
  </r>
  <r>
    <x v="605"/>
    <n v="0.83625400000000005"/>
  </r>
  <r>
    <x v="606"/>
    <n v="0.80566000000000004"/>
  </r>
  <r>
    <x v="607"/>
    <n v="0.78526300000000004"/>
  </r>
  <r>
    <x v="608"/>
    <n v="0.68837999999999999"/>
  </r>
  <r>
    <x v="609"/>
    <n v="0.70367800000000003"/>
  </r>
  <r>
    <x v="610"/>
    <n v="0.69857899999999995"/>
  </r>
  <r>
    <x v="611"/>
    <n v="0.70367800000000003"/>
  </r>
  <r>
    <x v="612"/>
    <n v="0.70367800000000003"/>
  </r>
  <r>
    <x v="613"/>
    <n v="0.73427200000000004"/>
  </r>
  <r>
    <x v="614"/>
    <n v="0.74446999999999997"/>
  </r>
  <r>
    <x v="615"/>
    <n v="0.73427200000000004"/>
  </r>
  <r>
    <x v="616"/>
    <n v="0.71387599999999996"/>
  </r>
  <r>
    <x v="617"/>
    <n v="0.75466900000000003"/>
  </r>
  <r>
    <x v="618"/>
    <n v="0.72917299999999996"/>
  </r>
  <r>
    <x v="619"/>
    <n v="0.70877699999999999"/>
  </r>
  <r>
    <x v="620"/>
    <n v="0.69347899999999996"/>
  </r>
  <r>
    <x v="621"/>
    <n v="0.66798400000000002"/>
  </r>
  <r>
    <x v="622"/>
    <n v="0.67308299999999999"/>
  </r>
  <r>
    <x v="623"/>
    <n v="0.68328100000000003"/>
  </r>
  <r>
    <x v="624"/>
    <n v="0.73427200000000004"/>
  </r>
  <r>
    <x v="625"/>
    <n v="0.74446999999999997"/>
  </r>
  <r>
    <x v="626"/>
    <n v="0.73682199999999998"/>
  </r>
  <r>
    <x v="627"/>
    <n v="0.72917299999999996"/>
  </r>
  <r>
    <x v="628"/>
    <n v="0.724074"/>
  </r>
  <r>
    <x v="629"/>
    <n v="0.74446999999999997"/>
  </r>
  <r>
    <x v="630"/>
    <n v="0.73427200000000004"/>
  </r>
  <r>
    <x v="631"/>
    <n v="0.73427200000000004"/>
  </r>
  <r>
    <x v="632"/>
    <n v="0.724074"/>
  </r>
  <r>
    <x v="633"/>
    <n v="0.71897500000000003"/>
  </r>
  <r>
    <x v="634"/>
    <n v="0.71387599999999996"/>
  </r>
  <r>
    <x v="635"/>
    <n v="0.67308299999999999"/>
  </r>
  <r>
    <x v="636"/>
    <n v="0.66798400000000002"/>
  </r>
  <r>
    <x v="637"/>
    <n v="0.68837999999999999"/>
  </r>
  <r>
    <x v="638"/>
    <n v="0.66288499999999995"/>
  </r>
  <r>
    <x v="639"/>
    <n v="0.65268599999999999"/>
  </r>
  <r>
    <x v="640"/>
    <n v="0.70367800000000003"/>
  </r>
  <r>
    <x v="641"/>
    <n v="0.67308299999999999"/>
  </r>
  <r>
    <x v="642"/>
    <n v="0.66798400000000002"/>
  </r>
  <r>
    <x v="643"/>
    <n v="0.65268599999999999"/>
  </r>
  <r>
    <x v="644"/>
    <n v="0.65268599999999999"/>
  </r>
  <r>
    <x v="645"/>
    <n v="0.64248799999999995"/>
  </r>
  <r>
    <x v="646"/>
    <n v="0.62209199999999998"/>
  </r>
  <r>
    <x v="647"/>
    <n v="0.64248799999999995"/>
  </r>
  <r>
    <x v="648"/>
    <n v="0.62209199999999998"/>
  </r>
  <r>
    <x v="649"/>
    <n v="0.62209199999999998"/>
  </r>
  <r>
    <x v="650"/>
    <n v="0.63993900000000004"/>
  </r>
  <r>
    <x v="651"/>
    <n v="0.67308299999999999"/>
  </r>
  <r>
    <x v="652"/>
    <n v="0.795462"/>
  </r>
  <r>
    <x v="653"/>
    <n v="0.775065"/>
  </r>
  <r>
    <x v="654"/>
    <n v="0.76486699999999996"/>
  </r>
  <r>
    <x v="655"/>
    <n v="0.70877699999999999"/>
  </r>
  <r>
    <x v="656"/>
    <n v="0.66798400000000002"/>
  </r>
  <r>
    <x v="657"/>
    <n v="0.71387599999999996"/>
  </r>
  <r>
    <x v="658"/>
    <n v="0.74446999999999997"/>
  </r>
  <r>
    <x v="659"/>
    <n v="0.75466900000000003"/>
  </r>
  <r>
    <x v="660"/>
    <n v="0.759768"/>
  </r>
  <r>
    <x v="661"/>
    <n v="0.75466900000000003"/>
  </r>
  <r>
    <x v="662"/>
    <n v="0.76486699999999996"/>
  </r>
  <r>
    <x v="663"/>
    <n v="0.73427200000000004"/>
  </r>
  <r>
    <x v="664"/>
    <n v="0.72662300000000002"/>
  </r>
  <r>
    <x v="665"/>
    <n v="0.724074"/>
  </r>
  <r>
    <x v="666"/>
    <n v="0.71387599999999996"/>
  </r>
  <r>
    <x v="667"/>
    <n v="0.72917299999999996"/>
  </r>
  <r>
    <x v="668"/>
    <n v="0.724074"/>
  </r>
  <r>
    <x v="669"/>
    <n v="0.74956999999999996"/>
  </r>
  <r>
    <x v="670"/>
    <n v="0.75466900000000003"/>
  </r>
  <r>
    <x v="671"/>
    <n v="0.759768"/>
  </r>
  <r>
    <x v="672"/>
    <n v="0.76486699999999996"/>
  </r>
  <r>
    <x v="673"/>
    <n v="0.87704700000000002"/>
  </r>
  <r>
    <x v="674"/>
    <n v="0.84390299999999996"/>
  </r>
  <r>
    <x v="675"/>
    <n v="0.88724599999999998"/>
  </r>
  <r>
    <x v="676"/>
    <n v="0.92803800000000003"/>
  </r>
  <r>
    <x v="677"/>
    <n v="0.92293999999999998"/>
  </r>
  <r>
    <x v="678"/>
    <n v="0.88724599999999998"/>
  </r>
  <r>
    <x v="679"/>
    <n v="0.88214599999999999"/>
  </r>
  <r>
    <x v="680"/>
    <n v="0.89744400000000002"/>
  </r>
  <r>
    <x v="681"/>
    <n v="0.91274100000000002"/>
  </r>
  <r>
    <x v="682"/>
    <n v="0.89744400000000002"/>
  </r>
  <r>
    <x v="683"/>
    <n v="0.92293999999999998"/>
  </r>
  <r>
    <x v="684"/>
    <n v="0.93823599999999996"/>
  </r>
  <r>
    <x v="685"/>
    <n v="0.93823599999999996"/>
  </r>
  <r>
    <x v="686"/>
    <n v="0.91783999999999999"/>
  </r>
  <r>
    <x v="687"/>
    <n v="0.87704700000000002"/>
  </r>
  <r>
    <x v="688"/>
    <n v="0.82605600000000001"/>
  </r>
  <r>
    <x v="689"/>
    <n v="0.85665100000000005"/>
  </r>
  <r>
    <x v="690"/>
    <n v="0.88214599999999999"/>
  </r>
  <r>
    <x v="691"/>
    <n v="0.94843500000000003"/>
  </r>
  <r>
    <x v="692"/>
    <n v="1.0070749999999999"/>
  </r>
  <r>
    <x v="693"/>
    <n v="1.0019750000000001"/>
  </r>
  <r>
    <x v="694"/>
    <n v="1.0198229999999999"/>
  </r>
  <r>
    <x v="695"/>
    <n v="1.0198229999999999"/>
  </r>
  <r>
    <x v="696"/>
    <n v="1.0504169999999999"/>
  </r>
  <r>
    <x v="697"/>
    <n v="1.0708139999999999"/>
  </r>
  <r>
    <x v="698"/>
    <n v="1.0708139999999999"/>
  </r>
  <r>
    <x v="699"/>
    <n v="1.0198229999999999"/>
  </r>
  <r>
    <x v="700"/>
    <n v="1.0198229999999999"/>
  </r>
  <r>
    <x v="701"/>
    <n v="1.0504169999999999"/>
  </r>
  <r>
    <x v="702"/>
    <n v="1.060616"/>
  </r>
  <r>
    <x v="703"/>
    <n v="1.0504169999999999"/>
  </r>
  <r>
    <x v="704"/>
    <n v="1.0300210000000001"/>
  </r>
  <r>
    <x v="705"/>
    <n v="1.0300210000000001"/>
  </r>
  <r>
    <x v="706"/>
    <n v="1.0096240000000001"/>
  </r>
  <r>
    <x v="707"/>
    <n v="1.03257"/>
  </r>
  <r>
    <x v="708"/>
    <n v="1.055517"/>
  </r>
  <r>
    <x v="709"/>
    <n v="1.0708139999999999"/>
  </r>
  <r>
    <x v="710"/>
    <n v="1.152399"/>
  </r>
  <r>
    <x v="711"/>
    <n v="1.1269039999999999"/>
  </r>
  <r>
    <x v="712"/>
    <n v="1.152399"/>
  </r>
  <r>
    <x v="713"/>
    <n v="1.142201"/>
  </r>
  <r>
    <x v="714"/>
    <n v="1.152399"/>
  </r>
  <r>
    <x v="715"/>
    <n v="1.1320030000000001"/>
  </r>
  <r>
    <x v="716"/>
    <n v="1.162598"/>
  </r>
  <r>
    <x v="717"/>
    <n v="1.142201"/>
  </r>
  <r>
    <x v="718"/>
    <n v="1.1320030000000001"/>
  </r>
  <r>
    <x v="719"/>
    <n v="1.1014079999999999"/>
  </r>
  <r>
    <x v="720"/>
    <n v="1.1218049999999999"/>
  </r>
  <r>
    <x v="721"/>
    <n v="1.152399"/>
  </r>
  <r>
    <x v="722"/>
    <n v="1.2084900000000001"/>
  </r>
  <r>
    <x v="723"/>
    <n v="1.1727959999999999"/>
  </r>
  <r>
    <x v="724"/>
    <n v="1.142201"/>
  </r>
  <r>
    <x v="725"/>
    <n v="1.1727959999999999"/>
  </r>
  <r>
    <x v="726"/>
    <n v="1.1829940000000001"/>
  </r>
  <r>
    <x v="727"/>
    <n v="1.213589"/>
  </r>
  <r>
    <x v="728"/>
    <n v="1.20339"/>
  </r>
  <r>
    <x v="729"/>
    <n v="1.188094"/>
  </r>
  <r>
    <x v="730"/>
    <n v="1.213589"/>
  </r>
  <r>
    <x v="731"/>
    <n v="1.218688"/>
  </r>
  <r>
    <x v="732"/>
    <n v="1.1829940000000001"/>
  </r>
  <r>
    <x v="733"/>
    <n v="1.223787"/>
  </r>
  <r>
    <x v="734"/>
    <n v="1.307922"/>
  </r>
  <r>
    <x v="735"/>
    <n v="1.341067"/>
  </r>
  <r>
    <x v="736"/>
    <n v="1.3359669999999999"/>
  </r>
  <r>
    <x v="737"/>
    <n v="1.315571"/>
  </r>
  <r>
    <x v="738"/>
    <n v="1.346166"/>
  </r>
  <r>
    <x v="739"/>
    <n v="1.3665620000000001"/>
  </r>
  <r>
    <x v="740"/>
    <n v="1.3512649999999999"/>
  </r>
  <r>
    <x v="741"/>
    <n v="1.305372"/>
  </r>
  <r>
    <x v="742"/>
    <n v="1.2543820000000001"/>
  </r>
  <r>
    <x v="743"/>
    <n v="1.2339850000000001"/>
  </r>
  <r>
    <x v="744"/>
    <n v="1.193192"/>
  </r>
  <r>
    <x v="745"/>
    <n v="1.2339850000000001"/>
  </r>
  <r>
    <x v="746"/>
    <n v="1.2849759999999999"/>
  </r>
  <r>
    <x v="747"/>
    <n v="1.295174"/>
  </r>
  <r>
    <x v="748"/>
    <n v="1.2849759999999999"/>
  </r>
  <r>
    <x v="749"/>
    <n v="1.2543820000000001"/>
  </r>
  <r>
    <x v="750"/>
    <n v="1.20339"/>
  </r>
  <r>
    <x v="751"/>
    <n v="1.213589"/>
  </r>
  <r>
    <x v="752"/>
    <n v="1.244184"/>
  </r>
  <r>
    <x v="753"/>
    <n v="1.1727959999999999"/>
  </r>
  <r>
    <x v="754"/>
    <n v="1.1014079999999999"/>
  </r>
  <r>
    <x v="755"/>
    <n v="1.0810120000000001"/>
  </r>
  <r>
    <x v="756"/>
    <n v="1.152399"/>
  </r>
  <r>
    <x v="757"/>
    <n v="1.0810120000000001"/>
  </r>
  <r>
    <x v="758"/>
    <n v="1.040219"/>
  </r>
  <r>
    <x v="759"/>
    <n v="0.989228"/>
  </r>
  <r>
    <x v="760"/>
    <n v="0.93823599999999996"/>
  </r>
  <r>
    <x v="761"/>
    <n v="0.989228"/>
  </r>
  <r>
    <x v="762"/>
    <n v="1.0096240000000001"/>
  </r>
  <r>
    <x v="763"/>
    <n v="1.060616"/>
  </r>
  <r>
    <x v="764"/>
    <n v="1.060616"/>
  </r>
  <r>
    <x v="765"/>
    <n v="1.0810120000000001"/>
  </r>
  <r>
    <x v="766"/>
    <n v="1.0504169999999999"/>
  </r>
  <r>
    <x v="767"/>
    <n v="1.040219"/>
  </r>
  <r>
    <x v="768"/>
    <n v="1.0096240000000001"/>
  </r>
  <r>
    <x v="769"/>
    <n v="0.99942600000000004"/>
  </r>
  <r>
    <x v="770"/>
    <n v="0.97902999999999996"/>
  </r>
  <r>
    <x v="771"/>
    <n v="0.989228"/>
  </r>
  <r>
    <x v="772"/>
    <n v="0.99942600000000004"/>
  </r>
  <r>
    <x v="773"/>
    <n v="0.989228"/>
  </r>
  <r>
    <x v="774"/>
    <n v="0.97902999999999996"/>
  </r>
  <r>
    <x v="775"/>
    <n v="0.94843500000000003"/>
  </r>
  <r>
    <x v="776"/>
    <n v="0.94843500000000003"/>
  </r>
  <r>
    <x v="777"/>
    <n v="0.93313800000000002"/>
  </r>
  <r>
    <x v="778"/>
    <n v="0.91783999999999999"/>
  </r>
  <r>
    <x v="779"/>
    <n v="0.85665100000000005"/>
  </r>
  <r>
    <x v="780"/>
    <n v="0.90254299999999998"/>
  </r>
  <r>
    <x v="781"/>
    <n v="0.989228"/>
  </r>
  <r>
    <x v="782"/>
    <n v="0.99942600000000004"/>
  </r>
  <r>
    <x v="783"/>
    <n v="0.97902999999999996"/>
  </r>
  <r>
    <x v="784"/>
    <n v="0.94843500000000003"/>
  </r>
  <r>
    <x v="785"/>
    <n v="1.0300210000000001"/>
  </r>
  <r>
    <x v="786"/>
    <n v="1.1218049999999999"/>
  </r>
  <r>
    <x v="787"/>
    <n v="1.1014079999999999"/>
  </r>
  <r>
    <x v="788"/>
    <n v="1.1473"/>
  </r>
  <r>
    <x v="789"/>
    <n v="1.162598"/>
  </r>
  <r>
    <x v="790"/>
    <n v="1.1014079999999999"/>
  </r>
  <r>
    <x v="791"/>
    <n v="1.0810120000000001"/>
  </r>
  <r>
    <x v="792"/>
    <n v="1.111607"/>
  </r>
  <r>
    <x v="793"/>
    <n v="1.1218049999999999"/>
  </r>
  <r>
    <x v="794"/>
    <n v="1.142201"/>
  </r>
  <r>
    <x v="795"/>
    <n v="1.142201"/>
  </r>
  <r>
    <x v="796"/>
    <n v="1.1473"/>
  </r>
  <r>
    <x v="797"/>
    <n v="1.142201"/>
  </r>
  <r>
    <x v="798"/>
    <n v="1.142201"/>
  </r>
  <r>
    <x v="799"/>
    <n v="1.152399"/>
  </r>
  <r>
    <x v="800"/>
    <n v="1.1218049999999999"/>
  </r>
  <r>
    <x v="801"/>
    <n v="1.09121"/>
  </r>
  <r>
    <x v="802"/>
    <n v="1.060616"/>
  </r>
  <r>
    <x v="803"/>
    <n v="1.0708139999999999"/>
  </r>
  <r>
    <x v="804"/>
    <n v="1.040219"/>
  </r>
  <r>
    <x v="805"/>
    <n v="1.045318"/>
  </r>
  <r>
    <x v="806"/>
    <n v="1.060616"/>
  </r>
  <r>
    <x v="807"/>
    <n v="1.152399"/>
  </r>
  <r>
    <x v="808"/>
    <n v="1.152399"/>
  </r>
  <r>
    <x v="809"/>
    <n v="1.1320030000000001"/>
  </r>
  <r>
    <x v="810"/>
    <n v="1.193192"/>
  </r>
  <r>
    <x v="811"/>
    <n v="1.152399"/>
  </r>
  <r>
    <x v="812"/>
    <n v="1.1320030000000001"/>
  </r>
  <r>
    <x v="813"/>
    <n v="1.193192"/>
  </r>
  <r>
    <x v="814"/>
    <n v="1.162598"/>
  </r>
  <r>
    <x v="815"/>
    <n v="1.142201"/>
  </r>
  <r>
    <x v="816"/>
    <n v="1.1320030000000001"/>
  </r>
  <r>
    <x v="817"/>
    <n v="1.20339"/>
  </r>
  <r>
    <x v="818"/>
    <n v="1.20339"/>
  </r>
  <r>
    <x v="819"/>
    <n v="1.1778949999999999"/>
  </r>
  <r>
    <x v="820"/>
    <n v="1.26458"/>
  </r>
  <r>
    <x v="821"/>
    <n v="1.2798780000000001"/>
  </r>
  <r>
    <x v="822"/>
    <n v="1.305372"/>
  </r>
  <r>
    <x v="823"/>
    <n v="1.3359669999999999"/>
  </r>
  <r>
    <x v="824"/>
    <n v="1.315571"/>
  </r>
  <r>
    <x v="825"/>
    <n v="1.26458"/>
  </r>
  <r>
    <x v="826"/>
    <n v="1.341067"/>
  </r>
  <r>
    <x v="827"/>
    <n v="1.3971560000000001"/>
  </r>
  <r>
    <x v="828"/>
    <n v="1.325769"/>
  </r>
  <r>
    <x v="829"/>
    <n v="1.346166"/>
  </r>
  <r>
    <x v="830"/>
    <n v="1.3869590000000001"/>
  </r>
  <r>
    <x v="831"/>
    <n v="1.4022570000000001"/>
  </r>
  <r>
    <x v="832"/>
    <n v="1.3512649999999999"/>
  </r>
  <r>
    <x v="833"/>
    <n v="1.3359669999999999"/>
  </r>
  <r>
    <x v="834"/>
    <n v="1.2977240000000001"/>
  </r>
  <r>
    <x v="835"/>
    <n v="1.2543820000000001"/>
  </r>
  <r>
    <x v="836"/>
    <n v="1.213589"/>
  </r>
  <r>
    <x v="837"/>
    <n v="1.167697"/>
  </r>
  <r>
    <x v="838"/>
    <n v="1.223787"/>
  </r>
  <r>
    <x v="839"/>
    <n v="1.142201"/>
  </r>
  <r>
    <x v="840"/>
    <n v="1.0708139999999999"/>
  </r>
  <r>
    <x v="841"/>
    <n v="1.1014079999999999"/>
  </r>
  <r>
    <x v="842"/>
    <n v="1.096309"/>
  </r>
  <r>
    <x v="843"/>
    <n v="1.09121"/>
  </r>
  <r>
    <x v="844"/>
    <n v="1.0504169999999999"/>
  </r>
  <r>
    <x v="845"/>
    <n v="1.004526"/>
  </r>
  <r>
    <x v="846"/>
    <n v="1.111607"/>
  </r>
  <r>
    <x v="847"/>
    <n v="1.0708139999999999"/>
  </r>
  <r>
    <x v="848"/>
    <n v="1.0198229999999999"/>
  </r>
  <r>
    <x v="849"/>
    <n v="1.040219"/>
  </r>
  <r>
    <x v="850"/>
    <n v="1.086111"/>
  </r>
  <r>
    <x v="851"/>
    <n v="1.09121"/>
  </r>
  <r>
    <x v="852"/>
    <n v="1.0708139999999999"/>
  </r>
  <r>
    <x v="853"/>
    <n v="1.03512"/>
  </r>
  <r>
    <x v="854"/>
    <n v="1.0504169999999999"/>
  </r>
  <r>
    <x v="855"/>
    <n v="1.060616"/>
  </r>
  <r>
    <x v="856"/>
    <n v="1.03512"/>
  </r>
  <r>
    <x v="857"/>
    <n v="1.03512"/>
  </r>
  <r>
    <x v="858"/>
    <n v="1.03512"/>
  </r>
  <r>
    <x v="859"/>
    <n v="0.99942600000000004"/>
  </r>
  <r>
    <x v="860"/>
    <n v="1.014724"/>
  </r>
  <r>
    <x v="861"/>
    <n v="1.142201"/>
  </r>
  <r>
    <x v="862"/>
    <n v="1.2084900000000001"/>
  </r>
  <r>
    <x v="863"/>
    <n v="1.20339"/>
  </r>
  <r>
    <x v="864"/>
    <n v="1.20339"/>
  </r>
  <r>
    <x v="865"/>
    <n v="1.160048"/>
  </r>
  <r>
    <x v="866"/>
    <n v="1.116706"/>
  </r>
  <r>
    <x v="867"/>
    <n v="1.103958"/>
  </r>
  <r>
    <x v="868"/>
    <n v="1.09121"/>
  </r>
  <r>
    <x v="869"/>
    <n v="1.0504169999999999"/>
  </r>
  <r>
    <x v="870"/>
    <n v="1.040219"/>
  </r>
  <r>
    <x v="871"/>
    <n v="1.0657140000000001"/>
  </r>
  <r>
    <x v="872"/>
    <n v="1.0504169999999999"/>
  </r>
  <r>
    <x v="873"/>
    <n v="1.004526"/>
  </r>
  <r>
    <x v="874"/>
    <n v="1.045318"/>
  </r>
  <r>
    <x v="875"/>
    <n v="1.03257"/>
  </r>
  <r>
    <x v="876"/>
    <n v="1.142201"/>
  </r>
  <r>
    <x v="877"/>
    <n v="1.20339"/>
  </r>
  <r>
    <x v="878"/>
    <n v="1.4175519999999999"/>
  </r>
  <r>
    <x v="879"/>
    <n v="1.4175519999999999"/>
  </r>
  <r>
    <x v="880"/>
    <n v="1.4022570000000001"/>
  </r>
  <r>
    <x v="881"/>
    <n v="1.3793089999999999"/>
  </r>
  <r>
    <x v="882"/>
    <n v="1.315571"/>
  </r>
  <r>
    <x v="883"/>
    <n v="1.3359669999999999"/>
  </r>
  <r>
    <x v="884"/>
    <n v="1.3359669999999999"/>
  </r>
  <r>
    <x v="885"/>
    <n v="1.4073549999999999"/>
  </r>
  <r>
    <x v="886"/>
    <n v="1.3869590000000001"/>
  </r>
  <r>
    <x v="887"/>
    <n v="1.4175519999999999"/>
  </r>
  <r>
    <x v="888"/>
    <n v="1.4328510000000001"/>
  </r>
  <r>
    <x v="889"/>
    <n v="1.3614630000000001"/>
  </r>
  <r>
    <x v="890"/>
    <n v="1.4328510000000001"/>
  </r>
  <r>
    <x v="891"/>
    <n v="1.37676"/>
  </r>
  <r>
    <x v="892"/>
    <n v="1.37676"/>
  </r>
  <r>
    <x v="893"/>
    <n v="1.32067"/>
  </r>
  <r>
    <x v="894"/>
    <n v="1.3512649999999999"/>
  </r>
  <r>
    <x v="895"/>
    <n v="1.392058"/>
  </r>
  <r>
    <x v="896"/>
    <n v="1.409904"/>
  </r>
  <r>
    <x v="897"/>
    <n v="1.3971560000000001"/>
  </r>
  <r>
    <x v="898"/>
    <n v="1.453247"/>
  </r>
  <r>
    <x v="899"/>
    <n v="1.453247"/>
  </r>
  <r>
    <x v="900"/>
    <n v="1.5297339999999999"/>
  </r>
  <r>
    <x v="901"/>
    <n v="1.6317159999999999"/>
  </r>
  <r>
    <x v="902"/>
    <n v="1.555229"/>
  </r>
  <r>
    <x v="903"/>
    <n v="1.5858239999999999"/>
  </r>
  <r>
    <x v="904"/>
    <n v="1.596023"/>
  </r>
  <r>
    <x v="905"/>
    <n v="1.5858239999999999"/>
  </r>
  <r>
    <x v="906"/>
    <n v="1.621518"/>
  </r>
  <r>
    <x v="907"/>
    <n v="1.5348329999999999"/>
  </r>
  <r>
    <x v="908"/>
    <n v="1.4328510000000001"/>
  </r>
  <r>
    <x v="909"/>
    <n v="1.453247"/>
  </r>
  <r>
    <x v="910"/>
    <n v="1.703104"/>
  </r>
  <r>
    <x v="911"/>
    <n v="1.8101849999999999"/>
  </r>
  <r>
    <x v="912"/>
    <n v="1.7693920000000001"/>
  </r>
  <r>
    <x v="913"/>
    <n v="1.7693920000000001"/>
  </r>
  <r>
    <x v="914"/>
    <n v="1.7591939999999999"/>
  </r>
  <r>
    <x v="915"/>
    <n v="1.7387980000000001"/>
  </r>
  <r>
    <x v="916"/>
    <n v="1.7438959999999999"/>
  </r>
  <r>
    <x v="917"/>
    <n v="1.7082029999999999"/>
  </r>
  <r>
    <x v="918"/>
    <n v="1.6878059999999999"/>
  </r>
  <r>
    <x v="919"/>
    <n v="1.7693920000000001"/>
  </r>
  <r>
    <x v="920"/>
    <n v="1.805086"/>
  </r>
  <r>
    <x v="921"/>
    <n v="1.7591939999999999"/>
  </r>
  <r>
    <x v="922"/>
    <n v="1.784689"/>
  </r>
  <r>
    <x v="923"/>
    <n v="1.871375"/>
  </r>
  <r>
    <x v="924"/>
    <n v="1.901969"/>
  </r>
  <r>
    <x v="925"/>
    <n v="1.866276"/>
  </r>
  <r>
    <x v="926"/>
    <n v="1.958059"/>
  </r>
  <r>
    <x v="927"/>
    <n v="2.0447440000000001"/>
  </r>
  <r>
    <x v="928"/>
    <n v="2.2130139999999998"/>
  </r>
  <r>
    <x v="929"/>
    <n v="2.0957349999999999"/>
  </r>
  <r>
    <x v="930"/>
    <n v="2.121232"/>
  </r>
  <r>
    <x v="931"/>
    <n v="1.9325639999999999"/>
  </r>
  <r>
    <x v="932"/>
    <n v="1.95041"/>
  </r>
  <r>
    <x v="933"/>
    <n v="2.0345460000000002"/>
  </r>
  <r>
    <x v="934"/>
    <n v="2.0141499999999999"/>
  </r>
  <r>
    <x v="935"/>
    <n v="2.0447440000000001"/>
  </r>
  <r>
    <x v="936"/>
    <n v="1.9886539999999999"/>
  </r>
  <r>
    <x v="937"/>
    <n v="1.9274640000000001"/>
  </r>
  <r>
    <x v="938"/>
    <n v="2.024349"/>
  </r>
  <r>
    <x v="939"/>
    <n v="1.9886539999999999"/>
  </r>
  <r>
    <x v="940"/>
    <n v="2.0345460000000002"/>
  </r>
  <r>
    <x v="941"/>
    <n v="2.1467260000000001"/>
  </r>
  <r>
    <x v="942"/>
    <n v="2.18242"/>
  </r>
  <r>
    <x v="943"/>
    <n v="2.0957349999999999"/>
  </r>
  <r>
    <x v="944"/>
    <n v="2.060041"/>
  </r>
  <r>
    <x v="945"/>
    <n v="2.0702400000000001"/>
  </r>
  <r>
    <x v="946"/>
    <n v="2.0396450000000002"/>
  </r>
  <r>
    <x v="947"/>
    <n v="2.024349"/>
  </r>
  <r>
    <x v="948"/>
    <n v="2.0192480000000002"/>
  </r>
  <r>
    <x v="949"/>
    <n v="1.9427620000000001"/>
  </r>
  <r>
    <x v="950"/>
    <n v="2.0141499999999999"/>
  </r>
  <r>
    <x v="951"/>
    <n v="2.0447440000000001"/>
  </r>
  <r>
    <x v="952"/>
    <n v="1.9886539999999999"/>
  </r>
  <r>
    <x v="953"/>
    <n v="1.9325639999999999"/>
  </r>
  <r>
    <x v="954"/>
    <n v="1.9172659999999999"/>
  </r>
  <r>
    <x v="955"/>
    <n v="1.8764719999999999"/>
  </r>
  <r>
    <x v="956"/>
    <n v="1.754095"/>
  </r>
  <r>
    <x v="957"/>
    <n v="1.7082029999999999"/>
  </r>
  <r>
    <x v="958"/>
    <n v="1.825482"/>
  </r>
  <r>
    <x v="959"/>
    <n v="1.871375"/>
  </r>
  <r>
    <x v="960"/>
    <n v="1.7387980000000001"/>
  </r>
  <r>
    <x v="961"/>
    <n v="1.7897890000000001"/>
  </r>
  <r>
    <x v="962"/>
    <n v="1.7133020000000001"/>
  </r>
  <r>
    <x v="963"/>
    <n v="1.6317159999999999"/>
  </r>
  <r>
    <x v="964"/>
    <n v="1.652112"/>
  </r>
  <r>
    <x v="965"/>
    <n v="1.524634"/>
  </r>
  <r>
    <x v="966"/>
    <n v="1.652112"/>
  </r>
  <r>
    <x v="967"/>
    <n v="1.6317159999999999"/>
  </r>
  <r>
    <x v="968"/>
    <n v="1.652112"/>
  </r>
  <r>
    <x v="969"/>
    <n v="1.652112"/>
  </r>
  <r>
    <x v="970"/>
    <n v="1.575626"/>
  </r>
  <r>
    <x v="971"/>
    <n v="1.66231"/>
  </r>
  <r>
    <x v="972"/>
    <n v="1.6419140000000001"/>
  </r>
  <r>
    <x v="973"/>
    <n v="1.565428"/>
  </r>
  <r>
    <x v="974"/>
    <n v="1.5195350000000001"/>
  </r>
  <r>
    <x v="975"/>
    <n v="1.626617"/>
  </r>
  <r>
    <x v="976"/>
    <n v="1.5909230000000001"/>
  </r>
  <r>
    <x v="977"/>
    <n v="1.5807249999999999"/>
  </r>
  <r>
    <x v="978"/>
    <n v="1.565428"/>
  </r>
  <r>
    <x v="979"/>
    <n v="1.652112"/>
  </r>
  <r>
    <x v="980"/>
    <n v="1.6419140000000001"/>
  </r>
  <r>
    <x v="981"/>
    <n v="1.5705260000000001"/>
  </r>
  <r>
    <x v="982"/>
    <n v="1.657211"/>
  </r>
  <r>
    <x v="983"/>
    <n v="1.6674100000000001"/>
  </r>
  <r>
    <x v="984"/>
    <n v="1.754095"/>
  </r>
  <r>
    <x v="985"/>
    <n v="1.881572"/>
  </r>
  <r>
    <x v="986"/>
    <n v="1.8356809999999999"/>
  </r>
  <r>
    <x v="987"/>
    <n v="1.8866719999999999"/>
  </r>
  <r>
    <x v="988"/>
    <n v="1.9121680000000001"/>
  </r>
  <r>
    <x v="989"/>
    <n v="1.9325639999999999"/>
  </r>
  <r>
    <x v="990"/>
    <n v="1.881572"/>
  </r>
  <r>
    <x v="991"/>
    <n v="1.7719419999999999"/>
  </r>
  <r>
    <x v="992"/>
    <n v="1.8866719999999999"/>
  </r>
  <r>
    <x v="993"/>
    <n v="1.866276"/>
  </r>
  <r>
    <x v="994"/>
    <n v="1.856077"/>
  </r>
  <r>
    <x v="995"/>
    <n v="1.7438959999999999"/>
  </r>
  <r>
    <x v="996"/>
    <n v="1.7693920000000001"/>
  </r>
  <r>
    <x v="997"/>
    <n v="1.6980040000000001"/>
  </r>
  <r>
    <x v="998"/>
    <n v="1.718402"/>
  </r>
  <r>
    <x v="999"/>
    <n v="1.7693920000000001"/>
  </r>
  <r>
    <x v="1000"/>
    <n v="1.8764719999999999"/>
  </r>
  <r>
    <x v="1001"/>
    <n v="1.7795909999999999"/>
  </r>
  <r>
    <x v="1002"/>
    <n v="1.6878059999999999"/>
  </r>
  <r>
    <x v="1003"/>
    <n v="1.6725080000000001"/>
  </r>
  <r>
    <x v="1004"/>
    <n v="1.7795909999999999"/>
  </r>
  <r>
    <x v="1005"/>
    <n v="1.6929050000000001"/>
  </r>
  <r>
    <x v="1006"/>
    <n v="1.60622"/>
  </r>
  <r>
    <x v="1007"/>
    <n v="1.652112"/>
  </r>
  <r>
    <x v="1008"/>
    <n v="1.6980040000000001"/>
  </r>
  <r>
    <x v="1009"/>
    <n v="1.6725080000000001"/>
  </r>
  <r>
    <x v="1010"/>
    <n v="1.626617"/>
  </r>
  <r>
    <x v="1011"/>
    <n v="1.596023"/>
  </r>
  <r>
    <x v="1012"/>
    <n v="1.545032"/>
  </r>
  <r>
    <x v="1013"/>
    <n v="1.524634"/>
  </r>
  <r>
    <x v="1014"/>
    <n v="1.4583459999999999"/>
  </r>
  <r>
    <x v="1015"/>
    <n v="1.6546620000000001"/>
  </r>
  <r>
    <x v="1016"/>
    <n v="1.5297339999999999"/>
  </r>
  <r>
    <x v="1017"/>
    <n v="1.7133020000000001"/>
  </r>
  <r>
    <x v="1018"/>
    <n v="1.8152839999999999"/>
  </r>
  <r>
    <x v="1019"/>
    <n v="1.7693920000000001"/>
  </r>
  <r>
    <x v="1020"/>
    <n v="1.7693920000000001"/>
  </r>
  <r>
    <x v="1021"/>
    <n v="1.7082029999999999"/>
  </r>
  <r>
    <x v="1022"/>
    <n v="1.754095"/>
  </r>
  <r>
    <x v="1023"/>
    <n v="1.784689"/>
  </r>
  <r>
    <x v="1024"/>
    <n v="1.6980040000000001"/>
  </r>
  <r>
    <x v="1025"/>
    <n v="1.626617"/>
  </r>
  <r>
    <x v="1026"/>
    <n v="1.6929050000000001"/>
  </r>
  <r>
    <x v="1027"/>
    <n v="1.66486"/>
  </r>
  <r>
    <x v="1028"/>
    <n v="1.55013"/>
  </r>
  <r>
    <x v="1029"/>
    <n v="1.5603279999999999"/>
  </r>
  <r>
    <x v="1030"/>
    <n v="1.6419140000000001"/>
  </r>
  <r>
    <x v="1031"/>
    <n v="1.55013"/>
  </r>
  <r>
    <x v="1032"/>
    <n v="1.4634450000000001"/>
  </r>
  <r>
    <x v="1033"/>
    <n v="1.55013"/>
  </r>
  <r>
    <x v="1034"/>
    <n v="1.6419140000000001"/>
  </r>
  <r>
    <x v="1035"/>
    <n v="1.657211"/>
  </r>
  <r>
    <x v="1036"/>
    <n v="1.754095"/>
  </r>
  <r>
    <x v="1037"/>
    <n v="1.7795909999999999"/>
  </r>
  <r>
    <x v="1038"/>
    <n v="1.8101849999999999"/>
  </r>
  <r>
    <x v="1039"/>
    <n v="1.871375"/>
  </r>
  <r>
    <x v="1040"/>
    <n v="1.825482"/>
  </r>
  <r>
    <x v="1041"/>
    <n v="1.794888"/>
  </r>
  <r>
    <x v="1042"/>
    <n v="1.866276"/>
  </r>
  <r>
    <x v="1043"/>
    <n v="1.8917710000000001"/>
  </r>
  <r>
    <x v="1044"/>
    <n v="1.825482"/>
  </r>
  <r>
    <x v="1045"/>
    <n v="1.881572"/>
  </r>
  <r>
    <x v="1046"/>
    <n v="1.9478599999999999"/>
  </r>
  <r>
    <x v="1047"/>
    <n v="1.973357"/>
  </r>
  <r>
    <x v="1048"/>
    <n v="1.993754"/>
  </r>
  <r>
    <x v="1049"/>
    <n v="1.9478599999999999"/>
  </r>
  <r>
    <x v="1050"/>
    <n v="1.958059"/>
  </r>
  <r>
    <x v="1051"/>
    <n v="1.983555"/>
  </r>
  <r>
    <x v="1052"/>
    <n v="1.9274640000000001"/>
  </r>
  <r>
    <x v="1053"/>
    <n v="1.8866719999999999"/>
  </r>
  <r>
    <x v="1054"/>
    <n v="1.8968700000000001"/>
  </r>
  <r>
    <x v="1055"/>
    <n v="1.9172659999999999"/>
  </r>
  <r>
    <x v="1056"/>
    <n v="1.9325639999999999"/>
  </r>
  <r>
    <x v="1057"/>
    <n v="1.8305819999999999"/>
  </r>
  <r>
    <x v="1058"/>
    <n v="1.881572"/>
  </r>
  <r>
    <x v="1059"/>
    <n v="1.774492"/>
  </r>
  <r>
    <x v="1060"/>
    <n v="1.733698"/>
  </r>
  <r>
    <x v="1061"/>
    <n v="1.7795909999999999"/>
  </r>
  <r>
    <x v="1062"/>
    <n v="1.7642929999999999"/>
  </r>
  <r>
    <x v="1063"/>
    <n v="1.6470130000000001"/>
  </r>
  <r>
    <x v="1064"/>
    <n v="1.60877"/>
  </r>
  <r>
    <x v="1065"/>
    <n v="1.6317159999999999"/>
  </r>
  <r>
    <x v="1066"/>
    <n v="1.6317159999999999"/>
  </r>
  <r>
    <x v="1067"/>
    <n v="1.621518"/>
  </r>
  <r>
    <x v="1068"/>
    <n v="1.5909230000000001"/>
  </r>
  <r>
    <x v="1069"/>
    <n v="1.5526789999999999"/>
  </r>
  <r>
    <x v="1070"/>
    <n v="1.49404"/>
  </r>
  <r>
    <x v="1071"/>
    <n v="1.5807249999999999"/>
  </r>
  <r>
    <x v="1072"/>
    <n v="1.6113189999999999"/>
  </r>
  <r>
    <x v="1073"/>
    <n v="1.5858239999999999"/>
  </r>
  <r>
    <x v="1074"/>
    <n v="1.5399309999999999"/>
  </r>
  <r>
    <x v="1075"/>
    <n v="1.5297339999999999"/>
  </r>
  <r>
    <x v="1076"/>
    <n v="1.596023"/>
  </r>
  <r>
    <x v="1077"/>
    <n v="1.555229"/>
  </r>
  <r>
    <x v="1078"/>
    <n v="1.5144359999999999"/>
  </r>
  <r>
    <x v="1079"/>
    <n v="1.4838420000000001"/>
  </r>
  <r>
    <x v="1080"/>
    <n v="1.601121"/>
  </r>
  <r>
    <x v="1081"/>
    <n v="1.6317159999999999"/>
  </r>
  <r>
    <x v="1082"/>
    <n v="1.6470130000000001"/>
  </r>
  <r>
    <x v="1083"/>
    <n v="1.6878059999999999"/>
  </r>
  <r>
    <x v="1084"/>
    <n v="1.6929050000000001"/>
  </r>
  <r>
    <x v="1085"/>
    <n v="1.6929050000000001"/>
  </r>
  <r>
    <x v="1086"/>
    <n v="1.626617"/>
  </r>
  <r>
    <x v="1087"/>
    <n v="1.682707"/>
  </r>
  <r>
    <x v="1088"/>
    <n v="1.6674100000000001"/>
  </r>
  <r>
    <x v="1089"/>
    <n v="1.657211"/>
  </r>
  <r>
    <x v="1090"/>
    <n v="1.6164190000000001"/>
  </r>
  <r>
    <x v="1091"/>
    <n v="1.601121"/>
  </r>
  <r>
    <x v="1092"/>
    <n v="1.6368149999999999"/>
  </r>
  <r>
    <x v="1093"/>
    <n v="1.6113189999999999"/>
  </r>
  <r>
    <x v="1094"/>
    <n v="1.6240669999999999"/>
  </r>
  <r>
    <x v="1095"/>
    <n v="1.601121"/>
  </r>
  <r>
    <x v="1096"/>
    <n v="1.346166"/>
  </r>
  <r>
    <x v="1097"/>
    <n v="1.290076"/>
  </r>
  <r>
    <x v="1098"/>
    <n v="1.2492829999999999"/>
  </r>
  <r>
    <x v="1099"/>
    <n v="1.346166"/>
  </r>
  <r>
    <x v="1100"/>
    <n v="1.341067"/>
  </r>
  <r>
    <x v="1101"/>
    <n v="1.4838420000000001"/>
  </r>
  <r>
    <x v="1102"/>
    <n v="1.55013"/>
  </r>
  <r>
    <x v="1103"/>
    <n v="1.575626"/>
  </r>
  <r>
    <x v="1104"/>
    <n v="1.6470130000000001"/>
  </r>
  <r>
    <x v="1105"/>
    <n v="1.60622"/>
  </r>
  <r>
    <x v="1106"/>
    <n v="1.5807249999999999"/>
  </r>
  <r>
    <x v="1107"/>
    <n v="1.601121"/>
  </r>
  <r>
    <x v="1108"/>
    <n v="1.5705260000000001"/>
  </r>
  <r>
    <x v="1109"/>
    <n v="1.575626"/>
  </r>
  <r>
    <x v="1110"/>
    <n v="1.555229"/>
  </r>
  <r>
    <x v="1111"/>
    <n v="1.6470130000000001"/>
  </r>
  <r>
    <x v="1112"/>
    <n v="1.6317159999999999"/>
  </r>
  <r>
    <x v="1113"/>
    <n v="1.6368149999999999"/>
  </r>
  <r>
    <x v="1114"/>
    <n v="1.7387980000000001"/>
  </r>
  <r>
    <x v="1115"/>
    <n v="1.825482"/>
  </r>
  <r>
    <x v="1116"/>
    <n v="1.986742"/>
  </r>
  <r>
    <x v="1117"/>
    <n v="1.9172659999999999"/>
  </r>
  <r>
    <x v="1118"/>
    <n v="1.998853"/>
  </r>
  <r>
    <x v="1119"/>
    <n v="2.0498419999999999"/>
  </r>
  <r>
    <x v="1120"/>
    <n v="2.0294469999999998"/>
  </r>
  <r>
    <x v="1121"/>
    <n v="2.0345460000000002"/>
  </r>
  <r>
    <x v="1122"/>
    <n v="2.0039509999999998"/>
  </r>
  <r>
    <x v="1123"/>
    <n v="1.978456"/>
  </r>
  <r>
    <x v="1124"/>
    <n v="2.0141499999999999"/>
  </r>
  <r>
    <x v="1125"/>
    <n v="1.973357"/>
  </r>
  <r>
    <x v="1126"/>
    <n v="2.0039509999999998"/>
  </r>
  <r>
    <x v="1127"/>
    <n v="2.105934"/>
  </r>
  <r>
    <x v="1128"/>
    <n v="2.2206630000000001"/>
  </r>
  <r>
    <x v="1129"/>
    <n v="2.1110329999999999"/>
  </r>
  <r>
    <x v="1130"/>
    <n v="2.1518250000000001"/>
  </r>
  <r>
    <x v="1131"/>
    <n v="2.1263290000000001"/>
  </r>
  <r>
    <x v="1132"/>
    <n v="2.0855359999999998"/>
  </r>
  <r>
    <x v="1133"/>
    <n v="2.1263290000000001"/>
  </r>
  <r>
    <x v="1134"/>
    <n v="2.1110329999999999"/>
  </r>
  <r>
    <x v="1135"/>
    <n v="2.0702400000000001"/>
  </r>
  <r>
    <x v="1136"/>
    <n v="2.0855359999999998"/>
  </r>
  <r>
    <x v="1137"/>
    <n v="2.0498419999999999"/>
  </r>
  <r>
    <x v="1138"/>
    <n v="1.9682580000000001"/>
  </r>
  <r>
    <x v="1139"/>
    <n v="1.937662"/>
  </r>
  <r>
    <x v="1140"/>
    <n v="1.8764719999999999"/>
  </r>
  <r>
    <x v="1141"/>
    <n v="1.937662"/>
  </r>
  <r>
    <x v="1142"/>
    <n v="2.1569240000000001"/>
  </r>
  <r>
    <x v="1143"/>
    <n v="2.167122"/>
  </r>
  <r>
    <x v="1144"/>
    <n v="2.105934"/>
  </r>
  <r>
    <x v="1145"/>
    <n v="2.0447440000000001"/>
  </r>
  <r>
    <x v="1146"/>
    <n v="2.0957349999999999"/>
  </r>
  <r>
    <x v="1147"/>
    <n v="2.0957349999999999"/>
  </r>
  <r>
    <x v="1148"/>
    <n v="2.167122"/>
  </r>
  <r>
    <x v="1149"/>
    <n v="2.1365289999999999"/>
  </r>
  <r>
    <x v="1150"/>
    <n v="2.116133"/>
  </r>
  <r>
    <x v="1151"/>
    <n v="2.0855359999999998"/>
  </r>
  <r>
    <x v="1152"/>
    <n v="2.0294469999999998"/>
  </r>
  <r>
    <x v="1153"/>
    <n v="2.0039509999999998"/>
  </r>
  <r>
    <x v="1154"/>
    <n v="2.0498419999999999"/>
  </r>
  <r>
    <x v="1155"/>
    <n v="1.973357"/>
  </r>
  <r>
    <x v="1156"/>
    <n v="1.8611759999999999"/>
  </r>
  <r>
    <x v="1157"/>
    <n v="1.784689"/>
  </r>
  <r>
    <x v="1158"/>
    <n v="1.6368149999999999"/>
  </r>
  <r>
    <x v="1159"/>
    <n v="1.7387980000000001"/>
  </r>
  <r>
    <x v="1160"/>
    <n v="1.66231"/>
  </r>
  <r>
    <x v="1161"/>
    <n v="1.7235"/>
  </r>
  <r>
    <x v="1162"/>
    <n v="1.5807249999999999"/>
  </r>
  <r>
    <x v="1163"/>
    <n v="1.682707"/>
  </r>
  <r>
    <x v="1164"/>
    <n v="1.682707"/>
  </r>
  <r>
    <x v="1165"/>
    <n v="1.7591939999999999"/>
  </r>
  <r>
    <x v="1166"/>
    <n v="1.733698"/>
  </r>
  <r>
    <x v="1167"/>
    <n v="1.7693920000000001"/>
  </r>
  <r>
    <x v="1168"/>
    <n v="1.7642929999999999"/>
  </r>
  <r>
    <x v="1169"/>
    <n v="1.7082029999999999"/>
  </r>
  <r>
    <x v="1170"/>
    <n v="1.7693920000000001"/>
  </r>
  <r>
    <x v="1171"/>
    <n v="1.8101849999999999"/>
  </r>
  <r>
    <x v="1172"/>
    <n v="1.8917710000000001"/>
  </r>
  <r>
    <x v="1173"/>
    <n v="1.8764719999999999"/>
  </r>
  <r>
    <x v="1174"/>
    <n v="1.9478599999999999"/>
  </r>
  <r>
    <x v="1175"/>
    <n v="1.963158"/>
  </r>
  <r>
    <x v="1176"/>
    <n v="1.9274640000000001"/>
  </r>
  <r>
    <x v="1177"/>
    <n v="1.8764719999999999"/>
  </r>
  <r>
    <x v="1178"/>
    <n v="1.907068"/>
  </r>
  <r>
    <x v="1179"/>
    <n v="1.8203830000000001"/>
  </r>
  <r>
    <x v="1180"/>
    <n v="1.8917710000000001"/>
  </r>
  <r>
    <x v="1181"/>
    <n v="1.8866719999999999"/>
  </r>
  <r>
    <x v="1182"/>
    <n v="1.8968700000000001"/>
  </r>
  <r>
    <x v="1183"/>
    <n v="1.8356809999999999"/>
  </r>
  <r>
    <x v="1184"/>
    <n v="1.8407800000000001"/>
  </r>
  <r>
    <x v="1185"/>
    <n v="1.825482"/>
  </r>
  <r>
    <x v="1186"/>
    <n v="1.9172659999999999"/>
  </r>
  <r>
    <x v="1187"/>
    <n v="1.871375"/>
  </r>
  <r>
    <x v="1188"/>
    <n v="1.8407800000000001"/>
  </r>
  <r>
    <x v="1189"/>
    <n v="1.866276"/>
  </r>
  <r>
    <x v="1190"/>
    <n v="1.8152839999999999"/>
  </r>
  <r>
    <x v="1191"/>
    <n v="1.7897890000000001"/>
  </r>
  <r>
    <x v="1192"/>
    <n v="1.7693920000000001"/>
  </r>
  <r>
    <x v="1193"/>
    <n v="1.733698"/>
  </r>
  <r>
    <x v="1194"/>
    <n v="1.682707"/>
  </r>
  <r>
    <x v="1195"/>
    <n v="1.626617"/>
  </r>
  <r>
    <x v="1196"/>
    <n v="1.6470130000000001"/>
  </r>
  <r>
    <x v="1197"/>
    <n v="1.7082029999999999"/>
  </r>
  <r>
    <x v="1198"/>
    <n v="1.66231"/>
  </r>
  <r>
    <x v="1199"/>
    <n v="1.596023"/>
  </r>
  <r>
    <x v="1200"/>
    <n v="1.6470130000000001"/>
  </r>
  <r>
    <x v="1201"/>
    <n v="1.6929050000000001"/>
  </r>
  <r>
    <x v="1202"/>
    <n v="1.5909230000000001"/>
  </r>
  <r>
    <x v="1203"/>
    <n v="1.55013"/>
  </r>
  <r>
    <x v="1204"/>
    <n v="1.626617"/>
  </r>
  <r>
    <x v="1205"/>
    <n v="1.6317159999999999"/>
  </r>
  <r>
    <x v="1206"/>
    <n v="1.626617"/>
  </r>
  <r>
    <x v="1207"/>
    <n v="1.5858239999999999"/>
  </r>
  <r>
    <x v="1208"/>
    <n v="1.5807249999999999"/>
  </r>
  <r>
    <x v="1209"/>
    <n v="1.596023"/>
  </r>
  <r>
    <x v="1210"/>
    <n v="1.6980040000000001"/>
  </r>
  <r>
    <x v="1211"/>
    <n v="1.7770410000000001"/>
  </r>
  <r>
    <x v="1212"/>
    <n v="1.733698"/>
  </r>
  <r>
    <x v="1213"/>
    <n v="1.6929050000000001"/>
  </r>
  <r>
    <x v="1214"/>
    <n v="1.6189690000000001"/>
  </r>
  <r>
    <x v="1215"/>
    <n v="1.5705260000000001"/>
  </r>
  <r>
    <x v="1216"/>
    <n v="1.575626"/>
  </r>
  <r>
    <x v="1217"/>
    <n v="1.5858239999999999"/>
  </r>
  <r>
    <x v="1218"/>
    <n v="1.555229"/>
  </r>
  <r>
    <x v="1219"/>
    <n v="1.5297339999999999"/>
  </r>
  <r>
    <x v="1220"/>
    <n v="1.545032"/>
  </r>
  <r>
    <x v="1221"/>
    <n v="1.6878059999999999"/>
  </r>
  <r>
    <x v="1222"/>
    <n v="1.5858239999999999"/>
  </r>
  <r>
    <x v="1223"/>
    <n v="1.555229"/>
  </r>
  <r>
    <x v="1224"/>
    <n v="1.5399309999999999"/>
  </r>
  <r>
    <x v="1225"/>
    <n v="1.5297339999999999"/>
  </r>
  <r>
    <x v="1226"/>
    <n v="1.5093369999999999"/>
  </r>
  <r>
    <x v="1227"/>
    <n v="1.4787429999999999"/>
  </r>
  <r>
    <x v="1228"/>
    <n v="1.5348329999999999"/>
  </r>
  <r>
    <x v="1229"/>
    <n v="1.545032"/>
  </r>
  <r>
    <x v="1230"/>
    <n v="1.5093369999999999"/>
  </r>
  <r>
    <x v="1231"/>
    <n v="1.5195350000000001"/>
  </r>
  <r>
    <x v="1232"/>
    <n v="1.524634"/>
  </r>
  <r>
    <x v="1233"/>
    <n v="1.5399309999999999"/>
  </r>
  <r>
    <x v="1234"/>
    <n v="1.5603279999999999"/>
  </r>
  <r>
    <x v="1235"/>
    <n v="1.621518"/>
  </r>
  <r>
    <x v="1236"/>
    <n v="1.6368149999999999"/>
  </r>
  <r>
    <x v="1237"/>
    <n v="1.596023"/>
  </r>
  <r>
    <x v="1238"/>
    <n v="1.60622"/>
  </r>
  <r>
    <x v="1239"/>
    <n v="1.6317159999999999"/>
  </r>
  <r>
    <x v="1240"/>
    <n v="1.6980040000000001"/>
  </r>
  <r>
    <x v="1241"/>
    <n v="1.733698"/>
  </r>
  <r>
    <x v="1242"/>
    <n v="1.825482"/>
  </r>
  <r>
    <x v="1243"/>
    <n v="1.7795909999999999"/>
  </r>
  <r>
    <x v="1244"/>
    <n v="1.784689"/>
  </r>
  <r>
    <x v="1245"/>
    <n v="1.8764719999999999"/>
  </r>
  <r>
    <x v="1246"/>
    <n v="1.784689"/>
  </r>
  <r>
    <x v="1247"/>
    <n v="1.7082029999999999"/>
  </r>
  <r>
    <x v="1248"/>
    <n v="1.733698"/>
  </r>
  <r>
    <x v="1249"/>
    <n v="1.6725080000000001"/>
  </r>
  <r>
    <x v="1250"/>
    <n v="1.677608"/>
  </r>
  <r>
    <x v="1251"/>
    <n v="1.703104"/>
  </r>
  <r>
    <x v="1252"/>
    <n v="1.7133020000000001"/>
  </r>
  <r>
    <x v="1253"/>
    <n v="1.677608"/>
  </r>
  <r>
    <x v="1254"/>
    <n v="1.748996"/>
  </r>
  <r>
    <x v="1255"/>
    <n v="1.7133020000000001"/>
  </r>
  <r>
    <x v="1256"/>
    <n v="1.718402"/>
  </r>
  <r>
    <x v="1257"/>
    <n v="1.6113189999999999"/>
  </r>
  <r>
    <x v="1258"/>
    <n v="1.6164190000000001"/>
  </r>
  <r>
    <x v="1259"/>
    <n v="1.596023"/>
  </r>
  <r>
    <x v="1260"/>
    <n v="1.652112"/>
  </r>
  <r>
    <x v="1261"/>
    <n v="1.6419140000000001"/>
  </r>
  <r>
    <x v="1262"/>
    <n v="1.6113189999999999"/>
  </r>
  <r>
    <x v="1263"/>
    <n v="1.6164190000000001"/>
  </r>
  <r>
    <x v="1264"/>
    <n v="1.596023"/>
  </r>
  <r>
    <x v="1265"/>
    <n v="1.6113189999999999"/>
  </r>
  <r>
    <x v="1266"/>
    <n v="1.5858239999999999"/>
  </r>
  <r>
    <x v="1267"/>
    <n v="1.60622"/>
  </r>
  <r>
    <x v="1268"/>
    <n v="1.626617"/>
  </r>
  <r>
    <x v="1269"/>
    <n v="1.66231"/>
  </r>
  <r>
    <x v="1270"/>
    <n v="1.6317159999999999"/>
  </r>
  <r>
    <x v="1271"/>
    <n v="1.6368149999999999"/>
  </r>
  <r>
    <x v="1272"/>
    <n v="1.657211"/>
  </r>
  <r>
    <x v="1273"/>
    <n v="1.652112"/>
  </r>
  <r>
    <x v="1274"/>
    <n v="1.652112"/>
  </r>
  <r>
    <x v="1275"/>
    <n v="1.652112"/>
  </r>
  <r>
    <x v="1276"/>
    <n v="1.626617"/>
  </r>
  <r>
    <x v="1277"/>
    <n v="1.60622"/>
  </r>
  <r>
    <x v="1278"/>
    <n v="1.626617"/>
  </r>
  <r>
    <x v="1279"/>
    <n v="1.621518"/>
  </r>
  <r>
    <x v="1280"/>
    <n v="1.66231"/>
  </r>
  <r>
    <x v="1281"/>
    <n v="1.677608"/>
  </r>
  <r>
    <x v="1282"/>
    <n v="1.718402"/>
  </r>
  <r>
    <x v="1283"/>
    <n v="1.8152839999999999"/>
  </r>
  <r>
    <x v="1284"/>
    <n v="1.7795909999999999"/>
  </r>
  <r>
    <x v="1285"/>
    <n v="1.881572"/>
  </r>
  <r>
    <x v="1286"/>
    <n v="1.8866719999999999"/>
  </r>
  <r>
    <x v="1287"/>
    <n v="2.0192480000000002"/>
  </r>
  <r>
    <x v="1288"/>
    <n v="1.998853"/>
  </r>
  <r>
    <x v="1289"/>
    <n v="2.1416270000000002"/>
  </r>
  <r>
    <x v="1290"/>
    <n v="2.314997"/>
  </r>
  <r>
    <x v="1291"/>
    <n v="2.4067799999999999"/>
  </r>
  <r>
    <x v="1292"/>
    <n v="2.350692"/>
  </r>
  <r>
    <x v="1293"/>
    <n v="2.2793040000000002"/>
  </r>
  <r>
    <x v="1294"/>
    <n v="2.192618"/>
  </r>
  <r>
    <x v="1295"/>
    <n v="2.2232129999999999"/>
  </r>
  <r>
    <x v="1296"/>
    <n v="2.207916"/>
  </r>
  <r>
    <x v="1297"/>
    <n v="2.2742049999999998"/>
  </r>
  <r>
    <x v="1298"/>
    <n v="2.2844030000000002"/>
  </r>
  <r>
    <x v="1299"/>
    <n v="2.2844030000000002"/>
  </r>
  <r>
    <x v="1300"/>
    <n v="2.2793040000000002"/>
  </r>
  <r>
    <x v="1301"/>
    <n v="2.2130139999999998"/>
  </r>
  <r>
    <x v="1302"/>
    <n v="2.2436090000000002"/>
  </r>
  <r>
    <x v="1303"/>
    <n v="2.3659889999999999"/>
  </r>
  <r>
    <x v="1304"/>
    <n v="2.3608899999999999"/>
  </r>
  <r>
    <x v="1305"/>
    <n v="2.3659889999999999"/>
  </r>
  <r>
    <x v="1306"/>
    <n v="2.575053"/>
  </r>
  <r>
    <x v="1307"/>
    <n v="2.5036649999999998"/>
  </r>
  <r>
    <x v="1308"/>
    <n v="2.442475"/>
  </r>
  <r>
    <x v="1309"/>
    <n v="2.396582"/>
  </r>
  <r>
    <x v="1310"/>
    <n v="2.373637"/>
  </r>
  <r>
    <x v="1311"/>
    <n v="2.289501"/>
  </r>
  <r>
    <x v="1312"/>
    <n v="2.2232129999999999"/>
  </r>
  <r>
    <x v="1313"/>
    <n v="2.228313"/>
  </r>
  <r>
    <x v="1314"/>
    <n v="2.3404929999999999"/>
  </r>
  <r>
    <x v="1315"/>
    <n v="2.330295"/>
  </r>
  <r>
    <x v="1316"/>
    <n v="2.2997000000000001"/>
  </r>
  <r>
    <x v="1317"/>
    <n v="2.271655"/>
  </r>
  <r>
    <x v="1318"/>
    <n v="2.314997"/>
  </r>
  <r>
    <x v="1319"/>
    <n v="2.3863850000000002"/>
  </r>
  <r>
    <x v="1320"/>
    <n v="2.554656"/>
  </r>
  <r>
    <x v="1321"/>
    <n v="2.422078"/>
  </r>
  <r>
    <x v="1322"/>
    <n v="2.396582"/>
  </r>
  <r>
    <x v="1323"/>
    <n v="2.4271780000000001"/>
  </r>
  <r>
    <x v="1324"/>
    <n v="2.4322759999999999"/>
  </r>
  <r>
    <x v="1325"/>
    <n v="2.3914840000000002"/>
  </r>
  <r>
    <x v="1326"/>
    <n v="2.41188"/>
  </r>
  <r>
    <x v="1327"/>
    <n v="2.41188"/>
  </r>
  <r>
    <x v="1328"/>
    <n v="2.3557890000000001"/>
  </r>
  <r>
    <x v="1329"/>
    <n v="2.2997000000000001"/>
  </r>
  <r>
    <x v="1330"/>
    <n v="2.2053660000000002"/>
  </r>
  <r>
    <x v="1331"/>
    <n v="2.2997000000000001"/>
  </r>
  <r>
    <x v="1332"/>
    <n v="2.3251949999999999"/>
  </r>
  <r>
    <x v="1333"/>
    <n v="2.3761860000000001"/>
  </r>
  <r>
    <x v="1334"/>
    <n v="2.4271780000000001"/>
  </r>
  <r>
    <x v="1335"/>
    <n v="2.4985650000000001"/>
  </r>
  <r>
    <x v="1336"/>
    <n v="2.442475"/>
  </r>
  <r>
    <x v="1337"/>
    <n v="2.2997000000000001"/>
  </r>
  <r>
    <x v="1338"/>
    <n v="2.4144299999999999"/>
  </r>
  <r>
    <x v="1339"/>
    <n v="2.3073480000000002"/>
  </r>
  <r>
    <x v="1340"/>
    <n v="2.3404929999999999"/>
  </r>
  <r>
    <x v="1341"/>
    <n v="2.4016820000000001"/>
  </r>
  <r>
    <x v="1342"/>
    <n v="2.4526729999999999"/>
  </r>
  <r>
    <x v="1343"/>
    <n v="2.335394"/>
  </r>
  <r>
    <x v="1344"/>
    <n v="2.3251949999999999"/>
  </r>
  <r>
    <x v="1345"/>
    <n v="2.2946"/>
  </r>
  <r>
    <x v="1346"/>
    <n v="2.1977180000000001"/>
  </r>
  <r>
    <x v="1347"/>
    <n v="2.2232129999999999"/>
  </r>
  <r>
    <x v="1348"/>
    <n v="2.228313"/>
  </r>
  <r>
    <x v="1349"/>
    <n v="2.0651419999999998"/>
  </r>
  <r>
    <x v="1350"/>
    <n v="2.116133"/>
  </r>
  <r>
    <x v="1351"/>
    <n v="1.9682580000000001"/>
  </r>
  <r>
    <x v="1352"/>
    <n v="1.856077"/>
  </r>
  <r>
    <x v="1353"/>
    <n v="1.7285999999999999"/>
  </r>
  <r>
    <x v="1354"/>
    <n v="1.825482"/>
  </r>
  <r>
    <x v="1355"/>
    <n v="1.754095"/>
  </r>
  <r>
    <x v="1356"/>
    <n v="1.8407800000000001"/>
  </r>
  <r>
    <x v="1357"/>
    <n v="1.8331310000000001"/>
  </r>
  <r>
    <x v="1358"/>
    <n v="1.845879"/>
  </r>
  <r>
    <x v="1359"/>
    <n v="1.907068"/>
  </r>
  <r>
    <x v="1360"/>
    <n v="1.998853"/>
  </r>
  <r>
    <x v="1361"/>
    <n v="2.0192480000000002"/>
  </r>
  <r>
    <x v="1362"/>
    <n v="2.1773210000000001"/>
  </r>
  <r>
    <x v="1363"/>
    <n v="2.121232"/>
  </r>
  <r>
    <x v="1364"/>
    <n v="2.1314289999999998"/>
  </r>
  <r>
    <x v="1365"/>
    <n v="2.1110329999999999"/>
  </r>
  <r>
    <x v="1366"/>
    <n v="2.0957349999999999"/>
  </r>
  <r>
    <x v="1367"/>
    <n v="2.060041"/>
  </r>
  <r>
    <x v="1368"/>
    <n v="2.0702400000000001"/>
  </r>
  <r>
    <x v="1369"/>
    <n v="2.054942"/>
  </r>
  <r>
    <x v="1370"/>
    <n v="2.0447440000000001"/>
  </r>
  <r>
    <x v="1371"/>
    <n v="2.024349"/>
  </r>
  <r>
    <x v="1372"/>
    <n v="2.0574919999999999"/>
  </r>
  <r>
    <x v="1373"/>
    <n v="2.1416270000000002"/>
  </r>
  <r>
    <x v="1374"/>
    <n v="2.1518250000000001"/>
  </r>
  <r>
    <x v="1375"/>
    <n v="2.1543749999999999"/>
  </r>
  <r>
    <x v="1376"/>
    <n v="2.2946"/>
  </r>
  <r>
    <x v="1377"/>
    <n v="2.2844030000000002"/>
  </r>
  <r>
    <x v="1378"/>
    <n v="2.2436090000000002"/>
  </r>
  <r>
    <x v="1379"/>
    <n v="2.1773210000000001"/>
  </r>
  <r>
    <x v="1380"/>
    <n v="1.9682580000000001"/>
  </r>
  <r>
    <x v="1381"/>
    <n v="1.9351130000000001"/>
  </r>
  <r>
    <x v="1382"/>
    <n v="1.899419"/>
  </r>
  <r>
    <x v="1383"/>
    <n v="1.901969"/>
  </r>
  <r>
    <x v="1384"/>
    <n v="1.9555100000000001"/>
  </r>
  <r>
    <x v="1385"/>
    <n v="1.9045190000000001"/>
  </r>
  <r>
    <x v="1386"/>
    <n v="1.983555"/>
  </r>
  <r>
    <x v="1387"/>
    <n v="1.901969"/>
  </r>
  <r>
    <x v="1388"/>
    <n v="1.9325639999999999"/>
  </r>
  <r>
    <x v="1389"/>
    <n v="1.9249160000000001"/>
  </r>
  <r>
    <x v="1390"/>
    <n v="1.965708"/>
  </r>
  <r>
    <x v="1391"/>
    <n v="1.937662"/>
  </r>
  <r>
    <x v="1392"/>
    <n v="1.973357"/>
  </r>
  <r>
    <x v="1393"/>
    <n v="1.958059"/>
  </r>
  <r>
    <x v="1394"/>
    <n v="2.0090509999999999"/>
  </r>
  <r>
    <x v="1395"/>
    <n v="2.0294469999999998"/>
  </r>
  <r>
    <x v="1396"/>
    <n v="1.9886539999999999"/>
  </r>
  <r>
    <x v="1397"/>
    <n v="2.0396450000000002"/>
  </r>
  <r>
    <x v="1398"/>
    <n v="2.0345460000000002"/>
  </r>
  <r>
    <x v="1399"/>
    <n v="2.001401"/>
  </r>
  <r>
    <x v="1400"/>
    <n v="2.0702400000000001"/>
  </r>
  <r>
    <x v="1401"/>
    <n v="2.0753379999999999"/>
  </r>
  <r>
    <x v="1402"/>
    <n v="2.105934"/>
  </r>
  <r>
    <x v="1403"/>
    <n v="2.2104650000000001"/>
  </r>
  <r>
    <x v="1404"/>
    <n v="2.207916"/>
  </r>
  <r>
    <x v="1405"/>
    <n v="2.2232129999999999"/>
  </r>
  <r>
    <x v="1406"/>
    <n v="2.1416270000000002"/>
  </r>
  <r>
    <x v="1407"/>
    <n v="2.167122"/>
  </r>
  <r>
    <x v="1408"/>
    <n v="2.207916"/>
  </r>
  <r>
    <x v="1409"/>
    <n v="2.2334109999999998"/>
  </r>
  <r>
    <x v="1410"/>
    <n v="2.3124470000000001"/>
  </r>
  <r>
    <x v="1411"/>
    <n v="2.2589070000000002"/>
  </r>
  <r>
    <x v="1412"/>
    <n v="2.19007"/>
  </r>
  <r>
    <x v="1413"/>
    <n v="2.139078"/>
  </r>
  <r>
    <x v="1414"/>
    <n v="2.1645729999999999"/>
  </r>
  <r>
    <x v="1415"/>
    <n v="2.1875200000000001"/>
  </r>
  <r>
    <x v="1416"/>
    <n v="2.105934"/>
  </r>
  <r>
    <x v="1417"/>
    <n v="1.95296"/>
  </r>
  <r>
    <x v="1418"/>
    <n v="1.884123"/>
  </r>
  <r>
    <x v="1419"/>
    <n v="1.8866719999999999"/>
  </r>
  <r>
    <x v="1420"/>
    <n v="1.9478599999999999"/>
  </r>
  <r>
    <x v="1421"/>
    <n v="1.8968700000000001"/>
  </r>
  <r>
    <x v="1422"/>
    <n v="1.889221"/>
  </r>
  <r>
    <x v="1423"/>
    <n v="1.8866719999999999"/>
  </r>
  <r>
    <x v="1424"/>
    <n v="1.9325639999999999"/>
  </r>
  <r>
    <x v="1425"/>
    <n v="1.95296"/>
  </r>
  <r>
    <x v="1426"/>
    <n v="1.95296"/>
  </r>
  <r>
    <x v="1427"/>
    <n v="1.95296"/>
  </r>
  <r>
    <x v="1428"/>
    <n v="1.907068"/>
  </r>
  <r>
    <x v="1429"/>
    <n v="1.881572"/>
  </r>
  <r>
    <x v="1430"/>
    <n v="1.850978"/>
  </r>
  <r>
    <x v="1431"/>
    <n v="1.8764719999999999"/>
  </r>
  <r>
    <x v="1432"/>
    <n v="1.8866719999999999"/>
  </r>
  <r>
    <x v="1433"/>
    <n v="1.879024"/>
  </r>
  <r>
    <x v="1434"/>
    <n v="1.83823"/>
  </r>
  <r>
    <x v="1435"/>
    <n v="1.7872380000000001"/>
  </r>
  <r>
    <x v="1436"/>
    <n v="1.9045190000000001"/>
  </r>
  <r>
    <x v="1437"/>
    <n v="1.9325639999999999"/>
  </r>
  <r>
    <x v="1438"/>
    <n v="1.9096169999999999"/>
  </r>
  <r>
    <x v="1439"/>
    <n v="1.8866719999999999"/>
  </r>
  <r>
    <x v="1440"/>
    <n v="1.8968700000000001"/>
  </r>
  <r>
    <x v="1441"/>
    <n v="1.879024"/>
  </r>
  <r>
    <x v="1442"/>
    <n v="1.881572"/>
  </r>
  <r>
    <x v="1443"/>
    <n v="1.866276"/>
  </r>
  <r>
    <x v="1444"/>
    <n v="1.8866719999999999"/>
  </r>
  <r>
    <x v="1445"/>
    <n v="1.958059"/>
  </r>
  <r>
    <x v="1446"/>
    <n v="1.986103"/>
  </r>
  <r>
    <x v="1447"/>
    <n v="1.963158"/>
  </r>
  <r>
    <x v="1448"/>
    <n v="2.0370949999999999"/>
  </r>
  <r>
    <x v="1449"/>
    <n v="2.1008339999999999"/>
  </r>
  <r>
    <x v="1450"/>
    <n v="2.0727890000000002"/>
  </r>
  <r>
    <x v="1451"/>
    <n v="2.080438"/>
  </r>
  <r>
    <x v="1452"/>
    <n v="2.1365289999999999"/>
  </r>
  <r>
    <x v="1453"/>
    <n v="2.128879"/>
  </r>
  <r>
    <x v="1454"/>
    <n v="2.0702400000000001"/>
  </r>
  <r>
    <x v="1455"/>
    <n v="2.1110329999999999"/>
  </r>
  <r>
    <x v="1456"/>
    <n v="2.1084830000000001"/>
  </r>
  <r>
    <x v="1457"/>
    <n v="2.167122"/>
  </r>
  <r>
    <x v="1458"/>
    <n v="2.2181139999999999"/>
  </r>
  <r>
    <x v="1459"/>
    <n v="2.2793040000000002"/>
  </r>
  <r>
    <x v="1460"/>
    <n v="2.2844030000000002"/>
  </r>
  <r>
    <x v="1461"/>
    <n v="2.2946"/>
  </r>
  <r>
    <x v="1462"/>
    <n v="2.2538079999999998"/>
  </r>
  <r>
    <x v="1463"/>
    <n v="2.2869519999999999"/>
  </r>
  <r>
    <x v="1464"/>
    <n v="2.5138639999999999"/>
  </r>
  <r>
    <x v="1465"/>
    <n v="2.597998"/>
  </r>
  <r>
    <x v="1466"/>
    <n v="2.5291600000000001"/>
  </r>
  <r>
    <x v="1467"/>
    <n v="2.4934660000000002"/>
  </r>
  <r>
    <x v="1468"/>
    <n v="2.6311420000000001"/>
  </r>
  <r>
    <x v="1469"/>
    <n v="2.6056469999999998"/>
  </r>
  <r>
    <x v="1470"/>
    <n v="2.6158450000000002"/>
  </r>
  <r>
    <x v="1471"/>
    <n v="2.64134"/>
  </r>
  <r>
    <x v="1472"/>
    <n v="2.679583"/>
  </r>
  <r>
    <x v="1473"/>
    <n v="2.75352"/>
  </r>
  <r>
    <x v="1474"/>
    <n v="2.750972"/>
  </r>
  <r>
    <x v="1475"/>
    <n v="2.722925"/>
  </r>
  <r>
    <x v="1476"/>
    <n v="2.7280250000000001"/>
  </r>
  <r>
    <x v="1477"/>
    <n v="2.6438890000000002"/>
  </r>
  <r>
    <x v="1478"/>
    <n v="2.5087630000000001"/>
  </r>
  <r>
    <x v="1479"/>
    <n v="2.6056469999999998"/>
  </r>
  <r>
    <x v="1480"/>
    <n v="2.608196"/>
  </r>
  <r>
    <x v="1481"/>
    <n v="2.5852499999999998"/>
  </r>
  <r>
    <x v="1482"/>
    <n v="2.5036649999999998"/>
  </r>
  <r>
    <x v="1483"/>
    <n v="2.416979"/>
  </r>
  <r>
    <x v="1484"/>
    <n v="2.2436090000000002"/>
  </r>
  <r>
    <x v="1485"/>
    <n v="2.422078"/>
  </r>
  <r>
    <x v="1486"/>
    <n v="2.3379430000000001"/>
  </r>
  <r>
    <x v="1487"/>
    <n v="2.2130139999999998"/>
  </r>
  <r>
    <x v="1488"/>
    <n v="2.2997000000000001"/>
  </r>
  <r>
    <x v="1489"/>
    <n v="2.41188"/>
  </r>
  <r>
    <x v="1490"/>
    <n v="2.559755"/>
  </r>
  <r>
    <x v="1491"/>
    <n v="2.6566380000000001"/>
  </r>
  <r>
    <x v="1492"/>
    <n v="2.5189629999999998"/>
  </r>
  <r>
    <x v="1493"/>
    <n v="2.5495559999999999"/>
  </r>
  <r>
    <x v="1494"/>
    <n v="2.5725020000000001"/>
  </r>
  <r>
    <x v="1495"/>
    <n v="2.5419070000000001"/>
  </r>
  <r>
    <x v="1496"/>
    <n v="2.5291600000000001"/>
  </r>
  <r>
    <x v="1497"/>
    <n v="2.6515390000000001"/>
  </r>
  <r>
    <x v="1498"/>
    <n v="2.8478539999999999"/>
  </r>
  <r>
    <x v="1499"/>
    <n v="2.817259"/>
  </r>
  <r>
    <x v="1500"/>
    <n v="2.7841149999999999"/>
  </r>
  <r>
    <x v="1501"/>
    <n v="2.8019630000000002"/>
  </r>
  <r>
    <x v="1502"/>
    <n v="2.8962949999999998"/>
  </r>
  <r>
    <x v="1503"/>
    <n v="2.8402059999999998"/>
  </r>
  <r>
    <x v="1504"/>
    <n v="2.7331249999999998"/>
  </r>
  <r>
    <x v="1505"/>
    <n v="2.789215"/>
  </r>
  <r>
    <x v="1506"/>
    <n v="2.7866650000000002"/>
  </r>
  <r>
    <x v="1507"/>
    <n v="2.763719"/>
  </r>
  <r>
    <x v="1508"/>
    <n v="2.8911959999999999"/>
  </r>
  <r>
    <x v="1509"/>
    <n v="2.773917"/>
  </r>
  <r>
    <x v="1510"/>
    <n v="2.6744849999999998"/>
  </r>
  <r>
    <x v="1511"/>
    <n v="2.6311420000000001"/>
  </r>
  <r>
    <x v="1512"/>
    <n v="2.7331249999999998"/>
  </r>
  <r>
    <x v="1513"/>
    <n v="2.796862"/>
  </r>
  <r>
    <x v="1514"/>
    <n v="2.6566380000000001"/>
  </r>
  <r>
    <x v="1515"/>
    <n v="2.5495559999999999"/>
  </r>
  <r>
    <x v="1516"/>
    <n v="2.422078"/>
  </r>
  <r>
    <x v="1517"/>
    <n v="2.0676899999999998"/>
  </r>
  <r>
    <x v="1518"/>
    <n v="2.0753379999999999"/>
  </r>
  <r>
    <x v="1519"/>
    <n v="2.1416270000000002"/>
  </r>
  <r>
    <x v="1520"/>
    <n v="2.103383"/>
  </r>
  <r>
    <x v="1521"/>
    <n v="2.0039509999999998"/>
  </r>
  <r>
    <x v="1522"/>
    <n v="1.958059"/>
  </r>
  <r>
    <x v="1523"/>
    <n v="1.9759059999999999"/>
  </r>
  <r>
    <x v="1524"/>
    <n v="1.8968700000000001"/>
  </r>
  <r>
    <x v="1525"/>
    <n v="1.868824"/>
  </r>
  <r>
    <x v="1526"/>
    <n v="1.889221"/>
  </r>
  <r>
    <x v="1527"/>
    <n v="2.080438"/>
  </r>
  <r>
    <x v="1528"/>
    <n v="2.1365289999999999"/>
  </r>
  <r>
    <x v="1529"/>
    <n v="2.060041"/>
  </r>
  <r>
    <x v="1530"/>
    <n v="2.1135830000000002"/>
  </r>
  <r>
    <x v="1531"/>
    <n v="2.1365289999999999"/>
  </r>
  <r>
    <x v="1532"/>
    <n v="2.1186820000000002"/>
  </r>
  <r>
    <x v="1533"/>
    <n v="1.95296"/>
  </r>
  <r>
    <x v="1534"/>
    <n v="1.973357"/>
  </r>
  <r>
    <x v="1535"/>
    <n v="1.89432"/>
  </r>
  <r>
    <x v="1536"/>
    <n v="1.919815"/>
  </r>
  <r>
    <x v="1537"/>
    <n v="1.986103"/>
  </r>
  <r>
    <x v="1538"/>
    <n v="1.986103"/>
  </r>
  <r>
    <x v="1539"/>
    <n v="1.8764719999999999"/>
  </r>
  <r>
    <x v="1540"/>
    <n v="1.8764719999999999"/>
  </r>
  <r>
    <x v="1541"/>
    <n v="1.937662"/>
  </r>
  <r>
    <x v="1542"/>
    <n v="2.207916"/>
  </r>
  <r>
    <x v="1543"/>
    <n v="2.162023"/>
  </r>
  <r>
    <x v="1544"/>
    <n v="2.2206630000000001"/>
  </r>
  <r>
    <x v="1545"/>
    <n v="2.116133"/>
  </r>
  <r>
    <x v="1546"/>
    <n v="2.1416270000000002"/>
  </r>
  <r>
    <x v="1547"/>
    <n v="2.2002670000000002"/>
  </r>
  <r>
    <x v="1548"/>
    <n v="2.1951679999999998"/>
  </r>
  <r>
    <x v="1549"/>
    <n v="2.116133"/>
  </r>
  <r>
    <x v="1550"/>
    <n v="2.2946"/>
  </r>
  <r>
    <x v="1551"/>
    <n v="2.2844030000000002"/>
  </r>
  <r>
    <x v="1552"/>
    <n v="2.3277450000000002"/>
  </r>
  <r>
    <x v="1553"/>
    <n v="2.2946"/>
  </r>
  <r>
    <x v="1554"/>
    <n v="1.9478599999999999"/>
  </r>
  <r>
    <x v="1555"/>
    <n v="1.9453119999999999"/>
  </r>
  <r>
    <x v="1556"/>
    <n v="1.8917710000000001"/>
  </r>
  <r>
    <x v="1557"/>
    <n v="1.9274640000000001"/>
  </r>
  <r>
    <x v="1558"/>
    <n v="1.9427620000000001"/>
  </r>
  <r>
    <x v="1559"/>
    <n v="1.899419"/>
  </r>
  <r>
    <x v="1560"/>
    <n v="1.907068"/>
  </r>
  <r>
    <x v="1561"/>
    <n v="1.9351130000000001"/>
  </r>
  <r>
    <x v="1562"/>
    <n v="1.9274640000000001"/>
  </r>
  <r>
    <x v="1563"/>
    <n v="1.901969"/>
  </r>
  <r>
    <x v="1564"/>
    <n v="2.0957349999999999"/>
  </r>
  <r>
    <x v="1565"/>
    <n v="2.0472939999999999"/>
  </r>
  <r>
    <x v="1566"/>
    <n v="2.0753379999999999"/>
  </r>
  <r>
    <x v="1567"/>
    <n v="2.103383"/>
  </r>
  <r>
    <x v="1568"/>
    <n v="2.080438"/>
  </r>
  <r>
    <x v="1569"/>
    <n v="2.0217990000000001"/>
  </r>
  <r>
    <x v="1570"/>
    <n v="2.0103249999999999"/>
  </r>
  <r>
    <x v="1571"/>
    <n v="2.0116000000000001"/>
  </r>
  <r>
    <x v="1572"/>
    <n v="1.9427620000000001"/>
  </r>
  <r>
    <x v="1573"/>
    <n v="1.977182"/>
  </r>
  <r>
    <x v="1574"/>
    <n v="1.9427620000000001"/>
  </r>
  <r>
    <x v="1575"/>
    <n v="1.95296"/>
  </r>
  <r>
    <x v="1576"/>
    <n v="2.0141499999999999"/>
  </r>
  <r>
    <x v="1577"/>
    <n v="1.998853"/>
  </r>
  <r>
    <x v="1578"/>
    <n v="1.960609"/>
  </r>
  <r>
    <x v="1579"/>
    <n v="1.993754"/>
  </r>
  <r>
    <x v="1580"/>
    <n v="1.958059"/>
  </r>
  <r>
    <x v="1581"/>
    <n v="1.9810049999999999"/>
  </r>
  <r>
    <x v="1582"/>
    <n v="1.9810049999999999"/>
  </r>
  <r>
    <x v="1583"/>
    <n v="1.9478599999999999"/>
  </r>
  <r>
    <x v="1584"/>
    <n v="1.958059"/>
  </r>
  <r>
    <x v="1585"/>
    <n v="1.9427620000000001"/>
  </r>
  <r>
    <x v="1586"/>
    <n v="1.973357"/>
  </r>
  <r>
    <x v="1587"/>
    <n v="2.0065"/>
  </r>
  <r>
    <x v="1588"/>
    <n v="2.0370949999999999"/>
  </r>
  <r>
    <x v="1589"/>
    <n v="2.0217990000000001"/>
  </r>
  <r>
    <x v="1590"/>
    <n v="2.18242"/>
  </r>
  <r>
    <x v="1591"/>
    <n v="2.1849690000000002"/>
  </r>
  <r>
    <x v="1592"/>
    <n v="2.18242"/>
  </r>
  <r>
    <x v="1593"/>
    <n v="2.2742049999999998"/>
  </r>
  <r>
    <x v="1594"/>
    <n v="2.2257630000000002"/>
  </r>
  <r>
    <x v="1595"/>
    <n v="2.1773210000000001"/>
  </r>
  <r>
    <x v="1596"/>
    <n v="2.149276"/>
  </r>
  <r>
    <x v="1597"/>
    <n v="2.2002670000000002"/>
  </r>
  <r>
    <x v="1598"/>
    <n v="2.18242"/>
  </r>
  <r>
    <x v="1599"/>
    <n v="2.2334109999999998"/>
  </r>
  <r>
    <x v="1600"/>
    <n v="2.228313"/>
  </r>
  <r>
    <x v="1601"/>
    <n v="2.2793040000000002"/>
  </r>
  <r>
    <x v="1602"/>
    <n v="2.271655"/>
  </r>
  <r>
    <x v="1603"/>
    <n v="2.4016820000000001"/>
  </r>
  <r>
    <x v="1604"/>
    <n v="2.4373749999999998"/>
  </r>
  <r>
    <x v="1605"/>
    <n v="2.3557890000000001"/>
  </r>
  <r>
    <x v="1606"/>
    <n v="2.3022490000000002"/>
  </r>
  <r>
    <x v="1607"/>
    <n v="2.3124470000000001"/>
  </r>
  <r>
    <x v="1608"/>
    <n v="2.2308629999999998"/>
  </r>
  <r>
    <x v="1609"/>
    <n v="2.1977180000000001"/>
  </r>
  <r>
    <x v="1610"/>
    <n v="2.289501"/>
  </r>
  <r>
    <x v="1611"/>
    <n v="2.2946"/>
  </r>
  <r>
    <x v="1612"/>
    <n v="2.2691050000000001"/>
  </r>
  <r>
    <x v="1613"/>
    <n v="2.330295"/>
  </r>
  <r>
    <x v="1614"/>
    <n v="2.2946"/>
  </r>
  <r>
    <x v="1615"/>
    <n v="2.2742049999999998"/>
  </r>
  <r>
    <x v="1616"/>
    <n v="2.2589070000000002"/>
  </r>
  <r>
    <x v="1617"/>
    <n v="2.289501"/>
  </r>
  <r>
    <x v="1618"/>
    <n v="2.2359610000000001"/>
  </r>
  <r>
    <x v="1619"/>
    <n v="2.2308629999999998"/>
  </r>
  <r>
    <x v="1620"/>
    <n v="2.2869519999999999"/>
  </r>
  <r>
    <x v="1621"/>
    <n v="2.2589070000000002"/>
  </r>
  <r>
    <x v="1622"/>
    <n v="2.335394"/>
  </r>
  <r>
    <x v="1623"/>
    <n v="2.2869519999999999"/>
  </r>
  <r>
    <x v="1624"/>
    <n v="2.2946"/>
  </r>
  <r>
    <x v="1625"/>
    <n v="2.2512590000000001"/>
  </r>
  <r>
    <x v="1626"/>
    <n v="2.2614570000000001"/>
  </r>
  <r>
    <x v="1627"/>
    <n v="2.2601819999999999"/>
  </r>
  <r>
    <x v="1628"/>
    <n v="2.18242"/>
  </r>
  <r>
    <x v="1629"/>
    <n v="2.192618"/>
  </r>
  <r>
    <x v="1630"/>
    <n v="2.167122"/>
  </r>
  <r>
    <x v="1631"/>
    <n v="2.1263290000000001"/>
  </r>
  <r>
    <x v="1632"/>
    <n v="2.0523920000000002"/>
  </r>
  <r>
    <x v="1633"/>
    <n v="2.080438"/>
  </r>
  <r>
    <x v="1634"/>
    <n v="2.0498419999999999"/>
  </r>
  <r>
    <x v="1635"/>
    <n v="2.0906349999999998"/>
  </r>
  <r>
    <x v="1636"/>
    <n v="2.116133"/>
  </r>
  <r>
    <x v="1637"/>
    <n v="2.1110329999999999"/>
  </r>
  <r>
    <x v="1638"/>
    <n v="2.162023"/>
  </r>
  <r>
    <x v="1639"/>
    <n v="2.105934"/>
  </r>
  <r>
    <x v="1640"/>
    <n v="2.0039509999999998"/>
  </r>
  <r>
    <x v="1641"/>
    <n v="1.998853"/>
  </r>
  <r>
    <x v="1642"/>
    <n v="1.907068"/>
  </r>
  <r>
    <x v="1643"/>
    <n v="1.983555"/>
  </r>
  <r>
    <x v="1644"/>
    <n v="1.9963029999999999"/>
  </r>
  <r>
    <x v="1645"/>
    <n v="2.0090509999999999"/>
  </r>
  <r>
    <x v="1646"/>
    <n v="2.0090509999999999"/>
  </r>
  <r>
    <x v="1647"/>
    <n v="2.054942"/>
  </r>
  <r>
    <x v="1648"/>
    <n v="2.103383"/>
  </r>
  <r>
    <x v="1649"/>
    <n v="2.271655"/>
  </r>
  <r>
    <x v="1650"/>
    <n v="2.2997000000000001"/>
  </r>
  <r>
    <x v="1651"/>
    <n v="2.207916"/>
  </r>
  <r>
    <x v="1652"/>
    <n v="2.2818529999999999"/>
  </r>
  <r>
    <x v="1653"/>
    <n v="2.2920509999999998"/>
  </r>
  <r>
    <x v="1654"/>
    <n v="2.289501"/>
  </r>
  <r>
    <x v="1655"/>
    <n v="2.2181139999999999"/>
  </r>
  <r>
    <x v="1656"/>
    <n v="2.2436090000000002"/>
  </r>
  <r>
    <x v="1657"/>
    <n v="2.2104650000000001"/>
  </r>
  <r>
    <x v="1658"/>
    <n v="2.234686"/>
  </r>
  <r>
    <x v="1659"/>
    <n v="2.3226460000000002"/>
  </r>
  <r>
    <x v="1660"/>
    <n v="2.3047979999999999"/>
  </r>
  <r>
    <x v="1661"/>
    <n v="2.2818529999999999"/>
  </r>
  <r>
    <x v="1662"/>
    <n v="2.2997000000000001"/>
  </r>
  <r>
    <x v="1663"/>
    <n v="2.350692"/>
  </r>
  <r>
    <x v="1664"/>
    <n v="2.358339"/>
  </r>
  <r>
    <x v="1665"/>
    <n v="2.335394"/>
  </r>
  <r>
    <x v="1666"/>
    <n v="2.3098969999999999"/>
  </r>
  <r>
    <x v="1667"/>
    <n v="2.348141"/>
  </r>
  <r>
    <x v="1668"/>
    <n v="2.7382240000000002"/>
  </r>
  <r>
    <x v="1669"/>
    <n v="2.5801509999999999"/>
  </r>
  <r>
    <x v="1670"/>
    <n v="2.5699529999999999"/>
  </r>
  <r>
    <x v="1671"/>
    <n v="2.562303"/>
  </r>
  <r>
    <x v="1672"/>
    <n v="2.4883670000000002"/>
  </r>
  <r>
    <x v="1673"/>
    <n v="2.5011139999999998"/>
  </r>
  <r>
    <x v="1674"/>
    <n v="2.5317090000000002"/>
  </r>
  <r>
    <x v="1675"/>
    <n v="2.5431819999999998"/>
  </r>
  <r>
    <x v="1676"/>
    <n v="2.4858180000000001"/>
  </r>
  <r>
    <x v="1677"/>
    <n v="2.4067799999999999"/>
  </r>
  <r>
    <x v="1678"/>
    <n v="2.3761860000000001"/>
  </r>
  <r>
    <x v="1679"/>
    <n v="2.4195280000000001"/>
  </r>
  <r>
    <x v="1680"/>
    <n v="2.396582"/>
  </r>
  <r>
    <x v="1681"/>
    <n v="2.4042319999999999"/>
  </r>
  <r>
    <x v="1682"/>
    <n v="2.3098969999999999"/>
  </r>
  <r>
    <x v="1683"/>
    <n v="2.2436090000000002"/>
  </r>
  <r>
    <x v="1684"/>
    <n v="2.18242"/>
  </r>
  <r>
    <x v="1685"/>
    <n v="2.2232129999999999"/>
  </r>
  <r>
    <x v="1686"/>
    <n v="2.192618"/>
  </r>
  <r>
    <x v="1687"/>
    <n v="2.2844030000000002"/>
  </r>
  <r>
    <x v="1688"/>
    <n v="2.2691050000000001"/>
  </r>
  <r>
    <x v="1689"/>
    <n v="2.2640069999999999"/>
  </r>
  <r>
    <x v="1690"/>
    <n v="2.192618"/>
  </r>
  <r>
    <x v="1691"/>
    <n v="2.2028159999999999"/>
  </r>
  <r>
    <x v="1692"/>
    <n v="2.1773210000000001"/>
  </r>
  <r>
    <x v="1693"/>
    <n v="2.1008339999999999"/>
  </r>
  <r>
    <x v="1694"/>
    <n v="2.001401"/>
  </r>
  <r>
    <x v="1695"/>
    <n v="1.879024"/>
  </r>
  <r>
    <x v="1696"/>
    <n v="1.792338"/>
  </r>
  <r>
    <x v="1697"/>
    <n v="1.940212"/>
  </r>
  <r>
    <x v="1698"/>
    <n v="1.9274640000000001"/>
  </r>
  <r>
    <x v="1699"/>
    <n v="1.797437"/>
  </r>
  <r>
    <x v="1700"/>
    <n v="1.736248"/>
  </r>
  <r>
    <x v="1701"/>
    <n v="1.998853"/>
  </r>
  <r>
    <x v="1702"/>
    <n v="2.0192480000000002"/>
  </r>
  <r>
    <x v="1703"/>
    <n v="1.8152839999999999"/>
  </r>
  <r>
    <x v="1704"/>
    <n v="1.856077"/>
  </r>
  <r>
    <x v="1705"/>
    <n v="1.8866719999999999"/>
  </r>
  <r>
    <x v="1706"/>
    <n v="1.9453119999999999"/>
  </r>
  <r>
    <x v="1707"/>
    <n v="1.937662"/>
  </r>
  <r>
    <x v="1708"/>
    <n v="1.9172659999999999"/>
  </r>
  <r>
    <x v="1709"/>
    <n v="1.960609"/>
  </r>
  <r>
    <x v="1710"/>
    <n v="2.016699"/>
  </r>
  <r>
    <x v="1711"/>
    <n v="2.0574919999999999"/>
  </r>
  <r>
    <x v="1712"/>
    <n v="2.0931860000000002"/>
  </r>
  <r>
    <x v="1713"/>
    <n v="2.0097710000000002"/>
  </r>
  <r>
    <x v="1714"/>
    <n v="2.1270739999999999"/>
  </r>
  <r>
    <x v="1715"/>
    <n v="2.0436589999999999"/>
  </r>
  <r>
    <x v="1716"/>
    <n v="2.022805"/>
  </r>
  <r>
    <x v="1717"/>
    <n v="1.9993449999999999"/>
  </r>
  <r>
    <x v="1718"/>
    <n v="1.9367829999999999"/>
  </r>
  <r>
    <x v="1719"/>
    <n v="1.9863109999999999"/>
  </r>
  <r>
    <x v="1720"/>
    <n v="1.829909"/>
  </r>
  <r>
    <x v="1721"/>
    <n v="1.8429420000000001"/>
  </r>
  <r>
    <x v="1722"/>
    <n v="1.7882020000000001"/>
  </r>
  <r>
    <x v="1723"/>
    <n v="1.631799"/>
  </r>
  <r>
    <x v="1724"/>
    <n v="1.7073929999999999"/>
  </r>
  <r>
    <x v="1725"/>
    <n v="1.754313"/>
  </r>
  <r>
    <x v="1726"/>
    <n v="1.730853"/>
  </r>
  <r>
    <x v="1727"/>
    <n v="1.9002889999999999"/>
  </r>
  <r>
    <x v="1728"/>
    <n v="1.9967379999999999"/>
  </r>
  <r>
    <x v="1729"/>
    <n v="1.9810970000000001"/>
  </r>
  <r>
    <x v="1730"/>
    <n v="1.9810970000000001"/>
  </r>
  <r>
    <x v="1731"/>
    <n v="2.0592990000000002"/>
  </r>
  <r>
    <x v="1732"/>
    <n v="2.1583540000000001"/>
  </r>
  <r>
    <x v="1733"/>
    <n v="2.1348940000000001"/>
  </r>
  <r>
    <x v="1734"/>
    <n v="2.2626210000000002"/>
  </r>
  <r>
    <x v="1735"/>
    <n v="2.2730480000000002"/>
  </r>
  <r>
    <x v="1736"/>
    <n v="2.2391619999999999"/>
  </r>
  <r>
    <x v="1737"/>
    <n v="2.3069359999999999"/>
  </r>
  <r>
    <x v="1738"/>
    <n v="2.2834750000000001"/>
  </r>
  <r>
    <x v="1739"/>
    <n v="2.3199700000000001"/>
  </r>
  <r>
    <x v="1740"/>
    <n v="2.4320580000000001"/>
  </r>
  <r>
    <x v="1741"/>
    <n v="2.4033850000000001"/>
  </r>
  <r>
    <x v="1742"/>
    <n v="2.2939020000000001"/>
  </r>
  <r>
    <x v="1743"/>
    <n v="2.3616769999999998"/>
  </r>
  <r>
    <x v="1744"/>
    <n v="2.374711"/>
  </r>
  <r>
    <x v="1745"/>
    <n v="2.3616769999999998"/>
  </r>
  <r>
    <x v="1746"/>
    <n v="2.3721040000000002"/>
  </r>
  <r>
    <x v="1747"/>
    <n v="2.2860830000000001"/>
  </r>
  <r>
    <x v="1748"/>
    <n v="2.301723"/>
  </r>
  <r>
    <x v="1749"/>
    <n v="2.2886890000000002"/>
  </r>
  <r>
    <x v="1750"/>
    <n v="2.2626210000000002"/>
  </r>
  <r>
    <x v="1751"/>
    <n v="2.2965089999999999"/>
  </r>
  <r>
    <x v="1752"/>
    <n v="2.3955649999999999"/>
  </r>
  <r>
    <x v="1753"/>
    <n v="2.314756"/>
  </r>
  <r>
    <x v="1754"/>
    <n v="2.3095430000000001"/>
  </r>
  <r>
    <x v="1755"/>
    <n v="2.3616769999999998"/>
  </r>
  <r>
    <x v="1756"/>
    <n v="2.2912970000000001"/>
  </r>
  <r>
    <x v="1757"/>
    <n v="2.2939020000000001"/>
  </r>
  <r>
    <x v="1758"/>
    <n v="2.2912970000000001"/>
  </r>
  <r>
    <x v="1759"/>
    <n v="2.2886890000000002"/>
  </r>
  <r>
    <x v="1760"/>
    <n v="2.2600150000000001"/>
  </r>
  <r>
    <x v="1761"/>
    <n v="2.2521949999999999"/>
  </r>
  <r>
    <x v="1762"/>
    <n v="2.246982"/>
  </r>
  <r>
    <x v="1763"/>
    <n v="2.24959"/>
  </r>
  <r>
    <x v="1764"/>
    <n v="2.223522"/>
  </r>
  <r>
    <x v="1765"/>
    <n v="2.1062189999999998"/>
  </r>
  <r>
    <x v="1766"/>
    <n v="2.1375009999999999"/>
  </r>
  <r>
    <x v="1767"/>
    <n v="2.1427130000000001"/>
  </r>
  <r>
    <x v="1768"/>
    <n v="2.1766000000000001"/>
  </r>
  <r>
    <x v="1769"/>
    <n v="2.0488719999999998"/>
  </r>
  <r>
    <x v="1770"/>
    <n v="2.1557469999999999"/>
  </r>
  <r>
    <x v="1771"/>
    <n v="2.1687810000000001"/>
  </r>
  <r>
    <x v="1772"/>
    <n v="2.1844209999999999"/>
  </r>
  <r>
    <x v="1773"/>
    <n v="2.0931869999999999"/>
  </r>
  <r>
    <x v="1774"/>
    <n v="2.1479270000000001"/>
  </r>
  <r>
    <x v="1775"/>
    <n v="2.1218599999999999"/>
  </r>
  <r>
    <x v="1776"/>
    <n v="2.1531400000000001"/>
  </r>
  <r>
    <x v="1777"/>
    <n v="2.1296789999999999"/>
  </r>
  <r>
    <x v="1778"/>
    <n v="2.1635680000000002"/>
  </r>
  <r>
    <x v="1779"/>
    <n v="2.1557469999999999"/>
  </r>
  <r>
    <x v="1780"/>
    <n v="2.140107"/>
  </r>
  <r>
    <x v="1781"/>
    <n v="2.1609600000000002"/>
  </r>
  <r>
    <x v="1782"/>
    <n v="2.3121499999999999"/>
  </r>
  <r>
    <x v="1783"/>
    <n v="2.3825310000000002"/>
  </r>
  <r>
    <x v="1784"/>
    <n v="2.4789789999999998"/>
  </r>
  <r>
    <x v="1785"/>
    <n v="2.4998309999999999"/>
  </r>
  <r>
    <x v="1786"/>
    <n v="2.5128650000000001"/>
  </r>
  <r>
    <x v="1787"/>
    <n v="2.5858539999999999"/>
  </r>
  <r>
    <x v="1788"/>
    <n v="2.5389339999999998"/>
  </r>
  <r>
    <x v="1789"/>
    <n v="2.4555189999999998"/>
  </r>
  <r>
    <x v="1790"/>
    <n v="2.5258989999999999"/>
  </r>
  <r>
    <x v="1791"/>
    <n v="2.6640549999999998"/>
  </r>
  <r>
    <x v="1792"/>
    <n v="2.7735370000000001"/>
  </r>
  <r>
    <x v="1793"/>
    <n v="2.5858539999999999"/>
  </r>
  <r>
    <x v="1794"/>
    <n v="2.4815860000000001"/>
  </r>
  <r>
    <x v="1795"/>
    <n v="2.4607320000000001"/>
  </r>
  <r>
    <x v="1796"/>
    <n v="2.4242379999999999"/>
  </r>
  <r>
    <x v="1797"/>
    <n v="2.5024380000000002"/>
  </r>
  <r>
    <x v="1798"/>
    <n v="2.4659450000000001"/>
  </r>
  <r>
    <x v="1799"/>
    <n v="2.6849090000000002"/>
  </r>
  <r>
    <x v="1800"/>
    <n v="2.7448619999999999"/>
  </r>
  <r>
    <x v="1801"/>
    <n v="2.6432009999999999"/>
  </r>
  <r>
    <x v="1802"/>
    <n v="2.6119210000000002"/>
  </r>
  <r>
    <x v="1803"/>
    <n v="2.7787510000000002"/>
  </r>
  <r>
    <x v="1804"/>
    <n v="2.7292230000000002"/>
  </r>
  <r>
    <x v="1805"/>
    <n v="2.7969970000000002"/>
  </r>
  <r>
    <x v="1806"/>
    <n v="2.9090850000000001"/>
  </r>
  <r>
    <x v="1807"/>
    <n v="2.833491"/>
  </r>
  <r>
    <x v="1808"/>
    <n v="2.7735370000000001"/>
  </r>
  <r>
    <x v="1809"/>
    <n v="2.8413110000000001"/>
  </r>
  <r>
    <x v="1810"/>
    <n v="2.7917839999999998"/>
  </r>
  <r>
    <x v="1811"/>
    <n v="2.8100309999999999"/>
  </r>
  <r>
    <x v="1812"/>
    <n v="2.7135829999999999"/>
  </r>
  <r>
    <x v="1813"/>
    <n v="2.665359"/>
  </r>
  <r>
    <x v="1814"/>
    <n v="2.705762"/>
  </r>
  <r>
    <x v="1815"/>
    <n v="2.9768599999999998"/>
  </r>
  <r>
    <x v="1816"/>
    <n v="3.0707010000000001"/>
  </r>
  <r>
    <x v="1817"/>
    <n v="3.034208"/>
  </r>
  <r>
    <x v="1818"/>
    <n v="3.034208"/>
  </r>
  <r>
    <x v="1819"/>
    <n v="3.0446339999999998"/>
  </r>
  <r>
    <x v="1820"/>
    <n v="3.018567"/>
  </r>
  <r>
    <x v="1821"/>
    <n v="3.075914"/>
  </r>
  <r>
    <x v="1822"/>
    <n v="3.0498479999999999"/>
  </r>
  <r>
    <x v="1823"/>
    <n v="3.1045889999999998"/>
  </r>
  <r>
    <x v="1824"/>
    <n v="3.1932160000000001"/>
  </r>
  <r>
    <x v="1825"/>
    <n v="3.2427429999999999"/>
  </r>
  <r>
    <x v="1826"/>
    <n v="3.3261590000000001"/>
  </r>
  <r>
    <x v="1827"/>
    <n v="3.320945"/>
  </r>
  <r>
    <x v="1828"/>
    <n v="3.3522259999999999"/>
  </r>
  <r>
    <x v="1829"/>
    <n v="3.2218909999999998"/>
  </r>
  <r>
    <x v="1830"/>
    <n v="3.4226079999999999"/>
  </r>
  <r>
    <x v="1831"/>
    <n v="3.3730790000000002"/>
  </r>
  <r>
    <x v="1832"/>
    <n v="3.3418000000000001"/>
  </r>
  <r>
    <x v="1833"/>
    <n v="3.4226079999999999"/>
  </r>
  <r>
    <x v="1834"/>
    <n v="3.5268739999999998"/>
  </r>
  <r>
    <x v="1835"/>
    <n v="3.6546029999999998"/>
  </r>
  <r>
    <x v="1836"/>
    <n v="3.425214"/>
  </r>
  <r>
    <x v="1837"/>
    <n v="3.6441750000000002"/>
  </r>
  <r>
    <x v="1838"/>
    <n v="4.1055640000000002"/>
  </r>
  <r>
    <x v="1839"/>
    <n v="4.652971"/>
  </r>
  <r>
    <x v="1840"/>
    <n v="4.793736"/>
  </r>
  <r>
    <x v="1841"/>
    <n v="4.8797569999999997"/>
  </r>
  <r>
    <x v="1842"/>
    <n v="5.1873500000000003"/>
  </r>
  <r>
    <x v="1843"/>
    <n v="5.713902"/>
  </r>
  <r>
    <x v="1844"/>
    <n v="6.2091770000000004"/>
  </r>
  <r>
    <x v="1845"/>
    <n v="6.0866639999999999"/>
  </r>
  <r>
    <x v="1846"/>
    <n v="5.7764620000000004"/>
  </r>
  <r>
    <x v="1847"/>
    <n v="6.1883249999999999"/>
  </r>
  <r>
    <x v="1848"/>
    <n v="6.0710220000000001"/>
  </r>
  <r>
    <x v="1849"/>
    <n v="6.7096640000000001"/>
  </r>
  <r>
    <x v="1850"/>
    <n v="7.0798139999999998"/>
  </r>
  <r>
    <x v="1851"/>
    <n v="6.5871500000000003"/>
  </r>
  <r>
    <x v="1852"/>
    <n v="6.5793299999999997"/>
  </r>
  <r>
    <x v="1853"/>
    <n v="5.9432929999999997"/>
  </r>
  <r>
    <x v="1854"/>
    <n v="5.1977739999999999"/>
  </r>
  <r>
    <x v="1855"/>
    <n v="5.8650900000000004"/>
  </r>
  <r>
    <x v="1856"/>
    <n v="8.1355319999999995"/>
  </r>
  <r>
    <x v="1857"/>
    <n v="8.0677570000000003"/>
  </r>
  <r>
    <x v="1858"/>
    <n v="7.9608819999999998"/>
  </r>
  <r>
    <x v="1859"/>
    <n v="8.4874399999999994"/>
  </r>
  <r>
    <x v="1860"/>
    <n v="8.2189460000000008"/>
  </r>
  <r>
    <x v="1861"/>
    <n v="7.9426389999999998"/>
  </r>
  <r>
    <x v="1862"/>
    <n v="8.2684770000000007"/>
  </r>
  <r>
    <x v="1863"/>
    <n v="8.3414640000000002"/>
  </r>
  <r>
    <x v="1864"/>
    <n v="9.107837"/>
  </r>
  <r>
    <x v="1865"/>
    <n v="8.7533270000000005"/>
  </r>
  <r>
    <x v="1866"/>
    <n v="9.368506"/>
  </r>
  <r>
    <x v="1867"/>
    <n v="9.0113859999999999"/>
  </r>
  <r>
    <x v="1868"/>
    <n v="9.0192080000000008"/>
  </r>
  <r>
    <x v="1869"/>
    <n v="8.8419500000000006"/>
  </r>
  <r>
    <x v="1870"/>
    <n v="9.1339020000000009"/>
  </r>
  <r>
    <x v="1871"/>
    <n v="9.7230190000000007"/>
  </r>
  <r>
    <x v="1872"/>
    <n v="9.5978980000000007"/>
  </r>
  <r>
    <x v="1873"/>
    <n v="9.3424379999999996"/>
  </r>
  <r>
    <x v="1874"/>
    <n v="9.0713419999999996"/>
  </r>
  <r>
    <x v="1875"/>
    <n v="8.6073470000000007"/>
  </r>
  <r>
    <x v="1876"/>
    <n v="8.6229879999999994"/>
  </r>
  <r>
    <x v="1877"/>
    <n v="8.5291420000000002"/>
  </r>
  <r>
    <x v="1878"/>
    <n v="8.3675289999999993"/>
  </r>
  <r>
    <x v="1879"/>
    <n v="7.7367080000000001"/>
  </r>
  <r>
    <x v="1880"/>
    <n v="7.6376499999999998"/>
  </r>
  <r>
    <x v="1881"/>
    <n v="8.2424099999999996"/>
  </r>
  <r>
    <x v="1882"/>
    <n v="8.039085"/>
  </r>
  <r>
    <x v="1883"/>
    <n v="8.1120719999999995"/>
  </r>
  <r>
    <x v="1884"/>
    <n v="7.8357599999999996"/>
  </r>
  <r>
    <x v="1885"/>
    <n v="8.2476190000000003"/>
  </r>
  <r>
    <x v="1886"/>
    <n v="8.5135039999999993"/>
  </r>
  <r>
    <x v="1887"/>
    <n v="9.1703930000000007"/>
  </r>
  <r>
    <x v="1888"/>
    <n v="9.1391139999999993"/>
  </r>
  <r>
    <x v="1889"/>
    <n v="8.7481069999999992"/>
  </r>
  <r>
    <x v="1890"/>
    <n v="9.1339020000000009"/>
  </r>
  <r>
    <x v="1891"/>
    <n v="9.2381729999999997"/>
  </r>
  <r>
    <x v="1892"/>
    <n v="9.0713419999999996"/>
  </r>
  <r>
    <x v="1893"/>
    <n v="8.5708509999999993"/>
  </r>
  <r>
    <x v="1894"/>
    <n v="9.4831970000000005"/>
  </r>
  <r>
    <x v="1895"/>
    <n v="9.8794210000000007"/>
  </r>
  <r>
    <x v="1896"/>
    <n v="10.004542000000001"/>
  </r>
  <r>
    <x v="1897"/>
    <n v="10.823048"/>
  </r>
  <r>
    <x v="1898"/>
    <n v="10.885609000000001"/>
  </r>
  <r>
    <x v="1899"/>
    <n v="10.896034999999999"/>
  </r>
  <r>
    <x v="1900"/>
    <n v="11.167133"/>
  </r>
  <r>
    <x v="1901"/>
    <n v="10.656219"/>
  </r>
  <r>
    <x v="1902"/>
    <n v="10.572801999999999"/>
  </r>
  <r>
    <x v="1903"/>
    <n v="11.219265"/>
  </r>
  <r>
    <x v="1904"/>
    <n v="11.427803000000001"/>
  </r>
  <r>
    <x v="1905"/>
    <n v="11.969998"/>
  </r>
  <r>
    <x v="1906"/>
    <n v="11.657195"/>
  </r>
  <r>
    <x v="1907"/>
    <n v="12.032563"/>
  </r>
  <r>
    <x v="1908"/>
    <n v="11.865729999999999"/>
  </r>
  <r>
    <x v="1909"/>
    <n v="11.631131"/>
  </r>
  <r>
    <x v="1910"/>
    <n v="11.865729999999999"/>
  </r>
  <r>
    <x v="1911"/>
    <n v="12.407926"/>
  </r>
  <r>
    <x v="1912"/>
    <n v="12.298446"/>
  </r>
  <r>
    <x v="1913"/>
    <n v="12.042989"/>
  </r>
  <r>
    <x v="1914"/>
    <n v="12.475704"/>
  </r>
  <r>
    <x v="1915"/>
    <n v="12.759835000000001"/>
  </r>
  <r>
    <x v="1916"/>
    <n v="13.200367"/>
  </r>
  <r>
    <x v="1917"/>
    <n v="13.236865"/>
  </r>
  <r>
    <x v="1918"/>
    <n v="13.591372"/>
  </r>
  <r>
    <x v="1919"/>
    <n v="13.064816"/>
  </r>
  <r>
    <x v="1920"/>
    <n v="12.553902000000001"/>
  </r>
  <r>
    <x v="1921"/>
    <n v="12.903202"/>
  </r>
  <r>
    <x v="1922"/>
    <n v="12.731159"/>
  </r>
  <r>
    <x v="1923"/>
    <n v="12.877134"/>
  </r>
  <r>
    <x v="1924"/>
    <n v="13.32549"/>
  </r>
  <r>
    <x v="1925"/>
    <n v="13.043958"/>
  </r>
  <r>
    <x v="1926"/>
    <n v="13.012684"/>
  </r>
  <r>
    <x v="1927"/>
    <n v="12.72073"/>
  </r>
  <r>
    <x v="1928"/>
    <n v="11.678046999999999"/>
  </r>
  <r>
    <x v="1929"/>
    <n v="11.881371"/>
  </r>
  <r>
    <x v="1930"/>
    <n v="11.943932999999999"/>
  </r>
  <r>
    <x v="1931"/>
    <n v="12.324513"/>
  </r>
  <r>
    <x v="1932"/>
    <n v="12.298446"/>
  </r>
  <r>
    <x v="1933"/>
    <n v="12.314082000000001"/>
  </r>
  <r>
    <x v="1934"/>
    <n v="12.491334999999999"/>
  </r>
  <r>
    <x v="1935"/>
    <n v="12.595610000000001"/>
  </r>
  <r>
    <x v="1936"/>
    <n v="13.34634"/>
  </r>
  <r>
    <x v="1937"/>
    <n v="13.492316000000001"/>
  </r>
  <r>
    <x v="1938"/>
    <n v="14.435946"/>
  </r>
  <r>
    <x v="1939"/>
    <n v="13.888532"/>
  </r>
  <r>
    <x v="1940"/>
    <n v="13.742559999999999"/>
  </r>
  <r>
    <x v="1941"/>
    <n v="14.592345"/>
  </r>
  <r>
    <x v="1942"/>
    <n v="15.301367000000001"/>
  </r>
  <r>
    <x v="1943"/>
    <n v="14.93122"/>
  </r>
  <r>
    <x v="1944"/>
    <n v="15.848773"/>
  </r>
  <r>
    <x v="1945"/>
    <n v="15.911344"/>
  </r>
  <r>
    <x v="1946"/>
    <n v="15.327436000000001"/>
  </r>
  <r>
    <x v="1947"/>
    <n v="15.264874000000001"/>
  </r>
  <r>
    <x v="1948"/>
    <n v="16.031251999999999"/>
  </r>
  <r>
    <x v="1949"/>
    <n v="14.071009"/>
  </r>
  <r>
    <x v="1950"/>
    <n v="13.951095"/>
  </r>
  <r>
    <x v="1951"/>
    <n v="13.627865999999999"/>
  </r>
  <r>
    <x v="1952"/>
    <n v="13.831194"/>
  </r>
  <r>
    <x v="1953"/>
    <n v="14.003233"/>
  </r>
  <r>
    <x v="1954"/>
    <n v="13.857259000000001"/>
  </r>
  <r>
    <x v="1955"/>
    <n v="13.820765"/>
  </r>
  <r>
    <x v="1956"/>
    <n v="12.793718999999999"/>
  </r>
  <r>
    <x v="1957"/>
    <n v="14.222200000000001"/>
  </r>
  <r>
    <x v="1958"/>
    <n v="14.503717"/>
  </r>
  <r>
    <x v="1959"/>
    <n v="15.004206999999999"/>
  </r>
  <r>
    <x v="1960"/>
    <n v="15.843562"/>
  </r>
  <r>
    <x v="1961"/>
    <n v="15.681953999999999"/>
  </r>
  <r>
    <x v="1962"/>
    <n v="15.207534000000001"/>
  </r>
  <r>
    <x v="1963"/>
    <n v="15.859208000000001"/>
  </r>
  <r>
    <x v="1964"/>
    <n v="15.567254"/>
  </r>
  <r>
    <x v="1965"/>
    <n v="15.807066000000001"/>
  </r>
  <r>
    <x v="1966"/>
    <n v="16.125086"/>
  </r>
  <r>
    <x v="1967"/>
    <n v="16.151157000000001"/>
  </r>
  <r>
    <x v="1968"/>
    <n v="15.661099"/>
  </r>
  <r>
    <x v="1969"/>
    <n v="15.781005"/>
  </r>
  <r>
    <x v="1970"/>
    <n v="15.582891999999999"/>
  </r>
  <r>
    <x v="1971"/>
    <n v="15.835751"/>
  </r>
  <r>
    <x v="1972"/>
    <n v="16.244994999999999"/>
  </r>
  <r>
    <x v="1973"/>
    <n v="17.042653999999999"/>
  </r>
  <r>
    <x v="1974"/>
    <n v="16.729851"/>
  </r>
  <r>
    <x v="1975"/>
    <n v="17.845510000000001"/>
  </r>
  <r>
    <x v="1976"/>
    <n v="18.559754999999999"/>
  </r>
  <r>
    <x v="1977"/>
    <n v="17.689117"/>
  </r>
  <r>
    <x v="1978"/>
    <n v="17.045265000000001"/>
  </r>
  <r>
    <x v="1979"/>
    <n v="17.019189999999998"/>
  </r>
  <r>
    <x v="1980"/>
    <n v="16.55781"/>
  </r>
  <r>
    <x v="1981"/>
    <n v="16.323195999999999"/>
  </r>
  <r>
    <x v="1982"/>
    <n v="16.516089999999998"/>
  </r>
  <r>
    <x v="1983"/>
    <n v="16.875820000000001"/>
  </r>
  <r>
    <x v="1984"/>
    <n v="17.991492999999998"/>
  </r>
  <r>
    <x v="1985"/>
    <n v="17.996715999999999"/>
  </r>
  <r>
    <x v="1986"/>
    <n v="17.610914000000001"/>
  </r>
  <r>
    <x v="1987"/>
    <n v="17.329393"/>
  </r>
  <r>
    <x v="1988"/>
    <n v="17.360668"/>
  </r>
  <r>
    <x v="1989"/>
    <n v="18.184387000000001"/>
  </r>
  <r>
    <x v="1990"/>
    <n v="18.580608000000002"/>
  </r>
  <r>
    <x v="1991"/>
    <n v="18.783937000000002"/>
  </r>
  <r>
    <x v="1992"/>
    <n v="18.752652999999999"/>
  </r>
  <r>
    <x v="1993"/>
    <n v="21.729514999999999"/>
  </r>
  <r>
    <x v="1994"/>
    <n v="22.016247"/>
  </r>
  <r>
    <x v="1995"/>
    <n v="24.555191000000001"/>
  </r>
  <r>
    <x v="1996"/>
    <n v="24.138107000000002"/>
  </r>
  <r>
    <x v="1997"/>
    <n v="25.008752999999999"/>
  </r>
  <r>
    <x v="1998"/>
    <n v="26.656191"/>
  </r>
  <r>
    <x v="1999"/>
    <n v="28.819770999999999"/>
  </r>
  <r>
    <x v="2000"/>
    <n v="31.530733000000001"/>
  </r>
  <r>
    <x v="2001"/>
    <n v="30.696569"/>
  </r>
  <r>
    <x v="2002"/>
    <n v="30.488056"/>
  </r>
  <r>
    <x v="2003"/>
    <n v="28.600781999999999"/>
  </r>
  <r>
    <x v="2004"/>
    <n v="29.679970000000001"/>
  </r>
  <r>
    <x v="2005"/>
    <n v="30.618386999999998"/>
  </r>
  <r>
    <x v="2006"/>
    <n v="30.029267999999998"/>
  </r>
  <r>
    <x v="2007"/>
    <n v="30.050111999999999"/>
  </r>
  <r>
    <x v="2008"/>
    <n v="31.306557000000002"/>
  </r>
  <r>
    <x v="2009"/>
    <n v="32.093783999999999"/>
  </r>
  <r>
    <x v="2010"/>
    <n v="30.967677999999999"/>
  </r>
  <r>
    <x v="2011"/>
    <n v="30.222151"/>
  </r>
  <r>
    <x v="2012"/>
    <n v="30.373366999999998"/>
  </r>
  <r>
    <x v="2013"/>
    <n v="31.197071000000001"/>
  </r>
  <r>
    <x v="2014"/>
    <n v="32.067703000000002"/>
  </r>
  <r>
    <x v="2015"/>
    <n v="32.927925000000002"/>
  </r>
  <r>
    <x v="2016"/>
    <n v="33.272010999999999"/>
  </r>
  <r>
    <x v="2017"/>
    <n v="32.469138999999998"/>
  </r>
  <r>
    <x v="2018"/>
    <n v="32.948771999999998"/>
  </r>
  <r>
    <x v="2019"/>
    <n v="32.656844999999997"/>
  </r>
  <r>
    <x v="2020"/>
    <n v="34.830840999999999"/>
  </r>
  <r>
    <x v="2021"/>
    <n v="35.138412000000002"/>
  </r>
  <r>
    <x v="2022"/>
    <n v="35.30003"/>
  </r>
  <r>
    <x v="2023"/>
    <n v="36.639876999999998"/>
  </r>
  <r>
    <x v="2024"/>
    <n v="37.953662999999999"/>
  </r>
  <r>
    <x v="2025"/>
    <n v="38.939003"/>
  </r>
  <r>
    <x v="2026"/>
    <n v="41.446658999999997"/>
  </r>
  <r>
    <x v="2027"/>
    <n v="40.492592000000002"/>
  </r>
  <r>
    <x v="2028"/>
    <n v="38.912925999999999"/>
  </r>
  <r>
    <x v="2029"/>
    <n v="42.828197000000003"/>
  </r>
  <r>
    <x v="2030"/>
    <n v="41.957565000000002"/>
  </r>
  <r>
    <x v="2031"/>
    <n v="54.970241999999999"/>
  </r>
  <r>
    <x v="2032"/>
    <n v="53.969265"/>
  </r>
  <r>
    <x v="2033"/>
    <n v="58.765610000000002"/>
  </r>
  <r>
    <x v="2034"/>
    <n v="59.829124"/>
  </r>
  <r>
    <x v="2035"/>
    <n v="54.073509000000001"/>
  </r>
  <r>
    <x v="2036"/>
    <n v="52.196689999999997"/>
  </r>
  <r>
    <x v="2037"/>
    <n v="46.733051000000003"/>
  </r>
  <r>
    <x v="2038"/>
    <n v="50.048794000000001"/>
  </r>
  <r>
    <x v="2039"/>
    <n v="53.176830000000002"/>
  </r>
  <r>
    <x v="2040"/>
    <n v="48.192794999999997"/>
  </r>
  <r>
    <x v="2041"/>
    <n v="46.128284000000001"/>
  </r>
  <r>
    <x v="2042"/>
    <n v="47.754874999999998"/>
  </r>
  <r>
    <x v="2043"/>
    <n v="46.858173000000001"/>
  </r>
  <r>
    <x v="2044"/>
    <n v="46.399399000000003"/>
  </r>
  <r>
    <x v="2045"/>
    <n v="48.92268"/>
  </r>
  <r>
    <x v="2046"/>
    <n v="51.925590999999997"/>
  </r>
  <r>
    <x v="2047"/>
    <n v="51.696201000000002"/>
  </r>
  <r>
    <x v="2048"/>
    <n v="46.733051000000003"/>
  </r>
  <r>
    <x v="2049"/>
    <n v="49.715122000000001"/>
  </r>
  <r>
    <x v="2050"/>
    <n v="41.582194999999999"/>
  </r>
  <r>
    <x v="2051"/>
    <n v="40.039009"/>
  </r>
  <r>
    <x v="2052"/>
    <n v="36.890118000000001"/>
  </r>
  <r>
    <x v="2053"/>
    <n v="42.374640999999997"/>
  </r>
  <r>
    <x v="2054"/>
    <n v="45.398411000000003"/>
  </r>
  <r>
    <x v="2055"/>
    <n v="47.400368"/>
  </r>
  <r>
    <x v="2056"/>
    <n v="46.441093000000002"/>
  </r>
  <r>
    <x v="2057"/>
    <n v="45.857193000000002"/>
  </r>
  <r>
    <x v="2058"/>
    <n v="44.522571999999997"/>
  </r>
  <r>
    <x v="2059"/>
    <n v="46.399399000000003"/>
  </r>
  <r>
    <x v="2060"/>
    <n v="44.480865000000001"/>
  </r>
  <r>
    <x v="2061"/>
    <n v="45.690361000000003"/>
  </r>
  <r>
    <x v="2062"/>
    <n v="44.042926999999999"/>
  </r>
  <r>
    <x v="2063"/>
    <n v="42.416339999999998"/>
  </r>
  <r>
    <x v="2064"/>
    <n v="42.249512000000003"/>
  </r>
  <r>
    <x v="2065"/>
    <n v="40.664639000000001"/>
  </r>
  <r>
    <x v="2066"/>
    <n v="43.375610000000002"/>
  </r>
  <r>
    <x v="2067"/>
    <n v="44.87706"/>
  </r>
  <r>
    <x v="2068"/>
    <n v="43.563282000000001"/>
  </r>
  <r>
    <x v="2069"/>
    <n v="49.006100000000004"/>
  </r>
  <r>
    <x v="2070"/>
    <n v="46.607940999999997"/>
  </r>
  <r>
    <x v="2071"/>
    <n v="44.564255000000003"/>
  </r>
  <r>
    <x v="2072"/>
    <n v="47.796570000000003"/>
  </r>
  <r>
    <x v="2073"/>
    <n v="47.525481999999997"/>
  </r>
  <r>
    <x v="2074"/>
    <n v="46.378525000000003"/>
  </r>
  <r>
    <x v="2075"/>
    <n v="44.10548"/>
  </r>
  <r>
    <x v="2076"/>
    <n v="44.001209000000003"/>
  </r>
  <r>
    <x v="2077"/>
    <n v="44.460006999999997"/>
  </r>
  <r>
    <x v="2078"/>
    <n v="42.708278999999997"/>
  </r>
  <r>
    <x v="2079"/>
    <n v="43.083660000000002"/>
  </r>
  <r>
    <x v="2080"/>
    <n v="42.374640999999997"/>
  </r>
  <r>
    <x v="2081"/>
    <n v="45.419272999999997"/>
  </r>
  <r>
    <x v="2082"/>
    <n v="43.438170999999997"/>
  </r>
  <r>
    <x v="2083"/>
    <n v="41.749015999999997"/>
  </r>
  <r>
    <x v="2084"/>
    <n v="42.708278999999997"/>
  </r>
  <r>
    <x v="2085"/>
    <n v="44.334873000000002"/>
  </r>
  <r>
    <x v="2086"/>
    <n v="45.460968000000001"/>
  </r>
  <r>
    <x v="2087"/>
    <n v="43.250492000000001"/>
  </r>
  <r>
    <x v="2088"/>
    <n v="44.918781000000003"/>
  </r>
  <r>
    <x v="2089"/>
    <n v="45.002204999999996"/>
  </r>
  <r>
    <x v="2090"/>
    <n v="48.088535"/>
  </r>
  <r>
    <x v="2091"/>
    <n v="48.714142000000002"/>
  </r>
  <r>
    <x v="2092"/>
    <n v="49.694271000000001"/>
  </r>
  <r>
    <x v="2093"/>
    <n v="51.654513999999999"/>
  </r>
  <r>
    <x v="2094"/>
    <n v="52.551215999999997"/>
  </r>
  <r>
    <x v="2095"/>
    <n v="48.458672"/>
  </r>
  <r>
    <x v="2096"/>
    <n v="49.819397000000002"/>
  </r>
  <r>
    <x v="2097"/>
    <n v="46.962440000000001"/>
  </r>
  <r>
    <x v="2098"/>
    <n v="48.92268"/>
  </r>
  <r>
    <x v="2099"/>
    <n v="47.129252999999999"/>
  </r>
  <r>
    <x v="2100"/>
    <n v="46.420245999999999"/>
  </r>
  <r>
    <x v="2101"/>
    <n v="50.799506999999998"/>
  </r>
  <r>
    <x v="2102"/>
    <n v="47.108409999999999"/>
  </r>
  <r>
    <x v="2103"/>
    <n v="45.857193000000002"/>
  </r>
  <r>
    <x v="2104"/>
    <n v="41.749015999999997"/>
  </r>
  <r>
    <x v="2105"/>
    <n v="42.207797999999997"/>
  </r>
  <r>
    <x v="2106"/>
    <n v="35.096699000000001"/>
  </r>
  <r>
    <x v="2107"/>
    <n v="38.996349000000002"/>
  </r>
  <r>
    <x v="2108"/>
    <n v="37.432307999999999"/>
  </r>
  <r>
    <x v="2109"/>
    <n v="38.287318999999997"/>
  </r>
  <r>
    <x v="2110"/>
    <n v="36.535606000000001"/>
  </r>
  <r>
    <x v="2111"/>
    <n v="33.240729999999999"/>
  </r>
  <r>
    <x v="2112"/>
    <n v="35.013306"/>
  </r>
  <r>
    <x v="2113"/>
    <n v="32.448287999999998"/>
  </r>
  <r>
    <x v="2114"/>
    <n v="34.533669000000003"/>
  </r>
  <r>
    <x v="2115"/>
    <n v="36.181094999999999"/>
  </r>
  <r>
    <x v="2116"/>
    <n v="36.619014999999997"/>
  </r>
  <r>
    <x v="2117"/>
    <n v="37.932785000000003"/>
  </r>
  <r>
    <x v="2118"/>
    <n v="37.015250999999999"/>
  </r>
  <r>
    <x v="2119"/>
    <n v="35.597186999999998"/>
  </r>
  <r>
    <x v="2120"/>
    <n v="36.619014999999997"/>
  </r>
  <r>
    <x v="2121"/>
    <n v="34.366824999999999"/>
  </r>
  <r>
    <x v="2122"/>
    <n v="35.034134000000002"/>
  </r>
  <r>
    <x v="2123"/>
    <n v="32.469138999999998"/>
  </r>
  <r>
    <x v="2124"/>
    <n v="33.136459000000002"/>
  </r>
  <r>
    <x v="2125"/>
    <n v="32.698551000000002"/>
  </r>
  <r>
    <x v="2126"/>
    <n v="34.804752000000001"/>
  </r>
  <r>
    <x v="2127"/>
    <n v="36.264515000000003"/>
  </r>
  <r>
    <x v="2128"/>
    <n v="34.418964000000003"/>
  </r>
  <r>
    <x v="2129"/>
    <n v="32.34404"/>
  </r>
  <r>
    <x v="2130"/>
    <n v="29.758181"/>
  </r>
  <r>
    <x v="2131"/>
    <n v="29.507921"/>
  </r>
  <r>
    <x v="2132"/>
    <n v="26.484155999999999"/>
  </r>
  <r>
    <x v="2133"/>
    <n v="25.608288000000002"/>
  </r>
  <r>
    <x v="2134"/>
    <n v="23.02244"/>
  </r>
  <r>
    <x v="2135"/>
    <n v="22.042314999999999"/>
  </r>
  <r>
    <x v="2136"/>
    <n v="25.483170000000001"/>
  </r>
  <r>
    <x v="2137"/>
    <n v="22.146584000000001"/>
  </r>
  <r>
    <x v="2138"/>
    <n v="23.02244"/>
  </r>
  <r>
    <x v="2139"/>
    <n v="24.252800000000001"/>
  </r>
  <r>
    <x v="2140"/>
    <n v="22.43853"/>
  </r>
  <r>
    <x v="2141"/>
    <n v="22.980734000000002"/>
  </r>
  <r>
    <x v="2142"/>
    <n v="24.920124000000001"/>
  </r>
  <r>
    <x v="2143"/>
    <n v="25.837689999999998"/>
  </r>
  <r>
    <x v="2144"/>
    <n v="26.379887"/>
  </r>
  <r>
    <x v="2145"/>
    <n v="27.255731999999998"/>
  </r>
  <r>
    <x v="2146"/>
    <n v="27.151464000000001"/>
  </r>
  <r>
    <x v="2147"/>
    <n v="23.522921"/>
  </r>
  <r>
    <x v="2148"/>
    <n v="20.499144000000001"/>
  </r>
  <r>
    <x v="2149"/>
    <n v="21.938047000000001"/>
  </r>
  <r>
    <x v="2150"/>
    <n v="21.750360000000001"/>
  </r>
  <r>
    <x v="2151"/>
    <n v="20.999635999999999"/>
  </r>
  <r>
    <x v="2152"/>
    <n v="21.520979000000001"/>
  </r>
  <r>
    <x v="2153"/>
    <n v="22.772192"/>
  </r>
  <r>
    <x v="2154"/>
    <n v="22.146584000000001"/>
  </r>
  <r>
    <x v="2155"/>
    <n v="21.604386999999999"/>
  </r>
  <r>
    <x v="2156"/>
    <n v="21.249873999999998"/>
  </r>
  <r>
    <x v="2157"/>
    <n v="21.208169999999999"/>
  </r>
  <r>
    <x v="2158"/>
    <n v="20.519997"/>
  </r>
  <r>
    <x v="2159"/>
    <n v="20.019504999999999"/>
  </r>
  <r>
    <x v="2160"/>
    <n v="20.102920999999998"/>
  </r>
  <r>
    <x v="2161"/>
    <n v="19.498175"/>
  </r>
  <r>
    <x v="2162"/>
    <n v="20.582557999999999"/>
  </r>
  <r>
    <x v="2163"/>
    <n v="18.893415000000001"/>
  </r>
  <r>
    <x v="2164"/>
    <n v="18.309507"/>
  </r>
  <r>
    <x v="2165"/>
    <n v="17.683900999999999"/>
  </r>
  <r>
    <x v="2166"/>
    <n v="20.353172000000001"/>
  </r>
  <r>
    <x v="2167"/>
    <n v="20.686831000000002"/>
  </r>
  <r>
    <x v="2168"/>
    <n v="21.041342"/>
  </r>
  <r>
    <x v="2169"/>
    <n v="23.293534999999999"/>
  </r>
  <r>
    <x v="2170"/>
    <n v="21.729514999999999"/>
  </r>
  <r>
    <x v="2171"/>
    <n v="21.020486999999999"/>
  </r>
  <r>
    <x v="2172"/>
    <n v="21.041342"/>
  </r>
  <r>
    <x v="2173"/>
    <n v="20.957927999999999"/>
  </r>
  <r>
    <x v="2174"/>
    <n v="21.229020999999999"/>
  </r>
  <r>
    <x v="2175"/>
    <n v="22.813901999999999"/>
  </r>
  <r>
    <x v="2176"/>
    <n v="22.918178999999999"/>
  </r>
  <r>
    <x v="2177"/>
    <n v="21.875489999999999"/>
  </r>
  <r>
    <x v="2178"/>
    <n v="20.832809000000001"/>
  </r>
  <r>
    <x v="2179"/>
    <n v="21.666951999999998"/>
  </r>
  <r>
    <x v="2180"/>
    <n v="20.999635999999999"/>
  </r>
  <r>
    <x v="2181"/>
    <n v="20.665976000000001"/>
  </r>
  <r>
    <x v="2182"/>
    <n v="21.437555"/>
  </r>
  <r>
    <x v="2183"/>
    <n v="21.354139"/>
  </r>
  <r>
    <x v="2184"/>
    <n v="21.208169999999999"/>
  </r>
  <r>
    <x v="2185"/>
    <n v="20.374020000000002"/>
  </r>
  <r>
    <x v="2186"/>
    <n v="20.499144000000001"/>
  </r>
  <r>
    <x v="2187"/>
    <n v="20.499144000000001"/>
  </r>
  <r>
    <x v="2188"/>
    <n v="20.561720000000001"/>
  </r>
  <r>
    <x v="2189"/>
    <n v="20.895361000000001"/>
  </r>
  <r>
    <x v="2190"/>
    <n v="20.478297999999999"/>
  </r>
  <r>
    <x v="2191"/>
    <n v="20.186337000000002"/>
  </r>
  <r>
    <x v="2192"/>
    <n v="20.207191000000002"/>
  </r>
  <r>
    <x v="2193"/>
    <n v="19.936088999999999"/>
  </r>
  <r>
    <x v="2194"/>
    <n v="19.685853999999999"/>
  </r>
  <r>
    <x v="2195"/>
    <n v="18.893415000000001"/>
  </r>
  <r>
    <x v="2196"/>
    <n v="18.830850999999999"/>
  </r>
  <r>
    <x v="2197"/>
    <n v="20.228045000000002"/>
  </r>
  <r>
    <x v="2198"/>
    <n v="19.644145999999999"/>
  </r>
  <r>
    <x v="2199"/>
    <n v="19.810974000000002"/>
  </r>
  <r>
    <x v="2200"/>
    <n v="20.102920999999998"/>
  </r>
  <r>
    <x v="2201"/>
    <n v="19.456462999999999"/>
  </r>
  <r>
    <x v="2202"/>
    <n v="19.977803999999999"/>
  </r>
  <r>
    <x v="2203"/>
    <n v="19.769273999999999"/>
  </r>
  <r>
    <x v="2204"/>
    <n v="19.810974000000002"/>
  </r>
  <r>
    <x v="2205"/>
    <n v="20.62426"/>
  </r>
  <r>
    <x v="2206"/>
    <n v="21.395856999999999"/>
  </r>
  <r>
    <x v="2207"/>
    <n v="20.540848"/>
  </r>
  <r>
    <x v="2208"/>
    <n v="19.393902000000001"/>
  </r>
  <r>
    <x v="2209"/>
    <n v="20.499144000000001"/>
  </r>
  <r>
    <x v="2210"/>
    <n v="21.354139"/>
  </r>
  <r>
    <x v="2211"/>
    <n v="20.895361000000001"/>
  </r>
  <r>
    <x v="2212"/>
    <n v="22.104876000000001"/>
  </r>
  <r>
    <x v="2213"/>
    <n v="23.293534999999999"/>
  </r>
  <r>
    <x v="2214"/>
    <n v="25.858523999999999"/>
  </r>
  <r>
    <x v="2215"/>
    <n v="25.040030000000002"/>
  </r>
  <r>
    <x v="2216"/>
    <n v="24.002573000000002"/>
  </r>
  <r>
    <x v="2217"/>
    <n v="24.357071000000001"/>
  </r>
  <r>
    <x v="2218"/>
    <n v="23.356093999999999"/>
  </r>
  <r>
    <x v="2219"/>
    <n v="24.482192999999999"/>
  </r>
  <r>
    <x v="2220"/>
    <n v="24.315370999999999"/>
  </r>
  <r>
    <x v="2221"/>
    <n v="24.961838"/>
  </r>
  <r>
    <x v="2222"/>
    <n v="23.77317"/>
  </r>
  <r>
    <x v="2223"/>
    <n v="23.794028999999998"/>
  </r>
  <r>
    <x v="2224"/>
    <n v="24.190245000000001"/>
  </r>
  <r>
    <x v="2225"/>
    <n v="26.171333000000001"/>
  </r>
  <r>
    <x v="2226"/>
    <n v="27.651941000000001"/>
  </r>
  <r>
    <x v="2227"/>
    <n v="25.962795"/>
  </r>
  <r>
    <x v="2228"/>
    <n v="26.484155999999999"/>
  </r>
  <r>
    <x v="2229"/>
    <n v="26.588415000000001"/>
  </r>
  <r>
    <x v="2230"/>
    <n v="23.522921"/>
  </r>
  <r>
    <x v="2231"/>
    <n v="21.479271000000001"/>
  </r>
  <r>
    <x v="2232"/>
    <n v="23.335255"/>
  </r>
  <r>
    <x v="2233"/>
    <n v="25.691701999999999"/>
  </r>
  <r>
    <x v="2234"/>
    <n v="24.753298000000001"/>
  </r>
  <r>
    <x v="2235"/>
    <n v="24.961838"/>
  </r>
  <r>
    <x v="2236"/>
    <n v="25.691701999999999"/>
  </r>
  <r>
    <x v="2237"/>
    <n v="24.940977"/>
  </r>
  <r>
    <x v="2238"/>
    <n v="24.565605000000001"/>
  </r>
  <r>
    <x v="2239"/>
    <n v="23.689747000000001"/>
  </r>
  <r>
    <x v="2240"/>
    <n v="21.938047000000001"/>
  </r>
  <r>
    <x v="2241"/>
    <n v="23.960851999999999"/>
  </r>
  <r>
    <x v="2242"/>
    <n v="24.982669999999999"/>
  </r>
  <r>
    <x v="2243"/>
    <n v="22.730484000000001"/>
  </r>
  <r>
    <x v="2244"/>
    <n v="21.724302000000002"/>
  </r>
  <r>
    <x v="2245"/>
    <n v="20.519997"/>
  </r>
  <r>
    <x v="2246"/>
    <n v="20.957927999999999"/>
  </r>
  <r>
    <x v="2247"/>
    <n v="23.522921"/>
  </r>
  <r>
    <x v="2248"/>
    <n v="23.543779000000001"/>
  </r>
  <r>
    <x v="2249"/>
    <n v="24.607315"/>
  </r>
  <r>
    <x v="2250"/>
    <n v="23.043292999999998"/>
  </r>
  <r>
    <x v="2251"/>
    <n v="24.252800000000001"/>
  </r>
  <r>
    <x v="2252"/>
    <n v="24.669875999999999"/>
  </r>
  <r>
    <x v="2253"/>
    <n v="25.045249999999999"/>
  </r>
  <r>
    <x v="2254"/>
    <n v="26.817803999999999"/>
  </r>
  <r>
    <x v="2255"/>
    <n v="28.089884000000001"/>
  </r>
  <r>
    <x v="2256"/>
    <n v="29.382805000000001"/>
  </r>
  <r>
    <x v="2257"/>
    <n v="29.633058999999999"/>
  </r>
  <r>
    <x v="2258"/>
    <n v="28.235866999999999"/>
  </r>
  <r>
    <x v="2259"/>
    <n v="29.195115999999999"/>
  </r>
  <r>
    <x v="2260"/>
    <n v="26.338173000000001"/>
  </r>
  <r>
    <x v="2261"/>
    <n v="28.194144999999999"/>
  </r>
  <r>
    <x v="2262"/>
    <n v="29.841584999999998"/>
  </r>
  <r>
    <x v="2263"/>
    <n v="27.850058000000001"/>
  </r>
  <r>
    <x v="2264"/>
    <n v="27.568539000000001"/>
  </r>
  <r>
    <x v="2265"/>
    <n v="26.7761"/>
  </r>
  <r>
    <x v="2266"/>
    <n v="27.693653000000001"/>
  </r>
  <r>
    <x v="2267"/>
    <n v="30.029267999999998"/>
  </r>
  <r>
    <x v="2268"/>
    <n v="33.240729999999999"/>
  </r>
  <r>
    <x v="2269"/>
    <n v="33.157322000000001"/>
  </r>
  <r>
    <x v="2270"/>
    <n v="34.846451000000002"/>
  </r>
  <r>
    <x v="2271"/>
    <n v="34.450240999999998"/>
  </r>
  <r>
    <x v="2272"/>
    <n v="33.199024000000001"/>
  </r>
  <r>
    <x v="2273"/>
    <n v="29.966715000000001"/>
  </r>
  <r>
    <x v="2274"/>
    <n v="30.467188"/>
  </r>
  <r>
    <x v="2275"/>
    <n v="29.382805000000001"/>
  </r>
  <r>
    <x v="2276"/>
    <n v="26.546707000000001"/>
  </r>
  <r>
    <x v="2277"/>
    <n v="28.506964"/>
  </r>
  <r>
    <x v="2278"/>
    <n v="27.839639999999999"/>
  </r>
  <r>
    <x v="2279"/>
    <n v="25.733405999999999"/>
  </r>
  <r>
    <x v="2280"/>
    <n v="25.295484999999999"/>
  </r>
  <r>
    <x v="2281"/>
    <n v="28.360970999999999"/>
  </r>
  <r>
    <x v="2282"/>
    <n v="27.964763999999999"/>
  </r>
  <r>
    <x v="2283"/>
    <n v="29.987563999999999"/>
  </r>
  <r>
    <x v="2284"/>
    <n v="29.820726000000001"/>
  </r>
  <r>
    <x v="2285"/>
    <n v="27.422557999999999"/>
  </r>
  <r>
    <x v="2286"/>
    <n v="23.648047999999999"/>
  </r>
  <r>
    <x v="2287"/>
    <n v="28.048158999999998"/>
  </r>
  <r>
    <x v="2288"/>
    <n v="26.338173000000001"/>
  </r>
  <r>
    <x v="2289"/>
    <n v="24.377925999999999"/>
  </r>
  <r>
    <x v="2290"/>
    <n v="25.983657999999998"/>
  </r>
  <r>
    <x v="2291"/>
    <n v="24.440487000000001"/>
  </r>
  <r>
    <x v="2292"/>
    <n v="24.169388000000001"/>
  </r>
  <r>
    <x v="2293"/>
    <n v="23.543779000000001"/>
  </r>
  <r>
    <x v="2294"/>
    <n v="23.960851999999999"/>
  </r>
  <r>
    <x v="2295"/>
    <n v="23.668901000000002"/>
  </r>
  <r>
    <x v="2296"/>
    <n v="24.357071000000001"/>
  </r>
  <r>
    <x v="2297"/>
    <n v="24.377925999999999"/>
  </r>
  <r>
    <x v="2298"/>
    <n v="23.48122"/>
  </r>
  <r>
    <x v="2299"/>
    <n v="25.170361"/>
  </r>
  <r>
    <x v="2300"/>
    <n v="25.900244000000001"/>
  </r>
  <r>
    <x v="2301"/>
    <n v="24.774137"/>
  </r>
  <r>
    <x v="2302"/>
    <n v="24.669875999999999"/>
  </r>
  <r>
    <x v="2303"/>
    <n v="27.026337000000002"/>
  </r>
  <r>
    <x v="2304"/>
    <n v="28.965727000000001"/>
  </r>
  <r>
    <x v="2305"/>
    <n v="28.590358999999999"/>
  </r>
  <r>
    <x v="2306"/>
    <n v="28.048158999999998"/>
  </r>
  <r>
    <x v="2307"/>
    <n v="28.444400999999999"/>
  </r>
  <r>
    <x v="2308"/>
    <n v="28.965727000000001"/>
  </r>
  <r>
    <x v="2309"/>
    <n v="28.840606999999999"/>
  </r>
  <r>
    <x v="2310"/>
    <n v="27.672812"/>
  </r>
  <r>
    <x v="2311"/>
    <n v="28.903165999999999"/>
  </r>
  <r>
    <x v="2312"/>
    <n v="28.277560999999999"/>
  </r>
  <r>
    <x v="2313"/>
    <n v="26.400734"/>
  </r>
  <r>
    <x v="2314"/>
    <n v="27.651941000000001"/>
  </r>
  <r>
    <x v="2315"/>
    <n v="26.85951"/>
  </r>
  <r>
    <x v="2316"/>
    <n v="27.818769"/>
  </r>
  <r>
    <x v="2317"/>
    <n v="28.569513000000001"/>
  </r>
  <r>
    <x v="2318"/>
    <n v="26.901215000000001"/>
  </r>
  <r>
    <x v="2319"/>
    <n v="25.196429999999999"/>
  </r>
  <r>
    <x v="2320"/>
    <n v="23.77317"/>
  </r>
  <r>
    <x v="2321"/>
    <n v="22.334267000000001"/>
  </r>
  <r>
    <x v="2322"/>
    <n v="20.62426"/>
  </r>
  <r>
    <x v="2323"/>
    <n v="21.041342"/>
  </r>
  <r>
    <x v="2324"/>
    <n v="18.559754999999999"/>
  </r>
  <r>
    <x v="2325"/>
    <n v="18.288661999999999"/>
  </r>
  <r>
    <x v="2326"/>
    <n v="20.415724000000001"/>
  </r>
  <r>
    <x v="2327"/>
    <n v="20.186337000000002"/>
  </r>
  <r>
    <x v="2328"/>
    <n v="20.999635999999999"/>
  </r>
  <r>
    <x v="2329"/>
    <n v="19.706713000000001"/>
  </r>
  <r>
    <x v="2330"/>
    <n v="19.227076"/>
  </r>
  <r>
    <x v="2331"/>
    <n v="19.101946000000002"/>
  </r>
  <r>
    <x v="2332"/>
    <n v="17.329393"/>
  </r>
  <r>
    <x v="2333"/>
    <n v="16.036473999999998"/>
  </r>
  <r>
    <x v="2334"/>
    <n v="17.621344000000001"/>
  </r>
  <r>
    <x v="2335"/>
    <n v="17.120857000000001"/>
  </r>
  <r>
    <x v="2336"/>
    <n v="17.412796"/>
  </r>
  <r>
    <x v="2337"/>
    <n v="16.787192999999998"/>
  </r>
  <r>
    <x v="2338"/>
    <n v="19.414750999999999"/>
  </r>
  <r>
    <x v="2339"/>
    <n v="18.017558999999999"/>
  </r>
  <r>
    <x v="2340"/>
    <n v="19.393902000000001"/>
  </r>
  <r>
    <x v="2341"/>
    <n v="18.976831000000001"/>
  </r>
  <r>
    <x v="2342"/>
    <n v="19.644145999999999"/>
  </r>
  <r>
    <x v="2343"/>
    <n v="18.893415000000001"/>
  </r>
  <r>
    <x v="2344"/>
    <n v="19.977803999999999"/>
  </r>
  <r>
    <x v="2345"/>
    <n v="18.288661999999999"/>
  </r>
  <r>
    <x v="2346"/>
    <n v="18.246960000000001"/>
  </r>
  <r>
    <x v="2347"/>
    <n v="18.893415000000001"/>
  </r>
  <r>
    <x v="2348"/>
    <n v="17.183413000000002"/>
  </r>
  <r>
    <x v="2349"/>
    <n v="15.264874000000001"/>
  </r>
  <r>
    <x v="2350"/>
    <n v="14.639268"/>
  </r>
  <r>
    <x v="2351"/>
    <n v="15.994761"/>
  </r>
  <r>
    <x v="2352"/>
    <n v="14.889512"/>
  </r>
  <r>
    <x v="2353"/>
    <n v="15.094718"/>
  </r>
  <r>
    <x v="2354"/>
    <n v="16.282533999999998"/>
  </r>
  <r>
    <x v="2355"/>
    <n v="17.046603999999999"/>
  </r>
  <r>
    <x v="2356"/>
    <n v="17.697258000000001"/>
  </r>
  <r>
    <x v="2357"/>
    <n v="16.139057000000001"/>
  </r>
  <r>
    <x v="2358"/>
    <n v="16.936508"/>
  </r>
  <r>
    <x v="2359"/>
    <n v="19.602437999999999"/>
  </r>
  <r>
    <x v="2360"/>
    <n v="22.131564999999998"/>
  </r>
  <r>
    <x v="2361"/>
    <n v="21.297423999999999"/>
  </r>
  <r>
    <x v="2362"/>
    <n v="19.418925999999999"/>
  </r>
  <r>
    <x v="2363"/>
    <n v="19.852684"/>
  </r>
  <r>
    <x v="2364"/>
    <n v="21.013815000000001"/>
  </r>
  <r>
    <x v="2365"/>
    <n v="19.368879"/>
  </r>
  <r>
    <x v="2366"/>
    <n v="18.784977000000001"/>
  </r>
  <r>
    <x v="2367"/>
    <n v="19.138649000000001"/>
  </r>
  <r>
    <x v="2368"/>
    <n v="20.603418000000001"/>
  </r>
  <r>
    <x v="2369"/>
    <n v="20.052880999999999"/>
  </r>
  <r>
    <x v="2370"/>
    <n v="19.632477000000002"/>
  </r>
  <r>
    <x v="2371"/>
    <n v="20.550025999999999"/>
  </r>
  <r>
    <x v="2372"/>
    <n v="20.183001999999998"/>
  </r>
  <r>
    <x v="2373"/>
    <n v="20.703500999999999"/>
  </r>
  <r>
    <x v="2374"/>
    <n v="19.779271999999999"/>
  </r>
  <r>
    <x v="2375"/>
    <n v="19.555728999999999"/>
  </r>
  <r>
    <x v="2376"/>
    <n v="19.335505000000001"/>
  </r>
  <r>
    <x v="2377"/>
    <n v="18.99184"/>
  </r>
  <r>
    <x v="2378"/>
    <n v="19.852684"/>
  </r>
  <r>
    <x v="2379"/>
    <n v="21.607728999999999"/>
  </r>
  <r>
    <x v="2380"/>
    <n v="22.138245000000001"/>
  </r>
  <r>
    <x v="2381"/>
    <n v="21.814598"/>
  </r>
  <r>
    <x v="2382"/>
    <n v="23.689747000000001"/>
  </r>
  <r>
    <x v="2383"/>
    <n v="23.326070999999999"/>
  </r>
  <r>
    <x v="2384"/>
    <n v="22.725489"/>
  </r>
  <r>
    <x v="2385"/>
    <n v="23.356093999999999"/>
  </r>
  <r>
    <x v="2386"/>
    <n v="22.528618000000002"/>
  </r>
  <r>
    <x v="2387"/>
    <n v="22.081522"/>
  </r>
  <r>
    <x v="2388"/>
    <n v="20.626778000000002"/>
  </r>
  <r>
    <x v="2389"/>
    <n v="20.26642"/>
  </r>
  <r>
    <x v="2390"/>
    <n v="20.550025999999999"/>
  </r>
  <r>
    <x v="2391"/>
    <n v="20.666801"/>
  </r>
  <r>
    <x v="2392"/>
    <n v="21.193992999999999"/>
  </r>
  <r>
    <x v="2393"/>
    <n v="20.846983000000002"/>
  </r>
  <r>
    <x v="2394"/>
    <n v="21.687805000000001"/>
  </r>
  <r>
    <x v="2395"/>
    <n v="20.433252"/>
  </r>
  <r>
    <x v="2396"/>
    <n v="19.946110000000001"/>
  </r>
  <r>
    <x v="2397"/>
    <n v="19.342186000000002"/>
  </r>
  <r>
    <x v="2398"/>
    <n v="18.090961"/>
  </r>
  <r>
    <x v="2399"/>
    <n v="17.183413000000002"/>
  </r>
  <r>
    <x v="2400"/>
    <n v="16.466049000000002"/>
  </r>
  <r>
    <x v="2401"/>
    <n v="16.696273999999999"/>
  </r>
  <r>
    <x v="2402"/>
    <n v="16.786362"/>
  </r>
  <r>
    <x v="2403"/>
    <n v="16.165749000000002"/>
  </r>
  <r>
    <x v="2404"/>
    <n v="17.517067000000001"/>
  </r>
  <r>
    <x v="2405"/>
    <n v="18.027574999999999"/>
  </r>
  <r>
    <x v="2406"/>
    <n v="18.134338"/>
  </r>
  <r>
    <x v="2407"/>
    <n v="17.834053000000001"/>
  </r>
  <r>
    <x v="2408"/>
    <n v="18.538065"/>
  </r>
  <r>
    <x v="2409"/>
    <n v="19.218733"/>
  </r>
  <r>
    <x v="2410"/>
    <n v="19.512350000000001"/>
  </r>
  <r>
    <x v="2411"/>
    <n v="19.308819"/>
  </r>
  <r>
    <x v="2412"/>
    <n v="21.310776000000001"/>
  </r>
  <r>
    <x v="2413"/>
    <n v="20.489968999999999"/>
  </r>
  <r>
    <x v="2414"/>
    <n v="19.412255999999999"/>
  </r>
  <r>
    <x v="2415"/>
    <n v="20.593399000000002"/>
  </r>
  <r>
    <x v="2416"/>
    <n v="19.702534"/>
  </r>
  <r>
    <x v="2417"/>
    <n v="18.83503"/>
  </r>
  <r>
    <x v="2418"/>
    <n v="21.140609999999999"/>
  </r>
  <r>
    <x v="2419"/>
    <n v="21.881329000000001"/>
  </r>
  <r>
    <x v="2420"/>
    <n v="21.390844000000001"/>
  </r>
  <r>
    <x v="2421"/>
    <n v="21.584372999999999"/>
  </r>
  <r>
    <x v="2422"/>
    <n v="20.870335000000001"/>
  </r>
  <r>
    <x v="2423"/>
    <n v="21.921364000000001"/>
  </r>
  <r>
    <x v="2424"/>
    <n v="21.514305"/>
  </r>
  <r>
    <x v="2425"/>
    <n v="20.303121999999998"/>
  </r>
  <r>
    <x v="2426"/>
    <n v="19.268774000000001"/>
  </r>
  <r>
    <x v="2427"/>
    <n v="19.882717"/>
  </r>
  <r>
    <x v="2428"/>
    <n v="19.906071000000001"/>
  </r>
  <r>
    <x v="2429"/>
    <n v="21.080549000000001"/>
  </r>
  <r>
    <x v="2430"/>
    <n v="21.390844000000001"/>
  </r>
  <r>
    <x v="2431"/>
    <n v="21.097227"/>
  </r>
  <r>
    <x v="2432"/>
    <n v="21.811253000000001"/>
  </r>
  <r>
    <x v="2433"/>
    <n v="22.802216999999999"/>
  </r>
  <r>
    <x v="2434"/>
    <n v="22.308406999999999"/>
  </r>
  <r>
    <x v="2435"/>
    <n v="22.455214999999999"/>
  </r>
  <r>
    <x v="2436"/>
    <n v="22.541969000000002"/>
  </r>
  <r>
    <x v="2437"/>
    <n v="21.717827"/>
  </r>
  <r>
    <x v="2438"/>
    <n v="21.928038000000001"/>
  </r>
  <r>
    <x v="2439"/>
    <n v="21.277412000000002"/>
  </r>
  <r>
    <x v="2440"/>
    <n v="22.221664000000001"/>
  </r>
  <r>
    <x v="2441"/>
    <n v="21.998114000000001"/>
  </r>
  <r>
    <x v="2442"/>
    <n v="21.197327000000001"/>
  </r>
  <r>
    <x v="2443"/>
    <n v="21.624407000000001"/>
  </r>
  <r>
    <x v="2444"/>
    <n v="20.540019999999998"/>
  </r>
  <r>
    <x v="2445"/>
    <n v="21.257390999999998"/>
  </r>
  <r>
    <x v="2446"/>
    <n v="20.833632999999999"/>
  </r>
  <r>
    <x v="2447"/>
    <n v="21.270727000000001"/>
  </r>
  <r>
    <x v="2448"/>
    <n v="21.003806999999998"/>
  </r>
  <r>
    <x v="2449"/>
    <n v="22.058163"/>
  </r>
  <r>
    <x v="2450"/>
    <n v="21.677792"/>
  </r>
  <r>
    <x v="2451"/>
    <n v="20.953754"/>
  </r>
  <r>
    <x v="2452"/>
    <n v="20.927063"/>
  </r>
  <r>
    <x v="2453"/>
    <n v="19.882717"/>
  </r>
  <r>
    <x v="2454"/>
    <n v="19.635802999999999"/>
  </r>
  <r>
    <x v="2455"/>
    <n v="18.117660999999998"/>
  </r>
  <r>
    <x v="2456"/>
    <n v="17.753965000000001"/>
  </r>
  <r>
    <x v="2457"/>
    <n v="16.185777999999999"/>
  </r>
  <r>
    <x v="2458"/>
    <n v="16.409324999999999"/>
  </r>
  <r>
    <x v="2459"/>
    <n v="16.863098000000001"/>
  </r>
  <r>
    <x v="2460"/>
    <n v="15.278223000000001"/>
  </r>
  <r>
    <x v="2461"/>
    <n v="15.471745"/>
  </r>
  <r>
    <x v="2462"/>
    <n v="15.014633999999999"/>
  </r>
  <r>
    <x v="2463"/>
    <n v="15.194808999999999"/>
  </r>
  <r>
    <x v="2464"/>
    <n v="14.977935"/>
  </r>
  <r>
    <x v="2465"/>
    <n v="15.882142999999999"/>
  </r>
  <r>
    <x v="2466"/>
    <n v="16.289206"/>
  </r>
  <r>
    <x v="2467"/>
    <n v="15.458397"/>
  </r>
  <r>
    <x v="2468"/>
    <n v="15.868797000000001"/>
  </r>
  <r>
    <x v="2469"/>
    <n v="15.862128999999999"/>
  </r>
  <r>
    <x v="2470"/>
    <n v="14.947901999999999"/>
  </r>
  <r>
    <x v="2471"/>
    <n v="15.304919"/>
  </r>
  <r>
    <x v="2472"/>
    <n v="14.951241"/>
  </r>
  <r>
    <x v="2473"/>
    <n v="14.013659000000001"/>
  </r>
  <r>
    <x v="2474"/>
    <n v="12.832504"/>
  </r>
  <r>
    <x v="2475"/>
    <n v="13.753405000000001"/>
  </r>
  <r>
    <x v="2476"/>
    <n v="13.629949999999999"/>
  </r>
  <r>
    <x v="2477"/>
    <n v="14.981266"/>
  </r>
  <r>
    <x v="2478"/>
    <n v="16.576162"/>
  </r>
  <r>
    <x v="2479"/>
    <n v="16.516089999999998"/>
  </r>
  <r>
    <x v="2480"/>
    <n v="16.866430000000001"/>
  </r>
  <r>
    <x v="2481"/>
    <n v="16.632874000000001"/>
  </r>
  <r>
    <x v="2482"/>
    <n v="15.561842"/>
  </r>
  <r>
    <x v="2483"/>
    <n v="15.812078"/>
  </r>
  <r>
    <x v="2484"/>
    <n v="16.115713"/>
  </r>
  <r>
    <x v="2485"/>
    <n v="16.125715"/>
  </r>
  <r>
    <x v="2486"/>
    <n v="16.466049000000002"/>
  </r>
  <r>
    <x v="2487"/>
    <n v="17.763981000000001"/>
  </r>
  <r>
    <x v="2488"/>
    <n v="18.638165000000001"/>
  </r>
  <r>
    <x v="2489"/>
    <n v="18.441306999999998"/>
  </r>
  <r>
    <x v="2490"/>
    <n v="17.450330999999998"/>
  </r>
  <r>
    <x v="2491"/>
    <n v="16.245836000000001"/>
  </r>
  <r>
    <x v="2492"/>
    <n v="16.389306999999999"/>
  </r>
  <r>
    <x v="2493"/>
    <n v="17.226790999999999"/>
  </r>
  <r>
    <x v="2494"/>
    <n v="17.857409000000001"/>
  </r>
  <r>
    <x v="2495"/>
    <n v="17.710595999999999"/>
  </r>
  <r>
    <x v="2496"/>
    <n v="18.261133000000001"/>
  </r>
  <r>
    <x v="2497"/>
    <n v="18.387931999999999"/>
  </r>
  <r>
    <x v="2498"/>
    <n v="18.781631000000001"/>
  </r>
  <r>
    <x v="2499"/>
    <n v="18.491350000000001"/>
  </r>
  <r>
    <x v="2500"/>
    <n v="18.761621000000002"/>
  </r>
  <r>
    <x v="2501"/>
    <n v="19.205390999999999"/>
  </r>
  <r>
    <x v="2502"/>
    <n v="19.375551000000002"/>
  </r>
  <r>
    <x v="2503"/>
    <n v="19.672509999999999"/>
  </r>
  <r>
    <x v="2504"/>
    <n v="20.046209000000001"/>
  </r>
  <r>
    <x v="2505"/>
    <n v="20.843651000000001"/>
  </r>
  <r>
    <x v="2506"/>
    <n v="19.759253999999999"/>
  </r>
  <r>
    <x v="2507"/>
    <n v="19.946110000000001"/>
  </r>
  <r>
    <x v="2508"/>
    <n v="20.456600000000002"/>
  </r>
  <r>
    <x v="2509"/>
    <n v="20.152982999999999"/>
  </r>
  <r>
    <x v="2510"/>
    <n v="20.026184000000001"/>
  </r>
  <r>
    <x v="2511"/>
    <n v="19.115297000000002"/>
  </r>
  <r>
    <x v="2512"/>
    <n v="19.492334"/>
  </r>
  <r>
    <x v="2513"/>
    <n v="19.592424000000001"/>
  </r>
  <r>
    <x v="2514"/>
    <n v="19.111955999999999"/>
  </r>
  <r>
    <x v="2515"/>
    <n v="19.989483"/>
  </r>
  <r>
    <x v="2516"/>
    <n v="20.683495000000001"/>
  </r>
  <r>
    <x v="2517"/>
    <n v="20.032855999999999"/>
  </r>
  <r>
    <x v="2518"/>
    <n v="19.008527999999998"/>
  </r>
  <r>
    <x v="2519"/>
    <n v="19.02854"/>
  </r>
  <r>
    <x v="2520"/>
    <n v="19.19537"/>
  </r>
  <r>
    <x v="2521"/>
    <n v="19.242092"/>
  </r>
  <r>
    <x v="2522"/>
    <n v="18.351219"/>
  </r>
  <r>
    <x v="2523"/>
    <n v="18.631495000000001"/>
  </r>
  <r>
    <x v="2524"/>
    <n v="17.857409000000001"/>
  </r>
  <r>
    <x v="2525"/>
    <n v="17.884094000000001"/>
  </r>
  <r>
    <x v="2526"/>
    <n v="17.443670000000001"/>
  </r>
  <r>
    <x v="2527"/>
    <n v="16.536114000000001"/>
  </r>
  <r>
    <x v="2528"/>
    <n v="16.679597999999999"/>
  </r>
  <r>
    <x v="2529"/>
    <n v="16.722961000000002"/>
  </r>
  <r>
    <x v="2530"/>
    <n v="16.886455999999999"/>
  </r>
  <r>
    <x v="2531"/>
    <n v="17.416972999999999"/>
  </r>
  <r>
    <x v="2532"/>
    <n v="17.283505999999999"/>
  </r>
  <r>
    <x v="2533"/>
    <n v="16.849751999999999"/>
  </r>
  <r>
    <x v="2534"/>
    <n v="17.366918999999999"/>
  </r>
  <r>
    <x v="2535"/>
    <n v="17.343571000000001"/>
  </r>
  <r>
    <x v="2536"/>
    <n v="16.819728999999999"/>
  </r>
  <r>
    <x v="2537"/>
    <n v="15.748678"/>
  </r>
  <r>
    <x v="2538"/>
    <n v="16.079001999999999"/>
  </r>
  <r>
    <x v="2539"/>
    <n v="15.418357"/>
  </r>
  <r>
    <x v="2540"/>
    <n v="15.578519999999999"/>
  </r>
  <r>
    <x v="2541"/>
    <n v="15.518452"/>
  </r>
  <r>
    <x v="2542"/>
    <n v="15.732006999999999"/>
  </r>
  <r>
    <x v="2543"/>
    <n v="15.531805"/>
  </r>
  <r>
    <x v="2544"/>
    <n v="15.181454"/>
  </r>
  <r>
    <x v="2545"/>
    <n v="15.772043999999999"/>
  </r>
  <r>
    <x v="2546"/>
    <n v="14.997949"/>
  </r>
  <r>
    <x v="2547"/>
    <n v="13.813464"/>
  </r>
  <r>
    <x v="2548"/>
    <n v="14.527493"/>
  </r>
  <r>
    <x v="2549"/>
    <n v="14.584208"/>
  </r>
  <r>
    <x v="2550"/>
    <n v="15.364979999999999"/>
  </r>
  <r>
    <x v="2551"/>
    <n v="15.144755999999999"/>
  </r>
  <r>
    <x v="2552"/>
    <n v="14.407377"/>
  </r>
  <r>
    <x v="2553"/>
    <n v="14.911199"/>
  </r>
  <r>
    <x v="2554"/>
    <n v="14.697654999999999"/>
  </r>
  <r>
    <x v="2555"/>
    <n v="14.167144"/>
  </r>
  <r>
    <x v="2556"/>
    <n v="13.609933"/>
  </r>
  <r>
    <x v="2557"/>
    <n v="13.282945"/>
  </r>
  <r>
    <x v="2558"/>
    <n v="13.546535"/>
  </r>
  <r>
    <x v="2559"/>
    <n v="13.049382"/>
  </r>
  <r>
    <x v="2560"/>
    <n v="12.498844999999999"/>
  </r>
  <r>
    <x v="2561"/>
    <n v="13.773427"/>
  </r>
  <r>
    <x v="2562"/>
    <n v="13.513168"/>
  </r>
  <r>
    <x v="2563"/>
    <n v="13.980294000000001"/>
  </r>
  <r>
    <x v="2564"/>
    <n v="13.363021"/>
  </r>
  <r>
    <x v="2565"/>
    <n v="12.478827000000001"/>
  </r>
  <r>
    <x v="2566"/>
    <n v="12.452133"/>
  </r>
  <r>
    <x v="2567"/>
    <n v="11.981683"/>
  </r>
  <r>
    <x v="2568"/>
    <n v="10.843902999999999"/>
  </r>
  <r>
    <x v="2569"/>
    <n v="10.910634999999999"/>
  </r>
  <r>
    <x v="2570"/>
    <n v="11.981683"/>
  </r>
  <r>
    <x v="2571"/>
    <n v="11.601308"/>
  </r>
  <r>
    <x v="2572"/>
    <n v="11.200915999999999"/>
  </r>
  <r>
    <x v="2573"/>
    <n v="11.094148000000001"/>
  </r>
  <r>
    <x v="2574"/>
    <n v="12.001697"/>
  </r>
  <r>
    <x v="2575"/>
    <n v="12.969310999999999"/>
  </r>
  <r>
    <x v="2576"/>
    <n v="12.965975"/>
  </r>
  <r>
    <x v="2577"/>
    <n v="13.329663999999999"/>
  </r>
  <r>
    <x v="2578"/>
    <n v="13.826807000000001"/>
  </r>
  <r>
    <x v="2579"/>
    <n v="14.614242000000001"/>
  </r>
  <r>
    <x v="2580"/>
    <n v="14.564197999999999"/>
  </r>
  <r>
    <x v="2581"/>
    <n v="14.207181"/>
  </r>
  <r>
    <x v="2582"/>
    <n v="13.66999"/>
  </r>
  <r>
    <x v="2583"/>
    <n v="13.486475"/>
  </r>
  <r>
    <x v="2584"/>
    <n v="14.010320999999999"/>
  </r>
  <r>
    <x v="2585"/>
    <n v="14.584208"/>
  </r>
  <r>
    <x v="2586"/>
    <n v="14.360664999999999"/>
  </r>
  <r>
    <x v="2587"/>
    <n v="13.416404"/>
  </r>
  <r>
    <x v="2588"/>
    <n v="13.936919"/>
  </r>
  <r>
    <x v="2589"/>
    <n v="13.503161"/>
  </r>
  <r>
    <x v="2590"/>
    <n v="13.169499999999999"/>
  </r>
  <r>
    <x v="2591"/>
    <n v="13.302963999999999"/>
  </r>
  <r>
    <x v="2592"/>
    <n v="12.63565"/>
  </r>
  <r>
    <x v="2593"/>
    <n v="12.558908000000001"/>
  </r>
  <r>
    <x v="2594"/>
    <n v="13.126131000000001"/>
  </r>
  <r>
    <x v="2595"/>
    <n v="12.435454999999999"/>
  </r>
  <r>
    <x v="2596"/>
    <n v="12.558908000000001"/>
  </r>
  <r>
    <x v="2597"/>
    <n v="12.2119"/>
  </r>
  <r>
    <x v="2598"/>
    <n v="11.981683"/>
  </r>
  <r>
    <x v="2599"/>
    <n v="12.051743999999999"/>
  </r>
  <r>
    <x v="2600"/>
    <n v="11.678046999999999"/>
  </r>
  <r>
    <x v="2601"/>
    <n v="11.778147000000001"/>
  </r>
  <r>
    <x v="2602"/>
    <n v="11.557931"/>
  </r>
  <r>
    <x v="2603"/>
    <n v="11.914948000000001"/>
  </r>
  <r>
    <x v="2604"/>
    <n v="12.078434"/>
  </r>
  <r>
    <x v="2605"/>
    <n v="13.219552999999999"/>
  </r>
  <r>
    <x v="2606"/>
    <n v="13.279609000000001"/>
  </r>
  <r>
    <x v="2607"/>
    <n v="12.81249"/>
  </r>
  <r>
    <x v="2608"/>
    <n v="12.432117999999999"/>
  </r>
  <r>
    <x v="2609"/>
    <n v="11.688062"/>
  </r>
  <r>
    <x v="2610"/>
    <n v="10.760489"/>
  </r>
  <r>
    <x v="2611"/>
    <n v="11.107491"/>
  </r>
  <r>
    <x v="2612"/>
    <n v="10.810539"/>
  </r>
  <r>
    <x v="2613"/>
    <n v="10.226635999999999"/>
  </r>
  <r>
    <x v="2614"/>
    <n v="9.7495030000000007"/>
  </r>
  <r>
    <x v="2615"/>
    <n v="10.063143999999999"/>
  </r>
  <r>
    <x v="2616"/>
    <n v="9.9363489999999999"/>
  </r>
  <r>
    <x v="2617"/>
    <n v="9.4859100000000005"/>
  </r>
  <r>
    <x v="2618"/>
    <n v="8.9553969999999996"/>
  </r>
  <r>
    <x v="2619"/>
    <n v="8.8252740000000003"/>
  </r>
  <r>
    <x v="2620"/>
    <n v="8.2747320000000002"/>
  </r>
  <r>
    <x v="2621"/>
    <n v="9.8195689999999995"/>
  </r>
  <r>
    <x v="2622"/>
    <n v="9.4558789999999995"/>
  </r>
  <r>
    <x v="2623"/>
    <n v="8.9420470000000005"/>
  </r>
  <r>
    <x v="2624"/>
    <n v="9.7061279999999996"/>
  </r>
  <r>
    <x v="2625"/>
    <n v="10.236641000000001"/>
  </r>
  <r>
    <x v="2626"/>
    <n v="10.700424999999999"/>
  </r>
  <r>
    <x v="2627"/>
    <n v="10.790514999999999"/>
  </r>
  <r>
    <x v="2628"/>
    <n v="10.840567"/>
  </r>
  <r>
    <x v="2629"/>
    <n v="10.640368"/>
  </r>
  <r>
    <x v="2630"/>
    <n v="10.883945000000001"/>
  </r>
  <r>
    <x v="2631"/>
    <n v="10.466868"/>
  </r>
  <r>
    <x v="2632"/>
    <n v="10.566966000000001"/>
  </r>
  <r>
    <x v="2633"/>
    <n v="10.34675"/>
  </r>
  <r>
    <x v="2634"/>
    <n v="10.480214"/>
  </r>
  <r>
    <x v="2635"/>
    <n v="10.390126"/>
  </r>
  <r>
    <x v="2636"/>
    <n v="10.40347"/>
  </r>
  <r>
    <x v="2637"/>
    <n v="10.556956"/>
  </r>
  <r>
    <x v="2638"/>
    <n v="10.400137000000001"/>
  </r>
  <r>
    <x v="2639"/>
    <n v="10.823878000000001"/>
  </r>
  <r>
    <x v="2640"/>
    <n v="10.957345"/>
  </r>
  <r>
    <x v="2641"/>
    <n v="10.263337999999999"/>
  </r>
  <r>
    <x v="2642"/>
    <n v="10.300041"/>
  </r>
  <r>
    <x v="2643"/>
    <n v="10.506907"/>
  </r>
  <r>
    <x v="2644"/>
    <n v="10.446849"/>
  </r>
  <r>
    <x v="2645"/>
    <n v="11.010732000000001"/>
  </r>
  <r>
    <x v="2646"/>
    <n v="10.807199000000001"/>
  </r>
  <r>
    <x v="2647"/>
    <n v="9.9797229999999999"/>
  </r>
  <r>
    <x v="2648"/>
    <n v="9.7495030000000007"/>
  </r>
  <r>
    <x v="2649"/>
    <n v="9.6360600000000005"/>
  </r>
  <r>
    <x v="2650"/>
    <n v="9.3858169999999994"/>
  </r>
  <r>
    <x v="2651"/>
    <n v="8.7852289999999993"/>
  </r>
  <r>
    <x v="2652"/>
    <n v="8.7151580000000006"/>
  </r>
  <r>
    <x v="2653"/>
    <n v="8.9420470000000005"/>
  </r>
  <r>
    <x v="2654"/>
    <n v="8.7952379999999994"/>
  </r>
  <r>
    <x v="2655"/>
    <n v="9.0354729999999996"/>
  </r>
  <r>
    <x v="2656"/>
    <n v="9.1622629999999994"/>
  </r>
  <r>
    <x v="2657"/>
    <n v="9.1722730000000006"/>
  </r>
  <r>
    <x v="2658"/>
    <n v="8.8185990000000007"/>
  </r>
  <r>
    <x v="2659"/>
    <n v="8.2747320000000002"/>
  </r>
  <r>
    <x v="2660"/>
    <n v="8.8019069999999999"/>
  </r>
  <r>
    <x v="2661"/>
    <n v="9.5226150000000001"/>
  </r>
  <r>
    <x v="2662"/>
    <n v="9.0621659999999995"/>
  </r>
  <r>
    <x v="2663"/>
    <n v="9.1856209999999994"/>
  </r>
  <r>
    <x v="2664"/>
    <n v="8.8119200000000006"/>
  </r>
  <r>
    <x v="2665"/>
    <n v="9.3124099999999999"/>
  </r>
  <r>
    <x v="2666"/>
    <n v="9.3791410000000006"/>
  </r>
  <r>
    <x v="2667"/>
    <n v="9.8028840000000006"/>
  </r>
  <r>
    <x v="2668"/>
    <n v="9.9563690000000005"/>
  </r>
  <r>
    <x v="2669"/>
    <n v="9.9997450000000008"/>
  </r>
  <r>
    <x v="2670"/>
    <n v="10.13321"/>
  </r>
  <r>
    <x v="2671"/>
    <n v="10.006418999999999"/>
  </r>
  <r>
    <x v="2672"/>
    <n v="9.8329179999999994"/>
  </r>
  <r>
    <x v="2673"/>
    <n v="9.3491149999999994"/>
  </r>
  <r>
    <x v="2674"/>
    <n v="9.7094629999999995"/>
  </r>
  <r>
    <x v="2675"/>
    <n v="8.5583399999999994"/>
  </r>
  <r>
    <x v="2676"/>
    <n v="8.6717849999999999"/>
  </r>
  <r>
    <x v="2677"/>
    <n v="9.3858169999999994"/>
  </r>
  <r>
    <x v="2678"/>
    <n v="9.2023050000000008"/>
  </r>
  <r>
    <x v="2679"/>
    <n v="9.1689360000000004"/>
  </r>
  <r>
    <x v="2680"/>
    <n v="8.5449959999999994"/>
  </r>
  <r>
    <x v="2681"/>
    <n v="8.5249760000000006"/>
  </r>
  <r>
    <x v="2682"/>
    <n v="7.9243870000000003"/>
  </r>
  <r>
    <x v="2683"/>
    <n v="8.4015249999999995"/>
  </r>
  <r>
    <x v="2684"/>
    <n v="8.3447980000000008"/>
  </r>
  <r>
    <x v="2685"/>
    <n v="8.6884689999999996"/>
  </r>
  <r>
    <x v="2686"/>
    <n v="8.6417529999999996"/>
  </r>
  <r>
    <x v="2687"/>
    <n v="8.6150640000000003"/>
  </r>
  <r>
    <x v="2688"/>
    <n v="8.7818900000000006"/>
  </r>
  <r>
    <x v="2689"/>
    <n v="9.2590260000000004"/>
  </r>
  <r>
    <x v="2690"/>
    <n v="9.4992629999999991"/>
  </r>
  <r>
    <x v="2691"/>
    <n v="9.7061279999999996"/>
  </r>
  <r>
    <x v="2692"/>
    <n v="9.9763909999999996"/>
  </r>
  <r>
    <x v="2693"/>
    <n v="9.7728599999999997"/>
  </r>
  <r>
    <x v="2694"/>
    <n v="9.7528330000000008"/>
  </r>
  <r>
    <x v="2695"/>
    <n v="10.093168"/>
  </r>
  <r>
    <x v="2696"/>
    <n v="9.8362549999999995"/>
  </r>
  <r>
    <x v="2697"/>
    <n v="9.9763909999999996"/>
  </r>
  <r>
    <x v="2698"/>
    <n v="9.5359619999999996"/>
  </r>
  <r>
    <x v="2699"/>
    <n v="9.1122119999999995"/>
  </r>
  <r>
    <x v="2700"/>
    <n v="9.4692260000000008"/>
  </r>
  <r>
    <x v="2701"/>
    <n v="9.2456750000000003"/>
  </r>
  <r>
    <x v="2702"/>
    <n v="8.9720739999999992"/>
  </r>
  <r>
    <x v="2703"/>
    <n v="9.0488160000000004"/>
  </r>
  <r>
    <x v="2704"/>
    <n v="8.9287039999999998"/>
  </r>
  <r>
    <x v="2705"/>
    <n v="9.4959199999999999"/>
  </r>
  <r>
    <x v="2706"/>
    <n v="9.9630430000000008"/>
  </r>
  <r>
    <x v="2707"/>
    <n v="9.866282"/>
  </r>
  <r>
    <x v="2708"/>
    <n v="9.7461669999999998"/>
  </r>
  <r>
    <x v="2709"/>
    <n v="9.3958239999999993"/>
  </r>
  <r>
    <x v="2710"/>
    <n v="9.5359619999999996"/>
  </r>
  <r>
    <x v="2711"/>
    <n v="9.1188889999999994"/>
  </r>
  <r>
    <x v="2712"/>
    <n v="8.995431"/>
  </r>
  <r>
    <x v="2713"/>
    <n v="8.6717849999999999"/>
  </r>
  <r>
    <x v="2714"/>
    <n v="8.5816979999999994"/>
  </r>
  <r>
    <x v="2715"/>
    <n v="9.3691309999999994"/>
  </r>
  <r>
    <x v="2716"/>
    <n v="9.1555890000000009"/>
  </r>
  <r>
    <x v="2717"/>
    <n v="9.1889540000000007"/>
  </r>
  <r>
    <x v="2718"/>
    <n v="9.4592220000000005"/>
  </r>
  <r>
    <x v="2719"/>
    <n v="9.6060289999999995"/>
  </r>
  <r>
    <x v="2720"/>
    <n v="9.545973"/>
  </r>
  <r>
    <x v="2721"/>
    <n v="9.2156470000000006"/>
  </r>
  <r>
    <x v="2722"/>
    <n v="9.9330110000000005"/>
  </r>
  <r>
    <x v="2723"/>
    <n v="9.6060289999999995"/>
  </r>
  <r>
    <x v="2724"/>
    <n v="9.7094629999999995"/>
  </r>
  <r>
    <x v="2725"/>
    <n v="9.7628520000000005"/>
  </r>
  <r>
    <x v="2726"/>
    <n v="9.8395930000000007"/>
  </r>
  <r>
    <x v="2727"/>
    <n v="9.5759980000000002"/>
  </r>
  <r>
    <x v="2728"/>
    <n v="9.3124099999999999"/>
  </r>
  <r>
    <x v="2729"/>
    <n v="9.9797229999999999"/>
  </r>
  <r>
    <x v="2730"/>
    <n v="10.466868"/>
  </r>
  <r>
    <x v="2731"/>
    <n v="10.927314000000001"/>
  </r>
  <r>
    <x v="2732"/>
    <n v="11.791494999999999"/>
  </r>
  <r>
    <x v="2733"/>
    <n v="11.397774"/>
  </r>
  <r>
    <x v="2734"/>
    <n v="12.008372"/>
  </r>
  <r>
    <x v="2735"/>
    <n v="12.078434"/>
  </r>
  <r>
    <x v="2736"/>
    <n v="12.308662"/>
  </r>
  <r>
    <x v="2737"/>
    <n v="12.332018"/>
  </r>
  <r>
    <x v="2738"/>
    <n v="12.185212999999999"/>
  </r>
  <r>
    <x v="2739"/>
    <n v="11.808172000000001"/>
  </r>
  <r>
    <x v="2740"/>
    <n v="12.185212999999999"/>
  </r>
  <r>
    <x v="2741"/>
    <n v="11.808172000000001"/>
  </r>
  <r>
    <x v="2742"/>
    <n v="11.240956000000001"/>
  </r>
  <r>
    <x v="2743"/>
    <n v="11.224275"/>
  </r>
  <r>
    <x v="2744"/>
    <n v="11.517896"/>
  </r>
  <r>
    <x v="2745"/>
    <n v="11.901597000000001"/>
  </r>
  <r>
    <x v="2746"/>
    <n v="11.911611000000001"/>
  </r>
  <r>
    <x v="2747"/>
    <n v="11.888252"/>
  </r>
  <r>
    <x v="2748"/>
    <n v="11.961660999999999"/>
  </r>
  <r>
    <x v="2749"/>
    <n v="11.658030999999999"/>
  </r>
  <r>
    <x v="2750"/>
    <n v="11.591298999999999"/>
  </r>
  <r>
    <x v="2751"/>
    <n v="11.004059"/>
  </r>
  <r>
    <x v="2752"/>
    <n v="11.504542000000001"/>
  </r>
  <r>
    <x v="2753"/>
    <n v="11.721424000000001"/>
  </r>
  <r>
    <x v="2754"/>
    <n v="12.745756"/>
  </r>
  <r>
    <x v="2755"/>
    <n v="13.159492"/>
  </r>
  <r>
    <x v="2756"/>
    <n v="12.809150000000001"/>
  </r>
  <r>
    <x v="2757"/>
    <n v="12.348708999999999"/>
  </r>
  <r>
    <x v="2758"/>
    <n v="13.062735999999999"/>
  </r>
  <r>
    <x v="2759"/>
    <n v="13.559877999999999"/>
  </r>
  <r>
    <x v="2760"/>
    <n v="13.573233"/>
  </r>
  <r>
    <x v="2761"/>
    <n v="13.980294000000001"/>
  </r>
  <r>
    <x v="2762"/>
    <n v="13.45645"/>
  </r>
  <r>
    <x v="2763"/>
    <n v="13.916898"/>
  </r>
  <r>
    <x v="2764"/>
    <n v="13.753405000000001"/>
  </r>
  <r>
    <x v="2765"/>
    <n v="14.243881"/>
  </r>
  <r>
    <x v="2766"/>
    <n v="13.616607999999999"/>
  </r>
  <r>
    <x v="2767"/>
    <n v="13.339665999999999"/>
  </r>
  <r>
    <x v="2768"/>
    <n v="13.206208999999999"/>
  </r>
  <r>
    <x v="2769"/>
    <n v="13.840154"/>
  </r>
  <r>
    <x v="2770"/>
    <n v="13.076077"/>
  </r>
  <r>
    <x v="2771"/>
    <n v="13.216213"/>
  </r>
  <r>
    <x v="2772"/>
    <n v="13.192862"/>
  </r>
  <r>
    <x v="2773"/>
    <n v="12.849190999999999"/>
  </r>
  <r>
    <x v="2774"/>
    <n v="12.5489"/>
  </r>
  <r>
    <x v="2775"/>
    <n v="13.142808"/>
  </r>
  <r>
    <x v="2776"/>
    <n v="13.192862"/>
  </r>
  <r>
    <x v="2777"/>
    <n v="12.795801000000001"/>
  </r>
  <r>
    <x v="2778"/>
    <n v="12.558908000000001"/>
  </r>
  <r>
    <x v="2779"/>
    <n v="12.572253999999999"/>
  </r>
  <r>
    <x v="2780"/>
    <n v="13.009352"/>
  </r>
  <r>
    <x v="2781"/>
    <n v="12.832504"/>
  </r>
  <r>
    <x v="2782"/>
    <n v="12.70238"/>
  </r>
  <r>
    <x v="2783"/>
    <n v="12.435454999999999"/>
  </r>
  <r>
    <x v="2784"/>
    <n v="12.278634"/>
  </r>
  <r>
    <x v="2785"/>
    <n v="12.141833999999999"/>
  </r>
  <r>
    <x v="2786"/>
    <n v="12.392077"/>
  </r>
  <r>
    <x v="2787"/>
    <n v="11.911611000000001"/>
  </r>
  <r>
    <x v="2788"/>
    <n v="12.468819"/>
  </r>
  <r>
    <x v="2789"/>
    <n v="12.432117999999999"/>
  </r>
  <r>
    <x v="2790"/>
    <n v="12.218575"/>
  </r>
  <r>
    <x v="2791"/>
    <n v="12.905912000000001"/>
  </r>
  <r>
    <x v="2792"/>
    <n v="12.829167999999999"/>
  </r>
  <r>
    <x v="2793"/>
    <n v="12.91258"/>
  </r>
  <r>
    <x v="2794"/>
    <n v="13.119456"/>
  </r>
  <r>
    <x v="2795"/>
    <n v="12.802481999999999"/>
  </r>
  <r>
    <x v="2796"/>
    <n v="12.809150000000001"/>
  </r>
  <r>
    <x v="2797"/>
    <n v="12.278634"/>
  </r>
  <r>
    <x v="2798"/>
    <n v="12.332018"/>
  </r>
  <r>
    <x v="2799"/>
    <n v="12.241935"/>
  </r>
  <r>
    <x v="2800"/>
    <n v="12.655673"/>
  </r>
  <r>
    <x v="2801"/>
    <n v="12.278634"/>
  </r>
  <r>
    <x v="2802"/>
    <n v="12.138500000000001"/>
  </r>
  <r>
    <x v="2803"/>
    <n v="12.375392"/>
  </r>
  <r>
    <x v="2804"/>
    <n v="12.682366"/>
  </r>
  <r>
    <x v="2805"/>
    <n v="12.525541"/>
  </r>
  <r>
    <x v="2806"/>
    <n v="12.565583"/>
  </r>
  <r>
    <x v="2807"/>
    <n v="12.458815"/>
  </r>
  <r>
    <x v="2808"/>
    <n v="12.2119"/>
  </r>
  <r>
    <x v="2809"/>
    <n v="12.105127"/>
  </r>
  <r>
    <x v="2810"/>
    <n v="12.205228999999999"/>
  </r>
  <r>
    <x v="2811"/>
    <n v="12.091787"/>
  </r>
  <r>
    <x v="2812"/>
    <n v="12.552231000000001"/>
  </r>
  <r>
    <x v="2813"/>
    <n v="12.562244"/>
  </r>
  <r>
    <x v="2814"/>
    <n v="12.198556999999999"/>
  </r>
  <r>
    <x v="2815"/>
    <n v="11.314361"/>
  </r>
  <r>
    <x v="2816"/>
    <n v="11.57795"/>
  </r>
  <r>
    <x v="2817"/>
    <n v="11.808172000000001"/>
  </r>
  <r>
    <x v="2818"/>
    <n v="11.858223000000001"/>
  </r>
  <r>
    <x v="2819"/>
    <n v="11.57795"/>
  </r>
  <r>
    <x v="2820"/>
    <n v="11.751457"/>
  </r>
  <r>
    <x v="2821"/>
    <n v="11.738106999999999"/>
  </r>
  <r>
    <x v="2822"/>
    <n v="11.601308"/>
  </r>
  <r>
    <x v="2823"/>
    <n v="11.167551"/>
  </r>
  <r>
    <x v="2824"/>
    <n v="11.417799"/>
  </r>
  <r>
    <x v="2825"/>
    <n v="11.537917"/>
  </r>
  <r>
    <x v="2826"/>
    <n v="11.347728"/>
  </r>
  <r>
    <x v="2827"/>
    <n v="11.494532"/>
  </r>
  <r>
    <x v="2828"/>
    <n v="11.841538999999999"/>
  </r>
  <r>
    <x v="2829"/>
    <n v="11.671373000000001"/>
  </r>
  <r>
    <x v="2830"/>
    <n v="11.738106999999999"/>
  </r>
  <r>
    <x v="2831"/>
    <n v="11.424465"/>
  </r>
  <r>
    <x v="2832"/>
    <n v="11.521228000000001"/>
  </r>
  <r>
    <x v="2833"/>
    <n v="11.73508"/>
  </r>
  <r>
    <x v="2834"/>
    <n v="12.593826999999999"/>
  </r>
  <r>
    <x v="2835"/>
    <n v="12.523655"/>
  </r>
  <r>
    <x v="2836"/>
    <n v="13.038233"/>
  </r>
  <r>
    <x v="2837"/>
    <n v="13.115087000000001"/>
  </r>
  <r>
    <x v="2838"/>
    <n v="13.071657"/>
  </r>
  <r>
    <x v="2839"/>
    <n v="12.901239"/>
  </r>
  <r>
    <x v="2840"/>
    <n v="13.101727"/>
  </r>
  <r>
    <x v="2841"/>
    <n v="12.737507000000001"/>
  </r>
  <r>
    <x v="2842"/>
    <n v="12.951364"/>
  </r>
  <r>
    <x v="2843"/>
    <n v="12.841094"/>
  </r>
  <r>
    <x v="2844"/>
    <n v="12.563751"/>
  </r>
  <r>
    <x v="2845"/>
    <n v="12.530343"/>
  </r>
  <r>
    <x v="2846"/>
    <n v="12.029123"/>
  </r>
  <r>
    <x v="2847"/>
    <n v="12.012419"/>
  </r>
  <r>
    <x v="2848"/>
    <n v="11.420987"/>
  </r>
  <r>
    <x v="2849"/>
    <n v="11.467762"/>
  </r>
  <r>
    <x v="2850"/>
    <n v="11.457744"/>
  </r>
  <r>
    <x v="2851"/>
    <n v="11.424326000000001"/>
  </r>
  <r>
    <x v="2852"/>
    <n v="10.826212999999999"/>
  </r>
  <r>
    <x v="2853"/>
    <n v="10.766067"/>
  </r>
  <r>
    <x v="2854"/>
    <n v="10.796137999999999"/>
  </r>
  <r>
    <x v="2855"/>
    <n v="10.652461000000001"/>
  </r>
  <r>
    <x v="2856"/>
    <n v="11.046746000000001"/>
  </r>
  <r>
    <x v="2857"/>
    <n v="11.053431"/>
  </r>
  <r>
    <x v="2858"/>
    <n v="10.93314"/>
  </r>
  <r>
    <x v="2859"/>
    <n v="11.006644"/>
  </r>
  <r>
    <x v="2860"/>
    <n v="10.986599"/>
  </r>
  <r>
    <x v="2861"/>
    <n v="11.096867"/>
  </r>
  <r>
    <x v="2862"/>
    <n v="11.020016999999999"/>
  </r>
  <r>
    <x v="2863"/>
    <n v="10.903065"/>
  </r>
  <r>
    <x v="2864"/>
    <n v="10.398514"/>
  </r>
  <r>
    <x v="2865"/>
    <n v="10.378458"/>
  </r>
  <r>
    <x v="2866"/>
    <n v="10.655802"/>
  </r>
  <r>
    <x v="2867"/>
    <n v="10.652461000000001"/>
  </r>
  <r>
    <x v="2868"/>
    <n v="10.762726000000001"/>
  </r>
  <r>
    <x v="2869"/>
    <n v="10.729316000000001"/>
  </r>
  <r>
    <x v="2870"/>
    <n v="10.852943"/>
  </r>
  <r>
    <x v="2871"/>
    <n v="10.969894"/>
  </r>
  <r>
    <x v="2872"/>
    <n v="10.672508000000001"/>
  </r>
  <r>
    <x v="2873"/>
    <n v="10.154588"/>
  </r>
  <r>
    <x v="2874"/>
    <n v="10.395168999999999"/>
  </r>
  <r>
    <x v="2875"/>
    <n v="10.398514"/>
  </r>
  <r>
    <x v="2876"/>
    <n v="10.482049999999999"/>
  </r>
  <r>
    <x v="2877"/>
    <n v="10.304952"/>
  </r>
  <r>
    <x v="2878"/>
    <n v="10.101127"/>
  </r>
  <r>
    <x v="2879"/>
    <n v="10.124516"/>
  </r>
  <r>
    <x v="2880"/>
    <n v="10.114490999999999"/>
  </r>
  <r>
    <x v="2881"/>
    <n v="10.345048999999999"/>
  </r>
  <r>
    <x v="2882"/>
    <n v="10.485389"/>
  </r>
  <r>
    <x v="2883"/>
    <n v="10.475360999999999"/>
  </r>
  <r>
    <x v="2884"/>
    <n v="10.325002"/>
  </r>
  <r>
    <x v="2885"/>
    <n v="10.615705"/>
  </r>
  <r>
    <x v="2886"/>
    <n v="10.505262999999999"/>
  </r>
  <r>
    <x v="2887"/>
    <n v="10.876746000000001"/>
  </r>
  <r>
    <x v="2888"/>
    <n v="11.228147"/>
  </r>
  <r>
    <x v="2889"/>
    <n v="11.161213"/>
  </r>
  <r>
    <x v="2890"/>
    <n v="11.606325"/>
  </r>
  <r>
    <x v="2891"/>
    <n v="11.613020000000001"/>
  </r>
  <r>
    <x v="2892"/>
    <n v="11.679948"/>
  </r>
  <r>
    <x v="2893"/>
    <n v="11.228147"/>
  </r>
  <r>
    <x v="2894"/>
    <n v="11.111015"/>
  </r>
  <r>
    <x v="2895"/>
    <n v="11.254922000000001"/>
  </r>
  <r>
    <x v="2896"/>
    <n v="11.251576"/>
  </r>
  <r>
    <x v="2897"/>
    <n v="11.241535000000001"/>
  </r>
  <r>
    <x v="2898"/>
    <n v="11.040732"/>
  </r>
  <r>
    <x v="2899"/>
    <n v="11.271656"/>
  </r>
  <r>
    <x v="2900"/>
    <n v="11.301776"/>
  </r>
  <r>
    <x v="2901"/>
    <n v="11.94434"/>
  </r>
  <r>
    <x v="2902"/>
    <n v="12.355981"/>
  </r>
  <r>
    <x v="2903"/>
    <n v="12.198691"/>
  </r>
  <r>
    <x v="2904"/>
    <n v="12.048086"/>
  </r>
  <r>
    <x v="2905"/>
    <n v="11.984500000000001"/>
  </r>
  <r>
    <x v="2906"/>
    <n v="11.820512000000001"/>
  </r>
  <r>
    <x v="2907"/>
    <n v="12.191991"/>
  </r>
  <r>
    <x v="2908"/>
    <n v="12.051435"/>
  </r>
  <r>
    <x v="2909"/>
    <n v="12.028005"/>
  </r>
  <r>
    <x v="2910"/>
    <n v="12.061481000000001"/>
  </r>
  <r>
    <x v="2911"/>
    <n v="12.630409"/>
  </r>
  <r>
    <x v="2912"/>
    <n v="12.536701000000001"/>
  </r>
  <r>
    <x v="2913"/>
    <n v="13.346605"/>
  </r>
  <r>
    <x v="2914"/>
    <n v="13.21608"/>
  </r>
  <r>
    <x v="2915"/>
    <n v="13.085556"/>
  </r>
  <r>
    <x v="2916"/>
    <n v="12.77097"/>
  </r>
  <r>
    <x v="2917"/>
    <n v="12.931611"/>
  </r>
  <r>
    <x v="2918"/>
    <n v="12.841253999999999"/>
  </r>
  <r>
    <x v="2919"/>
    <n v="12.650492"/>
  </r>
  <r>
    <x v="2920"/>
    <n v="12.489848"/>
  </r>
  <r>
    <x v="2921"/>
    <n v="11.94434"/>
  </r>
  <r>
    <x v="2922"/>
    <n v="11.877405"/>
  </r>
  <r>
    <x v="2923"/>
    <n v="11.71007"/>
  </r>
  <r>
    <x v="2924"/>
    <n v="12.128408"/>
  </r>
  <r>
    <x v="2925"/>
    <n v="12.131755999999999"/>
  </r>
  <r>
    <x v="2926"/>
    <n v="12.453042"/>
  </r>
  <r>
    <x v="2927"/>
    <n v="12.667221"/>
  </r>
  <r>
    <x v="2928"/>
    <n v="12.924917000000001"/>
  </r>
  <r>
    <x v="2929"/>
    <n v="12.760927000000001"/>
  </r>
  <r>
    <x v="2930"/>
    <n v="12.496549999999999"/>
  </r>
  <r>
    <x v="2931"/>
    <n v="12.543397000000001"/>
  </r>
  <r>
    <x v="2932"/>
    <n v="12.215419000000001"/>
  </r>
  <r>
    <x v="2933"/>
    <n v="12.509930000000001"/>
  </r>
  <r>
    <x v="2934"/>
    <n v="12.054779"/>
  </r>
  <r>
    <x v="2935"/>
    <n v="12.205382999999999"/>
  </r>
  <r>
    <x v="2936"/>
    <n v="12.185298"/>
  </r>
  <r>
    <x v="2937"/>
    <n v="11.833897"/>
  </r>
  <r>
    <x v="2938"/>
    <n v="12.007928"/>
  </r>
  <r>
    <x v="2939"/>
    <n v="12.302441"/>
  </r>
  <r>
    <x v="2940"/>
    <n v="12.660527999999999"/>
  </r>
  <r>
    <x v="2941"/>
    <n v="12.844599000000001"/>
  </r>
  <r>
    <x v="2942"/>
    <n v="12.837908000000001"/>
  </r>
  <r>
    <x v="2943"/>
    <n v="13.088907000000001"/>
  </r>
  <r>
    <x v="2944"/>
    <n v="12.944998"/>
  </r>
  <r>
    <x v="2945"/>
    <n v="12.931611"/>
  </r>
  <r>
    <x v="2946"/>
    <n v="12.931611"/>
  </r>
  <r>
    <x v="2947"/>
    <n v="13.008588"/>
  </r>
  <r>
    <x v="2948"/>
    <n v="13.045400000000001"/>
  </r>
  <r>
    <x v="2949"/>
    <n v="13.252894"/>
  </r>
  <r>
    <x v="2950"/>
    <n v="13.745734000000001"/>
  </r>
  <r>
    <x v="2951"/>
    <n v="13.735673999999999"/>
  </r>
  <r>
    <x v="2952"/>
    <n v="13.856368"/>
  </r>
  <r>
    <x v="2953"/>
    <n v="13.816133000000001"/>
  </r>
  <r>
    <x v="2954"/>
    <n v="13.534514"/>
  </r>
  <r>
    <x v="2955"/>
    <n v="13.779256"/>
  </r>
  <r>
    <x v="2956"/>
    <n v="13.816133000000001"/>
  </r>
  <r>
    <x v="2957"/>
    <n v="14.241918999999999"/>
  </r>
  <r>
    <x v="2958"/>
    <n v="14.020644000000001"/>
  </r>
  <r>
    <x v="2959"/>
    <n v="13.618333"/>
  </r>
  <r>
    <x v="2960"/>
    <n v="13.745734000000001"/>
  </r>
  <r>
    <x v="2961"/>
    <n v="14.355904000000001"/>
  </r>
  <r>
    <x v="2962"/>
    <n v="14.567125000000001"/>
  </r>
  <r>
    <x v="2963"/>
    <n v="15.049894"/>
  </r>
  <r>
    <x v="2964"/>
    <n v="14.83198"/>
  </r>
  <r>
    <x v="2965"/>
    <n v="15.331512999999999"/>
  </r>
  <r>
    <x v="2966"/>
    <n v="15.103541"/>
  </r>
  <r>
    <x v="2967"/>
    <n v="14.959383000000001"/>
  </r>
  <r>
    <x v="2968"/>
    <n v="15.013019999999999"/>
  </r>
  <r>
    <x v="2969"/>
    <n v="14.590591999999999"/>
  </r>
  <r>
    <x v="2970"/>
    <n v="14.379371000000001"/>
  </r>
  <r>
    <x v="2971"/>
    <n v="13.963649999999999"/>
  </r>
  <r>
    <x v="2972"/>
    <n v="14.530243"/>
  </r>
  <r>
    <x v="2973"/>
    <n v="13.970357999999999"/>
  </r>
  <r>
    <x v="2974"/>
    <n v="14.198333999999999"/>
  </r>
  <r>
    <x v="2975"/>
    <n v="14.412896999999999"/>
  </r>
  <r>
    <x v="2976"/>
    <n v="14.748173"/>
  </r>
  <r>
    <x v="2977"/>
    <n v="14.728049"/>
  </r>
  <r>
    <x v="2978"/>
    <n v="14.671055000000001"/>
  </r>
  <r>
    <x v="2979"/>
    <n v="14.500069"/>
  </r>
  <r>
    <x v="2980"/>
    <n v="14.637522000000001"/>
  </r>
  <r>
    <x v="2981"/>
    <n v="14.855446000000001"/>
  </r>
  <r>
    <x v="2982"/>
    <n v="15.059958"/>
  </r>
  <r>
    <x v="2983"/>
    <n v="14.952667999999999"/>
  </r>
  <r>
    <x v="2984"/>
    <n v="14.791748999999999"/>
  </r>
  <r>
    <x v="2985"/>
    <n v="15.043193"/>
  </r>
  <r>
    <x v="2986"/>
    <n v="14.503424000000001"/>
  </r>
  <r>
    <x v="2987"/>
    <n v="14.919141"/>
  </r>
  <r>
    <x v="2988"/>
    <n v="15.197419999999999"/>
  </r>
  <r>
    <x v="2989"/>
    <n v="14.754873999999999"/>
  </r>
  <r>
    <x v="2990"/>
    <n v="14.707933000000001"/>
  </r>
  <r>
    <x v="2991"/>
    <n v="14.818565"/>
  </r>
  <r>
    <x v="2992"/>
    <n v="14.83198"/>
  </r>
  <r>
    <x v="2993"/>
    <n v="15.757299"/>
  </r>
  <r>
    <x v="2994"/>
    <n v="15.931637"/>
  </r>
  <r>
    <x v="2995"/>
    <n v="16.099267999999999"/>
  </r>
  <r>
    <x v="2996"/>
    <n v="15.921576"/>
  </r>
  <r>
    <x v="2997"/>
    <n v="16.176380000000002"/>
  </r>
  <r>
    <x v="2998"/>
    <n v="15.86458"/>
  </r>
  <r>
    <x v="2999"/>
    <n v="15.619847999999999"/>
  </r>
  <r>
    <x v="3000"/>
    <n v="15.643316"/>
  </r>
  <r>
    <x v="3001"/>
    <n v="16.105979999999999"/>
  </r>
  <r>
    <x v="3002"/>
    <n v="15.660078"/>
  </r>
  <r>
    <x v="3003"/>
    <n v="15.562848000000001"/>
  </r>
  <r>
    <x v="3004"/>
    <n v="16.028860000000002"/>
  </r>
  <r>
    <x v="3005"/>
    <n v="15.991979000000001"/>
  </r>
  <r>
    <x v="3006"/>
    <n v="15.891401"/>
  </r>
  <r>
    <x v="3007"/>
    <n v="15.66343"/>
  </r>
  <r>
    <x v="3008"/>
    <n v="15.230943"/>
  </r>
  <r>
    <x v="3009"/>
    <n v="15.432093999999999"/>
  </r>
  <r>
    <x v="3010"/>
    <n v="15.009665"/>
  </r>
  <r>
    <x v="3011"/>
    <n v="14.724696"/>
  </r>
  <r>
    <x v="3012"/>
    <n v="15.150480999999999"/>
  </r>
  <r>
    <x v="3013"/>
    <n v="15.304938999999999"/>
  </r>
  <r>
    <x v="3014"/>
    <n v="14.928858999999999"/>
  </r>
  <r>
    <x v="3015"/>
    <n v="14.959070000000001"/>
  </r>
  <r>
    <x v="3016"/>
    <n v="15.311653"/>
  </r>
  <r>
    <x v="3017"/>
    <n v="15.076601999999999"/>
  </r>
  <r>
    <x v="3018"/>
    <n v="14.932216"/>
  </r>
  <r>
    <x v="3019"/>
    <n v="16.486889000000001"/>
  </r>
  <r>
    <x v="3020"/>
    <n v="16.614491000000001"/>
  </r>
  <r>
    <x v="3021"/>
    <n v="16.527182"/>
  </r>
  <r>
    <x v="3022"/>
    <n v="16.265280000000001"/>
  </r>
  <r>
    <x v="3023"/>
    <n v="16.36936"/>
  </r>
  <r>
    <x v="3024"/>
    <n v="16.836099999999998"/>
  </r>
  <r>
    <x v="3025"/>
    <n v="17.124876"/>
  </r>
  <r>
    <x v="3026"/>
    <n v="16.812597"/>
  </r>
  <r>
    <x v="3027"/>
    <n v="16.718582000000001"/>
  </r>
  <r>
    <x v="3028"/>
    <n v="16.560759999999998"/>
  </r>
  <r>
    <x v="3029"/>
    <n v="17.286045000000001"/>
  </r>
  <r>
    <x v="3030"/>
    <n v="17.134948999999999"/>
  </r>
  <r>
    <x v="3031"/>
    <n v="17.544601"/>
  </r>
  <r>
    <x v="3032"/>
    <n v="17.971045"/>
  </r>
  <r>
    <x v="3033"/>
    <n v="17.742716000000001"/>
  </r>
  <r>
    <x v="3034"/>
    <n v="17.806501000000001"/>
  </r>
  <r>
    <x v="3035"/>
    <n v="18.407553"/>
  </r>
  <r>
    <x v="3036"/>
    <n v="18.259820999999999"/>
  </r>
  <r>
    <x v="3037"/>
    <n v="18.108719000000001"/>
  </r>
  <r>
    <x v="3038"/>
    <n v="18.004622000000001"/>
  </r>
  <r>
    <x v="3039"/>
    <n v="18.384058"/>
  </r>
  <r>
    <x v="3040"/>
    <n v="18.209447999999998"/>
  </r>
  <r>
    <x v="3041"/>
    <n v="18.723198"/>
  </r>
  <r>
    <x v="3042"/>
    <n v="19.794333999999999"/>
  </r>
  <r>
    <x v="3043"/>
    <n v="19.801055999999999"/>
  </r>
  <r>
    <x v="3044"/>
    <n v="20.177126000000001"/>
  </r>
  <r>
    <x v="3045"/>
    <n v="19.958876"/>
  </r>
  <r>
    <x v="3046"/>
    <n v="20.183847"/>
  </r>
  <r>
    <x v="3047"/>
    <n v="20.120047"/>
  </r>
  <r>
    <x v="3048"/>
    <n v="20.036100000000001"/>
  </r>
  <r>
    <x v="3049"/>
    <n v="19.770835999999999"/>
  </r>
  <r>
    <x v="3050"/>
    <n v="19.733902"/>
  </r>
  <r>
    <x v="3051"/>
    <n v="19.176494999999999"/>
  </r>
  <r>
    <x v="3052"/>
    <n v="19.116060000000001"/>
  </r>
  <r>
    <x v="3053"/>
    <n v="19.626448"/>
  </r>
  <r>
    <x v="3054"/>
    <n v="19.173138000000002"/>
  </r>
  <r>
    <x v="3055"/>
    <n v="18.991816"/>
  </r>
  <r>
    <x v="3056"/>
    <n v="19.320885000000001"/>
  </r>
  <r>
    <x v="3057"/>
    <n v="19.680178000000002"/>
  </r>
  <r>
    <x v="3058"/>
    <n v="19.327605999999999"/>
  </r>
  <r>
    <x v="3059"/>
    <n v="19.287307999999999"/>
  </r>
  <r>
    <x v="3060"/>
    <n v="18.934740000000001"/>
  </r>
  <r>
    <x v="3061"/>
    <n v="19.092554"/>
  </r>
  <r>
    <x v="3062"/>
    <n v="19.371262000000002"/>
  </r>
  <r>
    <x v="3063"/>
    <n v="19.193300000000001"/>
  </r>
  <r>
    <x v="3064"/>
    <n v="19.505568"/>
  </r>
  <r>
    <x v="3065"/>
    <n v="19.938732000000002"/>
  </r>
  <r>
    <x v="3066"/>
    <n v="19.683530999999999"/>
  </r>
  <r>
    <x v="3067"/>
    <n v="19.371262000000002"/>
  </r>
  <r>
    <x v="3068"/>
    <n v="19.995809999999999"/>
  </r>
  <r>
    <x v="3069"/>
    <n v="19.831274000000001"/>
  </r>
  <r>
    <x v="3070"/>
    <n v="19.740615999999999"/>
  </r>
  <r>
    <x v="3071"/>
    <n v="19.945442"/>
  </r>
  <r>
    <x v="3072"/>
    <n v="20.962862000000001"/>
  </r>
  <r>
    <x v="3073"/>
    <n v="20.509561999999999"/>
  </r>
  <r>
    <x v="3074"/>
    <n v="20.869263"/>
  </r>
  <r>
    <x v="3075"/>
    <n v="21.413838999999999"/>
  </r>
  <r>
    <x v="3076"/>
    <n v="21.208786"/>
  </r>
  <r>
    <x v="3077"/>
    <n v="21.094487999999998"/>
  </r>
  <r>
    <x v="3078"/>
    <n v="20.845721999999999"/>
  </r>
  <r>
    <x v="3079"/>
    <n v="20.761679000000001"/>
  </r>
  <r>
    <x v="3080"/>
    <n v="21.03397"/>
  </r>
  <r>
    <x v="3081"/>
    <n v="21.474357999999999"/>
  </r>
  <r>
    <x v="3082"/>
    <n v="21.386963000000002"/>
  </r>
  <r>
    <x v="3083"/>
    <n v="21.430647"/>
  </r>
  <r>
    <x v="3084"/>
    <n v="21.346609000000001"/>
  </r>
  <r>
    <x v="3085"/>
    <n v="20.768405999999999"/>
  </r>
  <r>
    <x v="3086"/>
    <n v="21.185248999999999"/>
  </r>
  <r>
    <x v="3087"/>
    <n v="21.118013000000001"/>
  </r>
  <r>
    <x v="3088"/>
    <n v="21.558396999999999"/>
  </r>
  <r>
    <x v="3089"/>
    <n v="21.756737000000001"/>
  </r>
  <r>
    <x v="3090"/>
    <n v="21.793709"/>
  </r>
  <r>
    <x v="3091"/>
    <n v="21.635715000000001"/>
  </r>
  <r>
    <x v="3092"/>
    <n v="20.946573000000001"/>
  </r>
  <r>
    <x v="3093"/>
    <n v="20.704526999999999"/>
  </r>
  <r>
    <x v="3094"/>
    <n v="20.912951"/>
  </r>
  <r>
    <x v="3095"/>
    <n v="21.151631999999999"/>
  </r>
  <r>
    <x v="3096"/>
    <n v="20.761679000000001"/>
  </r>
  <r>
    <x v="3097"/>
    <n v="22.055923"/>
  </r>
  <r>
    <x v="3098"/>
    <n v="22.045843000000001"/>
  </r>
  <r>
    <x v="3099"/>
    <n v="22.284521000000002"/>
  </r>
  <r>
    <x v="3100"/>
    <n v="22.284521000000002"/>
  </r>
  <r>
    <x v="3101"/>
    <n v="22.936675999999999"/>
  </r>
  <r>
    <x v="3102"/>
    <n v="23.259402999999999"/>
  </r>
  <r>
    <x v="3103"/>
    <n v="22.963577000000001"/>
  </r>
  <r>
    <x v="3104"/>
    <n v="23.010632999999999"/>
  </r>
  <r>
    <x v="3105"/>
    <n v="22.650942000000001"/>
  </r>
  <r>
    <x v="3106"/>
    <n v="22.913150999999999"/>
  </r>
  <r>
    <x v="3107"/>
    <n v="22.573613999999999"/>
  </r>
  <r>
    <x v="3108"/>
    <n v="22.637497"/>
  </r>
  <r>
    <x v="3109"/>
    <n v="22.200475999999998"/>
  </r>
  <r>
    <x v="3110"/>
    <n v="21.803802000000001"/>
  </r>
  <r>
    <x v="3111"/>
    <n v="22.385368"/>
  </r>
  <r>
    <x v="3112"/>
    <n v="21.659248000000002"/>
  </r>
  <r>
    <x v="3113"/>
    <n v="22.133241999999999"/>
  </r>
  <r>
    <x v="3114"/>
    <n v="22.819023000000001"/>
  </r>
  <r>
    <x v="3115"/>
    <n v="22.516476000000001"/>
  </r>
  <r>
    <x v="3116"/>
    <n v="22.237449999999999"/>
  </r>
  <r>
    <x v="3117"/>
    <n v="22.123159000000001"/>
  </r>
  <r>
    <x v="3118"/>
    <n v="21.887836"/>
  </r>
  <r>
    <x v="3119"/>
    <n v="21.652526999999999"/>
  </r>
  <r>
    <x v="3120"/>
    <n v="20.997"/>
  </r>
  <r>
    <x v="3121"/>
    <n v="21.507973"/>
  </r>
  <r>
    <x v="3122"/>
    <n v="21.7332"/>
  </r>
  <r>
    <x v="3123"/>
    <n v="21.854225"/>
  </r>
  <r>
    <x v="3124"/>
    <n v="21.484435999999999"/>
  </r>
  <r>
    <x v="3125"/>
    <n v="21.262568999999999"/>
  </r>
  <r>
    <x v="3126"/>
    <n v="21.390308000000001"/>
  </r>
  <r>
    <x v="3127"/>
    <n v="21.756737000000001"/>
  </r>
  <r>
    <x v="3128"/>
    <n v="21.481072999999999"/>
  </r>
  <r>
    <x v="3129"/>
    <n v="21.672688999999998"/>
  </r>
  <r>
    <x v="3130"/>
    <n v="21.397037999999998"/>
  </r>
  <r>
    <x v="3131"/>
    <n v="21.030616999999999"/>
  </r>
  <r>
    <x v="3132"/>
    <n v="21.521414"/>
  </r>
  <r>
    <x v="3133"/>
    <n v="21.366785"/>
  </r>
  <r>
    <x v="3134"/>
    <n v="21.581923"/>
  </r>
  <r>
    <x v="3135"/>
    <n v="21.985325"/>
  </r>
  <r>
    <x v="3136"/>
    <n v="22.035761000000001"/>
  </r>
  <r>
    <x v="3137"/>
    <n v="22.489585999999999"/>
  </r>
  <r>
    <x v="3138"/>
    <n v="22.412146"/>
  </r>
  <r>
    <x v="3139"/>
    <n v="22.489584000000001"/>
  </r>
  <r>
    <x v="3140"/>
    <n v="22.580475"/>
  </r>
  <r>
    <x v="3141"/>
    <n v="22.910420999999999"/>
  </r>
  <r>
    <x v="3142"/>
    <n v="22.886849999999999"/>
  </r>
  <r>
    <x v="3143"/>
    <n v="22.772376999999999"/>
  </r>
  <r>
    <x v="3144"/>
    <n v="22.651178000000002"/>
  </r>
  <r>
    <x v="3145"/>
    <n v="23.122515"/>
  </r>
  <r>
    <x v="3146"/>
    <n v="23.348089000000002"/>
  </r>
  <r>
    <x v="3147"/>
    <n v="23.048446999999999"/>
  </r>
  <r>
    <x v="3148"/>
    <n v="23.519788999999999"/>
  </r>
  <r>
    <x v="3149"/>
    <n v="23.135995999999999"/>
  </r>
  <r>
    <x v="3150"/>
    <n v="23.364930999999999"/>
  </r>
  <r>
    <x v="3151"/>
    <n v="23.146082"/>
  </r>
  <r>
    <x v="3152"/>
    <n v="22.977743"/>
  </r>
  <r>
    <x v="3153"/>
    <n v="22.385214000000001"/>
  </r>
  <r>
    <x v="3154"/>
    <n v="22.048544"/>
  </r>
  <r>
    <x v="3155"/>
    <n v="22.876749"/>
  </r>
  <r>
    <x v="3156"/>
    <n v="22.859908999999998"/>
  </r>
  <r>
    <x v="3157"/>
    <n v="23.122515"/>
  </r>
  <r>
    <x v="3158"/>
    <n v="23.257189"/>
  </r>
  <r>
    <x v="3159"/>
    <n v="23.119152"/>
  </r>
  <r>
    <x v="3160"/>
    <n v="24.088774000000001"/>
  </r>
  <r>
    <x v="3161"/>
    <n v="24.570198000000001"/>
  </r>
  <r>
    <x v="3162"/>
    <n v="24.257100999999999"/>
  </r>
  <r>
    <x v="3163"/>
    <n v="24.331157999999999"/>
  </r>
  <r>
    <x v="3164"/>
    <n v="23.762203"/>
  </r>
  <r>
    <x v="3165"/>
    <n v="24.065197000000001"/>
  </r>
  <r>
    <x v="3166"/>
    <n v="23.785761000000001"/>
  </r>
  <r>
    <x v="3167"/>
    <n v="23.755455000000001"/>
  </r>
  <r>
    <x v="3168"/>
    <n v="23.38175"/>
  </r>
  <r>
    <x v="3169"/>
    <n v="23.657829"/>
  </r>
  <r>
    <x v="3170"/>
    <n v="23.442364000000001"/>
  </r>
  <r>
    <x v="3171"/>
    <n v="23.189841999999999"/>
  </r>
  <r>
    <x v="3172"/>
    <n v="22.987856000000001"/>
  </r>
  <r>
    <x v="3173"/>
    <n v="22.950818999999999"/>
  </r>
  <r>
    <x v="3174"/>
    <n v="23.408688000000001"/>
  </r>
  <r>
    <x v="3175"/>
    <n v="22.785843"/>
  </r>
  <r>
    <x v="3176"/>
    <n v="24.408591999999999"/>
  </r>
  <r>
    <x v="3177"/>
    <n v="23.86993"/>
  </r>
  <r>
    <x v="3178"/>
    <n v="23.735254000000001"/>
  </r>
  <r>
    <x v="3179"/>
    <n v="23.711689"/>
  </r>
  <r>
    <x v="3180"/>
    <n v="23.587122000000001"/>
  </r>
  <r>
    <x v="3181"/>
    <n v="23.566927"/>
  </r>
  <r>
    <x v="3182"/>
    <n v="23.300948999999999"/>
  </r>
  <r>
    <x v="3183"/>
    <n v="24.260469000000001"/>
  </r>
  <r>
    <x v="3184"/>
    <n v="23.893491999999998"/>
  </r>
  <r>
    <x v="3185"/>
    <n v="24.00123"/>
  </r>
  <r>
    <x v="3186"/>
    <n v="23.482755999999998"/>
  </r>
  <r>
    <x v="3187"/>
    <n v="22.742084999999999"/>
  </r>
  <r>
    <x v="3188"/>
    <n v="23.112414999999999"/>
  </r>
  <r>
    <x v="3189"/>
    <n v="23.459192000000002"/>
  </r>
  <r>
    <x v="3190"/>
    <n v="23.068653000000001"/>
  </r>
  <r>
    <x v="3191"/>
    <n v="23.290856999999999"/>
  </r>
  <r>
    <x v="3192"/>
    <n v="23.287483000000002"/>
  </r>
  <r>
    <x v="3193"/>
    <n v="23.513058000000001"/>
  </r>
  <r>
    <x v="3194"/>
    <n v="23.539988999999998"/>
  </r>
  <r>
    <x v="3195"/>
    <n v="24.253729"/>
  </r>
  <r>
    <x v="3196"/>
    <n v="23.910326000000001"/>
  </r>
  <r>
    <x v="3197"/>
    <n v="25.048271"/>
  </r>
  <r>
    <x v="3198"/>
    <n v="25.566745999999998"/>
  </r>
  <r>
    <x v="3199"/>
    <n v="25.593679000000002"/>
  </r>
  <r>
    <x v="3200"/>
    <n v="25.850023"/>
  </r>
  <r>
    <x v="3201"/>
    <n v="25.586936999999999"/>
  </r>
  <r>
    <x v="3202"/>
    <n v="25.924223000000001"/>
  </r>
  <r>
    <x v="3203"/>
    <n v="25.438526"/>
  </r>
  <r>
    <x v="3204"/>
    <n v="25.667878999999999"/>
  </r>
  <r>
    <x v="3205"/>
    <n v="25.627403000000001"/>
  </r>
  <r>
    <x v="3206"/>
    <n v="26.187304999999999"/>
  </r>
  <r>
    <x v="3207"/>
    <n v="25.964693"/>
  </r>
  <r>
    <x v="3208"/>
    <n v="26.531352999999999"/>
  </r>
  <r>
    <x v="3209"/>
    <n v="26.652774999999998"/>
  </r>
  <r>
    <x v="3210"/>
    <n v="26.747219000000001"/>
  </r>
  <r>
    <x v="3211"/>
    <n v="26.639282000000001"/>
  </r>
  <r>
    <x v="3212"/>
    <n v="27.253149000000001"/>
  </r>
  <r>
    <x v="3213"/>
    <n v="27.590451999999999"/>
  </r>
  <r>
    <x v="3214"/>
    <n v="27.367826000000001"/>
  </r>
  <r>
    <x v="3215"/>
    <n v="27.253149000000001"/>
  </r>
  <r>
    <x v="3216"/>
    <n v="26.194051999999999"/>
  </r>
  <r>
    <x v="3217"/>
    <n v="25.917475"/>
  </r>
  <r>
    <x v="3218"/>
    <n v="26.612307000000001"/>
  </r>
  <r>
    <x v="3219"/>
    <n v="26.092865"/>
  </r>
  <r>
    <x v="3220"/>
    <n v="26.119855999999999"/>
  </r>
  <r>
    <x v="3221"/>
    <n v="25.802809"/>
  </r>
  <r>
    <x v="3222"/>
    <n v="25.640903000000002"/>
  </r>
  <r>
    <x v="3223"/>
    <n v="25.694876000000001"/>
  </r>
  <r>
    <x v="3224"/>
    <n v="26.275003000000002"/>
  </r>
  <r>
    <x v="3225"/>
    <n v="26.335726000000001"/>
  </r>
  <r>
    <x v="3226"/>
    <n v="27.286881999999999"/>
  </r>
  <r>
    <x v="3227"/>
    <n v="27.637675999999999"/>
  </r>
  <r>
    <x v="3228"/>
    <n v="27.786069999999999"/>
  </r>
  <r>
    <x v="3229"/>
    <n v="28.211058000000001"/>
  </r>
  <r>
    <x v="3230"/>
    <n v="27.914238000000001"/>
  </r>
  <r>
    <x v="3231"/>
    <n v="27.603936999999998"/>
  </r>
  <r>
    <x v="3232"/>
    <n v="27.799558999999999"/>
  </r>
  <r>
    <x v="3233"/>
    <n v="28.022179000000001"/>
  </r>
  <r>
    <x v="3234"/>
    <n v="28.028922999999999"/>
  </r>
  <r>
    <x v="3235"/>
    <n v="28.440414000000001"/>
  </r>
  <r>
    <x v="3236"/>
    <n v="28.649547999999999"/>
  </r>
  <r>
    <x v="3237"/>
    <n v="29.411818"/>
  </r>
  <r>
    <x v="3238"/>
    <n v="28.872157999999999"/>
  </r>
  <r>
    <x v="3239"/>
    <n v="29.283649"/>
  </r>
  <r>
    <x v="3240"/>
    <n v="29.73563"/>
  </r>
  <r>
    <x v="3241"/>
    <n v="28.332484999999998"/>
  </r>
  <r>
    <x v="3242"/>
    <n v="27.752348000000001"/>
  </r>
  <r>
    <x v="3243"/>
    <n v="26.646023"/>
  </r>
  <r>
    <x v="3244"/>
    <n v="27.671396000000001"/>
  </r>
  <r>
    <x v="3245"/>
    <n v="27.988453"/>
  </r>
  <r>
    <x v="3246"/>
    <n v="28.062640999999999"/>
  </r>
  <r>
    <x v="3247"/>
    <n v="27.361098999999999"/>
  </r>
  <r>
    <x v="3248"/>
    <n v="27.576951999999999"/>
  </r>
  <r>
    <x v="3249"/>
    <n v="26.895621999999999"/>
  </r>
  <r>
    <x v="3250"/>
    <n v="25.681377000000001"/>
  </r>
  <r>
    <x v="3251"/>
    <n v="25.816282000000001"/>
  </r>
  <r>
    <x v="3252"/>
    <n v="26.079376"/>
  </r>
  <r>
    <x v="3253"/>
    <n v="26.308745999999999"/>
  </r>
  <r>
    <x v="3254"/>
    <n v="26.200809"/>
  </r>
  <r>
    <x v="3255"/>
    <n v="27.044036999999999"/>
  </r>
  <r>
    <x v="3256"/>
    <n v="27.118237000000001"/>
  </r>
  <r>
    <x v="3257"/>
    <n v="27.111488000000001"/>
  </r>
  <r>
    <x v="3258"/>
    <n v="26.740475"/>
  </r>
  <r>
    <x v="3259"/>
    <n v="27.529730000000001"/>
  </r>
  <r>
    <x v="3260"/>
    <n v="27.819796"/>
  </r>
  <r>
    <x v="3261"/>
    <n v="27.064264000000001"/>
  </r>
  <r>
    <x v="3262"/>
    <n v="27.651167000000001"/>
  </r>
  <r>
    <x v="3263"/>
    <n v="27.475763000000001"/>
  </r>
  <r>
    <x v="3264"/>
    <n v="28.103110999999998"/>
  </r>
  <r>
    <x v="3265"/>
    <n v="27.927724999999999"/>
  </r>
  <r>
    <x v="3266"/>
    <n v="28.055902"/>
  </r>
  <r>
    <x v="3267"/>
    <n v="28.076142999999998"/>
  </r>
  <r>
    <x v="3268"/>
    <n v="29.047546000000001"/>
  </r>
  <r>
    <x v="3269"/>
    <n v="29.425294999999998"/>
  </r>
  <r>
    <x v="3270"/>
    <n v="29.344379"/>
  </r>
  <r>
    <x v="3271"/>
    <n v="29.283548"/>
  </r>
  <r>
    <x v="3272"/>
    <n v="28.959220999999999"/>
  </r>
  <r>
    <x v="3273"/>
    <n v="29.459225"/>
  </r>
  <r>
    <x v="3274"/>
    <n v="29.344367999999999"/>
  </r>
  <r>
    <x v="3275"/>
    <n v="29.256523000000001"/>
  </r>
  <r>
    <x v="3276"/>
    <n v="29.661922000000001"/>
  </r>
  <r>
    <x v="3277"/>
    <n v="29.756519000000001"/>
  </r>
  <r>
    <x v="3278"/>
    <n v="29.959216999999999"/>
  </r>
  <r>
    <x v="3279"/>
    <n v="29.357882"/>
  </r>
  <r>
    <x v="3280"/>
    <n v="29.297075"/>
  </r>
  <r>
    <x v="3281"/>
    <n v="29.013283000000001"/>
  </r>
  <r>
    <x v="3282"/>
    <n v="29.715980999999999"/>
  </r>
  <r>
    <x v="3283"/>
    <n v="30.026786999999999"/>
  </r>
  <r>
    <x v="3284"/>
    <n v="30.101109000000001"/>
  </r>
  <r>
    <x v="3285"/>
    <n v="29.351120000000002"/>
  </r>
  <r>
    <x v="3286"/>
    <n v="29.398417999999999"/>
  </r>
  <r>
    <x v="3287"/>
    <n v="28.945716999999998"/>
  </r>
  <r>
    <x v="3288"/>
    <n v="28.844360000000002"/>
  </r>
  <r>
    <x v="3289"/>
    <n v="28.648416999999998"/>
  </r>
  <r>
    <x v="3290"/>
    <n v="28.594370000000001"/>
  </r>
  <r>
    <x v="3291"/>
    <n v="28.466000000000001"/>
  </r>
  <r>
    <x v="3292"/>
    <n v="28.587610000000002"/>
  </r>
  <r>
    <x v="3293"/>
    <n v="29.053823000000001"/>
  </r>
  <r>
    <x v="3294"/>
    <n v="29.202466999999999"/>
  </r>
  <r>
    <x v="3295"/>
    <n v="29.155173999999999"/>
  </r>
  <r>
    <x v="3296"/>
    <n v="29.215976999999999"/>
  </r>
  <r>
    <x v="3297"/>
    <n v="29.134909"/>
  </r>
  <r>
    <x v="3298"/>
    <n v="28.445713000000001"/>
  </r>
  <r>
    <x v="3299"/>
    <n v="28.520057999999999"/>
  </r>
  <r>
    <x v="3300"/>
    <n v="28.797073000000001"/>
  </r>
  <r>
    <x v="3301"/>
    <n v="27.749780999999999"/>
  </r>
  <r>
    <x v="3302"/>
    <n v="25.526817000000001"/>
  </r>
  <r>
    <x v="3303"/>
    <n v="25.540338999999999"/>
  </r>
  <r>
    <x v="3304"/>
    <n v="24.688991999999999"/>
  </r>
  <r>
    <x v="3305"/>
    <n v="24.770081999999999"/>
  </r>
  <r>
    <x v="3306"/>
    <n v="24.932236"/>
  </r>
  <r>
    <x v="3307"/>
    <n v="24.418724000000001"/>
  </r>
  <r>
    <x v="3308"/>
    <n v="24.56061"/>
  </r>
  <r>
    <x v="3309"/>
    <n v="25.161968000000002"/>
  </r>
  <r>
    <x v="3310"/>
    <n v="24.884927999999999"/>
  </r>
  <r>
    <x v="3311"/>
    <n v="24.587644999999998"/>
  </r>
  <r>
    <x v="3312"/>
    <n v="24.398451000000001"/>
  </r>
  <r>
    <x v="3313"/>
    <n v="24.966018999999999"/>
  </r>
  <r>
    <x v="3314"/>
    <n v="24.31061"/>
  </r>
  <r>
    <x v="3315"/>
    <n v="24.4863"/>
  </r>
  <r>
    <x v="3316"/>
    <n v="24.114675999999999"/>
  </r>
  <r>
    <x v="3317"/>
    <n v="23.857924000000001"/>
  </r>
  <r>
    <x v="3318"/>
    <n v="24.43224"/>
  </r>
  <r>
    <x v="3319"/>
    <n v="25.114656"/>
  </r>
  <r>
    <x v="3320"/>
    <n v="24.918725999999999"/>
  </r>
  <r>
    <x v="3321"/>
    <n v="24.317381000000001"/>
  </r>
  <r>
    <x v="3322"/>
    <n v="23.884938999999999"/>
  </r>
  <r>
    <x v="3323"/>
    <n v="23.405211999999999"/>
  </r>
  <r>
    <x v="3324"/>
    <n v="23.337654000000001"/>
  </r>
  <r>
    <x v="3325"/>
    <n v="23.107451999999999"/>
  </r>
  <r>
    <x v="3326"/>
    <n v="24.041771000000001"/>
  </r>
  <r>
    <x v="3327"/>
    <n v="25.050557999999999"/>
  </r>
  <r>
    <x v="3328"/>
    <n v="24.407378999999999"/>
  </r>
  <r>
    <x v="3329"/>
    <n v="24.617267999999999"/>
  </r>
  <r>
    <x v="3330"/>
    <n v="24.563095000000001"/>
  </r>
  <r>
    <x v="3331"/>
    <n v="23.974070000000001"/>
  </r>
  <r>
    <x v="3332"/>
    <n v="24.035007"/>
  </r>
  <r>
    <x v="3333"/>
    <n v="25.314616999999998"/>
  </r>
  <r>
    <x v="3334"/>
    <n v="24.569877999999999"/>
  </r>
  <r>
    <x v="3335"/>
    <n v="24.874535000000002"/>
  </r>
  <r>
    <x v="3336"/>
    <n v="25.104727"/>
  </r>
  <r>
    <x v="3337"/>
    <n v="25.287528999999999"/>
  </r>
  <r>
    <x v="3338"/>
    <n v="25.362010999999999"/>
  </r>
  <r>
    <x v="3339"/>
    <n v="25.802097"/>
  </r>
  <r>
    <x v="3340"/>
    <n v="25.565114999999999"/>
  </r>
  <r>
    <x v="3341"/>
    <n v="24.969328000000001"/>
  </r>
  <r>
    <x v="3342"/>
    <n v="24.691734"/>
  </r>
  <r>
    <x v="3343"/>
    <n v="24.73237"/>
  </r>
  <r>
    <x v="3344"/>
    <n v="24.373525999999998"/>
  </r>
  <r>
    <x v="3345"/>
    <n v="24.583416"/>
  </r>
  <r>
    <x v="3346"/>
    <n v="24.211033"/>
  </r>
  <r>
    <x v="3347"/>
    <n v="24.502162999999999"/>
  </r>
  <r>
    <x v="3348"/>
    <n v="24.204266000000001"/>
  </r>
  <r>
    <x v="3349"/>
    <n v="24.989633999999999"/>
  </r>
  <r>
    <x v="3350"/>
    <n v="24.800058"/>
  </r>
  <r>
    <x v="3351"/>
    <n v="24.068859"/>
  </r>
  <r>
    <x v="3352"/>
    <n v="24.427681"/>
  </r>
  <r>
    <x v="3353"/>
    <n v="24.136558999999998"/>
  </r>
  <r>
    <x v="3354"/>
    <n v="23.777729000000001"/>
  </r>
  <r>
    <x v="3355"/>
    <n v="23.811582999999999"/>
  </r>
  <r>
    <x v="3356"/>
    <n v="23.628776999999999"/>
  </r>
  <r>
    <x v="3357"/>
    <n v="23.351192000000001"/>
  </r>
  <r>
    <x v="3358"/>
    <n v="23.425657000000001"/>
  </r>
  <r>
    <x v="3359"/>
    <n v="22.274694"/>
  </r>
  <r>
    <x v="3360"/>
    <n v="22.728314999999998"/>
  </r>
  <r>
    <x v="3361"/>
    <n v="22.132518999999998"/>
  </r>
  <r>
    <x v="3362"/>
    <n v="22.017416000000001"/>
  </r>
  <r>
    <x v="3363"/>
    <n v="22.206985"/>
  </r>
  <r>
    <x v="3364"/>
    <n v="22.484579"/>
  </r>
  <r>
    <x v="3365"/>
    <n v="23.500139000000001"/>
  </r>
  <r>
    <x v="3366"/>
    <n v="22.965277"/>
  </r>
  <r>
    <x v="3367"/>
    <n v="23.473074"/>
  </r>
  <r>
    <x v="3368"/>
    <n v="23.357970999999999"/>
  </r>
  <r>
    <x v="3369"/>
    <n v="23.933444999999999"/>
  </r>
  <r>
    <x v="3370"/>
    <n v="23.588153999999999"/>
  </r>
  <r>
    <x v="3371"/>
    <n v="23.622011000000001"/>
  </r>
  <r>
    <x v="3372"/>
    <n v="23.730333000000002"/>
  </r>
  <r>
    <x v="3373"/>
    <n v="23.473074"/>
  </r>
  <r>
    <x v="3374"/>
    <n v="24.136558999999998"/>
  </r>
  <r>
    <x v="3375"/>
    <n v="23.804821"/>
  </r>
  <r>
    <x v="3376"/>
    <n v="24.089167"/>
  </r>
  <r>
    <x v="3377"/>
    <n v="24.400623"/>
  </r>
  <r>
    <x v="3378"/>
    <n v="24.095939999999999"/>
  </r>
  <r>
    <x v="3379"/>
    <n v="24.475083999999999"/>
  </r>
  <r>
    <x v="3380"/>
    <n v="24.163647000000001"/>
  </r>
  <r>
    <x v="3381"/>
    <n v="23.899591000000001"/>
  </r>
  <r>
    <x v="3382"/>
    <n v="23.926682"/>
  </r>
  <r>
    <x v="3383"/>
    <n v="24.434453999999999"/>
  </r>
  <r>
    <x v="3384"/>
    <n v="24.745906999999999"/>
  </r>
  <r>
    <x v="3385"/>
    <n v="24.786528000000001"/>
  </r>
  <r>
    <x v="3386"/>
    <n v="25.273989"/>
  </r>
  <r>
    <x v="3387"/>
    <n v="25.179203000000001"/>
  </r>
  <r>
    <x v="3388"/>
    <n v="25.118276999999999"/>
  </r>
  <r>
    <x v="3389"/>
    <n v="24.955383000000001"/>
  </r>
  <r>
    <x v="3390"/>
    <n v="25.403327999999998"/>
  </r>
  <r>
    <x v="3391"/>
    <n v="25.220065999999999"/>
  </r>
  <r>
    <x v="3392"/>
    <n v="25.294730999999999"/>
  </r>
  <r>
    <x v="3393"/>
    <n v="25.858035999999998"/>
  </r>
  <r>
    <x v="3394"/>
    <n v="25.959849999999999"/>
  </r>
  <r>
    <x v="3395"/>
    <n v="25.518692000000001"/>
  </r>
  <r>
    <x v="3396"/>
    <n v="25.647655"/>
  </r>
  <r>
    <x v="3397"/>
    <n v="25.287939000000001"/>
  </r>
  <r>
    <x v="3398"/>
    <n v="25.063976"/>
  </r>
  <r>
    <x v="3399"/>
    <n v="24.799292000000001"/>
  </r>
  <r>
    <x v="3400"/>
    <n v="24.432796"/>
  </r>
  <r>
    <x v="3401"/>
    <n v="24.52103"/>
  </r>
  <r>
    <x v="3402"/>
    <n v="23.808406999999999"/>
  </r>
  <r>
    <x v="3403"/>
    <n v="23.659089999999999"/>
  </r>
  <r>
    <x v="3404"/>
    <n v="23.733746"/>
  </r>
  <r>
    <x v="3405"/>
    <n v="23.686235"/>
  </r>
  <r>
    <x v="3406"/>
    <n v="23.896635"/>
  </r>
  <r>
    <x v="3407"/>
    <n v="23.835552"/>
  </r>
  <r>
    <x v="3408"/>
    <n v="23.693031000000001"/>
  </r>
  <r>
    <x v="3409"/>
    <n v="23.075422"/>
  </r>
  <r>
    <x v="3410"/>
    <n v="22.790368999999998"/>
  </r>
  <r>
    <x v="3411"/>
    <n v="22.797153000000002"/>
  </r>
  <r>
    <x v="3412"/>
    <n v="22.736073000000001"/>
  </r>
  <r>
    <x v="3413"/>
    <n v="22.763217999999998"/>
  </r>
  <r>
    <x v="3414"/>
    <n v="22.403509"/>
  </r>
  <r>
    <x v="3415"/>
    <n v="22.803947000000001"/>
  </r>
  <r>
    <x v="3416"/>
    <n v="22.797153000000002"/>
  </r>
  <r>
    <x v="3417"/>
    <n v="22.668205"/>
  </r>
  <r>
    <x v="3418"/>
    <n v="22.715713999999998"/>
  </r>
  <r>
    <x v="3419"/>
    <n v="23.584433000000001"/>
  </r>
  <r>
    <x v="3420"/>
    <n v="23.889842999999999"/>
  </r>
  <r>
    <x v="3421"/>
    <n v="23.821978000000001"/>
  </r>
  <r>
    <x v="3422"/>
    <n v="23.699821"/>
  </r>
  <r>
    <x v="3423"/>
    <n v="23.991641999999999"/>
  </r>
  <r>
    <x v="3424"/>
    <n v="24.147745"/>
  </r>
  <r>
    <x v="3425"/>
    <n v="23.835552"/>
  </r>
  <r>
    <x v="3426"/>
    <n v="24.297062"/>
  </r>
  <r>
    <x v="3427"/>
    <n v="24.493874000000002"/>
  </r>
  <r>
    <x v="3428"/>
    <n v="26.475655"/>
  </r>
  <r>
    <x v="3429"/>
    <n v="26.672470000000001"/>
  </r>
  <r>
    <x v="3430"/>
    <n v="26.665690999999999"/>
  </r>
  <r>
    <x v="3431"/>
    <n v="26.835348"/>
  </r>
  <r>
    <x v="3432"/>
    <n v="27.249352999999999"/>
  </r>
  <r>
    <x v="3433"/>
    <n v="26.99823"/>
  </r>
  <r>
    <x v="3434"/>
    <n v="26.794637999999999"/>
  </r>
  <r>
    <x v="3435"/>
    <n v="26.468869999999999"/>
  </r>
  <r>
    <x v="3436"/>
    <n v="26.910011000000001"/>
  </r>
  <r>
    <x v="3437"/>
    <n v="27.10004"/>
  </r>
  <r>
    <x v="3438"/>
    <n v="26.848935999999998"/>
  </r>
  <r>
    <x v="3439"/>
    <n v="26.577453999999999"/>
  </r>
  <r>
    <x v="3440"/>
    <n v="26.604607000000001"/>
  </r>
  <r>
    <x v="3441"/>
    <n v="26.312760999999998"/>
  </r>
  <r>
    <x v="3442"/>
    <n v="26.611391000000001"/>
  </r>
  <r>
    <x v="3443"/>
    <n v="27.473320000000001"/>
  </r>
  <r>
    <x v="3444"/>
    <n v="27.683712"/>
  </r>
  <r>
    <x v="3445"/>
    <n v="28.138428000000001"/>
  </r>
  <r>
    <x v="3446"/>
    <n v="27.317225000000001"/>
  </r>
  <r>
    <x v="3447"/>
    <n v="27.228991000000001"/>
  </r>
  <r>
    <x v="3448"/>
    <n v="27.10004"/>
  </r>
  <r>
    <x v="3449"/>
    <n v="27.290088999999998"/>
  </r>
  <r>
    <x v="3450"/>
    <n v="27.520831999999999"/>
  </r>
  <r>
    <x v="3451"/>
    <n v="27.344360000000002"/>
  </r>
  <r>
    <x v="3452"/>
    <n v="26.949850000000001"/>
  </r>
  <r>
    <x v="3453"/>
    <n v="27.249137999999999"/>
  </r>
  <r>
    <x v="3454"/>
    <n v="27.106289"/>
  </r>
  <r>
    <x v="3455"/>
    <n v="27.187929"/>
  </r>
  <r>
    <x v="3456"/>
    <n v="27.113099999999999"/>
  </r>
  <r>
    <x v="3457"/>
    <n v="27.011066"/>
  </r>
  <r>
    <x v="3458"/>
    <n v="27.208323"/>
  </r>
  <r>
    <x v="3459"/>
    <n v="27.181124000000001"/>
  </r>
  <r>
    <x v="3460"/>
    <n v="27.582446999999998"/>
  </r>
  <r>
    <x v="3461"/>
    <n v="27.616448999999999"/>
  </r>
  <r>
    <x v="3462"/>
    <n v="28.391893"/>
  </r>
  <r>
    <x v="3463"/>
    <n v="29.119714999999999"/>
  </r>
  <r>
    <x v="3464"/>
    <n v="28.942855999999999"/>
  </r>
  <r>
    <x v="3465"/>
    <n v="29.146913999999999"/>
  </r>
  <r>
    <x v="3466"/>
    <n v="28.616358000000002"/>
  </r>
  <r>
    <x v="3467"/>
    <n v="28.738793999999999"/>
  </r>
  <r>
    <x v="3468"/>
    <n v="29.466621"/>
  </r>
  <r>
    <x v="3469"/>
    <n v="29.051683000000001"/>
  </r>
  <r>
    <x v="3470"/>
    <n v="29.534631999999998"/>
  </r>
  <r>
    <x v="3471"/>
    <n v="29.745501000000001"/>
  </r>
  <r>
    <x v="3472"/>
    <n v="29.929169000000002"/>
  </r>
  <r>
    <x v="3473"/>
    <n v="30.446117000000001"/>
  </r>
  <r>
    <x v="3474"/>
    <n v="30.201257999999999"/>
  </r>
  <r>
    <x v="3475"/>
    <n v="30.167233"/>
  </r>
  <r>
    <x v="3476"/>
    <n v="30.276053999999998"/>
  </r>
  <r>
    <x v="3477"/>
    <n v="30.602577"/>
  </r>
  <r>
    <x v="3478"/>
    <n v="30.439322000000001"/>
  </r>
  <r>
    <x v="3479"/>
    <n v="30.643393"/>
  </r>
  <r>
    <x v="3480"/>
    <n v="31.024296"/>
  </r>
  <r>
    <x v="3481"/>
    <n v="30.711417999999998"/>
  </r>
  <r>
    <x v="3482"/>
    <n v="30.031195"/>
  </r>
  <r>
    <x v="3483"/>
    <n v="29.874752000000001"/>
  </r>
  <r>
    <x v="3484"/>
    <n v="29.711490999999999"/>
  </r>
  <r>
    <x v="3485"/>
    <n v="29.561845999999999"/>
  </r>
  <r>
    <x v="3486"/>
    <n v="28.806827999999999"/>
  </r>
  <r>
    <x v="3487"/>
    <n v="28.364677"/>
  </r>
  <r>
    <x v="3488"/>
    <n v="28.521135000000001"/>
  </r>
  <r>
    <x v="3489"/>
    <n v="28.697979"/>
  </r>
  <r>
    <x v="3490"/>
    <n v="28.874844"/>
  </r>
  <r>
    <x v="3491"/>
    <n v="29.942774"/>
  </r>
  <r>
    <x v="3492"/>
    <n v="29.487037999999998"/>
  </r>
  <r>
    <x v="3493"/>
    <n v="30.609376999999999"/>
  </r>
  <r>
    <x v="3494"/>
    <n v="31.085518"/>
  </r>
  <r>
    <x v="3495"/>
    <n v="30.718204"/>
  </r>
  <r>
    <x v="3496"/>
    <n v="30.507324000000001"/>
  </r>
  <r>
    <x v="3497"/>
    <n v="29.282962999999999"/>
  </r>
  <r>
    <x v="3498"/>
    <n v="27.936150000000001"/>
  </r>
  <r>
    <x v="3499"/>
    <n v="27.045074"/>
  </r>
  <r>
    <x v="3500"/>
    <n v="26.861422999999998"/>
  </r>
  <r>
    <x v="3501"/>
    <n v="27.466818"/>
  </r>
  <r>
    <x v="3502"/>
    <n v="29.942774"/>
  </r>
  <r>
    <x v="3503"/>
    <n v="30.473334999999999"/>
  </r>
  <r>
    <x v="3504"/>
    <n v="30.3645"/>
  </r>
  <r>
    <x v="3505"/>
    <n v="30.806633000000001"/>
  </r>
  <r>
    <x v="3506"/>
    <n v="30.384905"/>
  </r>
  <r>
    <x v="3507"/>
    <n v="31.058316999999999"/>
  </r>
  <r>
    <x v="3508"/>
    <n v="30.895047999999999"/>
  </r>
  <r>
    <x v="3509"/>
    <n v="30.969877"/>
  </r>
  <r>
    <x v="3510"/>
    <n v="30.568562"/>
  </r>
  <r>
    <x v="3511"/>
    <n v="30.575357"/>
  </r>
  <r>
    <x v="3512"/>
    <n v="30.969877"/>
  </r>
  <r>
    <x v="3513"/>
    <n v="31.241961"/>
  </r>
  <r>
    <x v="3514"/>
    <n v="31.343988"/>
  </r>
  <r>
    <x v="3515"/>
    <n v="31.241961"/>
  </r>
  <r>
    <x v="3516"/>
    <n v="31.296386999999999"/>
  </r>
  <r>
    <x v="3517"/>
    <n v="31.412034999999999"/>
  </r>
  <r>
    <x v="3518"/>
    <n v="31.316787999999999"/>
  </r>
  <r>
    <x v="3519"/>
    <n v="30.976690000000001"/>
  </r>
  <r>
    <x v="3520"/>
    <n v="30.929071"/>
  </r>
  <r>
    <x v="3521"/>
    <n v="31.017489999999999"/>
  </r>
  <r>
    <x v="3522"/>
    <n v="30.745415000000001"/>
  </r>
  <r>
    <x v="3523"/>
    <n v="30.322835999999999"/>
  </r>
  <r>
    <x v="3524"/>
    <n v="30.493223"/>
  </r>
  <r>
    <x v="3525"/>
    <n v="30.670445999999998"/>
  </r>
  <r>
    <x v="3526"/>
    <n v="30.131989000000001"/>
  </r>
  <r>
    <x v="3527"/>
    <n v="30.295591000000002"/>
  </r>
  <r>
    <x v="3528"/>
    <n v="30.806754999999999"/>
  </r>
  <r>
    <x v="3529"/>
    <n v="31.24295"/>
  </r>
  <r>
    <x v="3530"/>
    <n v="31.508759999999999"/>
  </r>
  <r>
    <x v="3531"/>
    <n v="31.174814000000001"/>
  </r>
  <r>
    <x v="3532"/>
    <n v="30.636351000000001"/>
  </r>
  <r>
    <x v="3533"/>
    <n v="29.777581999999999"/>
  </r>
  <r>
    <x v="3534"/>
    <n v="30.050219999999999"/>
  </r>
  <r>
    <x v="3535"/>
    <n v="29.982057999999999"/>
  </r>
  <r>
    <x v="3536"/>
    <n v="30.254688000000002"/>
  </r>
  <r>
    <x v="3537"/>
    <n v="30.254688000000002"/>
  </r>
  <r>
    <x v="3538"/>
    <n v="29.743501999999999"/>
  </r>
  <r>
    <x v="3539"/>
    <n v="29.750337999999999"/>
  </r>
  <r>
    <x v="3540"/>
    <n v="29.675370999999998"/>
  </r>
  <r>
    <x v="3541"/>
    <n v="29.361827999999999"/>
  </r>
  <r>
    <x v="3542"/>
    <n v="29.988855000000001"/>
  </r>
  <r>
    <x v="3543"/>
    <n v="30.963519999999999"/>
  </r>
  <r>
    <x v="3544"/>
    <n v="30.813568"/>
  </r>
  <r>
    <x v="3545"/>
    <n v="32.278950000000002"/>
  </r>
  <r>
    <x v="3546"/>
    <n v="32.422069999999998"/>
  </r>
  <r>
    <x v="3547"/>
    <n v="32.292557000000002"/>
  </r>
  <r>
    <x v="3548"/>
    <n v="33.260387000000001"/>
  </r>
  <r>
    <x v="3549"/>
    <n v="33.396706000000002"/>
  </r>
  <r>
    <x v="3550"/>
    <n v="33.151328999999997"/>
  </r>
  <r>
    <x v="3551"/>
    <n v="32.796925000000002"/>
  </r>
  <r>
    <x v="3552"/>
    <n v="32.544730999999999"/>
  </r>
  <r>
    <x v="3553"/>
    <n v="33.171782999999998"/>
  </r>
  <r>
    <x v="3554"/>
    <n v="32.006306000000002"/>
  </r>
  <r>
    <x v="3555"/>
    <n v="31.979043999999998"/>
  </r>
  <r>
    <x v="3556"/>
    <n v="32.762847999999998"/>
  </r>
  <r>
    <x v="3557"/>
    <n v="32.428882999999999"/>
  </r>
  <r>
    <x v="3558"/>
    <n v="32.374358999999998"/>
  </r>
  <r>
    <x v="3559"/>
    <n v="32.728763999999998"/>
  </r>
  <r>
    <x v="3560"/>
    <n v="33.103622000000001"/>
  </r>
  <r>
    <x v="3561"/>
    <n v="32.687874000000001"/>
  </r>
  <r>
    <x v="3562"/>
    <n v="32.667431000000001"/>
  </r>
  <r>
    <x v="3563"/>
    <n v="31.951775000000001"/>
  </r>
  <r>
    <x v="3564"/>
    <n v="31.40653"/>
  </r>
  <r>
    <x v="3565"/>
    <n v="31.304300000000001"/>
  </r>
  <r>
    <x v="3566"/>
    <n v="31.167984000000001"/>
  </r>
  <r>
    <x v="3567"/>
    <n v="32.013129999999997"/>
  </r>
  <r>
    <x v="3568"/>
    <n v="31.461062999999999"/>
  </r>
  <r>
    <x v="3569"/>
    <n v="31.801846999999999"/>
  </r>
  <r>
    <x v="3570"/>
    <n v="31.31794"/>
  </r>
  <r>
    <x v="3571"/>
    <n v="32.442504999999997"/>
  </r>
  <r>
    <x v="3572"/>
    <n v="32.265289000000003"/>
  </r>
  <r>
    <x v="3573"/>
    <n v="32.783276000000001"/>
  </r>
  <r>
    <x v="3574"/>
    <n v="32.926430000000003"/>
  </r>
  <r>
    <x v="3575"/>
    <n v="31.992678000000002"/>
  </r>
  <r>
    <x v="3576"/>
    <n v="32.627758"/>
  </r>
  <r>
    <x v="3577"/>
    <n v="32.047317999999997"/>
  </r>
  <r>
    <x v="3578"/>
    <n v="32.224854000000001"/>
  </r>
  <r>
    <x v="3579"/>
    <n v="33.016990999999997"/>
  </r>
  <r>
    <x v="3580"/>
    <n v="32.204360999999999"/>
  </r>
  <r>
    <x v="3581"/>
    <n v="32.798473000000001"/>
  </r>
  <r>
    <x v="3582"/>
    <n v="32.661903000000002"/>
  </r>
  <r>
    <x v="3583"/>
    <n v="32.525317999999999"/>
  </r>
  <r>
    <x v="3584"/>
    <n v="32.259003"/>
  </r>
  <r>
    <x v="3585"/>
    <n v="32.682369000000001"/>
  </r>
  <r>
    <x v="3586"/>
    <n v="33.822769000000001"/>
  </r>
  <r>
    <x v="3587"/>
    <n v="32.846271999999999"/>
  </r>
  <r>
    <x v="3588"/>
    <n v="32.777996000000002"/>
  </r>
  <r>
    <x v="3589"/>
    <n v="32.921398000000003"/>
  </r>
  <r>
    <x v="3590"/>
    <n v="33.631577"/>
  </r>
  <r>
    <x v="3591"/>
    <n v="34.013995999999999"/>
  </r>
  <r>
    <x v="3592"/>
    <n v="34.054957999999999"/>
  </r>
  <r>
    <x v="3593"/>
    <n v="34.669547999999999"/>
  </r>
  <r>
    <x v="3594"/>
    <n v="34.355423000000002"/>
  </r>
  <r>
    <x v="3595"/>
    <n v="33.863757999999997"/>
  </r>
  <r>
    <x v="3596"/>
    <n v="33.973022"/>
  </r>
  <r>
    <x v="3597"/>
    <n v="33.856929999999998"/>
  </r>
  <r>
    <x v="3598"/>
    <n v="33.699863000000001"/>
  </r>
  <r>
    <x v="3599"/>
    <n v="33.945701999999997"/>
  </r>
  <r>
    <x v="3600"/>
    <n v="33.706699"/>
  </r>
  <r>
    <x v="3601"/>
    <n v="34.635413999999997"/>
  </r>
  <r>
    <x v="3602"/>
    <n v="34.724178000000002"/>
  </r>
  <r>
    <x v="3603"/>
    <n v="34.560284000000003"/>
  </r>
  <r>
    <x v="3604"/>
    <n v="34.949516000000003"/>
  </r>
  <r>
    <x v="3605"/>
    <n v="35.379745"/>
  </r>
  <r>
    <x v="3606"/>
    <n v="35.284142000000003"/>
  </r>
  <r>
    <x v="3607"/>
    <n v="35.345592000000003"/>
  </r>
  <r>
    <x v="3608"/>
    <n v="35.482170000000004"/>
  </r>
  <r>
    <x v="3609"/>
    <n v="35.222678999999999"/>
  </r>
  <r>
    <x v="3610"/>
    <n v="35.092917999999997"/>
  </r>
  <r>
    <x v="3611"/>
    <n v="34.806122000000002"/>
  </r>
  <r>
    <x v="3612"/>
    <n v="35.154392000000001"/>
  </r>
  <r>
    <x v="3613"/>
    <n v="34.840266999999997"/>
  </r>
  <r>
    <x v="3614"/>
    <n v="35.529964"/>
  </r>
  <r>
    <x v="3615"/>
    <n v="35.850918"/>
  </r>
  <r>
    <x v="3616"/>
    <n v="35.400233999999998"/>
  </r>
  <r>
    <x v="3617"/>
    <n v="35.092917999999997"/>
  </r>
  <r>
    <x v="3618"/>
    <n v="35.714351999999998"/>
  </r>
  <r>
    <x v="3619"/>
    <n v="35.168049000000003"/>
  </r>
  <r>
    <x v="3620"/>
    <n v="34.881241000000003"/>
  </r>
  <r>
    <x v="3621"/>
    <n v="35.529964"/>
  </r>
  <r>
    <x v="3622"/>
    <n v="35.058791999999997"/>
  </r>
  <r>
    <x v="3623"/>
    <n v="34.587612"/>
  </r>
  <r>
    <x v="3624"/>
    <n v="34.867579999999997"/>
  </r>
  <r>
    <x v="3625"/>
    <n v="35.338757000000001"/>
  </r>
  <r>
    <x v="3626"/>
    <n v="35.741675999999998"/>
  </r>
  <r>
    <x v="3627"/>
    <n v="35.891902999999999"/>
  </r>
  <r>
    <x v="3628"/>
    <n v="35.960182000000003"/>
  </r>
  <r>
    <x v="3629"/>
    <n v="36.014809"/>
  </r>
  <r>
    <x v="3630"/>
    <n v="35.277309000000002"/>
  </r>
  <r>
    <x v="3631"/>
    <n v="33.734000999999999"/>
  </r>
  <r>
    <x v="3632"/>
    <n v="33.454037"/>
  </r>
  <r>
    <x v="3633"/>
    <n v="33.208202"/>
  </r>
  <r>
    <x v="3634"/>
    <n v="32.907725999999997"/>
  </r>
  <r>
    <x v="3635"/>
    <n v="32.026825000000002"/>
  </r>
  <r>
    <x v="3636"/>
    <n v="31.651228"/>
  </r>
  <r>
    <x v="3637"/>
    <n v="32.142901999999999"/>
  </r>
  <r>
    <x v="3638"/>
    <n v="31.842455000000001"/>
  </r>
  <r>
    <x v="3639"/>
    <n v="30.988852000000001"/>
  </r>
  <r>
    <x v="3640"/>
    <n v="31.214787000000001"/>
  </r>
  <r>
    <x v="3641"/>
    <n v="31.536612999999999"/>
  </r>
  <r>
    <x v="3642"/>
    <n v="31.51605"/>
  </r>
  <r>
    <x v="3643"/>
    <n v="30.619126999999999"/>
  </r>
  <r>
    <x v="3644"/>
    <n v="30.954615"/>
  </r>
  <r>
    <x v="3645"/>
    <n v="32.214427999999998"/>
  </r>
  <r>
    <x v="3646"/>
    <n v="32.180205999999998"/>
  </r>
  <r>
    <x v="3647"/>
    <n v="31.276423000000001"/>
  </r>
  <r>
    <x v="3648"/>
    <n v="31.611916999999998"/>
  </r>
  <r>
    <x v="3649"/>
    <n v="31.139489999999999"/>
  </r>
  <r>
    <x v="3650"/>
    <n v="30.434248"/>
  </r>
  <r>
    <x v="3651"/>
    <n v="29.742718"/>
  </r>
  <r>
    <x v="3652"/>
    <n v="28.202179000000001"/>
  </r>
  <r>
    <x v="3653"/>
    <n v="28.647224000000001"/>
  </r>
  <r>
    <x v="3654"/>
    <n v="29.612628999999998"/>
  </r>
  <r>
    <x v="3655"/>
    <n v="30.735519"/>
  </r>
  <r>
    <x v="3656"/>
    <n v="30.091919000000001"/>
  </r>
  <r>
    <x v="3657"/>
    <n v="29.708506"/>
  </r>
  <r>
    <x v="3658"/>
    <n v="30.064529"/>
  </r>
  <r>
    <x v="3659"/>
    <n v="30.263088"/>
  </r>
  <r>
    <x v="3660"/>
    <n v="28.332280999999998"/>
  </r>
  <r>
    <x v="3661"/>
    <n v="27.045067"/>
  </r>
  <r>
    <x v="3662"/>
    <n v="27.449031999999999"/>
  </r>
  <r>
    <x v="3663"/>
    <n v="26.490479000000001"/>
  </r>
  <r>
    <x v="3664"/>
    <n v="27.024529000000001"/>
  </r>
  <r>
    <x v="3665"/>
    <n v="27.757138999999999"/>
  </r>
  <r>
    <x v="3666"/>
    <n v="27.435338999999999"/>
  </r>
  <r>
    <x v="3667"/>
    <n v="27.017679000000001"/>
  </r>
  <r>
    <x v="3668"/>
    <n v="26.134436000000001"/>
  </r>
  <r>
    <x v="3669"/>
    <n v="26.339846000000001"/>
  </r>
  <r>
    <x v="3670"/>
    <n v="26.018035999999999"/>
  </r>
  <r>
    <x v="3671"/>
    <n v="25.881105000000002"/>
  </r>
  <r>
    <x v="3672"/>
    <n v="26.613721999999999"/>
  </r>
  <r>
    <x v="3673"/>
    <n v="25.709935999999999"/>
  </r>
  <r>
    <x v="3674"/>
    <n v="25.032095000000002"/>
  </r>
  <r>
    <x v="3675"/>
    <n v="24.902000000000001"/>
  </r>
  <r>
    <x v="3676"/>
    <n v="25.032095000000002"/>
  </r>
  <r>
    <x v="3677"/>
    <n v="25.607233000000001"/>
  </r>
  <r>
    <x v="3678"/>
    <n v="25.148478000000001"/>
  </r>
  <r>
    <x v="3679"/>
    <n v="24.545967000000001"/>
  </r>
  <r>
    <x v="3680"/>
    <n v="23.580563999999999"/>
  </r>
  <r>
    <x v="3681"/>
    <n v="24.224169"/>
  </r>
  <r>
    <x v="3682"/>
    <n v="23.471008000000001"/>
  </r>
  <r>
    <x v="3683"/>
    <n v="23.950296000000002"/>
  </r>
  <r>
    <x v="3684"/>
    <n v="23.635335999999999"/>
  </r>
  <r>
    <x v="3685"/>
    <n v="24.504878999999999"/>
  </r>
  <r>
    <x v="3686"/>
    <n v="24.141995999999999"/>
  </r>
  <r>
    <x v="3687"/>
    <n v="23.607948"/>
  </r>
  <r>
    <x v="3688"/>
    <n v="23.532634999999999"/>
  </r>
  <r>
    <x v="3689"/>
    <n v="23.868126"/>
  </r>
  <r>
    <x v="3690"/>
    <n v="24.176237"/>
  </r>
  <r>
    <x v="3691"/>
    <n v="23.690104999999999"/>
  </r>
  <r>
    <x v="3692"/>
    <n v="23.183439"/>
  </r>
  <r>
    <x v="3693"/>
    <n v="22.957492999999999"/>
  </r>
  <r>
    <x v="3694"/>
    <n v="23.210823000000001"/>
  </r>
  <r>
    <x v="3695"/>
    <n v="22.806865999999999"/>
  </r>
  <r>
    <x v="3696"/>
    <n v="22.998577000000001"/>
  </r>
  <r>
    <x v="3697"/>
    <n v="24.272085000000001"/>
  </r>
  <r>
    <x v="3698"/>
    <n v="25.901646"/>
  </r>
  <r>
    <x v="3699"/>
    <n v="25.470285000000001"/>
  </r>
  <r>
    <x v="3700"/>
    <n v="25.552451999999999"/>
  </r>
  <r>
    <x v="3701"/>
    <n v="25.401823"/>
  </r>
  <r>
    <x v="3702"/>
    <n v="25.682538999999998"/>
  </r>
  <r>
    <x v="3703"/>
    <n v="25.174253"/>
  </r>
  <r>
    <x v="3704"/>
    <n v="25.600121000000001"/>
  </r>
  <r>
    <x v="3705"/>
    <n v="25.675684"/>
  </r>
  <r>
    <x v="3706"/>
    <n v="25.538295999999999"/>
  </r>
  <r>
    <x v="3707"/>
    <n v="25.819915999999999"/>
  </r>
  <r>
    <x v="3708"/>
    <n v="26.039726000000002"/>
  </r>
  <r>
    <x v="3709"/>
    <n v="25.874863000000001"/>
  </r>
  <r>
    <x v="3710"/>
    <n v="26.341949"/>
  </r>
  <r>
    <x v="3711"/>
    <n v="26.918921999999998"/>
  </r>
  <r>
    <x v="3712"/>
    <n v="26.129009"/>
  </r>
  <r>
    <x v="3713"/>
    <n v="25.394053"/>
  </r>
  <r>
    <x v="3714"/>
    <n v="25.098686000000001"/>
  </r>
  <r>
    <x v="3715"/>
    <n v="25.284153"/>
  </r>
  <r>
    <x v="3716"/>
    <n v="25.861136999999999"/>
  </r>
  <r>
    <x v="3717"/>
    <n v="25.620726000000001"/>
  </r>
  <r>
    <x v="3718"/>
    <n v="25.552030999999999"/>
  </r>
  <r>
    <x v="3719"/>
    <n v="25.284153"/>
  </r>
  <r>
    <x v="3720"/>
    <n v="25.139906"/>
  </r>
  <r>
    <x v="3721"/>
    <n v="25.483345"/>
  </r>
  <r>
    <x v="3722"/>
    <n v="26.177091999999998"/>
  </r>
  <r>
    <x v="3723"/>
    <n v="26.431244"/>
  </r>
  <r>
    <x v="3724"/>
    <n v="26.005375000000001"/>
  </r>
  <r>
    <x v="3725"/>
    <n v="26.561744999999998"/>
  </r>
  <r>
    <x v="3726"/>
    <n v="26.396902000000001"/>
  </r>
  <r>
    <x v="3727"/>
    <n v="26.190844999999999"/>
  </r>
  <r>
    <x v="3728"/>
    <n v="25.428395999999999"/>
  </r>
  <r>
    <x v="3729"/>
    <n v="24.968170000000001"/>
  </r>
  <r>
    <x v="3730"/>
    <n v="23.807352000000002"/>
  </r>
  <r>
    <x v="3731"/>
    <n v="24.315646999999998"/>
  </r>
  <r>
    <x v="3732"/>
    <n v="24.604140999999998"/>
  </r>
  <r>
    <x v="3733"/>
    <n v="24.906361"/>
  </r>
  <r>
    <x v="3734"/>
    <n v="24.981919999999999"/>
  </r>
  <r>
    <x v="3735"/>
    <n v="24.892641000000001"/>
  </r>
  <r>
    <x v="3736"/>
    <n v="25.462736"/>
  </r>
  <r>
    <x v="3737"/>
    <n v="25.936703000000001"/>
  </r>
  <r>
    <x v="3738"/>
    <n v="26.747211"/>
  </r>
  <r>
    <x v="3739"/>
    <n v="27.365411999999999"/>
  </r>
  <r>
    <x v="3740"/>
    <n v="27.351671"/>
  </r>
  <r>
    <x v="3741"/>
    <n v="26.747211"/>
  </r>
  <r>
    <x v="3742"/>
    <n v="26.183958000000001"/>
  </r>
  <r>
    <x v="3743"/>
    <n v="26.225185"/>
  </r>
  <r>
    <x v="3744"/>
    <n v="26.046595"/>
  </r>
  <r>
    <x v="3745"/>
    <n v="26.156493999999999"/>
  </r>
  <r>
    <x v="3746"/>
    <n v="25.215454000000001"/>
  </r>
  <r>
    <x v="3747"/>
    <n v="25.764959000000001"/>
  </r>
  <r>
    <x v="3748"/>
    <n v="26.094671000000002"/>
  </r>
  <r>
    <x v="3749"/>
    <n v="25.510824"/>
  </r>
  <r>
    <x v="3750"/>
    <n v="25.236063000000001"/>
  </r>
  <r>
    <x v="3751"/>
    <n v="24.995660999999998"/>
  </r>
  <r>
    <x v="3752"/>
    <n v="24.542318000000002"/>
  </r>
  <r>
    <x v="3753"/>
    <n v="24.975045999999999"/>
  </r>
  <r>
    <x v="3754"/>
    <n v="25.050605999999998"/>
  </r>
  <r>
    <x v="3755"/>
    <n v="24.823937999999998"/>
  </r>
  <r>
    <x v="3756"/>
    <n v="24.995660999999998"/>
  </r>
  <r>
    <x v="3757"/>
    <n v="24.920099"/>
  </r>
  <r>
    <x v="3758"/>
    <n v="23.924123999999999"/>
  </r>
  <r>
    <x v="3759"/>
    <n v="24.205749999999998"/>
  </r>
  <r>
    <x v="3760"/>
    <n v="24.865147"/>
  </r>
  <r>
    <x v="3761"/>
    <n v="25.799305"/>
  </r>
  <r>
    <x v="3762"/>
    <n v="25.895477"/>
  </r>
  <r>
    <x v="3763"/>
    <n v="25.964172000000001"/>
  </r>
  <r>
    <x v="3764"/>
    <n v="25.847397000000001"/>
  </r>
  <r>
    <x v="3765"/>
    <n v="25.517685"/>
  </r>
  <r>
    <x v="3766"/>
    <n v="25.833658"/>
  </r>
  <r>
    <x v="3767"/>
    <n v="25.655069000000001"/>
  </r>
  <r>
    <x v="3768"/>
    <n v="25.813044000000001"/>
  </r>
  <r>
    <x v="3769"/>
    <n v="25.036878999999999"/>
  </r>
  <r>
    <x v="3770"/>
    <n v="24.624744"/>
  </r>
  <r>
    <x v="3771"/>
    <n v="25.174253"/>
  </r>
  <r>
    <x v="3772"/>
    <n v="25.133039"/>
  </r>
  <r>
    <x v="3773"/>
    <n v="24.968170000000001"/>
  </r>
  <r>
    <x v="3774"/>
    <n v="25.758099000000001"/>
  </r>
  <r>
    <x v="3775"/>
    <n v="26.695263000000001"/>
  </r>
  <r>
    <x v="3776"/>
    <n v="26.998449000000001"/>
  </r>
  <r>
    <x v="3777"/>
    <n v="26.9709"/>
  </r>
  <r>
    <x v="3778"/>
    <n v="27.246524999999998"/>
  </r>
  <r>
    <x v="3779"/>
    <n v="26.826187000000001"/>
  </r>
  <r>
    <x v="3780"/>
    <n v="26.784849000000001"/>
  </r>
  <r>
    <x v="3781"/>
    <n v="26.481643999999999"/>
  </r>
  <r>
    <x v="3782"/>
    <n v="27.156949999999998"/>
  </r>
  <r>
    <x v="3783"/>
    <n v="27.218972999999998"/>
  </r>
  <r>
    <x v="3784"/>
    <n v="26.922661000000002"/>
  </r>
  <r>
    <x v="3785"/>
    <n v="26.522988999999999"/>
  </r>
  <r>
    <x v="3786"/>
    <n v="26.398947"/>
  </r>
  <r>
    <x v="3787"/>
    <n v="26.557445999999999"/>
  </r>
  <r>
    <x v="3788"/>
    <n v="26.054407000000001"/>
  </r>
  <r>
    <x v="3789"/>
    <n v="25.923483000000001"/>
  </r>
  <r>
    <x v="3790"/>
    <n v="25.889036000000001"/>
  </r>
  <r>
    <x v="3791"/>
    <n v="25.971708"/>
  </r>
  <r>
    <x v="3792"/>
    <n v="26.040628000000002"/>
  </r>
  <r>
    <x v="3793"/>
    <n v="25.813229"/>
  </r>
  <r>
    <x v="3794"/>
    <n v="26.977789000000001"/>
  </r>
  <r>
    <x v="3795"/>
    <n v="26.660800999999999"/>
  </r>
  <r>
    <x v="3796"/>
    <n v="26.364502000000002"/>
  </r>
  <r>
    <x v="3797"/>
    <n v="26.075087"/>
  </r>
  <r>
    <x v="3798"/>
    <n v="26.564330999999999"/>
  </r>
  <r>
    <x v="3799"/>
    <n v="27.205193000000001"/>
  </r>
  <r>
    <x v="3800"/>
    <n v="27.301656999999999"/>
  </r>
  <r>
    <x v="3801"/>
    <n v="27.19828"/>
  </r>
  <r>
    <x v="3802"/>
    <n v="27.005345999999999"/>
  </r>
  <r>
    <x v="3803"/>
    <n v="26.522988999999999"/>
  </r>
  <r>
    <x v="3804"/>
    <n v="26.784849000000001"/>
  </r>
  <r>
    <x v="3805"/>
    <n v="26.536766"/>
  </r>
  <r>
    <x v="3806"/>
    <n v="26.274912"/>
  </r>
  <r>
    <x v="3807"/>
    <n v="26.612579"/>
  </r>
  <r>
    <x v="3808"/>
    <n v="26.295582"/>
  </r>
  <r>
    <x v="3809"/>
    <n v="25.847674999999999"/>
  </r>
  <r>
    <x v="3810"/>
    <n v="25.599610999999999"/>
  </r>
  <r>
    <x v="3811"/>
    <n v="25.613401"/>
  </r>
  <r>
    <x v="3812"/>
    <n v="25.951048"/>
  </r>
  <r>
    <x v="3813"/>
    <n v="25.778772"/>
  </r>
  <r>
    <x v="3814"/>
    <n v="25.627174"/>
  </r>
  <r>
    <x v="3815"/>
    <n v="26.123327"/>
  </r>
  <r>
    <x v="3816"/>
    <n v="25.964834"/>
  </r>
  <r>
    <x v="3817"/>
    <n v="25.89592"/>
  </r>
  <r>
    <x v="3818"/>
    <n v="26.364502000000002"/>
  </r>
  <r>
    <x v="3819"/>
    <n v="26.398947"/>
  </r>
  <r>
    <x v="3820"/>
    <n v="26.219788000000001"/>
  </r>
  <r>
    <x v="3821"/>
    <n v="26.233568000000002"/>
  </r>
  <r>
    <x v="3822"/>
    <n v="27.329229000000002"/>
  </r>
  <r>
    <x v="3823"/>
    <n v="28.466217"/>
  </r>
  <r>
    <x v="3824"/>
    <n v="29.293125"/>
  </r>
  <r>
    <x v="3825"/>
    <n v="29.424036000000001"/>
  </r>
  <r>
    <x v="3826"/>
    <n v="28.976139"/>
  </r>
  <r>
    <x v="3827"/>
    <n v="29.486066999999998"/>
  </r>
  <r>
    <x v="3828"/>
    <n v="29.878830000000001"/>
  </r>
  <r>
    <x v="3829"/>
    <n v="29.389586999999999"/>
  </r>
  <r>
    <x v="3830"/>
    <n v="27.735765000000001"/>
  </r>
  <r>
    <x v="3831"/>
    <n v="27.853287000000002"/>
  </r>
  <r>
    <x v="3832"/>
    <n v="27.715039999999998"/>
  </r>
  <r>
    <x v="3833"/>
    <n v="27.286545"/>
  </r>
  <r>
    <x v="3834"/>
    <n v="27.051549999999999"/>
  </r>
  <r>
    <x v="3835"/>
    <n v="27.334917000000001"/>
  </r>
  <r>
    <x v="3836"/>
    <n v="27.431674999999998"/>
  </r>
  <r>
    <x v="3837"/>
    <n v="27.811810000000001"/>
  </r>
  <r>
    <x v="3838"/>
    <n v="27.749609"/>
  </r>
  <r>
    <x v="3839"/>
    <n v="27.728874000000001"/>
  </r>
  <r>
    <x v="3840"/>
    <n v="28.910723000000001"/>
  </r>
  <r>
    <x v="3841"/>
    <n v="29.864519000000001"/>
  </r>
  <r>
    <x v="3842"/>
    <n v="30.203175999999999"/>
  </r>
  <r>
    <x v="3843"/>
    <n v="30.189356"/>
  </r>
  <r>
    <x v="3844"/>
    <n v="29.657171000000002"/>
  </r>
  <r>
    <x v="3845"/>
    <n v="29.747019000000002"/>
  </r>
  <r>
    <x v="3846"/>
    <n v="30.223913"/>
  </r>
  <r>
    <x v="3847"/>
    <n v="29.961271"/>
  </r>
  <r>
    <x v="3848"/>
    <n v="29.422181999999999"/>
  </r>
  <r>
    <x v="3849"/>
    <n v="29.318505999999999"/>
  </r>
  <r>
    <x v="3850"/>
    <n v="29.463650000000001"/>
  </r>
  <r>
    <x v="3851"/>
    <n v="29.373805999999998"/>
  </r>
  <r>
    <x v="3852"/>
    <n v="29.201011999999999"/>
  </r>
  <r>
    <x v="3853"/>
    <n v="29.484390000000001"/>
  </r>
  <r>
    <x v="3854"/>
    <n v="29.774673"/>
  </r>
  <r>
    <x v="3855"/>
    <n v="30.210089"/>
  </r>
  <r>
    <x v="3856"/>
    <n v="30.168628999999999"/>
  </r>
  <r>
    <x v="3857"/>
    <n v="29.92672"/>
  </r>
  <r>
    <x v="3858"/>
    <n v="29.498211000000001"/>
  </r>
  <r>
    <x v="3859"/>
    <n v="29.719376"/>
  </r>
  <r>
    <x v="3860"/>
    <n v="29.097338000000001"/>
  </r>
  <r>
    <x v="3861"/>
    <n v="29.442914999999999"/>
  </r>
  <r>
    <x v="3862"/>
    <n v="29.408360999999999"/>
  </r>
  <r>
    <x v="3863"/>
    <n v="29.988924000000001"/>
  </r>
  <r>
    <x v="3864"/>
    <n v="29.975110999999998"/>
  </r>
  <r>
    <x v="3865"/>
    <n v="29.698644999999999"/>
  </r>
  <r>
    <x v="3866"/>
    <n v="29.968178000000002"/>
  </r>
  <r>
    <x v="3867"/>
    <n v="30.023475999999999"/>
  </r>
  <r>
    <x v="3868"/>
    <n v="29.643350999999999"/>
  </r>
  <r>
    <x v="3869"/>
    <n v="30.659344000000001"/>
  </r>
  <r>
    <x v="3870"/>
    <n v="31.336666000000001"/>
  </r>
  <r>
    <x v="3871"/>
    <n v="31.309013"/>
  </r>
  <r>
    <x v="3872"/>
    <n v="30.845934"/>
  </r>
  <r>
    <x v="3873"/>
    <n v="30.272307999999999"/>
  </r>
  <r>
    <x v="3874"/>
    <n v="30.251553999999999"/>
  </r>
  <r>
    <x v="3875"/>
    <n v="30.597137"/>
  </r>
  <r>
    <x v="3876"/>
    <n v="30.604042"/>
  </r>
  <r>
    <x v="3877"/>
    <n v="30.47963"/>
  </r>
  <r>
    <x v="3878"/>
    <n v="30.375982"/>
  </r>
  <r>
    <x v="3879"/>
    <n v="30.528019"/>
  </r>
  <r>
    <x v="3880"/>
    <n v="30.597137"/>
  </r>
  <r>
    <x v="3881"/>
    <n v="30.348331000000002"/>
  </r>
  <r>
    <x v="3882"/>
    <n v="31.004908"/>
  </r>
  <r>
    <x v="3883"/>
    <n v="30.583307000000001"/>
  </r>
  <r>
    <x v="3884"/>
    <n v="30.528019"/>
  </r>
  <r>
    <x v="3885"/>
    <n v="31.136240000000001"/>
  </r>
  <r>
    <x v="3886"/>
    <n v="30.977264000000002"/>
  </r>
  <r>
    <x v="3887"/>
    <n v="31.246824"/>
  </r>
  <r>
    <x v="3888"/>
    <n v="31.882677000000001"/>
  </r>
  <r>
    <x v="3889"/>
    <n v="32.055458000000002"/>
  </r>
  <r>
    <x v="3890"/>
    <n v="30.991091000000001"/>
  </r>
  <r>
    <x v="3891"/>
    <n v="30.12715"/>
  </r>
  <r>
    <x v="3892"/>
    <n v="29.961271"/>
  </r>
  <r>
    <x v="3893"/>
    <n v="30.604042"/>
  </r>
  <r>
    <x v="3894"/>
    <n v="29.688831"/>
  </r>
  <r>
    <x v="3895"/>
    <n v="29.778976"/>
  </r>
  <r>
    <x v="3896"/>
    <n v="29.654163"/>
  </r>
  <r>
    <x v="3897"/>
    <n v="29.245085"/>
  </r>
  <r>
    <x v="3898"/>
    <n v="29.460028000000001"/>
  </r>
  <r>
    <x v="3899"/>
    <n v="29.27976"/>
  </r>
  <r>
    <x v="3900"/>
    <n v="28.440816999999999"/>
  </r>
  <r>
    <x v="3901"/>
    <n v="29.030161"/>
  </r>
  <r>
    <x v="3902"/>
    <n v="28.697357"/>
  </r>
  <r>
    <x v="3903"/>
    <n v="28.988565000000001"/>
  </r>
  <r>
    <x v="3904"/>
    <n v="29.536301000000002"/>
  </r>
  <r>
    <x v="3905"/>
    <n v="29.550166999999998"/>
  </r>
  <r>
    <x v="3906"/>
    <n v="29.557110000000002"/>
  </r>
  <r>
    <x v="3907"/>
    <n v="29.349115000000001"/>
  </r>
  <r>
    <x v="3908"/>
    <n v="29.598692"/>
  </r>
  <r>
    <x v="3909"/>
    <n v="29.862179000000001"/>
  </r>
  <r>
    <x v="3910"/>
    <n v="30.201906000000001"/>
  </r>
  <r>
    <x v="3911"/>
    <n v="29.806715000000001"/>
  </r>
  <r>
    <x v="3912"/>
    <n v="29.487774000000002"/>
  </r>
  <r>
    <x v="3913"/>
    <n v="29.702701999999999"/>
  </r>
  <r>
    <x v="3914"/>
    <n v="30.104837"/>
  </r>
  <r>
    <x v="3915"/>
    <n v="30.132577999999999"/>
  </r>
  <r>
    <x v="3916"/>
    <n v="30.084029999999998"/>
  </r>
  <r>
    <x v="3917"/>
    <n v="30.458458"/>
  </r>
  <r>
    <x v="3918"/>
    <n v="30.409908000000001"/>
  </r>
  <r>
    <x v="3919"/>
    <n v="30.188037999999999"/>
  </r>
  <r>
    <x v="3920"/>
    <n v="30.215771"/>
  </r>
  <r>
    <x v="3921"/>
    <n v="30.222708000000001"/>
  </r>
  <r>
    <x v="3922"/>
    <n v="29.959233999999999"/>
  </r>
  <r>
    <x v="3923"/>
    <n v="30.396045999999998"/>
  </r>
  <r>
    <x v="3924"/>
    <n v="31.373659"/>
  </r>
  <r>
    <x v="3925"/>
    <n v="31.442979999999999"/>
  </r>
  <r>
    <x v="3926"/>
    <n v="31.221126999999999"/>
  </r>
  <r>
    <x v="3927"/>
    <n v="31.221126999999999"/>
  </r>
  <r>
    <x v="3928"/>
    <n v="31.269659000000001"/>
  </r>
  <r>
    <x v="3929"/>
    <n v="30.056304999999998"/>
  </r>
  <r>
    <x v="3930"/>
    <n v="29.813641000000001"/>
  </r>
  <r>
    <x v="3931"/>
    <n v="29.640305000000001"/>
  </r>
  <r>
    <x v="3932"/>
    <n v="29.869102000000002"/>
  </r>
  <r>
    <x v="3933"/>
    <n v="29.432293000000001"/>
  </r>
  <r>
    <x v="3934"/>
    <n v="29.175765999999999"/>
  </r>
  <r>
    <x v="3935"/>
    <n v="28.891490999999998"/>
  </r>
  <r>
    <x v="3936"/>
    <n v="29.487774000000002"/>
  </r>
  <r>
    <x v="3937"/>
    <n v="28.877623"/>
  </r>
  <r>
    <x v="3938"/>
    <n v="28.697357"/>
  </r>
  <r>
    <x v="3939"/>
    <n v="29.148035"/>
  </r>
  <r>
    <x v="3940"/>
    <n v="28.267489999999999"/>
  </r>
  <r>
    <x v="3941"/>
    <n v="28.967749000000001"/>
  </r>
  <r>
    <x v="3942"/>
    <n v="28.080290000000002"/>
  </r>
  <r>
    <x v="3943"/>
    <n v="27.837633"/>
  </r>
  <r>
    <x v="3944"/>
    <n v="26.499480999999999"/>
  </r>
  <r>
    <x v="3945"/>
    <n v="26.270668000000001"/>
  </r>
  <r>
    <x v="3946"/>
    <n v="26.984798000000001"/>
  </r>
  <r>
    <x v="3947"/>
    <n v="26.194399000000001"/>
  </r>
  <r>
    <x v="3948"/>
    <n v="25.022656999999999"/>
  </r>
  <r>
    <x v="3949"/>
    <n v="25.605060999999999"/>
  </r>
  <r>
    <x v="3950"/>
    <n v="26.027989999999999"/>
  </r>
  <r>
    <x v="3951"/>
    <n v="25.944800999999998"/>
  </r>
  <r>
    <x v="3952"/>
    <n v="25.584267000000001"/>
  </r>
  <r>
    <x v="3953"/>
    <n v="25.840796000000001"/>
  </r>
  <r>
    <x v="3954"/>
    <n v="26.249873999999998"/>
  </r>
  <r>
    <x v="3955"/>
    <n v="26.506397"/>
  </r>
  <r>
    <x v="3956"/>
    <n v="26.749068999999999"/>
  </r>
  <r>
    <x v="3957"/>
    <n v="26.256803999999999"/>
  </r>
  <r>
    <x v="3958"/>
    <n v="27.08494"/>
  </r>
  <r>
    <x v="3959"/>
    <n v="27.196283000000001"/>
  </r>
  <r>
    <x v="3960"/>
    <n v="27.759976999999999"/>
  </r>
  <r>
    <x v="3961"/>
    <n v="27.843481000000001"/>
  </r>
  <r>
    <x v="3962"/>
    <n v="27.091902000000001"/>
  </r>
  <r>
    <x v="3963"/>
    <n v="27.015335"/>
  </r>
  <r>
    <x v="3964"/>
    <n v="26.368148999999999"/>
  </r>
  <r>
    <x v="3965"/>
    <n v="25.588728"/>
  </r>
  <r>
    <x v="3966"/>
    <n v="26.451657999999998"/>
  </r>
  <r>
    <x v="3967"/>
    <n v="26.354234999999999"/>
  </r>
  <r>
    <x v="3968"/>
    <n v="27.258908999999999"/>
  </r>
  <r>
    <x v="3969"/>
    <n v="27.439857"/>
  </r>
  <r>
    <x v="3970"/>
    <n v="27.140608"/>
  </r>
  <r>
    <x v="3971"/>
    <n v="27.697331999999999"/>
  </r>
  <r>
    <x v="3972"/>
    <n v="27.864355"/>
  </r>
  <r>
    <x v="3973"/>
    <n v="28.212322"/>
  </r>
  <r>
    <x v="3974"/>
    <n v="28.414133"/>
  </r>
  <r>
    <x v="3975"/>
    <n v="28.977824999999999"/>
  </r>
  <r>
    <x v="3976"/>
    <n v="28.915185999999999"/>
  </r>
  <r>
    <x v="3977"/>
    <n v="29.395367"/>
  </r>
  <r>
    <x v="3978"/>
    <n v="29.388390000000001"/>
  </r>
  <r>
    <x v="3979"/>
    <n v="29.409296000000001"/>
  </r>
  <r>
    <x v="3980"/>
    <n v="29.290977000000002"/>
  </r>
  <r>
    <x v="3981"/>
    <n v="29.214431999999999"/>
  </r>
  <r>
    <x v="3982"/>
    <n v="29.416252"/>
  </r>
  <r>
    <x v="3983"/>
    <n v="29.771158"/>
  </r>
  <r>
    <x v="3984"/>
    <n v="30.174773999999999"/>
  </r>
  <r>
    <x v="3985"/>
    <n v="29.764206000000001"/>
  </r>
  <r>
    <x v="3986"/>
    <n v="29.680707999999999"/>
  </r>
  <r>
    <x v="3987"/>
    <n v="29.437125999999999"/>
  </r>
  <r>
    <x v="3988"/>
    <n v="28.859531"/>
  </r>
  <r>
    <x v="3989"/>
    <n v="29.339706"/>
  </r>
  <r>
    <x v="3990"/>
    <n v="28.734256999999999"/>
  </r>
  <r>
    <x v="3991"/>
    <n v="28.421085000000001"/>
  </r>
  <r>
    <x v="3992"/>
    <n v="28.81776"/>
  </r>
  <r>
    <x v="3993"/>
    <n v="28.796894000000002"/>
  </r>
  <r>
    <x v="3994"/>
    <n v="28.052257999999998"/>
  </r>
  <r>
    <x v="3995"/>
    <n v="28.441960999999999"/>
  </r>
  <r>
    <x v="3996"/>
    <n v="28.622923"/>
  </r>
  <r>
    <x v="3997"/>
    <n v="28.657699999999998"/>
  </r>
  <r>
    <x v="3998"/>
    <n v="28.386295"/>
  </r>
  <r>
    <x v="3999"/>
    <n v="28.762096"/>
  </r>
  <r>
    <x v="4000"/>
    <n v="28.970866999999998"/>
  </r>
  <r>
    <x v="4001"/>
    <n v="29.075251000000002"/>
  </r>
  <r>
    <x v="4002"/>
    <n v="29.736383"/>
  </r>
  <r>
    <x v="4003"/>
    <n v="28.734256999999999"/>
  </r>
  <r>
    <x v="4004"/>
    <n v="28.769047"/>
  </r>
  <r>
    <x v="4005"/>
    <n v="28.428051"/>
  </r>
  <r>
    <x v="4006"/>
    <n v="28.922146000000001"/>
  </r>
  <r>
    <x v="4007"/>
    <n v="28.664663000000001"/>
  </r>
  <r>
    <x v="4008"/>
    <n v="27.669512000000001"/>
  </r>
  <r>
    <x v="4009"/>
    <n v="26.514288000000001"/>
  </r>
  <r>
    <x v="4010"/>
    <n v="25.950603000000001"/>
  </r>
  <r>
    <x v="4011"/>
    <n v="27.25197"/>
  </r>
  <r>
    <x v="4012"/>
    <n v="27.864355"/>
  </r>
  <r>
    <x v="4013"/>
    <n v="28.400210999999999"/>
  </r>
  <r>
    <x v="4014"/>
    <n v="28.782976000000001"/>
  </r>
  <r>
    <x v="4015"/>
    <n v="29.054379000000001"/>
  </r>
  <r>
    <x v="4016"/>
    <n v="28.769047"/>
  </r>
  <r>
    <x v="4017"/>
    <n v="28.156651"/>
  </r>
  <r>
    <x v="4018"/>
    <n v="28.205347"/>
  </r>
  <r>
    <x v="4019"/>
    <n v="27.265879000000002"/>
  </r>
  <r>
    <x v="4020"/>
    <n v="27.711264"/>
  </r>
  <r>
    <x v="4021"/>
    <n v="28.873443999999999"/>
  </r>
  <r>
    <x v="4022"/>
    <n v="28.824722000000001"/>
  </r>
  <r>
    <x v="4023"/>
    <n v="28.379337"/>
  </r>
  <r>
    <x v="4024"/>
    <n v="27.808695"/>
  </r>
  <r>
    <x v="4025"/>
    <n v="27.391144000000001"/>
  </r>
  <r>
    <x v="4026"/>
    <n v="28.194292000000001"/>
  </r>
  <r>
    <x v="4027"/>
    <n v="28.222228999999999"/>
  </r>
  <r>
    <x v="4028"/>
    <n v="28.019693"/>
  </r>
  <r>
    <x v="4029"/>
    <n v="28.333974999999999"/>
  </r>
  <r>
    <x v="4030"/>
    <n v="28.061602000000001"/>
  </r>
  <r>
    <x v="4031"/>
    <n v="28.641276999999999"/>
  </r>
  <r>
    <x v="4032"/>
    <n v="27.838115999999999"/>
  </r>
  <r>
    <x v="4033"/>
    <n v="27.502886"/>
  </r>
  <r>
    <x v="4034"/>
    <n v="27.321290999999999"/>
  </r>
  <r>
    <x v="4035"/>
    <n v="27.041941000000001"/>
  </r>
  <r>
    <x v="4036"/>
    <n v="26.734652000000001"/>
  </r>
  <r>
    <x v="4037"/>
    <n v="27.321290999999999"/>
  </r>
  <r>
    <x v="4038"/>
    <n v="27.907959000000002"/>
  </r>
  <r>
    <x v="4039"/>
    <n v="28.152397000000001"/>
  </r>
  <r>
    <x v="4040"/>
    <n v="28.131439"/>
  </r>
  <r>
    <x v="4041"/>
    <n v="27.712406000000001"/>
  </r>
  <r>
    <x v="4042"/>
    <n v="27.635587999999998"/>
  </r>
  <r>
    <x v="4043"/>
    <n v="27.481929999999998"/>
  </r>
  <r>
    <x v="4044"/>
    <n v="26.811474"/>
  </r>
  <r>
    <x v="4045"/>
    <n v="26.469263000000002"/>
  </r>
  <r>
    <x v="4046"/>
    <n v="25.861649"/>
  </r>
  <r>
    <x v="4047"/>
    <n v="25.456581"/>
  </r>
  <r>
    <x v="4048"/>
    <n v="25.135321000000001"/>
  </r>
  <r>
    <x v="4049"/>
    <n v="26.392437000000001"/>
  </r>
  <r>
    <x v="4050"/>
    <n v="26.532109999999999"/>
  </r>
  <r>
    <x v="4051"/>
    <n v="26.979084"/>
  </r>
  <r>
    <x v="4052"/>
    <n v="27.935896"/>
  </r>
  <r>
    <x v="4053"/>
    <n v="27.481929999999998"/>
  </r>
  <r>
    <x v="4054"/>
    <n v="27.907959000000002"/>
  </r>
  <r>
    <x v="4055"/>
    <n v="27.279392000000001"/>
  </r>
  <r>
    <x v="4056"/>
    <n v="26.783529000000001"/>
  </r>
  <r>
    <x v="4057"/>
    <n v="25.791805"/>
  </r>
  <r>
    <x v="4058"/>
    <n v="25.582287000000001"/>
  </r>
  <r>
    <x v="4059"/>
    <n v="28.222228999999999"/>
  </r>
  <r>
    <x v="4060"/>
    <n v="27.935896"/>
  </r>
  <r>
    <x v="4061"/>
    <n v="28.285086"/>
  </r>
  <r>
    <x v="4062"/>
    <n v="28.145406999999999"/>
  </r>
  <r>
    <x v="4063"/>
    <n v="28.131439"/>
  </r>
  <r>
    <x v="4064"/>
    <n v="29.626007000000001"/>
  </r>
  <r>
    <x v="4065"/>
    <n v="29.472367999999999"/>
  </r>
  <r>
    <x v="4066"/>
    <n v="29.227920999999998"/>
  </r>
  <r>
    <x v="4067"/>
    <n v="28.438734"/>
  </r>
  <r>
    <x v="4068"/>
    <n v="27.691445999999999"/>
  </r>
  <r>
    <x v="4069"/>
    <n v="28.592372999999998"/>
  </r>
  <r>
    <x v="4070"/>
    <n v="29.276834000000001"/>
  </r>
  <r>
    <x v="4071"/>
    <n v="29.234902999999999"/>
  </r>
  <r>
    <x v="4072"/>
    <n v="28.592372999999998"/>
  </r>
  <r>
    <x v="4073"/>
    <n v="29.339668"/>
  </r>
  <r>
    <x v="4074"/>
    <n v="28.543488"/>
  </r>
  <r>
    <x v="4075"/>
    <n v="29.472367999999999"/>
  </r>
  <r>
    <x v="4076"/>
    <n v="29.297768000000001"/>
  </r>
  <r>
    <x v="4077"/>
    <n v="30.289490000000001"/>
  </r>
  <r>
    <x v="4078"/>
    <n v="29.626007000000001"/>
  </r>
  <r>
    <x v="4079"/>
    <n v="30.359328999999999"/>
  </r>
  <r>
    <x v="4080"/>
    <n v="30.533932"/>
  </r>
  <r>
    <x v="4081"/>
    <n v="30.478055999999999"/>
  </r>
  <r>
    <x v="4082"/>
    <n v="30.681244"/>
  </r>
  <r>
    <x v="4083"/>
    <n v="30.351960999999999"/>
  </r>
  <r>
    <x v="4084"/>
    <n v="29.700333000000001"/>
  </r>
  <r>
    <x v="4085"/>
    <n v="28.810528000000001"/>
  </r>
  <r>
    <x v="4086"/>
    <n v="28.873578999999999"/>
  </r>
  <r>
    <x v="4087"/>
    <n v="29.076765000000002"/>
  </r>
  <r>
    <x v="4088"/>
    <n v="28.327076000000002"/>
  </r>
  <r>
    <x v="4089"/>
    <n v="28.193956"/>
  </r>
  <r>
    <x v="4090"/>
    <n v="27.444251999999999"/>
  </r>
  <r>
    <x v="4091"/>
    <n v="27.619416999999999"/>
  </r>
  <r>
    <x v="4092"/>
    <n v="27.850639000000001"/>
  </r>
  <r>
    <x v="4093"/>
    <n v="28.200959999999998"/>
  </r>
  <r>
    <x v="4094"/>
    <n v="27.486298000000001"/>
  </r>
  <r>
    <x v="4095"/>
    <n v="26.974836"/>
  </r>
  <r>
    <x v="4096"/>
    <n v="28.116882"/>
  </r>
  <r>
    <x v="4097"/>
    <n v="26.519413"/>
  </r>
  <r>
    <x v="4098"/>
    <n v="26.813686000000001"/>
  </r>
  <r>
    <x v="4099"/>
    <n v="27.948730000000001"/>
  </r>
  <r>
    <x v="4100"/>
    <n v="28.586307999999999"/>
  </r>
  <r>
    <x v="4101"/>
    <n v="28.369105999999999"/>
  </r>
  <r>
    <x v="4102"/>
    <n v="27.829622000000001"/>
  </r>
  <r>
    <x v="4103"/>
    <n v="28.12388"/>
  </r>
  <r>
    <x v="4104"/>
    <n v="28.726448000000001"/>
  </r>
  <r>
    <x v="4105"/>
    <n v="29.581223999999999"/>
  </r>
  <r>
    <x v="4106"/>
    <n v="29.392059"/>
  </r>
  <r>
    <x v="4107"/>
    <n v="29.350014000000002"/>
  </r>
  <r>
    <x v="4108"/>
    <n v="29.462116000000002"/>
  </r>
  <r>
    <x v="4109"/>
    <n v="29.195871"/>
  </r>
  <r>
    <x v="4110"/>
    <n v="29.483132999999999"/>
  </r>
  <r>
    <x v="4111"/>
    <n v="29.083767000000002"/>
  </r>
  <r>
    <x v="4112"/>
    <n v="29.833466000000001"/>
  </r>
  <r>
    <x v="4113"/>
    <n v="29.006702000000001"/>
  </r>
  <r>
    <x v="4114"/>
    <n v="28.978674000000002"/>
  </r>
  <r>
    <x v="4115"/>
    <n v="28.859567999999999"/>
  </r>
  <r>
    <x v="4116"/>
    <n v="29.609259000000002"/>
  </r>
  <r>
    <x v="4117"/>
    <n v="29.476133000000001"/>
  </r>
  <r>
    <x v="4118"/>
    <n v="29.812436999999999"/>
  </r>
  <r>
    <x v="4119"/>
    <n v="29.861491999999998"/>
  </r>
  <r>
    <x v="4120"/>
    <n v="29.111794"/>
  </r>
  <r>
    <x v="4121"/>
    <n v="29.350014000000002"/>
  </r>
  <r>
    <x v="4122"/>
    <n v="30.239836"/>
  </r>
  <r>
    <x v="4123"/>
    <n v="30.2959"/>
  </r>
  <r>
    <x v="4124"/>
    <n v="30.330914"/>
  </r>
  <r>
    <x v="4125"/>
    <n v="30.660229000000001"/>
  </r>
  <r>
    <x v="4126"/>
    <n v="30.260854999999999"/>
  </r>
  <r>
    <x v="4127"/>
    <n v="31.080606"/>
  </r>
  <r>
    <x v="4128"/>
    <n v="31.059588999999999"/>
  </r>
  <r>
    <x v="4129"/>
    <n v="30.779329000000001"/>
  </r>
  <r>
    <x v="4130"/>
    <n v="31.213739"/>
  </r>
  <r>
    <x v="4131"/>
    <n v="30.506084000000001"/>
  </r>
  <r>
    <x v="4132"/>
    <n v="30.898440999999998"/>
  </r>
  <r>
    <x v="4133"/>
    <n v="30.632196"/>
  </r>
  <r>
    <x v="4134"/>
    <n v="31.269774999999999"/>
  </r>
  <r>
    <x v="4135"/>
    <n v="31.227747000000001"/>
  </r>
  <r>
    <x v="4136"/>
    <n v="30.919464000000001"/>
  </r>
  <r>
    <x v="4137"/>
    <n v="31.529011000000001"/>
  </r>
  <r>
    <x v="4138"/>
    <n v="32.860244999999999"/>
  </r>
  <r>
    <x v="4139"/>
    <n v="33.175545"/>
  </r>
  <r>
    <x v="4140"/>
    <n v="32.271712999999998"/>
  </r>
  <r>
    <x v="4141"/>
    <n v="32.355784999999997"/>
  </r>
  <r>
    <x v="4142"/>
    <n v="32.138587999999999"/>
  </r>
  <r>
    <x v="4143"/>
    <n v="33.462806999999998"/>
  </r>
  <r>
    <x v="4144"/>
    <n v="34.226500999999999"/>
  </r>
  <r>
    <x v="4145"/>
    <n v="33.966422999999999"/>
  </r>
  <r>
    <x v="4146"/>
    <n v="34.599068000000003"/>
  </r>
  <r>
    <x v="4147"/>
    <n v="34.121074999999998"/>
  </r>
  <r>
    <x v="4148"/>
    <n v="33.530597999999998"/>
  </r>
  <r>
    <x v="4149"/>
    <n v="33.031497999999999"/>
  </r>
  <r>
    <x v="4150"/>
    <n v="34.057803999999997"/>
  </r>
  <r>
    <x v="4151"/>
    <n v="34.718563000000003"/>
  </r>
  <r>
    <x v="4152"/>
    <n v="33.136935999999999"/>
  </r>
  <r>
    <x v="4153"/>
    <n v="33.115851999999997"/>
  </r>
  <r>
    <x v="4154"/>
    <n v="33.333767000000002"/>
  </r>
  <r>
    <x v="4155"/>
    <n v="32.553482000000002"/>
  </r>
  <r>
    <x v="4156"/>
    <n v="34.430351000000002"/>
  </r>
  <r>
    <x v="4157"/>
    <n v="35.140335"/>
  </r>
  <r>
    <x v="4158"/>
    <n v="34.824016999999998"/>
  </r>
  <r>
    <x v="4159"/>
    <n v="34.184319000000002"/>
  </r>
  <r>
    <x v="4160"/>
    <n v="34.514721000000002"/>
  </r>
  <r>
    <x v="4161"/>
    <n v="35.400444"/>
  </r>
  <r>
    <x v="4162"/>
    <n v="34.114024999999998"/>
  </r>
  <r>
    <x v="4163"/>
    <n v="33.607909999999997"/>
  </r>
  <r>
    <x v="4164"/>
    <n v="32.525371999999997"/>
  </r>
  <r>
    <x v="4165"/>
    <n v="33.151001000000001"/>
  </r>
  <r>
    <x v="4166"/>
    <n v="31.709935999999999"/>
  </r>
  <r>
    <x v="4167"/>
    <n v="32.089545999999999"/>
  </r>
  <r>
    <x v="4168"/>
    <n v="31.189772000000001"/>
  </r>
  <r>
    <x v="4169"/>
    <n v="32.209045000000003"/>
  </r>
  <r>
    <x v="4170"/>
    <n v="31.667786"/>
  </r>
  <r>
    <x v="4171"/>
    <n v="31.667786"/>
  </r>
  <r>
    <x v="4172"/>
    <n v="31.885693"/>
  </r>
  <r>
    <x v="4173"/>
    <n v="33.425139999999999"/>
  </r>
  <r>
    <x v="4174"/>
    <n v="32.743282000000001"/>
  </r>
  <r>
    <x v="4175"/>
    <n v="33.860973000000001"/>
  </r>
  <r>
    <x v="4176"/>
    <n v="33.973433999999997"/>
  </r>
  <r>
    <x v="4177"/>
    <n v="33.628990000000002"/>
  </r>
  <r>
    <x v="4178"/>
    <n v="32.968238999999997"/>
  </r>
  <r>
    <x v="4179"/>
    <n v="33.024464000000002"/>
  </r>
  <r>
    <x v="4180"/>
    <n v="32.026282999999999"/>
  </r>
  <r>
    <x v="4181"/>
    <n v="31.766190999999999"/>
  </r>
  <r>
    <x v="4182"/>
    <n v="31.829457999999999"/>
  </r>
  <r>
    <x v="4183"/>
    <n v="30.999980999999998"/>
  </r>
  <r>
    <x v="4184"/>
    <n v="31.506094000000001"/>
  </r>
  <r>
    <x v="4185"/>
    <n v="36.855530000000002"/>
  </r>
  <r>
    <x v="4186"/>
    <n v="38.275471000000003"/>
  </r>
  <r>
    <x v="4187"/>
    <n v="37.551453000000002"/>
  </r>
  <r>
    <x v="4188"/>
    <n v="38.605857999999998"/>
  </r>
  <r>
    <x v="4189"/>
    <n v="39.111995999999998"/>
  </r>
  <r>
    <x v="4190"/>
    <n v="38.901127000000002"/>
  </r>
  <r>
    <x v="4191"/>
    <n v="38.992485000000002"/>
  </r>
  <r>
    <x v="4192"/>
    <n v="37.164817999999997"/>
  </r>
  <r>
    <x v="4193"/>
    <n v="39.175261999999996"/>
  </r>
  <r>
    <x v="4194"/>
    <n v="39.055751999999998"/>
  </r>
  <r>
    <x v="4195"/>
    <n v="38.929229999999997"/>
  </r>
  <r>
    <x v="4196"/>
    <n v="39.266646999999999"/>
  </r>
  <r>
    <x v="4197"/>
    <n v="38.254398000000002"/>
  </r>
  <r>
    <x v="4198"/>
    <n v="38.106780999999998"/>
  </r>
  <r>
    <x v="4199"/>
    <n v="38.936248999999997"/>
  </r>
  <r>
    <x v="4200"/>
    <n v="39.611072999999998"/>
  </r>
  <r>
    <x v="4201"/>
    <n v="39.625140999999999"/>
  </r>
  <r>
    <x v="4202"/>
    <n v="38.901127000000002"/>
  </r>
  <r>
    <x v="4203"/>
    <n v="38.514488"/>
  </r>
  <r>
    <x v="4204"/>
    <n v="38.626956999999997"/>
  </r>
  <r>
    <x v="4205"/>
    <n v="38.458263000000002"/>
  </r>
  <r>
    <x v="4206"/>
    <n v="38.950310000000002"/>
  </r>
  <r>
    <x v="4207"/>
    <n v="37.874802000000003"/>
  </r>
  <r>
    <x v="4208"/>
    <n v="37.607689000000001"/>
  </r>
  <r>
    <x v="4209"/>
    <n v="38.129424999999998"/>
  </r>
  <r>
    <x v="4210"/>
    <n v="38.051872000000003"/>
  </r>
  <r>
    <x v="4211"/>
    <n v="37.121197000000002"/>
  </r>
  <r>
    <x v="4212"/>
    <n v="36.077717"/>
  </r>
  <r>
    <x v="4213"/>
    <n v="34.731064000000003"/>
  </r>
  <r>
    <x v="4214"/>
    <n v="34.223415000000003"/>
  </r>
  <r>
    <x v="4215"/>
    <n v="33.610022999999998"/>
  </r>
  <r>
    <x v="4216"/>
    <n v="32.630001"/>
  </r>
  <r>
    <x v="4217"/>
    <n v="32.157603999999999"/>
  </r>
  <r>
    <x v="4218"/>
    <n v="32.947285000000001"/>
  </r>
  <r>
    <x v="4219"/>
    <n v="34.611190999999998"/>
  </r>
  <r>
    <x v="4220"/>
    <n v="33.786270000000002"/>
  </r>
  <r>
    <x v="4221"/>
    <n v="33.010722999999999"/>
  </r>
  <r>
    <x v="4222"/>
    <n v="33.786270000000002"/>
  </r>
  <r>
    <x v="4223"/>
    <n v="31.685214999999999"/>
  </r>
  <r>
    <x v="4224"/>
    <n v="32.926108999999997"/>
  </r>
  <r>
    <x v="4225"/>
    <n v="34.364421999999998"/>
  </r>
  <r>
    <x v="4226"/>
    <n v="32.404366000000003"/>
  </r>
  <r>
    <x v="4227"/>
    <n v="32.369109999999999"/>
  </r>
  <r>
    <x v="4228"/>
    <n v="31.931972999999999"/>
  </r>
  <r>
    <x v="4229"/>
    <n v="32.813313000000001"/>
  </r>
  <r>
    <x v="4230"/>
    <n v="32.319777999999999"/>
  </r>
  <r>
    <x v="4231"/>
    <n v="28.117626000000001"/>
  </r>
  <r>
    <x v="4232"/>
    <n v="30.296264999999998"/>
  </r>
  <r>
    <x v="4233"/>
    <n v="29.273925999999999"/>
  </r>
  <r>
    <x v="4234"/>
    <n v="28.604116000000001"/>
  </r>
  <r>
    <x v="4235"/>
    <n v="28.815633999999999"/>
  </r>
  <r>
    <x v="4236"/>
    <n v="28.364402999999999"/>
  </r>
  <r>
    <x v="4237"/>
    <n v="27.624089999999999"/>
  </r>
  <r>
    <x v="4238"/>
    <n v="28.956644000000001"/>
  </r>
  <r>
    <x v="4239"/>
    <n v="27.976610000000001"/>
  </r>
  <r>
    <x v="4240"/>
    <n v="27.483070000000001"/>
  </r>
  <r>
    <x v="4241"/>
    <n v="29.82386"/>
  </r>
  <r>
    <x v="4242"/>
    <n v="28.427845000000001"/>
  </r>
  <r>
    <x v="4243"/>
    <n v="25.600584000000001"/>
  </r>
  <r>
    <x v="4244"/>
    <n v="27.419620999999999"/>
  </r>
  <r>
    <x v="4245"/>
    <n v="28.025969"/>
  </r>
  <r>
    <x v="4246"/>
    <n v="28.406690999999999"/>
  </r>
  <r>
    <x v="4247"/>
    <n v="25.826198999999999"/>
  </r>
  <r>
    <x v="4248"/>
    <n v="25.128195000000002"/>
  </r>
  <r>
    <x v="4249"/>
    <n v="24.86731"/>
  </r>
  <r>
    <x v="4250"/>
    <n v="24.669896999999999"/>
  </r>
  <r>
    <x v="4251"/>
    <n v="23.957802000000001"/>
  </r>
  <r>
    <x v="4252"/>
    <n v="27.433721999999999"/>
  </r>
  <r>
    <x v="4253"/>
    <n v="26.735717999999999"/>
  </r>
  <r>
    <x v="4254"/>
    <n v="28.004814"/>
  </r>
  <r>
    <x v="4255"/>
    <n v="26.975435000000001"/>
  </r>
  <r>
    <x v="4256"/>
    <n v="26.228081"/>
  </r>
  <r>
    <x v="4257"/>
    <n v="26.763918"/>
  </r>
  <r>
    <x v="4258"/>
    <n v="24.796817999999998"/>
  </r>
  <r>
    <x v="4259"/>
    <n v="23.302101"/>
  </r>
  <r>
    <x v="4260"/>
    <n v="25.142294"/>
  </r>
  <r>
    <x v="4261"/>
    <n v="24.895524999999999"/>
  </r>
  <r>
    <x v="4262"/>
    <n v="24.726309000000001"/>
  </r>
  <r>
    <x v="4263"/>
    <n v="22.963671000000001"/>
  </r>
  <r>
    <x v="4264"/>
    <n v="24.550034"/>
  </r>
  <r>
    <x v="4265"/>
    <n v="23.224546"/>
  </r>
  <r>
    <x v="4266"/>
    <n v="22.315016"/>
  </r>
  <r>
    <x v="4267"/>
    <n v="22.427828000000002"/>
  </r>
  <r>
    <x v="4268"/>
    <n v="21.158728"/>
  </r>
  <r>
    <x v="4269"/>
    <n v="20.594677000000001"/>
  </r>
  <r>
    <x v="4270"/>
    <n v="21.271536000000001"/>
  </r>
  <r>
    <x v="4271"/>
    <n v="23.139939999999999"/>
  </r>
  <r>
    <x v="4272"/>
    <n v="23.048280999999999"/>
  </r>
  <r>
    <x v="4273"/>
    <n v="23.584122000000001"/>
  </r>
  <r>
    <x v="4274"/>
    <n v="23.668728000000002"/>
  </r>
  <r>
    <x v="4275"/>
    <n v="21.123472"/>
  </r>
  <r>
    <x v="4276"/>
    <n v="21.532412000000001"/>
  </r>
  <r>
    <x v="4277"/>
    <n v="21.363194"/>
  </r>
  <r>
    <x v="4278"/>
    <n v="21.208082000000001"/>
  </r>
  <r>
    <x v="4279"/>
    <n v="22.491275999999999"/>
  </r>
  <r>
    <x v="4280"/>
    <n v="23.640529999999998"/>
  </r>
  <r>
    <x v="4281"/>
    <n v="23.718449"/>
  </r>
  <r>
    <x v="4282"/>
    <n v="24.419806000000001"/>
  </r>
  <r>
    <x v="4283"/>
    <n v="23.087944"/>
  </r>
  <r>
    <x v="4284"/>
    <n v="24.030163000000002"/>
  </r>
  <r>
    <x v="4285"/>
    <n v="23.952238000000001"/>
  </r>
  <r>
    <x v="4286"/>
    <n v="25.546223000000001"/>
  </r>
  <r>
    <x v="4287"/>
    <n v="24.866116999999999"/>
  </r>
  <r>
    <x v="4288"/>
    <n v="24.171852000000001"/>
  </r>
  <r>
    <x v="4289"/>
    <n v="24.81653"/>
  </r>
  <r>
    <x v="4290"/>
    <n v="24.660675000000001"/>
  </r>
  <r>
    <x v="4291"/>
    <n v="24.214357"/>
  </r>
  <r>
    <x v="4292"/>
    <n v="24.200191"/>
  </r>
  <r>
    <x v="4293"/>
    <n v="24.391470000000002"/>
  </r>
  <r>
    <x v="4294"/>
    <n v="24.157681"/>
  </r>
  <r>
    <x v="4295"/>
    <n v="24.752768"/>
  </r>
  <r>
    <x v="4296"/>
    <n v="25.383274"/>
  </r>
  <r>
    <x v="4297"/>
    <n v="26.247574"/>
  </r>
  <r>
    <x v="4298"/>
    <n v="25.822507999999999"/>
  </r>
  <r>
    <x v="4299"/>
    <n v="26.318407000000001"/>
  </r>
  <r>
    <x v="4300"/>
    <n v="25.184908"/>
  </r>
  <r>
    <x v="4301"/>
    <n v="24.993628999999999"/>
  </r>
  <r>
    <x v="4302"/>
    <n v="24.795275"/>
  </r>
  <r>
    <x v="4303"/>
    <n v="24.696096000000001"/>
  </r>
  <r>
    <x v="4304"/>
    <n v="24.894455000000001"/>
  </r>
  <r>
    <x v="4305"/>
    <n v="23.916819"/>
  </r>
  <r>
    <x v="4306"/>
    <n v="24.653593000000001"/>
  </r>
  <r>
    <x v="4307"/>
    <n v="25.517887000000002"/>
  </r>
  <r>
    <x v="4308"/>
    <n v="24.186019999999999"/>
  </r>
  <r>
    <x v="4309"/>
    <n v="25.411617"/>
  </r>
  <r>
    <x v="4310"/>
    <n v="25.546223000000001"/>
  </r>
  <r>
    <x v="4311"/>
    <n v="25.907522"/>
  </r>
  <r>
    <x v="4312"/>
    <n v="25.914604000000001"/>
  </r>
  <r>
    <x v="4313"/>
    <n v="25.241592000000001"/>
  </r>
  <r>
    <x v="4314"/>
    <n v="26.084634999999999"/>
  </r>
  <r>
    <x v="4315"/>
    <n v="24.887377000000001"/>
  </r>
  <r>
    <x v="4316"/>
    <n v="24.476476999999999"/>
  </r>
  <r>
    <x v="4317"/>
    <n v="25.000727000000001"/>
  </r>
  <r>
    <x v="4318"/>
    <n v="24.242691000000001"/>
  </r>
  <r>
    <x v="4319"/>
    <n v="23.966405999999999"/>
  </r>
  <r>
    <x v="4320"/>
    <n v="24.823612000000001"/>
  </r>
  <r>
    <x v="4321"/>
    <n v="25.730415000000001"/>
  </r>
  <r>
    <x v="4322"/>
    <n v="25.964195"/>
  </r>
  <r>
    <x v="4323"/>
    <n v="24.809448"/>
  </r>
  <r>
    <x v="4324"/>
    <n v="24.518979999999999"/>
  </r>
  <r>
    <x v="4325"/>
    <n v="25.177826"/>
  </r>
  <r>
    <x v="4326"/>
    <n v="25.277006"/>
  </r>
  <r>
    <x v="4327"/>
    <n v="24.596916"/>
  </r>
  <r>
    <x v="4328"/>
    <n v="24.313542999999999"/>
  </r>
  <r>
    <x v="4329"/>
    <n v="23.973493999999999"/>
  </r>
  <r>
    <x v="4330"/>
    <n v="24.136434999999999"/>
  </r>
  <r>
    <x v="4331"/>
    <n v="23.222549000000001"/>
  </r>
  <r>
    <x v="4332"/>
    <n v="24.433973000000002"/>
  </r>
  <r>
    <x v="4333"/>
    <n v="24.149277000000001"/>
  </r>
  <r>
    <x v="4334"/>
    <n v="23.957108999999999"/>
  </r>
  <r>
    <x v="4335"/>
    <n v="23.793406999999998"/>
  </r>
  <r>
    <x v="4336"/>
    <n v="23.337896000000001"/>
  </r>
  <r>
    <x v="4337"/>
    <n v="23.807649999999999"/>
  </r>
  <r>
    <x v="4338"/>
    <n v="24.725784000000001"/>
  </r>
  <r>
    <x v="4339"/>
    <n v="24.647497000000001"/>
  </r>
  <r>
    <x v="4340"/>
    <n v="23.935759000000001"/>
  </r>
  <r>
    <x v="4341"/>
    <n v="23.487362000000001"/>
  </r>
  <r>
    <x v="4342"/>
    <n v="25.167066999999999"/>
  </r>
  <r>
    <x v="4343"/>
    <n v="25.159942999999998"/>
  </r>
  <r>
    <x v="4344"/>
    <n v="26.184849"/>
  </r>
  <r>
    <x v="4345"/>
    <n v="26.156385"/>
  </r>
  <r>
    <x v="4346"/>
    <n v="25.508696"/>
  </r>
  <r>
    <x v="4347"/>
    <n v="26.554963999999998"/>
  </r>
  <r>
    <x v="4348"/>
    <n v="27.010475"/>
  </r>
  <r>
    <x v="4349"/>
    <n v="26.789819999999999"/>
  </r>
  <r>
    <x v="4350"/>
    <n v="26.377016000000001"/>
  </r>
  <r>
    <x v="4351"/>
    <n v="27.629681000000001"/>
  </r>
  <r>
    <x v="4352"/>
    <n v="27.067404"/>
  </r>
  <r>
    <x v="4353"/>
    <n v="27.401926"/>
  </r>
  <r>
    <x v="4354"/>
    <n v="28.142118"/>
  </r>
  <r>
    <x v="4355"/>
    <n v="27.715091999999999"/>
  </r>
  <r>
    <x v="4356"/>
    <n v="26.953527000000001"/>
  </r>
  <r>
    <x v="4357"/>
    <n v="27.693750000000001"/>
  </r>
  <r>
    <x v="4358"/>
    <n v="28.241772000000001"/>
  </r>
  <r>
    <x v="4359"/>
    <n v="29.401904999999999"/>
  </r>
  <r>
    <x v="4360"/>
    <n v="29.316496000000001"/>
  </r>
  <r>
    <x v="4361"/>
    <n v="28.93928"/>
  </r>
  <r>
    <x v="4362"/>
    <n v="28.014023000000002"/>
  </r>
  <r>
    <x v="4363"/>
    <n v="28.626106"/>
  </r>
  <r>
    <x v="4364"/>
    <n v="29.643899999999999"/>
  </r>
  <r>
    <x v="4365"/>
    <n v="29.095865"/>
  </r>
  <r>
    <x v="4366"/>
    <n v="29.038910000000001"/>
  </r>
  <r>
    <x v="4367"/>
    <n v="29.110092000000002"/>
  </r>
  <r>
    <x v="4368"/>
    <n v="29.636786000000001"/>
  </r>
  <r>
    <x v="4369"/>
    <n v="29.167027000000001"/>
  </r>
  <r>
    <x v="4370"/>
    <n v="28.206181999999998"/>
  </r>
  <r>
    <x v="4371"/>
    <n v="28.661707"/>
  </r>
  <r>
    <x v="4372"/>
    <n v="28.554932000000001"/>
  </r>
  <r>
    <x v="4373"/>
    <n v="28.989091999999999"/>
  </r>
  <r>
    <x v="4374"/>
    <n v="29.43749"/>
  </r>
  <r>
    <x v="4375"/>
    <n v="30.725742"/>
  </r>
  <r>
    <x v="4376"/>
    <n v="30.063828999999998"/>
  </r>
  <r>
    <x v="4377"/>
    <n v="30.66168"/>
  </r>
  <r>
    <x v="4378"/>
    <n v="30.120768000000002"/>
  </r>
  <r>
    <x v="4379"/>
    <n v="30.362749000000001"/>
  </r>
  <r>
    <x v="4380"/>
    <n v="30.853853000000001"/>
  </r>
  <r>
    <x v="4381"/>
    <n v="30.953486999999999"/>
  </r>
  <r>
    <x v="4382"/>
    <n v="31.124319"/>
  </r>
  <r>
    <x v="4383"/>
    <n v="30.135002"/>
  </r>
  <r>
    <x v="4384"/>
    <n v="29.743535999999999"/>
  </r>
  <r>
    <x v="4385"/>
    <n v="29.836072999999999"/>
  </r>
  <r>
    <x v="4386"/>
    <n v="29.131439"/>
  </r>
  <r>
    <x v="4387"/>
    <n v="28.412590000000002"/>
  </r>
  <r>
    <x v="4388"/>
    <n v="28.846748000000002"/>
  </r>
  <r>
    <x v="4389"/>
    <n v="28.981981000000001"/>
  </r>
  <r>
    <x v="4390"/>
    <n v="29.885888999999999"/>
  </r>
  <r>
    <x v="4391"/>
    <n v="30.135002"/>
  </r>
  <r>
    <x v="4392"/>
    <n v="30.298694999999999"/>
  </r>
  <r>
    <x v="4393"/>
    <n v="29.672363000000001"/>
  </r>
  <r>
    <x v="4394"/>
    <n v="29.401904999999999"/>
  </r>
  <r>
    <x v="4395"/>
    <n v="30.811154999999999"/>
  </r>
  <r>
    <x v="4396"/>
    <n v="30.318113"/>
  </r>
  <r>
    <x v="4397"/>
    <n v="30.689682000000001"/>
  </r>
  <r>
    <x v="4398"/>
    <n v="31.146985999999998"/>
  </r>
  <r>
    <x v="4399"/>
    <n v="31.725763000000001"/>
  </r>
  <r>
    <x v="4400"/>
    <n v="31.375637000000001"/>
  </r>
  <r>
    <x v="4401"/>
    <n v="31.139831999999998"/>
  </r>
  <r>
    <x v="4402"/>
    <n v="32.361691"/>
  </r>
  <r>
    <x v="4403"/>
    <n v="32.440314999999998"/>
  </r>
  <r>
    <x v="4404"/>
    <n v="32.418861"/>
  </r>
  <r>
    <x v="4405"/>
    <n v="32.890479999999997"/>
  </r>
  <r>
    <x v="4406"/>
    <n v="32.919052000000001"/>
  </r>
  <r>
    <x v="4407"/>
    <n v="32.854754999999997"/>
  </r>
  <r>
    <x v="4408"/>
    <n v="32.904766000000002"/>
  </r>
  <r>
    <x v="4409"/>
    <n v="31.661459000000001"/>
  </r>
  <r>
    <x v="4410"/>
    <n v="31.046951"/>
  </r>
  <r>
    <x v="4411"/>
    <n v="32.218800000000002"/>
  </r>
  <r>
    <x v="4412"/>
    <n v="32.354557"/>
  </r>
  <r>
    <x v="4413"/>
    <n v="32.869025999999998"/>
  </r>
  <r>
    <x v="4414"/>
    <n v="31.725763000000001"/>
  </r>
  <r>
    <x v="4415"/>
    <n v="31.790081000000001"/>
  </r>
  <r>
    <x v="4416"/>
    <n v="32.347408000000001"/>
  </r>
  <r>
    <x v="4417"/>
    <n v="33.111969000000002"/>
  </r>
  <r>
    <x v="4418"/>
    <n v="33.004809999999999"/>
  </r>
  <r>
    <x v="4419"/>
    <n v="32.933346"/>
  </r>
  <r>
    <x v="4420"/>
    <n v="32.297393999999997"/>
  </r>
  <r>
    <x v="4421"/>
    <n v="32.268818000000003"/>
  </r>
  <r>
    <x v="4422"/>
    <n v="31.925837999999999"/>
  </r>
  <r>
    <x v="4423"/>
    <n v="32.297393999999997"/>
  </r>
  <r>
    <x v="4424"/>
    <n v="31.211290000000002"/>
  </r>
  <r>
    <x v="4425"/>
    <n v="31.118406"/>
  </r>
  <r>
    <x v="4426"/>
    <n v="30.768274000000002"/>
  </r>
  <r>
    <x v="4427"/>
    <n v="31.039788999999999"/>
  </r>
  <r>
    <x v="4428"/>
    <n v="31.661459000000001"/>
  </r>
  <r>
    <x v="4429"/>
    <n v="31.904399999999999"/>
  </r>
  <r>
    <x v="4430"/>
    <n v="32.911915"/>
  </r>
  <r>
    <x v="4431"/>
    <n v="33.383502999999997"/>
  </r>
  <r>
    <x v="4432"/>
    <n v="33.869399999999999"/>
  </r>
  <r>
    <x v="4433"/>
    <n v="33.605018999999999"/>
  </r>
  <r>
    <x v="4434"/>
    <n v="34.283821000000003"/>
  </r>
  <r>
    <x v="4435"/>
    <n v="34.619678"/>
  </r>
  <r>
    <x v="4436"/>
    <n v="33.869399999999999"/>
  </r>
  <r>
    <x v="4437"/>
    <n v="33.833672"/>
  </r>
  <r>
    <x v="4438"/>
    <n v="33.212012999999999"/>
  </r>
  <r>
    <x v="4439"/>
    <n v="33.126263000000002"/>
  </r>
  <r>
    <x v="4440"/>
    <n v="33.047671999999999"/>
  </r>
  <r>
    <x v="4441"/>
    <n v="33.240589"/>
  </r>
  <r>
    <x v="4442"/>
    <n v="33.019089000000001"/>
  </r>
  <r>
    <x v="4443"/>
    <n v="33.562156999999999"/>
  </r>
  <r>
    <x v="4444"/>
    <n v="33.090546000000003"/>
  </r>
  <r>
    <x v="4445"/>
    <n v="32.733269"/>
  </r>
  <r>
    <x v="4446"/>
    <n v="32.583213999999998"/>
  </r>
  <r>
    <x v="4447"/>
    <n v="32.847602999999999"/>
  </r>
  <r>
    <x v="4448"/>
    <n v="32.683250000000001"/>
  </r>
  <r>
    <x v="4449"/>
    <n v="32.440314999999998"/>
  </r>
  <r>
    <x v="4450"/>
    <n v="33.133414999999999"/>
  </r>
  <r>
    <x v="4451"/>
    <n v="33.283465999999997"/>
  </r>
  <r>
    <x v="4452"/>
    <n v="32.961933000000002"/>
  </r>
  <r>
    <x v="4453"/>
    <n v="32.118758999999997"/>
  </r>
  <r>
    <x v="4454"/>
    <n v="32.261673000000002"/>
  </r>
  <r>
    <x v="4455"/>
    <n v="32.668961000000003"/>
  </r>
  <r>
    <x v="4456"/>
    <n v="33.647891999999999"/>
  </r>
  <r>
    <x v="4457"/>
    <n v="33.790793999999998"/>
  </r>
  <r>
    <x v="4458"/>
    <n v="33.876548999999997"/>
  </r>
  <r>
    <x v="4459"/>
    <n v="33.576430999999999"/>
  </r>
  <r>
    <x v="4460"/>
    <n v="34.085608999999998"/>
  </r>
  <r>
    <x v="4461"/>
    <n v="33.884804000000003"/>
  </r>
  <r>
    <x v="4462"/>
    <n v="33.863292999999999"/>
  </r>
  <r>
    <x v="4463"/>
    <n v="33.289569999999998"/>
  </r>
  <r>
    <x v="4464"/>
    <n v="32.522243000000003"/>
  </r>
  <r>
    <x v="4465"/>
    <n v="32.572445000000002"/>
  </r>
  <r>
    <x v="4466"/>
    <n v="32.285583000000003"/>
  </r>
  <r>
    <x v="4467"/>
    <n v="32.787574999999997"/>
  </r>
  <r>
    <x v="4468"/>
    <n v="33.002730999999997"/>
  </r>
  <r>
    <x v="4469"/>
    <n v="33.146137000000003"/>
  </r>
  <r>
    <x v="4470"/>
    <n v="33.454532999999998"/>
  </r>
  <r>
    <x v="4471"/>
    <n v="33.425846"/>
  </r>
  <r>
    <x v="4472"/>
    <n v="33.153323999999998"/>
  </r>
  <r>
    <x v="4473"/>
    <n v="32.809089999999998"/>
  </r>
  <r>
    <x v="4474"/>
    <n v="32.780422000000002"/>
  </r>
  <r>
    <x v="4475"/>
    <n v="32.285583000000003"/>
  </r>
  <r>
    <x v="4476"/>
    <n v="31.883987000000001"/>
  </r>
  <r>
    <x v="4477"/>
    <n v="32.178009000000003"/>
  </r>
  <r>
    <x v="4478"/>
    <n v="31.977205000000001"/>
  </r>
  <r>
    <x v="4479"/>
    <n v="31.719045999999999"/>
  </r>
  <r>
    <x v="4480"/>
    <n v="32.027416000000002"/>
  </r>
  <r>
    <x v="4481"/>
    <n v="32.056106999999997"/>
  </r>
  <r>
    <x v="4482"/>
    <n v="32.966858000000002"/>
  </r>
  <r>
    <x v="4483"/>
    <n v="32.629798999999998"/>
  </r>
  <r>
    <x v="4484"/>
    <n v="32.256897000000002"/>
  </r>
  <r>
    <x v="4485"/>
    <n v="30.621822000000002"/>
  </r>
  <r>
    <x v="4486"/>
    <n v="29.718223999999999"/>
  </r>
  <r>
    <x v="4487"/>
    <n v="30.076788000000001"/>
  </r>
  <r>
    <x v="4488"/>
    <n v="30.564454999999999"/>
  </r>
  <r>
    <x v="4489"/>
    <n v="30.248899000000002"/>
  </r>
  <r>
    <x v="4490"/>
    <n v="29.725394999999999"/>
  </r>
  <r>
    <x v="4491"/>
    <n v="29.904679999999999"/>
  </r>
  <r>
    <x v="4492"/>
    <n v="29.789943999999998"/>
  </r>
  <r>
    <x v="4493"/>
    <n v="29.610647"/>
  </r>
  <r>
    <x v="4494"/>
    <n v="30.284776999999998"/>
  </r>
  <r>
    <x v="4495"/>
    <n v="30.442522"/>
  </r>
  <r>
    <x v="4496"/>
    <n v="30.091138999999998"/>
  </r>
  <r>
    <x v="4497"/>
    <n v="30.162856999999999"/>
  </r>
  <r>
    <x v="4498"/>
    <n v="29.624995999999999"/>
  </r>
  <r>
    <x v="4499"/>
    <n v="29.696707"/>
  </r>
  <r>
    <x v="4500"/>
    <n v="29.460056000000002"/>
  </r>
  <r>
    <x v="4501"/>
    <n v="29.187538"/>
  </r>
  <r>
    <x v="4502"/>
    <n v="29.173216"/>
  </r>
  <r>
    <x v="4503"/>
    <n v="29.402685000000002"/>
  </r>
  <r>
    <x v="4504"/>
    <n v="29.854489999999998"/>
  </r>
  <r>
    <x v="4505"/>
    <n v="30.313457"/>
  </r>
  <r>
    <x v="4506"/>
    <n v="29.639351000000001"/>
  </r>
  <r>
    <x v="4507"/>
    <n v="29.983568000000002"/>
  </r>
  <r>
    <x v="4508"/>
    <n v="30.277597"/>
  </r>
  <r>
    <x v="4509"/>
    <n v="29.832964"/>
  </r>
  <r>
    <x v="4510"/>
    <n v="31.446515999999999"/>
  </r>
  <r>
    <x v="4511"/>
    <n v="31.482384"/>
  </r>
  <r>
    <x v="4512"/>
    <n v="32.091952999999997"/>
  </r>
  <r>
    <x v="4513"/>
    <n v="31.805081999999999"/>
  </r>
  <r>
    <x v="4514"/>
    <n v="32.027416000000002"/>
  </r>
  <r>
    <x v="4515"/>
    <n v="32.163677"/>
  </r>
  <r>
    <x v="4516"/>
    <n v="32.823433000000001"/>
  </r>
  <r>
    <x v="4517"/>
    <n v="32.636977999999999"/>
  </r>
  <r>
    <x v="4518"/>
    <n v="32.981212999999997"/>
  </r>
  <r>
    <x v="4519"/>
    <n v="32.622646000000003"/>
  </r>
  <r>
    <x v="4520"/>
    <n v="32.335785000000001"/>
  </r>
  <r>
    <x v="4521"/>
    <n v="32.342948999999997"/>
  </r>
  <r>
    <x v="4522"/>
    <n v="32.789256999999999"/>
  </r>
  <r>
    <x v="4523"/>
    <n v="32.796463000000003"/>
  </r>
  <r>
    <x v="4524"/>
    <n v="32.710079"/>
  </r>
  <r>
    <x v="4525"/>
    <n v="32.386142999999997"/>
  </r>
  <r>
    <x v="4526"/>
    <n v="32.393344999999997"/>
  </r>
  <r>
    <x v="4527"/>
    <n v="32.436526999999998"/>
  </r>
  <r>
    <x v="4528"/>
    <n v="32.436526999999998"/>
  </r>
  <r>
    <x v="4529"/>
    <n v="32.126998999999998"/>
  </r>
  <r>
    <x v="4530"/>
    <n v="32.508526000000003"/>
  </r>
  <r>
    <x v="4531"/>
    <n v="32.314155999999997"/>
  </r>
  <r>
    <x v="4532"/>
    <n v="32.098202000000001"/>
  </r>
  <r>
    <x v="4533"/>
    <n v="32.227775999999999"/>
  </r>
  <r>
    <x v="4534"/>
    <n v="32.796463000000003"/>
  </r>
  <r>
    <x v="4535"/>
    <n v="32.321368999999997"/>
  </r>
  <r>
    <x v="4536"/>
    <n v="32.155791999999998"/>
  </r>
  <r>
    <x v="4537"/>
    <n v="32.306961000000001"/>
  </r>
  <r>
    <x v="4538"/>
    <n v="32.170180999999999"/>
  </r>
  <r>
    <x v="4539"/>
    <n v="31.896644999999999"/>
  </r>
  <r>
    <x v="4540"/>
    <n v="32.083809000000002"/>
  </r>
  <r>
    <x v="4541"/>
    <n v="32.688479999999998"/>
  </r>
  <r>
    <x v="4542"/>
    <n v="32.998027999999998"/>
  </r>
  <r>
    <x v="4543"/>
    <n v="33.077209000000003"/>
  </r>
  <r>
    <x v="4544"/>
    <n v="33.185181"/>
  </r>
  <r>
    <x v="4545"/>
    <n v="33.300350000000002"/>
  </r>
  <r>
    <x v="4546"/>
    <n v="33.581108"/>
  </r>
  <r>
    <x v="4547"/>
    <n v="33.732272999999999"/>
  </r>
  <r>
    <x v="4548"/>
    <n v="33.300350000000002"/>
  </r>
  <r>
    <x v="4549"/>
    <n v="33.789864000000001"/>
  </r>
  <r>
    <x v="4550"/>
    <n v="34.603287000000002"/>
  </r>
  <r>
    <x v="4551"/>
    <n v="34.264972999999998"/>
  </r>
  <r>
    <x v="4552"/>
    <n v="35.258358000000001"/>
  </r>
  <r>
    <x v="4553"/>
    <n v="35.611080000000001"/>
  </r>
  <r>
    <x v="4554"/>
    <n v="35.48151"/>
  </r>
  <r>
    <x v="4555"/>
    <n v="34.905624000000003"/>
  </r>
  <r>
    <x v="4556"/>
    <n v="35.056797000000003"/>
  </r>
  <r>
    <x v="4557"/>
    <n v="34.819243999999998"/>
  </r>
  <r>
    <x v="4558"/>
    <n v="34.934418000000001"/>
  </r>
  <r>
    <x v="4559"/>
    <n v="35.503104999999998"/>
  </r>
  <r>
    <x v="4560"/>
    <n v="34.804839999999999"/>
  </r>
  <r>
    <x v="4561"/>
    <n v="34.617676000000003"/>
  </r>
  <r>
    <x v="4562"/>
    <n v="33.674675000000001"/>
  </r>
  <r>
    <x v="4563"/>
    <n v="33.768256999999998"/>
  </r>
  <r>
    <x v="4564"/>
    <n v="33.753872000000001"/>
  </r>
  <r>
    <x v="4565"/>
    <n v="33.977020000000003"/>
  </r>
  <r>
    <x v="4566"/>
    <n v="29.139614000000002"/>
  </r>
  <r>
    <x v="4567"/>
    <n v="28.211008"/>
  </r>
  <r>
    <x v="4568"/>
    <n v="28.628519000000001"/>
  </r>
  <r>
    <x v="4569"/>
    <n v="28.261398"/>
  </r>
  <r>
    <x v="4570"/>
    <n v="28.527743999999998"/>
  </r>
  <r>
    <x v="4571"/>
    <n v="27.476755000000001"/>
  </r>
  <r>
    <x v="4572"/>
    <n v="27.383167"/>
  </r>
  <r>
    <x v="4573"/>
    <n v="27.001650000000001"/>
  </r>
  <r>
    <x v="4574"/>
    <n v="27.289588999999999"/>
  </r>
  <r>
    <x v="4575"/>
    <n v="26.944063"/>
  </r>
  <r>
    <x v="4576"/>
    <n v="27.361574000000001"/>
  </r>
  <r>
    <x v="4577"/>
    <n v="27.959057000000001"/>
  </r>
  <r>
    <x v="4578"/>
    <n v="28.088633000000002"/>
  </r>
  <r>
    <x v="4579"/>
    <n v="28.383769999999998"/>
  </r>
  <r>
    <x v="4580"/>
    <n v="28.657309000000001"/>
  </r>
  <r>
    <x v="4581"/>
    <n v="28.498951000000002"/>
  </r>
  <r>
    <x v="4582"/>
    <n v="28.081436"/>
  </r>
  <r>
    <x v="4583"/>
    <n v="27.743100999999999"/>
  </r>
  <r>
    <x v="4584"/>
    <n v="27.381578000000001"/>
  </r>
  <r>
    <x v="4585"/>
    <n v="26.882673"/>
  </r>
  <r>
    <x v="4586"/>
    <n v="26.521158"/>
  </r>
  <r>
    <x v="4587"/>
    <n v="25.711355000000001"/>
  </r>
  <r>
    <x v="4588"/>
    <n v="27.424965"/>
  </r>
  <r>
    <x v="4589"/>
    <n v="27.97447"/>
  </r>
  <r>
    <x v="4590"/>
    <n v="28.379379"/>
  </r>
  <r>
    <x v="4591"/>
    <n v="28.025075999999999"/>
  </r>
  <r>
    <x v="4592"/>
    <n v="28.046776000000001"/>
  </r>
  <r>
    <x v="4593"/>
    <n v="27.967236"/>
  </r>
  <r>
    <x v="4594"/>
    <n v="28.111847000000001"/>
  </r>
  <r>
    <x v="4595"/>
    <n v="28.270914000000001"/>
  </r>
  <r>
    <x v="4596"/>
    <n v="28.162459999999999"/>
  </r>
  <r>
    <x v="4597"/>
    <n v="28.104621999999999"/>
  </r>
  <r>
    <x v="4598"/>
    <n v="28.205853000000001"/>
  </r>
  <r>
    <x v="4599"/>
    <n v="28.126318000000001"/>
  </r>
  <r>
    <x v="4600"/>
    <n v="29.232565000000001"/>
  </r>
  <r>
    <x v="4601"/>
    <n v="28.957806000000001"/>
  </r>
  <r>
    <x v="4602"/>
    <n v="29.124105"/>
  </r>
  <r>
    <x v="4603"/>
    <n v="29.297642"/>
  </r>
  <r>
    <x v="4604"/>
    <n v="29.059031000000001"/>
  </r>
  <r>
    <x v="4605"/>
    <n v="30.505116000000001"/>
  </r>
  <r>
    <x v="4606"/>
    <n v="30.244820000000001"/>
  </r>
  <r>
    <x v="4607"/>
    <n v="30.194210000000002"/>
  </r>
  <r>
    <x v="4608"/>
    <n v="30.461739999999999"/>
  </r>
  <r>
    <x v="4609"/>
    <n v="30.338820999999999"/>
  </r>
  <r>
    <x v="4610"/>
    <n v="30.562954000000001"/>
  </r>
  <r>
    <x v="4611"/>
    <n v="30.750959000000002"/>
  </r>
  <r>
    <x v="4612"/>
    <n v="30.678656"/>
  </r>
  <r>
    <x v="4613"/>
    <n v="30.924477"/>
  </r>
  <r>
    <x v="4614"/>
    <n v="30.656960000000002"/>
  </r>
  <r>
    <x v="4615"/>
    <n v="30.490658"/>
  </r>
  <r>
    <x v="4616"/>
    <n v="30.534044000000002"/>
  </r>
  <r>
    <x v="4617"/>
    <n v="30.584661000000001"/>
  </r>
  <r>
    <x v="4618"/>
    <n v="30.801575"/>
  </r>
  <r>
    <x v="4619"/>
    <n v="30.873868999999999"/>
  </r>
  <r>
    <x v="4620"/>
    <n v="30.902794"/>
  </r>
  <r>
    <x v="4621"/>
    <n v="30.910021"/>
  </r>
  <r>
    <x v="4622"/>
    <n v="31.300464999999999"/>
  </r>
  <r>
    <x v="4623"/>
    <n v="30.823256000000001"/>
  </r>
  <r>
    <x v="4624"/>
    <n v="28.437214000000001"/>
  </r>
  <r>
    <x v="4625"/>
    <n v="27.656338000000002"/>
  </r>
  <r>
    <x v="4626"/>
    <n v="27.555119000000001"/>
  </r>
  <r>
    <x v="4627"/>
    <n v="27.417726999999999"/>
  </r>
  <r>
    <x v="4628"/>
    <n v="28.068470000000001"/>
  </r>
  <r>
    <x v="4629"/>
    <n v="28.184158"/>
  </r>
  <r>
    <x v="4630"/>
    <n v="27.967236"/>
  </r>
  <r>
    <x v="4631"/>
    <n v="27.938313999999998"/>
  </r>
  <r>
    <x v="4632"/>
    <n v="27.186357000000001"/>
  </r>
  <r>
    <x v="4633"/>
    <n v="27.208041999999999"/>
  </r>
  <r>
    <x v="4634"/>
    <n v="26.513926999999999"/>
  </r>
  <r>
    <x v="4635"/>
    <n v="26.391012"/>
  </r>
  <r>
    <x v="4636"/>
    <n v="27.020053999999998"/>
  </r>
  <r>
    <x v="4637"/>
    <n v="27.099595999999998"/>
  </r>
  <r>
    <x v="4638"/>
    <n v="27.591263000000001"/>
  </r>
  <r>
    <x v="4639"/>
    <n v="27.446650999999999"/>
  </r>
  <r>
    <x v="4640"/>
    <n v="26.969446000000001"/>
  </r>
  <r>
    <x v="4641"/>
    <n v="27.020053999999998"/>
  </r>
  <r>
    <x v="4642"/>
    <n v="26.542850000000001"/>
  </r>
  <r>
    <x v="4643"/>
    <n v="26.354872"/>
  </r>
  <r>
    <x v="4644"/>
    <n v="25.733039999999999"/>
  </r>
  <r>
    <x v="4645"/>
    <n v="25.949957000000001"/>
  </r>
  <r>
    <x v="4646"/>
    <n v="25.790880000000001"/>
  </r>
  <r>
    <x v="4647"/>
    <n v="25.747502999999998"/>
  </r>
  <r>
    <x v="4648"/>
    <n v="25.354966999999998"/>
  </r>
  <r>
    <x v="4649"/>
    <n v="25.849277000000001"/>
  </r>
  <r>
    <x v="4650"/>
    <n v="25.849277000000001"/>
  </r>
  <r>
    <x v="4651"/>
    <n v="25.493075999999999"/>
  </r>
  <r>
    <x v="4652"/>
    <n v="26.183658999999999"/>
  </r>
  <r>
    <x v="4653"/>
    <n v="26.510769"/>
  </r>
  <r>
    <x v="4654"/>
    <n v="25.660276"/>
  </r>
  <r>
    <x v="4655"/>
    <n v="25.449470999999999"/>
  </r>
  <r>
    <x v="4656"/>
    <n v="25.638468"/>
  </r>
  <r>
    <x v="4657"/>
    <n v="25.238657"/>
  </r>
  <r>
    <x v="4658"/>
    <n v="25.464009999999998"/>
  </r>
  <r>
    <x v="4659"/>
    <n v="25.703896"/>
  </r>
  <r>
    <x v="4660"/>
    <n v="25.289541"/>
  </r>
  <r>
    <x v="4661"/>
    <n v="25.863807999999999"/>
  </r>
  <r>
    <x v="4662"/>
    <n v="25.500353"/>
  </r>
  <r>
    <x v="4663"/>
    <n v="25.958310999999998"/>
  </r>
  <r>
    <x v="4664"/>
    <n v="25.943771000000002"/>
  </r>
  <r>
    <x v="4665"/>
    <n v="25.907425"/>
  </r>
  <r>
    <x v="4666"/>
    <n v="25.856544"/>
  </r>
  <r>
    <x v="4667"/>
    <n v="25.747499000000001"/>
  </r>
  <r>
    <x v="4668"/>
    <n v="25.289541"/>
  </r>
  <r>
    <x v="4669"/>
    <n v="25.129625000000001"/>
  </r>
  <r>
    <x v="4670"/>
    <n v="24.744364000000001"/>
  </r>
  <r>
    <x v="4671"/>
    <n v="24.090123999999999"/>
  </r>
  <r>
    <x v="4672"/>
    <n v="23.872053000000001"/>
  </r>
  <r>
    <x v="4673"/>
    <n v="23.232351000000001"/>
  </r>
  <r>
    <x v="4674"/>
    <n v="23.530398999999999"/>
  </r>
  <r>
    <x v="4675"/>
    <n v="23.733937999999998"/>
  </r>
  <r>
    <x v="4676"/>
    <n v="24.264583999999999"/>
  </r>
  <r>
    <x v="4677"/>
    <n v="24.664396"/>
  </r>
  <r>
    <x v="4678"/>
    <n v="24.649854999999999"/>
  </r>
  <r>
    <x v="4679"/>
    <n v="25.514894000000002"/>
  </r>
  <r>
    <x v="4680"/>
    <n v="26.132771000000002"/>
  </r>
  <r>
    <x v="4681"/>
    <n v="26.823346999999998"/>
  </r>
  <r>
    <x v="4682"/>
    <n v="26.808810999999999"/>
  </r>
  <r>
    <x v="4683"/>
    <n v="26.140042999999999"/>
  </r>
  <r>
    <x v="4684"/>
    <n v="26.728843999999999"/>
  </r>
  <r>
    <x v="4685"/>
    <n v="26.714317000000001"/>
  </r>
  <r>
    <x v="4686"/>
    <n v="26.285426999999999"/>
  </r>
  <r>
    <x v="4687"/>
    <n v="28.429843999999999"/>
  </r>
  <r>
    <x v="4688"/>
    <n v="28.40803"/>
  </r>
  <r>
    <x v="4689"/>
    <n v="28.524336000000002"/>
  </r>
  <r>
    <x v="4690"/>
    <n v="28.509793999999999"/>
  </r>
  <r>
    <x v="4691"/>
    <n v="28.175405999999999"/>
  </r>
  <r>
    <x v="4692"/>
    <n v="28.189957"/>
  </r>
  <r>
    <x v="4693"/>
    <n v="27.68111"/>
  </r>
  <r>
    <x v="4694"/>
    <n v="28.175405999999999"/>
  </r>
  <r>
    <x v="4695"/>
    <n v="27.957346000000001"/>
  </r>
  <r>
    <x v="4696"/>
    <n v="27.935534000000001"/>
  </r>
  <r>
    <x v="4697"/>
    <n v="27.986422000000001"/>
  </r>
  <r>
    <x v="4698"/>
    <n v="28.095465000000001"/>
  </r>
  <r>
    <x v="4699"/>
    <n v="28.895064999999999"/>
  </r>
  <r>
    <x v="4700"/>
    <n v="28.916869999999999"/>
  </r>
  <r>
    <x v="4701"/>
    <n v="28.611567000000001"/>
  </r>
  <r>
    <x v="4702"/>
    <n v="27.797423999999999"/>
  </r>
  <r>
    <x v="4703"/>
    <n v="27.586617"/>
  </r>
  <r>
    <x v="4704"/>
    <n v="28.088180999999999"/>
  </r>
  <r>
    <x v="4705"/>
    <n v="28.451643000000001"/>
  </r>
  <r>
    <x v="4706"/>
    <n v="28.378944000000001"/>
  </r>
  <r>
    <x v="4707"/>
    <n v="27.702926999999999"/>
  </r>
  <r>
    <x v="4708"/>
    <n v="28.284458000000001"/>
  </r>
  <r>
    <x v="4709"/>
    <n v="28.015501"/>
  </r>
  <r>
    <x v="4710"/>
    <n v="27.652031000000001"/>
  </r>
  <r>
    <x v="4711"/>
    <n v="28.097688999999999"/>
  </r>
  <r>
    <x v="4712"/>
    <n v="27.966176999999998"/>
  </r>
  <r>
    <x v="4713"/>
    <n v="28.229177"/>
  </r>
  <r>
    <x v="4714"/>
    <n v="27.973475000000001"/>
  </r>
  <r>
    <x v="4715"/>
    <n v="27.980808"/>
  </r>
  <r>
    <x v="4716"/>
    <n v="28.930527000000001"/>
  </r>
  <r>
    <x v="4717"/>
    <n v="29.237369999999999"/>
  </r>
  <r>
    <x v="4718"/>
    <n v="29.50037"/>
  </r>
  <r>
    <x v="4719"/>
    <n v="29.639185000000001"/>
  </r>
  <r>
    <x v="4720"/>
    <n v="29.894884000000001"/>
  </r>
  <r>
    <x v="4721"/>
    <n v="29.880279999999999"/>
  </r>
  <r>
    <x v="4722"/>
    <n v="29.529585000000001"/>
  </r>
  <r>
    <x v="4723"/>
    <n v="29.953327000000002"/>
  </r>
  <r>
    <x v="4724"/>
    <n v="30.033688000000001"/>
  </r>
  <r>
    <x v="4725"/>
    <n v="30.669287000000001"/>
  </r>
  <r>
    <x v="4726"/>
    <n v="30.661966"/>
  </r>
  <r>
    <x v="4727"/>
    <n v="31.071102"/>
  </r>
  <r>
    <x v="4728"/>
    <n v="31.421766000000002"/>
  </r>
  <r>
    <x v="4729"/>
    <n v="31.787046"/>
  </r>
  <r>
    <x v="4730"/>
    <n v="31.633631000000001"/>
  </r>
  <r>
    <x v="4731"/>
    <n v="31.889337999999999"/>
  </r>
  <r>
    <x v="4732"/>
    <n v="32.546844"/>
  </r>
  <r>
    <x v="4733"/>
    <n v="32.576061000000003"/>
  </r>
  <r>
    <x v="4734"/>
    <n v="32.196178000000003"/>
  </r>
  <r>
    <x v="4735"/>
    <n v="32.371521000000001"/>
  </r>
  <r>
    <x v="4736"/>
    <n v="32.970576999999999"/>
  </r>
  <r>
    <x v="4737"/>
    <n v="32.334983999999999"/>
  </r>
  <r>
    <x v="4738"/>
    <n v="32.064667"/>
  </r>
  <r>
    <x v="4739"/>
    <n v="32.334983999999999"/>
  </r>
  <r>
    <x v="4740"/>
    <n v="32.619900000000001"/>
  </r>
  <r>
    <x v="4741"/>
    <n v="32.546844"/>
  </r>
  <r>
    <x v="4742"/>
    <n v="32.70026"/>
  </r>
  <r>
    <x v="4743"/>
    <n v="32.276539"/>
  </r>
  <r>
    <x v="4744"/>
    <n v="32.722178999999997"/>
  </r>
  <r>
    <x v="4745"/>
    <n v="33.109389999999998"/>
  </r>
  <r>
    <x v="4746"/>
    <n v="32.904819000000003"/>
  </r>
  <r>
    <x v="4747"/>
    <n v="32.722178999999997"/>
  </r>
  <r>
    <x v="4748"/>
    <n v="32.503020999999997"/>
  </r>
  <r>
    <x v="4749"/>
    <n v="32.305759000000002"/>
  </r>
  <r>
    <x v="4750"/>
    <n v="32.422652999999997"/>
  </r>
  <r>
    <x v="4751"/>
    <n v="32.130417000000001"/>
  </r>
  <r>
    <x v="4752"/>
    <n v="32.276539"/>
  </r>
  <r>
    <x v="4753"/>
    <n v="32.386116000000001"/>
  </r>
  <r>
    <x v="4754"/>
    <n v="32.101199999999999"/>
  </r>
  <r>
    <x v="4755"/>
    <n v="32.495708"/>
  </r>
  <r>
    <x v="4756"/>
    <n v="32.45187"/>
  </r>
  <r>
    <x v="4757"/>
    <n v="32.9925"/>
  </r>
  <r>
    <x v="4758"/>
    <n v="33.116688000000003"/>
  </r>
  <r>
    <x v="4759"/>
    <n v="33.153216999999998"/>
  </r>
  <r>
    <x v="4760"/>
    <n v="33.379696000000003"/>
  </r>
  <r>
    <x v="4761"/>
    <n v="35.315708000000001"/>
  </r>
  <r>
    <x v="4762"/>
    <n v="35.308383999999997"/>
  </r>
  <r>
    <x v="4763"/>
    <n v="34.921191999999998"/>
  </r>
  <r>
    <x v="4764"/>
    <n v="35.008865"/>
  </r>
  <r>
    <x v="4765"/>
    <n v="34.833526999999997"/>
  </r>
  <r>
    <x v="4766"/>
    <n v="35.008865"/>
  </r>
  <r>
    <x v="4767"/>
    <n v="34.680121999999997"/>
  </r>
  <r>
    <x v="4768"/>
    <n v="34.241768"/>
  </r>
  <r>
    <x v="4769"/>
    <n v="33.883792999999997"/>
  </r>
  <r>
    <x v="4770"/>
    <n v="35.052700000000002"/>
  </r>
  <r>
    <x v="4771"/>
    <n v="34.862755"/>
  </r>
  <r>
    <x v="4772"/>
    <n v="35.038089999999997"/>
  </r>
  <r>
    <x v="4773"/>
    <n v="34.928061999999997"/>
  </r>
  <r>
    <x v="4774"/>
    <n v="34.546653999999997"/>
  </r>
  <r>
    <x v="4775"/>
    <n v="35.258118000000003"/>
  </r>
  <r>
    <x v="4776"/>
    <n v="34.986744000000002"/>
  </r>
  <r>
    <x v="4777"/>
    <n v="34.678683999999997"/>
  </r>
  <r>
    <x v="4778"/>
    <n v="34.341293"/>
  </r>
  <r>
    <x v="4779"/>
    <n v="35.126102000000003"/>
  </r>
  <r>
    <x v="4780"/>
    <n v="35.566192999999998"/>
  </r>
  <r>
    <x v="4781"/>
    <n v="35.808235000000003"/>
  </r>
  <r>
    <x v="4782"/>
    <n v="35.441490000000002"/>
  </r>
  <r>
    <x v="4783"/>
    <n v="35.551516999999997"/>
  </r>
  <r>
    <x v="4784"/>
    <n v="35.852252999999997"/>
  </r>
  <r>
    <x v="4785"/>
    <n v="35.998932000000003"/>
  </r>
  <r>
    <x v="4786"/>
    <n v="36.292338999999998"/>
  </r>
  <r>
    <x v="4787"/>
    <n v="36.028278"/>
  </r>
  <r>
    <x v="4788"/>
    <n v="36.072280999999997"/>
  </r>
  <r>
    <x v="4789"/>
    <n v="36.006270999999998"/>
  </r>
  <r>
    <x v="4790"/>
    <n v="36.417019000000003"/>
  </r>
  <r>
    <x v="4791"/>
    <n v="36.277659999999997"/>
  </r>
  <r>
    <x v="4792"/>
    <n v="36.262985"/>
  </r>
  <r>
    <x v="4793"/>
    <n v="36.666397000000003"/>
  </r>
  <r>
    <x v="4794"/>
    <n v="36.666397000000003"/>
  </r>
  <r>
    <x v="4795"/>
    <n v="36.262985"/>
  </r>
  <r>
    <x v="4796"/>
    <n v="36.387680000000003"/>
  </r>
  <r>
    <x v="4797"/>
    <n v="36.571049000000002"/>
  </r>
  <r>
    <x v="4798"/>
    <n v="36.666397000000003"/>
  </r>
  <r>
    <x v="4799"/>
    <n v="36.475693"/>
  </r>
  <r>
    <x v="4800"/>
    <n v="36.299666999999999"/>
  </r>
  <r>
    <x v="4801"/>
    <n v="36.805762999999999"/>
  </r>
  <r>
    <x v="4802"/>
    <n v="37.385207999999999"/>
  </r>
  <r>
    <x v="4803"/>
    <n v="38.162681999999997"/>
  </r>
  <r>
    <x v="4804"/>
    <n v="38.632114000000001"/>
  </r>
  <r>
    <x v="4805"/>
    <n v="37.942638000000002"/>
  </r>
  <r>
    <x v="4806"/>
    <n v="37.913311"/>
  </r>
  <r>
    <x v="4807"/>
    <n v="38.192031999999998"/>
  </r>
  <r>
    <x v="4808"/>
    <n v="38.390076000000001"/>
  </r>
  <r>
    <x v="4809"/>
    <n v="38.045344999999998"/>
  </r>
  <r>
    <x v="4810"/>
    <n v="38.170020999999998"/>
  </r>
  <r>
    <x v="4811"/>
    <n v="38.896160000000002"/>
  </r>
  <r>
    <x v="4812"/>
    <n v="38.243378"/>
  </r>
  <r>
    <x v="4813"/>
    <n v="37.649258000000003"/>
  </r>
  <r>
    <x v="4814"/>
    <n v="37.583244000000001"/>
  </r>
  <r>
    <x v="4815"/>
    <n v="37.766624"/>
  </r>
  <r>
    <x v="4816"/>
    <n v="37.788612000000001"/>
  </r>
  <r>
    <x v="4817"/>
    <n v="38.037998000000002"/>
  </r>
  <r>
    <x v="4818"/>
    <n v="40.267764999999997"/>
  </r>
  <r>
    <x v="4819"/>
    <n v="39.416943000000003"/>
  </r>
  <r>
    <x v="4820"/>
    <n v="39.702987999999998"/>
  </r>
  <r>
    <x v="4821"/>
    <n v="40.399796000000002"/>
  </r>
  <r>
    <x v="4822"/>
    <n v="39.600304000000001"/>
  </r>
  <r>
    <x v="4823"/>
    <n v="40.326430999999999"/>
  </r>
  <r>
    <x v="4824"/>
    <n v="40.509808"/>
  </r>
  <r>
    <x v="4825"/>
    <n v="40.39246"/>
  </r>
  <r>
    <x v="4826"/>
    <n v="41.147919000000002"/>
  </r>
  <r>
    <x v="4827"/>
    <n v="41.228603"/>
  </r>
  <r>
    <x v="4828"/>
    <n v="41.808059999999998"/>
  </r>
  <r>
    <x v="4829"/>
    <n v="42.248150000000003"/>
  </r>
  <r>
    <x v="4830"/>
    <n v="42.66621"/>
  </r>
  <r>
    <x v="4831"/>
    <n v="43.010956"/>
  </r>
  <r>
    <x v="4832"/>
    <n v="42.937618000000001"/>
  </r>
  <r>
    <x v="4833"/>
    <n v="43.275002000000001"/>
  </r>
  <r>
    <x v="4834"/>
    <n v="43.414368000000003"/>
  </r>
  <r>
    <x v="4835"/>
    <n v="42.717564000000003"/>
  </r>
  <r>
    <x v="4836"/>
    <n v="41.952247999999997"/>
  </r>
  <r>
    <x v="4837"/>
    <n v="42.5336"/>
  </r>
  <r>
    <x v="4838"/>
    <n v="43.431365999999997"/>
  </r>
  <r>
    <x v="4839"/>
    <n v="43.843451999999999"/>
  </r>
  <r>
    <x v="4840"/>
    <n v="42.710197000000001"/>
  </r>
  <r>
    <x v="4841"/>
    <n v="42.018481999999999"/>
  </r>
  <r>
    <x v="4842"/>
    <n v="43.298904"/>
  </r>
  <r>
    <x v="4843"/>
    <n v="42.791153000000001"/>
  </r>
  <r>
    <x v="4844"/>
    <n v="42.371707999999998"/>
  </r>
  <r>
    <x v="4845"/>
    <n v="42.055286000000002"/>
  </r>
  <r>
    <x v="4846"/>
    <n v="40.473145000000002"/>
  </r>
  <r>
    <x v="4847"/>
    <n v="39.766708000000001"/>
  </r>
  <r>
    <x v="4848"/>
    <n v="39.450279000000002"/>
  </r>
  <r>
    <x v="4849"/>
    <n v="39.354599"/>
  </r>
  <r>
    <x v="4850"/>
    <n v="39.001396"/>
  </r>
  <r>
    <x v="4851"/>
    <n v="37.161704999999998"/>
  </r>
  <r>
    <x v="4852"/>
    <n v="38.500991999999997"/>
  </r>
  <r>
    <x v="4853"/>
    <n v="38.052115999999998"/>
  </r>
  <r>
    <x v="4854"/>
    <n v="39.464995999999999"/>
  </r>
  <r>
    <x v="4855"/>
    <n v="38.626099000000004"/>
  </r>
  <r>
    <x v="4856"/>
    <n v="38.596663999999997"/>
  </r>
  <r>
    <x v="4857"/>
    <n v="39.531235000000002"/>
  </r>
  <r>
    <x v="4858"/>
    <n v="38.817421000000003"/>
  </r>
  <r>
    <x v="4859"/>
    <n v="38.397976"/>
  </r>
  <r>
    <x v="4860"/>
    <n v="39.671050999999999"/>
  </r>
  <r>
    <x v="4861"/>
    <n v="40.112568000000003"/>
  </r>
  <r>
    <x v="4862"/>
    <n v="40.348056999999997"/>
  </r>
  <r>
    <x v="4863"/>
    <n v="40.083137999999998"/>
  </r>
  <r>
    <x v="4864"/>
    <n v="39.082343999999999"/>
  </r>
  <r>
    <x v="4865"/>
    <n v="38.692340999999999"/>
  </r>
  <r>
    <x v="4866"/>
    <n v="39.398761999999998"/>
  </r>
  <r>
    <x v="4867"/>
    <n v="39.170634999999997"/>
  </r>
  <r>
    <x v="4868"/>
    <n v="39.464995999999999"/>
  </r>
  <r>
    <x v="4869"/>
    <n v="39.295752999999998"/>
  </r>
  <r>
    <x v="4870"/>
    <n v="38.449489999999997"/>
  </r>
  <r>
    <x v="4871"/>
    <n v="38.765906999999999"/>
  </r>
  <r>
    <x v="4872"/>
    <n v="38.707042999999999"/>
  </r>
  <r>
    <x v="4873"/>
    <n v="39.104416000000001"/>
  </r>
  <r>
    <x v="4874"/>
    <n v="39.214801999999999"/>
  </r>
  <r>
    <x v="4875"/>
    <n v="39.310459000000002"/>
  </r>
  <r>
    <x v="4876"/>
    <n v="40.671844"/>
  </r>
  <r>
    <x v="4877"/>
    <n v="41.900742000000001"/>
  </r>
  <r>
    <x v="4878"/>
    <n v="41.812435000000001"/>
  </r>
  <r>
    <x v="4879"/>
    <n v="42.106796000000003"/>
  </r>
  <r>
    <x v="4880"/>
    <n v="42.813231999999999"/>
  </r>
  <r>
    <x v="4881"/>
    <n v="42.371707999999998"/>
  </r>
  <r>
    <x v="4882"/>
    <n v="42.011127000000002"/>
  </r>
  <r>
    <x v="4883"/>
    <n v="42.121498000000003"/>
  </r>
  <r>
    <x v="4884"/>
    <n v="41.569611000000002"/>
  </r>
  <r>
    <x v="4885"/>
    <n v="41.267901999999999"/>
  </r>
  <r>
    <x v="4886"/>
    <n v="41.304690999999998"/>
  </r>
  <r>
    <x v="4887"/>
    <n v="41.628459999999997"/>
  </r>
  <r>
    <x v="4888"/>
    <n v="41.694701999999999"/>
  </r>
  <r>
    <x v="4889"/>
    <n v="41.878666000000003"/>
  </r>
  <r>
    <x v="4890"/>
    <n v="41.643196000000003"/>
  </r>
  <r>
    <x v="4891"/>
    <n v="42.195103000000003"/>
  </r>
  <r>
    <x v="4892"/>
    <n v="42.033192"/>
  </r>
  <r>
    <x v="4893"/>
    <n v="41.724128999999998"/>
  </r>
  <r>
    <x v="4894"/>
    <n v="41.466583"/>
  </r>
  <r>
    <x v="4895"/>
    <n v="41.540173000000003"/>
  </r>
  <r>
    <x v="4896"/>
    <n v="42.165657000000003"/>
  </r>
  <r>
    <x v="4897"/>
    <n v="42.224533000000001"/>
  </r>
  <r>
    <x v="4898"/>
    <n v="41.488655000000001"/>
  </r>
  <r>
    <x v="4899"/>
    <n v="41.437140999999997"/>
  </r>
  <r>
    <x v="4900"/>
    <n v="42.098281999999998"/>
  </r>
  <r>
    <x v="4901"/>
    <n v="42.231239000000002"/>
  </r>
  <r>
    <x v="4902"/>
    <n v="42.364201000000001"/>
  </r>
  <r>
    <x v="4903"/>
    <n v="43.280192999999997"/>
  </r>
  <r>
    <x v="4904"/>
    <n v="42.216473000000001"/>
  </r>
  <r>
    <x v="4905"/>
    <n v="42.696621"/>
  </r>
  <r>
    <x v="4906"/>
    <n v="42.135207999999999"/>
  </r>
  <r>
    <x v="4907"/>
    <n v="41.721530999999999"/>
  </r>
  <r>
    <x v="4908"/>
    <n v="41.743693999999998"/>
  </r>
  <r>
    <x v="4909"/>
    <n v="41.588585000000002"/>
  </r>
  <r>
    <x v="4910"/>
    <n v="41.270927"/>
  </r>
  <r>
    <x v="4911"/>
    <n v="40.332790000000003"/>
  </r>
  <r>
    <x v="4912"/>
    <n v="40.185051000000001"/>
  </r>
  <r>
    <x v="4913"/>
    <n v="41.056721000000003"/>
  </r>
  <r>
    <x v="4914"/>
    <n v="39.963450999999999"/>
  </r>
  <r>
    <x v="4915"/>
    <n v="39.143497000000004"/>
  </r>
  <r>
    <x v="4916"/>
    <n v="38.921883000000001"/>
  </r>
  <r>
    <x v="4917"/>
    <n v="39.50544"/>
  </r>
  <r>
    <x v="4918"/>
    <n v="40.207222000000002"/>
  </r>
  <r>
    <x v="4919"/>
    <n v="39.882195000000003"/>
  </r>
  <r>
    <x v="4920"/>
    <n v="40.598720999999998"/>
  </r>
  <r>
    <x v="4921"/>
    <n v="40.02993"/>
  </r>
  <r>
    <x v="4922"/>
    <n v="40.443595999999999"/>
  </r>
  <r>
    <x v="4923"/>
    <n v="40.960678000000001"/>
  </r>
  <r>
    <x v="4924"/>
    <n v="40.945908000000003"/>
  </r>
  <r>
    <x v="4925"/>
    <n v="41.950538999999999"/>
  </r>
  <r>
    <x v="4926"/>
    <n v="42.755713999999998"/>
  </r>
  <r>
    <x v="4927"/>
    <n v="42.947777000000002"/>
  </r>
  <r>
    <x v="4928"/>
    <n v="43.361443000000001"/>
  </r>
  <r>
    <x v="4929"/>
    <n v="43.775115999999997"/>
  </r>
  <r>
    <x v="4930"/>
    <n v="43.848987999999999"/>
  </r>
  <r>
    <x v="4931"/>
    <n v="43.021647999999999"/>
  </r>
  <r>
    <x v="4932"/>
    <n v="41.751072000000001"/>
  </r>
  <r>
    <x v="4933"/>
    <n v="41.433449000000003"/>
  </r>
  <r>
    <x v="4934"/>
    <n v="40.569183000000002"/>
  </r>
  <r>
    <x v="4935"/>
    <n v="40.598720999999998"/>
  </r>
  <r>
    <x v="4936"/>
    <n v="40.835101999999999"/>
  </r>
  <r>
    <x v="4937"/>
    <n v="42.090888999999997"/>
  </r>
  <r>
    <x v="4938"/>
    <n v="42.327266999999999"/>
  </r>
  <r>
    <x v="4939"/>
    <n v="42.061348000000002"/>
  </r>
  <r>
    <x v="4940"/>
    <n v="42.445464999999999"/>
  </r>
  <r>
    <x v="4941"/>
    <n v="41.965316999999999"/>
  </r>
  <r>
    <x v="4942"/>
    <n v="41.765858000000001"/>
  </r>
  <r>
    <x v="4943"/>
    <n v="40.325405000000003"/>
  </r>
  <r>
    <x v="4944"/>
    <n v="40.620883999999997"/>
  </r>
  <r>
    <x v="4945"/>
    <n v="40.465763000000003"/>
  </r>
  <r>
    <x v="4946"/>
    <n v="39.978222000000002"/>
  </r>
  <r>
    <x v="4947"/>
    <n v="39.158279"/>
  </r>
  <r>
    <x v="4948"/>
    <n v="39.690120999999998"/>
  </r>
  <r>
    <x v="4949"/>
    <n v="37.858153999999999"/>
  </r>
  <r>
    <x v="4950"/>
    <n v="37.688254999999998"/>
  </r>
  <r>
    <x v="4951"/>
    <n v="34.932921999999998"/>
  </r>
  <r>
    <x v="4952"/>
    <n v="36.853530999999997"/>
  </r>
  <r>
    <x v="4953"/>
    <n v="34.910755000000002"/>
  </r>
  <r>
    <x v="4954"/>
    <n v="36.602378999999999"/>
  </r>
  <r>
    <x v="4955"/>
    <n v="37.304127000000001"/>
  </r>
  <r>
    <x v="4956"/>
    <n v="37.865551000000004"/>
  </r>
  <r>
    <x v="4957"/>
    <n v="37.725197000000001"/>
  </r>
  <r>
    <x v="4958"/>
    <n v="37.680889000000001"/>
  </r>
  <r>
    <x v="4959"/>
    <n v="35.420470999999999"/>
  </r>
  <r>
    <x v="4960"/>
    <n v="34.364131999999998"/>
  </r>
  <r>
    <x v="4961"/>
    <n v="34.275489999999998"/>
  </r>
  <r>
    <x v="4962"/>
    <n v="35.501716999999999"/>
  </r>
  <r>
    <x v="4963"/>
    <n v="35.564788999999998"/>
  </r>
  <r>
    <x v="4964"/>
    <n v="34.837615999999997"/>
  </r>
  <r>
    <x v="4965"/>
    <n v="36.314219999999999"/>
  </r>
  <r>
    <x v="4966"/>
    <n v="37.783420999999997"/>
  </r>
  <r>
    <x v="4967"/>
    <n v="38.020878000000003"/>
  </r>
  <r>
    <x v="4968"/>
    <n v="38.184113000000004"/>
  </r>
  <r>
    <x v="4969"/>
    <n v="37.887309999999999"/>
  </r>
  <r>
    <x v="4970"/>
    <n v="36.863318999999997"/>
  </r>
  <r>
    <x v="4971"/>
    <n v="36.69265"/>
  </r>
  <r>
    <x v="4972"/>
    <n v="38.354771"/>
  </r>
  <r>
    <x v="4973"/>
    <n v="38.250889000000001"/>
  </r>
  <r>
    <x v="4974"/>
    <n v="37.397559999999999"/>
  </r>
  <r>
    <x v="4975"/>
    <n v="38.132168"/>
  </r>
  <r>
    <x v="4976"/>
    <n v="38.822231000000002"/>
  </r>
  <r>
    <x v="4977"/>
    <n v="39.378737999999998"/>
  </r>
  <r>
    <x v="4978"/>
    <n v="39.794280999999998"/>
  </r>
  <r>
    <x v="4979"/>
    <n v="39.972366000000001"/>
  </r>
  <r>
    <x v="4980"/>
    <n v="39.823956000000003"/>
  </r>
  <r>
    <x v="4981"/>
    <n v="39.408423999999997"/>
  </r>
  <r>
    <x v="4982"/>
    <n v="38.332504"/>
  </r>
  <r>
    <x v="4983"/>
    <n v="37.123027999999998"/>
  </r>
  <r>
    <x v="4984"/>
    <n v="37.315952000000003"/>
  </r>
  <r>
    <x v="4985"/>
    <n v="37.531139000000003"/>
  </r>
  <r>
    <x v="4986"/>
    <n v="38.421543"/>
  </r>
  <r>
    <x v="4987"/>
    <n v="37.887309999999999"/>
  </r>
  <r>
    <x v="4988"/>
    <n v="37.197220000000002"/>
  </r>
  <r>
    <x v="4989"/>
    <n v="36.084206000000002"/>
  </r>
  <r>
    <x v="4990"/>
    <n v="35.357021000000003"/>
  </r>
  <r>
    <x v="4991"/>
    <n v="36.677807000000001"/>
  </r>
  <r>
    <x v="4992"/>
    <n v="37.672114999999998"/>
  </r>
  <r>
    <x v="4993"/>
    <n v="37.746322999999997"/>
  </r>
  <r>
    <x v="4994"/>
    <n v="37.271431"/>
  </r>
  <r>
    <x v="4995"/>
    <n v="38.651569000000002"/>
  </r>
  <r>
    <x v="4996"/>
    <n v="38.325104000000003"/>
  </r>
  <r>
    <x v="4997"/>
    <n v="38.614471000000002"/>
  </r>
  <r>
    <x v="4998"/>
    <n v="39.556828000000003"/>
  </r>
  <r>
    <x v="4999"/>
    <n v="40.795997999999997"/>
  </r>
  <r>
    <x v="5000"/>
    <n v="39.801693"/>
  </r>
  <r>
    <x v="5001"/>
    <n v="40.484347999999997"/>
  </r>
  <r>
    <x v="5002"/>
    <n v="39.030009999999997"/>
  </r>
  <r>
    <x v="5003"/>
    <n v="38.592205"/>
  </r>
  <r>
    <x v="5004"/>
    <n v="38.599643999999998"/>
  </r>
  <r>
    <x v="5005"/>
    <n v="39.779437999999999"/>
  </r>
  <r>
    <x v="5006"/>
    <n v="38.822231000000002"/>
  </r>
  <r>
    <x v="5007"/>
    <n v="38.287982999999997"/>
  </r>
  <r>
    <x v="5008"/>
    <n v="39.712654000000001"/>
  </r>
  <r>
    <x v="5009"/>
    <n v="39.497467"/>
  </r>
  <r>
    <x v="5010"/>
    <n v="38.287982999999997"/>
  </r>
  <r>
    <x v="5011"/>
    <n v="37.204647000000001"/>
  </r>
  <r>
    <x v="5012"/>
    <n v="38.718356999999997"/>
  </r>
  <r>
    <x v="5013"/>
    <n v="41.634483000000003"/>
  </r>
  <r>
    <x v="5014"/>
    <n v="41.923865999999997"/>
  </r>
  <r>
    <x v="5015"/>
    <n v="42.235503999999999"/>
  </r>
  <r>
    <x v="5016"/>
    <n v="42.317126999999999"/>
  </r>
  <r>
    <x v="5017"/>
    <n v="41.115067000000003"/>
  </r>
  <r>
    <x v="5018"/>
    <n v="40.966652000000003"/>
  </r>
  <r>
    <x v="5019"/>
    <n v="42.012909000000001"/>
  </r>
  <r>
    <x v="5020"/>
    <n v="42.369067999999999"/>
  </r>
  <r>
    <x v="5021"/>
    <n v="42.591670999999998"/>
  </r>
  <r>
    <x v="5022"/>
    <n v="42.205840999999999"/>
  </r>
  <r>
    <x v="5023"/>
    <n v="41.834820000000001"/>
  </r>
  <r>
    <x v="5024"/>
    <n v="41.307980000000001"/>
  </r>
  <r>
    <x v="5025"/>
    <n v="40.425297"/>
  </r>
  <r>
    <x v="5026"/>
    <n v="40.581710999999999"/>
  </r>
  <r>
    <x v="5027"/>
    <n v="38.756737000000001"/>
  </r>
  <r>
    <x v="5028"/>
    <n v="38.630099999999999"/>
  </r>
  <r>
    <x v="5029"/>
    <n v="40.179482"/>
  </r>
  <r>
    <x v="5030"/>
    <n v="39.561214"/>
  </r>
  <r>
    <x v="5031"/>
    <n v="40.820087000000001"/>
  </r>
  <r>
    <x v="5032"/>
    <n v="40.767932999999999"/>
  </r>
  <r>
    <x v="5033"/>
    <n v="40.477432"/>
  </r>
  <r>
    <x v="5034"/>
    <n v="40.589165000000001"/>
  </r>
  <r>
    <x v="5035"/>
    <n v="40.842438000000001"/>
  </r>
  <r>
    <x v="5036"/>
    <n v="40.559372000000003"/>
  </r>
  <r>
    <x v="5037"/>
    <n v="40.276318000000003"/>
  </r>
  <r>
    <x v="5038"/>
    <n v="41.103152999999999"/>
  </r>
  <r>
    <x v="5039"/>
    <n v="40.80518"/>
  </r>
  <r>
    <x v="5040"/>
    <n v="40.365704000000001"/>
  </r>
  <r>
    <x v="5041"/>
    <n v="39.553761000000002"/>
  </r>
  <r>
    <x v="5042"/>
    <n v="39.144066000000002"/>
  </r>
  <r>
    <x v="5043"/>
    <n v="39.188777999999999"/>
  </r>
  <r>
    <x v="5044"/>
    <n v="38.674801000000002"/>
  </r>
  <r>
    <x v="5045"/>
    <n v="40.306099000000003"/>
  </r>
  <r>
    <x v="5046"/>
    <n v="39.844276000000001"/>
  </r>
  <r>
    <x v="5047"/>
    <n v="40.507232999999999"/>
  </r>
  <r>
    <x v="5048"/>
    <n v="40.693458999999997"/>
  </r>
  <r>
    <x v="5049"/>
    <n v="40.872219000000001"/>
  </r>
  <r>
    <x v="5050"/>
    <n v="40.477432"/>
  </r>
  <r>
    <x v="5051"/>
    <n v="40.857334000000002"/>
  </r>
  <r>
    <x v="5052"/>
    <n v="40.745593999999997"/>
  </r>
  <r>
    <x v="5053"/>
    <n v="41.170184999999996"/>
  </r>
  <r>
    <x v="5054"/>
    <n v="41.587330000000001"/>
  </r>
  <r>
    <x v="5055"/>
    <n v="41.758659000000002"/>
  </r>
  <r>
    <x v="5056"/>
    <n v="41.833145000000002"/>
  </r>
  <r>
    <x v="5057"/>
    <n v="41.646908000000003"/>
  </r>
  <r>
    <x v="5058"/>
    <n v="41.527729000000001"/>
  </r>
  <r>
    <x v="5059"/>
    <n v="41.430892999999998"/>
  </r>
  <r>
    <x v="5060"/>
    <n v="41.959781999999997"/>
  </r>
  <r>
    <x v="5061"/>
    <n v="42.116202999999999"/>
  </r>
  <r>
    <x v="5062"/>
    <n v="42.563122"/>
  </r>
  <r>
    <x v="5063"/>
    <n v="42.898327000000002"/>
  </r>
  <r>
    <x v="5064"/>
    <n v="43.203732000000002"/>
  </r>
  <r>
    <x v="5065"/>
    <n v="43.002625000000002"/>
  </r>
  <r>
    <x v="5066"/>
    <n v="43.315479000000003"/>
  </r>
  <r>
    <x v="5067"/>
    <n v="43.710265999999997"/>
  </r>
  <r>
    <x v="5068"/>
    <n v="43.941184999999997"/>
  </r>
  <r>
    <x v="5069"/>
    <n v="43.06221"/>
  </r>
  <r>
    <x v="5070"/>
    <n v="43.047302000000002"/>
  </r>
  <r>
    <x v="5071"/>
    <n v="43.673026999999998"/>
  </r>
  <r>
    <x v="5072"/>
    <n v="43.814551999999999"/>
  </r>
  <r>
    <x v="5073"/>
    <n v="44.365775999999997"/>
  </r>
  <r>
    <x v="5074"/>
    <n v="45.237296999999998"/>
  </r>
  <r>
    <x v="5075"/>
    <n v="45.483111999999998"/>
  </r>
  <r>
    <x v="5076"/>
    <n v="45.490561999999997"/>
  </r>
  <r>
    <x v="5077"/>
    <n v="45.848103000000002"/>
  </r>
  <r>
    <x v="5078"/>
    <n v="45.788513000000002"/>
  </r>
  <r>
    <x v="5079"/>
    <n v="46.138610999999997"/>
  </r>
  <r>
    <x v="5080"/>
    <n v="45.982182000000002"/>
  </r>
  <r>
    <x v="5081"/>
    <n v="45.989638999999997"/>
  </r>
  <r>
    <x v="5082"/>
    <n v="45.967284999999997"/>
  </r>
  <r>
    <x v="5083"/>
    <n v="45.870444999999997"/>
  </r>
  <r>
    <x v="5084"/>
    <n v="46.384425999999998"/>
  </r>
  <r>
    <x v="5085"/>
    <n v="46.570652000000003"/>
  </r>
  <r>
    <x v="5086"/>
    <n v="46.764327999999999"/>
  </r>
  <r>
    <x v="5087"/>
    <n v="46.592998999999999"/>
  </r>
  <r>
    <x v="5088"/>
    <n v="47.308101999999998"/>
  </r>
  <r>
    <x v="5089"/>
    <n v="47.255958999999997"/>
  </r>
  <r>
    <x v="5090"/>
    <n v="47.159129999999998"/>
  </r>
  <r>
    <x v="5091"/>
    <n v="46.689846000000003"/>
  </r>
  <r>
    <x v="5092"/>
    <n v="46.476802999999997"/>
  </r>
  <r>
    <x v="5093"/>
    <n v="46.798206"/>
  </r>
  <r>
    <x v="5094"/>
    <n v="46.663677"/>
  </r>
  <r>
    <x v="5095"/>
    <n v="46.424487999999997"/>
  </r>
  <r>
    <x v="5096"/>
    <n v="46.013396999999998"/>
  </r>
  <r>
    <x v="5097"/>
    <n v="46.88044"/>
  </r>
  <r>
    <x v="5098"/>
    <n v="47.328910999999998"/>
  </r>
  <r>
    <x v="5099"/>
    <n v="47.784858999999997"/>
  </r>
  <r>
    <x v="5100"/>
    <n v="47.725062999999999"/>
  </r>
  <r>
    <x v="5101"/>
    <n v="48.472515000000001"/>
  </r>
  <r>
    <x v="5102"/>
    <n v="48.666846999999997"/>
  </r>
  <r>
    <x v="5103"/>
    <n v="48.741604000000002"/>
  </r>
  <r>
    <x v="5104"/>
    <n v="48.891094000000002"/>
  </r>
  <r>
    <x v="5105"/>
    <n v="49.892676999999999"/>
  </r>
  <r>
    <x v="5106"/>
    <n v="49.892676999999999"/>
  </r>
  <r>
    <x v="5107"/>
    <n v="49.653483999999999"/>
  </r>
  <r>
    <x v="5108"/>
    <n v="49.548855000000003"/>
  </r>
  <r>
    <x v="5109"/>
    <n v="49.840366000000003"/>
  </r>
  <r>
    <x v="5110"/>
    <n v="51.267997999999999"/>
  </r>
  <r>
    <x v="5111"/>
    <n v="51.193268000000003"/>
  </r>
  <r>
    <x v="5112"/>
    <n v="50.916694999999997"/>
  </r>
  <r>
    <x v="5113"/>
    <n v="50.774676999999997"/>
  </r>
  <r>
    <x v="5114"/>
    <n v="50.871864000000002"/>
  </r>
  <r>
    <x v="5115"/>
    <n v="51.066195999999998"/>
  </r>
  <r>
    <x v="5116"/>
    <n v="50.924171000000001"/>
  </r>
  <r>
    <x v="5117"/>
    <n v="50.371048000000002"/>
  </r>
  <r>
    <x v="5118"/>
    <n v="50.221581"/>
  </r>
  <r>
    <x v="5119"/>
    <n v="49.705826000000002"/>
  </r>
  <r>
    <x v="5120"/>
    <n v="49.496540000000003"/>
  </r>
  <r>
    <x v="5121"/>
    <n v="49.496540000000003"/>
  </r>
  <r>
    <x v="5122"/>
    <n v="51.073669000000002"/>
  </r>
  <r>
    <x v="5123"/>
    <n v="49.832886000000002"/>
  </r>
  <r>
    <x v="5124"/>
    <n v="49.518970000000003"/>
  </r>
  <r>
    <x v="5125"/>
    <n v="50.251457000000002"/>
  </r>
  <r>
    <x v="5126"/>
    <n v="50.072074999999998"/>
  </r>
  <r>
    <x v="5127"/>
    <n v="46.760838"/>
  </r>
  <r>
    <x v="5128"/>
    <n v="46.529133000000002"/>
  </r>
  <r>
    <x v="5129"/>
    <n v="46.013396999999998"/>
  </r>
  <r>
    <x v="5130"/>
    <n v="46.237617"/>
  </r>
  <r>
    <x v="5131"/>
    <n v="47.284072999999999"/>
  </r>
  <r>
    <x v="5132"/>
    <n v="47.769908999999998"/>
  </r>
  <r>
    <x v="5133"/>
    <n v="47.971710000000002"/>
  </r>
  <r>
    <x v="5134"/>
    <n v="47.710121000000001"/>
  </r>
  <r>
    <x v="5135"/>
    <n v="47.568092"/>
  </r>
  <r>
    <x v="5136"/>
    <n v="48.016567000000002"/>
  </r>
  <r>
    <x v="5137"/>
    <n v="47.500819999999997"/>
  </r>
  <r>
    <x v="5138"/>
    <n v="46.275002000000001"/>
  </r>
  <r>
    <x v="5139"/>
    <n v="46.282474999999998"/>
  </r>
  <r>
    <x v="5140"/>
    <n v="46.843060000000001"/>
  </r>
  <r>
    <x v="5141"/>
    <n v="46.349750999999998"/>
  </r>
  <r>
    <x v="5142"/>
    <n v="46.701045999999998"/>
  </r>
  <r>
    <x v="5143"/>
    <n v="46.237617"/>
  </r>
  <r>
    <x v="5144"/>
    <n v="45.938656000000002"/>
  </r>
  <r>
    <x v="5145"/>
    <n v="45.923698000000002"/>
  </r>
  <r>
    <x v="5146"/>
    <n v="44.182121000000002"/>
  </r>
  <r>
    <x v="5147"/>
    <n v="42.724589999999999"/>
  </r>
  <r>
    <x v="5148"/>
    <n v="41.842574999999997"/>
  </r>
  <r>
    <x v="5149"/>
    <n v="42.769427999999998"/>
  </r>
  <r>
    <x v="5150"/>
    <n v="43.300117"/>
  </r>
  <r>
    <x v="5151"/>
    <n v="43.457096"/>
  </r>
  <r>
    <x v="5152"/>
    <n v="42.717117000000002"/>
  </r>
  <r>
    <x v="5153"/>
    <n v="42.844172999999998"/>
  </r>
  <r>
    <x v="5154"/>
    <n v="43.643948000000002"/>
  </r>
  <r>
    <x v="5155"/>
    <n v="43.125991999999997"/>
  </r>
  <r>
    <x v="5156"/>
    <n v="43.020893000000001"/>
  </r>
  <r>
    <x v="5157"/>
    <n v="41.376933999999999"/>
  </r>
  <r>
    <x v="5158"/>
    <n v="41.924911000000002"/>
  </r>
  <r>
    <x v="5159"/>
    <n v="42.923309000000003"/>
  </r>
  <r>
    <x v="5160"/>
    <n v="43.839123000000001"/>
  </r>
  <r>
    <x v="5161"/>
    <n v="43.53886"/>
  </r>
  <r>
    <x v="5162"/>
    <n v="44.109363999999999"/>
  </r>
  <r>
    <x v="5163"/>
    <n v="43.381222000000001"/>
  </r>
  <r>
    <x v="5164"/>
    <n v="44.589793999999998"/>
  </r>
  <r>
    <x v="5165"/>
    <n v="44.244492000000001"/>
  </r>
  <r>
    <x v="5166"/>
    <n v="42.630547"/>
  </r>
  <r>
    <x v="5167"/>
    <n v="42.412860999999999"/>
  </r>
  <r>
    <x v="5168"/>
    <n v="42.615543000000002"/>
  </r>
  <r>
    <x v="5169"/>
    <n v="42.803196"/>
  </r>
  <r>
    <x v="5170"/>
    <n v="42.788189000000003"/>
  </r>
  <r>
    <x v="5171"/>
    <n v="41.384438000000003"/>
  </r>
  <r>
    <x v="5172"/>
    <n v="41.767268999999999"/>
  </r>
  <r>
    <x v="5173"/>
    <n v="40.205891000000001"/>
  </r>
  <r>
    <x v="5174"/>
    <n v="40.476123999999999"/>
  </r>
  <r>
    <x v="5175"/>
    <n v="41.219284000000002"/>
  </r>
  <r>
    <x v="5176"/>
    <n v="40.761378999999998"/>
  </r>
  <r>
    <x v="5177"/>
    <n v="41.797302000000002"/>
  </r>
  <r>
    <x v="5178"/>
    <n v="41.789791000000001"/>
  </r>
  <r>
    <x v="5179"/>
    <n v="42.232692999999998"/>
  </r>
  <r>
    <x v="5180"/>
    <n v="42.225178"/>
  </r>
  <r>
    <x v="5181"/>
    <n v="41.519562000000001"/>
  </r>
  <r>
    <x v="5182"/>
    <n v="41.527065"/>
  </r>
  <r>
    <x v="5183"/>
    <n v="41.414462999999998"/>
  </r>
  <r>
    <x v="5184"/>
    <n v="40.813923000000003"/>
  </r>
  <r>
    <x v="5185"/>
    <n v="40.333503999999998"/>
  </r>
  <r>
    <x v="5186"/>
    <n v="41.271839"/>
  </r>
  <r>
    <x v="5187"/>
    <n v="40.806418999999998"/>
  </r>
  <r>
    <x v="5188"/>
    <n v="40.881481000000001"/>
  </r>
  <r>
    <x v="5189"/>
    <n v="42.075062000000003"/>
  </r>
  <r>
    <x v="5190"/>
    <n v="43.869160000000001"/>
  </r>
  <r>
    <x v="5191"/>
    <n v="43.298645"/>
  </r>
  <r>
    <x v="5192"/>
    <n v="43.028393000000001"/>
  </r>
  <r>
    <x v="5193"/>
    <n v="42.630547"/>
  </r>
  <r>
    <x v="5194"/>
    <n v="42.998367000000002"/>
  </r>
  <r>
    <x v="5195"/>
    <n v="43.696503"/>
  </r>
  <r>
    <x v="5196"/>
    <n v="44.544750000000001"/>
  </r>
  <r>
    <x v="5197"/>
    <n v="44.402121999999999"/>
  </r>
  <r>
    <x v="5198"/>
    <n v="44.799987999999999"/>
  </r>
  <r>
    <x v="5199"/>
    <n v="44.679881999999999"/>
  </r>
  <r>
    <x v="5200"/>
    <n v="44.199447999999997"/>
  </r>
  <r>
    <x v="5201"/>
    <n v="45.220363999999996"/>
  </r>
  <r>
    <x v="5202"/>
    <n v="45.137787000000003"/>
  </r>
  <r>
    <x v="5203"/>
    <n v="46.046097000000003"/>
  </r>
  <r>
    <x v="5204"/>
    <n v="46.12867"/>
  </r>
  <r>
    <x v="5205"/>
    <n v="46.541545999999997"/>
  </r>
  <r>
    <x v="5206"/>
    <n v="46.526527000000002"/>
  </r>
  <r>
    <x v="5207"/>
    <n v="46.616604000000002"/>
  </r>
  <r>
    <x v="5208"/>
    <n v="46.834296999999999"/>
  </r>
  <r>
    <x v="5209"/>
    <n v="46.931899999999999"/>
  </r>
  <r>
    <x v="5210"/>
    <n v="46.969425000000001"/>
  </r>
  <r>
    <x v="5211"/>
    <n v="47.509906999999998"/>
  </r>
  <r>
    <x v="5212"/>
    <n v="47.142077999999998"/>
  </r>
  <r>
    <x v="5213"/>
    <n v="46.601596999999998"/>
  </r>
  <r>
    <x v="5214"/>
    <n v="46.669159000000001"/>
  </r>
  <r>
    <x v="5215"/>
    <n v="46.571559999999998"/>
  </r>
  <r>
    <x v="5216"/>
    <n v="46.864333999999999"/>
  </r>
  <r>
    <x v="5217"/>
    <n v="46.819285999999998"/>
  </r>
  <r>
    <x v="5218"/>
    <n v="46.549053000000001"/>
  </r>
  <r>
    <x v="5219"/>
    <n v="46.624110999999999"/>
  </r>
  <r>
    <x v="5220"/>
    <n v="45.941006000000002"/>
  </r>
  <r>
    <x v="5221"/>
    <n v="46.136172999999999"/>
  </r>
  <r>
    <x v="5222"/>
    <n v="45.648243000000001"/>
  </r>
  <r>
    <x v="5223"/>
    <n v="45.738697000000002"/>
  </r>
  <r>
    <x v="5224"/>
    <n v="47.201000000000001"/>
  </r>
  <r>
    <x v="5225"/>
    <n v="46.680897000000002"/>
  </r>
  <r>
    <x v="5226"/>
    <n v="46.198498000000001"/>
  </r>
  <r>
    <x v="5227"/>
    <n v="46.620593999999997"/>
  </r>
  <r>
    <x v="5228"/>
    <n v="47.065334"/>
  </r>
  <r>
    <x v="5229"/>
    <n v="48.128135999999998"/>
  </r>
  <r>
    <x v="5230"/>
    <n v="48.904510000000002"/>
  </r>
  <r>
    <x v="5231"/>
    <n v="48.851753000000002"/>
  </r>
  <r>
    <x v="5232"/>
    <n v="49.055270999999998"/>
  </r>
  <r>
    <x v="5233"/>
    <n v="49.055270999999998"/>
  </r>
  <r>
    <x v="5234"/>
    <n v="48.505028000000003"/>
  </r>
  <r>
    <x v="5235"/>
    <n v="48.444716999999997"/>
  </r>
  <r>
    <x v="5236"/>
    <n v="47.992462000000003"/>
  </r>
  <r>
    <x v="5237"/>
    <n v="47.283928000000003"/>
  </r>
  <r>
    <x v="5238"/>
    <n v="46.974876000000002"/>
  </r>
  <r>
    <x v="5239"/>
    <n v="47.856785000000002"/>
  </r>
  <r>
    <x v="5240"/>
    <n v="47.087944"/>
  </r>
  <r>
    <x v="5241"/>
    <n v="46.665824999999998"/>
  </r>
  <r>
    <x v="5242"/>
    <n v="46.575389999999999"/>
  </r>
  <r>
    <x v="5243"/>
    <n v="46.786419000000002"/>
  </r>
  <r>
    <x v="5244"/>
    <n v="47.223621000000001"/>
  </r>
  <r>
    <x v="5245"/>
    <n v="47.216076000000001"/>
  </r>
  <r>
    <x v="5246"/>
    <n v="46.281399"/>
  </r>
  <r>
    <x v="5247"/>
    <n v="45.520091999999998"/>
  </r>
  <r>
    <x v="5248"/>
    <n v="45.060302999999998"/>
  </r>
  <r>
    <x v="5249"/>
    <n v="44.630656999999999"/>
  </r>
  <r>
    <x v="5250"/>
    <n v="44.389454000000001"/>
  </r>
  <r>
    <x v="5251"/>
    <n v="44.690964000000001"/>
  </r>
  <r>
    <x v="5252"/>
    <n v="45.497481999999998"/>
  </r>
  <r>
    <x v="5253"/>
    <n v="45.964832000000001"/>
  </r>
  <r>
    <x v="5254"/>
    <n v="45.195984000000003"/>
  </r>
  <r>
    <x v="5255"/>
    <n v="44.283923999999999"/>
  </r>
  <r>
    <x v="5256"/>
    <n v="44.231158999999998"/>
  </r>
  <r>
    <x v="5257"/>
    <n v="43.952258999999998"/>
  </r>
  <r>
    <x v="5258"/>
    <n v="43.439689999999999"/>
  </r>
  <r>
    <x v="5259"/>
    <n v="43.288944000000001"/>
  </r>
  <r>
    <x v="5260"/>
    <n v="44.502521999999999"/>
  </r>
  <r>
    <x v="5261"/>
    <n v="44.178390999999998"/>
  </r>
  <r>
    <x v="5262"/>
    <n v="45.022601999999999"/>
  </r>
  <r>
    <x v="5263"/>
    <n v="44.698501999999998"/>
  </r>
  <r>
    <x v="5264"/>
    <n v="45.550255"/>
  </r>
  <r>
    <x v="5265"/>
    <n v="45.505020000000002"/>
  </r>
  <r>
    <x v="5266"/>
    <n v="43.809055000000001"/>
  </r>
  <r>
    <x v="5267"/>
    <n v="45.731152000000002"/>
  </r>
  <r>
    <x v="5268"/>
    <n v="46.447239000000003"/>
  </r>
  <r>
    <x v="5269"/>
    <n v="46.447239000000003"/>
  </r>
  <r>
    <x v="5270"/>
    <n v="46.831650000000003"/>
  </r>
  <r>
    <x v="5271"/>
    <n v="46.530147999999997"/>
  </r>
  <r>
    <x v="5272"/>
    <n v="46.190959999999997"/>
  </r>
  <r>
    <x v="5273"/>
    <n v="46.680897000000002"/>
  </r>
  <r>
    <x v="5274"/>
    <n v="46.801516999999997"/>
  </r>
  <r>
    <x v="5275"/>
    <n v="46.839202999999998"/>
  </r>
  <r>
    <x v="5276"/>
    <n v="46.839202999999998"/>
  </r>
  <r>
    <x v="5277"/>
    <n v="47.585430000000002"/>
  </r>
  <r>
    <x v="5278"/>
    <n v="47.103012"/>
  </r>
  <r>
    <x v="5279"/>
    <n v="46.929648999999998"/>
  </r>
  <r>
    <x v="5280"/>
    <n v="47.223621000000001"/>
  </r>
  <r>
    <x v="5281"/>
    <n v="47.751266000000001"/>
  </r>
  <r>
    <x v="5282"/>
    <n v="47.954777"/>
  </r>
  <r>
    <x v="5283"/>
    <n v="47.766331000000001"/>
  </r>
  <r>
    <x v="5284"/>
    <n v="47.841721"/>
  </r>
  <r>
    <x v="5285"/>
    <n v="48.151978"/>
  </r>
  <r>
    <x v="5286"/>
    <n v="48.583320999999998"/>
  </r>
  <r>
    <x v="5287"/>
    <n v="48.326014999999998"/>
  </r>
  <r>
    <x v="5288"/>
    <n v="48.379002"/>
  </r>
  <r>
    <x v="5289"/>
    <n v="48.696838"/>
  </r>
  <r>
    <x v="5290"/>
    <n v="48.046031999999997"/>
  </r>
  <r>
    <x v="5291"/>
    <n v="47.493594999999999"/>
  </r>
  <r>
    <x v="5292"/>
    <n v="45.276339999999998"/>
  </r>
  <r>
    <x v="5293"/>
    <n v="46.948737999999999"/>
  </r>
  <r>
    <x v="5294"/>
    <n v="47.947654999999997"/>
  </r>
  <r>
    <x v="5295"/>
    <n v="47.334682000000001"/>
  </r>
  <r>
    <x v="5296"/>
    <n v="47.569274999999998"/>
  </r>
  <r>
    <x v="5297"/>
    <n v="46.623344000000003"/>
  </r>
  <r>
    <x v="5298"/>
    <n v="46.842804000000001"/>
  </r>
  <r>
    <x v="5299"/>
    <n v="46.608207999999998"/>
  </r>
  <r>
    <x v="5300"/>
    <n v="46.547657000000001"/>
  </r>
  <r>
    <x v="5301"/>
    <n v="45.889301000000003"/>
  </r>
  <r>
    <x v="5302"/>
    <n v="46.812527000000003"/>
  </r>
  <r>
    <x v="5303"/>
    <n v="48.999535000000002"/>
  </r>
  <r>
    <x v="5304"/>
    <n v="48.772511000000002"/>
  </r>
  <r>
    <x v="5305"/>
    <n v="48.053604"/>
  </r>
  <r>
    <x v="5306"/>
    <n v="48.439540999999998"/>
  </r>
  <r>
    <x v="5307"/>
    <n v="48.363864999999997"/>
  </r>
  <r>
    <x v="5308"/>
    <n v="49.097907999999997"/>
  </r>
  <r>
    <x v="5309"/>
    <n v="49.022239999999996"/>
  </r>
  <r>
    <x v="5310"/>
    <n v="49.113048999999997"/>
  </r>
  <r>
    <x v="5311"/>
    <n v="48.613593999999999"/>
  </r>
  <r>
    <x v="5312"/>
    <n v="48.764941999999998"/>
  </r>
  <r>
    <x v="5313"/>
    <n v="49.029808000000003"/>
  </r>
  <r>
    <x v="5314"/>
    <n v="49.294682000000002"/>
  </r>
  <r>
    <x v="5315"/>
    <n v="48.946575000000003"/>
  </r>
  <r>
    <x v="5316"/>
    <n v="48.946575000000003"/>
  </r>
  <r>
    <x v="5317"/>
    <n v="49.105473000000003"/>
  </r>
  <r>
    <x v="5318"/>
    <n v="48.734668999999997"/>
  </r>
  <r>
    <x v="5319"/>
    <n v="48.174678999999998"/>
  </r>
  <r>
    <x v="5320"/>
    <n v="48.182259000000002"/>
  </r>
  <r>
    <x v="5321"/>
    <n v="48.015762000000002"/>
  </r>
  <r>
    <x v="5322"/>
    <n v="48.076293999999997"/>
  </r>
  <r>
    <x v="5323"/>
    <n v="49.960616999999999"/>
  </r>
  <r>
    <x v="5324"/>
    <n v="50.497889999999998"/>
  </r>
  <r>
    <x v="5325"/>
    <n v="49.673042000000002"/>
  </r>
  <r>
    <x v="5326"/>
    <n v="50.664386999999998"/>
  </r>
  <r>
    <x v="5327"/>
    <n v="50.838431999999997"/>
  </r>
  <r>
    <x v="5328"/>
    <n v="50.354118"/>
  </r>
  <r>
    <x v="5329"/>
    <n v="50.664386999999998"/>
  </r>
  <r>
    <x v="5330"/>
    <n v="50.838431999999997"/>
  </r>
  <r>
    <x v="5331"/>
    <n v="49.862225000000002"/>
  </r>
  <r>
    <x v="5332"/>
    <n v="49.529259000000003"/>
  </r>
  <r>
    <x v="5333"/>
    <n v="49.589806000000003"/>
  </r>
  <r>
    <x v="5334"/>
    <n v="49.514122"/>
  </r>
  <r>
    <x v="5335"/>
    <n v="49.695740000000001"/>
  </r>
  <r>
    <x v="5336"/>
    <n v="49.393036000000002"/>
  </r>
  <r>
    <x v="5337"/>
    <n v="49.052509000000001"/>
  </r>
  <r>
    <x v="5338"/>
    <n v="49.143332999999998"/>
  </r>
  <r>
    <x v="5339"/>
    <n v="49.037376000000002"/>
  </r>
  <r>
    <x v="5340"/>
    <n v="49.393036000000002"/>
  </r>
  <r>
    <x v="5341"/>
    <n v="49.673042000000002"/>
  </r>
  <r>
    <x v="5342"/>
    <n v="49.673042000000002"/>
  </r>
  <r>
    <x v="5343"/>
    <n v="50.172500999999997"/>
  </r>
  <r>
    <x v="5344"/>
    <n v="50.422215000000001"/>
  </r>
  <r>
    <x v="5345"/>
    <n v="51.436256"/>
  </r>
  <r>
    <x v="5346"/>
    <n v="50.638759999999998"/>
  </r>
  <r>
    <x v="5347"/>
    <n v="50.729889"/>
  </r>
  <r>
    <x v="5348"/>
    <n v="50.623562"/>
  </r>
  <r>
    <x v="5349"/>
    <n v="50.661541"/>
  </r>
  <r>
    <x v="5350"/>
    <n v="50.919784999999997"/>
  </r>
  <r>
    <x v="5351"/>
    <n v="50.69952"/>
  </r>
  <r>
    <x v="5352"/>
    <n v="50.562781999999999"/>
  </r>
  <r>
    <x v="5353"/>
    <n v="49.347526999999999"/>
  </r>
  <r>
    <x v="5354"/>
    <n v="49.036105999999997"/>
  </r>
  <r>
    <x v="5355"/>
    <n v="49.157642000000003"/>
  </r>
  <r>
    <x v="5356"/>
    <n v="49.932358000000001"/>
  </r>
  <r>
    <x v="5357"/>
    <n v="49.636153999999998"/>
  </r>
  <r>
    <x v="5358"/>
    <n v="50.069091999999998"/>
  </r>
  <r>
    <x v="5359"/>
    <n v="49.879210999999998"/>
  </r>
  <r>
    <x v="5360"/>
    <n v="50.600783999999997"/>
  </r>
  <r>
    <x v="5361"/>
    <n v="50.646351000000003"/>
  </r>
  <r>
    <x v="5362"/>
    <n v="50.843834000000001"/>
  </r>
  <r>
    <x v="5363"/>
    <n v="50.129855999999997"/>
  </r>
  <r>
    <x v="5364"/>
    <n v="50.319755999999998"/>
  </r>
  <r>
    <x v="5365"/>
    <n v="50.107059"/>
  </r>
  <r>
    <x v="5366"/>
    <n v="49.985537999999998"/>
  </r>
  <r>
    <x v="5367"/>
    <n v="49.491847999999997"/>
  </r>
  <r>
    <x v="5368"/>
    <n v="50.023518000000003"/>
  </r>
  <r>
    <x v="5369"/>
    <n v="50.09948"/>
  </r>
  <r>
    <x v="5370"/>
    <n v="51.109665"/>
  </r>
  <r>
    <x v="5371"/>
    <n v="50.912182000000001"/>
  </r>
  <r>
    <x v="5372"/>
    <n v="50.646351000000003"/>
  </r>
  <r>
    <x v="5373"/>
    <n v="49.742477000000001"/>
  </r>
  <r>
    <x v="5374"/>
    <n v="49.985537999999998"/>
  </r>
  <r>
    <x v="5375"/>
    <n v="48.785473000000003"/>
  </r>
  <r>
    <x v="5376"/>
    <n v="48.337330000000001"/>
  </r>
  <r>
    <x v="5377"/>
    <n v="48.557606"/>
  </r>
  <r>
    <x v="5378"/>
    <n v="49.051304000000002"/>
  </r>
  <r>
    <x v="5379"/>
    <n v="49.636153999999998"/>
  </r>
  <r>
    <x v="5380"/>
    <n v="50.129855999999997"/>
  </r>
  <r>
    <x v="5381"/>
    <n v="47.425884000000003"/>
  </r>
  <r>
    <x v="5382"/>
    <n v="46.7271"/>
  </r>
  <r>
    <x v="5383"/>
    <n v="46.795470999999999"/>
  </r>
  <r>
    <x v="5384"/>
    <n v="46.787872"/>
  </r>
  <r>
    <x v="5385"/>
    <n v="47.030914000000003"/>
  </r>
  <r>
    <x v="5386"/>
    <n v="47.767670000000003"/>
  </r>
  <r>
    <x v="5387"/>
    <n v="48.436065999999997"/>
  </r>
  <r>
    <x v="5388"/>
    <n v="48.504432999999999"/>
  </r>
  <r>
    <x v="5389"/>
    <n v="48.587975"/>
  </r>
  <r>
    <x v="5390"/>
    <n v="48.701903999999999"/>
  </r>
  <r>
    <x v="5391"/>
    <n v="48.694313000000001"/>
  </r>
  <r>
    <x v="5392"/>
    <n v="49.096870000000003"/>
  </r>
  <r>
    <x v="5393"/>
    <n v="49.233597000000003"/>
  </r>
  <r>
    <x v="5394"/>
    <n v="49.613365000000002"/>
  </r>
  <r>
    <x v="5395"/>
    <n v="49.780459999999998"/>
  </r>
  <r>
    <x v="5396"/>
    <n v="49.856419000000002"/>
  </r>
  <r>
    <x v="5397"/>
    <n v="50.593170000000001"/>
  </r>
  <r>
    <x v="5398"/>
    <n v="50.205810999999997"/>
  </r>
  <r>
    <x v="5399"/>
    <n v="49.947552000000002"/>
  </r>
  <r>
    <x v="5400"/>
    <n v="49.545009999999998"/>
  </r>
  <r>
    <x v="5401"/>
    <n v="48.542411999999999"/>
  </r>
  <r>
    <x v="5402"/>
    <n v="48.808253999999998"/>
  </r>
  <r>
    <x v="5403"/>
    <n v="48.663936999999997"/>
  </r>
  <r>
    <x v="5404"/>
    <n v="48.694313000000001"/>
  </r>
  <r>
    <x v="5405"/>
    <n v="48.747494000000003"/>
  </r>
  <r>
    <x v="5406"/>
    <n v="48.215809"/>
  </r>
  <r>
    <x v="5407"/>
    <n v="48.292186999999998"/>
  </r>
  <r>
    <x v="5408"/>
    <n v="48.658791000000001"/>
  </r>
  <r>
    <x v="5409"/>
    <n v="48.231082999999998"/>
  </r>
  <r>
    <x v="5410"/>
    <n v="48.093612999999998"/>
  </r>
  <r>
    <x v="5411"/>
    <n v="47.429133999999998"/>
  </r>
  <r>
    <x v="5412"/>
    <n v="47.375678999999998"/>
  </r>
  <r>
    <x v="5413"/>
    <n v="47.093097999999998"/>
  </r>
  <r>
    <x v="5414"/>
    <n v="46.673018999999996"/>
  </r>
  <r>
    <x v="5415"/>
    <n v="47.322212"/>
  </r>
  <r>
    <x v="5416"/>
    <n v="46.87923"/>
  </r>
  <r>
    <x v="5417"/>
    <n v="47.406216000000001"/>
  </r>
  <r>
    <x v="5418"/>
    <n v="47.642986000000001"/>
  </r>
  <r>
    <x v="5419"/>
    <n v="47.284030999999999"/>
  </r>
  <r>
    <x v="5420"/>
    <n v="46.527907999999996"/>
  </r>
  <r>
    <x v="5421"/>
    <n v="46.336967000000001"/>
  </r>
  <r>
    <x v="5422"/>
    <n v="45.733607999999997"/>
  </r>
  <r>
    <x v="5423"/>
    <n v="47.207656999999998"/>
  </r>
  <r>
    <x v="5424"/>
    <n v="46.795226999999997"/>
  </r>
  <r>
    <x v="5425"/>
    <n v="46.650108000000003"/>
  </r>
  <r>
    <x v="5426"/>
    <n v="46.657744999999998"/>
  </r>
  <r>
    <x v="5427"/>
    <n v="46.558453"/>
  </r>
  <r>
    <x v="5428"/>
    <n v="46.527907999999996"/>
  </r>
  <r>
    <x v="5429"/>
    <n v="46.520271000000001"/>
  </r>
  <r>
    <x v="5430"/>
    <n v="46.550826999999998"/>
  </r>
  <r>
    <x v="5431"/>
    <n v="45.817619000000001"/>
  </r>
  <r>
    <x v="5432"/>
    <n v="45.359363999999999"/>
  </r>
  <r>
    <x v="5433"/>
    <n v="46.161312000000002"/>
  </r>
  <r>
    <x v="5434"/>
    <n v="46.818142000000002"/>
  </r>
  <r>
    <x v="5435"/>
    <n v="47.368046"/>
  </r>
  <r>
    <x v="5436"/>
    <n v="46.802867999999997"/>
  </r>
  <r>
    <x v="5437"/>
    <n v="47.238197"/>
  </r>
  <r>
    <x v="5438"/>
    <n v="47.849212999999999"/>
  </r>
  <r>
    <x v="5439"/>
    <n v="46.680655999999999"/>
  </r>
  <r>
    <x v="5440"/>
    <n v="46.940334"/>
  </r>
  <r>
    <x v="5441"/>
    <n v="47.513153000000003"/>
  </r>
  <r>
    <x v="5442"/>
    <n v="47.581879000000001"/>
  </r>
  <r>
    <x v="5443"/>
    <n v="46.886879"/>
  </r>
  <r>
    <x v="5444"/>
    <n v="48.437294000000001"/>
  </r>
  <r>
    <x v="5445"/>
    <n v="49.346164999999999"/>
  </r>
  <r>
    <x v="5446"/>
    <n v="49.063572000000001"/>
  </r>
  <r>
    <x v="5447"/>
    <n v="49.269782999999997"/>
  </r>
  <r>
    <x v="5448"/>
    <n v="49.307968000000002"/>
  </r>
  <r>
    <x v="5449"/>
    <n v="49.850245999999999"/>
  </r>
  <r>
    <x v="5450"/>
    <n v="50.980606000000002"/>
  </r>
  <r>
    <x v="5451"/>
    <n v="50.598731999999998"/>
  </r>
  <r>
    <x v="5452"/>
    <n v="50.094631"/>
  </r>
  <r>
    <x v="5453"/>
    <n v="49.804400999999999"/>
  </r>
  <r>
    <x v="5454"/>
    <n v="50.675102000000003"/>
  </r>
  <r>
    <x v="5455"/>
    <n v="50.613990999999999"/>
  </r>
  <r>
    <x v="5456"/>
    <n v="50.759101999999999"/>
  </r>
  <r>
    <x v="5457"/>
    <n v="51.362473000000001"/>
  </r>
  <r>
    <x v="5458"/>
    <n v="51.140984000000003"/>
  </r>
  <r>
    <x v="5459"/>
    <n v="51.133343000000004"/>
  </r>
  <r>
    <x v="5460"/>
    <n v="51.095160999999997"/>
  </r>
  <r>
    <x v="5461"/>
    <n v="50.659824"/>
  </r>
  <r>
    <x v="5462"/>
    <n v="50.950046999999998"/>
  </r>
  <r>
    <x v="5463"/>
    <n v="50.843116999999999"/>
  </r>
  <r>
    <x v="5464"/>
    <n v="51.270817000000001"/>
  </r>
  <r>
    <x v="5465"/>
    <n v="51.286095000000003"/>
  </r>
  <r>
    <x v="5466"/>
    <n v="51.133343000000004"/>
  </r>
  <r>
    <x v="5467"/>
    <n v="50.423060999999997"/>
  </r>
  <r>
    <x v="5468"/>
    <n v="50.835487000000001"/>
  </r>
  <r>
    <x v="5469"/>
    <n v="50.950046999999998"/>
  </r>
  <r>
    <x v="5470"/>
    <n v="50.888618000000001"/>
  </r>
  <r>
    <x v="5471"/>
    <n v="51.249488999999997"/>
  </r>
  <r>
    <x v="5472"/>
    <n v="51.656405999999997"/>
  </r>
  <r>
    <x v="5473"/>
    <n v="52.078693000000001"/>
  </r>
  <r>
    <x v="5474"/>
    <n v="52.224556"/>
  </r>
  <r>
    <x v="5475"/>
    <n v="53.207324999999997"/>
  </r>
  <r>
    <x v="5476"/>
    <n v="53.813862"/>
  </r>
  <r>
    <x v="5477"/>
    <n v="52.278300999999999"/>
  </r>
  <r>
    <x v="5478"/>
    <n v="52.831104000000003"/>
  </r>
  <r>
    <x v="5479"/>
    <n v="52.654518000000003"/>
  </r>
  <r>
    <x v="5480"/>
    <n v="52.278300999999999"/>
  </r>
  <r>
    <x v="5481"/>
    <n v="53.299469000000002"/>
  </r>
  <r>
    <x v="5482"/>
    <n v="53.468384"/>
  </r>
  <r>
    <x v="5483"/>
    <n v="53.330173000000002"/>
  </r>
  <r>
    <x v="5484"/>
    <n v="53.023055999999997"/>
  </r>
  <r>
    <x v="5485"/>
    <n v="52.961635999999999"/>
  </r>
  <r>
    <x v="5486"/>
    <n v="52.60078"/>
  </r>
  <r>
    <x v="5487"/>
    <n v="52.785049000000001"/>
  </r>
  <r>
    <x v="5488"/>
    <n v="52.877173999999997"/>
  </r>
  <r>
    <x v="5489"/>
    <n v="51.733199999999997"/>
  </r>
  <r>
    <x v="5490"/>
    <n v="51.687114999999999"/>
  </r>
  <r>
    <x v="5491"/>
    <n v="51.817641999999999"/>
  </r>
  <r>
    <x v="5492"/>
    <n v="51.963515999999998"/>
  </r>
  <r>
    <x v="5493"/>
    <n v="51.525889999999997"/>
  </r>
  <r>
    <x v="5494"/>
    <n v="52.224556"/>
  </r>
  <r>
    <x v="5495"/>
    <n v="51.587307000000003"/>
  </r>
  <r>
    <x v="5496"/>
    <n v="50.942371000000001"/>
  </r>
  <r>
    <x v="5497"/>
    <n v="50.450985000000003"/>
  </r>
  <r>
    <x v="5498"/>
    <n v="51.318565"/>
  </r>
  <r>
    <x v="5499"/>
    <n v="51.863712"/>
  </r>
  <r>
    <x v="5500"/>
    <n v="52.017257999999998"/>
  </r>
  <r>
    <x v="5501"/>
    <n v="52.339722000000002"/>
  </r>
  <r>
    <x v="5502"/>
    <n v="52.877173999999997"/>
  </r>
  <r>
    <x v="5503"/>
    <n v="52.746665999999998"/>
  </r>
  <r>
    <x v="5504"/>
    <n v="52.516331000000001"/>
  </r>
  <r>
    <x v="5505"/>
    <n v="52.800392000000002"/>
  </r>
  <r>
    <x v="5506"/>
    <n v="52.915573000000002"/>
  </r>
  <r>
    <x v="5507"/>
    <n v="51.472133999999997"/>
  </r>
  <r>
    <x v="5508"/>
    <n v="51.395363000000003"/>
  </r>
  <r>
    <x v="5509"/>
    <n v="52.416511999999997"/>
  </r>
  <r>
    <x v="5510"/>
    <n v="52.623814000000003"/>
  </r>
  <r>
    <x v="5511"/>
    <n v="52.923248000000001"/>
  </r>
  <r>
    <x v="5512"/>
    <n v="53.007705999999999"/>
  </r>
  <r>
    <x v="5513"/>
    <n v="53.353203000000001"/>
  </r>
  <r>
    <x v="5514"/>
    <n v="53.667988000000001"/>
  </r>
  <r>
    <x v="5515"/>
    <n v="53.414622999999999"/>
  </r>
  <r>
    <x v="5516"/>
    <n v="52.984668999999997"/>
  </r>
  <r>
    <x v="5517"/>
    <n v="53.545150999999997"/>
  </r>
  <r>
    <x v="5518"/>
    <n v="51.510520999999997"/>
  </r>
  <r>
    <x v="5519"/>
    <n v="51.786934000000002"/>
  </r>
  <r>
    <x v="5520"/>
    <n v="51.917450000000002"/>
  </r>
  <r>
    <x v="5521"/>
    <n v="52.60078"/>
  </r>
  <r>
    <x v="5522"/>
    <n v="53.767825999999999"/>
  </r>
  <r>
    <x v="5523"/>
    <n v="54.681477000000001"/>
  </r>
  <r>
    <x v="5524"/>
    <n v="55.410862000000002"/>
  </r>
  <r>
    <x v="5525"/>
    <n v="55.234268"/>
  </r>
  <r>
    <x v="5526"/>
    <n v="55.157490000000003"/>
  </r>
  <r>
    <x v="5527"/>
    <n v="54.535595000000001"/>
  </r>
  <r>
    <x v="5528"/>
    <n v="55.057685999999997"/>
  </r>
  <r>
    <x v="5529"/>
    <n v="56.017409999999998"/>
  </r>
  <r>
    <x v="5530"/>
    <n v="55.656559000000001"/>
  </r>
  <r>
    <x v="5531"/>
    <n v="56.547173000000001"/>
  </r>
  <r>
    <x v="5532"/>
    <n v="56.747757"/>
  </r>
  <r>
    <x v="5533"/>
    <n v="56.763179999999998"/>
  </r>
  <r>
    <x v="5534"/>
    <n v="56.655208999999999"/>
  </r>
  <r>
    <x v="5535"/>
    <n v="56.554901000000001"/>
  </r>
  <r>
    <x v="5536"/>
    <n v="56.454597"/>
  </r>
  <r>
    <x v="5537"/>
    <n v="56.493172000000001"/>
  </r>
  <r>
    <x v="5538"/>
    <n v="56.902050000000003"/>
  </r>
  <r>
    <x v="5539"/>
    <n v="56.601180999999997"/>
  </r>
  <r>
    <x v="5540"/>
    <n v="56.608902"/>
  </r>
  <r>
    <x v="5541"/>
    <n v="56.323462999999997"/>
  </r>
  <r>
    <x v="5542"/>
    <n v="56.107464"/>
  </r>
  <r>
    <x v="5543"/>
    <n v="55.991740999999998"/>
  </r>
  <r>
    <x v="5544"/>
    <n v="56.153731999999998"/>
  </r>
  <r>
    <x v="5545"/>
    <n v="56.254024999999999"/>
  </r>
  <r>
    <x v="5546"/>
    <n v="56.454597"/>
  </r>
  <r>
    <x v="5547"/>
    <n v="55.876018999999999"/>
  </r>
  <r>
    <x v="5548"/>
    <n v="56.246322999999997"/>
  </r>
  <r>
    <x v="5549"/>
    <n v="56.192318"/>
  </r>
  <r>
    <x v="5550"/>
    <n v="56.346592000000001"/>
  </r>
  <r>
    <x v="5551"/>
    <n v="56.686053999999999"/>
  </r>
  <r>
    <x v="5552"/>
    <n v="56.932910999999997"/>
  </r>
  <r>
    <x v="5553"/>
    <n v="56.755462999999999"/>
  </r>
  <r>
    <x v="5554"/>
    <n v="57.280059999999999"/>
  </r>
  <r>
    <x v="5555"/>
    <n v="56.562607"/>
  </r>
  <r>
    <x v="5556"/>
    <n v="56.230888"/>
  </r>
  <r>
    <x v="5557"/>
    <n v="56.084316000000001"/>
  </r>
  <r>
    <x v="5558"/>
    <n v="56.500881"/>
  </r>
  <r>
    <x v="5559"/>
    <n v="56.840339999999998"/>
  </r>
  <r>
    <x v="5560"/>
    <n v="57.017761"/>
  </r>
  <r>
    <x v="5561"/>
    <n v="56.986916000000001"/>
  </r>
  <r>
    <x v="5562"/>
    <n v="56.485461999999998"/>
  </r>
  <r>
    <x v="5563"/>
    <n v="56.616622999999997"/>
  </r>
  <r>
    <x v="5564"/>
    <n v="57.480643999999998"/>
  </r>
  <r>
    <x v="5565"/>
    <n v="57.642628000000002"/>
  </r>
  <r>
    <x v="5566"/>
    <n v="57.650364000000003"/>
  </r>
  <r>
    <x v="5567"/>
    <n v="58.213509000000002"/>
  </r>
  <r>
    <x v="5568"/>
    <n v="58.460369"/>
  </r>
  <r>
    <x v="5569"/>
    <n v="58.529823"/>
  </r>
  <r>
    <x v="5570"/>
    <n v="57.148918000000002"/>
  </r>
  <r>
    <x v="5571"/>
    <n v="56.470016000000001"/>
  </r>
  <r>
    <x v="5572"/>
    <n v="55.536591000000001"/>
  </r>
  <r>
    <x v="5573"/>
    <n v="54.865417000000001"/>
  </r>
  <r>
    <x v="5574"/>
    <n v="56.516314999999999"/>
  </r>
  <r>
    <x v="5575"/>
    <n v="57.256908000000003"/>
  </r>
  <r>
    <x v="5576"/>
    <n v="56.562607"/>
  </r>
  <r>
    <x v="5577"/>
    <n v="55.937756"/>
  </r>
  <r>
    <x v="5578"/>
    <n v="55.829742000000003"/>
  </r>
  <r>
    <x v="5579"/>
    <n v="56.500881"/>
  </r>
  <r>
    <x v="5580"/>
    <n v="57.403488000000003"/>
  </r>
  <r>
    <x v="5581"/>
    <n v="57.619506999999999"/>
  </r>
  <r>
    <x v="5582"/>
    <n v="58.336925999999998"/>
  </r>
  <r>
    <x v="5583"/>
    <n v="58.954098000000002"/>
  </r>
  <r>
    <x v="5584"/>
    <n v="58.969521"/>
  </r>
  <r>
    <x v="5585"/>
    <n v="58.846085000000002"/>
  </r>
  <r>
    <x v="5586"/>
    <n v="58.321517999999998"/>
  </r>
  <r>
    <x v="5587"/>
    <n v="58.452652"/>
  </r>
  <r>
    <x v="5588"/>
    <n v="58.591510999999997"/>
  </r>
  <r>
    <x v="5589"/>
    <n v="58.329227000000003"/>
  </r>
  <r>
    <x v="5590"/>
    <n v="58.190356999999999"/>
  </r>
  <r>
    <x v="5591"/>
    <n v="57.789234"/>
  </r>
  <r>
    <x v="5592"/>
    <n v="57.897221000000002"/>
  </r>
  <r>
    <x v="5593"/>
    <n v="58.005237999999999"/>
  </r>
  <r>
    <x v="5594"/>
    <n v="58.082343999999999"/>
  </r>
  <r>
    <x v="5595"/>
    <n v="57.067036000000002"/>
  </r>
  <r>
    <x v="5596"/>
    <n v="58.989184999999999"/>
  </r>
  <r>
    <x v="5597"/>
    <n v="59.423203000000001"/>
  </r>
  <r>
    <x v="5598"/>
    <n v="59.678950999999998"/>
  </r>
  <r>
    <x v="5599"/>
    <n v="59.516219999999997"/>
  </r>
  <r>
    <x v="5600"/>
    <n v="59.733226999999999"/>
  </r>
  <r>
    <x v="5601"/>
    <n v="59.454211999999998"/>
  </r>
  <r>
    <x v="5602"/>
    <n v="59.655720000000002"/>
  </r>
  <r>
    <x v="5603"/>
    <n v="58.617134"/>
  </r>
  <r>
    <x v="5604"/>
    <n v="57.927360999999998"/>
  </r>
  <r>
    <x v="5605"/>
    <n v="59.694488999999997"/>
  </r>
  <r>
    <x v="5606"/>
    <n v="60.027748000000003"/>
  </r>
  <r>
    <x v="5607"/>
    <n v="59.531692999999997"/>
  </r>
  <r>
    <x v="5608"/>
    <n v="60.531512999999997"/>
  </r>
  <r>
    <x v="5609"/>
    <n v="60.601298999999997"/>
  </r>
  <r>
    <x v="5610"/>
    <n v="60.252502"/>
  </r>
  <r>
    <x v="5611"/>
    <n v="60.88805"/>
  </r>
  <r>
    <x v="5612"/>
    <n v="60.694290000000002"/>
  </r>
  <r>
    <x v="5613"/>
    <n v="61.267817999999998"/>
  </r>
  <r>
    <x v="5614"/>
    <n v="61.446095"/>
  </r>
  <r>
    <x v="5615"/>
    <n v="61.120567000000001"/>
  </r>
  <r>
    <x v="5616"/>
    <n v="62.081608000000003"/>
  </r>
  <r>
    <x v="5617"/>
    <n v="62.112625000000001"/>
  </r>
  <r>
    <x v="5618"/>
    <n v="62.430393000000002"/>
  </r>
  <r>
    <x v="5619"/>
    <n v="60.864806999999999"/>
  </r>
  <r>
    <x v="5620"/>
    <n v="60.516025999999997"/>
  </r>
  <r>
    <x v="5621"/>
    <n v="61.143810000000002"/>
  </r>
  <r>
    <x v="5622"/>
    <n v="61.949874999999999"/>
  </r>
  <r>
    <x v="5623"/>
    <n v="60.508293000000002"/>
  </r>
  <r>
    <x v="5624"/>
    <n v="60.461761000000003"/>
  </r>
  <r>
    <x v="5625"/>
    <n v="61.337584999999997"/>
  </r>
  <r>
    <x v="5626"/>
    <n v="61.60886"/>
  </r>
  <r>
    <x v="5627"/>
    <n v="62.143642"/>
  </r>
  <r>
    <x v="5628"/>
    <n v="63.027191000000002"/>
  </r>
  <r>
    <x v="5629"/>
    <n v="62.724907000000002"/>
  </r>
  <r>
    <x v="5630"/>
    <n v="62.476906"/>
  </r>
  <r>
    <x v="5631"/>
    <n v="62.55442"/>
  </r>
  <r>
    <x v="5632"/>
    <n v="60.353259999999999"/>
  </r>
  <r>
    <x v="5633"/>
    <n v="60.151736999999997"/>
  </r>
  <r>
    <x v="5634"/>
    <n v="60.492778999999999"/>
  </r>
  <r>
    <x v="5635"/>
    <n v="60.857059"/>
  </r>
  <r>
    <x v="5636"/>
    <n v="61.004299000000003"/>
  </r>
  <r>
    <x v="5637"/>
    <n v="61.221328999999997"/>
  </r>
  <r>
    <x v="5638"/>
    <n v="61.221328999999997"/>
  </r>
  <r>
    <x v="5639"/>
    <n v="61.663077999999999"/>
  </r>
  <r>
    <x v="5640"/>
    <n v="61.469341"/>
  </r>
  <r>
    <x v="5641"/>
    <n v="61.484856000000001"/>
  </r>
  <r>
    <x v="5642"/>
    <n v="61.616585000000001"/>
  </r>
  <r>
    <x v="5643"/>
    <n v="61.616585000000001"/>
  </r>
  <r>
    <x v="5644"/>
    <n v="61.980877"/>
  </r>
  <r>
    <x v="5645"/>
    <n v="62.290882000000003"/>
  </r>
  <r>
    <x v="5646"/>
    <n v="62.321899000000002"/>
  </r>
  <r>
    <x v="5647"/>
    <n v="61.833610999999998"/>
  </r>
  <r>
    <x v="5648"/>
    <n v="61.554585000000003"/>
  </r>
  <r>
    <x v="5649"/>
    <n v="61.856856999999998"/>
  </r>
  <r>
    <x v="5650"/>
    <n v="61.895617999999999"/>
  </r>
  <r>
    <x v="5651"/>
    <n v="61.748351999999997"/>
  </r>
  <r>
    <x v="5652"/>
    <n v="61.663077999999999"/>
  </r>
  <r>
    <x v="5653"/>
    <n v="61.911121000000001"/>
  </r>
  <r>
    <x v="5654"/>
    <n v="62.360644999999998"/>
  </r>
  <r>
    <x v="5655"/>
    <n v="62.174629000000003"/>
  </r>
  <r>
    <x v="5656"/>
    <n v="62.151386000000002"/>
  </r>
  <r>
    <x v="5657"/>
    <n v="62.352898000000003"/>
  </r>
  <r>
    <x v="5658"/>
    <n v="62.703522"/>
  </r>
  <r>
    <x v="5659"/>
    <n v="62.641196999999998"/>
  </r>
  <r>
    <x v="5660"/>
    <n v="62.267189000000002"/>
  </r>
  <r>
    <x v="5661"/>
    <n v="62.064628999999996"/>
  </r>
  <r>
    <x v="5662"/>
    <n v="62.625594999999997"/>
  </r>
  <r>
    <x v="5663"/>
    <n v="62.290576999999999"/>
  </r>
  <r>
    <x v="5664"/>
    <n v="61.690674000000001"/>
  </r>
  <r>
    <x v="5665"/>
    <n v="61.714027000000002"/>
  </r>
  <r>
    <x v="5666"/>
    <n v="61.815303999999998"/>
  </r>
  <r>
    <x v="5667"/>
    <n v="61.636093000000002"/>
  </r>
  <r>
    <x v="5668"/>
    <n v="61.277732999999998"/>
  </r>
  <r>
    <x v="5669"/>
    <n v="61.675068000000003"/>
  </r>
  <r>
    <x v="5670"/>
    <n v="61.698425"/>
  </r>
  <r>
    <x v="5671"/>
    <n v="62.134749999999997"/>
  </r>
  <r>
    <x v="5672"/>
    <n v="62.220435999999999"/>
  </r>
  <r>
    <x v="5673"/>
    <n v="61.885437000000003"/>
  </r>
  <r>
    <x v="5674"/>
    <n v="61.378985999999998"/>
  </r>
  <r>
    <x v="5675"/>
    <n v="60.810245999999999"/>
  </r>
  <r>
    <x v="5676"/>
    <n v="61.371203999999999"/>
  </r>
  <r>
    <x v="5677"/>
    <n v="61.542610000000003"/>
  </r>
  <r>
    <x v="5678"/>
    <n v="61.706215"/>
  </r>
  <r>
    <x v="5679"/>
    <n v="62.119155999999997"/>
  </r>
  <r>
    <x v="5680"/>
    <n v="62.461967000000001"/>
  </r>
  <r>
    <x v="5681"/>
    <n v="63.100838000000003"/>
  </r>
  <r>
    <x v="5682"/>
    <n v="62.968418"/>
  </r>
  <r>
    <x v="5683"/>
    <n v="62.835953000000003"/>
  </r>
  <r>
    <x v="5684"/>
    <n v="62.929442999999999"/>
  </r>
  <r>
    <x v="5685"/>
    <n v="62.664558"/>
  </r>
  <r>
    <x v="5686"/>
    <n v="62.017887000000002"/>
  </r>
  <r>
    <x v="5687"/>
    <n v="61.955544000000003"/>
  </r>
  <r>
    <x v="5688"/>
    <n v="61.893211000000001"/>
  </r>
  <r>
    <x v="5689"/>
    <n v="62.033465999999997"/>
  </r>
  <r>
    <x v="5690"/>
    <n v="60.857002000000001"/>
  </r>
  <r>
    <x v="5691"/>
    <n v="61.854252000000002"/>
  </r>
  <r>
    <x v="5692"/>
    <n v="62.072417999999999"/>
  </r>
  <r>
    <x v="5693"/>
    <n v="63.521576000000003"/>
  </r>
  <r>
    <x v="5694"/>
    <n v="63.576098999999999"/>
  </r>
  <r>
    <x v="5695"/>
    <n v="59.345505000000003"/>
  </r>
  <r>
    <x v="5696"/>
    <n v="59.290965999999997"/>
  </r>
  <r>
    <x v="5697"/>
    <n v="59.080589000000003"/>
  </r>
  <r>
    <x v="5698"/>
    <n v="58.675446000000001"/>
  </r>
  <r>
    <x v="5699"/>
    <n v="59.244208999999998"/>
  </r>
  <r>
    <x v="5700"/>
    <n v="57.436672000000002"/>
  </r>
  <r>
    <x v="5701"/>
    <n v="56.525092999999998"/>
  </r>
  <r>
    <x v="5702"/>
    <n v="57.078254999999999"/>
  </r>
  <r>
    <x v="5703"/>
    <n v="56.680908000000002"/>
  </r>
  <r>
    <x v="5704"/>
    <n v="56.789977999999998"/>
  </r>
  <r>
    <x v="5705"/>
    <n v="56.478352000000001"/>
  </r>
  <r>
    <x v="5706"/>
    <n v="57.561317000000003"/>
  </r>
  <r>
    <x v="5707"/>
    <n v="58.223579000000001"/>
  </r>
  <r>
    <x v="5708"/>
    <n v="57.763893000000003"/>
  </r>
  <r>
    <x v="5709"/>
    <n v="58.044373"/>
  </r>
  <r>
    <x v="5710"/>
    <n v="58.246941"/>
  </r>
  <r>
    <x v="5711"/>
    <n v="57.974243000000001"/>
  </r>
  <r>
    <x v="5712"/>
    <n v="58.457306000000003"/>
  </r>
  <r>
    <x v="5713"/>
    <n v="58.535209999999999"/>
  </r>
  <r>
    <x v="5714"/>
    <n v="59.555874000000003"/>
  </r>
  <r>
    <x v="5715"/>
    <n v="59.812981000000001"/>
  </r>
  <r>
    <x v="5716"/>
    <n v="59.851917"/>
  </r>
  <r>
    <x v="5717"/>
    <n v="59.672728999999997"/>
  </r>
  <r>
    <x v="5718"/>
    <n v="59.999969"/>
  </r>
  <r>
    <x v="5719"/>
    <n v="59.968788000000004"/>
  </r>
  <r>
    <x v="5720"/>
    <n v="59.477943000000003"/>
  </r>
  <r>
    <x v="5721"/>
    <n v="59.618972999999997"/>
  </r>
  <r>
    <x v="5722"/>
    <n v="58.804195"/>
  </r>
  <r>
    <x v="5723"/>
    <n v="58.671028"/>
  </r>
  <r>
    <x v="5724"/>
    <n v="58.843369000000003"/>
  </r>
  <r>
    <x v="5725"/>
    <n v="59.391773000000001"/>
  </r>
  <r>
    <x v="5726"/>
    <n v="59.462260999999998"/>
  </r>
  <r>
    <x v="5727"/>
    <n v="59.415275999999999"/>
  </r>
  <r>
    <x v="5728"/>
    <n v="59.485782999999998"/>
  </r>
  <r>
    <x v="5729"/>
    <n v="59.626801"/>
  </r>
  <r>
    <x v="5730"/>
    <n v="59.015728000000003"/>
  </r>
  <r>
    <x v="5731"/>
    <n v="58.819865999999998"/>
  </r>
  <r>
    <x v="5732"/>
    <n v="59.313419000000003"/>
  </r>
  <r>
    <x v="5733"/>
    <n v="59.407432999999997"/>
  </r>
  <r>
    <x v="5734"/>
    <n v="59.885325999999999"/>
  </r>
  <r>
    <x v="5735"/>
    <n v="59.172417000000003"/>
  </r>
  <r>
    <x v="5736"/>
    <n v="59.767806999999998"/>
  </r>
  <r>
    <x v="5737"/>
    <n v="59.407432999999997"/>
  </r>
  <r>
    <x v="5738"/>
    <n v="59.728642000000001"/>
  </r>
  <r>
    <x v="5739"/>
    <n v="58.608341000000003"/>
  </r>
  <r>
    <x v="5740"/>
    <n v="58.804195"/>
  </r>
  <r>
    <x v="5741"/>
    <n v="58.616165000000002"/>
  </r>
  <r>
    <x v="5742"/>
    <n v="58.577010999999999"/>
  </r>
  <r>
    <x v="5743"/>
    <n v="57.879756999999998"/>
  </r>
  <r>
    <x v="5744"/>
    <n v="57.707405000000001"/>
  </r>
  <r>
    <x v="5745"/>
    <n v="58.647499000000003"/>
  </r>
  <r>
    <x v="5746"/>
    <n v="58.53783"/>
  </r>
  <r>
    <x v="5747"/>
    <n v="57.589897000000001"/>
  </r>
  <r>
    <x v="5748"/>
    <n v="58.906044000000001"/>
  </r>
  <r>
    <x v="5749"/>
    <n v="58.036437999999997"/>
  </r>
  <r>
    <x v="5750"/>
    <n v="55.795817999999997"/>
  </r>
  <r>
    <x v="5751"/>
    <n v="55.396281999999999"/>
  </r>
  <r>
    <x v="5752"/>
    <n v="56.297221999999998"/>
  </r>
  <r>
    <x v="5753"/>
    <n v="55.780144"/>
  </r>
  <r>
    <x v="5754"/>
    <n v="55.733150000000002"/>
  </r>
  <r>
    <x v="5755"/>
    <n v="56.743786"/>
  </r>
  <r>
    <x v="5756"/>
    <n v="57.40184"/>
  </r>
  <r>
    <x v="5757"/>
    <n v="58.757190999999999"/>
  </r>
  <r>
    <x v="5758"/>
    <n v="58.208804999999998"/>
  </r>
  <r>
    <x v="5759"/>
    <n v="58.866875"/>
  </r>
  <r>
    <x v="5760"/>
    <n v="59.540615000000003"/>
  </r>
  <r>
    <x v="5761"/>
    <n v="59.415275999999999"/>
  </r>
  <r>
    <x v="5762"/>
    <n v="59.987197999999999"/>
  </r>
  <r>
    <x v="5763"/>
    <n v="60.237876999999997"/>
  </r>
  <r>
    <x v="5764"/>
    <n v="60.613930000000003"/>
  </r>
  <r>
    <x v="5765"/>
    <n v="61.507033999999997"/>
  </r>
  <r>
    <x v="5766"/>
    <n v="61.295498000000002"/>
  </r>
  <r>
    <x v="5767"/>
    <n v="60.410240000000002"/>
  </r>
  <r>
    <x v="5768"/>
    <n v="60.480742999999997"/>
  </r>
  <r>
    <x v="5769"/>
    <n v="55.294449"/>
  </r>
  <r>
    <x v="5770"/>
    <n v="54.260306999999997"/>
  </r>
  <r>
    <x v="5771"/>
    <n v="54.338653999999998"/>
  </r>
  <r>
    <x v="5772"/>
    <n v="54.557999000000002"/>
  </r>
  <r>
    <x v="5773"/>
    <n v="55.067230000000002"/>
  </r>
  <r>
    <x v="5774"/>
    <n v="55.349269999999997"/>
  </r>
  <r>
    <x v="5775"/>
    <n v="55.505955"/>
  </r>
  <r>
    <x v="5776"/>
    <n v="55.153419"/>
  </r>
  <r>
    <x v="5777"/>
    <n v="56.414757000000002"/>
  </r>
  <r>
    <x v="5778"/>
    <n v="55.208255999999999"/>
  </r>
  <r>
    <x v="5779"/>
    <n v="55.396281999999999"/>
  </r>
  <r>
    <x v="5780"/>
    <n v="55.991692"/>
  </r>
  <r>
    <x v="5781"/>
    <n v="56.164042999999999"/>
  </r>
  <r>
    <x v="5782"/>
    <n v="56.618426999999997"/>
  </r>
  <r>
    <x v="5783"/>
    <n v="56.941532000000002"/>
  </r>
  <r>
    <x v="5784"/>
    <n v="57.445838999999999"/>
  </r>
  <r>
    <x v="5785"/>
    <n v="56.571159000000002"/>
  </r>
  <r>
    <x v="5786"/>
    <n v="57.776809999999998"/>
  </r>
  <r>
    <x v="5787"/>
    <n v="58.604228999999997"/>
  </r>
  <r>
    <x v="5788"/>
    <n v="57.792560999999999"/>
  </r>
  <r>
    <x v="5789"/>
    <n v="57.816208000000003"/>
  </r>
  <r>
    <x v="5790"/>
    <n v="57.217312"/>
  </r>
  <r>
    <x v="5791"/>
    <n v="57.532524000000002"/>
  </r>
  <r>
    <x v="5792"/>
    <n v="56.342621000000001"/>
  </r>
  <r>
    <x v="5793"/>
    <n v="56.728752"/>
  </r>
  <r>
    <x v="5794"/>
    <n v="55.617660999999998"/>
  </r>
  <r>
    <x v="5795"/>
    <n v="55.452182999999998"/>
  </r>
  <r>
    <x v="5796"/>
    <n v="55.404891999999997"/>
  </r>
  <r>
    <x v="5797"/>
    <n v="56.902110999999998"/>
  </r>
  <r>
    <x v="5798"/>
    <n v="57.808315"/>
  </r>
  <r>
    <x v="5799"/>
    <n v="57.863495"/>
  </r>
  <r>
    <x v="5800"/>
    <n v="58.753925000000002"/>
  </r>
  <r>
    <x v="5801"/>
    <n v="58.785460999999998"/>
  </r>
  <r>
    <x v="5802"/>
    <n v="58.832740999999999"/>
  </r>
  <r>
    <x v="5803"/>
    <n v="59.589218000000002"/>
  </r>
  <r>
    <x v="5804"/>
    <n v="59.092762"/>
  </r>
  <r>
    <x v="5805"/>
    <n v="59.116397999999997"/>
  </r>
  <r>
    <x v="5806"/>
    <n v="58.572693000000001"/>
  </r>
  <r>
    <x v="5807"/>
    <n v="58.533301999999999"/>
  </r>
  <r>
    <x v="5808"/>
    <n v="58.257491999999999"/>
  </r>
  <r>
    <x v="5809"/>
    <n v="57.430084000000001"/>
  </r>
  <r>
    <x v="5810"/>
    <n v="58.099888"/>
  </r>
  <r>
    <x v="5811"/>
    <n v="58.714526999999997"/>
  </r>
  <r>
    <x v="5812"/>
    <n v="58.643604000000003"/>
  </r>
  <r>
    <x v="5813"/>
    <n v="57.973807999999998"/>
  </r>
  <r>
    <x v="5814"/>
    <n v="57.501007000000001"/>
  </r>
  <r>
    <x v="5815"/>
    <n v="56.91"/>
  </r>
  <r>
    <x v="5816"/>
    <n v="56.248069999999998"/>
  </r>
  <r>
    <x v="5817"/>
    <n v="56.177146999999998"/>
  </r>
  <r>
    <x v="5818"/>
    <n v="57.114882999999999"/>
  </r>
  <r>
    <x v="5819"/>
    <n v="56.413531999999996"/>
  </r>
  <r>
    <x v="5820"/>
    <n v="56.665740999999997"/>
  </r>
  <r>
    <x v="5821"/>
    <n v="56.878470999999998"/>
  </r>
  <r>
    <x v="5822"/>
    <n v="57.217312"/>
  </r>
  <r>
    <x v="5823"/>
    <n v="56.555382000000002"/>
  </r>
  <r>
    <x v="5824"/>
    <n v="55.940742"/>
  </r>
  <r>
    <x v="5825"/>
    <n v="50.188274"/>
  </r>
  <r>
    <x v="5826"/>
    <n v="49.219028000000002"/>
  </r>
  <r>
    <x v="5827"/>
    <n v="51.638221999999999"/>
  </r>
  <r>
    <x v="5828"/>
    <n v="52.765072000000004"/>
  </r>
  <r>
    <x v="5829"/>
    <n v="52.765072000000004"/>
  </r>
  <r>
    <x v="5830"/>
    <n v="53.545192999999998"/>
  </r>
  <r>
    <x v="5831"/>
    <n v="52.284385999999998"/>
  </r>
  <r>
    <x v="5832"/>
    <n v="52.883270000000003"/>
  </r>
  <r>
    <x v="5833"/>
    <n v="55.365509000000003"/>
  </r>
  <r>
    <x v="5834"/>
    <n v="55.326096"/>
  </r>
  <r>
    <x v="5835"/>
    <n v="55.467945"/>
  </r>
  <r>
    <x v="5836"/>
    <n v="55.854069000000003"/>
  </r>
  <r>
    <x v="5837"/>
    <n v="55.791027"/>
  </r>
  <r>
    <x v="5838"/>
    <n v="55.586136000000003"/>
  </r>
  <r>
    <x v="5839"/>
    <n v="55.932858000000003"/>
  </r>
  <r>
    <x v="5840"/>
    <n v="56.358378999999999"/>
  </r>
  <r>
    <x v="5841"/>
    <n v="55.901339999999998"/>
  </r>
  <r>
    <x v="5842"/>
    <n v="56.240189000000001"/>
  </r>
  <r>
    <x v="5843"/>
    <n v="56.484467000000002"/>
  </r>
  <r>
    <x v="5844"/>
    <n v="56.744517999999999"/>
  </r>
  <r>
    <x v="5845"/>
    <n v="57.138511999999999"/>
  </r>
  <r>
    <x v="5846"/>
    <n v="57.590294"/>
  </r>
  <r>
    <x v="5847"/>
    <n v="56.599559999999997"/>
  </r>
  <r>
    <x v="5848"/>
    <n v="56.155684999999998"/>
  </r>
  <r>
    <x v="5849"/>
    <n v="56.219112000000003"/>
  </r>
  <r>
    <x v="5850"/>
    <n v="56.678809999999999"/>
  </r>
  <r>
    <x v="5851"/>
    <n v="57.629931999999997"/>
  </r>
  <r>
    <x v="5852"/>
    <n v="56.979996"/>
  </r>
  <r>
    <x v="5853"/>
    <n v="55.695995000000003"/>
  </r>
  <r>
    <x v="5854"/>
    <n v="54.982647"/>
  </r>
  <r>
    <x v="5855"/>
    <n v="54.404040999999999"/>
  </r>
  <r>
    <x v="5856"/>
    <n v="55.481976000000003"/>
  </r>
  <r>
    <x v="5857"/>
    <n v="55.339328999999999"/>
  </r>
  <r>
    <x v="5858"/>
    <n v="55.664284000000002"/>
  </r>
  <r>
    <x v="5859"/>
    <n v="55.347251999999997"/>
  </r>
  <r>
    <x v="5860"/>
    <n v="55.513686999999997"/>
  </r>
  <r>
    <x v="5861"/>
    <n v="55.537457000000003"/>
  </r>
  <r>
    <x v="5862"/>
    <n v="54.665591999999997"/>
  </r>
  <r>
    <x v="5863"/>
    <n v="53.270634000000001"/>
  </r>
  <r>
    <x v="5864"/>
    <n v="53.231003000000001"/>
  </r>
  <r>
    <x v="5865"/>
    <n v="53.127963999999999"/>
  </r>
  <r>
    <x v="5866"/>
    <n v="54.594268999999997"/>
  </r>
  <r>
    <x v="5867"/>
    <n v="54.958857999999999"/>
  </r>
  <r>
    <x v="5868"/>
    <n v="55.030192999999997"/>
  </r>
  <r>
    <x v="5869"/>
    <n v="53.873009000000003"/>
  </r>
  <r>
    <x v="5870"/>
    <n v="53.706561999999998"/>
  </r>
  <r>
    <x v="5871"/>
    <n v="53.357826000000003"/>
  </r>
  <r>
    <x v="5872"/>
    <n v="53.310253000000003"/>
  </r>
  <r>
    <x v="5873"/>
    <n v="54.538780000000003"/>
  </r>
  <r>
    <x v="5874"/>
    <n v="54.816215999999997"/>
  </r>
  <r>
    <x v="5875"/>
    <n v="54.475383999999998"/>
  </r>
  <r>
    <x v="5876"/>
    <n v="54.665591999999997"/>
  </r>
  <r>
    <x v="5877"/>
    <n v="54.261378999999998"/>
  </r>
  <r>
    <x v="5878"/>
    <n v="53.825439000000003"/>
  </r>
  <r>
    <x v="5879"/>
    <n v="53.191372000000001"/>
  </r>
  <r>
    <x v="5880"/>
    <n v="54.404040999999999"/>
  </r>
  <r>
    <x v="5881"/>
    <n v="54.348564000000003"/>
  </r>
  <r>
    <x v="5882"/>
    <n v="54.641834000000003"/>
  </r>
  <r>
    <x v="5883"/>
    <n v="54.166263999999998"/>
  </r>
  <r>
    <x v="5884"/>
    <n v="54.087001999999998"/>
  </r>
  <r>
    <x v="5885"/>
    <n v="54.871673999999999"/>
  </r>
  <r>
    <x v="5886"/>
    <n v="55.204574999999998"/>
  </r>
  <r>
    <x v="5887"/>
    <n v="54.427826000000003"/>
  </r>
  <r>
    <x v="5888"/>
    <n v="53.896777999999998"/>
  </r>
  <r>
    <x v="5889"/>
    <n v="54.229675"/>
  </r>
  <r>
    <x v="5890"/>
    <n v="54.736941999999999"/>
  </r>
  <r>
    <x v="5891"/>
    <n v="54.190041000000001"/>
  </r>
  <r>
    <x v="5892"/>
    <n v="53.746181"/>
  </r>
  <r>
    <x v="5893"/>
    <n v="54.237606"/>
  </r>
  <r>
    <x v="5894"/>
    <n v="55.014350999999998"/>
  </r>
  <r>
    <x v="5895"/>
    <n v="54.729011999999997"/>
  </r>
  <r>
    <x v="5896"/>
    <n v="54.522930000000002"/>
  </r>
  <r>
    <x v="5897"/>
    <n v="55.267975"/>
  </r>
  <r>
    <x v="5898"/>
    <n v="55.894137999999998"/>
  </r>
  <r>
    <x v="5899"/>
    <n v="56.322124000000002"/>
  </r>
  <r>
    <x v="5900"/>
    <n v="55.814864999999998"/>
  </r>
  <r>
    <x v="5901"/>
    <n v="55.180804999999999"/>
  </r>
  <r>
    <x v="5902"/>
    <n v="54.911312000000002"/>
  </r>
  <r>
    <x v="5903"/>
    <n v="55.553317999999997"/>
  </r>
  <r>
    <x v="5904"/>
    <n v="55.093604999999997"/>
  </r>
  <r>
    <x v="5905"/>
    <n v="54.974716000000001"/>
  </r>
  <r>
    <x v="5906"/>
    <n v="56.290436"/>
  </r>
  <r>
    <x v="5907"/>
    <n v="55.957541999999997"/>
  </r>
  <r>
    <x v="5908"/>
    <n v="55.228355000000001"/>
  </r>
  <r>
    <x v="5909"/>
    <n v="55.403931"/>
  </r>
  <r>
    <x v="5910"/>
    <n v="55.348064000000001"/>
  </r>
  <r>
    <x v="5911"/>
    <n v="55.755099999999999"/>
  </r>
  <r>
    <x v="5912"/>
    <n v="54.988914000000001"/>
  </r>
  <r>
    <x v="5913"/>
    <n v="54.478141999999998"/>
  </r>
  <r>
    <x v="5914"/>
    <n v="53.696002999999997"/>
  </r>
  <r>
    <x v="5915"/>
    <n v="53.344836999999998"/>
  </r>
  <r>
    <x v="5916"/>
    <n v="53.719948000000002"/>
  </r>
  <r>
    <x v="5917"/>
    <n v="53.951382000000002"/>
  </r>
  <r>
    <x v="5918"/>
    <n v="53.496482999999998"/>
  </r>
  <r>
    <x v="5919"/>
    <n v="53.177238000000003"/>
  </r>
  <r>
    <x v="5920"/>
    <n v="53.041569000000003"/>
  </r>
  <r>
    <x v="5921"/>
    <n v="53.113399999999999"/>
  </r>
  <r>
    <x v="5922"/>
    <n v="53.759856999999997"/>
  </r>
  <r>
    <x v="5923"/>
    <n v="53.37677"/>
  </r>
  <r>
    <x v="5924"/>
    <n v="53.759856999999997"/>
  </r>
  <r>
    <x v="5925"/>
    <n v="53.456581"/>
  </r>
  <r>
    <x v="5926"/>
    <n v="52.155678000000002"/>
  </r>
  <r>
    <x v="5927"/>
    <n v="52.083855"/>
  </r>
  <r>
    <x v="5928"/>
    <n v="51.612965000000003"/>
  </r>
  <r>
    <x v="5929"/>
    <n v="49.976875"/>
  </r>
  <r>
    <x v="5930"/>
    <n v="49.984851999999997"/>
  </r>
  <r>
    <x v="5931"/>
    <n v="50.200344000000001"/>
  </r>
  <r>
    <x v="5932"/>
    <n v="50.367939"/>
  </r>
  <r>
    <x v="5933"/>
    <n v="50.367939"/>
  </r>
  <r>
    <x v="5934"/>
    <n v="50.120533000000002"/>
  </r>
  <r>
    <x v="5935"/>
    <n v="49.410217000000003"/>
  </r>
  <r>
    <x v="5936"/>
    <n v="49.370316000000003"/>
  </r>
  <r>
    <x v="5937"/>
    <n v="50.064658999999999"/>
  </r>
  <r>
    <x v="5938"/>
    <n v="50.623328999999998"/>
  </r>
  <r>
    <x v="5939"/>
    <n v="51.030360999999999"/>
  </r>
  <r>
    <x v="5940"/>
    <n v="50.982478999999998"/>
  </r>
  <r>
    <x v="5941"/>
    <n v="51.517200000000003"/>
  </r>
  <r>
    <x v="5942"/>
    <n v="51.349601999999997"/>
  </r>
  <r>
    <x v="5943"/>
    <n v="50.910645000000002"/>
  </r>
  <r>
    <x v="5944"/>
    <n v="51.988070999999998"/>
  </r>
  <r>
    <x v="5945"/>
    <n v="51.229880999999999"/>
  </r>
  <r>
    <x v="5946"/>
    <n v="49.306460999999999"/>
  </r>
  <r>
    <x v="5947"/>
    <n v="49.194732999999999"/>
  </r>
  <r>
    <x v="5948"/>
    <n v="49.466087000000002"/>
  </r>
  <r>
    <x v="5949"/>
    <n v="50.359935999999998"/>
  </r>
  <r>
    <x v="5950"/>
    <n v="50.415824999999998"/>
  </r>
  <r>
    <x v="5951"/>
    <n v="51.405464000000002"/>
  </r>
  <r>
    <x v="5952"/>
    <n v="51.389496000000001"/>
  </r>
  <r>
    <x v="5953"/>
    <n v="51.421429000000003"/>
  </r>
  <r>
    <x v="5954"/>
    <n v="50.639290000000003"/>
  </r>
  <r>
    <x v="5955"/>
    <n v="50.982478999999998"/>
  </r>
  <r>
    <x v="5956"/>
    <n v="50.152453999999999"/>
  </r>
  <r>
    <x v="5957"/>
    <n v="50.296104"/>
  </r>
  <r>
    <x v="5958"/>
    <n v="50.399859999999997"/>
  </r>
  <r>
    <x v="5959"/>
    <n v="49.920994"/>
  </r>
  <r>
    <x v="5960"/>
    <n v="49.944946000000002"/>
  </r>
  <r>
    <x v="5961"/>
    <n v="49.505997000000001"/>
  </r>
  <r>
    <x v="5962"/>
    <n v="49.410217000000003"/>
  </r>
  <r>
    <x v="5963"/>
    <n v="49.537917999999998"/>
  </r>
  <r>
    <x v="5964"/>
    <n v="48.939346"/>
  </r>
  <r>
    <x v="5965"/>
    <n v="48.827613999999997"/>
  </r>
  <r>
    <x v="5966"/>
    <n v="48.005569000000001"/>
  </r>
  <r>
    <x v="5967"/>
    <n v="45.978397000000001"/>
  </r>
  <r>
    <x v="5968"/>
    <n v="44.118831999999998"/>
  </r>
  <r>
    <x v="5969"/>
    <n v="43.001499000000003"/>
  </r>
  <r>
    <x v="5970"/>
    <n v="45.220215000000003"/>
  </r>
  <r>
    <x v="5971"/>
    <n v="45.778880999999998"/>
  </r>
  <r>
    <x v="5972"/>
    <n v="45.850704"/>
  </r>
  <r>
    <x v="5973"/>
    <n v="45.536816000000002"/>
  </r>
  <r>
    <x v="5974"/>
    <n v="44.281303000000001"/>
  </r>
  <r>
    <x v="5975"/>
    <n v="44.957348000000003"/>
  </r>
  <r>
    <x v="5976"/>
    <n v="44.707858999999999"/>
  </r>
  <r>
    <x v="5977"/>
    <n v="43.693787"/>
  </r>
  <r>
    <x v="5978"/>
    <n v="44.426167"/>
  </r>
  <r>
    <x v="5979"/>
    <n v="43.717917999999997"/>
  </r>
  <r>
    <x v="5980"/>
    <n v="44.530804000000003"/>
  </r>
  <r>
    <x v="5981"/>
    <n v="43.991562000000002"/>
  </r>
  <r>
    <x v="5982"/>
    <n v="43.709887999999999"/>
  </r>
  <r>
    <x v="5983"/>
    <n v="44.160580000000003"/>
  </r>
  <r>
    <x v="5984"/>
    <n v="44.426167"/>
  </r>
  <r>
    <x v="5985"/>
    <n v="44.249110999999999"/>
  </r>
  <r>
    <x v="5986"/>
    <n v="43.822552000000002"/>
  </r>
  <r>
    <x v="5987"/>
    <n v="43.774268999999997"/>
  </r>
  <r>
    <x v="5988"/>
    <n v="43.412094000000003"/>
  </r>
  <r>
    <x v="5989"/>
    <n v="43.106262000000001"/>
  </r>
  <r>
    <x v="5990"/>
    <n v="42.872871000000004"/>
  </r>
  <r>
    <x v="5991"/>
    <n v="42.832625999999998"/>
  </r>
  <r>
    <x v="5992"/>
    <n v="42.285347000000002"/>
  </r>
  <r>
    <x v="5993"/>
    <n v="42.196812000000001"/>
  </r>
  <r>
    <x v="5994"/>
    <n v="43.243076000000002"/>
  </r>
  <r>
    <x v="5995"/>
    <n v="42.800423000000002"/>
  </r>
  <r>
    <x v="5996"/>
    <n v="44.321541000000003"/>
  </r>
  <r>
    <x v="5997"/>
    <n v="45.255138000000002"/>
  </r>
  <r>
    <x v="5998"/>
    <n v="45.327572000000004"/>
  </r>
  <r>
    <x v="5999"/>
    <n v="45.560966000000001"/>
  </r>
  <r>
    <x v="6000"/>
    <n v="46.406025"/>
  </r>
  <r>
    <x v="6001"/>
    <n v="46.502612999999997"/>
  </r>
  <r>
    <x v="6002"/>
    <n v="46.510657999999999"/>
  </r>
  <r>
    <x v="6003"/>
    <n v="46.285308999999998"/>
  </r>
  <r>
    <x v="6004"/>
    <n v="47.186698999999997"/>
  </r>
  <r>
    <x v="6005"/>
    <n v="47.693741000000003"/>
  </r>
  <r>
    <x v="6006"/>
    <n v="48.216884999999998"/>
  </r>
  <r>
    <x v="6007"/>
    <n v="47.564976000000001"/>
  </r>
  <r>
    <x v="6008"/>
    <n v="47.484501000000002"/>
  </r>
  <r>
    <x v="6009"/>
    <n v="47.460346000000001"/>
  </r>
  <r>
    <x v="6010"/>
    <n v="48.635387000000001"/>
  </r>
  <r>
    <x v="6011"/>
    <n v="48.876838999999997"/>
  </r>
  <r>
    <x v="6012"/>
    <n v="47.653506999999998"/>
  </r>
  <r>
    <x v="6013"/>
    <n v="47.709842999999999"/>
  </r>
  <r>
    <x v="6014"/>
    <n v="48.506618000000003"/>
  </r>
  <r>
    <x v="6015"/>
    <n v="48.28931"/>
  </r>
  <r>
    <x v="6016"/>
    <n v="47.822510000000001"/>
  </r>
  <r>
    <x v="6017"/>
    <n v="48.804381999999997"/>
  </r>
  <r>
    <x v="6018"/>
    <n v="48.989513000000002"/>
  </r>
  <r>
    <x v="6019"/>
    <n v="48.498573"/>
  </r>
  <r>
    <x v="6020"/>
    <n v="41.102260999999999"/>
  </r>
  <r>
    <x v="6021"/>
    <n v="42.993586999999998"/>
  </r>
  <r>
    <x v="6022"/>
    <n v="42.607264999999998"/>
  </r>
  <r>
    <x v="6023"/>
    <n v="42.068035000000002"/>
  </r>
  <r>
    <x v="6024"/>
    <n v="42.534843000000002"/>
  </r>
  <r>
    <x v="6025"/>
    <n v="42.317543000000001"/>
  </r>
  <r>
    <x v="6026"/>
    <n v="41.802444000000001"/>
  </r>
  <r>
    <x v="6027"/>
    <n v="42.470450999999997"/>
  </r>
  <r>
    <x v="6028"/>
    <n v="42.639457999999998"/>
  </r>
  <r>
    <x v="6029"/>
    <n v="38.631458000000002"/>
  </r>
  <r>
    <x v="6030"/>
    <n v="38.945328000000003"/>
  </r>
  <r>
    <x v="6031"/>
    <n v="39.935260999999997"/>
  </r>
  <r>
    <x v="6032"/>
    <n v="39.412128000000003"/>
  </r>
  <r>
    <x v="6033"/>
    <n v="39.766254000000004"/>
  </r>
  <r>
    <x v="6034"/>
    <n v="39.516762"/>
  </r>
  <r>
    <x v="6035"/>
    <n v="39.451729"/>
  </r>
  <r>
    <x v="6036"/>
    <n v="39.654921999999999"/>
  </r>
  <r>
    <x v="6037"/>
    <n v="40.069434999999999"/>
  </r>
  <r>
    <x v="6038"/>
    <n v="42.141993999999997"/>
  </r>
  <r>
    <x v="6039"/>
    <n v="41.776257000000001"/>
  </r>
  <r>
    <x v="6040"/>
    <n v="42.540260000000004"/>
  </r>
  <r>
    <x v="6041"/>
    <n v="42.613402999999998"/>
  </r>
  <r>
    <x v="6042"/>
    <n v="40.215739999999997"/>
  </r>
  <r>
    <x v="6043"/>
    <n v="39.492381999999999"/>
  </r>
  <r>
    <x v="6044"/>
    <n v="39.476120000000002"/>
  </r>
  <r>
    <x v="6045"/>
    <n v="38.573943999999997"/>
  </r>
  <r>
    <x v="6046"/>
    <n v="38.061909"/>
  </r>
  <r>
    <x v="6047"/>
    <n v="39.029094999999998"/>
  </r>
  <r>
    <x v="6048"/>
    <n v="39.069732999999999"/>
  </r>
  <r>
    <x v="6049"/>
    <n v="38.638973"/>
  </r>
  <r>
    <x v="6050"/>
    <n v="38.549563999999997"/>
  </r>
  <r>
    <x v="6051"/>
    <n v="39.630549999999999"/>
  </r>
  <r>
    <x v="6052"/>
    <n v="39.882503999999997"/>
  </r>
  <r>
    <x v="6053"/>
    <n v="39.858123999999997"/>
  </r>
  <r>
    <x v="6054"/>
    <n v="40.272635999999999"/>
  </r>
  <r>
    <x v="6055"/>
    <n v="40.297015999999999"/>
  </r>
  <r>
    <x v="6056"/>
    <n v="41.353606999999997"/>
  </r>
  <r>
    <x v="6057"/>
    <n v="40.971611000000003"/>
  </r>
  <r>
    <x v="6058"/>
    <n v="40.630248999999999"/>
  </r>
  <r>
    <x v="6059"/>
    <n v="40.735911999999999"/>
  </r>
  <r>
    <x v="6060"/>
    <n v="39.939396000000002"/>
  </r>
  <r>
    <x v="6061"/>
    <n v="39.533011999999999"/>
  </r>
  <r>
    <x v="6062"/>
    <n v="37.501099000000004"/>
  </r>
  <r>
    <x v="6063"/>
    <n v="37.289771999999999"/>
  </r>
  <r>
    <x v="6064"/>
    <n v="37.444191000000004"/>
  </r>
  <r>
    <x v="6065"/>
    <n v="37.809939999999997"/>
  </r>
  <r>
    <x v="6066"/>
    <n v="37.468581999999998"/>
  </r>
  <r>
    <x v="6067"/>
    <n v="38.793388"/>
  </r>
  <r>
    <x v="6068"/>
    <n v="37.241005000000001"/>
  </r>
  <r>
    <x v="6069"/>
    <n v="37.460461000000002"/>
  </r>
  <r>
    <x v="6070"/>
    <n v="37.330410000000001"/>
  </r>
  <r>
    <x v="6071"/>
    <n v="38.240707"/>
  </r>
  <r>
    <x v="6072"/>
    <n v="39.069732999999999"/>
  </r>
  <r>
    <x v="6073"/>
    <n v="38.671486000000002"/>
  </r>
  <r>
    <x v="6074"/>
    <n v="39.435482"/>
  </r>
  <r>
    <x v="6075"/>
    <n v="38.630839999999999"/>
  </r>
  <r>
    <x v="6076"/>
    <n v="35.428539000000001"/>
  </r>
  <r>
    <x v="6077"/>
    <n v="36.850883000000003"/>
  </r>
  <r>
    <x v="6078"/>
    <n v="37.476706999999998"/>
  </r>
  <r>
    <x v="6079"/>
    <n v="35.070914999999999"/>
  </r>
  <r>
    <x v="6080"/>
    <n v="36.355080000000001"/>
  </r>
  <r>
    <x v="6081"/>
    <n v="37.110970000000002"/>
  </r>
  <r>
    <x v="6082"/>
    <n v="35.778027000000002"/>
  </r>
  <r>
    <x v="6083"/>
    <n v="35.672359"/>
  </r>
  <r>
    <x v="6084"/>
    <n v="35.444786000000001"/>
  </r>
  <r>
    <x v="6085"/>
    <n v="34.916488999999999"/>
  </r>
  <r>
    <x v="6086"/>
    <n v="34.949005"/>
  </r>
  <r>
    <x v="6087"/>
    <n v="36.216918999999997"/>
  </r>
  <r>
    <x v="6088"/>
    <n v="37.980618"/>
  </r>
  <r>
    <x v="6089"/>
    <n v="39.346077000000001"/>
  </r>
  <r>
    <x v="6090"/>
    <n v="39.890636000000001"/>
  </r>
  <r>
    <x v="6091"/>
    <n v="40.166969000000002"/>
  </r>
  <r>
    <x v="6092"/>
    <n v="41.678711"/>
  </r>
  <r>
    <x v="6093"/>
    <n v="40.979728999999999"/>
  </r>
  <r>
    <x v="6094"/>
    <n v="41.873787"/>
  </r>
  <r>
    <x v="6095"/>
    <n v="41.971321000000003"/>
  </r>
  <r>
    <x v="6096"/>
    <n v="41.955055000000002"/>
  </r>
  <r>
    <x v="6097"/>
    <n v="41.667923000000002"/>
  </r>
  <r>
    <x v="6098"/>
    <n v="42.750847"/>
  </r>
  <r>
    <x v="6099"/>
    <n v="43.357937"/>
  </r>
  <r>
    <x v="6100"/>
    <n v="42.972346999999999"/>
  </r>
  <r>
    <x v="6101"/>
    <n v="43.202064999999997"/>
  </r>
  <r>
    <x v="6102"/>
    <n v="43.727111999999998"/>
  </r>
  <r>
    <x v="6103"/>
    <n v="43.037982999999997"/>
  </r>
  <r>
    <x v="6104"/>
    <n v="42.619591"/>
  </r>
  <r>
    <x v="6105"/>
    <n v="42.677005999999999"/>
  </r>
  <r>
    <x v="6106"/>
    <n v="42.841090999999999"/>
  </r>
  <r>
    <x v="6107"/>
    <n v="42.734439999999999"/>
  </r>
  <r>
    <x v="6108"/>
    <n v="42.357056"/>
  </r>
  <r>
    <x v="6109"/>
    <n v="42.086323"/>
  </r>
  <r>
    <x v="6110"/>
    <n v="42.151961999999997"/>
  </r>
  <r>
    <x v="6111"/>
    <n v="42.324241999999998"/>
  </r>
  <r>
    <x v="6112"/>
    <n v="42.832881999999998"/>
  </r>
  <r>
    <x v="6113"/>
    <n v="42.677005999999999"/>
  </r>
  <r>
    <x v="6114"/>
    <n v="41.832008000000002"/>
  </r>
  <r>
    <x v="6115"/>
    <n v="41.725357000000002"/>
  </r>
  <r>
    <x v="6116"/>
    <n v="41.175690000000003"/>
  </r>
  <r>
    <x v="6117"/>
    <n v="41.585875999999999"/>
  </r>
  <r>
    <x v="6118"/>
    <n v="41.832008000000002"/>
  </r>
  <r>
    <x v="6119"/>
    <n v="41.955055000000002"/>
  </r>
  <r>
    <x v="6120"/>
    <n v="41.741759999999999"/>
  </r>
  <r>
    <x v="6121"/>
    <n v="41.553069999999998"/>
  </r>
  <r>
    <x v="6122"/>
    <n v="41.077232000000002"/>
  </r>
  <r>
    <x v="6123"/>
    <n v="41.528464999999997"/>
  </r>
  <r>
    <x v="6124"/>
    <n v="41.044418"/>
  </r>
  <r>
    <x v="6125"/>
    <n v="41.479228999999997"/>
  </r>
  <r>
    <x v="6126"/>
    <n v="41.840201999999998"/>
  </r>
  <r>
    <x v="6127"/>
    <n v="41.692528000000003"/>
  </r>
  <r>
    <x v="6128"/>
    <n v="42.594959000000003"/>
  </r>
  <r>
    <x v="6129"/>
    <n v="42.512931999999999"/>
  </r>
  <r>
    <x v="6130"/>
    <n v="41.889434999999999"/>
  </r>
  <r>
    <x v="6131"/>
    <n v="42.291415999999998"/>
  </r>
  <r>
    <x v="6132"/>
    <n v="42.521132999999999"/>
  </r>
  <r>
    <x v="6133"/>
    <n v="42.734439999999999"/>
  </r>
  <r>
    <x v="6134"/>
    <n v="42.389865999999998"/>
  </r>
  <r>
    <x v="6135"/>
    <n v="43.185657999999997"/>
  </r>
  <r>
    <x v="6136"/>
    <n v="43.013378000000003"/>
  </r>
  <r>
    <x v="6137"/>
    <n v="43.407158000000003"/>
  </r>
  <r>
    <x v="6138"/>
    <n v="43.398960000000002"/>
  </r>
  <r>
    <x v="6139"/>
    <n v="42.767257999999998"/>
  </r>
  <r>
    <x v="6140"/>
    <n v="41.446418999999999"/>
  </r>
  <r>
    <x v="6141"/>
    <n v="41.930453999999997"/>
  </r>
  <r>
    <x v="6142"/>
    <n v="41.618698000000002"/>
  </r>
  <r>
    <x v="6143"/>
    <n v="41.421802999999997"/>
  </r>
  <r>
    <x v="6144"/>
    <n v="41.946854000000002"/>
  </r>
  <r>
    <x v="6145"/>
    <n v="41.774574000000001"/>
  </r>
  <r>
    <x v="6146"/>
    <n v="42.004283999999998"/>
  </r>
  <r>
    <x v="6147"/>
    <n v="42.783669000000003"/>
  </r>
  <r>
    <x v="6148"/>
    <n v="42.783669000000003"/>
  </r>
  <r>
    <x v="6149"/>
    <n v="42.258609999999997"/>
  </r>
  <r>
    <x v="6150"/>
    <n v="42.102744999999999"/>
  </r>
  <r>
    <x v="6151"/>
    <n v="42.586768999999997"/>
  </r>
  <r>
    <x v="6152"/>
    <n v="42.652408999999999"/>
  </r>
  <r>
    <x v="6153"/>
    <n v="43.308712"/>
  </r>
  <r>
    <x v="6154"/>
    <n v="43.284103000000002"/>
  </r>
  <r>
    <x v="6155"/>
    <n v="44.727997000000002"/>
  </r>
  <r>
    <x v="6156"/>
    <n v="44.449061999999998"/>
  </r>
  <r>
    <x v="6157"/>
    <n v="45.605826999999998"/>
  </r>
  <r>
    <x v="6158"/>
    <n v="45.925773999999997"/>
  </r>
  <r>
    <x v="6159"/>
    <n v="45.728889000000002"/>
  </r>
  <r>
    <x v="6160"/>
    <n v="45.778584000000002"/>
  </r>
  <r>
    <x v="6161"/>
    <n v="45.488681999999997"/>
  </r>
  <r>
    <x v="6162"/>
    <n v="45.381016000000002"/>
  </r>
  <r>
    <x v="6163"/>
    <n v="45.455544000000003"/>
  </r>
  <r>
    <x v="6164"/>
    <n v="45.505257"/>
  </r>
  <r>
    <x v="6165"/>
    <n v="45.463836999999998"/>
  </r>
  <r>
    <x v="6166"/>
    <n v="45.422421"/>
  </r>
  <r>
    <x v="6167"/>
    <n v="45.505257"/>
  </r>
  <r>
    <x v="6168"/>
    <n v="45.538383000000003"/>
  </r>
  <r>
    <x v="6169"/>
    <n v="44.585872999999999"/>
  </r>
  <r>
    <x v="6170"/>
    <n v="43.757598999999999"/>
  </r>
  <r>
    <x v="6171"/>
    <n v="43.649914000000003"/>
  </r>
  <r>
    <x v="6172"/>
    <n v="44.130324999999999"/>
  </r>
  <r>
    <x v="6173"/>
    <n v="44.246268999999998"/>
  </r>
  <r>
    <x v="6174"/>
    <n v="44.353946999999998"/>
  </r>
  <r>
    <x v="6175"/>
    <n v="44.635562999999998"/>
  </r>
  <r>
    <x v="6176"/>
    <n v="44.627281000000004"/>
  </r>
  <r>
    <x v="6177"/>
    <n v="44.759810999999999"/>
  </r>
  <r>
    <x v="6178"/>
    <n v="46.010502000000002"/>
  </r>
  <r>
    <x v="6179"/>
    <n v="43.169528999999997"/>
  </r>
  <r>
    <x v="6180"/>
    <n v="42.357815000000002"/>
  </r>
  <r>
    <x v="6181"/>
    <n v="43.492545999999997"/>
  </r>
  <r>
    <x v="6182"/>
    <n v="44.353946999999998"/>
  </r>
  <r>
    <x v="6183"/>
    <n v="44.370505999999999"/>
  </r>
  <r>
    <x v="6184"/>
    <n v="43.898395999999998"/>
  </r>
  <r>
    <x v="6185"/>
    <n v="43.020434999999999"/>
  </r>
  <r>
    <x v="6186"/>
    <n v="43.376587000000001"/>
  </r>
  <r>
    <x v="6187"/>
    <n v="43.840420000000002"/>
  </r>
  <r>
    <x v="6188"/>
    <n v="44.884051999999997"/>
  </r>
  <r>
    <x v="6189"/>
    <n v="44.826056999999999"/>
  </r>
  <r>
    <x v="6190"/>
    <n v="45.240208000000003"/>
  </r>
  <r>
    <x v="6191"/>
    <n v="45.414143000000003"/>
  </r>
  <r>
    <x v="6192"/>
    <n v="45.455544000000003"/>
  </r>
  <r>
    <x v="6193"/>
    <n v="45.347878000000001"/>
  </r>
  <r>
    <x v="6194"/>
    <n v="45.844841000000002"/>
  </r>
  <r>
    <x v="6195"/>
    <n v="45.670909999999999"/>
  </r>
  <r>
    <x v="6196"/>
    <n v="46.234130999999998"/>
  </r>
  <r>
    <x v="6197"/>
    <n v="49.638336000000002"/>
  </r>
  <r>
    <x v="6198"/>
    <n v="50.648819000000003"/>
  </r>
  <r>
    <x v="6199"/>
    <n v="50.300944999999999"/>
  </r>
  <r>
    <x v="6200"/>
    <n v="50.814467999999998"/>
  </r>
  <r>
    <x v="6201"/>
    <n v="51.775269000000002"/>
  </r>
  <r>
    <x v="6202"/>
    <n v="51.709010999999997"/>
  </r>
  <r>
    <x v="6203"/>
    <n v="51.833247999999998"/>
  </r>
  <r>
    <x v="6204"/>
    <n v="51.228611000000001"/>
  </r>
  <r>
    <x v="6205"/>
    <n v="50.193260000000002"/>
  </r>
  <r>
    <x v="6206"/>
    <n v="50.532859999999999"/>
  </r>
  <r>
    <x v="6207"/>
    <n v="50.508003000000002"/>
  </r>
  <r>
    <x v="6208"/>
    <n v="51.352843999999997"/>
  </r>
  <r>
    <x v="6209"/>
    <n v="51.004967000000001"/>
  </r>
  <r>
    <x v="6210"/>
    <n v="51.344566"/>
  </r>
  <r>
    <x v="6211"/>
    <n v="51.112644000000003"/>
  </r>
  <r>
    <x v="6212"/>
    <n v="51.137501"/>
  </r>
  <r>
    <x v="6213"/>
    <n v="51.112644000000003"/>
  </r>
  <r>
    <x v="6214"/>
    <n v="51.709010999999997"/>
  </r>
  <r>
    <x v="6215"/>
    <n v="51.410828000000002"/>
  </r>
  <r>
    <x v="6216"/>
    <n v="51.584766000000002"/>
  </r>
  <r>
    <x v="6217"/>
    <n v="52.214244999999998"/>
  </r>
  <r>
    <x v="6218"/>
    <n v="51.982334000000002"/>
  </r>
  <r>
    <x v="6219"/>
    <n v="52.040309999999998"/>
  </r>
  <r>
    <x v="6220"/>
    <n v="52.255661000000003"/>
  </r>
  <r>
    <x v="6221"/>
    <n v="51.858082000000003"/>
  </r>
  <r>
    <x v="6222"/>
    <n v="51.882945999999997"/>
  </r>
  <r>
    <x v="6223"/>
    <n v="52.156277000000003"/>
  </r>
  <r>
    <x v="6224"/>
    <n v="52.607329999999997"/>
  </r>
  <r>
    <x v="6225"/>
    <n v="52.573917000000002"/>
  </r>
  <r>
    <x v="6226"/>
    <n v="52.682521999999999"/>
  </r>
  <r>
    <x v="6227"/>
    <n v="53.016632000000001"/>
  </r>
  <r>
    <x v="6228"/>
    <n v="52.916386000000003"/>
  </r>
  <r>
    <x v="6229"/>
    <n v="52.699218999999999"/>
  </r>
  <r>
    <x v="6230"/>
    <n v="52.147922999999999"/>
  </r>
  <r>
    <x v="6231"/>
    <n v="52.365093000000002"/>
  </r>
  <r>
    <x v="6232"/>
    <n v="50.552494000000003"/>
  </r>
  <r>
    <x v="6233"/>
    <n v="51.997570000000003"/>
  </r>
  <r>
    <x v="6234"/>
    <n v="51.195675000000001"/>
  </r>
  <r>
    <x v="6235"/>
    <n v="51.446261999999997"/>
  </r>
  <r>
    <x v="6236"/>
    <n v="52.239806999999999"/>
  </r>
  <r>
    <x v="6237"/>
    <n v="52.615684999999999"/>
  </r>
  <r>
    <x v="6238"/>
    <n v="52.507106999999998"/>
  </r>
  <r>
    <x v="6239"/>
    <n v="52.373451000000003"/>
  </r>
  <r>
    <x v="6240"/>
    <n v="53.100166000000002"/>
  </r>
  <r>
    <x v="6241"/>
    <n v="53.058402999999998"/>
  </r>
  <r>
    <x v="6242"/>
    <n v="52.415218000000003"/>
  </r>
  <r>
    <x v="6243"/>
    <n v="52.047688000000001"/>
  </r>
  <r>
    <x v="6244"/>
    <n v="52.882995999999999"/>
  </r>
  <r>
    <x v="6245"/>
    <n v="52.999930999999997"/>
  </r>
  <r>
    <x v="6246"/>
    <n v="56.341137000000003"/>
  </r>
  <r>
    <x v="6247"/>
    <n v="57.218204"/>
  </r>
  <r>
    <x v="6248"/>
    <n v="56.057133"/>
  </r>
  <r>
    <x v="6249"/>
    <n v="55.697952000000001"/>
  </r>
  <r>
    <x v="6250"/>
    <n v="55.831600000000002"/>
  </r>
  <r>
    <x v="6251"/>
    <n v="56.416308999999998"/>
  </r>
  <r>
    <x v="6252"/>
    <n v="56.959251000000002"/>
  </r>
  <r>
    <x v="6253"/>
    <n v="56.174079999999996"/>
  </r>
  <r>
    <x v="6254"/>
    <n v="55.205120000000001"/>
  </r>
  <r>
    <x v="6255"/>
    <n v="55.180069000000003"/>
  </r>
  <r>
    <x v="6256"/>
    <n v="54.879364000000002"/>
  </r>
  <r>
    <x v="6257"/>
    <n v="54.879364000000002"/>
  </r>
  <r>
    <x v="6258"/>
    <n v="54.453358000000001"/>
  </r>
  <r>
    <x v="6259"/>
    <n v="55.213478000000002"/>
  </r>
  <r>
    <x v="6260"/>
    <n v="54.954543999999999"/>
  </r>
  <r>
    <x v="6261"/>
    <n v="56.249251999999998"/>
  </r>
  <r>
    <x v="6262"/>
    <n v="56.742085000000003"/>
  </r>
  <r>
    <x v="6263"/>
    <n v="56.850662"/>
  </r>
  <r>
    <x v="6264"/>
    <n v="56.558318999999997"/>
  </r>
  <r>
    <x v="6265"/>
    <n v="56.967616999999997"/>
  </r>
  <r>
    <x v="6266"/>
    <n v="58.546337000000001"/>
  </r>
  <r>
    <x v="6267"/>
    <n v="57.134678000000001"/>
  </r>
  <r>
    <x v="6268"/>
    <n v="57.401974000000003"/>
  </r>
  <r>
    <x v="6269"/>
    <n v="57.084544999999999"/>
  </r>
  <r>
    <x v="6270"/>
    <n v="56.040424000000002"/>
  </r>
  <r>
    <x v="6271"/>
    <n v="55.923476999999998"/>
  </r>
  <r>
    <x v="6272"/>
    <n v="55.739719000000001"/>
  </r>
  <r>
    <x v="6273"/>
    <n v="57.184798999999998"/>
  </r>
  <r>
    <x v="6274"/>
    <n v="57.026085000000002"/>
  </r>
  <r>
    <x v="6275"/>
    <n v="56.700305999999998"/>
  </r>
  <r>
    <x v="6276"/>
    <n v="55.388888999999999"/>
  </r>
  <r>
    <x v="6277"/>
    <n v="55.865017000000002"/>
  </r>
  <r>
    <x v="6278"/>
    <n v="55.071483999999998"/>
  </r>
  <r>
    <x v="6279"/>
    <n v="55.773125"/>
  </r>
  <r>
    <x v="6280"/>
    <n v="55.380538999999999"/>
  </r>
  <r>
    <x v="6281"/>
    <n v="55.689590000000003"/>
  </r>
  <r>
    <x v="6282"/>
    <n v="56.224193999999997"/>
  </r>
  <r>
    <x v="6283"/>
    <n v="56.048782000000003"/>
  </r>
  <r>
    <x v="6284"/>
    <n v="57.059494000000001"/>
  </r>
  <r>
    <x v="6285"/>
    <n v="56.909126000000001"/>
  </r>
  <r>
    <x v="6286"/>
    <n v="57.042777999999998"/>
  </r>
  <r>
    <x v="6287"/>
    <n v="56.487164"/>
  </r>
  <r>
    <x v="6288"/>
    <n v="56.209372999999999"/>
  </r>
  <r>
    <x v="6289"/>
    <n v="57.354255999999999"/>
  </r>
  <r>
    <x v="6290"/>
    <n v="54.012183999999998"/>
  </r>
  <r>
    <x v="6291"/>
    <n v="55.426456000000002"/>
  </r>
  <r>
    <x v="6292"/>
    <n v="55.864223000000003"/>
  </r>
  <r>
    <x v="6293"/>
    <n v="56.781826000000002"/>
  </r>
  <r>
    <x v="6294"/>
    <n v="57.531039999999997"/>
  </r>
  <r>
    <x v="6295"/>
    <n v="57.707832000000003"/>
  </r>
  <r>
    <x v="6296"/>
    <n v="57.682586999999998"/>
  </r>
  <r>
    <x v="6297"/>
    <n v="57.640495000000001"/>
  </r>
  <r>
    <x v="6298"/>
    <n v="58.372886999999999"/>
  </r>
  <r>
    <x v="6299"/>
    <n v="56.874428000000002"/>
  </r>
  <r>
    <x v="6300"/>
    <n v="57.270083999999997"/>
  </r>
  <r>
    <x v="6301"/>
    <n v="55.948410000000003"/>
  </r>
  <r>
    <x v="6302"/>
    <n v="56.419842000000003"/>
  </r>
  <r>
    <x v="6303"/>
    <n v="56.327229000000003"/>
  </r>
  <r>
    <x v="6304"/>
    <n v="56.537697000000001"/>
  </r>
  <r>
    <x v="6305"/>
    <n v="56.200958"/>
  </r>
  <r>
    <x v="6306"/>
    <n v="56.285136999999999"/>
  </r>
  <r>
    <x v="6307"/>
    <n v="56.613453"/>
  </r>
  <r>
    <x v="6308"/>
    <n v="55.350700000000003"/>
  </r>
  <r>
    <x v="6309"/>
    <n v="55.594830000000002"/>
  </r>
  <r>
    <x v="6310"/>
    <n v="54.887684"/>
  </r>
  <r>
    <x v="6311"/>
    <n v="55.056049000000002"/>
  </r>
  <r>
    <x v="6312"/>
    <n v="55.114989999999999"/>
  </r>
  <r>
    <x v="6313"/>
    <n v="55.182330999999998"/>
  </r>
  <r>
    <x v="6314"/>
    <n v="55.165497000000002"/>
  </r>
  <r>
    <x v="6315"/>
    <n v="55.266517999999998"/>
  </r>
  <r>
    <x v="6316"/>
    <n v="55.249676000000001"/>
  </r>
  <r>
    <x v="6317"/>
    <n v="55.645344000000001"/>
  </r>
  <r>
    <x v="6318"/>
    <n v="55.662177999999997"/>
  </r>
  <r>
    <x v="6319"/>
    <n v="56.301971000000002"/>
  </r>
  <r>
    <x v="6320"/>
    <n v="54.037436999999997"/>
  </r>
  <r>
    <x v="6321"/>
    <n v="54.828766000000002"/>
  </r>
  <r>
    <x v="6322"/>
    <n v="54.247886999999999"/>
  </r>
  <r>
    <x v="6323"/>
    <n v="52.934623999999999"/>
  </r>
  <r>
    <x v="6324"/>
    <n v="46.199947000000002"/>
  </r>
  <r>
    <x v="6325"/>
    <n v="46.300967999999997"/>
  </r>
  <r>
    <x v="6326"/>
    <n v="47.900452000000001"/>
  </r>
  <r>
    <x v="6327"/>
    <n v="45.501213"/>
  </r>
  <r>
    <x v="6328"/>
    <n v="45.661163000000002"/>
  </r>
  <r>
    <x v="6329"/>
    <n v="45.130814000000001"/>
  </r>
  <r>
    <x v="6330"/>
    <n v="44.979286000000002"/>
  </r>
  <r>
    <x v="6331"/>
    <n v="44.743572"/>
  </r>
  <r>
    <x v="6332"/>
    <n v="44.331069999999997"/>
  </r>
  <r>
    <x v="6333"/>
    <n v="44.600456000000001"/>
  </r>
  <r>
    <x v="6334"/>
    <n v="44.516272999999998"/>
  </r>
  <r>
    <x v="6335"/>
    <n v="44.844588999999999"/>
  </r>
  <r>
    <x v="6336"/>
    <n v="44.524692999999999"/>
  </r>
  <r>
    <x v="6337"/>
    <n v="44.516272999999998"/>
  </r>
  <r>
    <x v="6338"/>
    <n v="45.459133000000001"/>
  </r>
  <r>
    <x v="6339"/>
    <n v="46.242043000000002"/>
  </r>
  <r>
    <x v="6340"/>
    <n v="46.705044000000001"/>
  </r>
  <r>
    <x v="6341"/>
    <n v="47.555294000000004"/>
  </r>
  <r>
    <x v="6342"/>
    <n v="47.883620999999998"/>
  </r>
  <r>
    <x v="6343"/>
    <n v="47.530037"/>
  </r>
  <r>
    <x v="6344"/>
    <n v="47.774180999999999"/>
  </r>
  <r>
    <x v="6345"/>
    <n v="48.068817000000003"/>
  </r>
  <r>
    <x v="6346"/>
    <n v="48.102485999999999"/>
  </r>
  <r>
    <x v="6347"/>
    <n v="48.169837999999999"/>
  </r>
  <r>
    <x v="6348"/>
    <n v="48.203834999999998"/>
  </r>
  <r>
    <x v="6349"/>
    <n v="47.991408999999997"/>
  </r>
  <r>
    <x v="6350"/>
    <n v="48.441733999999997"/>
  </r>
  <r>
    <x v="6351"/>
    <n v="47.897930000000002"/>
  </r>
  <r>
    <x v="6352"/>
    <n v="47.957417"/>
  </r>
  <r>
    <x v="6353"/>
    <n v="47.965919"/>
  </r>
  <r>
    <x v="6354"/>
    <n v="48.203834999999998"/>
  </r>
  <r>
    <x v="6355"/>
    <n v="49.087524000000002"/>
  </r>
  <r>
    <x v="6356"/>
    <n v="49.257469"/>
  </r>
  <r>
    <x v="6357"/>
    <n v="49.826763"/>
  </r>
  <r>
    <x v="6358"/>
    <n v="49.673819999999999"/>
  </r>
  <r>
    <x v="6359"/>
    <n v="49.469890999999997"/>
  </r>
  <r>
    <x v="6360"/>
    <n v="49.724795999999998"/>
  </r>
  <r>
    <x v="6361"/>
    <n v="49.580345000000001"/>
  </r>
  <r>
    <x v="6362"/>
    <n v="48.900588999999997"/>
  </r>
  <r>
    <x v="6363"/>
    <n v="49.121521000000001"/>
  </r>
  <r>
    <x v="6364"/>
    <n v="48.263297999999999"/>
  </r>
  <r>
    <x v="6365"/>
    <n v="48.467236"/>
  </r>
  <r>
    <x v="6366"/>
    <n v="48.271808999999998"/>
  </r>
  <r>
    <x v="6367"/>
    <n v="48.365273000000002"/>
  </r>
  <r>
    <x v="6368"/>
    <n v="48.144351999999998"/>
  </r>
  <r>
    <x v="6369"/>
    <n v="48.756129999999999"/>
  </r>
  <r>
    <x v="6370"/>
    <n v="48.739151"/>
  </r>
  <r>
    <x v="6371"/>
    <n v="48.603191000000002"/>
  </r>
  <r>
    <x v="6372"/>
    <n v="48.722152999999999"/>
  </r>
  <r>
    <x v="6373"/>
    <n v="48.008400000000002"/>
  </r>
  <r>
    <x v="6374"/>
    <n v="48.161343000000002"/>
  </r>
  <r>
    <x v="6375"/>
    <n v="47.982906"/>
  </r>
  <r>
    <x v="6376"/>
    <n v="48.03389"/>
  </r>
  <r>
    <x v="6377"/>
    <n v="47.855449999999998"/>
  </r>
  <r>
    <x v="6378"/>
    <n v="48.025393999999999"/>
  </r>
  <r>
    <x v="6379"/>
    <n v="47.031227000000001"/>
  </r>
  <r>
    <x v="6380"/>
    <n v="45.365810000000003"/>
  </r>
  <r>
    <x v="6381"/>
    <n v="44.855988000000004"/>
  </r>
  <r>
    <x v="6382"/>
    <n v="44.940947999999999"/>
  </r>
  <r>
    <x v="6383"/>
    <n v="44.754016999999997"/>
  </r>
  <r>
    <x v="6384"/>
    <n v="44.703037000000002"/>
  </r>
  <r>
    <x v="6385"/>
    <n v="44.745528999999998"/>
  </r>
  <r>
    <x v="6386"/>
    <n v="44.609577000000002"/>
  </r>
  <r>
    <x v="6387"/>
    <n v="44.872973999999999"/>
  </r>
  <r>
    <x v="6388"/>
    <n v="45.034424000000001"/>
  </r>
  <r>
    <x v="6389"/>
    <n v="45.068409000000003"/>
  </r>
  <r>
    <x v="6390"/>
    <n v="45.212864000000003"/>
  </r>
  <r>
    <x v="6391"/>
    <n v="45.663207999999997"/>
  </r>
  <r>
    <x v="6392"/>
    <n v="45.544246999999999"/>
  </r>
  <r>
    <x v="6393"/>
    <n v="45.280842"/>
  </r>
  <r>
    <x v="6394"/>
    <n v="46.300491000000001"/>
  </r>
  <r>
    <x v="6395"/>
    <n v="46.657364000000001"/>
  </r>
  <r>
    <x v="6396"/>
    <n v="46.674357999999998"/>
  </r>
  <r>
    <x v="6397"/>
    <n v="46.410946000000003"/>
  </r>
  <r>
    <x v="6398"/>
    <n v="46.861297999999998"/>
  </r>
  <r>
    <x v="6399"/>
    <n v="47.014240000000001"/>
  </r>
  <r>
    <x v="6400"/>
    <n v="46.461936999999999"/>
  </r>
  <r>
    <x v="6401"/>
    <n v="47.005737000000003"/>
  </r>
  <r>
    <x v="6402"/>
    <n v="47.073726999999998"/>
  </r>
  <r>
    <x v="6403"/>
    <n v="47.541058"/>
  </r>
  <r>
    <x v="6404"/>
    <n v="47.039729999999999"/>
  </r>
  <r>
    <x v="6405"/>
    <n v="47.685504999999999"/>
  </r>
  <r>
    <x v="6406"/>
    <n v="49.002555999999998"/>
  </r>
  <r>
    <x v="6407"/>
    <n v="50.370583000000003"/>
  </r>
  <r>
    <x v="6408"/>
    <n v="50.319592"/>
  </r>
  <r>
    <x v="6409"/>
    <n v="49.826763"/>
  </r>
  <r>
    <x v="6410"/>
    <n v="49.665320999999999"/>
  </r>
  <r>
    <x v="6411"/>
    <n v="49.356414999999998"/>
  </r>
  <r>
    <x v="6412"/>
    <n v="49.201965000000001"/>
  </r>
  <r>
    <x v="6413"/>
    <n v="49.141888000000002"/>
  </r>
  <r>
    <x v="6414"/>
    <n v="50.300303999999997"/>
  </r>
  <r>
    <x v="6415"/>
    <n v="50.265976000000002"/>
  </r>
  <r>
    <x v="6416"/>
    <n v="50.506241000000003"/>
  </r>
  <r>
    <x v="6417"/>
    <n v="49.939906999999998"/>
  </r>
  <r>
    <x v="6418"/>
    <n v="49.364998"/>
  </r>
  <r>
    <x v="6419"/>
    <n v="49.871262000000002"/>
  </r>
  <r>
    <x v="6420"/>
    <n v="48.953125"/>
  </r>
  <r>
    <x v="6421"/>
    <n v="49.330680999999998"/>
  </r>
  <r>
    <x v="6422"/>
    <n v="49.373573"/>
  </r>
  <r>
    <x v="6423"/>
    <n v="48.918785"/>
  </r>
  <r>
    <x v="6424"/>
    <n v="48.850150999999997"/>
  </r>
  <r>
    <x v="6425"/>
    <n v="48.755768000000003"/>
  </r>
  <r>
    <x v="6426"/>
    <n v="49.433636"/>
  </r>
  <r>
    <x v="6427"/>
    <n v="48.730015000000002"/>
  </r>
  <r>
    <x v="6428"/>
    <n v="48.335307999999998"/>
  </r>
  <r>
    <x v="6429"/>
    <n v="48.455441"/>
  </r>
  <r>
    <x v="6430"/>
    <n v="48.832993000000002"/>
  </r>
  <r>
    <x v="6431"/>
    <n v="48.532668999999999"/>
  </r>
  <r>
    <x v="6432"/>
    <n v="47.563042000000003"/>
  </r>
  <r>
    <x v="6433"/>
    <n v="48.189430000000002"/>
  </r>
  <r>
    <x v="6434"/>
    <n v="47.262726000000001"/>
  </r>
  <r>
    <x v="6435"/>
    <n v="47.382846999999998"/>
  </r>
  <r>
    <x v="6436"/>
    <n v="47.151164999999999"/>
  </r>
  <r>
    <x v="6437"/>
    <n v="47.580212000000003"/>
  </r>
  <r>
    <x v="6438"/>
    <n v="47.013874000000001"/>
  </r>
  <r>
    <x v="6439"/>
    <n v="47.494396000000002"/>
  </r>
  <r>
    <x v="6440"/>
    <n v="47.743237000000001"/>
  </r>
  <r>
    <x v="6441"/>
    <n v="47.477238"/>
  </r>
  <r>
    <x v="6442"/>
    <n v="48.223754999999997"/>
  </r>
  <r>
    <x v="6443"/>
    <n v="48.249499999999998"/>
  </r>
  <r>
    <x v="6444"/>
    <n v="48.747191999999998"/>
  </r>
  <r>
    <x v="6445"/>
    <n v="48.446849999999998"/>
  </r>
  <r>
    <x v="6446"/>
    <n v="48.300991000000003"/>
  </r>
  <r>
    <x v="6447"/>
    <n v="48.721432"/>
  </r>
  <r>
    <x v="6448"/>
    <n v="46.310260999999997"/>
  </r>
  <r>
    <x v="6449"/>
    <n v="46.198711000000003"/>
  </r>
  <r>
    <x v="6450"/>
    <n v="45.666694999999997"/>
  </r>
  <r>
    <x v="6451"/>
    <n v="45.709598999999997"/>
  </r>
  <r>
    <x v="6452"/>
    <n v="45.598053"/>
  </r>
  <r>
    <x v="6453"/>
    <n v="45.040298"/>
  </r>
  <r>
    <x v="6454"/>
    <n v="45.374949999999998"/>
  </r>
  <r>
    <x v="6455"/>
    <n v="45.640948999999999"/>
  </r>
  <r>
    <x v="6456"/>
    <n v="45.829731000000002"/>
  </r>
  <r>
    <x v="6457"/>
    <n v="45.623798000000001"/>
  </r>
  <r>
    <x v="6458"/>
    <n v="45.435012999999998"/>
  </r>
  <r>
    <x v="6459"/>
    <n v="45.151854999999998"/>
  </r>
  <r>
    <x v="6460"/>
    <n v="45.220500999999999"/>
  </r>
  <r>
    <x v="6461"/>
    <n v="44.868682999999997"/>
  </r>
  <r>
    <x v="6462"/>
    <n v="45.280566999999998"/>
  </r>
  <r>
    <x v="6463"/>
    <n v="44.911597999999998"/>
  </r>
  <r>
    <x v="6464"/>
    <n v="45.237667000000002"/>
  </r>
  <r>
    <x v="6465"/>
    <n v="45.949871000000002"/>
  </r>
  <r>
    <x v="6466"/>
    <n v="46.224449"/>
  </r>
  <r>
    <x v="6467"/>
    <n v="45.743923000000002"/>
  </r>
  <r>
    <x v="6468"/>
    <n v="44.851528000000002"/>
  </r>
  <r>
    <x v="6469"/>
    <n v="44.551197000000002"/>
  </r>
  <r>
    <x v="6470"/>
    <n v="44.602684000000004"/>
  </r>
  <r>
    <x v="6471"/>
    <n v="44.920177000000002"/>
  </r>
  <r>
    <x v="6472"/>
    <n v="44.817211"/>
  </r>
  <r>
    <x v="6473"/>
    <n v="45.040298"/>
  </r>
  <r>
    <x v="6474"/>
    <n v="44.645587999999996"/>
  </r>
  <r>
    <x v="6475"/>
    <n v="44.949244999999998"/>
  </r>
  <r>
    <x v="6476"/>
    <n v="44.949244999999998"/>
  </r>
  <r>
    <x v="6477"/>
    <n v="45.218197000000004"/>
  </r>
  <r>
    <x v="6478"/>
    <n v="45.348323999999998"/>
  </r>
  <r>
    <x v="6479"/>
    <n v="45.157466999999997"/>
  </r>
  <r>
    <x v="6480"/>
    <n v="43.404952999999999"/>
  </r>
  <r>
    <x v="6481"/>
    <n v="43.769337"/>
  </r>
  <r>
    <x v="6482"/>
    <n v="43.708602999999997"/>
  </r>
  <r>
    <x v="6483"/>
    <n v="43.066597000000002"/>
  </r>
  <r>
    <x v="6484"/>
    <n v="43.873446999999999"/>
  </r>
  <r>
    <x v="6485"/>
    <n v="44.159744000000003"/>
  </r>
  <r>
    <x v="6486"/>
    <n v="44.255169000000002"/>
  </r>
  <r>
    <x v="6487"/>
    <n v="44.662945000000001"/>
  </r>
  <r>
    <x v="6488"/>
    <n v="45.278914999999998"/>
  </r>
  <r>
    <x v="6489"/>
    <n v="45.330978000000002"/>
  </r>
  <r>
    <x v="6490"/>
    <n v="45.374344000000001"/>
  </r>
  <r>
    <x v="6491"/>
    <n v="45.096729000000003"/>
  </r>
  <r>
    <x v="6492"/>
    <n v="45.140101999999999"/>
  </r>
  <r>
    <x v="6493"/>
    <n v="45.192162000000003"/>
  </r>
  <r>
    <x v="6494"/>
    <n v="44.784401000000003"/>
  </r>
  <r>
    <x v="6495"/>
    <n v="44.359290999999999"/>
  </r>
  <r>
    <x v="6496"/>
    <n v="44.723655999999998"/>
  </r>
  <r>
    <x v="6497"/>
    <n v="44.897185999999998"/>
  </r>
  <r>
    <x v="6498"/>
    <n v="44.975265999999998"/>
  </r>
  <r>
    <x v="6499"/>
    <n v="45.009968000000001"/>
  </r>
  <r>
    <x v="6500"/>
    <n v="45.131442999999997"/>
  </r>
  <r>
    <x v="6501"/>
    <n v="45.079388000000002"/>
  </r>
  <r>
    <x v="6502"/>
    <n v="45.417740000000002"/>
  </r>
  <r>
    <x v="6503"/>
    <n v="45.539195999999997"/>
  </r>
  <r>
    <x v="6504"/>
    <n v="45.877555999999998"/>
  </r>
  <r>
    <x v="6505"/>
    <n v="46.736457999999999"/>
  </r>
  <r>
    <x v="6506"/>
    <n v="46.953346000000003"/>
  </r>
  <r>
    <x v="6507"/>
    <n v="45.981667000000002"/>
  </r>
  <r>
    <x v="6508"/>
    <n v="45.825493000000002"/>
  </r>
  <r>
    <x v="6509"/>
    <n v="45.443764000000002"/>
  </r>
  <r>
    <x v="6510"/>
    <n v="45.469788000000001"/>
  </r>
  <r>
    <x v="6511"/>
    <n v="45.296267999999998"/>
  </r>
  <r>
    <x v="6512"/>
    <n v="45.365681000000002"/>
  </r>
  <r>
    <x v="6513"/>
    <n v="45.131442999999997"/>
  </r>
  <r>
    <x v="6514"/>
    <n v="46.320022999999999"/>
  </r>
  <r>
    <x v="6515"/>
    <n v="47.066139"/>
  </r>
  <r>
    <x v="6516"/>
    <n v="46.710425999999998"/>
  </r>
  <r>
    <x v="6517"/>
    <n v="46.675716000000001"/>
  </r>
  <r>
    <x v="6518"/>
    <n v="47.343761000000001"/>
  </r>
  <r>
    <x v="6519"/>
    <n v="47.421836999999996"/>
  </r>
  <r>
    <x v="6520"/>
    <n v="44.255169000000002"/>
  </r>
  <r>
    <x v="6521"/>
    <n v="46.380744999999997"/>
  </r>
  <r>
    <x v="6522"/>
    <n v="47.577998999999998"/>
  </r>
  <r>
    <x v="6523"/>
    <n v="53.625038000000004"/>
  </r>
  <r>
    <x v="6524"/>
    <n v="54.241008999999998"/>
  </r>
  <r>
    <x v="6525"/>
    <n v="55.611778000000001"/>
  </r>
  <r>
    <x v="6526"/>
    <n v="56.817715"/>
  </r>
  <r>
    <x v="6527"/>
    <n v="56.045566999999998"/>
  </r>
  <r>
    <x v="6528"/>
    <n v="56.019542999999999"/>
  </r>
  <r>
    <x v="6529"/>
    <n v="57.685299000000001"/>
  </r>
  <r>
    <x v="6530"/>
    <n v="57.260188999999997"/>
  </r>
  <r>
    <x v="6531"/>
    <n v="56.921824999999998"/>
  </r>
  <r>
    <x v="6532"/>
    <n v="57.355620999999999"/>
  </r>
  <r>
    <x v="6533"/>
    <n v="57.884838000000002"/>
  </r>
  <r>
    <x v="6534"/>
    <n v="57.667952999999997"/>
  </r>
  <r>
    <x v="6535"/>
    <n v="57.841456999999998"/>
  </r>
  <r>
    <x v="6536"/>
    <n v="59.108108999999999"/>
  </r>
  <r>
    <x v="6537"/>
    <n v="59.784843000000002"/>
  </r>
  <r>
    <x v="6538"/>
    <n v="59.116798000000003"/>
  </r>
  <r>
    <x v="6539"/>
    <n v="59.825462000000002"/>
  </r>
  <r>
    <x v="6540"/>
    <n v="58.198157999999999"/>
  </r>
  <r>
    <x v="6541"/>
    <n v="58.040680000000002"/>
  </r>
  <r>
    <x v="6542"/>
    <n v="57.297012000000002"/>
  </r>
  <r>
    <x v="6543"/>
    <n v="56.483353000000001"/>
  </r>
  <r>
    <x v="6544"/>
    <n v="56.597092000000004"/>
  </r>
  <r>
    <x v="6545"/>
    <n v="56.850811"/>
  </r>
  <r>
    <x v="6546"/>
    <n v="57.069541999999998"/>
  </r>
  <r>
    <x v="6547"/>
    <n v="56.203392000000001"/>
  </r>
  <r>
    <x v="6548"/>
    <n v="57.025795000000002"/>
  </r>
  <r>
    <x v="6549"/>
    <n v="56.745826999999998"/>
  </r>
  <r>
    <x v="6550"/>
    <n v="56.780822999999998"/>
  </r>
  <r>
    <x v="6551"/>
    <n v="56.605846"/>
  </r>
  <r>
    <x v="6552"/>
    <n v="56.658352000000001"/>
  </r>
  <r>
    <x v="6553"/>
    <n v="57.200778999999997"/>
  </r>
  <r>
    <x v="6554"/>
    <n v="56.430861999999998"/>
  </r>
  <r>
    <x v="6555"/>
    <n v="56.518352999999998"/>
  </r>
  <r>
    <x v="6556"/>
    <n v="56.334629"/>
  </r>
  <r>
    <x v="6557"/>
    <n v="56.632095"/>
  </r>
  <r>
    <x v="6558"/>
    <n v="56.255885999999997"/>
  </r>
  <r>
    <x v="6559"/>
    <n v="56.465865999999998"/>
  </r>
  <r>
    <x v="6560"/>
    <n v="56.325885999999997"/>
  </r>
  <r>
    <x v="6561"/>
    <n v="56.010917999999997"/>
  </r>
  <r>
    <x v="6562"/>
    <n v="57.043284999999997"/>
  </r>
  <r>
    <x v="6563"/>
    <n v="57.690719999999999"/>
  </r>
  <r>
    <x v="6564"/>
    <n v="57.769463000000002"/>
  </r>
  <r>
    <x v="6565"/>
    <n v="58.154423000000001"/>
  </r>
  <r>
    <x v="6566"/>
    <n v="57.979427000000001"/>
  </r>
  <r>
    <x v="6567"/>
    <n v="57.104534000000001"/>
  </r>
  <r>
    <x v="6568"/>
    <n v="57.095790999999998"/>
  </r>
  <r>
    <x v="6569"/>
    <n v="57.244517999999999"/>
  </r>
  <r>
    <x v="6570"/>
    <n v="57.200778999999997"/>
  </r>
  <r>
    <x v="6571"/>
    <n v="59.711727000000003"/>
  </r>
  <r>
    <x v="6572"/>
    <n v="59.510497999999998"/>
  </r>
  <r>
    <x v="6573"/>
    <n v="59.536746999999998"/>
  </r>
  <r>
    <x v="6574"/>
    <n v="59.527991999999998"/>
  </r>
  <r>
    <x v="6575"/>
    <n v="60.079182000000003"/>
  </r>
  <r>
    <x v="6576"/>
    <n v="59.790474000000003"/>
  </r>
  <r>
    <x v="6577"/>
    <n v="59.475521000000001"/>
  </r>
  <r>
    <x v="6578"/>
    <n v="58.985573000000002"/>
  </r>
  <r>
    <x v="6579"/>
    <n v="59.956710999999999"/>
  </r>
  <r>
    <x v="6580"/>
    <n v="58.898079000000003"/>
  </r>
  <r>
    <x v="6581"/>
    <n v="58.609360000000002"/>
  </r>
  <r>
    <x v="6582"/>
    <n v="59.711727000000003"/>
  </r>
  <r>
    <x v="6583"/>
    <n v="58.443134000000001"/>
  </r>
  <r>
    <x v="6584"/>
    <n v="57.804451"/>
  </r>
  <r>
    <x v="6585"/>
    <n v="54.007393"/>
  </r>
  <r>
    <x v="6586"/>
    <n v="56.343372000000002"/>
  </r>
  <r>
    <x v="6587"/>
    <n v="56.903312999999997"/>
  </r>
  <r>
    <x v="6588"/>
    <n v="54.611072999999998"/>
  </r>
  <r>
    <x v="6589"/>
    <n v="55.984676"/>
  </r>
  <r>
    <x v="6590"/>
    <n v="57.445754999999998"/>
  </r>
  <r>
    <x v="6591"/>
    <n v="57.480742999999997"/>
  </r>
  <r>
    <x v="6592"/>
    <n v="58.259407000000003"/>
  </r>
  <r>
    <x v="6593"/>
    <n v="57.113292999999999"/>
  </r>
  <r>
    <x v="6594"/>
    <n v="56.737071999999998"/>
  </r>
  <r>
    <x v="6595"/>
    <n v="55.984676"/>
  </r>
  <r>
    <x v="6596"/>
    <n v="55.468487000000003"/>
  </r>
  <r>
    <x v="6597"/>
    <n v="54.401108000000001"/>
  </r>
  <r>
    <x v="6598"/>
    <n v="55.398487000000003"/>
  </r>
  <r>
    <x v="6599"/>
    <n v="58.600624000000003"/>
  </r>
  <r>
    <x v="6600"/>
    <n v="58.538840999999998"/>
  </r>
  <r>
    <x v="6601"/>
    <n v="57.356419000000002"/>
  </r>
  <r>
    <x v="6602"/>
    <n v="57.321120999999998"/>
  </r>
  <r>
    <x v="6603"/>
    <n v="57.126990999999997"/>
  </r>
  <r>
    <x v="6604"/>
    <n v="56.482841000000001"/>
  </r>
  <r>
    <x v="6605"/>
    <n v="54.832740999999999"/>
  </r>
  <r>
    <x v="6606"/>
    <n v="55.141575000000003"/>
  </r>
  <r>
    <x v="6607"/>
    <n v="54.550373"/>
  </r>
  <r>
    <x v="6608"/>
    <n v="55.618076000000002"/>
  </r>
  <r>
    <x v="6609"/>
    <n v="55.423954000000002"/>
  </r>
  <r>
    <x v="6610"/>
    <n v="52.679656999999999"/>
  </r>
  <r>
    <x v="6611"/>
    <n v="53.050274000000002"/>
  </r>
  <r>
    <x v="6612"/>
    <n v="52.847324"/>
  </r>
  <r>
    <x v="6613"/>
    <n v="53.491478000000001"/>
  </r>
  <r>
    <x v="6614"/>
    <n v="51.506062"/>
  </r>
  <r>
    <x v="6615"/>
    <n v="51.408993000000002"/>
  </r>
  <r>
    <x v="6616"/>
    <n v="50.129508999999999"/>
  </r>
  <r>
    <x v="6617"/>
    <n v="49.044155000000003"/>
  </r>
  <r>
    <x v="6618"/>
    <n v="47.349930000000001"/>
  </r>
  <r>
    <x v="6619"/>
    <n v="49.52948"/>
  </r>
  <r>
    <x v="6620"/>
    <n v="48.391167000000003"/>
  </r>
  <r>
    <x v="6621"/>
    <n v="48.267631999999999"/>
  </r>
  <r>
    <x v="6622"/>
    <n v="48.894142000000002"/>
  </r>
  <r>
    <x v="6623"/>
    <n v="47.482295999999998"/>
  </r>
  <r>
    <x v="6624"/>
    <n v="48.338225999999999"/>
  </r>
  <r>
    <x v="6625"/>
    <n v="48.523533"/>
  </r>
  <r>
    <x v="6626"/>
    <n v="48.567653999999997"/>
  </r>
  <r>
    <x v="6627"/>
    <n v="46.873424999999997"/>
  </r>
  <r>
    <x v="6628"/>
    <n v="47.146979999999999"/>
  </r>
  <r>
    <x v="6629"/>
    <n v="48.329407000000003"/>
  </r>
  <r>
    <x v="6630"/>
    <n v="48.541176"/>
  </r>
  <r>
    <x v="6631"/>
    <n v="48.708835999999998"/>
  </r>
  <r>
    <x v="6632"/>
    <n v="49.17651"/>
  </r>
  <r>
    <x v="6633"/>
    <n v="48.329407000000003"/>
  </r>
  <r>
    <x v="6634"/>
    <n v="48.841197999999999"/>
  </r>
  <r>
    <x v="6635"/>
    <n v="48.735301999999997"/>
  </r>
  <r>
    <x v="6636"/>
    <n v="46.388103000000001"/>
  </r>
  <r>
    <x v="6637"/>
    <n v="45.390987000000003"/>
  </r>
  <r>
    <x v="6638"/>
    <n v="44.587997000000001"/>
  </r>
  <r>
    <x v="6639"/>
    <n v="44.067383"/>
  </r>
  <r>
    <x v="6640"/>
    <n v="43.899726999999999"/>
  </r>
  <r>
    <x v="6641"/>
    <n v="44.535049000000001"/>
  </r>
  <r>
    <x v="6642"/>
    <n v="45.099795999999998"/>
  </r>
  <r>
    <x v="6643"/>
    <n v="45.011538999999999"/>
  </r>
  <r>
    <x v="6644"/>
    <n v="44.843899"/>
  </r>
  <r>
    <x v="6645"/>
    <n v="44.349739"/>
  </r>
  <r>
    <x v="6646"/>
    <n v="44.393867"/>
  </r>
  <r>
    <x v="6647"/>
    <n v="46.317515999999998"/>
  </r>
  <r>
    <x v="6648"/>
    <n v="46.776367"/>
  </r>
  <r>
    <x v="6649"/>
    <n v="46.644005"/>
  </r>
  <r>
    <x v="6650"/>
    <n v="46.917557000000002"/>
  </r>
  <r>
    <x v="6651"/>
    <n v="48.505878000000003"/>
  </r>
  <r>
    <x v="6652"/>
    <n v="48.735301999999997"/>
  </r>
  <r>
    <x v="6653"/>
    <n v="50.067745000000002"/>
  </r>
  <r>
    <x v="6654"/>
    <n v="49.097092000000004"/>
  </r>
  <r>
    <x v="6655"/>
    <n v="50.032443999999998"/>
  </r>
  <r>
    <x v="6656"/>
    <n v="50.253048"/>
  </r>
  <r>
    <x v="6657"/>
    <n v="50.747188999999999"/>
  </r>
  <r>
    <x v="6658"/>
    <n v="50.923679"/>
  </r>
  <r>
    <x v="6659"/>
    <n v="50.641303999999998"/>
  </r>
  <r>
    <x v="6660"/>
    <n v="51.903145000000002"/>
  </r>
  <r>
    <x v="6661"/>
    <n v="52.132579999999997"/>
  </r>
  <r>
    <x v="6662"/>
    <n v="52.909092000000001"/>
  </r>
  <r>
    <x v="6663"/>
    <n v="51.919379999999997"/>
  </r>
  <r>
    <x v="6664"/>
    <n v="52.062046000000002"/>
  </r>
  <r>
    <x v="6665"/>
    <n v="51.821308000000002"/>
  </r>
  <r>
    <x v="6666"/>
    <n v="52.258204999999997"/>
  </r>
  <r>
    <x v="6667"/>
    <n v="52.347363000000001"/>
  </r>
  <r>
    <x v="6668"/>
    <n v="52.588107999999998"/>
  </r>
  <r>
    <x v="6669"/>
    <n v="53.354903999999998"/>
  </r>
  <r>
    <x v="6670"/>
    <n v="54.068207000000001"/>
  </r>
  <r>
    <x v="6671"/>
    <n v="53.729385000000001"/>
  </r>
  <r>
    <x v="6672"/>
    <n v="53.435146000000003"/>
  </r>
  <r>
    <x v="6673"/>
    <n v="53.310326000000003"/>
  </r>
  <r>
    <x v="6674"/>
    <n v="52.802101"/>
  </r>
  <r>
    <x v="6675"/>
    <n v="53.016086999999999"/>
  </r>
  <r>
    <x v="6676"/>
    <n v="53.372742000000002"/>
  </r>
  <r>
    <x v="6677"/>
    <n v="52.784264"/>
  </r>
  <r>
    <x v="6678"/>
    <n v="52.338450999999999"/>
  </r>
  <r>
    <x v="6679"/>
    <n v="52.418697000000002"/>
  </r>
  <r>
    <x v="6680"/>
    <n v="52.383021999999997"/>
  </r>
  <r>
    <x v="6681"/>
    <n v="52.160125999999998"/>
  </r>
  <r>
    <x v="6682"/>
    <n v="50.867260000000002"/>
  </r>
  <r>
    <x v="6683"/>
    <n v="50.332287000000001"/>
  </r>
  <r>
    <x v="6684"/>
    <n v="49.191001999999997"/>
  </r>
  <r>
    <x v="6685"/>
    <n v="49.841895999999998"/>
  </r>
  <r>
    <x v="6686"/>
    <n v="50.038055"/>
  </r>
  <r>
    <x v="6687"/>
    <n v="50.091552999999998"/>
  </r>
  <r>
    <x v="6688"/>
    <n v="49.333668000000003"/>
  </r>
  <r>
    <x v="6689"/>
    <n v="51.161495000000002"/>
  </r>
  <r>
    <x v="6690"/>
    <n v="51.571658999999997"/>
  </r>
  <r>
    <x v="6691"/>
    <n v="51.749977000000001"/>
  </r>
  <r>
    <x v="6692"/>
    <n v="52.044212000000002"/>
  </r>
  <r>
    <x v="6693"/>
    <n v="51.090167999999998"/>
  </r>
  <r>
    <x v="6694"/>
    <n v="51.999630000000003"/>
  </r>
  <r>
    <x v="6695"/>
    <n v="52.062046000000002"/>
  </r>
  <r>
    <x v="6696"/>
    <n v="52.026370999999997"/>
  </r>
  <r>
    <x v="6697"/>
    <n v="52.525688000000002"/>
  </r>
  <r>
    <x v="6698"/>
    <n v="52.391948999999997"/>
  </r>
  <r>
    <x v="6699"/>
    <n v="52.882342999999999"/>
  </r>
  <r>
    <x v="6700"/>
    <n v="52.258204999999997"/>
  </r>
  <r>
    <x v="6701"/>
    <n v="52.677269000000003"/>
  </r>
  <r>
    <x v="6702"/>
    <n v="52.472194999999999"/>
  </r>
  <r>
    <x v="6703"/>
    <n v="52.980418999999998"/>
  </r>
  <r>
    <x v="6704"/>
    <n v="56.689582999999999"/>
  </r>
  <r>
    <x v="6705"/>
    <n v="55.896037999999997"/>
  </r>
  <r>
    <x v="6706"/>
    <n v="55.316474999999997"/>
  </r>
  <r>
    <x v="6707"/>
    <n v="57.144302000000003"/>
  </r>
  <r>
    <x v="6708"/>
    <n v="57.376125000000002"/>
  </r>
  <r>
    <x v="6709"/>
    <n v="57.750622"/>
  </r>
  <r>
    <x v="6710"/>
    <n v="58.312336000000002"/>
  </r>
  <r>
    <x v="6711"/>
    <n v="58.606586"/>
  </r>
  <r>
    <x v="6712"/>
    <n v="58.348011"/>
  </r>
  <r>
    <x v="6713"/>
    <n v="58.098354"/>
  </r>
  <r>
    <x v="6714"/>
    <n v="58.027023"/>
  </r>
  <r>
    <x v="6715"/>
    <n v="57.795197000000002"/>
  </r>
  <r>
    <x v="6716"/>
    <n v="57.813029999999998"/>
  </r>
  <r>
    <x v="6717"/>
    <n v="58.339084999999997"/>
  </r>
  <r>
    <x v="6718"/>
    <n v="58.561996000000001"/>
  </r>
  <r>
    <x v="6719"/>
    <n v="58.633327000000001"/>
  </r>
  <r>
    <x v="6720"/>
    <n v="58.900813999999997"/>
  </r>
  <r>
    <x v="6721"/>
    <n v="58.989978999999998"/>
  </r>
  <r>
    <x v="6722"/>
    <n v="59.337704000000002"/>
  </r>
  <r>
    <x v="6723"/>
    <n v="59.596279000000003"/>
  </r>
  <r>
    <x v="6724"/>
    <n v="59.61412"/>
  </r>
  <r>
    <x v="6725"/>
    <n v="59.872684"/>
  </r>
  <r>
    <x v="6726"/>
    <n v="60.042084000000003"/>
  </r>
  <r>
    <x v="6727"/>
    <n v="62.217663000000002"/>
  </r>
  <r>
    <x v="6728"/>
    <n v="61.700522999999997"/>
  </r>
  <r>
    <x v="6729"/>
    <n v="60.755405000000003"/>
  </r>
  <r>
    <x v="6730"/>
    <n v="61.263621999999998"/>
  </r>
  <r>
    <x v="6731"/>
    <n v="62.964148999999999"/>
  </r>
  <r>
    <x v="6732"/>
    <n v="63.782913000000001"/>
  </r>
  <r>
    <x v="6733"/>
    <n v="63.306049000000002"/>
  </r>
  <r>
    <x v="6734"/>
    <n v="63.324032000000003"/>
  </r>
  <r>
    <x v="6735"/>
    <n v="65.069550000000007"/>
  </r>
  <r>
    <x v="6736"/>
    <n v="65.240500999999995"/>
  </r>
  <r>
    <x v="6737"/>
    <n v="64.556702000000001"/>
  </r>
  <r>
    <x v="6738"/>
    <n v="67.129951000000005"/>
  </r>
  <r>
    <x v="6739"/>
    <n v="67.561836"/>
  </r>
  <r>
    <x v="6740"/>
    <n v="65.897316000000004"/>
  </r>
  <r>
    <x v="6741"/>
    <n v="67.228935000000007"/>
  </r>
  <r>
    <x v="6742"/>
    <n v="66.635101000000006"/>
  </r>
  <r>
    <x v="6743"/>
    <n v="67.120971999999995"/>
  </r>
  <r>
    <x v="6744"/>
    <n v="66.311194999999998"/>
  </r>
  <r>
    <x v="6745"/>
    <n v="66.203224000000006"/>
  </r>
  <r>
    <x v="6746"/>
    <n v="65.447440999999998"/>
  </r>
  <r>
    <x v="6747"/>
    <n v="64.565680999999998"/>
  </r>
  <r>
    <x v="6748"/>
    <n v="64.520698999999993"/>
  </r>
  <r>
    <x v="6749"/>
    <n v="64.808632000000003"/>
  </r>
  <r>
    <x v="6750"/>
    <n v="65.321472"/>
  </r>
  <r>
    <x v="6751"/>
    <n v="65.996291999999997"/>
  </r>
  <r>
    <x v="6752"/>
    <n v="65.357467999999997"/>
  </r>
  <r>
    <x v="6753"/>
    <n v="65.123527999999993"/>
  </r>
  <r>
    <x v="6754"/>
    <n v="64.070839000000007"/>
  </r>
  <r>
    <x v="6755"/>
    <n v="63.818913000000002"/>
  </r>
  <r>
    <x v="6756"/>
    <n v="63.099097999999998"/>
  </r>
  <r>
    <x v="6757"/>
    <n v="60.039966999999997"/>
  </r>
  <r>
    <x v="6758"/>
    <n v="57.844600999999997"/>
  </r>
  <r>
    <x v="6759"/>
    <n v="57.844600999999997"/>
  </r>
  <r>
    <x v="6760"/>
    <n v="57.736618"/>
  </r>
  <r>
    <x v="6761"/>
    <n v="59.491126999999999"/>
  </r>
  <r>
    <x v="6762"/>
    <n v="59.473125000000003"/>
  </r>
  <r>
    <x v="6763"/>
    <n v="58.618378"/>
  </r>
  <r>
    <x v="6764"/>
    <n v="58.807316"/>
  </r>
  <r>
    <x v="6765"/>
    <n v="59.491126999999999"/>
  </r>
  <r>
    <x v="6766"/>
    <n v="59.725048000000001"/>
  </r>
  <r>
    <x v="6767"/>
    <n v="56.342025999999997"/>
  </r>
  <r>
    <x v="6768"/>
    <n v="56.863872999999998"/>
  </r>
  <r>
    <x v="6769"/>
    <n v="56.216048999999998"/>
  </r>
  <r>
    <x v="6770"/>
    <n v="55.937134"/>
  </r>
  <r>
    <x v="6771"/>
    <n v="56.845878999999996"/>
  </r>
  <r>
    <x v="6772"/>
    <n v="56.584952999999999"/>
  </r>
  <r>
    <x v="6773"/>
    <n v="57.322749999999999"/>
  </r>
  <r>
    <x v="6774"/>
    <n v="56.980839000000003"/>
  </r>
  <r>
    <x v="6775"/>
    <n v="57.1068"/>
  </r>
  <r>
    <x v="6776"/>
    <n v="57.250771"/>
  </r>
  <r>
    <x v="6777"/>
    <n v="56.872875000000001"/>
  </r>
  <r>
    <x v="6778"/>
    <n v="52.230186000000003"/>
  </r>
  <r>
    <x v="6779"/>
    <n v="51.033535000000001"/>
  </r>
  <r>
    <x v="6780"/>
    <n v="49.027102999999997"/>
  </r>
  <r>
    <x v="6781"/>
    <n v="48.730186000000003"/>
  </r>
  <r>
    <x v="6782"/>
    <n v="48.532229999999998"/>
  </r>
  <r>
    <x v="6783"/>
    <n v="49.836868000000003"/>
  </r>
  <r>
    <x v="6784"/>
    <n v="50.277737000000002"/>
  </r>
  <r>
    <x v="6785"/>
    <n v="49.395995999999997"/>
  </r>
  <r>
    <x v="6786"/>
    <n v="49.413989999999998"/>
  </r>
  <r>
    <x v="6787"/>
    <n v="49.728901"/>
  </r>
  <r>
    <x v="6788"/>
    <n v="49.710903000000002"/>
  </r>
  <r>
    <x v="6789"/>
    <n v="50.142775999999998"/>
  </r>
  <r>
    <x v="6790"/>
    <n v="49.998817000000003"/>
  </r>
  <r>
    <x v="6791"/>
    <n v="50.970547000000003"/>
  </r>
  <r>
    <x v="6792"/>
    <n v="52.284168000000001"/>
  </r>
  <r>
    <x v="6793"/>
    <n v="52.419136000000002"/>
  </r>
  <r>
    <x v="6794"/>
    <n v="53.210906999999999"/>
  </r>
  <r>
    <x v="6795"/>
    <n v="51.942267999999999"/>
  </r>
  <r>
    <x v="6796"/>
    <n v="51.942261000000002"/>
  </r>
  <r>
    <x v="6797"/>
    <n v="50.923617999999998"/>
  </r>
  <r>
    <x v="6798"/>
    <n v="52.060509000000003"/>
  </r>
  <r>
    <x v="6799"/>
    <n v="52.160544999999999"/>
  </r>
  <r>
    <x v="6800"/>
    <n v="52.497073999999998"/>
  </r>
  <r>
    <x v="6801"/>
    <n v="52.833595000000003"/>
  </r>
  <r>
    <x v="6802"/>
    <n v="52.406112999999998"/>
  </r>
  <r>
    <x v="6803"/>
    <n v="51.842216000000001"/>
  </r>
  <r>
    <x v="6804"/>
    <n v="52.551636000000002"/>
  </r>
  <r>
    <x v="6805"/>
    <n v="51.560268000000001"/>
  </r>
  <r>
    <x v="6806"/>
    <n v="51.269221999999999"/>
  </r>
  <r>
    <x v="6807"/>
    <n v="49.886764999999997"/>
  </r>
  <r>
    <x v="6808"/>
    <n v="48.795352999999999"/>
  </r>
  <r>
    <x v="6809"/>
    <n v="50.896324"/>
  </r>
  <r>
    <x v="6810"/>
    <n v="51.014564999999997"/>
  </r>
  <r>
    <x v="6811"/>
    <n v="51.669418"/>
  </r>
  <r>
    <x v="6812"/>
    <n v="51.760371999999997"/>
  </r>
  <r>
    <x v="6813"/>
    <n v="52.206023999999999"/>
  </r>
  <r>
    <x v="6814"/>
    <n v="50.659866000000001"/>
  </r>
  <r>
    <x v="6815"/>
    <n v="51.478416000000003"/>
  </r>
  <r>
    <x v="6816"/>
    <n v="51.332889999999999"/>
  </r>
  <r>
    <x v="6817"/>
    <n v="50.887233999999999"/>
  </r>
  <r>
    <x v="6818"/>
    <n v="51.487507000000001"/>
  </r>
  <r>
    <x v="6819"/>
    <n v="51.660313000000002"/>
  </r>
  <r>
    <x v="6820"/>
    <n v="52.296973999999999"/>
  </r>
  <r>
    <x v="6821"/>
    <n v="52.115067000000003"/>
  </r>
  <r>
    <x v="6822"/>
    <n v="50.687137999999997"/>
  </r>
  <r>
    <x v="6823"/>
    <n v="50.268768000000001"/>
  </r>
  <r>
    <x v="6824"/>
    <n v="49.814006999999997"/>
  </r>
  <r>
    <x v="6825"/>
    <n v="50.268768000000001"/>
  </r>
  <r>
    <x v="6826"/>
    <n v="49.377440999999997"/>
  </r>
  <r>
    <x v="6827"/>
    <n v="47.085467999999999"/>
  </r>
  <r>
    <x v="6828"/>
    <n v="46.212341000000002"/>
  </r>
  <r>
    <x v="6829"/>
    <n v="46.657989999999998"/>
  </r>
  <r>
    <x v="6830"/>
    <n v="46.057715999999999"/>
  </r>
  <r>
    <x v="6831"/>
    <n v="44.929927999999997"/>
  </r>
  <r>
    <x v="6832"/>
    <n v="45.630248999999999"/>
  </r>
  <r>
    <x v="6833"/>
    <n v="45.039062999999999"/>
  </r>
  <r>
    <x v="6834"/>
    <n v="45.120922"/>
  </r>
  <r>
    <x v="6835"/>
    <n v="45.193680000000001"/>
  </r>
  <r>
    <x v="6836"/>
    <n v="46.139575999999998"/>
  </r>
  <r>
    <x v="6837"/>
    <n v="46.476092999999999"/>
  </r>
  <r>
    <x v="6838"/>
    <n v="45.975872000000003"/>
  </r>
  <r>
    <x v="6839"/>
    <n v="45.739387999999998"/>
  </r>
  <r>
    <x v="6840"/>
    <n v="46.230530000000002"/>
  </r>
  <r>
    <x v="6841"/>
    <n v="46.985427999999999"/>
  </r>
  <r>
    <x v="6842"/>
    <n v="46.921756999999999"/>
  </r>
  <r>
    <x v="6843"/>
    <n v="46.903564000000003"/>
  </r>
  <r>
    <x v="6844"/>
    <n v="47.276463"/>
  </r>
  <r>
    <x v="6845"/>
    <n v="47.303753"/>
  </r>
  <r>
    <x v="6846"/>
    <n v="47.703938000000001"/>
  </r>
  <r>
    <x v="6847"/>
    <n v="47.612983999999997"/>
  </r>
  <r>
    <x v="6848"/>
    <n v="48.313308999999997"/>
  </r>
  <r>
    <x v="6849"/>
    <n v="48.195076"/>
  </r>
  <r>
    <x v="6850"/>
    <n v="48.231456999999999"/>
  </r>
  <r>
    <x v="6851"/>
    <n v="48.240558999999998"/>
  </r>
  <r>
    <x v="6852"/>
    <n v="48.558880000000002"/>
  </r>
  <r>
    <x v="6853"/>
    <n v="49.295589"/>
  </r>
  <r>
    <x v="6854"/>
    <n v="48.913586000000002"/>
  </r>
  <r>
    <x v="6855"/>
    <n v="49.059113000000004"/>
  </r>
  <r>
    <x v="6856"/>
    <n v="50.420848999999997"/>
  </r>
  <r>
    <x v="6857"/>
    <n v="49.712383000000003"/>
  </r>
  <r>
    <x v="6858"/>
    <n v="49.252338000000002"/>
  </r>
  <r>
    <x v="6859"/>
    <n v="50.006805"/>
  </r>
  <r>
    <x v="6860"/>
    <n v="50.457649000000004"/>
  </r>
  <r>
    <x v="6861"/>
    <n v="50.963695999999999"/>
  </r>
  <r>
    <x v="6862"/>
    <n v="50.972892999999999"/>
  </r>
  <r>
    <x v="6863"/>
    <n v="52.076996000000001"/>
  </r>
  <r>
    <x v="6864"/>
    <n v="52.288623999999999"/>
  </r>
  <r>
    <x v="6865"/>
    <n v="52.417439000000002"/>
  </r>
  <r>
    <x v="6866"/>
    <n v="52.592255000000002"/>
  </r>
  <r>
    <x v="6867"/>
    <n v="53.153500000000001"/>
  </r>
  <r>
    <x v="6868"/>
    <n v="52.279423000000001"/>
  </r>
  <r>
    <x v="6869"/>
    <n v="52.113810999999998"/>
  </r>
  <r>
    <x v="6870"/>
    <n v="53.365130999999998"/>
  </r>
  <r>
    <x v="6871"/>
    <n v="52.362225000000002"/>
  </r>
  <r>
    <x v="6872"/>
    <n v="52.030997999999997"/>
  </r>
  <r>
    <x v="6873"/>
    <n v="52.472645"/>
  </r>
  <r>
    <x v="6874"/>
    <n v="53.190314999999998"/>
  </r>
  <r>
    <x v="6875"/>
    <n v="53.447937000000003"/>
  </r>
  <r>
    <x v="6876"/>
    <n v="53.070698"/>
  </r>
  <r>
    <x v="6877"/>
    <n v="53.236319999999999"/>
  </r>
  <r>
    <x v="6878"/>
    <n v="53.355927000000001"/>
  </r>
  <r>
    <x v="6879"/>
    <n v="53.144306"/>
  </r>
  <r>
    <x v="6880"/>
    <n v="52.849879999999999"/>
  </r>
  <r>
    <x v="6881"/>
    <n v="51.828578999999998"/>
  </r>
  <r>
    <x v="6882"/>
    <n v="51.432938"/>
  </r>
  <r>
    <x v="6883"/>
    <n v="52.399036000000002"/>
  </r>
  <r>
    <x v="6884"/>
    <n v="52.610652999999999"/>
  </r>
  <r>
    <x v="6885"/>
    <n v="64.820228999999998"/>
  </r>
  <r>
    <x v="6886"/>
    <n v="72.760597000000004"/>
  </r>
  <r>
    <x v="6887"/>
    <n v="73.505852000000004"/>
  </r>
  <r>
    <x v="6888"/>
    <n v="75.419655000000006"/>
  </r>
  <r>
    <x v="6889"/>
    <n v="79.79007"/>
  </r>
  <r>
    <x v="6890"/>
    <n v="79.891272999999998"/>
  </r>
  <r>
    <x v="6891"/>
    <n v="78.271918999999997"/>
  </r>
  <r>
    <x v="6892"/>
    <n v="79.716460999999995"/>
  </r>
  <r>
    <x v="6893"/>
    <n v="80.277717999999993"/>
  </r>
  <r>
    <x v="6894"/>
    <n v="79.247214999999997"/>
  </r>
  <r>
    <x v="6895"/>
    <n v="79.468033000000005"/>
  </r>
  <r>
    <x v="6896"/>
    <n v="80.176497999999995"/>
  </r>
  <r>
    <x v="6897"/>
    <n v="82.154708999999997"/>
  </r>
  <r>
    <x v="6898"/>
    <n v="81.197800000000001"/>
  </r>
  <r>
    <x v="6899"/>
    <n v="78.391525000000001"/>
  </r>
  <r>
    <x v="6900"/>
    <n v="77.784263999999993"/>
  </r>
  <r>
    <x v="6901"/>
    <n v="77.084998999999996"/>
  </r>
  <r>
    <x v="6902"/>
    <n v="78.980384999999998"/>
  </r>
  <r>
    <x v="6903"/>
    <n v="77.186226000000005"/>
  </r>
  <r>
    <x v="6904"/>
    <n v="79.247214999999997"/>
  </r>
  <r>
    <x v="6905"/>
    <n v="79.366828999999996"/>
  </r>
  <r>
    <x v="6906"/>
    <n v="76.192513000000005"/>
  </r>
  <r>
    <x v="6907"/>
    <n v="74.987212999999997"/>
  </r>
  <r>
    <x v="6908"/>
    <n v="70.497169"/>
  </r>
  <r>
    <x v="6909"/>
    <n v="71.536879999999996"/>
  </r>
  <r>
    <x v="6910"/>
    <n v="63.771309000000002"/>
  </r>
  <r>
    <x v="6911"/>
    <n v="62.805225"/>
  </r>
  <r>
    <x v="6912"/>
    <n v="60.919060000000002"/>
  </r>
  <r>
    <x v="6913"/>
    <n v="60.146186999999998"/>
  </r>
  <r>
    <x v="6914"/>
    <n v="60.505015999999998"/>
  </r>
  <r>
    <x v="6915"/>
    <n v="61.268684"/>
  </r>
  <r>
    <x v="6916"/>
    <n v="61.480316000000002"/>
  </r>
  <r>
    <x v="6917"/>
    <n v="61.333103000000001"/>
  </r>
  <r>
    <x v="6918"/>
    <n v="62.980044999999997"/>
  </r>
  <r>
    <x v="6919"/>
    <n v="62.227961999999998"/>
  </r>
  <r>
    <x v="6920"/>
    <n v="62.757201999999999"/>
  </r>
  <r>
    <x v="6921"/>
    <n v="63.778561000000003"/>
  </r>
  <r>
    <x v="6922"/>
    <n v="65.496291999999997"/>
  </r>
  <r>
    <x v="6923"/>
    <n v="66.146232999999995"/>
  </r>
  <r>
    <x v="6924"/>
    <n v="64.614211999999995"/>
  </r>
  <r>
    <x v="6925"/>
    <n v="64.929893000000007"/>
  </r>
  <r>
    <x v="6926"/>
    <n v="63.806423000000002"/>
  </r>
  <r>
    <x v="6927"/>
    <n v="64.168532999999996"/>
  </r>
  <r>
    <x v="6928"/>
    <n v="66.814751000000001"/>
  </r>
  <r>
    <x v="6929"/>
    <n v="66.666206000000003"/>
  </r>
  <r>
    <x v="6930"/>
    <n v="67.538978999999998"/>
  </r>
  <r>
    <x v="6931"/>
    <n v="67.520415999999997"/>
  </r>
  <r>
    <x v="6932"/>
    <n v="67.928946999999994"/>
  </r>
  <r>
    <x v="6933"/>
    <n v="67.362578999999997"/>
  </r>
  <r>
    <x v="6934"/>
    <n v="69.590941999999998"/>
  </r>
  <r>
    <x v="6935"/>
    <n v="70.036629000000005"/>
  </r>
  <r>
    <x v="6936"/>
    <n v="70.630875000000003"/>
  </r>
  <r>
    <x v="6937"/>
    <n v="71.977196000000006"/>
  </r>
  <r>
    <x v="6938"/>
    <n v="71.503662000000006"/>
  </r>
  <r>
    <x v="6939"/>
    <n v="71.150833000000006"/>
  </r>
  <r>
    <x v="6940"/>
    <n v="71.178687999999994"/>
  </r>
  <r>
    <x v="6941"/>
    <n v="71.150833000000006"/>
  </r>
  <r>
    <x v="6942"/>
    <n v="71.076553000000004"/>
  </r>
  <r>
    <x v="6943"/>
    <n v="69.043143999999998"/>
  </r>
  <r>
    <x v="6944"/>
    <n v="68.439612999999994"/>
  </r>
  <r>
    <x v="6945"/>
    <n v="69.544524999999993"/>
  </r>
  <r>
    <x v="6946"/>
    <n v="70.036629000000005"/>
  </r>
  <r>
    <x v="6947"/>
    <n v="70.259467999999998"/>
  </r>
  <r>
    <x v="6948"/>
    <n v="70.343033000000005"/>
  </r>
  <r>
    <x v="6949"/>
    <n v="69.052429000000004"/>
  </r>
  <r>
    <x v="6950"/>
    <n v="69.637383"/>
  </r>
  <r>
    <x v="6951"/>
    <n v="70.519463000000002"/>
  </r>
  <r>
    <x v="6952"/>
    <n v="68.820312999999999"/>
  </r>
  <r>
    <x v="6953"/>
    <n v="70.445189999999997"/>
  </r>
  <r>
    <x v="6954"/>
    <n v="69.962363999999994"/>
  </r>
  <r>
    <x v="6955"/>
    <n v="69.841667000000001"/>
  </r>
  <r>
    <x v="6956"/>
    <n v="69.609527999999997"/>
  </r>
  <r>
    <x v="6957"/>
    <n v="69.46096"/>
  </r>
  <r>
    <x v="6958"/>
    <n v="67.928946999999994"/>
  </r>
  <r>
    <x v="6959"/>
    <n v="66.109076999999999"/>
  </r>
  <r>
    <x v="6960"/>
    <n v="66.062659999999994"/>
  </r>
  <r>
    <x v="6961"/>
    <n v="63.880699"/>
  </r>
  <r>
    <x v="6962"/>
    <n v="63.295746000000001"/>
  </r>
  <r>
    <x v="6963"/>
    <n v="64.437790000000007"/>
  </r>
  <r>
    <x v="6964"/>
    <n v="66.164810000000003"/>
  </r>
  <r>
    <x v="6965"/>
    <n v="66.387634000000006"/>
  </r>
  <r>
    <x v="6966"/>
    <n v="64.809180999999995"/>
  </r>
  <r>
    <x v="6967"/>
    <n v="67.019012000000004"/>
  </r>
  <r>
    <x v="6968"/>
    <n v="65.811974000000006"/>
  </r>
  <r>
    <x v="6969"/>
    <n v="66.071952999999993"/>
  </r>
  <r>
    <x v="6970"/>
    <n v="68.040367000000003"/>
  </r>
  <r>
    <x v="6971"/>
    <n v="69.516677999999999"/>
  </r>
  <r>
    <x v="6972"/>
    <n v="70.630875000000003"/>
  </r>
  <r>
    <x v="6973"/>
    <n v="71.215828000000002"/>
  </r>
  <r>
    <x v="6974"/>
    <n v="71.633651999999998"/>
  </r>
  <r>
    <x v="6975"/>
    <n v="68.263199"/>
  </r>
  <r>
    <x v="6976"/>
    <n v="67.696815000000001"/>
  </r>
  <r>
    <x v="6977"/>
    <n v="68.681038000000001"/>
  </r>
  <r>
    <x v="6978"/>
    <n v="69.033867000000001"/>
  </r>
  <r>
    <x v="6979"/>
    <n v="70.983704000000003"/>
  </r>
  <r>
    <x v="6980"/>
    <n v="72.209311999999997"/>
  </r>
  <r>
    <x v="6981"/>
    <n v="69.748801999999998"/>
  </r>
  <r>
    <x v="6982"/>
    <n v="71.577950000000001"/>
  </r>
  <r>
    <x v="6983"/>
    <n v="73.342094000000003"/>
  </r>
  <r>
    <x v="6984"/>
    <n v="73.202826999999999"/>
  </r>
  <r>
    <x v="6985"/>
    <n v="72.617858999999996"/>
  </r>
  <r>
    <x v="6986"/>
    <n v="73.082108000000005"/>
  </r>
  <r>
    <x v="6987"/>
    <n v="74.776054000000002"/>
  </r>
  <r>
    <x v="6988"/>
    <n v="74.008628999999999"/>
  </r>
  <r>
    <x v="6989"/>
    <n v="73.381591999999998"/>
  </r>
  <r>
    <x v="6990"/>
    <n v="73.035315999999995"/>
  </r>
  <r>
    <x v="6991"/>
    <n v="73.643630999999999"/>
  </r>
  <r>
    <x v="6992"/>
    <n v="73.840171999999995"/>
  </r>
  <r>
    <x v="6993"/>
    <n v="73.213134999999994"/>
  </r>
  <r>
    <x v="6994"/>
    <n v="71.537932999999995"/>
  </r>
  <r>
    <x v="6995"/>
    <n v="72.286643999999995"/>
  </r>
  <r>
    <x v="6996"/>
    <n v="70.405533000000005"/>
  </r>
  <r>
    <x v="6997"/>
    <n v="72.305351000000002"/>
  </r>
  <r>
    <x v="6998"/>
    <n v="72.389565000000005"/>
  </r>
  <r>
    <x v="6999"/>
    <n v="71.715744000000001"/>
  </r>
  <r>
    <x v="7000"/>
    <n v="71.388191000000006"/>
  </r>
  <r>
    <x v="7001"/>
    <n v="70.630134999999996"/>
  </r>
  <r>
    <x v="7002"/>
    <n v="69.245041000000001"/>
  </r>
  <r>
    <x v="7003"/>
    <n v="70.873451000000003"/>
  </r>
  <r>
    <x v="7004"/>
    <n v="72.520591999999994"/>
  </r>
  <r>
    <x v="7005"/>
    <n v="71.444344000000001"/>
  </r>
  <r>
    <x v="7006"/>
    <n v="68.178139000000002"/>
  </r>
  <r>
    <x v="7007"/>
    <n v="69.581954999999994"/>
  </r>
  <r>
    <x v="7008"/>
    <n v="70.162200999999996"/>
  </r>
  <r>
    <x v="7009"/>
    <n v="71.781242000000006"/>
  </r>
  <r>
    <x v="7010"/>
    <n v="71.406914"/>
  </r>
  <r>
    <x v="7011"/>
    <n v="72.829430000000002"/>
  </r>
  <r>
    <x v="7012"/>
    <n v="73.213134999999994"/>
  </r>
  <r>
    <x v="7013"/>
    <n v="73.905685000000005"/>
  </r>
  <r>
    <x v="7014"/>
    <n v="72.698402000000002"/>
  </r>
  <r>
    <x v="7015"/>
    <n v="73.915053999999998"/>
  </r>
  <r>
    <x v="7016"/>
    <n v="73.437736999999998"/>
  </r>
  <r>
    <x v="7017"/>
    <n v="72.286643999999995"/>
  </r>
  <r>
    <x v="7018"/>
    <n v="73.924385000000001"/>
  </r>
  <r>
    <x v="7019"/>
    <n v="75.028732000000005"/>
  </r>
  <r>
    <x v="7020"/>
    <n v="77.724036999999996"/>
  </r>
  <r>
    <x v="7021"/>
    <n v="76.423164"/>
  </r>
  <r>
    <x v="7022"/>
    <n v="76.217277999999993"/>
  </r>
  <r>
    <x v="7023"/>
    <n v="75.281402999999997"/>
  </r>
  <r>
    <x v="7024"/>
    <n v="78.220039"/>
  </r>
  <r>
    <x v="7025"/>
    <n v="79.633178999999998"/>
  </r>
  <r>
    <x v="7026"/>
    <n v="79.979468999999995"/>
  </r>
  <r>
    <x v="7027"/>
    <n v="79.202704999999995"/>
  </r>
  <r>
    <x v="7028"/>
    <n v="84.209594999999993"/>
  </r>
  <r>
    <x v="7029"/>
    <n v="87.999877999999995"/>
  </r>
  <r>
    <x v="7030"/>
    <n v="85.950333000000001"/>
  </r>
  <r>
    <x v="7031"/>
    <n v="85.136131000000006"/>
  </r>
  <r>
    <x v="7032"/>
    <n v="84.668175000000005"/>
  </r>
  <r>
    <x v="7033"/>
    <n v="84.677559000000002"/>
  </r>
  <r>
    <x v="7034"/>
    <n v="84.986382000000006"/>
  </r>
  <r>
    <x v="7035"/>
    <n v="84.677559000000002"/>
  </r>
  <r>
    <x v="7036"/>
    <n v="82.319145000000006"/>
  </r>
  <r>
    <x v="7037"/>
    <n v="80.129219000000006"/>
  </r>
  <r>
    <x v="7038"/>
    <n v="79.651909000000003"/>
  </r>
  <r>
    <x v="7039"/>
    <n v="79.446029999999993"/>
  </r>
  <r>
    <x v="7040"/>
    <n v="79.820389000000006"/>
  </r>
  <r>
    <x v="7041"/>
    <n v="79.202704999999995"/>
  </r>
  <r>
    <x v="7042"/>
    <n v="79.361808999999994"/>
  </r>
  <r>
    <x v="7043"/>
    <n v="78.191978000000006"/>
  </r>
  <r>
    <x v="7044"/>
    <n v="77.162497999999999"/>
  </r>
  <r>
    <x v="7045"/>
    <n v="75.412430000000001"/>
  </r>
  <r>
    <x v="7046"/>
    <n v="77.411873"/>
  </r>
  <r>
    <x v="7047"/>
    <n v="77.892844999999994"/>
  </r>
  <r>
    <x v="7048"/>
    <n v="79.052909999999997"/>
  </r>
  <r>
    <x v="7049"/>
    <n v="80.090332000000004"/>
  </r>
  <r>
    <x v="7050"/>
    <n v="79.335846000000004"/>
  </r>
  <r>
    <x v="7051"/>
    <n v="82.042603"/>
  </r>
  <r>
    <x v="7052"/>
    <n v="83.985450999999998"/>
  </r>
  <r>
    <x v="7053"/>
    <n v="82.834830999999994"/>
  </r>
  <r>
    <x v="7054"/>
    <n v="83.400718999999995"/>
  </r>
  <r>
    <x v="7055"/>
    <n v="83.296974000000006"/>
  </r>
  <r>
    <x v="7056"/>
    <n v="82.976318000000006"/>
  </r>
  <r>
    <x v="7057"/>
    <n v="83.457313999999997"/>
  </r>
  <r>
    <x v="7058"/>
    <n v="83.796836999999996"/>
  </r>
  <r>
    <x v="7059"/>
    <n v="83.419585999999995"/>
  </r>
  <r>
    <x v="7060"/>
    <n v="83.721374999999995"/>
  </r>
  <r>
    <x v="7061"/>
    <n v="83.372414000000006"/>
  </r>
  <r>
    <x v="7062"/>
    <n v="83.749679999999998"/>
  </r>
  <r>
    <x v="7063"/>
    <n v="83.400718999999995"/>
  </r>
  <r>
    <x v="7064"/>
    <n v="83.212097"/>
  </r>
  <r>
    <x v="7065"/>
    <n v="83.645927"/>
  </r>
  <r>
    <x v="7066"/>
    <n v="82.070908000000003"/>
  </r>
  <r>
    <x v="7067"/>
    <n v="81.589920000000006"/>
  </r>
  <r>
    <x v="7068"/>
    <n v="83.910004000000001"/>
  </r>
  <r>
    <x v="7069"/>
    <n v="83.664803000000006"/>
  </r>
  <r>
    <x v="7070"/>
    <n v="84.796554999999998"/>
  </r>
  <r>
    <x v="7071"/>
    <n v="85.126639999999995"/>
  </r>
  <r>
    <x v="7072"/>
    <n v="85.796272000000002"/>
  </r>
  <r>
    <x v="7073"/>
    <n v="85.409569000000005"/>
  </r>
  <r>
    <x v="7074"/>
    <n v="84.570189999999997"/>
  </r>
  <r>
    <x v="7075"/>
    <n v="86.569626"/>
  </r>
  <r>
    <x v="7076"/>
    <n v="90.455314999999999"/>
  </r>
  <r>
    <x v="7077"/>
    <n v="89.163230999999996"/>
  </r>
  <r>
    <x v="7078"/>
    <n v="87.682502999999997"/>
  </r>
  <r>
    <x v="7079"/>
    <n v="86.767685"/>
  </r>
  <r>
    <x v="7080"/>
    <n v="84.551322999999996"/>
  </r>
  <r>
    <x v="7081"/>
    <n v="82.099204999999998"/>
  </r>
  <r>
    <x v="7082"/>
    <n v="84.079780999999997"/>
  </r>
  <r>
    <x v="7083"/>
    <n v="83.212097"/>
  </r>
  <r>
    <x v="7084"/>
    <n v="82.787689"/>
  </r>
  <r>
    <x v="7085"/>
    <n v="80.458152999999996"/>
  </r>
  <r>
    <x v="7086"/>
    <n v="81.561629999999994"/>
  </r>
  <r>
    <x v="7087"/>
    <n v="83.872283999999993"/>
  </r>
  <r>
    <x v="7088"/>
    <n v="85.739677"/>
  </r>
  <r>
    <x v="7089"/>
    <n v="85.456740999999994"/>
  </r>
  <r>
    <x v="7090"/>
    <n v="82.448143000000002"/>
  </r>
  <r>
    <x v="7091"/>
    <n v="83.561035000000004"/>
  </r>
  <r>
    <x v="7092"/>
    <n v="84.881432000000004"/>
  </r>
  <r>
    <x v="7093"/>
    <n v="86.503592999999995"/>
  </r>
  <r>
    <x v="7094"/>
    <n v="84.909721000000005"/>
  </r>
  <r>
    <x v="7095"/>
    <n v="84.504165999999998"/>
  </r>
  <r>
    <x v="7096"/>
    <n v="83.023467999999994"/>
  </r>
  <r>
    <x v="7097"/>
    <n v="85.409569000000005"/>
  </r>
  <r>
    <x v="7098"/>
    <n v="84.381576999999993"/>
  </r>
  <r>
    <x v="7099"/>
    <n v="82.080337999999998"/>
  </r>
  <r>
    <x v="7100"/>
    <n v="78.581344999999999"/>
  </r>
  <r>
    <x v="7101"/>
    <n v="75.657646"/>
  </r>
  <r>
    <x v="7102"/>
    <n v="75.129493999999994"/>
  </r>
  <r>
    <x v="7103"/>
    <n v="71.621063000000007"/>
  </r>
  <r>
    <x v="7104"/>
    <n v="73.846847999999994"/>
  </r>
  <r>
    <x v="7105"/>
    <n v="75.978309999999993"/>
  </r>
  <r>
    <x v="7106"/>
    <n v="74.092040999999995"/>
  </r>
  <r>
    <x v="7107"/>
    <n v="77.761497000000006"/>
  </r>
  <r>
    <x v="7108"/>
    <n v="75.261345000000006"/>
  </r>
  <r>
    <x v="7109"/>
    <n v="73.645256000000003"/>
  </r>
  <r>
    <x v="7110"/>
    <n v="69.053719000000001"/>
  </r>
  <r>
    <x v="7111"/>
    <n v="74.995154999999997"/>
  </r>
  <r>
    <x v="7112"/>
    <n v="70.935965999999993"/>
  </r>
  <r>
    <x v="7113"/>
    <n v="63.711185"/>
  </r>
  <r>
    <x v="7114"/>
    <n v="72.067206999999996"/>
  </r>
  <r>
    <x v="7115"/>
    <n v="61.296585"/>
  </r>
  <r>
    <x v="7116"/>
    <n v="65.460350000000005"/>
  </r>
  <r>
    <x v="7117"/>
    <n v="58.16901"/>
  </r>
  <r>
    <x v="7118"/>
    <n v="61.790916000000003"/>
  </r>
  <r>
    <x v="7119"/>
    <n v="57.902839999999998"/>
  </r>
  <r>
    <x v="7120"/>
    <n v="59.442852000000002"/>
  </r>
  <r>
    <x v="7121"/>
    <n v="62.228198999999996"/>
  </r>
  <r>
    <x v="7122"/>
    <n v="59.965705999999997"/>
  </r>
  <r>
    <x v="7123"/>
    <n v="65.574425000000005"/>
  </r>
  <r>
    <x v="7124"/>
    <n v="63.302418000000003"/>
  </r>
  <r>
    <x v="7125"/>
    <n v="65.621955999999997"/>
  </r>
  <r>
    <x v="7126"/>
    <n v="64.310066000000006"/>
  </r>
  <r>
    <x v="7127"/>
    <n v="62.646469000000003"/>
  </r>
  <r>
    <x v="7128"/>
    <n v="64.661811999999998"/>
  </r>
  <r>
    <x v="7129"/>
    <n v="62.00956"/>
  </r>
  <r>
    <x v="7130"/>
    <n v="67.447151000000005"/>
  </r>
  <r>
    <x v="7131"/>
    <n v="69.139281999999994"/>
  </r>
  <r>
    <x v="7132"/>
    <n v="69.709655999999995"/>
  </r>
  <r>
    <x v="7133"/>
    <n v="68.046059"/>
  </r>
  <r>
    <x v="7134"/>
    <n v="69.681122000000002"/>
  </r>
  <r>
    <x v="7135"/>
    <n v="73.721305999999998"/>
  </r>
  <r>
    <x v="7136"/>
    <n v="72.238335000000006"/>
  </r>
  <r>
    <x v="7137"/>
    <n v="73.055869999999999"/>
  </r>
  <r>
    <x v="7138"/>
    <n v="72.409439000000006"/>
  </r>
  <r>
    <x v="7139"/>
    <n v="70.641281000000006"/>
  </r>
  <r>
    <x v="7140"/>
    <n v="68.293212999999994"/>
  </r>
  <r>
    <x v="7141"/>
    <n v="70.993003999999999"/>
  </r>
  <r>
    <x v="7142"/>
    <n v="70.165947000000003"/>
  </r>
  <r>
    <x v="7143"/>
    <n v="72.285858000000005"/>
  </r>
  <r>
    <x v="7144"/>
    <n v="72.228820999999996"/>
  </r>
  <r>
    <x v="7145"/>
    <n v="71.572884000000002"/>
  </r>
  <r>
    <x v="7146"/>
    <n v="75.071205000000006"/>
  </r>
  <r>
    <x v="7147"/>
    <n v="74.786017999999999"/>
  </r>
  <r>
    <x v="7148"/>
    <n v="71.905593999999994"/>
  </r>
  <r>
    <x v="7149"/>
    <n v="71.943634000000003"/>
  </r>
  <r>
    <x v="7150"/>
    <n v="73.797340000000005"/>
  </r>
  <r>
    <x v="7151"/>
    <n v="74.976134999999999"/>
  </r>
  <r>
    <x v="7152"/>
    <n v="74.938118000000003"/>
  </r>
  <r>
    <x v="7153"/>
    <n v="76.582695000000001"/>
  </r>
  <r>
    <x v="7154"/>
    <n v="76.506659999999997"/>
  </r>
  <r>
    <x v="7155"/>
    <n v="74.548362999999995"/>
  </r>
  <r>
    <x v="7156"/>
    <n v="74.149094000000005"/>
  </r>
  <r>
    <x v="7157"/>
    <n v="75.926772999999997"/>
  </r>
  <r>
    <x v="7158"/>
    <n v="72.029182000000006"/>
  </r>
  <r>
    <x v="7159"/>
    <n v="75.993317000000005"/>
  </r>
  <r>
    <x v="7160"/>
    <n v="74.234641999999994"/>
  </r>
  <r>
    <x v="7161"/>
    <n v="76.649253999999999"/>
  </r>
  <r>
    <x v="7162"/>
    <n v="74.149094000000005"/>
  </r>
  <r>
    <x v="7163"/>
    <n v="74.814528999999993"/>
  </r>
  <r>
    <x v="7164"/>
    <n v="74.168105999999995"/>
  </r>
  <r>
    <x v="7165"/>
    <n v="75.375404000000003"/>
  </r>
  <r>
    <x v="7166"/>
    <n v="74.253653999999997"/>
  </r>
  <r>
    <x v="7167"/>
    <n v="76.886893999999998"/>
  </r>
  <r>
    <x v="7168"/>
    <n v="75.793678"/>
  </r>
  <r>
    <x v="7169"/>
    <n v="80.451767000000004"/>
  </r>
  <r>
    <x v="7170"/>
    <n v="80.576301999999998"/>
  </r>
  <r>
    <x v="7171"/>
    <n v="82.425217000000004"/>
  </r>
  <r>
    <x v="7172"/>
    <n v="84.829757999999998"/>
  </r>
  <r>
    <x v="7173"/>
    <n v="87.531281000000007"/>
  </r>
  <r>
    <x v="7174"/>
    <n v="85.979347000000004"/>
  </r>
  <r>
    <x v="7175"/>
    <n v="87.186424000000002"/>
  </r>
  <r>
    <x v="7176"/>
    <n v="80.490074000000007"/>
  </r>
  <r>
    <x v="7177"/>
    <n v="81.658828999999997"/>
  </r>
  <r>
    <x v="7178"/>
    <n v="82.760529000000005"/>
  </r>
  <r>
    <x v="7179"/>
    <n v="85.759010000000004"/>
  </r>
  <r>
    <x v="7180"/>
    <n v="86.161354000000003"/>
  </r>
  <r>
    <x v="7181"/>
    <n v="86.142196999999996"/>
  </r>
  <r>
    <x v="7182"/>
    <n v="85.078834999999998"/>
  </r>
  <r>
    <x v="7183"/>
    <n v="85.385399000000007"/>
  </r>
  <r>
    <x v="7184"/>
    <n v="85.596153000000001"/>
  </r>
  <r>
    <x v="7185"/>
    <n v="85.394988999999995"/>
  </r>
  <r>
    <x v="7186"/>
    <n v="85.222533999999996"/>
  </r>
  <r>
    <x v="7187"/>
    <n v="84.322021000000007"/>
  </r>
  <r>
    <x v="7188"/>
    <n v="85.270438999999996"/>
  </r>
  <r>
    <x v="7189"/>
    <n v="87.378005999999999"/>
  </r>
  <r>
    <x v="7190"/>
    <n v="86.008087000000003"/>
  </r>
  <r>
    <x v="7191"/>
    <n v="88.010283999999999"/>
  </r>
  <r>
    <x v="7192"/>
    <n v="89.016174000000007"/>
  </r>
  <r>
    <x v="7193"/>
    <n v="88.268935999999997"/>
  </r>
  <r>
    <x v="7194"/>
    <n v="89.600532999999999"/>
  </r>
  <r>
    <x v="7195"/>
    <n v="89.332306000000003"/>
  </r>
  <r>
    <x v="7196"/>
    <n v="88.623390000000001"/>
  </r>
  <r>
    <x v="7197"/>
    <n v="87.492973000000006"/>
  </r>
  <r>
    <x v="7198"/>
    <n v="88.498856000000004"/>
  </r>
  <r>
    <x v="7199"/>
    <n v="88.661713000000006"/>
  </r>
  <r>
    <x v="7200"/>
    <n v="87.368423000000007"/>
  </r>
  <r>
    <x v="7201"/>
    <n v="88.355164000000002"/>
  </r>
  <r>
    <x v="7202"/>
    <n v="89.255675999999994"/>
  </r>
  <r>
    <x v="7203"/>
    <n v="88.431786000000002"/>
  </r>
  <r>
    <x v="7204"/>
    <n v="88.709625000000003"/>
  </r>
  <r>
    <x v="7205"/>
    <n v="85.902702000000005"/>
  </r>
  <r>
    <x v="7206"/>
    <n v="85.155486999999994"/>
  </r>
  <r>
    <x v="7207"/>
    <n v="88.805419999999998"/>
  </r>
  <r>
    <x v="7208"/>
    <n v="87.607933000000003"/>
  </r>
  <r>
    <x v="7209"/>
    <n v="89.121536000000006"/>
  </r>
  <r>
    <x v="7210"/>
    <n v="102.686646"/>
  </r>
  <r>
    <x v="7211"/>
    <n v="101.173012"/>
  </r>
  <r>
    <x v="7212"/>
    <n v="104.985809"/>
  </r>
  <r>
    <x v="7213"/>
    <n v="106.288673"/>
  </r>
  <r>
    <x v="7214"/>
    <n v="106.71019699999999"/>
  </r>
  <r>
    <x v="7215"/>
    <n v="106.394058"/>
  </r>
  <r>
    <x v="7216"/>
    <n v="103.70211"/>
  </r>
  <r>
    <x v="7217"/>
    <n v="101.89151"/>
  </r>
  <r>
    <x v="7218"/>
    <n v="104.257744"/>
  </r>
  <r>
    <x v="7219"/>
    <n v="110.92533899999999"/>
  </r>
  <r>
    <x v="7220"/>
    <n v="108.645325"/>
  </r>
  <r>
    <x v="7221"/>
    <n v="108.961456"/>
  </r>
  <r>
    <x v="7222"/>
    <n v="107.46700300000001"/>
  </r>
  <r>
    <x v="7223"/>
    <n v="107.323296"/>
  </r>
  <r>
    <x v="7224"/>
    <n v="106.374893"/>
  </r>
  <r>
    <x v="7225"/>
    <n v="106.010864"/>
  </r>
  <r>
    <x v="7226"/>
    <n v="108.252548"/>
  </r>
  <r>
    <x v="7227"/>
    <n v="111.04029800000001"/>
  </r>
  <r>
    <x v="7228"/>
    <n v="111.078613"/>
  </r>
  <r>
    <x v="7229"/>
    <n v="111.164833"/>
  </r>
  <r>
    <x v="7230"/>
    <n v="111.145668"/>
  </r>
  <r>
    <x v="7231"/>
    <n v="113.234077"/>
  </r>
  <r>
    <x v="7232"/>
    <n v="114.09626799999999"/>
  </r>
  <r>
    <x v="7233"/>
    <n v="116.884018"/>
  </r>
  <r>
    <x v="7234"/>
    <n v="118.63687899999999"/>
  </r>
  <r>
    <x v="7235"/>
    <n v="112.13584899999999"/>
  </r>
  <r>
    <x v="7236"/>
    <n v="111.692802"/>
  </r>
  <r>
    <x v="7237"/>
    <n v="105.72146600000001"/>
  </r>
  <r>
    <x v="7238"/>
    <n v="109.814728"/>
  </r>
  <r>
    <x v="7239"/>
    <n v="108.29299899999999"/>
  </r>
  <r>
    <x v="7240"/>
    <n v="109.236847"/>
  </r>
  <r>
    <x v="7241"/>
    <n v="109.275375"/>
  </r>
  <r>
    <x v="7242"/>
    <n v="112.280304"/>
  </r>
  <r>
    <x v="7243"/>
    <n v="110.334808"/>
  </r>
  <r>
    <x v="7244"/>
    <n v="110.64299800000001"/>
  </r>
  <r>
    <x v="7245"/>
    <n v="106.607544"/>
  </r>
  <r>
    <x v="7246"/>
    <n v="107.792175"/>
  </r>
  <r>
    <x v="7247"/>
    <n v="109.622101"/>
  </r>
  <r>
    <x v="7248"/>
    <n v="106.49196600000001"/>
  </r>
  <r>
    <x v="7249"/>
    <n v="108.052223"/>
  </r>
  <r>
    <x v="7250"/>
    <n v="110.277023"/>
  </r>
  <r>
    <x v="7251"/>
    <n v="114.10060900000001"/>
  </r>
  <r>
    <x v="7252"/>
    <n v="113.050797"/>
  </r>
  <r>
    <x v="7253"/>
    <n v="113.339737"/>
  </r>
  <r>
    <x v="7254"/>
    <n v="115.11187"/>
  </r>
  <r>
    <x v="7255"/>
    <n v="111.21125000000001"/>
  </r>
  <r>
    <x v="7256"/>
    <n v="116.074997"/>
  </r>
  <r>
    <x v="7257"/>
    <n v="115.131134"/>
  </r>
  <r>
    <x v="7258"/>
    <n v="118.49241600000001"/>
  </r>
  <r>
    <x v="7259"/>
    <n v="117.827866"/>
  </r>
  <r>
    <x v="7260"/>
    <n v="120.264557"/>
  </r>
  <r>
    <x v="7261"/>
    <n v="122.017426"/>
  </r>
  <r>
    <x v="7262"/>
    <n v="122.759033"/>
  </r>
  <r>
    <x v="7263"/>
    <n v="125.089798"/>
  </r>
  <r>
    <x v="7264"/>
    <n v="123.83772999999999"/>
  </r>
  <r>
    <x v="7265"/>
    <n v="124.271111"/>
  </r>
  <r>
    <x v="7266"/>
    <n v="123.683617"/>
  </r>
  <r>
    <x v="7267"/>
    <n v="123.56806899999999"/>
  </r>
  <r>
    <x v="7268"/>
    <n v="123.80883799999999"/>
  </r>
  <r>
    <x v="7269"/>
    <n v="123.64510300000001"/>
  </r>
  <r>
    <x v="7270"/>
    <n v="124.12666299999999"/>
  </r>
  <r>
    <x v="7271"/>
    <n v="121.54549400000001"/>
  </r>
  <r>
    <x v="7272"/>
    <n v="121.266205"/>
  </r>
  <r>
    <x v="7273"/>
    <n v="117.095901"/>
  </r>
  <r>
    <x v="7274"/>
    <n v="121.776657"/>
  </r>
  <r>
    <x v="7275"/>
    <n v="118.810249"/>
  </r>
  <r>
    <x v="7276"/>
    <n v="119.397751"/>
  </r>
  <r>
    <x v="7277"/>
    <n v="120.82315800000001"/>
  </r>
  <r>
    <x v="7278"/>
    <n v="124.213341"/>
  </r>
  <r>
    <x v="7279"/>
    <n v="140.046997"/>
  </r>
  <r>
    <x v="7280"/>
    <n v="139.66175799999999"/>
  </r>
  <r>
    <x v="7281"/>
    <n v="137.350266"/>
  </r>
  <r>
    <x v="7282"/>
    <n v="134.94248999999999"/>
  </r>
  <r>
    <x v="7283"/>
    <n v="142.24292"/>
  </r>
  <r>
    <x v="7284"/>
    <n v="138.60232500000001"/>
  </r>
  <r>
    <x v="7285"/>
    <n v="138.93940699999999"/>
  </r>
  <r>
    <x v="7286"/>
    <n v="143.57202100000001"/>
  </r>
  <r>
    <x v="7287"/>
    <n v="143.25419600000001"/>
  </r>
  <r>
    <x v="7288"/>
    <n v="141.62652600000001"/>
  </r>
  <r>
    <x v="7289"/>
    <n v="142.08880600000001"/>
  </r>
  <r>
    <x v="7290"/>
    <n v="140.64413500000001"/>
  </r>
  <r>
    <x v="7291"/>
    <n v="138.51563999999999"/>
  </r>
  <r>
    <x v="7292"/>
    <n v="140.547821"/>
  </r>
  <r>
    <x v="7293"/>
    <n v="138.76606799999999"/>
  </r>
  <r>
    <x v="7294"/>
    <n v="138.525284"/>
  </r>
  <r>
    <x v="7295"/>
    <n v="141.742096"/>
  </r>
  <r>
    <x v="7296"/>
    <n v="145.681229"/>
  </r>
  <r>
    <x v="7297"/>
    <n v="145.071854"/>
  </r>
  <r>
    <x v="7298"/>
    <n v="145.00415000000001"/>
  </r>
  <r>
    <x v="7299"/>
    <n v="152.461838"/>
  </r>
  <r>
    <x v="7300"/>
    <n v="152.848724"/>
  </r>
  <r>
    <x v="7301"/>
    <n v="153.603241"/>
  </r>
  <r>
    <x v="7302"/>
    <n v="150.91419999999999"/>
  </r>
  <r>
    <x v="7303"/>
    <n v="150.65304599999999"/>
  </r>
  <r>
    <x v="7304"/>
    <n v="139.55841100000001"/>
  </r>
  <r>
    <x v="7305"/>
    <n v="141.50264000000001"/>
  </r>
  <r>
    <x v="7306"/>
    <n v="143.50488300000001"/>
  </r>
  <r>
    <x v="7307"/>
    <n v="144.83972199999999"/>
  </r>
  <r>
    <x v="7308"/>
    <n v="144.63659699999999"/>
  </r>
  <r>
    <x v="7309"/>
    <n v="142.59565699999999"/>
  </r>
  <r>
    <x v="7310"/>
    <n v="141.99594099999999"/>
  </r>
  <r>
    <x v="7311"/>
    <n v="141.55096399999999"/>
  </r>
  <r>
    <x v="7312"/>
    <n v="142.150711"/>
  </r>
  <r>
    <x v="7313"/>
    <n v="143.920807"/>
  </r>
  <r>
    <x v="7314"/>
    <n v="142.90516700000001"/>
  </r>
  <r>
    <x v="7315"/>
    <n v="143.63063"/>
  </r>
  <r>
    <x v="7316"/>
    <n v="145.04284699999999"/>
  </r>
  <r>
    <x v="7317"/>
    <n v="147.35462999999999"/>
  </r>
  <r>
    <x v="7318"/>
    <n v="143.640289"/>
  </r>
  <r>
    <x v="7319"/>
    <n v="147.44168099999999"/>
  </r>
  <r>
    <x v="7320"/>
    <n v="146.24229399999999"/>
  </r>
  <r>
    <x v="7321"/>
    <n v="150.60467499999999"/>
  </r>
  <r>
    <x v="7322"/>
    <n v="151.513901"/>
  </r>
  <r>
    <x v="7323"/>
    <n v="151.00126599999999"/>
  </r>
  <r>
    <x v="7324"/>
    <n v="149.39558400000001"/>
  </r>
  <r>
    <x v="7325"/>
    <n v="152.26838699999999"/>
  </r>
  <r>
    <x v="7326"/>
    <n v="155.58613600000001"/>
  </r>
  <r>
    <x v="7327"/>
    <n v="151.94918799999999"/>
  </r>
  <r>
    <x v="7328"/>
    <n v="158.410583"/>
  </r>
  <r>
    <x v="7329"/>
    <n v="159.21343999999999"/>
  </r>
  <r>
    <x v="7330"/>
    <n v="159.358521"/>
  </r>
  <r>
    <x v="7331"/>
    <n v="157.10476700000001"/>
  </r>
  <r>
    <x v="7332"/>
    <n v="159.01994300000001"/>
  </r>
  <r>
    <x v="7333"/>
    <n v="157.23049900000001"/>
  </r>
  <r>
    <x v="7334"/>
    <n v="148.64111299999999"/>
  </r>
  <r>
    <x v="7335"/>
    <n v="150.45959500000001"/>
  </r>
  <r>
    <x v="7336"/>
    <n v="151.165695"/>
  </r>
  <r>
    <x v="7337"/>
    <n v="156.292236"/>
  </r>
  <r>
    <x v="7338"/>
    <n v="159.38752700000001"/>
  </r>
  <r>
    <x v="7339"/>
    <n v="156.988708"/>
  </r>
  <r>
    <x v="7340"/>
    <n v="143.12762499999999"/>
  </r>
  <r>
    <x v="7341"/>
    <n v="141.067352"/>
  </r>
  <r>
    <x v="7342"/>
    <n v="142.556961"/>
  </r>
  <r>
    <x v="7343"/>
    <n v="141.32849100000001"/>
  </r>
  <r>
    <x v="7344"/>
    <n v="140.73848000000001"/>
  </r>
  <r>
    <x v="7345"/>
    <n v="140.79652400000001"/>
  </r>
  <r>
    <x v="7346"/>
    <n v="143.137314"/>
  </r>
  <r>
    <x v="7347"/>
    <n v="142.34414699999999"/>
  </r>
  <r>
    <x v="7348"/>
    <n v="140.01301599999999"/>
  </r>
  <r>
    <x v="7349"/>
    <n v="139.20050000000001"/>
  </r>
  <r>
    <x v="7350"/>
    <n v="140.19679300000001"/>
  </r>
  <r>
    <x v="7351"/>
    <n v="134.89613299999999"/>
  </r>
  <r>
    <x v="7352"/>
    <n v="132.63270600000001"/>
  </r>
  <r>
    <x v="7353"/>
    <n v="136.48246800000001"/>
  </r>
  <r>
    <x v="7354"/>
    <n v="131.094742"/>
  </r>
  <r>
    <x v="7355"/>
    <n v="131.73313899999999"/>
  </r>
  <r>
    <x v="7356"/>
    <n v="134.92514"/>
  </r>
  <r>
    <x v="7357"/>
    <n v="132.55531300000001"/>
  </r>
  <r>
    <x v="7358"/>
    <n v="127.958336"/>
  </r>
  <r>
    <x v="7359"/>
    <n v="124.206856"/>
  </r>
  <r>
    <x v="7360"/>
    <n v="126.10202"/>
  </r>
  <r>
    <x v="7361"/>
    <n v="119.736176"/>
  </r>
  <r>
    <x v="7362"/>
    <n v="125.480003"/>
  </r>
  <r>
    <x v="7363"/>
    <n v="124.274879"/>
  </r>
  <r>
    <x v="7364"/>
    <n v="128.03608700000001"/>
  </r>
  <r>
    <x v="7365"/>
    <n v="126.32553900000001"/>
  </r>
  <r>
    <x v="7366"/>
    <n v="127.93888099999999"/>
  </r>
  <r>
    <x v="7367"/>
    <n v="129.89236500000001"/>
  </r>
  <r>
    <x v="7368"/>
    <n v="130.15477000000001"/>
  </r>
  <r>
    <x v="7369"/>
    <n v="126.10202"/>
  </r>
  <r>
    <x v="7370"/>
    <n v="127.336319"/>
  </r>
  <r>
    <x v="7371"/>
    <n v="130.320007"/>
  </r>
  <r>
    <x v="7372"/>
    <n v="128.79414399999999"/>
  </r>
  <r>
    <x v="7373"/>
    <n v="123.604271"/>
  </r>
  <r>
    <x v="7374"/>
    <n v="123.701469"/>
  </r>
  <r>
    <x v="7375"/>
    <n v="129.250946"/>
  </r>
  <r>
    <x v="7376"/>
    <n v="127.579292"/>
  </r>
  <r>
    <x v="7377"/>
    <n v="126.45188899999999"/>
  </r>
  <r>
    <x v="7378"/>
    <n v="128.862167"/>
  </r>
  <r>
    <x v="7379"/>
    <n v="133.91596999999999"/>
  </r>
  <r>
    <x v="7380"/>
    <n v="136.384567"/>
  </r>
  <r>
    <x v="7381"/>
    <n v="134.17836"/>
  </r>
  <r>
    <x v="7382"/>
    <n v="135.50985700000001"/>
  </r>
  <r>
    <x v="7383"/>
    <n v="136.39425700000001"/>
  </r>
  <r>
    <x v="7384"/>
    <n v="136.61781300000001"/>
  </r>
  <r>
    <x v="7385"/>
    <n v="133.57583600000001"/>
  </r>
  <r>
    <x v="7386"/>
    <n v="133.43974299999999"/>
  </r>
  <r>
    <x v="7387"/>
    <n v="130.961456"/>
  </r>
  <r>
    <x v="7388"/>
    <n v="133.96455399999999"/>
  </r>
  <r>
    <x v="7389"/>
    <n v="134.32415800000001"/>
  </r>
  <r>
    <x v="7390"/>
    <n v="131.44738799999999"/>
  </r>
  <r>
    <x v="7391"/>
    <n v="129.649384"/>
  </r>
  <r>
    <x v="7392"/>
    <n v="132.360962"/>
  </r>
  <r>
    <x v="7393"/>
    <n v="129.23149100000001"/>
  </r>
  <r>
    <x v="7394"/>
    <n v="131.62233000000001"/>
  </r>
  <r>
    <x v="7395"/>
    <n v="135.05306999999999"/>
  </r>
  <r>
    <x v="7396"/>
    <n v="134.129761"/>
  </r>
  <r>
    <x v="7397"/>
    <n v="132.730255"/>
  </r>
  <r>
    <x v="7398"/>
    <n v="138.668488"/>
  </r>
  <r>
    <x v="7399"/>
    <n v="134.897583"/>
  </r>
  <r>
    <x v="7400"/>
    <n v="133.566101"/>
  </r>
  <r>
    <x v="7401"/>
    <n v="130.34916699999999"/>
  </r>
  <r>
    <x v="7402"/>
    <n v="130.864227"/>
  </r>
  <r>
    <x v="7403"/>
    <n v="132.1763"/>
  </r>
  <r>
    <x v="7404"/>
    <n v="133.97430399999999"/>
  </r>
  <r>
    <x v="7405"/>
    <n v="125.314796"/>
  </r>
  <r>
    <x v="7406"/>
    <n v="124.760811"/>
  </r>
  <r>
    <x v="7407"/>
    <n v="121.116241"/>
  </r>
  <r>
    <x v="7408"/>
    <n v="123.53624000000001"/>
  </r>
  <r>
    <x v="7409"/>
    <n v="126.490776"/>
  </r>
  <r>
    <x v="7410"/>
    <n v="126.15062"/>
  </r>
  <r>
    <x v="7411"/>
    <n v="125.285629"/>
  </r>
  <r>
    <x v="7412"/>
    <n v="126.986435"/>
  </r>
  <r>
    <x v="7413"/>
    <n v="128.910751"/>
  </r>
  <r>
    <x v="7414"/>
    <n v="127.763954"/>
  </r>
  <r>
    <x v="7415"/>
    <n v="129.17317199999999"/>
  </r>
  <r>
    <x v="7416"/>
    <n v="129.98954800000001"/>
  </r>
  <r>
    <x v="7417"/>
    <n v="129.34811400000001"/>
  </r>
  <r>
    <x v="7418"/>
    <n v="129.88265999999999"/>
  </r>
  <r>
    <x v="7419"/>
    <n v="130.757339"/>
  </r>
  <r>
    <x v="7420"/>
    <n v="130.17422500000001"/>
  </r>
  <r>
    <x v="7421"/>
    <n v="130.72125199999999"/>
  </r>
  <r>
    <x v="7422"/>
    <n v="128.72848500000001"/>
  </r>
  <r>
    <x v="7423"/>
    <n v="131.22920199999999"/>
  </r>
  <r>
    <x v="7424"/>
    <n v="130.232834"/>
  </r>
  <r>
    <x v="7425"/>
    <n v="131.09243799999999"/>
  </r>
  <r>
    <x v="7426"/>
    <n v="129.81277499999999"/>
  </r>
  <r>
    <x v="7427"/>
    <n v="131.11196899999999"/>
  </r>
  <r>
    <x v="7428"/>
    <n v="131.50273100000001"/>
  </r>
  <r>
    <x v="7429"/>
    <n v="134.13043200000001"/>
  </r>
  <r>
    <x v="7430"/>
    <n v="132.44049100000001"/>
  </r>
  <r>
    <x v="7431"/>
    <n v="131.825073"/>
  </r>
  <r>
    <x v="7432"/>
    <n v="132.21582000000001"/>
  </r>
  <r>
    <x v="7433"/>
    <n v="129.920242"/>
  </r>
  <r>
    <x v="7434"/>
    <n v="130.85801699999999"/>
  </r>
  <r>
    <x v="7435"/>
    <n v="131.95207199999999"/>
  </r>
  <r>
    <x v="7436"/>
    <n v="132.38189700000001"/>
  </r>
  <r>
    <x v="7437"/>
    <n v="134.726303"/>
  </r>
  <r>
    <x v="7438"/>
    <n v="134.46253999999999"/>
  </r>
  <r>
    <x v="7439"/>
    <n v="136.484634"/>
  </r>
  <r>
    <x v="7440"/>
    <n v="139.317474"/>
  </r>
  <r>
    <x v="7441"/>
    <n v="139.620285"/>
  </r>
  <r>
    <x v="7442"/>
    <n v="137.539627"/>
  </r>
  <r>
    <x v="7443"/>
    <n v="139.27839700000001"/>
  </r>
  <r>
    <x v="7444"/>
    <n v="137.92060900000001"/>
  </r>
  <r>
    <x v="7445"/>
    <n v="136.72885099999999"/>
  </r>
  <r>
    <x v="7446"/>
    <n v="135.087738"/>
  </r>
  <r>
    <x v="7447"/>
    <n v="138.15502900000001"/>
  </r>
  <r>
    <x v="7448"/>
    <n v="139.17094399999999"/>
  </r>
  <r>
    <x v="7449"/>
    <n v="137.91081199999999"/>
  </r>
  <r>
    <x v="7450"/>
    <n v="140.42129499999999"/>
  </r>
  <r>
    <x v="7451"/>
    <n v="138.18435700000001"/>
  </r>
  <r>
    <x v="7452"/>
    <n v="136.47485399999999"/>
  </r>
  <r>
    <x v="7453"/>
    <n v="135.57614100000001"/>
  </r>
  <r>
    <x v="7454"/>
    <n v="136.31854200000001"/>
  </r>
  <r>
    <x v="7455"/>
    <n v="138.87788399999999"/>
  </r>
  <r>
    <x v="7456"/>
    <n v="139.141617"/>
  </r>
  <r>
    <x v="7457"/>
    <n v="141.52513099999999"/>
  </r>
  <r>
    <x v="7458"/>
    <n v="140.17709400000001"/>
  </r>
  <r>
    <x v="7459"/>
    <n v="137.666595"/>
  </r>
  <r>
    <x v="7460"/>
    <n v="139.141617"/>
  </r>
  <r>
    <x v="7461"/>
    <n v="147.49366800000001"/>
  </r>
  <r>
    <x v="7462"/>
    <n v="146.33122299999999"/>
  </r>
  <r>
    <x v="7463"/>
    <n v="145.412994"/>
  </r>
  <r>
    <x v="7464"/>
    <n v="144.524033"/>
  </r>
  <r>
    <x v="7465"/>
    <n v="144.78779599999999"/>
  </r>
  <r>
    <x v="7466"/>
    <n v="143.429993"/>
  </r>
  <r>
    <x v="7467"/>
    <n v="142.89271500000001"/>
  </r>
  <r>
    <x v="7468"/>
    <n v="143.51791399999999"/>
  </r>
  <r>
    <x v="7469"/>
    <n v="142.49220299999999"/>
  </r>
  <r>
    <x v="7470"/>
    <n v="143.283432"/>
  </r>
  <r>
    <x v="7471"/>
    <n v="143.742569"/>
  </r>
  <r>
    <x v="7472"/>
    <n v="145.19807399999999"/>
  </r>
  <r>
    <x v="7473"/>
    <n v="144.69989000000001"/>
  </r>
  <r>
    <x v="7474"/>
    <n v="141.066025"/>
  </r>
  <r>
    <x v="7475"/>
    <n v="138.887665"/>
  </r>
  <r>
    <x v="7476"/>
    <n v="137.35401899999999"/>
  </r>
  <r>
    <x v="7477"/>
    <n v="138.79972799999999"/>
  </r>
  <r>
    <x v="7478"/>
    <n v="140.80226099999999"/>
  </r>
  <r>
    <x v="7479"/>
    <n v="141.11488299999999"/>
  </r>
  <r>
    <x v="7480"/>
    <n v="140.53852800000001"/>
  </r>
  <r>
    <x v="7481"/>
    <n v="139.08303799999999"/>
  </r>
  <r>
    <x v="7482"/>
    <n v="141.49581900000001"/>
  </r>
  <r>
    <x v="7483"/>
    <n v="142.560608"/>
  </r>
  <r>
    <x v="7484"/>
    <n v="143.29321300000001"/>
  </r>
  <r>
    <x v="7485"/>
    <n v="143.72503699999999"/>
  </r>
  <r>
    <x v="7486"/>
    <n v="142.419769"/>
  </r>
  <r>
    <x v="7487"/>
    <n v="141.938919"/>
  </r>
  <r>
    <x v="7488"/>
    <n v="141.07527200000001"/>
  </r>
  <r>
    <x v="7489"/>
    <n v="139.868179"/>
  </r>
  <r>
    <x v="7490"/>
    <n v="138.94564800000001"/>
  </r>
  <r>
    <x v="7491"/>
    <n v="140.025192"/>
  </r>
  <r>
    <x v="7492"/>
    <n v="140.74160800000001"/>
  </r>
  <r>
    <x v="7493"/>
    <n v="138.51383999999999"/>
  </r>
  <r>
    <x v="7494"/>
    <n v="135.667801"/>
  </r>
  <r>
    <x v="7495"/>
    <n v="135.82482899999999"/>
  </r>
  <r>
    <x v="7496"/>
    <n v="131.11415099999999"/>
  </r>
  <r>
    <x v="7497"/>
    <n v="130.289749"/>
  </r>
  <r>
    <x v="7498"/>
    <n v="129.29856899999999"/>
  </r>
  <r>
    <x v="7499"/>
    <n v="130.53512599999999"/>
  </r>
  <r>
    <x v="7500"/>
    <n v="131.41838100000001"/>
  </r>
  <r>
    <x v="7501"/>
    <n v="131.38893100000001"/>
  </r>
  <r>
    <x v="7502"/>
    <n v="130.99636799999999"/>
  </r>
  <r>
    <x v="7503"/>
    <n v="127.482979"/>
  </r>
  <r>
    <x v="7504"/>
    <n v="126.874512"/>
  </r>
  <r>
    <x v="7505"/>
    <n v="126.580101"/>
  </r>
  <r>
    <x v="7506"/>
    <n v="126.31513200000001"/>
  </r>
  <r>
    <x v="7507"/>
    <n v="124.32289900000001"/>
  </r>
  <r>
    <x v="7508"/>
    <n v="125.15707399999999"/>
  </r>
  <r>
    <x v="7509"/>
    <n v="125.677216"/>
  </r>
  <r>
    <x v="7510"/>
    <n v="125.461304"/>
  </r>
  <r>
    <x v="7511"/>
    <n v="124.195313"/>
  </r>
  <r>
    <x v="7512"/>
    <n v="122.61528"/>
  </r>
  <r>
    <x v="7513"/>
    <n v="120.662285"/>
  </r>
  <r>
    <x v="7514"/>
    <n v="122.71341700000001"/>
  </r>
  <r>
    <x v="7515"/>
    <n v="126.26606"/>
  </r>
  <r>
    <x v="7516"/>
    <n v="127.77739"/>
  </r>
  <r>
    <x v="7517"/>
    <n v="127.698883"/>
  </r>
  <r>
    <x v="7518"/>
    <n v="130.034592"/>
  </r>
  <r>
    <x v="7519"/>
    <n v="129.700928"/>
  </r>
  <r>
    <x v="7520"/>
    <n v="130.57437100000001"/>
  </r>
  <r>
    <x v="7521"/>
    <n v="129.170975"/>
  </r>
  <r>
    <x v="7522"/>
    <n v="129.47520399999999"/>
  </r>
  <r>
    <x v="7523"/>
    <n v="129.485016"/>
  </r>
  <r>
    <x v="7524"/>
    <n v="128.75878900000001"/>
  </r>
  <r>
    <x v="7525"/>
    <n v="131.20245399999999"/>
  </r>
  <r>
    <x v="7526"/>
    <n v="130.56454500000001"/>
  </r>
  <r>
    <x v="7527"/>
    <n v="132.30162000000001"/>
  </r>
  <r>
    <x v="7528"/>
    <n v="132.71380600000001"/>
  </r>
  <r>
    <x v="7529"/>
    <n v="135.903336"/>
  </r>
  <r>
    <x v="7530"/>
    <n v="153.20529199999999"/>
  </r>
  <r>
    <x v="7531"/>
    <n v="159.99655200000001"/>
  </r>
  <r>
    <x v="7532"/>
    <n v="162.764084"/>
  </r>
  <r>
    <x v="7533"/>
    <n v="163.637497"/>
  </r>
  <r>
    <x v="7534"/>
    <n v="156.82662999999999"/>
  </r>
  <r>
    <x v="7535"/>
    <n v="161.36068700000001"/>
  </r>
  <r>
    <x v="7536"/>
    <n v="161.87101699999999"/>
  </r>
  <r>
    <x v="7537"/>
    <n v="165.374573"/>
  </r>
  <r>
    <x v="7538"/>
    <n v="178.42709400000001"/>
  </r>
  <r>
    <x v="7539"/>
    <n v="180.124908"/>
  </r>
  <r>
    <x v="7540"/>
    <n v="182.85318000000001"/>
  </r>
  <r>
    <x v="7541"/>
    <n v="181.557739"/>
  </r>
  <r>
    <x v="7542"/>
    <n v="178.024719"/>
  </r>
  <r>
    <x v="7543"/>
    <n v="177.57330300000001"/>
  </r>
  <r>
    <x v="7544"/>
    <n v="177.347565"/>
  </r>
  <r>
    <x v="7545"/>
    <n v="172.47004699999999"/>
  </r>
  <r>
    <x v="7546"/>
    <n v="180.321213"/>
  </r>
  <r>
    <x v="7547"/>
    <n v="177.20034799999999"/>
  </r>
  <r>
    <x v="7548"/>
    <n v="173.013687"/>
  </r>
  <r>
    <x v="7549"/>
    <n v="174.392822"/>
  </r>
  <r>
    <x v="7550"/>
    <n v="173.88056900000001"/>
  </r>
  <r>
    <x v="7551"/>
    <n v="172.83634900000001"/>
  </r>
  <r>
    <x v="7552"/>
    <n v="180.98315400000001"/>
  </r>
  <r>
    <x v="7553"/>
    <n v="179.90939299999999"/>
  </r>
  <r>
    <x v="7554"/>
    <n v="179.54490699999999"/>
  </r>
  <r>
    <x v="7555"/>
    <n v="181.14077800000001"/>
  </r>
  <r>
    <x v="7556"/>
    <n v="180.58912699999999"/>
  </r>
  <r>
    <x v="7557"/>
    <n v="179.26907299999999"/>
  </r>
  <r>
    <x v="7558"/>
    <n v="186.460342"/>
  </r>
  <r>
    <x v="7559"/>
    <n v="175.49612400000001"/>
  </r>
  <r>
    <x v="7560"/>
    <n v="174.166245"/>
  </r>
  <r>
    <x v="7561"/>
    <n v="174.03817699999999"/>
  </r>
  <r>
    <x v="7562"/>
    <n v="176.904831"/>
  </r>
  <r>
    <x v="7563"/>
    <n v="178.67802399999999"/>
  </r>
  <r>
    <x v="7564"/>
    <n v="180.01776100000001"/>
  </r>
  <r>
    <x v="7565"/>
    <n v="183.55427599999999"/>
  </r>
  <r>
    <x v="7566"/>
    <n v="182.066788"/>
  </r>
  <r>
    <x v="7567"/>
    <n v="183.426208"/>
  </r>
  <r>
    <x v="7568"/>
    <n v="180.007904"/>
  </r>
  <r>
    <x v="7569"/>
    <n v="180.145813"/>
  </r>
  <r>
    <x v="7570"/>
    <n v="183.43606600000001"/>
  </r>
  <r>
    <x v="7571"/>
    <n v="184.44085699999999"/>
  </r>
  <r>
    <x v="7572"/>
    <n v="183.72174100000001"/>
  </r>
  <r>
    <x v="7573"/>
    <n v="183.17993200000001"/>
  </r>
  <r>
    <x v="7574"/>
    <n v="177.72245799999999"/>
  </r>
  <r>
    <x v="7575"/>
    <n v="177.00332599999999"/>
  </r>
  <r>
    <x v="7576"/>
    <n v="182.63812300000001"/>
  </r>
  <r>
    <x v="7577"/>
    <n v="183.642944"/>
  </r>
  <r>
    <x v="7578"/>
    <n v="181.15062"/>
  </r>
  <r>
    <x v="7579"/>
    <n v="185.87912"/>
  </r>
  <r>
    <x v="7580"/>
    <n v="176.19555700000001"/>
  </r>
  <r>
    <x v="7581"/>
    <n v="169.900757"/>
  </r>
  <r>
    <x v="7582"/>
    <n v="164.01968400000001"/>
  </r>
  <r>
    <x v="7583"/>
    <n v="162.47305299999999"/>
  </r>
  <r>
    <x v="7584"/>
    <n v="167.53651400000001"/>
  </r>
  <r>
    <x v="7585"/>
    <n v="162.985321"/>
  </r>
  <r>
    <x v="7586"/>
    <n v="164.512238"/>
  </r>
  <r>
    <x v="7587"/>
    <n v="158.79863"/>
  </r>
  <r>
    <x v="7588"/>
    <n v="164.32505800000001"/>
  </r>
  <r>
    <x v="7589"/>
    <n v="173.14172400000001"/>
  </r>
  <r>
    <x v="7590"/>
    <n v="174.491333"/>
  </r>
  <r>
    <x v="7591"/>
    <n v="185.396423"/>
  </r>
  <r>
    <x v="7592"/>
    <n v="176.43197599999999"/>
  </r>
  <r>
    <x v="7593"/>
    <n v="176.79647800000001"/>
  </r>
  <r>
    <x v="7594"/>
    <n v="172.48172"/>
  </r>
  <r>
    <x v="7595"/>
    <n v="175.92958100000001"/>
  </r>
  <r>
    <x v="7596"/>
    <n v="181.209732"/>
  </r>
  <r>
    <x v="7597"/>
    <n v="171.47692900000001"/>
  </r>
  <r>
    <x v="7598"/>
    <n v="162.18739299999999"/>
  </r>
  <r>
    <x v="7599"/>
    <n v="162.67008999999999"/>
  </r>
  <r>
    <x v="7600"/>
    <n v="170.42285200000001"/>
  </r>
  <r>
    <x v="7601"/>
    <n v="170.028809"/>
  </r>
  <r>
    <x v="7602"/>
    <n v="164.31521599999999"/>
  </r>
  <r>
    <x v="7603"/>
    <n v="165.14269999999999"/>
  </r>
  <r>
    <x v="7604"/>
    <n v="163.41876199999999"/>
  </r>
  <r>
    <x v="7605"/>
    <n v="159.21237199999999"/>
  </r>
  <r>
    <x v="7606"/>
    <n v="165.47764599999999"/>
  </r>
  <r>
    <x v="7607"/>
    <n v="168.38368199999999"/>
  </r>
  <r>
    <x v="7608"/>
    <n v="169.42790199999999"/>
  </r>
  <r>
    <x v="7609"/>
    <n v="161.25155599999999"/>
  </r>
  <r>
    <x v="7610"/>
    <n v="167.42422500000001"/>
  </r>
  <r>
    <x v="7611"/>
    <n v="163.566315"/>
  </r>
  <r>
    <x v="7612"/>
    <n v="160.50962799999999"/>
  </r>
  <r>
    <x v="7613"/>
    <n v="148.48080400000001"/>
  </r>
  <r>
    <x v="7614"/>
    <n v="149.13368199999999"/>
  </r>
  <r>
    <x v="7615"/>
    <n v="155.41519199999999"/>
  </r>
  <r>
    <x v="7616"/>
    <n v="153.041077"/>
  </r>
  <r>
    <x v="7617"/>
    <n v="150.69664"/>
  </r>
  <r>
    <x v="7618"/>
    <n v="139.765839"/>
  </r>
  <r>
    <x v="7619"/>
    <n v="142.654358"/>
  </r>
  <r>
    <x v="7620"/>
    <n v="148.82702599999999"/>
  </r>
  <r>
    <x v="7621"/>
    <n v="151.181366"/>
  </r>
  <r>
    <x v="7622"/>
    <n v="152.328857"/>
  </r>
  <r>
    <x v="7623"/>
    <n v="153.91159099999999"/>
  </r>
  <r>
    <x v="7624"/>
    <n v="155.90978999999999"/>
  </r>
  <r>
    <x v="7625"/>
    <n v="151.22091699999999"/>
  </r>
  <r>
    <x v="7626"/>
    <n v="156.75062600000001"/>
  </r>
  <r>
    <x v="7627"/>
    <n v="156.26591500000001"/>
  </r>
  <r>
    <x v="7628"/>
    <n v="156.74073799999999"/>
  </r>
  <r>
    <x v="7629"/>
    <n v="159.33248900000001"/>
  </r>
  <r>
    <x v="7630"/>
    <n v="151.08244300000001"/>
  </r>
  <r>
    <x v="7631"/>
    <n v="151.17147800000001"/>
  </r>
  <r>
    <x v="7632"/>
    <n v="145.40437299999999"/>
  </r>
  <r>
    <x v="7633"/>
    <n v="152.15078700000001"/>
  </r>
  <r>
    <x v="7634"/>
    <n v="143.89086900000001"/>
  </r>
  <r>
    <x v="7635"/>
    <n v="137.77752699999999"/>
  </r>
  <r>
    <x v="7636"/>
    <n v="137.71816999999999"/>
  </r>
  <r>
    <x v="7637"/>
    <n v="135.21546900000001"/>
  </r>
  <r>
    <x v="7638"/>
    <n v="133.89982599999999"/>
  </r>
  <r>
    <x v="7639"/>
    <n v="134.621948"/>
  </r>
  <r>
    <x v="7640"/>
    <n v="138.984375"/>
  </r>
  <r>
    <x v="7641"/>
    <n v="135.43310500000001"/>
  </r>
  <r>
    <x v="7642"/>
    <n v="137.817093"/>
  </r>
  <r>
    <x v="7643"/>
    <n v="139.52844200000001"/>
  </r>
  <r>
    <x v="7644"/>
    <n v="138.82607999999999"/>
  </r>
  <r>
    <x v="7645"/>
    <n v="134.64172400000001"/>
  </r>
  <r>
    <x v="7646"/>
    <n v="131.377319"/>
  </r>
  <r>
    <x v="7647"/>
    <n v="135.08686800000001"/>
  </r>
  <r>
    <x v="7648"/>
    <n v="132.05989099999999"/>
  </r>
  <r>
    <x v="7649"/>
    <n v="133.642639"/>
  </r>
  <r>
    <x v="7650"/>
    <n v="146.59141500000001"/>
  </r>
  <r>
    <x v="7651"/>
    <n v="138.18310500000001"/>
  </r>
  <r>
    <x v="7652"/>
    <n v="143.70292699999999"/>
  </r>
  <r>
    <x v="7653"/>
    <n v="142.70379600000001"/>
  </r>
  <r>
    <x v="7654"/>
    <n v="147.442139"/>
  </r>
  <r>
    <x v="7655"/>
    <n v="140.112076"/>
  </r>
  <r>
    <x v="7656"/>
    <n v="139.06350699999999"/>
  </r>
  <r>
    <x v="7657"/>
    <n v="133.46455399999999"/>
  </r>
  <r>
    <x v="7658"/>
    <n v="135.33416700000001"/>
  </r>
  <r>
    <x v="7659"/>
    <n v="130.87283300000001"/>
  </r>
  <r>
    <x v="7660"/>
    <n v="130.34854100000001"/>
  </r>
  <r>
    <x v="7661"/>
    <n v="133.474457"/>
  </r>
  <r>
    <x v="7662"/>
    <n v="132.46546900000001"/>
  </r>
  <r>
    <x v="7663"/>
    <n v="138.18310500000001"/>
  </r>
  <r>
    <x v="7664"/>
    <n v="129.04276999999999"/>
  </r>
  <r>
    <x v="7665"/>
    <n v="129.16149899999999"/>
  </r>
  <r>
    <x v="7666"/>
    <n v="130.18038899999999"/>
  </r>
  <r>
    <x v="7667"/>
    <n v="130.69476299999999"/>
  </r>
  <r>
    <x v="7668"/>
    <n v="127.143486"/>
  </r>
  <r>
    <x v="7669"/>
    <n v="129.81436199999999"/>
  </r>
  <r>
    <x v="7670"/>
    <n v="133.38542200000001"/>
  </r>
  <r>
    <x v="7671"/>
    <n v="138.25235000000001"/>
  </r>
  <r>
    <x v="7672"/>
    <n v="141.67501799999999"/>
  </r>
  <r>
    <x v="7673"/>
    <n v="139.23869300000001"/>
  </r>
  <r>
    <x v="7674"/>
    <n v="145.38420099999999"/>
  </r>
  <r>
    <x v="7675"/>
    <n v="140.432007"/>
  </r>
  <r>
    <x v="7676"/>
    <n v="139.65635700000001"/>
  </r>
  <r>
    <x v="7677"/>
    <n v="141.09826699999999"/>
  </r>
  <r>
    <x v="7678"/>
    <n v="138.18461600000001"/>
  </r>
  <r>
    <x v="7679"/>
    <n v="135.94717399999999"/>
  </r>
  <r>
    <x v="7680"/>
    <n v="132.45674099999999"/>
  </r>
  <r>
    <x v="7681"/>
    <n v="127.94208500000001"/>
  </r>
  <r>
    <x v="7682"/>
    <n v="129.53315699999999"/>
  </r>
  <r>
    <x v="7683"/>
    <n v="130.29885899999999"/>
  </r>
  <r>
    <x v="7684"/>
    <n v="120.14582799999999"/>
  </r>
  <r>
    <x v="7685"/>
    <n v="120.31488"/>
  </r>
  <r>
    <x v="7686"/>
    <n v="123.695908"/>
  </r>
  <r>
    <x v="7687"/>
    <n v="121.47835499999999"/>
  </r>
  <r>
    <x v="7688"/>
    <n v="119.419899"/>
  </r>
  <r>
    <x v="7689"/>
    <n v="124.40194700000001"/>
  </r>
  <r>
    <x v="7690"/>
    <n v="126.47034499999999"/>
  </r>
  <r>
    <x v="7691"/>
    <n v="130.865692"/>
  </r>
  <r>
    <x v="7692"/>
    <n v="129.50332599999999"/>
  </r>
  <r>
    <x v="7693"/>
    <n v="127.027214"/>
  </r>
  <r>
    <x v="7694"/>
    <n v="122.840706"/>
  </r>
  <r>
    <x v="7695"/>
    <n v="125.127876"/>
  </r>
  <r>
    <x v="7696"/>
    <n v="126.351006"/>
  </r>
  <r>
    <x v="7697"/>
    <n v="133.65005500000001"/>
  </r>
  <r>
    <x v="7698"/>
    <n v="135.251068"/>
  </r>
  <r>
    <x v="7699"/>
    <n v="131.502106"/>
  </r>
  <r>
    <x v="7700"/>
    <n v="132.208145"/>
  </r>
  <r>
    <x v="7701"/>
    <n v="134.88313299999999"/>
  </r>
  <r>
    <x v="7702"/>
    <n v="141.10820000000001"/>
  </r>
  <r>
    <x v="7703"/>
    <n v="143.56442300000001"/>
  </r>
  <r>
    <x v="7704"/>
    <n v="140.899384"/>
  </r>
  <r>
    <x v="7705"/>
    <n v="146.547684"/>
  </r>
  <r>
    <x v="7706"/>
    <n v="150.86348000000001"/>
  </r>
  <r>
    <x v="7707"/>
    <n v="154.99031099999999"/>
  </r>
  <r>
    <x v="7708"/>
    <n v="152.84236100000001"/>
  </r>
  <r>
    <x v="7709"/>
    <n v="152.394867"/>
  </r>
  <r>
    <x v="7710"/>
    <n v="149.13317900000001"/>
  </r>
  <r>
    <x v="7711"/>
    <n v="152.563919"/>
  </r>
  <r>
    <x v="7712"/>
    <n v="145.632813"/>
  </r>
  <r>
    <x v="7713"/>
    <n v="144.25056499999999"/>
  </r>
  <r>
    <x v="7714"/>
    <n v="146.60734600000001"/>
  </r>
  <r>
    <x v="7715"/>
    <n v="146.20957899999999"/>
  </r>
  <r>
    <x v="7716"/>
    <n v="148.327698"/>
  </r>
  <r>
    <x v="7717"/>
    <n v="150.167374"/>
  </r>
  <r>
    <x v="7718"/>
    <n v="149.37184099999999"/>
  </r>
  <r>
    <x v="7719"/>
    <n v="146.985229"/>
  </r>
  <r>
    <x v="7720"/>
    <n v="141.714798"/>
  </r>
  <r>
    <x v="7721"/>
    <n v="146.169815"/>
  </r>
  <r>
    <x v="7722"/>
    <n v="147.005112"/>
  </r>
  <r>
    <x v="7723"/>
    <n v="150.44580099999999"/>
  </r>
  <r>
    <x v="7724"/>
    <n v="151.281128"/>
  </r>
  <r>
    <x v="7725"/>
    <n v="149.19284099999999"/>
  </r>
  <r>
    <x v="7726"/>
    <n v="147.70120199999999"/>
  </r>
  <r>
    <x v="7727"/>
    <n v="150.53530900000001"/>
  </r>
  <r>
    <x v="7728"/>
    <n v="146.77641299999999"/>
  </r>
  <r>
    <x v="7729"/>
    <n v="140.81982400000001"/>
  </r>
  <r>
    <x v="7730"/>
    <n v="139.93478400000001"/>
  </r>
  <r>
    <x v="7731"/>
    <n v="140.5215"/>
  </r>
  <r>
    <x v="7732"/>
    <n v="145.43392900000001"/>
  </r>
  <r>
    <x v="7733"/>
    <n v="137.60784899999999"/>
  </r>
  <r>
    <x v="7734"/>
    <n v="136.31510900000001"/>
  </r>
  <r>
    <x v="7735"/>
    <n v="133.66000399999999"/>
  </r>
  <r>
    <x v="7736"/>
    <n v="132.270004"/>
  </r>
  <r>
    <x v="7737"/>
    <n v="129.91999799999999"/>
  </r>
  <r>
    <x v="7738"/>
    <n v="128.479996"/>
  </r>
  <r>
    <x v="7739"/>
    <n v="126.66999800000001"/>
  </r>
  <r>
    <x v="7740"/>
    <n v="128.60000600000001"/>
  </r>
  <r>
    <x v="7741"/>
    <n v="128.85000600000001"/>
  </r>
  <r>
    <x v="7742"/>
    <n v="132.050003"/>
  </r>
  <r>
    <x v="7743"/>
    <n v="133"/>
  </r>
  <r>
    <x v="7744"/>
    <n v="124.93"/>
  </r>
  <r>
    <x v="7745"/>
    <n v="127.529999"/>
  </r>
  <r>
    <x v="7746"/>
    <n v="124.980003"/>
  </r>
  <r>
    <x v="7747"/>
    <n v="124.949997"/>
  </r>
  <r>
    <x v="7748"/>
    <n v="126.650002"/>
  </r>
  <r>
    <x v="7749"/>
    <n v="124.769997"/>
  </r>
  <r>
    <x v="7750"/>
    <n v="124.620003"/>
  </r>
  <r>
    <x v="7751"/>
    <n v="123.68"/>
  </r>
  <r>
    <x v="7752"/>
    <n v="121.19000200000001"/>
  </r>
  <r>
    <x v="7753"/>
    <n v="119.739998"/>
  </r>
  <r>
    <x v="7754"/>
    <n v="120.339996"/>
  </r>
  <r>
    <x v="7755"/>
    <n v="118.93"/>
  </r>
  <r>
    <x v="7756"/>
    <n v="114.839996"/>
  </r>
  <r>
    <x v="7757"/>
    <n v="112.980003"/>
  </r>
  <r>
    <x v="7758"/>
    <n v="117.220001"/>
  </r>
  <r>
    <x v="7759"/>
    <n v="122.370003"/>
  </r>
  <r>
    <x v="7760"/>
    <n v="124.889999"/>
  </r>
  <r>
    <x v="7761"/>
    <n v="125.279999"/>
  </r>
  <r>
    <x v="7762"/>
    <n v="120.910004"/>
  </r>
  <r>
    <x v="7763"/>
    <n v="114.599998"/>
  </r>
  <r>
    <x v="7764"/>
    <n v="110.029999"/>
  </r>
  <r>
    <x v="7765"/>
    <n v="108.639999"/>
  </r>
  <r>
    <x v="7766"/>
    <n v="112.860001"/>
  </r>
  <r>
    <x v="7767"/>
    <n v="109.94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D5EB-BB74-4083-AF26-8192910A45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/>
      </items>
    </pivotField>
  </pivotFields>
  <rowFields count="3">
    <field x="3"/>
    <field x="2"/>
    <field x="0"/>
  </rowFields>
  <rowItems count="3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61D3-32BC-49D5-9091-EEAD3387CF38}">
  <dimension ref="A1:AC39"/>
  <sheetViews>
    <sheetView showGridLines="0" tabSelected="1" topLeftCell="C1" workbookViewId="0">
      <selection activeCell="AB26" sqref="AB26"/>
    </sheetView>
  </sheetViews>
  <sheetFormatPr defaultRowHeight="15" x14ac:dyDescent="0.25"/>
  <cols>
    <col min="5" max="5" width="10" bestFit="1" customWidth="1"/>
    <col min="11" max="12" width="10" bestFit="1" customWidth="1"/>
    <col min="13" max="13" width="10" customWidth="1"/>
    <col min="14" max="14" width="10.85546875" bestFit="1" customWidth="1"/>
    <col min="26" max="26" width="14.5703125" bestFit="1" customWidth="1"/>
    <col min="27" max="28" width="10" bestFit="1" customWidth="1"/>
    <col min="29" max="29" width="9.7109375" bestFit="1" customWidth="1"/>
  </cols>
  <sheetData>
    <row r="1" spans="1:28" x14ac:dyDescent="0.25">
      <c r="A1" t="s">
        <v>0</v>
      </c>
      <c r="C1" t="s">
        <v>1</v>
      </c>
      <c r="D1" t="s">
        <v>2</v>
      </c>
    </row>
    <row r="2" spans="1:28" ht="26.25" x14ac:dyDescent="0.4">
      <c r="A2" s="2" t="s">
        <v>3</v>
      </c>
    </row>
    <row r="3" spans="1:28" x14ac:dyDescent="0.25">
      <c r="C3" s="3">
        <v>2012</v>
      </c>
      <c r="D3" s="3">
        <f>C3+1</f>
        <v>2013</v>
      </c>
      <c r="E3" s="3">
        <f t="shared" ref="E3:L3" si="0">D3+1</f>
        <v>2014</v>
      </c>
      <c r="F3" s="3">
        <f t="shared" si="0"/>
        <v>2015</v>
      </c>
      <c r="G3" s="3">
        <f t="shared" si="0"/>
        <v>2016</v>
      </c>
      <c r="H3" s="3">
        <f t="shared" si="0"/>
        <v>2017</v>
      </c>
      <c r="I3" s="3">
        <f t="shared" si="0"/>
        <v>2018</v>
      </c>
      <c r="J3" s="3">
        <f t="shared" si="0"/>
        <v>2019</v>
      </c>
      <c r="K3" s="3">
        <f t="shared" si="0"/>
        <v>2020</v>
      </c>
      <c r="L3" s="3">
        <f t="shared" si="0"/>
        <v>2021</v>
      </c>
      <c r="M3" s="3">
        <v>2022</v>
      </c>
      <c r="N3" s="13" t="s">
        <v>58</v>
      </c>
      <c r="O3" s="19">
        <v>2023</v>
      </c>
      <c r="P3" s="19">
        <f t="shared" ref="P3:X3" si="1">O3+1</f>
        <v>2024</v>
      </c>
      <c r="Q3" s="19">
        <f t="shared" si="1"/>
        <v>2025</v>
      </c>
      <c r="R3" s="19">
        <f t="shared" si="1"/>
        <v>2026</v>
      </c>
      <c r="S3" s="21">
        <f t="shared" si="1"/>
        <v>2027</v>
      </c>
      <c r="T3" s="19">
        <f t="shared" si="1"/>
        <v>2028</v>
      </c>
      <c r="U3" s="19">
        <f t="shared" si="1"/>
        <v>2029</v>
      </c>
      <c r="V3" s="19">
        <f t="shared" si="1"/>
        <v>2030</v>
      </c>
      <c r="W3" s="19">
        <f t="shared" si="1"/>
        <v>2031</v>
      </c>
      <c r="X3" s="19">
        <f t="shared" si="1"/>
        <v>2032</v>
      </c>
      <c r="Z3" s="33" t="s">
        <v>59</v>
      </c>
      <c r="AA3" s="33"/>
      <c r="AB3" s="33"/>
    </row>
    <row r="4" spans="1:28" x14ac:dyDescent="0.25">
      <c r="A4" t="s">
        <v>4</v>
      </c>
      <c r="C4" s="10">
        <v>19121</v>
      </c>
      <c r="D4" s="10">
        <v>24866</v>
      </c>
      <c r="E4" s="10">
        <v>26487</v>
      </c>
      <c r="F4" s="10">
        <v>25218</v>
      </c>
      <c r="G4" s="10">
        <v>23554</v>
      </c>
      <c r="H4" s="10">
        <v>22258</v>
      </c>
      <c r="I4" s="10">
        <v>22611</v>
      </c>
      <c r="J4" s="10">
        <v>24273</v>
      </c>
      <c r="K4" s="10">
        <v>23351</v>
      </c>
      <c r="L4" s="10">
        <v>33566</v>
      </c>
      <c r="M4" s="35">
        <v>44200</v>
      </c>
      <c r="N4" s="14">
        <f>(M4/C4)^(1/($M$3-$C$3))-1</f>
        <v>8.7404602351511596E-2</v>
      </c>
      <c r="O4" s="12"/>
      <c r="P4" s="12"/>
      <c r="Q4" s="12"/>
      <c r="R4" s="12"/>
      <c r="S4" s="12"/>
      <c r="T4" s="12"/>
      <c r="U4" s="12"/>
      <c r="V4" s="12"/>
      <c r="W4" s="12"/>
      <c r="X4" s="12"/>
      <c r="Z4" s="23"/>
      <c r="AA4" s="24">
        <f>$S$3</f>
        <v>2027</v>
      </c>
      <c r="AB4" s="24">
        <f>$X$3</f>
        <v>2032</v>
      </c>
    </row>
    <row r="5" spans="1:28" x14ac:dyDescent="0.25">
      <c r="C5" s="10"/>
      <c r="D5" s="10"/>
      <c r="E5" s="10"/>
      <c r="F5" s="10"/>
      <c r="G5" s="10"/>
      <c r="H5" s="10"/>
      <c r="I5" s="10"/>
      <c r="J5" s="10"/>
      <c r="K5" s="10"/>
      <c r="L5" s="10"/>
      <c r="M5" s="35"/>
      <c r="O5" s="20"/>
      <c r="P5" s="20"/>
      <c r="Q5" s="20"/>
      <c r="R5" s="20"/>
      <c r="S5" s="20"/>
      <c r="T5" s="20"/>
      <c r="U5" s="20"/>
      <c r="V5" s="20"/>
      <c r="W5" s="20"/>
      <c r="X5" s="20"/>
      <c r="Z5" s="25" t="s">
        <v>5</v>
      </c>
      <c r="AA5" s="26">
        <f>S6</f>
        <v>23582.211128467203</v>
      </c>
      <c r="AB5" s="26">
        <f>X6</f>
        <v>30097.541266245018</v>
      </c>
    </row>
    <row r="6" spans="1:28" x14ac:dyDescent="0.25">
      <c r="A6" t="s">
        <v>5</v>
      </c>
      <c r="C6" s="10">
        <f>897+5682</f>
        <v>6579</v>
      </c>
      <c r="D6" s="10">
        <f>7230+1017</f>
        <v>8247</v>
      </c>
      <c r="E6" s="10">
        <f>7550+1150</f>
        <v>8700</v>
      </c>
      <c r="F6" s="10">
        <f>5776+1214</f>
        <v>6990</v>
      </c>
      <c r="G6" s="10">
        <f>6495+1428</f>
        <v>7923</v>
      </c>
      <c r="H6" s="10">
        <f>2581+1461</f>
        <v>4042</v>
      </c>
      <c r="I6" s="10">
        <f>621+1561</f>
        <v>2182</v>
      </c>
      <c r="J6" s="10">
        <f>7667+1401</f>
        <v>9068</v>
      </c>
      <c r="K6" s="10">
        <f>6255+1393</f>
        <v>7648</v>
      </c>
      <c r="L6" s="10">
        <f>9789+1582</f>
        <v>11371</v>
      </c>
      <c r="M6" s="35">
        <f>15860+1762</f>
        <v>17622</v>
      </c>
      <c r="N6" s="14">
        <f>(M6/C6)^(1/($M$3-$C$3))-1</f>
        <v>0.10354368800981306</v>
      </c>
      <c r="O6" s="12">
        <f>M6*(1+O7)</f>
        <v>18679.32</v>
      </c>
      <c r="P6" s="12">
        <f t="shared" ref="P6:X6" si="2">O6*(1+P7)</f>
        <v>19800.0792</v>
      </c>
      <c r="Q6" s="12">
        <f t="shared" si="2"/>
        <v>20988.083952000001</v>
      </c>
      <c r="R6" s="12">
        <f t="shared" si="2"/>
        <v>22247.368989120001</v>
      </c>
      <c r="S6" s="12">
        <f t="shared" si="2"/>
        <v>23582.211128467203</v>
      </c>
      <c r="T6" s="12">
        <f t="shared" si="2"/>
        <v>24761.321684890565</v>
      </c>
      <c r="U6" s="12">
        <f t="shared" si="2"/>
        <v>25999.387769135094</v>
      </c>
      <c r="V6" s="12">
        <f t="shared" si="2"/>
        <v>27299.35715759185</v>
      </c>
      <c r="W6" s="12">
        <f t="shared" si="2"/>
        <v>28664.325015471444</v>
      </c>
      <c r="X6" s="12">
        <f t="shared" si="2"/>
        <v>30097.541266245018</v>
      </c>
      <c r="Z6" s="25" t="s">
        <v>60</v>
      </c>
      <c r="AA6" s="27">
        <v>15</v>
      </c>
      <c r="AB6" s="27">
        <v>15</v>
      </c>
    </row>
    <row r="7" spans="1:28" x14ac:dyDescent="0.25">
      <c r="C7" s="10"/>
      <c r="D7" s="10"/>
      <c r="E7" s="10"/>
      <c r="F7" s="10"/>
      <c r="G7" s="10"/>
      <c r="H7" s="10"/>
      <c r="I7" s="10"/>
      <c r="J7" s="10"/>
      <c r="K7" s="10"/>
      <c r="L7" s="10"/>
      <c r="M7" s="35"/>
      <c r="N7" s="14"/>
      <c r="O7" s="20">
        <v>0.06</v>
      </c>
      <c r="P7" s="20">
        <v>0.06</v>
      </c>
      <c r="Q7" s="20">
        <v>0.06</v>
      </c>
      <c r="R7" s="20">
        <v>0.06</v>
      </c>
      <c r="S7" s="20">
        <v>0.06</v>
      </c>
      <c r="T7" s="20">
        <v>0.05</v>
      </c>
      <c r="U7" s="20">
        <v>0.05</v>
      </c>
      <c r="V7" s="20">
        <v>0.05</v>
      </c>
      <c r="W7" s="20">
        <v>0.05</v>
      </c>
      <c r="X7" s="20">
        <v>0.05</v>
      </c>
      <c r="Z7" s="25" t="s">
        <v>10</v>
      </c>
      <c r="AA7" s="26">
        <f>AA5*AA6</f>
        <v>353733.16692700802</v>
      </c>
      <c r="AB7" s="26">
        <f>AB5*AB6</f>
        <v>451463.11899367528</v>
      </c>
    </row>
    <row r="8" spans="1:28" x14ac:dyDescent="0.25">
      <c r="C8" s="10"/>
      <c r="D8" s="18">
        <f t="shared" ref="D8:L8" si="3">D6/C6-1</f>
        <v>0.25353397172822612</v>
      </c>
      <c r="E8" s="18">
        <f t="shared" si="3"/>
        <v>5.4929065114587061E-2</v>
      </c>
      <c r="F8" s="18">
        <f t="shared" si="3"/>
        <v>-0.19655172413793098</v>
      </c>
      <c r="G8" s="18">
        <f t="shared" si="3"/>
        <v>0.13347639484978546</v>
      </c>
      <c r="H8" s="18">
        <f t="shared" si="3"/>
        <v>-0.48983970718162317</v>
      </c>
      <c r="I8" s="18">
        <f t="shared" si="3"/>
        <v>-0.46016823354774861</v>
      </c>
      <c r="J8" s="18">
        <f t="shared" si="3"/>
        <v>3.1558203483043084</v>
      </c>
      <c r="K8" s="18">
        <f t="shared" si="3"/>
        <v>-0.15659461843846489</v>
      </c>
      <c r="L8" s="18">
        <f t="shared" si="3"/>
        <v>0.48679393305439334</v>
      </c>
      <c r="M8" s="36">
        <f t="shared" ref="M8" si="4">M6/L6-1</f>
        <v>0.5497317738105707</v>
      </c>
      <c r="N8" s="14">
        <f>AVERAGE(D8:M8)</f>
        <v>0.3331131203556103</v>
      </c>
      <c r="Z8" s="28" t="s">
        <v>61</v>
      </c>
      <c r="AA8" s="29">
        <f>L12</f>
        <v>15745</v>
      </c>
      <c r="AB8" s="29">
        <f>L12</f>
        <v>15745</v>
      </c>
    </row>
    <row r="9" spans="1:28" x14ac:dyDescent="0.25">
      <c r="C9" s="10"/>
      <c r="D9" s="10"/>
      <c r="E9" s="10"/>
      <c r="F9" s="10"/>
      <c r="G9" s="10"/>
      <c r="H9" s="10"/>
      <c r="I9" s="10"/>
      <c r="J9" s="10"/>
      <c r="K9" s="10"/>
      <c r="L9" s="10"/>
      <c r="M9" s="35"/>
      <c r="Z9" s="28" t="s">
        <v>62</v>
      </c>
      <c r="AA9" s="29">
        <v>0</v>
      </c>
      <c r="AB9" s="29">
        <v>0</v>
      </c>
    </row>
    <row r="10" spans="1:28" x14ac:dyDescent="0.25">
      <c r="A10" t="s">
        <v>6</v>
      </c>
      <c r="C10" s="10">
        <f>15645-2*5302</f>
        <v>5041</v>
      </c>
      <c r="D10" s="10">
        <f>19555-2*5213</f>
        <v>9129</v>
      </c>
      <c r="E10" s="10">
        <f>22143-2*6013</f>
        <v>10117</v>
      </c>
      <c r="F10" s="10">
        <f>22099-2*6100</f>
        <v>9899</v>
      </c>
      <c r="G10" s="10">
        <f>22981-2*7311</f>
        <v>8359</v>
      </c>
      <c r="H10" s="10">
        <f>43953-2*10907</f>
        <v>22139</v>
      </c>
      <c r="I10" s="10">
        <v>0</v>
      </c>
      <c r="J10" s="10">
        <v>0</v>
      </c>
      <c r="K10" s="10">
        <f>18519-2*8672</f>
        <v>1175</v>
      </c>
      <c r="L10" s="10">
        <v>0</v>
      </c>
      <c r="M10" s="35">
        <v>0</v>
      </c>
      <c r="Z10" s="25" t="s">
        <v>9</v>
      </c>
      <c r="AA10" s="26">
        <f>+AA7-AA8+AA9</f>
        <v>337988.16692700802</v>
      </c>
      <c r="AB10" s="26">
        <f>+AB7-AB8+AB9</f>
        <v>435718.11899367528</v>
      </c>
    </row>
    <row r="11" spans="1:28" x14ac:dyDescent="0.25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35"/>
      <c r="Z11" s="25" t="s">
        <v>63</v>
      </c>
      <c r="AA11" s="27">
        <f>L14</f>
        <v>1149</v>
      </c>
      <c r="AB11" s="27">
        <f>AA11</f>
        <v>1149</v>
      </c>
    </row>
    <row r="12" spans="1:28" x14ac:dyDescent="0.25">
      <c r="A12" t="s">
        <v>7</v>
      </c>
      <c r="C12" s="10">
        <v>0</v>
      </c>
      <c r="D12" s="10">
        <v>0</v>
      </c>
      <c r="E12" s="10">
        <v>0</v>
      </c>
      <c r="F12" s="10">
        <f>1000+9969</f>
        <v>10969</v>
      </c>
      <c r="G12" s="10">
        <f>1749+10008</f>
        <v>11757</v>
      </c>
      <c r="H12" s="10">
        <f>2495+19398</f>
        <v>21893</v>
      </c>
      <c r="I12" s="10">
        <f>1005+15365</f>
        <v>16370</v>
      </c>
      <c r="J12" s="10">
        <f>2496+13437</f>
        <v>15933</v>
      </c>
      <c r="K12" s="10">
        <f>500+15226</f>
        <v>15726</v>
      </c>
      <c r="L12" s="10">
        <f>2044+13701</f>
        <v>15745</v>
      </c>
      <c r="M12" s="35">
        <f>1945+13537</f>
        <v>15482</v>
      </c>
      <c r="N12" s="14"/>
      <c r="Z12" s="25" t="s">
        <v>18</v>
      </c>
      <c r="AA12" s="26">
        <f>AA10/AA11</f>
        <v>294.15854388773545</v>
      </c>
      <c r="AB12" s="30">
        <f>AB10/AB11</f>
        <v>379.21507310154504</v>
      </c>
    </row>
    <row r="13" spans="1:28" x14ac:dyDescent="0.25">
      <c r="M13" s="37"/>
    </row>
    <row r="14" spans="1:28" x14ac:dyDescent="0.25">
      <c r="A14" t="s">
        <v>8</v>
      </c>
      <c r="C14">
        <v>1741</v>
      </c>
      <c r="D14">
        <v>1754</v>
      </c>
      <c r="E14">
        <v>1714</v>
      </c>
      <c r="F14">
        <v>1639</v>
      </c>
      <c r="G14">
        <v>1498</v>
      </c>
      <c r="H14">
        <v>1490</v>
      </c>
      <c r="I14">
        <v>1463</v>
      </c>
      <c r="J14">
        <v>1220</v>
      </c>
      <c r="K14">
        <v>1149</v>
      </c>
      <c r="L14">
        <v>1149</v>
      </c>
      <c r="M14" s="37">
        <v>1137</v>
      </c>
      <c r="N14" s="14">
        <f>(M14/C14)^(1/($M$3-$C$3))-1</f>
        <v>-4.1711736198856486E-2</v>
      </c>
      <c r="Z14" s="33" t="s">
        <v>64</v>
      </c>
      <c r="AA14" s="33"/>
      <c r="AB14" s="33"/>
    </row>
    <row r="15" spans="1:28" x14ac:dyDescent="0.25">
      <c r="M15" s="37"/>
      <c r="Z15" s="23"/>
      <c r="AA15" s="24">
        <f>$S$3</f>
        <v>2027</v>
      </c>
      <c r="AB15" s="24">
        <f>$X$3</f>
        <v>2032</v>
      </c>
    </row>
    <row r="16" spans="1:28" x14ac:dyDescent="0.25">
      <c r="A16" t="s">
        <v>9</v>
      </c>
      <c r="C16" s="12">
        <f t="shared" ref="C16:L16" si="5">C14*C34</f>
        <v>79638.076035335922</v>
      </c>
      <c r="D16" s="12">
        <f t="shared" si="5"/>
        <v>88849.290166523802</v>
      </c>
      <c r="E16" s="12">
        <f t="shared" si="5"/>
        <v>101594.70707321426</v>
      </c>
      <c r="F16" s="12">
        <f t="shared" si="5"/>
        <v>82011.136748749952</v>
      </c>
      <c r="G16" s="12">
        <f t="shared" si="5"/>
        <v>71233.232449611125</v>
      </c>
      <c r="H16" s="12">
        <f t="shared" si="5"/>
        <v>72653.295021035883</v>
      </c>
      <c r="I16" s="12">
        <f t="shared" si="5"/>
        <v>80059.23575511956</v>
      </c>
      <c r="J16" s="12">
        <f t="shared" si="5"/>
        <v>81163.23591293655</v>
      </c>
      <c r="K16" s="12">
        <f t="shared" si="5"/>
        <v>112533.1438270435</v>
      </c>
      <c r="L16" s="12">
        <f>L14*L34</f>
        <v>163081.75583435711</v>
      </c>
      <c r="M16" s="38">
        <f>M14*M34</f>
        <v>163728</v>
      </c>
      <c r="N16" s="14">
        <f>(M16/C16)^(1/($M$3-$C$3))-1</f>
        <v>7.47320980134345E-2</v>
      </c>
      <c r="Z16" s="25" t="s">
        <v>17</v>
      </c>
      <c r="AA16" s="31">
        <f>S32</f>
        <v>7.5550307674708899</v>
      </c>
      <c r="AB16" s="31">
        <f>X32</f>
        <v>9.6423464726433235</v>
      </c>
    </row>
    <row r="17" spans="1:29" x14ac:dyDescent="0.25">
      <c r="M17" s="37"/>
      <c r="Z17" s="25" t="s">
        <v>19</v>
      </c>
      <c r="AA17" s="32">
        <v>0.05</v>
      </c>
      <c r="AB17" s="32">
        <v>0.05</v>
      </c>
    </row>
    <row r="18" spans="1:29" x14ac:dyDescent="0.25">
      <c r="A18" t="s">
        <v>10</v>
      </c>
      <c r="C18" s="12">
        <f t="shared" ref="C18:L18" si="6">C16+C12-C10</f>
        <v>74597.076035335922</v>
      </c>
      <c r="D18" s="12">
        <f t="shared" si="6"/>
        <v>79720.290166523802</v>
      </c>
      <c r="E18" s="12">
        <f t="shared" si="6"/>
        <v>91477.70707321426</v>
      </c>
      <c r="F18" s="12">
        <f t="shared" si="6"/>
        <v>83081.136748749952</v>
      </c>
      <c r="G18" s="12">
        <f t="shared" si="6"/>
        <v>74631.232449611125</v>
      </c>
      <c r="H18" s="12">
        <f t="shared" si="6"/>
        <v>72407.295021035883</v>
      </c>
      <c r="I18" s="12">
        <f t="shared" si="6"/>
        <v>96429.23575511956</v>
      </c>
      <c r="J18" s="12">
        <f t="shared" si="6"/>
        <v>97096.23591293655</v>
      </c>
      <c r="K18" s="12">
        <f t="shared" si="6"/>
        <v>127084.1438270435</v>
      </c>
      <c r="L18" s="12">
        <f>L16+L12-L10</f>
        <v>178826.75583435711</v>
      </c>
      <c r="M18" s="38">
        <f>M16+M12-M10</f>
        <v>179210</v>
      </c>
      <c r="N18" s="14">
        <f>(M18/C18)^(1/($M$3-$C$3))-1</f>
        <v>9.1601298222100835E-2</v>
      </c>
      <c r="Z18" s="25" t="s">
        <v>18</v>
      </c>
      <c r="AA18" s="31">
        <f>AA16/AA17</f>
        <v>151.10061534941778</v>
      </c>
      <c r="AB18" s="31">
        <f>AB16/AB17</f>
        <v>192.84692945286645</v>
      </c>
    </row>
    <row r="19" spans="1:29" x14ac:dyDescent="0.25">
      <c r="M19" s="37"/>
    </row>
    <row r="20" spans="1:29" x14ac:dyDescent="0.25">
      <c r="A20" t="s">
        <v>11</v>
      </c>
      <c r="C20" s="4">
        <f t="shared" ref="C20:L20" si="7">C18/C6</f>
        <v>11.338664848052275</v>
      </c>
      <c r="D20" s="4">
        <f t="shared" si="7"/>
        <v>9.6665805949465025</v>
      </c>
      <c r="E20" s="4">
        <f t="shared" si="7"/>
        <v>10.514678973932673</v>
      </c>
      <c r="F20" s="4">
        <f t="shared" si="7"/>
        <v>11.885713411838333</v>
      </c>
      <c r="G20" s="4">
        <f t="shared" si="7"/>
        <v>9.4195673923527856</v>
      </c>
      <c r="H20" s="4">
        <f t="shared" si="7"/>
        <v>17.913729594516546</v>
      </c>
      <c r="I20" s="4">
        <f t="shared" si="7"/>
        <v>44.193050300238113</v>
      </c>
      <c r="J20" s="4">
        <f t="shared" si="7"/>
        <v>10.707569024364419</v>
      </c>
      <c r="K20" s="4">
        <f t="shared" si="7"/>
        <v>16.616650605000459</v>
      </c>
      <c r="L20" s="4">
        <f>L18/L6</f>
        <v>15.726563700145732</v>
      </c>
      <c r="M20" s="39">
        <f>M18/M6</f>
        <v>10.169674270797866</v>
      </c>
      <c r="N20" s="22">
        <f>AVERAGE(C20:M20)</f>
        <v>15.286585701471425</v>
      </c>
      <c r="Z20" s="33" t="s">
        <v>70</v>
      </c>
      <c r="AA20" s="33"/>
      <c r="AB20" s="33"/>
    </row>
    <row r="21" spans="1:29" x14ac:dyDescent="0.25">
      <c r="M21" s="37"/>
      <c r="Z21" s="23"/>
      <c r="AA21" s="24">
        <f>$S$3</f>
        <v>2027</v>
      </c>
      <c r="AB21" s="24">
        <f>$X$3</f>
        <v>2032</v>
      </c>
    </row>
    <row r="22" spans="1:29" x14ac:dyDescent="0.25">
      <c r="A22" t="s">
        <v>12</v>
      </c>
      <c r="C22" s="4">
        <f t="shared" ref="C22:L22" si="8">C12/C6</f>
        <v>0</v>
      </c>
      <c r="D22" s="4">
        <f t="shared" si="8"/>
        <v>0</v>
      </c>
      <c r="E22" s="4">
        <f t="shared" si="8"/>
        <v>0</v>
      </c>
      <c r="F22" s="4">
        <f t="shared" si="8"/>
        <v>1.569241773962804</v>
      </c>
      <c r="G22" s="4">
        <f t="shared" si="8"/>
        <v>1.4839076107535025</v>
      </c>
      <c r="H22" s="4">
        <f t="shared" si="8"/>
        <v>5.4163780306778824</v>
      </c>
      <c r="I22" s="4">
        <f t="shared" si="8"/>
        <v>7.5022914757103578</v>
      </c>
      <c r="J22" s="4">
        <f t="shared" si="8"/>
        <v>1.7570577856197618</v>
      </c>
      <c r="K22" s="4">
        <f t="shared" si="8"/>
        <v>2.056223849372385</v>
      </c>
      <c r="L22" s="4">
        <f>L12/L6</f>
        <v>1.3846627385454227</v>
      </c>
      <c r="M22" s="39">
        <f>M12/M6</f>
        <v>0.87856088979684488</v>
      </c>
      <c r="N22" s="22">
        <f>AVERAGE(C22:M22)</f>
        <v>2.004393104948996</v>
      </c>
      <c r="Z22" s="25" t="s">
        <v>65</v>
      </c>
      <c r="AA22" s="34">
        <v>103.88</v>
      </c>
      <c r="AB22" s="34"/>
      <c r="AC22" s="5">
        <v>44631</v>
      </c>
    </row>
    <row r="23" spans="1:29" x14ac:dyDescent="0.25">
      <c r="M23" s="37"/>
      <c r="Z23" s="25" t="s">
        <v>66</v>
      </c>
      <c r="AA23" s="31">
        <f>AA12</f>
        <v>294.15854388773545</v>
      </c>
      <c r="AB23" s="31">
        <f>AB12</f>
        <v>379.21507310154504</v>
      </c>
    </row>
    <row r="24" spans="1:29" x14ac:dyDescent="0.25">
      <c r="A24" t="s">
        <v>13</v>
      </c>
      <c r="C24" s="10">
        <v>5998</v>
      </c>
      <c r="D24" s="10">
        <v>8778</v>
      </c>
      <c r="E24" s="10">
        <v>8887</v>
      </c>
      <c r="F24" s="10">
        <v>5506</v>
      </c>
      <c r="G24" s="10">
        <v>7400</v>
      </c>
      <c r="H24" s="10">
        <v>5001</v>
      </c>
      <c r="I24" s="10">
        <v>3908</v>
      </c>
      <c r="J24" s="10">
        <v>7286</v>
      </c>
      <c r="K24" s="10">
        <v>5814</v>
      </c>
      <c r="L24" s="10">
        <v>10536</v>
      </c>
      <c r="M24" s="35">
        <v>9096</v>
      </c>
      <c r="N24" s="14">
        <f>(M24/C24)^(1/($M$3-$C$3))-1</f>
        <v>4.2520008812491739E-2</v>
      </c>
      <c r="Z24" s="25" t="s">
        <v>67</v>
      </c>
      <c r="AA24" s="31">
        <f>AA18</f>
        <v>151.10061534941778</v>
      </c>
      <c r="AB24" s="31">
        <f>AB18</f>
        <v>192.84692945286645</v>
      </c>
    </row>
    <row r="25" spans="1:29" x14ac:dyDescent="0.25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35"/>
      <c r="Z25" s="25" t="s">
        <v>68</v>
      </c>
      <c r="AA25" s="31">
        <f>AVERAGE(AA23:AA24)</f>
        <v>222.6295796185766</v>
      </c>
      <c r="AB25" s="31">
        <f>AVERAGE(AB23:AB24)</f>
        <v>286.03100127720575</v>
      </c>
    </row>
    <row r="26" spans="1:29" x14ac:dyDescent="0.25">
      <c r="A26" t="s">
        <v>14</v>
      </c>
      <c r="C26" s="10">
        <v>-1284</v>
      </c>
      <c r="D26" s="10">
        <v>-1048</v>
      </c>
      <c r="E26" s="10">
        <v>-1185</v>
      </c>
      <c r="F26" s="10">
        <v>-994</v>
      </c>
      <c r="G26" s="10">
        <v>-539</v>
      </c>
      <c r="H26" s="10">
        <v>-690</v>
      </c>
      <c r="I26" s="10">
        <v>-784</v>
      </c>
      <c r="J26" s="10">
        <v>-887</v>
      </c>
      <c r="K26" s="10">
        <v>-1407</v>
      </c>
      <c r="L26" s="10">
        <v>-1888</v>
      </c>
      <c r="M26" s="35">
        <v>-2262</v>
      </c>
      <c r="N26" s="14">
        <f>(M26/C26)^(1/($M$3-$C$3))-1</f>
        <v>5.8260917835020187E-2</v>
      </c>
      <c r="Z26" s="25" t="s">
        <v>69</v>
      </c>
      <c r="AA26" s="32">
        <f>(AA25/AA22)^(1/5)-1</f>
        <v>0.16468956665714551</v>
      </c>
      <c r="AB26" s="32">
        <f>(AB25/AA22)^(1/10)-1</f>
        <v>0.10659350421136615</v>
      </c>
    </row>
    <row r="27" spans="1:29" x14ac:dyDescent="0.25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35"/>
    </row>
    <row r="28" spans="1:29" x14ac:dyDescent="0.25">
      <c r="A28" t="s">
        <v>15</v>
      </c>
      <c r="C28" s="10">
        <f>710-591</f>
        <v>119</v>
      </c>
      <c r="D28" s="10">
        <f>534-439</f>
        <v>95</v>
      </c>
      <c r="E28" s="10">
        <v>0</v>
      </c>
      <c r="F28" s="10">
        <f>4083-3083+9973</f>
        <v>10973</v>
      </c>
      <c r="G28" s="10">
        <f>8949-8200</f>
        <v>749</v>
      </c>
      <c r="H28" s="10">
        <f>8558-9309+10953</f>
        <v>10202</v>
      </c>
      <c r="I28" s="10">
        <f>-5513+4</f>
        <v>-5509</v>
      </c>
      <c r="J28" s="10">
        <f>5989-6942</f>
        <v>-953</v>
      </c>
      <c r="K28" s="10">
        <f>2+1988-2219</f>
        <v>-229</v>
      </c>
      <c r="L28" s="10">
        <v>1</v>
      </c>
      <c r="M28" s="35">
        <f>7000-7003-349+1477-1540</f>
        <v>-415</v>
      </c>
    </row>
    <row r="29" spans="1:29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35"/>
    </row>
    <row r="30" spans="1:29" x14ac:dyDescent="0.25">
      <c r="A30" t="s">
        <v>16</v>
      </c>
      <c r="C30" s="10">
        <f>C24+C26+C28</f>
        <v>4833</v>
      </c>
      <c r="D30" s="10">
        <f t="shared" ref="D30:E30" si="9">D24+D26+D28</f>
        <v>7825</v>
      </c>
      <c r="E30" s="10">
        <f t="shared" si="9"/>
        <v>7702</v>
      </c>
      <c r="F30" s="10">
        <f t="shared" ref="F30:G30" si="10">F24+F26+F28</f>
        <v>15485</v>
      </c>
      <c r="G30" s="10">
        <f t="shared" si="10"/>
        <v>7610</v>
      </c>
      <c r="H30" s="10">
        <f t="shared" ref="H30:K30" si="11">H24+H26+H28</f>
        <v>14513</v>
      </c>
      <c r="I30" s="10">
        <f t="shared" si="11"/>
        <v>-2385</v>
      </c>
      <c r="J30" s="10">
        <f t="shared" si="11"/>
        <v>5446</v>
      </c>
      <c r="K30" s="10">
        <f t="shared" si="11"/>
        <v>4178</v>
      </c>
      <c r="L30" s="10">
        <f>L24+L26+L28</f>
        <v>8649</v>
      </c>
      <c r="M30" s="35">
        <f t="shared" ref="M30" si="12">M24+M26+M28</f>
        <v>6419</v>
      </c>
      <c r="N30" s="14">
        <f>(M30/C30)^(1/($M$3-$C$3))-1</f>
        <v>2.8786029449137773E-2</v>
      </c>
    </row>
    <row r="31" spans="1:29" x14ac:dyDescent="0.25"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5"/>
    </row>
    <row r="32" spans="1:29" x14ac:dyDescent="0.25">
      <c r="A32" t="s">
        <v>17</v>
      </c>
      <c r="C32" s="15">
        <f>C30/C14</f>
        <v>2.7759908098793797</v>
      </c>
      <c r="D32" s="15">
        <f t="shared" ref="D32:E32" si="13">D30/D14</f>
        <v>4.4612314709236029</v>
      </c>
      <c r="E32" s="15">
        <f t="shared" si="13"/>
        <v>4.4935822637106186</v>
      </c>
      <c r="F32" s="15">
        <f t="shared" ref="F32:G32" si="14">F30/F14</f>
        <v>9.4478340451494809</v>
      </c>
      <c r="G32" s="15">
        <f t="shared" si="14"/>
        <v>5.0801068090787718</v>
      </c>
      <c r="H32" s="15">
        <f t="shared" ref="H32:K32" si="15">H30/H14</f>
        <v>9.7402684563758388</v>
      </c>
      <c r="I32" s="15">
        <f t="shared" si="15"/>
        <v>-1.630211893369788</v>
      </c>
      <c r="J32" s="15">
        <f t="shared" si="15"/>
        <v>4.4639344262295078</v>
      </c>
      <c r="K32" s="15">
        <f t="shared" si="15"/>
        <v>3.6362053959965186</v>
      </c>
      <c r="L32" s="15">
        <f>L30/L14</f>
        <v>7.5274151436031334</v>
      </c>
      <c r="M32" s="40">
        <f t="shared" ref="M32" si="16">M30/M14</f>
        <v>5.6455584872471416</v>
      </c>
      <c r="N32" s="16">
        <f>AVERAGE(C32:L32)</f>
        <v>4.9996356927577059</v>
      </c>
      <c r="O32" s="11">
        <f>M32*(1+O33)</f>
        <v>5.9842919964819705</v>
      </c>
      <c r="P32" s="11">
        <f t="shared" ref="P32:X32" si="17">O32*(1+P33)</f>
        <v>6.3433495162708891</v>
      </c>
      <c r="Q32" s="11">
        <f t="shared" si="17"/>
        <v>6.7239504872471425</v>
      </c>
      <c r="R32" s="11">
        <f t="shared" si="17"/>
        <v>7.1273875164819716</v>
      </c>
      <c r="S32" s="11">
        <f t="shared" si="17"/>
        <v>7.5550307674708899</v>
      </c>
      <c r="T32" s="11">
        <f t="shared" si="17"/>
        <v>7.9327823058444347</v>
      </c>
      <c r="U32" s="11">
        <f t="shared" si="17"/>
        <v>8.3294214211366562</v>
      </c>
      <c r="V32" s="11">
        <f t="shared" si="17"/>
        <v>8.7458924921934891</v>
      </c>
      <c r="W32" s="11">
        <f t="shared" si="17"/>
        <v>9.1831871168031647</v>
      </c>
      <c r="X32" s="11">
        <f t="shared" si="17"/>
        <v>9.6423464726433235</v>
      </c>
    </row>
    <row r="33" spans="1:24" x14ac:dyDescent="0.25"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35"/>
      <c r="O33" s="20">
        <v>0.06</v>
      </c>
      <c r="P33" s="20">
        <v>0.06</v>
      </c>
      <c r="Q33" s="20">
        <v>0.06</v>
      </c>
      <c r="R33" s="20">
        <v>0.06</v>
      </c>
      <c r="S33" s="20">
        <v>0.06</v>
      </c>
      <c r="T33" s="20">
        <v>0.05</v>
      </c>
      <c r="U33" s="20">
        <v>0.05</v>
      </c>
      <c r="V33" s="20">
        <v>0.05</v>
      </c>
      <c r="W33" s="20">
        <v>0.05</v>
      </c>
      <c r="X33" s="20">
        <v>0.05</v>
      </c>
    </row>
    <row r="34" spans="1:24" x14ac:dyDescent="0.25">
      <c r="A34" t="s">
        <v>18</v>
      </c>
      <c r="C34" s="10">
        <v>45.742720295999959</v>
      </c>
      <c r="D34" s="10">
        <v>50.65523954761904</v>
      </c>
      <c r="E34" s="10">
        <v>59.27345803571427</v>
      </c>
      <c r="F34" s="10">
        <v>50.03730124999997</v>
      </c>
      <c r="G34" s="10">
        <v>47.552224599206362</v>
      </c>
      <c r="H34" s="10">
        <v>48.760600685258986</v>
      </c>
      <c r="I34" s="10">
        <v>54.722649183266959</v>
      </c>
      <c r="J34" s="10">
        <v>66.527242551587335</v>
      </c>
      <c r="K34" s="10">
        <v>97.94007295652176</v>
      </c>
      <c r="L34" s="10">
        <v>141.93364302380951</v>
      </c>
      <c r="M34" s="35">
        <v>144</v>
      </c>
      <c r="N34" s="14">
        <f>(M34/C34)^(1/($M$3-$C$3))-1</f>
        <v>0.12151232422528602</v>
      </c>
    </row>
    <row r="35" spans="1:24" x14ac:dyDescent="0.25">
      <c r="M35" s="37"/>
    </row>
    <row r="36" spans="1:24" x14ac:dyDescent="0.25">
      <c r="A36" t="s">
        <v>19</v>
      </c>
      <c r="C36" s="9">
        <f t="shared" ref="C36:L36" si="18">C32/C34</f>
        <v>6.0687051227299449E-2</v>
      </c>
      <c r="D36" s="9">
        <f t="shared" si="18"/>
        <v>8.8070484134810403E-2</v>
      </c>
      <c r="E36" s="9">
        <f t="shared" si="18"/>
        <v>7.5811036045899033E-2</v>
      </c>
      <c r="F36" s="9">
        <f t="shared" si="18"/>
        <v>0.18881581958118668</v>
      </c>
      <c r="G36" s="9">
        <f t="shared" si="18"/>
        <v>0.1068321587874473</v>
      </c>
      <c r="H36" s="9">
        <f t="shared" si="18"/>
        <v>0.19975694145458833</v>
      </c>
      <c r="I36" s="9">
        <f t="shared" si="18"/>
        <v>-2.9790441758588557E-2</v>
      </c>
      <c r="J36" s="9">
        <f t="shared" si="18"/>
        <v>6.7099345396256754E-2</v>
      </c>
      <c r="K36" s="9">
        <f t="shared" si="18"/>
        <v>3.7126839772834645E-2</v>
      </c>
      <c r="L36" s="9">
        <f t="shared" si="18"/>
        <v>5.3034749078767762E-2</v>
      </c>
      <c r="M36" s="41">
        <f>M32/M34</f>
        <v>3.9205267272549596E-2</v>
      </c>
      <c r="N36" s="17">
        <f>AVERAGE(C36:L36)</f>
        <v>8.4744398372050167E-2</v>
      </c>
    </row>
    <row r="38" spans="1:24" x14ac:dyDescent="0.25">
      <c r="A38" s="1" t="s">
        <v>20</v>
      </c>
    </row>
    <row r="39" spans="1:24" x14ac:dyDescent="0.25">
      <c r="A39" s="1" t="s">
        <v>57</v>
      </c>
    </row>
  </sheetData>
  <mergeCells count="4">
    <mergeCell ref="Z3:AB3"/>
    <mergeCell ref="Z14:AB14"/>
    <mergeCell ref="Z20:AB20"/>
    <mergeCell ref="AA22:AB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0D3C-D755-40A3-86D7-F8CA85AE0102}">
  <dimension ref="A3:M36"/>
  <sheetViews>
    <sheetView workbookViewId="0">
      <selection activeCell="M25" sqref="M25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7" t="s">
        <v>22</v>
      </c>
      <c r="B3" t="s">
        <v>56</v>
      </c>
    </row>
    <row r="4" spans="1:2" x14ac:dyDescent="0.25">
      <c r="A4" s="8" t="s">
        <v>24</v>
      </c>
      <c r="B4" s="6">
        <v>0.39794341666666672</v>
      </c>
    </row>
    <row r="5" spans="1:2" x14ac:dyDescent="0.25">
      <c r="A5" s="8" t="s">
        <v>25</v>
      </c>
      <c r="B5" s="6">
        <v>0.42603702755905487</v>
      </c>
    </row>
    <row r="6" spans="1:2" x14ac:dyDescent="0.25">
      <c r="A6" s="8" t="s">
        <v>26</v>
      </c>
      <c r="B6" s="6">
        <v>1.1306425138339919</v>
      </c>
    </row>
    <row r="7" spans="1:2" x14ac:dyDescent="0.25">
      <c r="A7" s="8" t="s">
        <v>27</v>
      </c>
      <c r="B7" s="6">
        <v>0.94959846428571537</v>
      </c>
    </row>
    <row r="8" spans="1:2" x14ac:dyDescent="0.25">
      <c r="A8" s="8" t="s">
        <v>28</v>
      </c>
      <c r="B8" s="6">
        <v>1.4649730039682543</v>
      </c>
    </row>
    <row r="9" spans="1:2" x14ac:dyDescent="0.25">
      <c r="A9" s="8" t="s">
        <v>29</v>
      </c>
      <c r="B9" s="6">
        <v>1.7399440826771655</v>
      </c>
    </row>
    <row r="10" spans="1:2" x14ac:dyDescent="0.25">
      <c r="A10" s="8" t="s">
        <v>30</v>
      </c>
      <c r="B10" s="6">
        <v>2.2121583122529644</v>
      </c>
    </row>
    <row r="11" spans="1:2" x14ac:dyDescent="0.25">
      <c r="A11" s="8" t="s">
        <v>31</v>
      </c>
      <c r="B11" s="6">
        <v>2.1480475714285703</v>
      </c>
    </row>
    <row r="12" spans="1:2" x14ac:dyDescent="0.25">
      <c r="A12" s="8" t="s">
        <v>32</v>
      </c>
      <c r="B12" s="6">
        <v>13.445111698412701</v>
      </c>
    </row>
    <row r="13" spans="1:2" x14ac:dyDescent="0.25">
      <c r="A13" s="8" t="s">
        <v>33</v>
      </c>
      <c r="B13" s="6">
        <v>31.356804936507945</v>
      </c>
    </row>
    <row r="14" spans="1:2" x14ac:dyDescent="0.25">
      <c r="A14" s="8" t="s">
        <v>34</v>
      </c>
      <c r="B14" s="6">
        <v>19.950920504032261</v>
      </c>
    </row>
    <row r="15" spans="1:2" x14ac:dyDescent="0.25">
      <c r="A15" s="8" t="s">
        <v>35</v>
      </c>
      <c r="B15" s="6">
        <v>11.436106369047616</v>
      </c>
    </row>
    <row r="16" spans="1:2" x14ac:dyDescent="0.25">
      <c r="A16" s="8" t="s">
        <v>36</v>
      </c>
      <c r="B16" s="6">
        <v>13.095851908730157</v>
      </c>
    </row>
    <row r="17" spans="1:13" x14ac:dyDescent="0.25">
      <c r="A17" s="8" t="s">
        <v>37</v>
      </c>
      <c r="B17" s="6">
        <v>23.960397492063485</v>
      </c>
    </row>
    <row r="18" spans="1:13" x14ac:dyDescent="0.25">
      <c r="A18" s="8" t="s">
        <v>38</v>
      </c>
      <c r="B18" s="6">
        <v>26.647562464285706</v>
      </c>
    </row>
    <row r="19" spans="1:13" x14ac:dyDescent="0.25">
      <c r="A19" s="8" t="s">
        <v>39</v>
      </c>
      <c r="B19" s="6">
        <v>29.023154398406369</v>
      </c>
    </row>
    <row r="20" spans="1:13" x14ac:dyDescent="0.25">
      <c r="A20" s="8" t="s">
        <v>40</v>
      </c>
      <c r="B20" s="6">
        <v>28.590275298804784</v>
      </c>
    </row>
    <row r="21" spans="1:13" x14ac:dyDescent="0.25">
      <c r="A21" s="8" t="s">
        <v>41</v>
      </c>
      <c r="B21" s="6">
        <v>30.016996786561268</v>
      </c>
    </row>
    <row r="22" spans="1:13" x14ac:dyDescent="0.25">
      <c r="A22" s="8" t="s">
        <v>42</v>
      </c>
      <c r="B22" s="6">
        <v>30.090542861111118</v>
      </c>
    </row>
    <row r="23" spans="1:13" x14ac:dyDescent="0.25">
      <c r="A23" s="8" t="s">
        <v>43</v>
      </c>
      <c r="B23" s="6">
        <v>30.060752587301607</v>
      </c>
    </row>
    <row r="24" spans="1:13" x14ac:dyDescent="0.25">
      <c r="A24" s="8" t="s">
        <v>44</v>
      </c>
      <c r="B24" s="6">
        <v>39.944671202380931</v>
      </c>
    </row>
    <row r="25" spans="1:13" x14ac:dyDescent="0.25">
      <c r="A25" s="8" t="s">
        <v>45</v>
      </c>
      <c r="B25" s="6">
        <v>45.742720295999959</v>
      </c>
      <c r="D25" cm="1">
        <f t="array" ref="D25:M25">TRANSPOSE(B25:B34)</f>
        <v>45.742720295999959</v>
      </c>
      <c r="E25">
        <v>50.65523954761904</v>
      </c>
      <c r="F25">
        <v>59.27345803571427</v>
      </c>
      <c r="G25">
        <v>50.03730124999997</v>
      </c>
      <c r="H25">
        <v>47.552224599206362</v>
      </c>
      <c r="I25">
        <v>48.760600685258986</v>
      </c>
      <c r="J25">
        <v>54.722649183266959</v>
      </c>
      <c r="K25">
        <v>66.527242551587335</v>
      </c>
      <c r="L25">
        <v>97.94007295652176</v>
      </c>
      <c r="M25">
        <v>141.93364302380951</v>
      </c>
    </row>
    <row r="26" spans="1:13" x14ac:dyDescent="0.25">
      <c r="A26" s="8" t="s">
        <v>46</v>
      </c>
      <c r="B26" s="6">
        <v>50.65523954761904</v>
      </c>
    </row>
    <row r="27" spans="1:13" x14ac:dyDescent="0.25">
      <c r="A27" s="8" t="s">
        <v>47</v>
      </c>
      <c r="B27" s="6">
        <v>59.27345803571427</v>
      </c>
    </row>
    <row r="28" spans="1:13" x14ac:dyDescent="0.25">
      <c r="A28" s="8" t="s">
        <v>48</v>
      </c>
      <c r="B28" s="6">
        <v>50.03730124999997</v>
      </c>
    </row>
    <row r="29" spans="1:13" x14ac:dyDescent="0.25">
      <c r="A29" s="8" t="s">
        <v>49</v>
      </c>
      <c r="B29" s="6">
        <v>47.552224599206362</v>
      </c>
    </row>
    <row r="30" spans="1:13" x14ac:dyDescent="0.25">
      <c r="A30" s="8" t="s">
        <v>50</v>
      </c>
      <c r="B30" s="6">
        <v>48.760600685258986</v>
      </c>
    </row>
    <row r="31" spans="1:13" x14ac:dyDescent="0.25">
      <c r="A31" s="8" t="s">
        <v>51</v>
      </c>
      <c r="B31" s="6">
        <v>54.722649183266959</v>
      </c>
    </row>
    <row r="32" spans="1:13" x14ac:dyDescent="0.25">
      <c r="A32" s="8" t="s">
        <v>52</v>
      </c>
      <c r="B32" s="6">
        <v>66.527242551587335</v>
      </c>
    </row>
    <row r="33" spans="1:2" x14ac:dyDescent="0.25">
      <c r="A33" s="8" t="s">
        <v>53</v>
      </c>
      <c r="B33" s="6">
        <v>97.94007295652176</v>
      </c>
    </row>
    <row r="34" spans="1:2" x14ac:dyDescent="0.25">
      <c r="A34" s="8" t="s">
        <v>54</v>
      </c>
      <c r="B34" s="6">
        <v>141.93364302380951</v>
      </c>
    </row>
    <row r="35" spans="1:2" x14ac:dyDescent="0.25">
      <c r="A35" s="8" t="s">
        <v>55</v>
      </c>
      <c r="B35" s="6">
        <v>144.0769790404041</v>
      </c>
    </row>
    <row r="36" spans="1:2" x14ac:dyDescent="0.25">
      <c r="A36" s="8" t="s">
        <v>23</v>
      </c>
      <c r="B36" s="6">
        <v>36.115584450051394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16B-410C-43E3-8D91-C180C2DBA61B}">
  <dimension ref="A1:B7769"/>
  <sheetViews>
    <sheetView workbookViewId="0"/>
  </sheetViews>
  <sheetFormatPr defaultRowHeight="15" x14ac:dyDescent="0.25"/>
  <cols>
    <col min="1" max="1" width="10.7109375" bestFit="1" customWidth="1"/>
    <col min="2" max="3" width="9.140625" bestFit="1" customWidth="1"/>
  </cols>
  <sheetData>
    <row r="1" spans="1:2" x14ac:dyDescent="0.25">
      <c r="A1" t="s">
        <v>1</v>
      </c>
      <c r="B1" t="s">
        <v>21</v>
      </c>
    </row>
    <row r="2" spans="1:2" x14ac:dyDescent="0.25">
      <c r="A2" s="5">
        <v>33585</v>
      </c>
      <c r="B2">
        <v>0.36713600000000002</v>
      </c>
    </row>
    <row r="3" spans="1:2" x14ac:dyDescent="0.25">
      <c r="A3" s="5">
        <v>33588</v>
      </c>
      <c r="B3">
        <v>0.362037</v>
      </c>
    </row>
    <row r="4" spans="1:2" x14ac:dyDescent="0.25">
      <c r="A4" s="5">
        <v>33589</v>
      </c>
      <c r="B4">
        <v>0.362037</v>
      </c>
    </row>
    <row r="5" spans="1:2" x14ac:dyDescent="0.25">
      <c r="A5" s="5">
        <v>33590</v>
      </c>
      <c r="B5">
        <v>0.37223600000000001</v>
      </c>
    </row>
    <row r="6" spans="1:2" x14ac:dyDescent="0.25">
      <c r="A6" s="5">
        <v>33591</v>
      </c>
      <c r="B6">
        <v>0.35693799999999998</v>
      </c>
    </row>
    <row r="7" spans="1:2" x14ac:dyDescent="0.25">
      <c r="A7" s="5">
        <v>33592</v>
      </c>
      <c r="B7">
        <v>0.36713600000000002</v>
      </c>
    </row>
    <row r="8" spans="1:2" x14ac:dyDescent="0.25">
      <c r="A8" s="5">
        <v>33595</v>
      </c>
      <c r="B8">
        <v>0.36458699999999999</v>
      </c>
    </row>
    <row r="9" spans="1:2" x14ac:dyDescent="0.25">
      <c r="A9" s="5">
        <v>33596</v>
      </c>
      <c r="B9">
        <v>0.39263199999999998</v>
      </c>
    </row>
    <row r="10" spans="1:2" x14ac:dyDescent="0.25">
      <c r="A10" s="5">
        <v>33598</v>
      </c>
      <c r="B10">
        <v>0.44872200000000001</v>
      </c>
    </row>
    <row r="11" spans="1:2" x14ac:dyDescent="0.25">
      <c r="A11" s="5">
        <v>33599</v>
      </c>
      <c r="B11">
        <v>0.433425</v>
      </c>
    </row>
    <row r="12" spans="1:2" x14ac:dyDescent="0.25">
      <c r="A12" s="5">
        <v>33602</v>
      </c>
      <c r="B12">
        <v>0.44362299999999999</v>
      </c>
    </row>
    <row r="13" spans="1:2" x14ac:dyDescent="0.25">
      <c r="A13" s="5">
        <v>33603</v>
      </c>
      <c r="B13">
        <v>0.50481200000000004</v>
      </c>
    </row>
    <row r="14" spans="1:2" x14ac:dyDescent="0.25">
      <c r="A14" s="5">
        <v>33605</v>
      </c>
      <c r="B14">
        <v>0.56345199999999995</v>
      </c>
    </row>
    <row r="15" spans="1:2" x14ac:dyDescent="0.25">
      <c r="A15" s="5">
        <v>33606</v>
      </c>
      <c r="B15">
        <v>0.57110099999999997</v>
      </c>
    </row>
    <row r="16" spans="1:2" x14ac:dyDescent="0.25">
      <c r="A16" s="5">
        <v>33609</v>
      </c>
      <c r="B16">
        <v>0.53540699999999997</v>
      </c>
    </row>
    <row r="17" spans="1:2" x14ac:dyDescent="0.25">
      <c r="A17" s="5">
        <v>33610</v>
      </c>
      <c r="B17">
        <v>0.52010999999999996</v>
      </c>
    </row>
    <row r="18" spans="1:2" x14ac:dyDescent="0.25">
      <c r="A18" s="5">
        <v>33611</v>
      </c>
      <c r="B18">
        <v>0.45891999999999999</v>
      </c>
    </row>
    <row r="19" spans="1:2" x14ac:dyDescent="0.25">
      <c r="A19" s="5">
        <v>33612</v>
      </c>
      <c r="B19">
        <v>0.50481200000000004</v>
      </c>
    </row>
    <row r="20" spans="1:2" x14ac:dyDescent="0.25">
      <c r="A20" s="5">
        <v>33613</v>
      </c>
      <c r="B20">
        <v>0.48951499999999998</v>
      </c>
    </row>
    <row r="21" spans="1:2" x14ac:dyDescent="0.25">
      <c r="A21" s="5">
        <v>33616</v>
      </c>
      <c r="B21">
        <v>0.530308</v>
      </c>
    </row>
    <row r="22" spans="1:2" x14ac:dyDescent="0.25">
      <c r="A22" s="5">
        <v>33617</v>
      </c>
      <c r="B22">
        <v>0.53540699999999997</v>
      </c>
    </row>
    <row r="23" spans="1:2" x14ac:dyDescent="0.25">
      <c r="A23" s="5">
        <v>33618</v>
      </c>
      <c r="B23">
        <v>0.54050600000000004</v>
      </c>
    </row>
    <row r="24" spans="1:2" x14ac:dyDescent="0.25">
      <c r="A24" s="5">
        <v>33619</v>
      </c>
      <c r="B24">
        <v>0.52520900000000004</v>
      </c>
    </row>
    <row r="25" spans="1:2" x14ac:dyDescent="0.25">
      <c r="A25" s="5">
        <v>33620</v>
      </c>
      <c r="B25">
        <v>0.515011</v>
      </c>
    </row>
    <row r="26" spans="1:2" x14ac:dyDescent="0.25">
      <c r="A26" s="5">
        <v>33623</v>
      </c>
      <c r="B26">
        <v>0.509911</v>
      </c>
    </row>
    <row r="27" spans="1:2" x14ac:dyDescent="0.25">
      <c r="A27" s="5">
        <v>33624</v>
      </c>
      <c r="B27">
        <v>0.48951499999999998</v>
      </c>
    </row>
    <row r="28" spans="1:2" x14ac:dyDescent="0.25">
      <c r="A28" s="5">
        <v>33625</v>
      </c>
      <c r="B28">
        <v>0.509911</v>
      </c>
    </row>
    <row r="29" spans="1:2" x14ac:dyDescent="0.25">
      <c r="A29" s="5">
        <v>33626</v>
      </c>
      <c r="B29">
        <v>0.47931699999999999</v>
      </c>
    </row>
    <row r="30" spans="1:2" x14ac:dyDescent="0.25">
      <c r="A30" s="5">
        <v>33627</v>
      </c>
      <c r="B30">
        <v>0.48441600000000001</v>
      </c>
    </row>
    <row r="31" spans="1:2" x14ac:dyDescent="0.25">
      <c r="A31" s="5">
        <v>33630</v>
      </c>
      <c r="B31">
        <v>0.47421799999999997</v>
      </c>
    </row>
    <row r="32" spans="1:2" x14ac:dyDescent="0.25">
      <c r="A32" s="5">
        <v>33631</v>
      </c>
      <c r="B32">
        <v>0.45891999999999999</v>
      </c>
    </row>
    <row r="33" spans="1:2" x14ac:dyDescent="0.25">
      <c r="A33" s="5">
        <v>33632</v>
      </c>
      <c r="B33">
        <v>0.46911799999999998</v>
      </c>
    </row>
    <row r="34" spans="1:2" x14ac:dyDescent="0.25">
      <c r="A34" s="5">
        <v>33633</v>
      </c>
      <c r="B34">
        <v>0.48441600000000001</v>
      </c>
    </row>
    <row r="35" spans="1:2" x14ac:dyDescent="0.25">
      <c r="A35" s="5">
        <v>33634</v>
      </c>
      <c r="B35">
        <v>0.48951499999999998</v>
      </c>
    </row>
    <row r="36" spans="1:2" x14ac:dyDescent="0.25">
      <c r="A36" s="5">
        <v>33637</v>
      </c>
      <c r="B36">
        <v>0.50226199999999999</v>
      </c>
    </row>
    <row r="37" spans="1:2" x14ac:dyDescent="0.25">
      <c r="A37" s="5">
        <v>33638</v>
      </c>
      <c r="B37">
        <v>0.509911</v>
      </c>
    </row>
    <row r="38" spans="1:2" x14ac:dyDescent="0.25">
      <c r="A38" s="5">
        <v>33639</v>
      </c>
      <c r="B38">
        <v>0.50481200000000004</v>
      </c>
    </row>
    <row r="39" spans="1:2" x14ac:dyDescent="0.25">
      <c r="A39" s="5">
        <v>33640</v>
      </c>
      <c r="B39">
        <v>0.494614</v>
      </c>
    </row>
    <row r="40" spans="1:2" x14ac:dyDescent="0.25">
      <c r="A40" s="5">
        <v>33641</v>
      </c>
      <c r="B40">
        <v>0.47931699999999999</v>
      </c>
    </row>
    <row r="41" spans="1:2" x14ac:dyDescent="0.25">
      <c r="A41" s="5">
        <v>33644</v>
      </c>
      <c r="B41">
        <v>0.45891999999999999</v>
      </c>
    </row>
    <row r="42" spans="1:2" x14ac:dyDescent="0.25">
      <c r="A42" s="5">
        <v>33645</v>
      </c>
      <c r="B42">
        <v>0.46401999999999999</v>
      </c>
    </row>
    <row r="43" spans="1:2" x14ac:dyDescent="0.25">
      <c r="A43" s="5">
        <v>33646</v>
      </c>
      <c r="B43">
        <v>0.48951499999999998</v>
      </c>
    </row>
    <row r="44" spans="1:2" x14ac:dyDescent="0.25">
      <c r="A44" s="5">
        <v>33647</v>
      </c>
      <c r="B44">
        <v>0.46401999999999999</v>
      </c>
    </row>
    <row r="45" spans="1:2" x14ac:dyDescent="0.25">
      <c r="A45" s="5">
        <v>33648</v>
      </c>
      <c r="B45">
        <v>0.47421799999999997</v>
      </c>
    </row>
    <row r="46" spans="1:2" x14ac:dyDescent="0.25">
      <c r="A46" s="5">
        <v>33652</v>
      </c>
      <c r="B46">
        <v>0.46401999999999999</v>
      </c>
    </row>
    <row r="47" spans="1:2" x14ac:dyDescent="0.25">
      <c r="A47" s="5">
        <v>33653</v>
      </c>
      <c r="B47">
        <v>0.44872200000000001</v>
      </c>
    </row>
    <row r="48" spans="1:2" x14ac:dyDescent="0.25">
      <c r="A48" s="5">
        <v>33654</v>
      </c>
      <c r="B48">
        <v>0.47421799999999997</v>
      </c>
    </row>
    <row r="49" spans="1:2" x14ac:dyDescent="0.25">
      <c r="A49" s="5">
        <v>33655</v>
      </c>
      <c r="B49">
        <v>0.42832599999999998</v>
      </c>
    </row>
    <row r="50" spans="1:2" x14ac:dyDescent="0.25">
      <c r="A50" s="5">
        <v>33658</v>
      </c>
      <c r="B50">
        <v>0.40028000000000002</v>
      </c>
    </row>
    <row r="51" spans="1:2" x14ac:dyDescent="0.25">
      <c r="A51" s="5">
        <v>33659</v>
      </c>
      <c r="B51">
        <v>0.40792899999999999</v>
      </c>
    </row>
    <row r="52" spans="1:2" x14ac:dyDescent="0.25">
      <c r="A52" s="5">
        <v>33660</v>
      </c>
      <c r="B52">
        <v>0.42322700000000002</v>
      </c>
    </row>
    <row r="53" spans="1:2" x14ac:dyDescent="0.25">
      <c r="A53" s="5">
        <v>33661</v>
      </c>
      <c r="B53">
        <v>0.41302800000000001</v>
      </c>
    </row>
    <row r="54" spans="1:2" x14ac:dyDescent="0.25">
      <c r="A54" s="5">
        <v>33662</v>
      </c>
      <c r="B54">
        <v>0.41812700000000003</v>
      </c>
    </row>
    <row r="55" spans="1:2" x14ac:dyDescent="0.25">
      <c r="A55" s="5">
        <v>33665</v>
      </c>
      <c r="B55">
        <v>0.41812700000000003</v>
      </c>
    </row>
    <row r="56" spans="1:2" x14ac:dyDescent="0.25">
      <c r="A56" s="5">
        <v>33666</v>
      </c>
      <c r="B56">
        <v>0.40283000000000002</v>
      </c>
    </row>
    <row r="57" spans="1:2" x14ac:dyDescent="0.25">
      <c r="A57" s="5">
        <v>33667</v>
      </c>
      <c r="B57">
        <v>0.397731</v>
      </c>
    </row>
    <row r="58" spans="1:2" x14ac:dyDescent="0.25">
      <c r="A58" s="5">
        <v>33668</v>
      </c>
      <c r="B58">
        <v>0.38753199999999999</v>
      </c>
    </row>
    <row r="59" spans="1:2" x14ac:dyDescent="0.25">
      <c r="A59" s="5">
        <v>33669</v>
      </c>
      <c r="B59">
        <v>0.377334</v>
      </c>
    </row>
    <row r="60" spans="1:2" x14ac:dyDescent="0.25">
      <c r="A60" s="5">
        <v>33672</v>
      </c>
      <c r="B60">
        <v>0.377334</v>
      </c>
    </row>
    <row r="61" spans="1:2" x14ac:dyDescent="0.25">
      <c r="A61" s="5">
        <v>33673</v>
      </c>
      <c r="B61">
        <v>0.40283000000000002</v>
      </c>
    </row>
    <row r="62" spans="1:2" x14ac:dyDescent="0.25">
      <c r="A62" s="5">
        <v>33674</v>
      </c>
      <c r="B62">
        <v>0.377334</v>
      </c>
    </row>
    <row r="63" spans="1:2" x14ac:dyDescent="0.25">
      <c r="A63" s="5">
        <v>33675</v>
      </c>
      <c r="B63">
        <v>0.39263199999999998</v>
      </c>
    </row>
    <row r="64" spans="1:2" x14ac:dyDescent="0.25">
      <c r="A64" s="5">
        <v>33676</v>
      </c>
      <c r="B64">
        <v>0.39263199999999998</v>
      </c>
    </row>
    <row r="65" spans="1:2" x14ac:dyDescent="0.25">
      <c r="A65" s="5">
        <v>33679</v>
      </c>
      <c r="B65">
        <v>0.377334</v>
      </c>
    </row>
    <row r="66" spans="1:2" x14ac:dyDescent="0.25">
      <c r="A66" s="5">
        <v>33680</v>
      </c>
      <c r="B66">
        <v>0.382434</v>
      </c>
    </row>
    <row r="67" spans="1:2" x14ac:dyDescent="0.25">
      <c r="A67" s="5">
        <v>33681</v>
      </c>
      <c r="B67">
        <v>0.415578</v>
      </c>
    </row>
    <row r="68" spans="1:2" x14ac:dyDescent="0.25">
      <c r="A68" s="5">
        <v>33682</v>
      </c>
      <c r="B68">
        <v>0.44362299999999999</v>
      </c>
    </row>
    <row r="69" spans="1:2" x14ac:dyDescent="0.25">
      <c r="A69" s="5">
        <v>33683</v>
      </c>
      <c r="B69">
        <v>0.45382099999999997</v>
      </c>
    </row>
    <row r="70" spans="1:2" x14ac:dyDescent="0.25">
      <c r="A70" s="5">
        <v>33686</v>
      </c>
      <c r="B70">
        <v>0.43852400000000002</v>
      </c>
    </row>
    <row r="71" spans="1:2" x14ac:dyDescent="0.25">
      <c r="A71" s="5">
        <v>33687</v>
      </c>
      <c r="B71">
        <v>0.43852400000000002</v>
      </c>
    </row>
    <row r="72" spans="1:2" x14ac:dyDescent="0.25">
      <c r="A72" s="5">
        <v>33688</v>
      </c>
      <c r="B72">
        <v>0.44872200000000001</v>
      </c>
    </row>
    <row r="73" spans="1:2" x14ac:dyDescent="0.25">
      <c r="A73" s="5">
        <v>33689</v>
      </c>
      <c r="B73">
        <v>0.45382099999999997</v>
      </c>
    </row>
    <row r="74" spans="1:2" x14ac:dyDescent="0.25">
      <c r="A74" s="5">
        <v>33690</v>
      </c>
      <c r="B74">
        <v>0.43852400000000002</v>
      </c>
    </row>
    <row r="75" spans="1:2" x14ac:dyDescent="0.25">
      <c r="A75" s="5">
        <v>33693</v>
      </c>
      <c r="B75">
        <v>0.43852400000000002</v>
      </c>
    </row>
    <row r="76" spans="1:2" x14ac:dyDescent="0.25">
      <c r="A76" s="5">
        <v>33694</v>
      </c>
      <c r="B76">
        <v>0.46911799999999998</v>
      </c>
    </row>
    <row r="77" spans="1:2" x14ac:dyDescent="0.25">
      <c r="A77" s="5">
        <v>33695</v>
      </c>
      <c r="B77">
        <v>0.44617299999999999</v>
      </c>
    </row>
    <row r="78" spans="1:2" x14ac:dyDescent="0.25">
      <c r="A78" s="5">
        <v>33696</v>
      </c>
      <c r="B78">
        <v>0.42322700000000002</v>
      </c>
    </row>
    <row r="79" spans="1:2" x14ac:dyDescent="0.25">
      <c r="A79" s="5">
        <v>33697</v>
      </c>
      <c r="B79">
        <v>0.42322700000000002</v>
      </c>
    </row>
    <row r="80" spans="1:2" x14ac:dyDescent="0.25">
      <c r="A80" s="5">
        <v>33700</v>
      </c>
      <c r="B80">
        <v>0.43087500000000001</v>
      </c>
    </row>
    <row r="81" spans="1:2" x14ac:dyDescent="0.25">
      <c r="A81" s="5">
        <v>33701</v>
      </c>
      <c r="B81">
        <v>0.433425</v>
      </c>
    </row>
    <row r="82" spans="1:2" x14ac:dyDescent="0.25">
      <c r="A82" s="5">
        <v>33702</v>
      </c>
      <c r="B82">
        <v>0.433425</v>
      </c>
    </row>
    <row r="83" spans="1:2" x14ac:dyDescent="0.25">
      <c r="A83" s="5">
        <v>33703</v>
      </c>
      <c r="B83">
        <v>0.42832599999999998</v>
      </c>
    </row>
    <row r="84" spans="1:2" x14ac:dyDescent="0.25">
      <c r="A84" s="5">
        <v>33704</v>
      </c>
      <c r="B84">
        <v>0.43852400000000002</v>
      </c>
    </row>
    <row r="85" spans="1:2" x14ac:dyDescent="0.25">
      <c r="A85" s="5">
        <v>33707</v>
      </c>
      <c r="B85">
        <v>0.44872200000000001</v>
      </c>
    </row>
    <row r="86" spans="1:2" x14ac:dyDescent="0.25">
      <c r="A86" s="5">
        <v>33708</v>
      </c>
      <c r="B86">
        <v>0.45891999999999999</v>
      </c>
    </row>
    <row r="87" spans="1:2" x14ac:dyDescent="0.25">
      <c r="A87" s="5">
        <v>33709</v>
      </c>
      <c r="B87">
        <v>0.47421799999999997</v>
      </c>
    </row>
    <row r="88" spans="1:2" x14ac:dyDescent="0.25">
      <c r="A88" s="5">
        <v>33710</v>
      </c>
      <c r="B88">
        <v>0.46656900000000001</v>
      </c>
    </row>
    <row r="89" spans="1:2" x14ac:dyDescent="0.25">
      <c r="A89" s="5">
        <v>33714</v>
      </c>
      <c r="B89">
        <v>0.46911799999999998</v>
      </c>
    </row>
    <row r="90" spans="1:2" x14ac:dyDescent="0.25">
      <c r="A90" s="5">
        <v>33715</v>
      </c>
      <c r="B90">
        <v>0.47421799999999997</v>
      </c>
    </row>
    <row r="91" spans="1:2" x14ac:dyDescent="0.25">
      <c r="A91" s="5">
        <v>33716</v>
      </c>
      <c r="B91">
        <v>0.48951499999999998</v>
      </c>
    </row>
    <row r="92" spans="1:2" x14ac:dyDescent="0.25">
      <c r="A92" s="5">
        <v>33717</v>
      </c>
      <c r="B92">
        <v>0.47421799999999997</v>
      </c>
    </row>
    <row r="93" spans="1:2" x14ac:dyDescent="0.25">
      <c r="A93" s="5">
        <v>33718</v>
      </c>
      <c r="B93">
        <v>0.46401999999999999</v>
      </c>
    </row>
    <row r="94" spans="1:2" x14ac:dyDescent="0.25">
      <c r="A94" s="5">
        <v>33721</v>
      </c>
      <c r="B94">
        <v>0.45891999999999999</v>
      </c>
    </row>
    <row r="95" spans="1:2" x14ac:dyDescent="0.25">
      <c r="A95" s="5">
        <v>33722</v>
      </c>
      <c r="B95">
        <v>0.433425</v>
      </c>
    </row>
    <row r="96" spans="1:2" x14ac:dyDescent="0.25">
      <c r="A96" s="5">
        <v>33723</v>
      </c>
      <c r="B96">
        <v>0.44362299999999999</v>
      </c>
    </row>
    <row r="97" spans="1:2" x14ac:dyDescent="0.25">
      <c r="A97" s="5">
        <v>33724</v>
      </c>
      <c r="B97">
        <v>0.42832599999999998</v>
      </c>
    </row>
    <row r="98" spans="1:2" x14ac:dyDescent="0.25">
      <c r="A98" s="5">
        <v>33725</v>
      </c>
      <c r="B98">
        <v>0.433425</v>
      </c>
    </row>
    <row r="99" spans="1:2" x14ac:dyDescent="0.25">
      <c r="A99" s="5">
        <v>33728</v>
      </c>
      <c r="B99">
        <v>0.433425</v>
      </c>
    </row>
    <row r="100" spans="1:2" x14ac:dyDescent="0.25">
      <c r="A100" s="5">
        <v>33729</v>
      </c>
      <c r="B100">
        <v>0.43852400000000002</v>
      </c>
    </row>
    <row r="101" spans="1:2" x14ac:dyDescent="0.25">
      <c r="A101" s="5">
        <v>33730</v>
      </c>
      <c r="B101">
        <v>0.43852400000000002</v>
      </c>
    </row>
    <row r="102" spans="1:2" x14ac:dyDescent="0.25">
      <c r="A102" s="5">
        <v>33731</v>
      </c>
      <c r="B102">
        <v>0.433425</v>
      </c>
    </row>
    <row r="103" spans="1:2" x14ac:dyDescent="0.25">
      <c r="A103" s="5">
        <v>33732</v>
      </c>
      <c r="B103">
        <v>0.433425</v>
      </c>
    </row>
    <row r="104" spans="1:2" x14ac:dyDescent="0.25">
      <c r="A104" s="5">
        <v>33735</v>
      </c>
      <c r="B104">
        <v>0.433425</v>
      </c>
    </row>
    <row r="105" spans="1:2" x14ac:dyDescent="0.25">
      <c r="A105" s="5">
        <v>33736</v>
      </c>
      <c r="B105">
        <v>0.40792899999999999</v>
      </c>
    </row>
    <row r="106" spans="1:2" x14ac:dyDescent="0.25">
      <c r="A106" s="5">
        <v>33737</v>
      </c>
      <c r="B106">
        <v>0.39263199999999998</v>
      </c>
    </row>
    <row r="107" spans="1:2" x14ac:dyDescent="0.25">
      <c r="A107" s="5">
        <v>33738</v>
      </c>
      <c r="B107">
        <v>0.39263199999999998</v>
      </c>
    </row>
    <row r="108" spans="1:2" x14ac:dyDescent="0.25">
      <c r="A108" s="5">
        <v>33739</v>
      </c>
      <c r="B108">
        <v>0.382434</v>
      </c>
    </row>
    <row r="109" spans="1:2" x14ac:dyDescent="0.25">
      <c r="A109" s="5">
        <v>33742</v>
      </c>
      <c r="B109">
        <v>0.379884</v>
      </c>
    </row>
    <row r="110" spans="1:2" x14ac:dyDescent="0.25">
      <c r="A110" s="5">
        <v>33743</v>
      </c>
      <c r="B110">
        <v>0.377334</v>
      </c>
    </row>
    <row r="111" spans="1:2" x14ac:dyDescent="0.25">
      <c r="A111" s="5">
        <v>33744</v>
      </c>
      <c r="B111">
        <v>0.362037</v>
      </c>
    </row>
    <row r="112" spans="1:2" x14ac:dyDescent="0.25">
      <c r="A112" s="5">
        <v>33745</v>
      </c>
      <c r="B112">
        <v>0.36713600000000002</v>
      </c>
    </row>
    <row r="113" spans="1:2" x14ac:dyDescent="0.25">
      <c r="A113" s="5">
        <v>33746</v>
      </c>
      <c r="B113">
        <v>0.37223600000000001</v>
      </c>
    </row>
    <row r="114" spans="1:2" x14ac:dyDescent="0.25">
      <c r="A114" s="5">
        <v>33750</v>
      </c>
      <c r="B114">
        <v>0.38498300000000002</v>
      </c>
    </row>
    <row r="115" spans="1:2" x14ac:dyDescent="0.25">
      <c r="A115" s="5">
        <v>33751</v>
      </c>
      <c r="B115">
        <v>0.36968600000000001</v>
      </c>
    </row>
    <row r="116" spans="1:2" x14ac:dyDescent="0.25">
      <c r="A116" s="5">
        <v>33752</v>
      </c>
      <c r="B116">
        <v>0.36713600000000002</v>
      </c>
    </row>
    <row r="117" spans="1:2" x14ac:dyDescent="0.25">
      <c r="A117" s="5">
        <v>33753</v>
      </c>
      <c r="B117">
        <v>0.37478499999999998</v>
      </c>
    </row>
    <row r="118" spans="1:2" x14ac:dyDescent="0.25">
      <c r="A118" s="5">
        <v>33756</v>
      </c>
      <c r="B118">
        <v>0.38753199999999999</v>
      </c>
    </row>
    <row r="119" spans="1:2" x14ac:dyDescent="0.25">
      <c r="A119" s="5">
        <v>33757</v>
      </c>
      <c r="B119">
        <v>0.377334</v>
      </c>
    </row>
    <row r="120" spans="1:2" x14ac:dyDescent="0.25">
      <c r="A120" s="5">
        <v>33758</v>
      </c>
      <c r="B120">
        <v>0.397731</v>
      </c>
    </row>
    <row r="121" spans="1:2" x14ac:dyDescent="0.25">
      <c r="A121" s="5">
        <v>33759</v>
      </c>
      <c r="B121">
        <v>0.41302800000000001</v>
      </c>
    </row>
    <row r="122" spans="1:2" x14ac:dyDescent="0.25">
      <c r="A122" s="5">
        <v>33760</v>
      </c>
      <c r="B122">
        <v>0.41302800000000001</v>
      </c>
    </row>
    <row r="123" spans="1:2" x14ac:dyDescent="0.25">
      <c r="A123" s="5">
        <v>33763</v>
      </c>
      <c r="B123">
        <v>0.38753199999999999</v>
      </c>
    </row>
    <row r="124" spans="1:2" x14ac:dyDescent="0.25">
      <c r="A124" s="5">
        <v>33764</v>
      </c>
      <c r="B124">
        <v>0.37223600000000001</v>
      </c>
    </row>
    <row r="125" spans="1:2" x14ac:dyDescent="0.25">
      <c r="A125" s="5">
        <v>33765</v>
      </c>
      <c r="B125">
        <v>0.362037</v>
      </c>
    </row>
    <row r="126" spans="1:2" x14ac:dyDescent="0.25">
      <c r="A126" s="5">
        <v>33766</v>
      </c>
      <c r="B126">
        <v>0.382434</v>
      </c>
    </row>
    <row r="127" spans="1:2" x14ac:dyDescent="0.25">
      <c r="A127" s="5">
        <v>33767</v>
      </c>
      <c r="B127">
        <v>0.41812700000000003</v>
      </c>
    </row>
    <row r="128" spans="1:2" x14ac:dyDescent="0.25">
      <c r="A128" s="5">
        <v>33770</v>
      </c>
      <c r="B128">
        <v>0.41812700000000003</v>
      </c>
    </row>
    <row r="129" spans="1:2" x14ac:dyDescent="0.25">
      <c r="A129" s="5">
        <v>33771</v>
      </c>
      <c r="B129">
        <v>0.397731</v>
      </c>
    </row>
    <row r="130" spans="1:2" x14ac:dyDescent="0.25">
      <c r="A130" s="5">
        <v>33772</v>
      </c>
      <c r="B130">
        <v>0.37223600000000001</v>
      </c>
    </row>
    <row r="131" spans="1:2" x14ac:dyDescent="0.25">
      <c r="A131" s="5">
        <v>33773</v>
      </c>
      <c r="B131">
        <v>0.36458699999999999</v>
      </c>
    </row>
    <row r="132" spans="1:2" x14ac:dyDescent="0.25">
      <c r="A132" s="5">
        <v>33774</v>
      </c>
      <c r="B132">
        <v>0.36713600000000002</v>
      </c>
    </row>
    <row r="133" spans="1:2" x14ac:dyDescent="0.25">
      <c r="A133" s="5">
        <v>33777</v>
      </c>
      <c r="B133">
        <v>0.359487</v>
      </c>
    </row>
    <row r="134" spans="1:2" x14ac:dyDescent="0.25">
      <c r="A134" s="5">
        <v>33778</v>
      </c>
      <c r="B134">
        <v>0.36713600000000002</v>
      </c>
    </row>
    <row r="135" spans="1:2" x14ac:dyDescent="0.25">
      <c r="A135" s="5">
        <v>33779</v>
      </c>
      <c r="B135">
        <v>0.362037</v>
      </c>
    </row>
    <row r="136" spans="1:2" x14ac:dyDescent="0.25">
      <c r="A136" s="5">
        <v>33780</v>
      </c>
      <c r="B136">
        <v>0.36713600000000002</v>
      </c>
    </row>
    <row r="137" spans="1:2" x14ac:dyDescent="0.25">
      <c r="A137" s="5">
        <v>33781</v>
      </c>
      <c r="B137">
        <v>0.36713600000000002</v>
      </c>
    </row>
    <row r="138" spans="1:2" x14ac:dyDescent="0.25">
      <c r="A138" s="5">
        <v>33784</v>
      </c>
      <c r="B138">
        <v>0.38753199999999999</v>
      </c>
    </row>
    <row r="139" spans="1:2" x14ac:dyDescent="0.25">
      <c r="A139" s="5">
        <v>33785</v>
      </c>
      <c r="B139">
        <v>0.397731</v>
      </c>
    </row>
    <row r="140" spans="1:2" x14ac:dyDescent="0.25">
      <c r="A140" s="5">
        <v>33786</v>
      </c>
      <c r="B140">
        <v>0.397731</v>
      </c>
    </row>
    <row r="141" spans="1:2" x14ac:dyDescent="0.25">
      <c r="A141" s="5">
        <v>33787</v>
      </c>
      <c r="B141">
        <v>0.39263199999999998</v>
      </c>
    </row>
    <row r="142" spans="1:2" x14ac:dyDescent="0.25">
      <c r="A142" s="5">
        <v>33791</v>
      </c>
      <c r="B142">
        <v>0.382434</v>
      </c>
    </row>
    <row r="143" spans="1:2" x14ac:dyDescent="0.25">
      <c r="A143" s="5">
        <v>33792</v>
      </c>
      <c r="B143">
        <v>0.38753199999999999</v>
      </c>
    </row>
    <row r="144" spans="1:2" x14ac:dyDescent="0.25">
      <c r="A144" s="5">
        <v>33793</v>
      </c>
      <c r="B144">
        <v>0.39263199999999998</v>
      </c>
    </row>
    <row r="145" spans="1:2" x14ac:dyDescent="0.25">
      <c r="A145" s="5">
        <v>33794</v>
      </c>
      <c r="B145">
        <v>0.38753199999999999</v>
      </c>
    </row>
    <row r="146" spans="1:2" x14ac:dyDescent="0.25">
      <c r="A146" s="5">
        <v>33795</v>
      </c>
      <c r="B146">
        <v>0.38753199999999999</v>
      </c>
    </row>
    <row r="147" spans="1:2" x14ac:dyDescent="0.25">
      <c r="A147" s="5">
        <v>33798</v>
      </c>
      <c r="B147">
        <v>0.382434</v>
      </c>
    </row>
    <row r="148" spans="1:2" x14ac:dyDescent="0.25">
      <c r="A148" s="5">
        <v>33799</v>
      </c>
      <c r="B148">
        <v>0.39263199999999998</v>
      </c>
    </row>
    <row r="149" spans="1:2" x14ac:dyDescent="0.25">
      <c r="A149" s="5">
        <v>33800</v>
      </c>
      <c r="B149">
        <v>0.36458699999999999</v>
      </c>
    </row>
    <row r="150" spans="1:2" x14ac:dyDescent="0.25">
      <c r="A150" s="5">
        <v>33801</v>
      </c>
      <c r="B150">
        <v>0.36458699999999999</v>
      </c>
    </row>
    <row r="151" spans="1:2" x14ac:dyDescent="0.25">
      <c r="A151" s="5">
        <v>33802</v>
      </c>
      <c r="B151">
        <v>0.36458699999999999</v>
      </c>
    </row>
    <row r="152" spans="1:2" x14ac:dyDescent="0.25">
      <c r="A152" s="5">
        <v>33805</v>
      </c>
      <c r="B152">
        <v>0.35183900000000001</v>
      </c>
    </row>
    <row r="153" spans="1:2" x14ac:dyDescent="0.25">
      <c r="A153" s="5">
        <v>33806</v>
      </c>
      <c r="B153">
        <v>0.32379400000000003</v>
      </c>
    </row>
    <row r="154" spans="1:2" x14ac:dyDescent="0.25">
      <c r="A154" s="5">
        <v>33807</v>
      </c>
      <c r="B154">
        <v>0.30849599999999999</v>
      </c>
    </row>
    <row r="155" spans="1:2" x14ac:dyDescent="0.25">
      <c r="A155" s="5">
        <v>33808</v>
      </c>
      <c r="B155">
        <v>0.33144299999999999</v>
      </c>
    </row>
    <row r="156" spans="1:2" x14ac:dyDescent="0.25">
      <c r="A156" s="5">
        <v>33809</v>
      </c>
      <c r="B156">
        <v>0.31614500000000001</v>
      </c>
    </row>
    <row r="157" spans="1:2" x14ac:dyDescent="0.25">
      <c r="A157" s="5">
        <v>33812</v>
      </c>
      <c r="B157">
        <v>0.32124399999999997</v>
      </c>
    </row>
    <row r="158" spans="1:2" x14ac:dyDescent="0.25">
      <c r="A158" s="5">
        <v>33813</v>
      </c>
      <c r="B158">
        <v>0.35183900000000001</v>
      </c>
    </row>
    <row r="159" spans="1:2" x14ac:dyDescent="0.25">
      <c r="A159" s="5">
        <v>33814</v>
      </c>
      <c r="B159">
        <v>0.35183900000000001</v>
      </c>
    </row>
    <row r="160" spans="1:2" x14ac:dyDescent="0.25">
      <c r="A160" s="5">
        <v>33815</v>
      </c>
      <c r="B160">
        <v>0.35693799999999998</v>
      </c>
    </row>
    <row r="161" spans="1:2" x14ac:dyDescent="0.25">
      <c r="A161" s="5">
        <v>33816</v>
      </c>
      <c r="B161">
        <v>0.362037</v>
      </c>
    </row>
    <row r="162" spans="1:2" x14ac:dyDescent="0.25">
      <c r="A162" s="5">
        <v>33819</v>
      </c>
      <c r="B162">
        <v>0.362037</v>
      </c>
    </row>
    <row r="163" spans="1:2" x14ac:dyDescent="0.25">
      <c r="A163" s="5">
        <v>33820</v>
      </c>
      <c r="B163">
        <v>0.35693799999999998</v>
      </c>
    </row>
    <row r="164" spans="1:2" x14ac:dyDescent="0.25">
      <c r="A164" s="5">
        <v>33821</v>
      </c>
      <c r="B164">
        <v>0.33909099999999998</v>
      </c>
    </row>
    <row r="165" spans="1:2" x14ac:dyDescent="0.25">
      <c r="A165" s="5">
        <v>33822</v>
      </c>
      <c r="B165">
        <v>0.31614500000000001</v>
      </c>
    </row>
    <row r="166" spans="1:2" x14ac:dyDescent="0.25">
      <c r="A166" s="5">
        <v>33823</v>
      </c>
      <c r="B166">
        <v>0.33144299999999999</v>
      </c>
    </row>
    <row r="167" spans="1:2" x14ac:dyDescent="0.25">
      <c r="A167" s="5">
        <v>33826</v>
      </c>
      <c r="B167">
        <v>0.32124399999999997</v>
      </c>
    </row>
    <row r="168" spans="1:2" x14ac:dyDescent="0.25">
      <c r="A168" s="5">
        <v>33827</v>
      </c>
      <c r="B168">
        <v>0.32124399999999997</v>
      </c>
    </row>
    <row r="169" spans="1:2" x14ac:dyDescent="0.25">
      <c r="A169" s="5">
        <v>33828</v>
      </c>
      <c r="B169">
        <v>0.33144299999999999</v>
      </c>
    </row>
    <row r="170" spans="1:2" x14ac:dyDescent="0.25">
      <c r="A170" s="5">
        <v>33829</v>
      </c>
      <c r="B170">
        <v>0.33144299999999999</v>
      </c>
    </row>
    <row r="171" spans="1:2" x14ac:dyDescent="0.25">
      <c r="A171" s="5">
        <v>33830</v>
      </c>
      <c r="B171">
        <v>0.33144299999999999</v>
      </c>
    </row>
    <row r="172" spans="1:2" x14ac:dyDescent="0.25">
      <c r="A172" s="5">
        <v>33833</v>
      </c>
      <c r="B172">
        <v>0.32634299999999999</v>
      </c>
    </row>
    <row r="173" spans="1:2" x14ac:dyDescent="0.25">
      <c r="A173" s="5">
        <v>33834</v>
      </c>
      <c r="B173">
        <v>0.32634299999999999</v>
      </c>
    </row>
    <row r="174" spans="1:2" x14ac:dyDescent="0.25">
      <c r="A174" s="5">
        <v>33835</v>
      </c>
      <c r="B174">
        <v>0.31614500000000001</v>
      </c>
    </row>
    <row r="175" spans="1:2" x14ac:dyDescent="0.25">
      <c r="A175" s="5">
        <v>33836</v>
      </c>
      <c r="B175">
        <v>0.31614500000000001</v>
      </c>
    </row>
    <row r="176" spans="1:2" x14ac:dyDescent="0.25">
      <c r="A176" s="5">
        <v>33837</v>
      </c>
      <c r="B176">
        <v>0.31614500000000001</v>
      </c>
    </row>
    <row r="177" spans="1:2" x14ac:dyDescent="0.25">
      <c r="A177" s="5">
        <v>33840</v>
      </c>
      <c r="B177">
        <v>0.31104599999999999</v>
      </c>
    </row>
    <row r="178" spans="1:2" x14ac:dyDescent="0.25">
      <c r="A178" s="5">
        <v>33841</v>
      </c>
      <c r="B178">
        <v>0.31359599999999999</v>
      </c>
    </row>
    <row r="179" spans="1:2" x14ac:dyDescent="0.25">
      <c r="A179" s="5">
        <v>33842</v>
      </c>
      <c r="B179">
        <v>0.31104599999999999</v>
      </c>
    </row>
    <row r="180" spans="1:2" x14ac:dyDescent="0.25">
      <c r="A180" s="5">
        <v>33843</v>
      </c>
      <c r="B180">
        <v>0.31614500000000001</v>
      </c>
    </row>
    <row r="181" spans="1:2" x14ac:dyDescent="0.25">
      <c r="A181" s="5">
        <v>33844</v>
      </c>
      <c r="B181">
        <v>0.32634299999999999</v>
      </c>
    </row>
    <row r="182" spans="1:2" x14ac:dyDescent="0.25">
      <c r="A182" s="5">
        <v>33847</v>
      </c>
      <c r="B182">
        <v>0.31359599999999999</v>
      </c>
    </row>
    <row r="183" spans="1:2" x14ac:dyDescent="0.25">
      <c r="A183" s="5">
        <v>33848</v>
      </c>
      <c r="B183">
        <v>0.31614500000000001</v>
      </c>
    </row>
    <row r="184" spans="1:2" x14ac:dyDescent="0.25">
      <c r="A184" s="5">
        <v>33849</v>
      </c>
      <c r="B184">
        <v>0.33144299999999999</v>
      </c>
    </row>
    <row r="185" spans="1:2" x14ac:dyDescent="0.25">
      <c r="A185" s="5">
        <v>33850</v>
      </c>
      <c r="B185">
        <v>0.32889299999999999</v>
      </c>
    </row>
    <row r="186" spans="1:2" x14ac:dyDescent="0.25">
      <c r="A186" s="5">
        <v>33851</v>
      </c>
      <c r="B186">
        <v>0.32124399999999997</v>
      </c>
    </row>
    <row r="187" spans="1:2" x14ac:dyDescent="0.25">
      <c r="A187" s="5">
        <v>33855</v>
      </c>
      <c r="B187">
        <v>0.31614500000000001</v>
      </c>
    </row>
    <row r="188" spans="1:2" x14ac:dyDescent="0.25">
      <c r="A188" s="5">
        <v>33856</v>
      </c>
      <c r="B188">
        <v>0.31359599999999999</v>
      </c>
    </row>
    <row r="189" spans="1:2" x14ac:dyDescent="0.25">
      <c r="A189" s="5">
        <v>33857</v>
      </c>
      <c r="B189">
        <v>0.31104599999999999</v>
      </c>
    </row>
    <row r="190" spans="1:2" x14ac:dyDescent="0.25">
      <c r="A190" s="5">
        <v>33858</v>
      </c>
      <c r="B190">
        <v>0.29574899999999998</v>
      </c>
    </row>
    <row r="191" spans="1:2" x14ac:dyDescent="0.25">
      <c r="A191" s="5">
        <v>33861</v>
      </c>
      <c r="B191">
        <v>0.29829800000000001</v>
      </c>
    </row>
    <row r="192" spans="1:2" x14ac:dyDescent="0.25">
      <c r="A192" s="5">
        <v>33862</v>
      </c>
      <c r="B192">
        <v>0.28555000000000003</v>
      </c>
    </row>
    <row r="193" spans="1:2" x14ac:dyDescent="0.25">
      <c r="A193" s="5">
        <v>33863</v>
      </c>
      <c r="B193">
        <v>0.27535199999999999</v>
      </c>
    </row>
    <row r="194" spans="1:2" x14ac:dyDescent="0.25">
      <c r="A194" s="5">
        <v>33864</v>
      </c>
      <c r="B194">
        <v>0.28045199999999998</v>
      </c>
    </row>
    <row r="195" spans="1:2" x14ac:dyDescent="0.25">
      <c r="A195" s="5">
        <v>33865</v>
      </c>
      <c r="B195">
        <v>0.29065000000000002</v>
      </c>
    </row>
    <row r="196" spans="1:2" x14ac:dyDescent="0.25">
      <c r="A196" s="5">
        <v>33868</v>
      </c>
      <c r="B196">
        <v>0.27535199999999999</v>
      </c>
    </row>
    <row r="197" spans="1:2" x14ac:dyDescent="0.25">
      <c r="A197" s="5">
        <v>33869</v>
      </c>
      <c r="B197">
        <v>0.27025300000000002</v>
      </c>
    </row>
    <row r="198" spans="1:2" x14ac:dyDescent="0.25">
      <c r="A198" s="5">
        <v>33870</v>
      </c>
      <c r="B198">
        <v>0.26770300000000002</v>
      </c>
    </row>
    <row r="199" spans="1:2" x14ac:dyDescent="0.25">
      <c r="A199" s="5">
        <v>33871</v>
      </c>
      <c r="B199">
        <v>0.29065000000000002</v>
      </c>
    </row>
    <row r="200" spans="1:2" x14ac:dyDescent="0.25">
      <c r="A200" s="5">
        <v>33872</v>
      </c>
      <c r="B200">
        <v>0.283001</v>
      </c>
    </row>
    <row r="201" spans="1:2" x14ac:dyDescent="0.25">
      <c r="A201" s="5">
        <v>33875</v>
      </c>
      <c r="B201">
        <v>0.28045199999999998</v>
      </c>
    </row>
    <row r="202" spans="1:2" x14ac:dyDescent="0.25">
      <c r="A202" s="5">
        <v>33876</v>
      </c>
      <c r="B202">
        <v>0.28045199999999998</v>
      </c>
    </row>
    <row r="203" spans="1:2" x14ac:dyDescent="0.25">
      <c r="A203" s="5">
        <v>33877</v>
      </c>
      <c r="B203">
        <v>0.36713600000000002</v>
      </c>
    </row>
    <row r="204" spans="1:2" x14ac:dyDescent="0.25">
      <c r="A204" s="5">
        <v>33878</v>
      </c>
      <c r="B204">
        <v>0.35183900000000001</v>
      </c>
    </row>
    <row r="205" spans="1:2" x14ac:dyDescent="0.25">
      <c r="A205" s="5">
        <v>33879</v>
      </c>
      <c r="B205">
        <v>0.34673999999999999</v>
      </c>
    </row>
    <row r="206" spans="1:2" x14ac:dyDescent="0.25">
      <c r="A206" s="5">
        <v>33882</v>
      </c>
      <c r="B206">
        <v>0.35183900000000001</v>
      </c>
    </row>
    <row r="207" spans="1:2" x14ac:dyDescent="0.25">
      <c r="A207" s="5">
        <v>33883</v>
      </c>
      <c r="B207">
        <v>0.39263199999999998</v>
      </c>
    </row>
    <row r="208" spans="1:2" x14ac:dyDescent="0.25">
      <c r="A208" s="5">
        <v>33884</v>
      </c>
      <c r="B208">
        <v>0.41302800000000001</v>
      </c>
    </row>
    <row r="209" spans="1:2" x14ac:dyDescent="0.25">
      <c r="A209" s="5">
        <v>33885</v>
      </c>
      <c r="B209">
        <v>0.41812700000000003</v>
      </c>
    </row>
    <row r="210" spans="1:2" x14ac:dyDescent="0.25">
      <c r="A210" s="5">
        <v>33886</v>
      </c>
      <c r="B210">
        <v>0.40283000000000002</v>
      </c>
    </row>
    <row r="211" spans="1:2" x14ac:dyDescent="0.25">
      <c r="A211" s="5">
        <v>33889</v>
      </c>
      <c r="B211">
        <v>0.41812700000000003</v>
      </c>
    </row>
    <row r="212" spans="1:2" x14ac:dyDescent="0.25">
      <c r="A212" s="5">
        <v>33890</v>
      </c>
      <c r="B212">
        <v>0.41302800000000001</v>
      </c>
    </row>
    <row r="213" spans="1:2" x14ac:dyDescent="0.25">
      <c r="A213" s="5">
        <v>33891</v>
      </c>
      <c r="B213">
        <v>0.40283000000000002</v>
      </c>
    </row>
    <row r="214" spans="1:2" x14ac:dyDescent="0.25">
      <c r="A214" s="5">
        <v>33892</v>
      </c>
      <c r="B214">
        <v>0.41812700000000003</v>
      </c>
    </row>
    <row r="215" spans="1:2" x14ac:dyDescent="0.25">
      <c r="A215" s="5">
        <v>33893</v>
      </c>
      <c r="B215">
        <v>0.47931699999999999</v>
      </c>
    </row>
    <row r="216" spans="1:2" x14ac:dyDescent="0.25">
      <c r="A216" s="5">
        <v>33896</v>
      </c>
      <c r="B216">
        <v>0.46401999999999999</v>
      </c>
    </row>
    <row r="217" spans="1:2" x14ac:dyDescent="0.25">
      <c r="A217" s="5">
        <v>33897</v>
      </c>
      <c r="B217">
        <v>0.48186600000000002</v>
      </c>
    </row>
    <row r="218" spans="1:2" x14ac:dyDescent="0.25">
      <c r="A218" s="5">
        <v>33898</v>
      </c>
      <c r="B218">
        <v>0.50481200000000004</v>
      </c>
    </row>
    <row r="219" spans="1:2" x14ac:dyDescent="0.25">
      <c r="A219" s="5">
        <v>33899</v>
      </c>
      <c r="B219">
        <v>0.509911</v>
      </c>
    </row>
    <row r="220" spans="1:2" x14ac:dyDescent="0.25">
      <c r="A220" s="5">
        <v>33900</v>
      </c>
      <c r="B220">
        <v>0.50481200000000004</v>
      </c>
    </row>
    <row r="221" spans="1:2" x14ac:dyDescent="0.25">
      <c r="A221" s="5">
        <v>33903</v>
      </c>
      <c r="B221">
        <v>0.509911</v>
      </c>
    </row>
    <row r="222" spans="1:2" x14ac:dyDescent="0.25">
      <c r="A222" s="5">
        <v>33904</v>
      </c>
      <c r="B222">
        <v>0.46401999999999999</v>
      </c>
    </row>
    <row r="223" spans="1:2" x14ac:dyDescent="0.25">
      <c r="A223" s="5">
        <v>33905</v>
      </c>
      <c r="B223">
        <v>0.49971300000000002</v>
      </c>
    </row>
    <row r="224" spans="1:2" x14ac:dyDescent="0.25">
      <c r="A224" s="5">
        <v>33906</v>
      </c>
      <c r="B224">
        <v>0.49971300000000002</v>
      </c>
    </row>
    <row r="225" spans="1:2" x14ac:dyDescent="0.25">
      <c r="A225" s="5">
        <v>33907</v>
      </c>
      <c r="B225">
        <v>0.49971300000000002</v>
      </c>
    </row>
    <row r="226" spans="1:2" x14ac:dyDescent="0.25">
      <c r="A226" s="5">
        <v>33910</v>
      </c>
      <c r="B226">
        <v>0.49971300000000002</v>
      </c>
    </row>
    <row r="227" spans="1:2" x14ac:dyDescent="0.25">
      <c r="A227" s="5">
        <v>33911</v>
      </c>
      <c r="B227">
        <v>0.50481200000000004</v>
      </c>
    </row>
    <row r="228" spans="1:2" x14ac:dyDescent="0.25">
      <c r="A228" s="5">
        <v>33912</v>
      </c>
      <c r="B228">
        <v>0.515011</v>
      </c>
    </row>
    <row r="229" spans="1:2" x14ac:dyDescent="0.25">
      <c r="A229" s="5">
        <v>33913</v>
      </c>
      <c r="B229">
        <v>0.54050600000000004</v>
      </c>
    </row>
    <row r="230" spans="1:2" x14ac:dyDescent="0.25">
      <c r="A230" s="5">
        <v>33914</v>
      </c>
      <c r="B230">
        <v>0.509911</v>
      </c>
    </row>
    <row r="231" spans="1:2" x14ac:dyDescent="0.25">
      <c r="A231" s="5">
        <v>33917</v>
      </c>
      <c r="B231">
        <v>0.51756000000000002</v>
      </c>
    </row>
    <row r="232" spans="1:2" x14ac:dyDescent="0.25">
      <c r="A232" s="5">
        <v>33918</v>
      </c>
      <c r="B232">
        <v>0.54050600000000004</v>
      </c>
    </row>
    <row r="233" spans="1:2" x14ac:dyDescent="0.25">
      <c r="A233" s="5">
        <v>33919</v>
      </c>
      <c r="B233">
        <v>0.55070399999999997</v>
      </c>
    </row>
    <row r="234" spans="1:2" x14ac:dyDescent="0.25">
      <c r="A234" s="5">
        <v>33920</v>
      </c>
      <c r="B234">
        <v>0.54050600000000004</v>
      </c>
    </row>
    <row r="235" spans="1:2" x14ac:dyDescent="0.25">
      <c r="A235" s="5">
        <v>33921</v>
      </c>
      <c r="B235">
        <v>0.54560500000000001</v>
      </c>
    </row>
    <row r="236" spans="1:2" x14ac:dyDescent="0.25">
      <c r="A236" s="5">
        <v>33924</v>
      </c>
      <c r="B236">
        <v>0.54560500000000001</v>
      </c>
    </row>
    <row r="237" spans="1:2" x14ac:dyDescent="0.25">
      <c r="A237" s="5">
        <v>33925</v>
      </c>
      <c r="B237">
        <v>0.54560500000000001</v>
      </c>
    </row>
    <row r="238" spans="1:2" x14ac:dyDescent="0.25">
      <c r="A238" s="5">
        <v>33926</v>
      </c>
      <c r="B238">
        <v>0.57620000000000005</v>
      </c>
    </row>
    <row r="239" spans="1:2" x14ac:dyDescent="0.25">
      <c r="A239" s="5">
        <v>33927</v>
      </c>
      <c r="B239">
        <v>0.57620000000000005</v>
      </c>
    </row>
    <row r="240" spans="1:2" x14ac:dyDescent="0.25">
      <c r="A240" s="5">
        <v>33928</v>
      </c>
      <c r="B240">
        <v>0.57620000000000005</v>
      </c>
    </row>
    <row r="241" spans="1:2" x14ac:dyDescent="0.25">
      <c r="A241" s="5">
        <v>33931</v>
      </c>
      <c r="B241">
        <v>0.58129900000000001</v>
      </c>
    </row>
    <row r="242" spans="1:2" x14ac:dyDescent="0.25">
      <c r="A242" s="5">
        <v>33932</v>
      </c>
      <c r="B242">
        <v>0.57110099999999997</v>
      </c>
    </row>
    <row r="243" spans="1:2" x14ac:dyDescent="0.25">
      <c r="A243" s="5">
        <v>33933</v>
      </c>
      <c r="B243">
        <v>0.57110099999999997</v>
      </c>
    </row>
    <row r="244" spans="1:2" x14ac:dyDescent="0.25">
      <c r="A244" s="5">
        <v>33935</v>
      </c>
      <c r="B244">
        <v>0.58129900000000001</v>
      </c>
    </row>
    <row r="245" spans="1:2" x14ac:dyDescent="0.25">
      <c r="A245" s="5">
        <v>33938</v>
      </c>
      <c r="B245">
        <v>0.58129900000000001</v>
      </c>
    </row>
    <row r="246" spans="1:2" x14ac:dyDescent="0.25">
      <c r="A246" s="5">
        <v>33939</v>
      </c>
      <c r="B246">
        <v>0.56855100000000003</v>
      </c>
    </row>
    <row r="247" spans="1:2" x14ac:dyDescent="0.25">
      <c r="A247" s="5">
        <v>33940</v>
      </c>
      <c r="B247">
        <v>0.56600200000000001</v>
      </c>
    </row>
    <row r="248" spans="1:2" x14ac:dyDescent="0.25">
      <c r="A248" s="5">
        <v>33941</v>
      </c>
      <c r="B248">
        <v>0.54050600000000004</v>
      </c>
    </row>
    <row r="249" spans="1:2" x14ac:dyDescent="0.25">
      <c r="A249" s="5">
        <v>33942</v>
      </c>
      <c r="B249">
        <v>0.52010999999999996</v>
      </c>
    </row>
    <row r="250" spans="1:2" x14ac:dyDescent="0.25">
      <c r="A250" s="5">
        <v>33945</v>
      </c>
      <c r="B250">
        <v>0.53540699999999997</v>
      </c>
    </row>
    <row r="251" spans="1:2" x14ac:dyDescent="0.25">
      <c r="A251" s="5">
        <v>33946</v>
      </c>
      <c r="B251">
        <v>0.52010999999999996</v>
      </c>
    </row>
    <row r="252" spans="1:2" x14ac:dyDescent="0.25">
      <c r="A252" s="5">
        <v>33947</v>
      </c>
      <c r="B252">
        <v>0.509911</v>
      </c>
    </row>
    <row r="253" spans="1:2" x14ac:dyDescent="0.25">
      <c r="A253" s="5">
        <v>33948</v>
      </c>
      <c r="B253">
        <v>0.50481200000000004</v>
      </c>
    </row>
    <row r="254" spans="1:2" x14ac:dyDescent="0.25">
      <c r="A254" s="5">
        <v>33949</v>
      </c>
      <c r="B254">
        <v>0.509911</v>
      </c>
    </row>
    <row r="255" spans="1:2" x14ac:dyDescent="0.25">
      <c r="A255" s="5">
        <v>33952</v>
      </c>
      <c r="B255">
        <v>0.509911</v>
      </c>
    </row>
    <row r="256" spans="1:2" x14ac:dyDescent="0.25">
      <c r="A256" s="5">
        <v>33953</v>
      </c>
      <c r="B256">
        <v>0.52010999999999996</v>
      </c>
    </row>
    <row r="257" spans="1:2" x14ac:dyDescent="0.25">
      <c r="A257" s="5">
        <v>33954</v>
      </c>
      <c r="B257">
        <v>0.509911</v>
      </c>
    </row>
    <row r="258" spans="1:2" x14ac:dyDescent="0.25">
      <c r="A258" s="5">
        <v>33955</v>
      </c>
      <c r="B258">
        <v>0.492064</v>
      </c>
    </row>
    <row r="259" spans="1:2" x14ac:dyDescent="0.25">
      <c r="A259" s="5">
        <v>33956</v>
      </c>
      <c r="B259">
        <v>0.48951499999999998</v>
      </c>
    </row>
    <row r="260" spans="1:2" x14ac:dyDescent="0.25">
      <c r="A260" s="5">
        <v>33959</v>
      </c>
      <c r="B260">
        <v>0.50481200000000004</v>
      </c>
    </row>
    <row r="261" spans="1:2" x14ac:dyDescent="0.25">
      <c r="A261" s="5">
        <v>33960</v>
      </c>
      <c r="B261">
        <v>0.55070399999999997</v>
      </c>
    </row>
    <row r="262" spans="1:2" x14ac:dyDescent="0.25">
      <c r="A262" s="5">
        <v>33961</v>
      </c>
      <c r="B262">
        <v>0.55580399999999996</v>
      </c>
    </row>
    <row r="263" spans="1:2" x14ac:dyDescent="0.25">
      <c r="A263" s="5">
        <v>33962</v>
      </c>
      <c r="B263">
        <v>0.55070399999999997</v>
      </c>
    </row>
    <row r="264" spans="1:2" x14ac:dyDescent="0.25">
      <c r="A264" s="5">
        <v>33966</v>
      </c>
      <c r="B264">
        <v>0.55580399999999996</v>
      </c>
    </row>
    <row r="265" spans="1:2" x14ac:dyDescent="0.25">
      <c r="A265" s="5">
        <v>33967</v>
      </c>
      <c r="B265">
        <v>0.54560500000000001</v>
      </c>
    </row>
    <row r="266" spans="1:2" x14ac:dyDescent="0.25">
      <c r="A266" s="5">
        <v>33968</v>
      </c>
      <c r="B266">
        <v>0.515011</v>
      </c>
    </row>
    <row r="267" spans="1:2" x14ac:dyDescent="0.25">
      <c r="A267" s="5">
        <v>33969</v>
      </c>
      <c r="B267">
        <v>0.494614</v>
      </c>
    </row>
    <row r="268" spans="1:2" x14ac:dyDescent="0.25">
      <c r="A268" s="5">
        <v>33973</v>
      </c>
      <c r="B268">
        <v>0.494614</v>
      </c>
    </row>
    <row r="269" spans="1:2" x14ac:dyDescent="0.25">
      <c r="A269" s="5">
        <v>33974</v>
      </c>
      <c r="B269">
        <v>0.515011</v>
      </c>
    </row>
    <row r="270" spans="1:2" x14ac:dyDescent="0.25">
      <c r="A270" s="5">
        <v>33975</v>
      </c>
      <c r="B270">
        <v>0.530308</v>
      </c>
    </row>
    <row r="271" spans="1:2" x14ac:dyDescent="0.25">
      <c r="A271" s="5">
        <v>33976</v>
      </c>
      <c r="B271">
        <v>0.47421799999999997</v>
      </c>
    </row>
    <row r="272" spans="1:2" x14ac:dyDescent="0.25">
      <c r="A272" s="5">
        <v>33977</v>
      </c>
      <c r="B272">
        <v>0.51246000000000003</v>
      </c>
    </row>
    <row r="273" spans="1:2" x14ac:dyDescent="0.25">
      <c r="A273" s="5">
        <v>33980</v>
      </c>
      <c r="B273">
        <v>0.51756000000000002</v>
      </c>
    </row>
    <row r="274" spans="1:2" x14ac:dyDescent="0.25">
      <c r="A274" s="5">
        <v>33981</v>
      </c>
      <c r="B274">
        <v>0.509911</v>
      </c>
    </row>
    <row r="275" spans="1:2" x14ac:dyDescent="0.25">
      <c r="A275" s="5">
        <v>33982</v>
      </c>
      <c r="B275">
        <v>0.59149700000000005</v>
      </c>
    </row>
    <row r="276" spans="1:2" x14ac:dyDescent="0.25">
      <c r="A276" s="5">
        <v>33983</v>
      </c>
      <c r="B276">
        <v>0.64758800000000005</v>
      </c>
    </row>
    <row r="277" spans="1:2" x14ac:dyDescent="0.25">
      <c r="A277" s="5">
        <v>33984</v>
      </c>
      <c r="B277">
        <v>0.68837999999999999</v>
      </c>
    </row>
    <row r="278" spans="1:2" x14ac:dyDescent="0.25">
      <c r="A278" s="5">
        <v>33987</v>
      </c>
      <c r="B278">
        <v>0.68837999999999999</v>
      </c>
    </row>
    <row r="279" spans="1:2" x14ac:dyDescent="0.25">
      <c r="A279" s="5">
        <v>33988</v>
      </c>
      <c r="B279">
        <v>0.67818199999999995</v>
      </c>
    </row>
    <row r="280" spans="1:2" x14ac:dyDescent="0.25">
      <c r="A280" s="5">
        <v>33989</v>
      </c>
      <c r="B280">
        <v>0.66543399999999997</v>
      </c>
    </row>
    <row r="281" spans="1:2" x14ac:dyDescent="0.25">
      <c r="A281" s="5">
        <v>33990</v>
      </c>
      <c r="B281">
        <v>0.63738899999999998</v>
      </c>
    </row>
    <row r="282" spans="1:2" x14ac:dyDescent="0.25">
      <c r="A282" s="5">
        <v>33991</v>
      </c>
      <c r="B282">
        <v>0.60169499999999998</v>
      </c>
    </row>
    <row r="283" spans="1:2" x14ac:dyDescent="0.25">
      <c r="A283" s="5">
        <v>33994</v>
      </c>
      <c r="B283">
        <v>0.64248799999999995</v>
      </c>
    </row>
    <row r="284" spans="1:2" x14ac:dyDescent="0.25">
      <c r="A284" s="5">
        <v>33995</v>
      </c>
      <c r="B284">
        <v>0.65268599999999999</v>
      </c>
    </row>
    <row r="285" spans="1:2" x14ac:dyDescent="0.25">
      <c r="A285" s="5">
        <v>33996</v>
      </c>
      <c r="B285">
        <v>0.64248799999999995</v>
      </c>
    </row>
    <row r="286" spans="1:2" x14ac:dyDescent="0.25">
      <c r="A286" s="5">
        <v>33997</v>
      </c>
      <c r="B286">
        <v>0.63738899999999998</v>
      </c>
    </row>
    <row r="287" spans="1:2" x14ac:dyDescent="0.25">
      <c r="A287" s="5">
        <v>33998</v>
      </c>
      <c r="B287">
        <v>0.60169499999999998</v>
      </c>
    </row>
    <row r="288" spans="1:2" x14ac:dyDescent="0.25">
      <c r="A288" s="5">
        <v>34001</v>
      </c>
      <c r="B288">
        <v>0.61699300000000001</v>
      </c>
    </row>
    <row r="289" spans="1:2" x14ac:dyDescent="0.25">
      <c r="A289" s="5">
        <v>34002</v>
      </c>
      <c r="B289">
        <v>0.63483900000000004</v>
      </c>
    </row>
    <row r="290" spans="1:2" x14ac:dyDescent="0.25">
      <c r="A290" s="5">
        <v>34003</v>
      </c>
      <c r="B290">
        <v>0.66288499999999995</v>
      </c>
    </row>
    <row r="291" spans="1:2" x14ac:dyDescent="0.25">
      <c r="A291" s="5">
        <v>34004</v>
      </c>
      <c r="B291">
        <v>0.71387599999999996</v>
      </c>
    </row>
    <row r="292" spans="1:2" x14ac:dyDescent="0.25">
      <c r="A292" s="5">
        <v>34005</v>
      </c>
      <c r="B292">
        <v>0.68328100000000003</v>
      </c>
    </row>
    <row r="293" spans="1:2" x14ac:dyDescent="0.25">
      <c r="A293" s="5">
        <v>34008</v>
      </c>
      <c r="B293">
        <v>0.73937200000000003</v>
      </c>
    </row>
    <row r="294" spans="1:2" x14ac:dyDescent="0.25">
      <c r="A294" s="5">
        <v>34009</v>
      </c>
      <c r="B294">
        <v>0.71387599999999996</v>
      </c>
    </row>
    <row r="295" spans="1:2" x14ac:dyDescent="0.25">
      <c r="A295" s="5">
        <v>34010</v>
      </c>
      <c r="B295">
        <v>0.67818199999999995</v>
      </c>
    </row>
    <row r="296" spans="1:2" x14ac:dyDescent="0.25">
      <c r="A296" s="5">
        <v>34011</v>
      </c>
      <c r="B296">
        <v>0.67308299999999999</v>
      </c>
    </row>
    <row r="297" spans="1:2" x14ac:dyDescent="0.25">
      <c r="A297" s="5">
        <v>34012</v>
      </c>
      <c r="B297">
        <v>0.67818199999999995</v>
      </c>
    </row>
    <row r="298" spans="1:2" x14ac:dyDescent="0.25">
      <c r="A298" s="5">
        <v>34016</v>
      </c>
      <c r="B298">
        <v>0.61189300000000002</v>
      </c>
    </row>
    <row r="299" spans="1:2" x14ac:dyDescent="0.25">
      <c r="A299" s="5">
        <v>34017</v>
      </c>
      <c r="B299">
        <v>0.61699300000000001</v>
      </c>
    </row>
    <row r="300" spans="1:2" x14ac:dyDescent="0.25">
      <c r="A300" s="5">
        <v>34018</v>
      </c>
      <c r="B300">
        <v>0.63229000000000002</v>
      </c>
    </row>
    <row r="301" spans="1:2" x14ac:dyDescent="0.25">
      <c r="A301" s="5">
        <v>34019</v>
      </c>
      <c r="B301">
        <v>0.64758800000000005</v>
      </c>
    </row>
    <row r="302" spans="1:2" x14ac:dyDescent="0.25">
      <c r="A302" s="5">
        <v>34022</v>
      </c>
      <c r="B302">
        <v>0.66288499999999995</v>
      </c>
    </row>
    <row r="303" spans="1:2" x14ac:dyDescent="0.25">
      <c r="A303" s="5">
        <v>34023</v>
      </c>
      <c r="B303">
        <v>0.65778599999999998</v>
      </c>
    </row>
    <row r="304" spans="1:2" x14ac:dyDescent="0.25">
      <c r="A304" s="5">
        <v>34024</v>
      </c>
      <c r="B304">
        <v>0.64758800000000005</v>
      </c>
    </row>
    <row r="305" spans="1:2" x14ac:dyDescent="0.25">
      <c r="A305" s="5">
        <v>34025</v>
      </c>
      <c r="B305">
        <v>0.64248799999999995</v>
      </c>
    </row>
    <row r="306" spans="1:2" x14ac:dyDescent="0.25">
      <c r="A306" s="5">
        <v>34026</v>
      </c>
      <c r="B306">
        <v>0.64248799999999995</v>
      </c>
    </row>
    <row r="307" spans="1:2" x14ac:dyDescent="0.25">
      <c r="A307" s="5">
        <v>34029</v>
      </c>
      <c r="B307">
        <v>0.64248799999999995</v>
      </c>
    </row>
    <row r="308" spans="1:2" x14ac:dyDescent="0.25">
      <c r="A308" s="5">
        <v>34030</v>
      </c>
      <c r="B308">
        <v>0.66288499999999995</v>
      </c>
    </row>
    <row r="309" spans="1:2" x14ac:dyDescent="0.25">
      <c r="A309" s="5">
        <v>34031</v>
      </c>
      <c r="B309">
        <v>0.72917299999999996</v>
      </c>
    </row>
    <row r="310" spans="1:2" x14ac:dyDescent="0.25">
      <c r="A310" s="5">
        <v>34032</v>
      </c>
      <c r="B310">
        <v>0.76996600000000004</v>
      </c>
    </row>
    <row r="311" spans="1:2" x14ac:dyDescent="0.25">
      <c r="A311" s="5">
        <v>34033</v>
      </c>
      <c r="B311">
        <v>0.75211899999999998</v>
      </c>
    </row>
    <row r="312" spans="1:2" x14ac:dyDescent="0.25">
      <c r="A312" s="5">
        <v>34036</v>
      </c>
      <c r="B312">
        <v>0.76996600000000004</v>
      </c>
    </row>
    <row r="313" spans="1:2" x14ac:dyDescent="0.25">
      <c r="A313" s="5">
        <v>34037</v>
      </c>
      <c r="B313">
        <v>0.82605600000000001</v>
      </c>
    </row>
    <row r="314" spans="1:2" x14ac:dyDescent="0.25">
      <c r="A314" s="5">
        <v>34038</v>
      </c>
      <c r="B314">
        <v>0.84135400000000005</v>
      </c>
    </row>
    <row r="315" spans="1:2" x14ac:dyDescent="0.25">
      <c r="A315" s="5">
        <v>34039</v>
      </c>
      <c r="B315">
        <v>0.795462</v>
      </c>
    </row>
    <row r="316" spans="1:2" x14ac:dyDescent="0.25">
      <c r="A316" s="5">
        <v>34040</v>
      </c>
      <c r="B316">
        <v>0.795462</v>
      </c>
    </row>
    <row r="317" spans="1:2" x14ac:dyDescent="0.25">
      <c r="A317" s="5">
        <v>34043</v>
      </c>
      <c r="B317">
        <v>0.83115499999999998</v>
      </c>
    </row>
    <row r="318" spans="1:2" x14ac:dyDescent="0.25">
      <c r="A318" s="5">
        <v>34044</v>
      </c>
      <c r="B318">
        <v>0.80566000000000004</v>
      </c>
    </row>
    <row r="319" spans="1:2" x14ac:dyDescent="0.25">
      <c r="A319" s="5">
        <v>34045</v>
      </c>
      <c r="B319">
        <v>0.82095700000000005</v>
      </c>
    </row>
    <row r="320" spans="1:2" x14ac:dyDescent="0.25">
      <c r="A320" s="5">
        <v>34046</v>
      </c>
      <c r="B320">
        <v>0.89234500000000005</v>
      </c>
    </row>
    <row r="321" spans="1:2" x14ac:dyDescent="0.25">
      <c r="A321" s="5">
        <v>34047</v>
      </c>
      <c r="B321">
        <v>0.88214599999999999</v>
      </c>
    </row>
    <row r="322" spans="1:2" x14ac:dyDescent="0.25">
      <c r="A322" s="5">
        <v>34050</v>
      </c>
      <c r="B322">
        <v>0.94078600000000001</v>
      </c>
    </row>
    <row r="323" spans="1:2" x14ac:dyDescent="0.25">
      <c r="A323" s="5">
        <v>34051</v>
      </c>
      <c r="B323">
        <v>0.90764199999999995</v>
      </c>
    </row>
    <row r="324" spans="1:2" x14ac:dyDescent="0.25">
      <c r="A324" s="5">
        <v>34052</v>
      </c>
      <c r="B324">
        <v>0.89744400000000002</v>
      </c>
    </row>
    <row r="325" spans="1:2" x14ac:dyDescent="0.25">
      <c r="A325" s="5">
        <v>34053</v>
      </c>
      <c r="B325">
        <v>0.89234500000000005</v>
      </c>
    </row>
    <row r="326" spans="1:2" x14ac:dyDescent="0.25">
      <c r="A326" s="5">
        <v>34054</v>
      </c>
      <c r="B326">
        <v>0.92803800000000003</v>
      </c>
    </row>
    <row r="327" spans="1:2" x14ac:dyDescent="0.25">
      <c r="A327" s="5">
        <v>34057</v>
      </c>
      <c r="B327">
        <v>0.96373200000000003</v>
      </c>
    </row>
    <row r="328" spans="1:2" x14ac:dyDescent="0.25">
      <c r="A328" s="5">
        <v>34058</v>
      </c>
      <c r="B328">
        <v>0.98412900000000003</v>
      </c>
    </row>
    <row r="329" spans="1:2" x14ac:dyDescent="0.25">
      <c r="A329" s="5">
        <v>34059</v>
      </c>
      <c r="B329">
        <v>0.99942600000000004</v>
      </c>
    </row>
    <row r="330" spans="1:2" x14ac:dyDescent="0.25">
      <c r="A330" s="5">
        <v>34060</v>
      </c>
      <c r="B330">
        <v>1.0504169999999999</v>
      </c>
    </row>
    <row r="331" spans="1:2" x14ac:dyDescent="0.25">
      <c r="A331" s="5">
        <v>34061</v>
      </c>
      <c r="B331">
        <v>0.98412900000000003</v>
      </c>
    </row>
    <row r="332" spans="1:2" x14ac:dyDescent="0.25">
      <c r="A332" s="5">
        <v>34064</v>
      </c>
      <c r="B332">
        <v>1.0198229999999999</v>
      </c>
    </row>
    <row r="333" spans="1:2" x14ac:dyDescent="0.25">
      <c r="A333" s="5">
        <v>34065</v>
      </c>
      <c r="B333">
        <v>0.99177700000000002</v>
      </c>
    </row>
    <row r="334" spans="1:2" x14ac:dyDescent="0.25">
      <c r="A334" s="5">
        <v>34066</v>
      </c>
      <c r="B334">
        <v>0.94078600000000001</v>
      </c>
    </row>
    <row r="335" spans="1:2" x14ac:dyDescent="0.25">
      <c r="A335" s="5">
        <v>34067</v>
      </c>
      <c r="B335">
        <v>0.99432699999999996</v>
      </c>
    </row>
    <row r="336" spans="1:2" x14ac:dyDescent="0.25">
      <c r="A336" s="5">
        <v>34071</v>
      </c>
      <c r="B336">
        <v>0.96373200000000003</v>
      </c>
    </row>
    <row r="337" spans="1:2" x14ac:dyDescent="0.25">
      <c r="A337" s="5">
        <v>34072</v>
      </c>
      <c r="B337">
        <v>0.94843500000000003</v>
      </c>
    </row>
    <row r="338" spans="1:2" x14ac:dyDescent="0.25">
      <c r="A338" s="5">
        <v>34073</v>
      </c>
      <c r="B338">
        <v>0.93823599999999996</v>
      </c>
    </row>
    <row r="339" spans="1:2" x14ac:dyDescent="0.25">
      <c r="A339" s="5">
        <v>34074</v>
      </c>
      <c r="B339">
        <v>0.89234500000000005</v>
      </c>
    </row>
    <row r="340" spans="1:2" x14ac:dyDescent="0.25">
      <c r="A340" s="5">
        <v>34075</v>
      </c>
      <c r="B340">
        <v>0.85155199999999998</v>
      </c>
    </row>
    <row r="341" spans="1:2" x14ac:dyDescent="0.25">
      <c r="A341" s="5">
        <v>34078</v>
      </c>
      <c r="B341">
        <v>0.83625400000000005</v>
      </c>
    </row>
    <row r="342" spans="1:2" x14ac:dyDescent="0.25">
      <c r="A342" s="5">
        <v>34079</v>
      </c>
      <c r="B342">
        <v>0.86429999999999996</v>
      </c>
    </row>
    <row r="343" spans="1:2" x14ac:dyDescent="0.25">
      <c r="A343" s="5">
        <v>34080</v>
      </c>
      <c r="B343">
        <v>0.90254299999999998</v>
      </c>
    </row>
    <row r="344" spans="1:2" x14ac:dyDescent="0.25">
      <c r="A344" s="5">
        <v>34081</v>
      </c>
      <c r="B344">
        <v>0.93823599999999996</v>
      </c>
    </row>
    <row r="345" spans="1:2" x14ac:dyDescent="0.25">
      <c r="A345" s="5">
        <v>34082</v>
      </c>
      <c r="B345">
        <v>0.89744400000000002</v>
      </c>
    </row>
    <row r="346" spans="1:2" x14ac:dyDescent="0.25">
      <c r="A346" s="5">
        <v>34085</v>
      </c>
      <c r="B346">
        <v>0.85665100000000005</v>
      </c>
    </row>
    <row r="347" spans="1:2" x14ac:dyDescent="0.25">
      <c r="A347" s="5">
        <v>34086</v>
      </c>
      <c r="B347">
        <v>0.86175000000000002</v>
      </c>
    </row>
    <row r="348" spans="1:2" x14ac:dyDescent="0.25">
      <c r="A348" s="5">
        <v>34087</v>
      </c>
      <c r="B348">
        <v>0.91274100000000002</v>
      </c>
    </row>
    <row r="349" spans="1:2" x14ac:dyDescent="0.25">
      <c r="A349" s="5">
        <v>34088</v>
      </c>
      <c r="B349">
        <v>0.90509300000000004</v>
      </c>
    </row>
    <row r="350" spans="1:2" x14ac:dyDescent="0.25">
      <c r="A350" s="5">
        <v>34089</v>
      </c>
      <c r="B350">
        <v>0.92803800000000003</v>
      </c>
    </row>
    <row r="351" spans="1:2" x14ac:dyDescent="0.25">
      <c r="A351" s="5">
        <v>34092</v>
      </c>
      <c r="B351">
        <v>0.91783999999999999</v>
      </c>
    </row>
    <row r="352" spans="1:2" x14ac:dyDescent="0.25">
      <c r="A352" s="5">
        <v>34093</v>
      </c>
      <c r="B352">
        <v>0.87704700000000002</v>
      </c>
    </row>
    <row r="353" spans="1:2" x14ac:dyDescent="0.25">
      <c r="A353" s="5">
        <v>34094</v>
      </c>
      <c r="B353">
        <v>0.88469600000000004</v>
      </c>
    </row>
    <row r="354" spans="1:2" x14ac:dyDescent="0.25">
      <c r="A354" s="5">
        <v>34095</v>
      </c>
      <c r="B354">
        <v>0.88214599999999999</v>
      </c>
    </row>
    <row r="355" spans="1:2" x14ac:dyDescent="0.25">
      <c r="A355" s="5">
        <v>34096</v>
      </c>
      <c r="B355">
        <v>0.90254299999999998</v>
      </c>
    </row>
    <row r="356" spans="1:2" x14ac:dyDescent="0.25">
      <c r="A356" s="5">
        <v>34099</v>
      </c>
      <c r="B356">
        <v>0.92293999999999998</v>
      </c>
    </row>
    <row r="357" spans="1:2" x14ac:dyDescent="0.25">
      <c r="A357" s="5">
        <v>34100</v>
      </c>
      <c r="B357">
        <v>0.968831</v>
      </c>
    </row>
    <row r="358" spans="1:2" x14ac:dyDescent="0.25">
      <c r="A358" s="5">
        <v>34101</v>
      </c>
      <c r="B358">
        <v>0.968831</v>
      </c>
    </row>
    <row r="359" spans="1:2" x14ac:dyDescent="0.25">
      <c r="A359" s="5">
        <v>34102</v>
      </c>
      <c r="B359">
        <v>0.94333599999999995</v>
      </c>
    </row>
    <row r="360" spans="1:2" x14ac:dyDescent="0.25">
      <c r="A360" s="5">
        <v>34103</v>
      </c>
      <c r="B360">
        <v>0.87704700000000002</v>
      </c>
    </row>
    <row r="361" spans="1:2" x14ac:dyDescent="0.25">
      <c r="A361" s="5">
        <v>34106</v>
      </c>
      <c r="B361">
        <v>0.90764199999999995</v>
      </c>
    </row>
    <row r="362" spans="1:2" x14ac:dyDescent="0.25">
      <c r="A362" s="5">
        <v>34107</v>
      </c>
      <c r="B362">
        <v>0.91783999999999999</v>
      </c>
    </row>
    <row r="363" spans="1:2" x14ac:dyDescent="0.25">
      <c r="A363" s="5">
        <v>34108</v>
      </c>
      <c r="B363">
        <v>0.94843500000000003</v>
      </c>
    </row>
    <row r="364" spans="1:2" x14ac:dyDescent="0.25">
      <c r="A364" s="5">
        <v>34109</v>
      </c>
      <c r="B364">
        <v>0.91783999999999999</v>
      </c>
    </row>
    <row r="365" spans="1:2" x14ac:dyDescent="0.25">
      <c r="A365" s="5">
        <v>34110</v>
      </c>
      <c r="B365">
        <v>0.90254299999999998</v>
      </c>
    </row>
    <row r="366" spans="1:2" x14ac:dyDescent="0.25">
      <c r="A366" s="5">
        <v>34113</v>
      </c>
      <c r="B366">
        <v>0.92293999999999998</v>
      </c>
    </row>
    <row r="367" spans="1:2" x14ac:dyDescent="0.25">
      <c r="A367" s="5">
        <v>34114</v>
      </c>
      <c r="B367">
        <v>0.93313800000000002</v>
      </c>
    </row>
    <row r="368" spans="1:2" x14ac:dyDescent="0.25">
      <c r="A368" s="5">
        <v>34115</v>
      </c>
      <c r="B368">
        <v>0.96118300000000001</v>
      </c>
    </row>
    <row r="369" spans="1:2" x14ac:dyDescent="0.25">
      <c r="A369" s="5">
        <v>34116</v>
      </c>
      <c r="B369">
        <v>0.93313800000000002</v>
      </c>
    </row>
    <row r="370" spans="1:2" x14ac:dyDescent="0.25">
      <c r="A370" s="5">
        <v>34117</v>
      </c>
      <c r="B370">
        <v>0.92293999999999998</v>
      </c>
    </row>
    <row r="371" spans="1:2" x14ac:dyDescent="0.25">
      <c r="A371" s="5">
        <v>34121</v>
      </c>
      <c r="B371">
        <v>0.889795</v>
      </c>
    </row>
    <row r="372" spans="1:2" x14ac:dyDescent="0.25">
      <c r="A372" s="5">
        <v>34122</v>
      </c>
      <c r="B372">
        <v>0.92803800000000003</v>
      </c>
    </row>
    <row r="373" spans="1:2" x14ac:dyDescent="0.25">
      <c r="A373" s="5">
        <v>34123</v>
      </c>
      <c r="B373">
        <v>0.95863299999999996</v>
      </c>
    </row>
    <row r="374" spans="1:2" x14ac:dyDescent="0.25">
      <c r="A374" s="5">
        <v>34124</v>
      </c>
      <c r="B374">
        <v>0.96628199999999997</v>
      </c>
    </row>
    <row r="375" spans="1:2" x14ac:dyDescent="0.25">
      <c r="A375" s="5">
        <v>34127</v>
      </c>
      <c r="B375">
        <v>0.95098400000000005</v>
      </c>
    </row>
    <row r="376" spans="1:2" x14ac:dyDescent="0.25">
      <c r="A376" s="5">
        <v>34128</v>
      </c>
      <c r="B376">
        <v>0.94843500000000003</v>
      </c>
    </row>
    <row r="377" spans="1:2" x14ac:dyDescent="0.25">
      <c r="A377" s="5">
        <v>34129</v>
      </c>
      <c r="B377">
        <v>0.96373200000000003</v>
      </c>
    </row>
    <row r="378" spans="1:2" x14ac:dyDescent="0.25">
      <c r="A378" s="5">
        <v>34130</v>
      </c>
      <c r="B378">
        <v>0.968831</v>
      </c>
    </row>
    <row r="379" spans="1:2" x14ac:dyDescent="0.25">
      <c r="A379" s="5">
        <v>34131</v>
      </c>
      <c r="B379">
        <v>1.03512</v>
      </c>
    </row>
    <row r="380" spans="1:2" x14ac:dyDescent="0.25">
      <c r="A380" s="5">
        <v>34134</v>
      </c>
      <c r="B380">
        <v>1.1269039999999999</v>
      </c>
    </row>
    <row r="381" spans="1:2" x14ac:dyDescent="0.25">
      <c r="A381" s="5">
        <v>34135</v>
      </c>
      <c r="B381">
        <v>1.162598</v>
      </c>
    </row>
    <row r="382" spans="1:2" x14ac:dyDescent="0.25">
      <c r="A382" s="5">
        <v>34136</v>
      </c>
      <c r="B382">
        <v>1.0810120000000001</v>
      </c>
    </row>
    <row r="383" spans="1:2" x14ac:dyDescent="0.25">
      <c r="A383" s="5">
        <v>34137</v>
      </c>
      <c r="B383">
        <v>1.1269039999999999</v>
      </c>
    </row>
    <row r="384" spans="1:2" x14ac:dyDescent="0.25">
      <c r="A384" s="5">
        <v>34138</v>
      </c>
      <c r="B384">
        <v>1.096309</v>
      </c>
    </row>
    <row r="385" spans="1:2" x14ac:dyDescent="0.25">
      <c r="A385" s="5">
        <v>34141</v>
      </c>
      <c r="B385">
        <v>1.0504169999999999</v>
      </c>
    </row>
    <row r="386" spans="1:2" x14ac:dyDescent="0.25">
      <c r="A386" s="5">
        <v>34142</v>
      </c>
      <c r="B386">
        <v>1.0759129999999999</v>
      </c>
    </row>
    <row r="387" spans="1:2" x14ac:dyDescent="0.25">
      <c r="A387" s="5">
        <v>34143</v>
      </c>
      <c r="B387">
        <v>1.0810120000000001</v>
      </c>
    </row>
    <row r="388" spans="1:2" x14ac:dyDescent="0.25">
      <c r="A388" s="5">
        <v>34144</v>
      </c>
      <c r="B388">
        <v>1.1320030000000001</v>
      </c>
    </row>
    <row r="389" spans="1:2" x14ac:dyDescent="0.25">
      <c r="A389" s="5">
        <v>34145</v>
      </c>
      <c r="B389">
        <v>1.1269039999999999</v>
      </c>
    </row>
    <row r="390" spans="1:2" x14ac:dyDescent="0.25">
      <c r="A390" s="5">
        <v>34148</v>
      </c>
      <c r="B390">
        <v>1.152399</v>
      </c>
    </row>
    <row r="391" spans="1:2" x14ac:dyDescent="0.25">
      <c r="A391" s="5">
        <v>34149</v>
      </c>
      <c r="B391">
        <v>1.142201</v>
      </c>
    </row>
    <row r="392" spans="1:2" x14ac:dyDescent="0.25">
      <c r="A392" s="5">
        <v>34150</v>
      </c>
      <c r="B392">
        <v>1.1829940000000001</v>
      </c>
    </row>
    <row r="393" spans="1:2" x14ac:dyDescent="0.25">
      <c r="A393" s="5">
        <v>34151</v>
      </c>
      <c r="B393">
        <v>1.2212369999999999</v>
      </c>
    </row>
    <row r="394" spans="1:2" x14ac:dyDescent="0.25">
      <c r="A394" s="5">
        <v>34152</v>
      </c>
      <c r="B394">
        <v>1.2084900000000001</v>
      </c>
    </row>
    <row r="395" spans="1:2" x14ac:dyDescent="0.25">
      <c r="A395" s="5">
        <v>34156</v>
      </c>
      <c r="B395">
        <v>1.20339</v>
      </c>
    </row>
    <row r="396" spans="1:2" x14ac:dyDescent="0.25">
      <c r="A396" s="5">
        <v>34157</v>
      </c>
      <c r="B396">
        <v>1.193192</v>
      </c>
    </row>
    <row r="397" spans="1:2" x14ac:dyDescent="0.25">
      <c r="A397" s="5">
        <v>34158</v>
      </c>
      <c r="B397">
        <v>1.2263360000000001</v>
      </c>
    </row>
    <row r="398" spans="1:2" x14ac:dyDescent="0.25">
      <c r="A398" s="5">
        <v>34159</v>
      </c>
      <c r="B398">
        <v>1.239085</v>
      </c>
    </row>
    <row r="399" spans="1:2" x14ac:dyDescent="0.25">
      <c r="A399" s="5">
        <v>34162</v>
      </c>
      <c r="B399">
        <v>1.218688</v>
      </c>
    </row>
    <row r="400" spans="1:2" x14ac:dyDescent="0.25">
      <c r="A400" s="5">
        <v>34163</v>
      </c>
      <c r="B400">
        <v>1.218688</v>
      </c>
    </row>
    <row r="401" spans="1:2" x14ac:dyDescent="0.25">
      <c r="A401" s="5">
        <v>34164</v>
      </c>
      <c r="B401">
        <v>1.213589</v>
      </c>
    </row>
    <row r="402" spans="1:2" x14ac:dyDescent="0.25">
      <c r="A402" s="5">
        <v>34165</v>
      </c>
      <c r="B402">
        <v>1.223787</v>
      </c>
    </row>
    <row r="403" spans="1:2" x14ac:dyDescent="0.25">
      <c r="A403" s="5">
        <v>34166</v>
      </c>
      <c r="B403">
        <v>1.223787</v>
      </c>
    </row>
    <row r="404" spans="1:2" x14ac:dyDescent="0.25">
      <c r="A404" s="5">
        <v>34169</v>
      </c>
      <c r="B404">
        <v>1.295174</v>
      </c>
    </row>
    <row r="405" spans="1:2" x14ac:dyDescent="0.25">
      <c r="A405" s="5">
        <v>34170</v>
      </c>
      <c r="B405">
        <v>1.32067</v>
      </c>
    </row>
    <row r="406" spans="1:2" x14ac:dyDescent="0.25">
      <c r="A406" s="5">
        <v>34171</v>
      </c>
      <c r="B406">
        <v>1.315571</v>
      </c>
    </row>
    <row r="407" spans="1:2" x14ac:dyDescent="0.25">
      <c r="A407" s="5">
        <v>34172</v>
      </c>
      <c r="B407">
        <v>1.338517</v>
      </c>
    </row>
    <row r="408" spans="1:2" x14ac:dyDescent="0.25">
      <c r="A408" s="5">
        <v>34173</v>
      </c>
      <c r="B408">
        <v>1.4201029999999999</v>
      </c>
    </row>
    <row r="409" spans="1:2" x14ac:dyDescent="0.25">
      <c r="A409" s="5">
        <v>34176</v>
      </c>
      <c r="B409">
        <v>1.3818600000000001</v>
      </c>
    </row>
    <row r="410" spans="1:2" x14ac:dyDescent="0.25">
      <c r="A410" s="5">
        <v>34177</v>
      </c>
      <c r="B410">
        <v>1.37676</v>
      </c>
    </row>
    <row r="411" spans="1:2" x14ac:dyDescent="0.25">
      <c r="A411" s="5">
        <v>34178</v>
      </c>
      <c r="B411">
        <v>1.346166</v>
      </c>
    </row>
    <row r="412" spans="1:2" x14ac:dyDescent="0.25">
      <c r="A412" s="5">
        <v>34179</v>
      </c>
      <c r="B412">
        <v>1.392058</v>
      </c>
    </row>
    <row r="413" spans="1:2" x14ac:dyDescent="0.25">
      <c r="A413" s="5">
        <v>34180</v>
      </c>
      <c r="B413">
        <v>1.371661</v>
      </c>
    </row>
    <row r="414" spans="1:2" x14ac:dyDescent="0.25">
      <c r="A414" s="5">
        <v>34183</v>
      </c>
      <c r="B414">
        <v>1.3359669999999999</v>
      </c>
    </row>
    <row r="415" spans="1:2" x14ac:dyDescent="0.25">
      <c r="A415" s="5">
        <v>34184</v>
      </c>
      <c r="B415">
        <v>1.346166</v>
      </c>
    </row>
    <row r="416" spans="1:2" x14ac:dyDescent="0.25">
      <c r="A416" s="5">
        <v>34185</v>
      </c>
      <c r="B416">
        <v>1.3818600000000001</v>
      </c>
    </row>
    <row r="417" spans="1:2" x14ac:dyDescent="0.25">
      <c r="A417" s="5">
        <v>34186</v>
      </c>
      <c r="B417">
        <v>1.3818600000000001</v>
      </c>
    </row>
    <row r="418" spans="1:2" x14ac:dyDescent="0.25">
      <c r="A418" s="5">
        <v>34187</v>
      </c>
      <c r="B418">
        <v>1.448148</v>
      </c>
    </row>
    <row r="419" spans="1:2" x14ac:dyDescent="0.25">
      <c r="A419" s="5">
        <v>34190</v>
      </c>
      <c r="B419">
        <v>1.427751</v>
      </c>
    </row>
    <row r="420" spans="1:2" x14ac:dyDescent="0.25">
      <c r="A420" s="5">
        <v>34191</v>
      </c>
      <c r="B420">
        <v>1.4838420000000001</v>
      </c>
    </row>
    <row r="421" spans="1:2" x14ac:dyDescent="0.25">
      <c r="A421" s="5">
        <v>34192</v>
      </c>
      <c r="B421">
        <v>1.5399309999999999</v>
      </c>
    </row>
    <row r="422" spans="1:2" x14ac:dyDescent="0.25">
      <c r="A422" s="5">
        <v>34193</v>
      </c>
      <c r="B422">
        <v>1.5195350000000001</v>
      </c>
    </row>
    <row r="423" spans="1:2" x14ac:dyDescent="0.25">
      <c r="A423" s="5">
        <v>34194</v>
      </c>
      <c r="B423">
        <v>1.545032</v>
      </c>
    </row>
    <row r="424" spans="1:2" x14ac:dyDescent="0.25">
      <c r="A424" s="5">
        <v>34197</v>
      </c>
      <c r="B424">
        <v>1.5858239999999999</v>
      </c>
    </row>
    <row r="425" spans="1:2" x14ac:dyDescent="0.25">
      <c r="A425" s="5">
        <v>34198</v>
      </c>
      <c r="B425">
        <v>1.5348329999999999</v>
      </c>
    </row>
    <row r="426" spans="1:2" x14ac:dyDescent="0.25">
      <c r="A426" s="5">
        <v>34199</v>
      </c>
      <c r="B426">
        <v>1.5705260000000001</v>
      </c>
    </row>
    <row r="427" spans="1:2" x14ac:dyDescent="0.25">
      <c r="A427" s="5">
        <v>34200</v>
      </c>
      <c r="B427">
        <v>1.5985720000000001</v>
      </c>
    </row>
    <row r="428" spans="1:2" x14ac:dyDescent="0.25">
      <c r="A428" s="5">
        <v>34201</v>
      </c>
      <c r="B428">
        <v>1.5832740000000001</v>
      </c>
    </row>
    <row r="429" spans="1:2" x14ac:dyDescent="0.25">
      <c r="A429" s="5">
        <v>34204</v>
      </c>
      <c r="B429">
        <v>1.5909230000000001</v>
      </c>
    </row>
    <row r="430" spans="1:2" x14ac:dyDescent="0.25">
      <c r="A430" s="5">
        <v>34205</v>
      </c>
      <c r="B430">
        <v>1.652112</v>
      </c>
    </row>
    <row r="431" spans="1:2" x14ac:dyDescent="0.25">
      <c r="A431" s="5">
        <v>34206</v>
      </c>
      <c r="B431">
        <v>1.6419140000000001</v>
      </c>
    </row>
    <row r="432" spans="1:2" x14ac:dyDescent="0.25">
      <c r="A432" s="5">
        <v>34207</v>
      </c>
      <c r="B432">
        <v>1.639364</v>
      </c>
    </row>
    <row r="433" spans="1:2" x14ac:dyDescent="0.25">
      <c r="A433" s="5">
        <v>34208</v>
      </c>
      <c r="B433">
        <v>1.596023</v>
      </c>
    </row>
    <row r="434" spans="1:2" x14ac:dyDescent="0.25">
      <c r="A434" s="5">
        <v>34211</v>
      </c>
      <c r="B434">
        <v>1.5399309999999999</v>
      </c>
    </row>
    <row r="435" spans="1:2" x14ac:dyDescent="0.25">
      <c r="A435" s="5">
        <v>34212</v>
      </c>
      <c r="B435">
        <v>1.5909230000000001</v>
      </c>
    </row>
    <row r="436" spans="1:2" x14ac:dyDescent="0.25">
      <c r="A436" s="5">
        <v>34213</v>
      </c>
      <c r="B436">
        <v>1.5858239999999999</v>
      </c>
    </row>
    <row r="437" spans="1:2" x14ac:dyDescent="0.25">
      <c r="A437" s="5">
        <v>34214</v>
      </c>
      <c r="B437">
        <v>1.626617</v>
      </c>
    </row>
    <row r="438" spans="1:2" x14ac:dyDescent="0.25">
      <c r="A438" s="5">
        <v>34215</v>
      </c>
      <c r="B438">
        <v>1.621518</v>
      </c>
    </row>
    <row r="439" spans="1:2" x14ac:dyDescent="0.25">
      <c r="A439" s="5">
        <v>34219</v>
      </c>
      <c r="B439">
        <v>1.565428</v>
      </c>
    </row>
    <row r="440" spans="1:2" x14ac:dyDescent="0.25">
      <c r="A440" s="5">
        <v>34220</v>
      </c>
      <c r="B440">
        <v>1.4634450000000001</v>
      </c>
    </row>
    <row r="441" spans="1:2" x14ac:dyDescent="0.25">
      <c r="A441" s="5">
        <v>34221</v>
      </c>
      <c r="B441">
        <v>1.524634</v>
      </c>
    </row>
    <row r="442" spans="1:2" x14ac:dyDescent="0.25">
      <c r="A442" s="5">
        <v>34222</v>
      </c>
      <c r="B442">
        <v>1.5526789999999999</v>
      </c>
    </row>
    <row r="443" spans="1:2" x14ac:dyDescent="0.25">
      <c r="A443" s="5">
        <v>34225</v>
      </c>
      <c r="B443">
        <v>1.504238</v>
      </c>
    </row>
    <row r="444" spans="1:2" x14ac:dyDescent="0.25">
      <c r="A444" s="5">
        <v>34226</v>
      </c>
      <c r="B444">
        <v>1.453247</v>
      </c>
    </row>
    <row r="445" spans="1:2" x14ac:dyDescent="0.25">
      <c r="A445" s="5">
        <v>34227</v>
      </c>
      <c r="B445">
        <v>1.49404</v>
      </c>
    </row>
    <row r="446" spans="1:2" x14ac:dyDescent="0.25">
      <c r="A446" s="5">
        <v>34228</v>
      </c>
      <c r="B446">
        <v>1.506788</v>
      </c>
    </row>
    <row r="447" spans="1:2" x14ac:dyDescent="0.25">
      <c r="A447" s="5">
        <v>34229</v>
      </c>
      <c r="B447">
        <v>1.555229</v>
      </c>
    </row>
    <row r="448" spans="1:2" x14ac:dyDescent="0.25">
      <c r="A448" s="5">
        <v>34232</v>
      </c>
      <c r="B448">
        <v>1.5934729999999999</v>
      </c>
    </row>
    <row r="449" spans="1:2" x14ac:dyDescent="0.25">
      <c r="A449" s="5">
        <v>34233</v>
      </c>
      <c r="B449">
        <v>1.55013</v>
      </c>
    </row>
    <row r="450" spans="1:2" x14ac:dyDescent="0.25">
      <c r="A450" s="5">
        <v>34234</v>
      </c>
      <c r="B450">
        <v>1.6036710000000001</v>
      </c>
    </row>
    <row r="451" spans="1:2" x14ac:dyDescent="0.25">
      <c r="A451" s="5">
        <v>34235</v>
      </c>
      <c r="B451">
        <v>1.6368149999999999</v>
      </c>
    </row>
    <row r="452" spans="1:2" x14ac:dyDescent="0.25">
      <c r="A452" s="5">
        <v>34236</v>
      </c>
      <c r="B452">
        <v>1.677608</v>
      </c>
    </row>
    <row r="453" spans="1:2" x14ac:dyDescent="0.25">
      <c r="A453" s="5">
        <v>34239</v>
      </c>
      <c r="B453">
        <v>1.6546620000000001</v>
      </c>
    </row>
    <row r="454" spans="1:2" x14ac:dyDescent="0.25">
      <c r="A454" s="5">
        <v>34240</v>
      </c>
      <c r="B454">
        <v>1.7133020000000001</v>
      </c>
    </row>
    <row r="455" spans="1:2" x14ac:dyDescent="0.25">
      <c r="A455" s="5">
        <v>34241</v>
      </c>
      <c r="B455">
        <v>1.748996</v>
      </c>
    </row>
    <row r="456" spans="1:2" x14ac:dyDescent="0.25">
      <c r="A456" s="5">
        <v>34242</v>
      </c>
      <c r="B456">
        <v>1.6878059999999999</v>
      </c>
    </row>
    <row r="457" spans="1:2" x14ac:dyDescent="0.25">
      <c r="A457" s="5">
        <v>34243</v>
      </c>
      <c r="B457">
        <v>1.6419140000000001</v>
      </c>
    </row>
    <row r="458" spans="1:2" x14ac:dyDescent="0.25">
      <c r="A458" s="5">
        <v>34246</v>
      </c>
      <c r="B458">
        <v>1.6878059999999999</v>
      </c>
    </row>
    <row r="459" spans="1:2" x14ac:dyDescent="0.25">
      <c r="A459" s="5">
        <v>34247</v>
      </c>
      <c r="B459">
        <v>1.6113189999999999</v>
      </c>
    </row>
    <row r="460" spans="1:2" x14ac:dyDescent="0.25">
      <c r="A460" s="5">
        <v>34248</v>
      </c>
      <c r="B460">
        <v>1.5858239999999999</v>
      </c>
    </row>
    <row r="461" spans="1:2" x14ac:dyDescent="0.25">
      <c r="A461" s="5">
        <v>34249</v>
      </c>
      <c r="B461">
        <v>1.613869</v>
      </c>
    </row>
    <row r="462" spans="1:2" x14ac:dyDescent="0.25">
      <c r="A462" s="5">
        <v>34250</v>
      </c>
      <c r="B462">
        <v>1.6164190000000001</v>
      </c>
    </row>
    <row r="463" spans="1:2" x14ac:dyDescent="0.25">
      <c r="A463" s="5">
        <v>34253</v>
      </c>
      <c r="B463">
        <v>1.657211</v>
      </c>
    </row>
    <row r="464" spans="1:2" x14ac:dyDescent="0.25">
      <c r="A464" s="5">
        <v>34254</v>
      </c>
      <c r="B464">
        <v>1.6980040000000001</v>
      </c>
    </row>
    <row r="465" spans="1:2" x14ac:dyDescent="0.25">
      <c r="A465" s="5">
        <v>34255</v>
      </c>
      <c r="B465">
        <v>1.7133020000000001</v>
      </c>
    </row>
    <row r="466" spans="1:2" x14ac:dyDescent="0.25">
      <c r="A466" s="5">
        <v>34256</v>
      </c>
      <c r="B466">
        <v>1.7438959999999999</v>
      </c>
    </row>
    <row r="467" spans="1:2" x14ac:dyDescent="0.25">
      <c r="A467" s="5">
        <v>34257</v>
      </c>
      <c r="B467">
        <v>1.7438959999999999</v>
      </c>
    </row>
    <row r="468" spans="1:2" x14ac:dyDescent="0.25">
      <c r="A468" s="5">
        <v>34260</v>
      </c>
      <c r="B468">
        <v>1.7591939999999999</v>
      </c>
    </row>
    <row r="469" spans="1:2" x14ac:dyDescent="0.25">
      <c r="A469" s="5">
        <v>34261</v>
      </c>
      <c r="B469">
        <v>1.6725080000000001</v>
      </c>
    </row>
    <row r="470" spans="1:2" x14ac:dyDescent="0.25">
      <c r="A470" s="5">
        <v>34262</v>
      </c>
      <c r="B470">
        <v>1.6470130000000001</v>
      </c>
    </row>
    <row r="471" spans="1:2" x14ac:dyDescent="0.25">
      <c r="A471" s="5">
        <v>34263</v>
      </c>
      <c r="B471">
        <v>1.60622</v>
      </c>
    </row>
    <row r="472" spans="1:2" x14ac:dyDescent="0.25">
      <c r="A472" s="5">
        <v>34264</v>
      </c>
      <c r="B472">
        <v>1.5909230000000001</v>
      </c>
    </row>
    <row r="473" spans="1:2" x14ac:dyDescent="0.25">
      <c r="A473" s="5">
        <v>34267</v>
      </c>
      <c r="B473">
        <v>1.504238</v>
      </c>
    </row>
    <row r="474" spans="1:2" x14ac:dyDescent="0.25">
      <c r="A474" s="5">
        <v>34268</v>
      </c>
      <c r="B474">
        <v>1.4889399999999999</v>
      </c>
    </row>
    <row r="475" spans="1:2" x14ac:dyDescent="0.25">
      <c r="A475" s="5">
        <v>34269</v>
      </c>
      <c r="B475">
        <v>1.5858239999999999</v>
      </c>
    </row>
    <row r="476" spans="1:2" x14ac:dyDescent="0.25">
      <c r="A476" s="5">
        <v>34270</v>
      </c>
      <c r="B476">
        <v>1.557779</v>
      </c>
    </row>
    <row r="477" spans="1:2" x14ac:dyDescent="0.25">
      <c r="A477" s="5">
        <v>34271</v>
      </c>
      <c r="B477">
        <v>1.5603279999999999</v>
      </c>
    </row>
    <row r="478" spans="1:2" x14ac:dyDescent="0.25">
      <c r="A478" s="5">
        <v>34274</v>
      </c>
      <c r="B478">
        <v>1.626617</v>
      </c>
    </row>
    <row r="479" spans="1:2" x14ac:dyDescent="0.25">
      <c r="A479" s="5">
        <v>34275</v>
      </c>
      <c r="B479">
        <v>1.60622</v>
      </c>
    </row>
    <row r="480" spans="1:2" x14ac:dyDescent="0.25">
      <c r="A480" s="5">
        <v>34276</v>
      </c>
      <c r="B480">
        <v>1.5016879999999999</v>
      </c>
    </row>
    <row r="481" spans="1:2" x14ac:dyDescent="0.25">
      <c r="A481" s="5">
        <v>34277</v>
      </c>
      <c r="B481">
        <v>1.422652</v>
      </c>
    </row>
    <row r="482" spans="1:2" x14ac:dyDescent="0.25">
      <c r="A482" s="5">
        <v>34278</v>
      </c>
      <c r="B482">
        <v>1.422652</v>
      </c>
    </row>
    <row r="483" spans="1:2" x14ac:dyDescent="0.25">
      <c r="A483" s="5">
        <v>34281</v>
      </c>
      <c r="B483">
        <v>1.4838420000000001</v>
      </c>
    </row>
    <row r="484" spans="1:2" x14ac:dyDescent="0.25">
      <c r="A484" s="5">
        <v>34282</v>
      </c>
      <c r="B484">
        <v>1.5297339999999999</v>
      </c>
    </row>
    <row r="485" spans="1:2" x14ac:dyDescent="0.25">
      <c r="A485" s="5">
        <v>34283</v>
      </c>
      <c r="B485">
        <v>1.555229</v>
      </c>
    </row>
    <row r="486" spans="1:2" x14ac:dyDescent="0.25">
      <c r="A486" s="5">
        <v>34284</v>
      </c>
      <c r="B486">
        <v>1.5169859999999999</v>
      </c>
    </row>
    <row r="487" spans="1:2" x14ac:dyDescent="0.25">
      <c r="A487" s="5">
        <v>34285</v>
      </c>
      <c r="B487">
        <v>1.499139</v>
      </c>
    </row>
    <row r="488" spans="1:2" x14ac:dyDescent="0.25">
      <c r="A488" s="5">
        <v>34288</v>
      </c>
      <c r="B488">
        <v>1.422652</v>
      </c>
    </row>
    <row r="489" spans="1:2" x14ac:dyDescent="0.25">
      <c r="A489" s="5">
        <v>34289</v>
      </c>
      <c r="B489">
        <v>1.346166</v>
      </c>
    </row>
    <row r="490" spans="1:2" x14ac:dyDescent="0.25">
      <c r="A490" s="5">
        <v>34290</v>
      </c>
      <c r="B490">
        <v>1.274778</v>
      </c>
    </row>
    <row r="491" spans="1:2" x14ac:dyDescent="0.25">
      <c r="A491" s="5">
        <v>34291</v>
      </c>
      <c r="B491">
        <v>1.1269039999999999</v>
      </c>
    </row>
    <row r="492" spans="1:2" x14ac:dyDescent="0.25">
      <c r="A492" s="5">
        <v>34292</v>
      </c>
      <c r="B492">
        <v>1.106508</v>
      </c>
    </row>
    <row r="493" spans="1:2" x14ac:dyDescent="0.25">
      <c r="A493" s="5">
        <v>34295</v>
      </c>
      <c r="B493">
        <v>1.142201</v>
      </c>
    </row>
    <row r="494" spans="1:2" x14ac:dyDescent="0.25">
      <c r="A494" s="5">
        <v>34296</v>
      </c>
      <c r="B494">
        <v>1.1778949999999999</v>
      </c>
    </row>
    <row r="495" spans="1:2" x14ac:dyDescent="0.25">
      <c r="A495" s="5">
        <v>34297</v>
      </c>
      <c r="B495">
        <v>1.193192</v>
      </c>
    </row>
    <row r="496" spans="1:2" x14ac:dyDescent="0.25">
      <c r="A496" s="5">
        <v>34299</v>
      </c>
      <c r="B496">
        <v>1.142201</v>
      </c>
    </row>
    <row r="497" spans="1:2" x14ac:dyDescent="0.25">
      <c r="A497" s="5">
        <v>34302</v>
      </c>
      <c r="B497">
        <v>1.0504169999999999</v>
      </c>
    </row>
    <row r="498" spans="1:2" x14ac:dyDescent="0.25">
      <c r="A498" s="5">
        <v>34303</v>
      </c>
      <c r="B498">
        <v>1.0759129999999999</v>
      </c>
    </row>
    <row r="499" spans="1:2" x14ac:dyDescent="0.25">
      <c r="A499" s="5">
        <v>34304</v>
      </c>
      <c r="B499">
        <v>1.1549480000000001</v>
      </c>
    </row>
    <row r="500" spans="1:2" x14ac:dyDescent="0.25">
      <c r="A500" s="5">
        <v>34305</v>
      </c>
      <c r="B500">
        <v>1.193192</v>
      </c>
    </row>
    <row r="501" spans="1:2" x14ac:dyDescent="0.25">
      <c r="A501" s="5">
        <v>34306</v>
      </c>
      <c r="B501">
        <v>1.2084900000000001</v>
      </c>
    </row>
    <row r="502" spans="1:2" x14ac:dyDescent="0.25">
      <c r="A502" s="5">
        <v>34309</v>
      </c>
      <c r="B502">
        <v>1.188094</v>
      </c>
    </row>
    <row r="503" spans="1:2" x14ac:dyDescent="0.25">
      <c r="A503" s="5">
        <v>34310</v>
      </c>
      <c r="B503">
        <v>1.152399</v>
      </c>
    </row>
    <row r="504" spans="1:2" x14ac:dyDescent="0.25">
      <c r="A504" s="5">
        <v>34311</v>
      </c>
      <c r="B504">
        <v>1.1269039999999999</v>
      </c>
    </row>
    <row r="505" spans="1:2" x14ac:dyDescent="0.25">
      <c r="A505" s="5">
        <v>34312</v>
      </c>
      <c r="B505">
        <v>1.0810120000000001</v>
      </c>
    </row>
    <row r="506" spans="1:2" x14ac:dyDescent="0.25">
      <c r="A506" s="5">
        <v>34313</v>
      </c>
      <c r="B506">
        <v>1.0810120000000001</v>
      </c>
    </row>
    <row r="507" spans="1:2" x14ac:dyDescent="0.25">
      <c r="A507" s="5">
        <v>34316</v>
      </c>
      <c r="B507">
        <v>1.1141559999999999</v>
      </c>
    </row>
    <row r="508" spans="1:2" x14ac:dyDescent="0.25">
      <c r="A508" s="5">
        <v>34317</v>
      </c>
      <c r="B508">
        <v>1.09121</v>
      </c>
    </row>
    <row r="509" spans="1:2" x14ac:dyDescent="0.25">
      <c r="A509" s="5">
        <v>34318</v>
      </c>
      <c r="B509">
        <v>1.116706</v>
      </c>
    </row>
    <row r="510" spans="1:2" x14ac:dyDescent="0.25">
      <c r="A510" s="5">
        <v>34319</v>
      </c>
      <c r="B510">
        <v>1.111607</v>
      </c>
    </row>
    <row r="511" spans="1:2" x14ac:dyDescent="0.25">
      <c r="A511" s="5">
        <v>34320</v>
      </c>
      <c r="B511">
        <v>1.142201</v>
      </c>
    </row>
    <row r="512" spans="1:2" x14ac:dyDescent="0.25">
      <c r="A512" s="5">
        <v>34323</v>
      </c>
      <c r="B512">
        <v>1.180445</v>
      </c>
    </row>
    <row r="513" spans="1:2" x14ac:dyDescent="0.25">
      <c r="A513" s="5">
        <v>34324</v>
      </c>
      <c r="B513">
        <v>1.1574990000000001</v>
      </c>
    </row>
    <row r="514" spans="1:2" x14ac:dyDescent="0.25">
      <c r="A514" s="5">
        <v>34325</v>
      </c>
      <c r="B514">
        <v>1.152399</v>
      </c>
    </row>
    <row r="515" spans="1:2" x14ac:dyDescent="0.25">
      <c r="A515" s="5">
        <v>34326</v>
      </c>
      <c r="B515">
        <v>1.152399</v>
      </c>
    </row>
    <row r="516" spans="1:2" x14ac:dyDescent="0.25">
      <c r="A516" s="5">
        <v>34330</v>
      </c>
      <c r="B516">
        <v>1.111607</v>
      </c>
    </row>
    <row r="517" spans="1:2" x14ac:dyDescent="0.25">
      <c r="A517" s="5">
        <v>34331</v>
      </c>
      <c r="B517">
        <v>1.0733630000000001</v>
      </c>
    </row>
    <row r="518" spans="1:2" x14ac:dyDescent="0.25">
      <c r="A518" s="5">
        <v>34332</v>
      </c>
      <c r="B518">
        <v>1.106508</v>
      </c>
    </row>
    <row r="519" spans="1:2" x14ac:dyDescent="0.25">
      <c r="A519" s="5">
        <v>34333</v>
      </c>
      <c r="B519">
        <v>1.106508</v>
      </c>
    </row>
    <row r="520" spans="1:2" x14ac:dyDescent="0.25">
      <c r="A520" s="5">
        <v>34334</v>
      </c>
      <c r="B520">
        <v>1.0810120000000001</v>
      </c>
    </row>
    <row r="521" spans="1:2" x14ac:dyDescent="0.25">
      <c r="A521" s="5">
        <v>34337</v>
      </c>
      <c r="B521">
        <v>1.083561</v>
      </c>
    </row>
    <row r="522" spans="1:2" x14ac:dyDescent="0.25">
      <c r="A522" s="5">
        <v>34338</v>
      </c>
      <c r="B522">
        <v>1.103958</v>
      </c>
    </row>
    <row r="523" spans="1:2" x14ac:dyDescent="0.25">
      <c r="A523" s="5">
        <v>34339</v>
      </c>
      <c r="B523">
        <v>1.0708139999999999</v>
      </c>
    </row>
    <row r="524" spans="1:2" x14ac:dyDescent="0.25">
      <c r="A524" s="5">
        <v>34340</v>
      </c>
      <c r="B524">
        <v>1.0810120000000001</v>
      </c>
    </row>
    <row r="525" spans="1:2" x14ac:dyDescent="0.25">
      <c r="A525" s="5">
        <v>34341</v>
      </c>
      <c r="B525">
        <v>1.0504169999999999</v>
      </c>
    </row>
    <row r="526" spans="1:2" x14ac:dyDescent="0.25">
      <c r="A526" s="5">
        <v>34344</v>
      </c>
      <c r="B526">
        <v>0.968831</v>
      </c>
    </row>
    <row r="527" spans="1:2" x14ac:dyDescent="0.25">
      <c r="A527" s="5">
        <v>34345</v>
      </c>
      <c r="B527">
        <v>0.99432699999999996</v>
      </c>
    </row>
    <row r="528" spans="1:2" x14ac:dyDescent="0.25">
      <c r="A528" s="5">
        <v>34346</v>
      </c>
      <c r="B528">
        <v>0.98412900000000003</v>
      </c>
    </row>
    <row r="529" spans="1:2" x14ac:dyDescent="0.25">
      <c r="A529" s="5">
        <v>34347</v>
      </c>
      <c r="B529">
        <v>1.0708139999999999</v>
      </c>
    </row>
    <row r="530" spans="1:2" x14ac:dyDescent="0.25">
      <c r="A530" s="5">
        <v>34348</v>
      </c>
      <c r="B530">
        <v>1.103958</v>
      </c>
    </row>
    <row r="531" spans="1:2" x14ac:dyDescent="0.25">
      <c r="A531" s="5">
        <v>34351</v>
      </c>
      <c r="B531">
        <v>1.040219</v>
      </c>
    </row>
    <row r="532" spans="1:2" x14ac:dyDescent="0.25">
      <c r="A532" s="5">
        <v>34352</v>
      </c>
      <c r="B532">
        <v>1.004526</v>
      </c>
    </row>
    <row r="533" spans="1:2" x14ac:dyDescent="0.25">
      <c r="A533" s="5">
        <v>34353</v>
      </c>
      <c r="B533">
        <v>0.99177700000000002</v>
      </c>
    </row>
    <row r="534" spans="1:2" x14ac:dyDescent="0.25">
      <c r="A534" s="5">
        <v>34354</v>
      </c>
      <c r="B534">
        <v>1.004526</v>
      </c>
    </row>
    <row r="535" spans="1:2" x14ac:dyDescent="0.25">
      <c r="A535" s="5">
        <v>34355</v>
      </c>
      <c r="B535">
        <v>0.98667800000000006</v>
      </c>
    </row>
    <row r="536" spans="1:2" x14ac:dyDescent="0.25">
      <c r="A536" s="5">
        <v>34358</v>
      </c>
      <c r="B536">
        <v>0.97902999999999996</v>
      </c>
    </row>
    <row r="537" spans="1:2" x14ac:dyDescent="0.25">
      <c r="A537" s="5">
        <v>34359</v>
      </c>
      <c r="B537">
        <v>0.99432699999999996</v>
      </c>
    </row>
    <row r="538" spans="1:2" x14ac:dyDescent="0.25">
      <c r="A538" s="5">
        <v>34360</v>
      </c>
      <c r="B538">
        <v>1.014724</v>
      </c>
    </row>
    <row r="539" spans="1:2" x14ac:dyDescent="0.25">
      <c r="A539" s="5">
        <v>34361</v>
      </c>
      <c r="B539">
        <v>1.014724</v>
      </c>
    </row>
    <row r="540" spans="1:2" x14ac:dyDescent="0.25">
      <c r="A540" s="5">
        <v>34362</v>
      </c>
      <c r="B540">
        <v>1.0096240000000001</v>
      </c>
    </row>
    <row r="541" spans="1:2" x14ac:dyDescent="0.25">
      <c r="A541" s="5">
        <v>34365</v>
      </c>
      <c r="B541">
        <v>1.0249220000000001</v>
      </c>
    </row>
    <row r="542" spans="1:2" x14ac:dyDescent="0.25">
      <c r="A542" s="5">
        <v>34366</v>
      </c>
      <c r="B542">
        <v>1.0096240000000001</v>
      </c>
    </row>
    <row r="543" spans="1:2" x14ac:dyDescent="0.25">
      <c r="A543" s="5">
        <v>34367</v>
      </c>
      <c r="B543">
        <v>1.014724</v>
      </c>
    </row>
    <row r="544" spans="1:2" x14ac:dyDescent="0.25">
      <c r="A544" s="5">
        <v>34368</v>
      </c>
      <c r="B544">
        <v>0.98412900000000003</v>
      </c>
    </row>
    <row r="545" spans="1:2" x14ac:dyDescent="0.25">
      <c r="A545" s="5">
        <v>34369</v>
      </c>
      <c r="B545">
        <v>0.93313800000000002</v>
      </c>
    </row>
    <row r="546" spans="1:2" x14ac:dyDescent="0.25">
      <c r="A546" s="5">
        <v>34372</v>
      </c>
      <c r="B546">
        <v>0.945886</v>
      </c>
    </row>
    <row r="547" spans="1:2" x14ac:dyDescent="0.25">
      <c r="A547" s="5">
        <v>34373</v>
      </c>
      <c r="B547">
        <v>0.95863299999999996</v>
      </c>
    </row>
    <row r="548" spans="1:2" x14ac:dyDescent="0.25">
      <c r="A548" s="5">
        <v>34374</v>
      </c>
      <c r="B548">
        <v>0.94843500000000003</v>
      </c>
    </row>
    <row r="549" spans="1:2" x14ac:dyDescent="0.25">
      <c r="A549" s="5">
        <v>34375</v>
      </c>
      <c r="B549">
        <v>0.92803800000000003</v>
      </c>
    </row>
    <row r="550" spans="1:2" x14ac:dyDescent="0.25">
      <c r="A550" s="5">
        <v>34376</v>
      </c>
      <c r="B550">
        <v>0.94333599999999995</v>
      </c>
    </row>
    <row r="551" spans="1:2" x14ac:dyDescent="0.25">
      <c r="A551" s="5">
        <v>34379</v>
      </c>
      <c r="B551">
        <v>0.94843500000000003</v>
      </c>
    </row>
    <row r="552" spans="1:2" x14ac:dyDescent="0.25">
      <c r="A552" s="5">
        <v>34380</v>
      </c>
      <c r="B552">
        <v>0.91019099999999997</v>
      </c>
    </row>
    <row r="553" spans="1:2" x14ac:dyDescent="0.25">
      <c r="A553" s="5">
        <v>34381</v>
      </c>
      <c r="B553">
        <v>0.89744400000000002</v>
      </c>
    </row>
    <row r="554" spans="1:2" x14ac:dyDescent="0.25">
      <c r="A554" s="5">
        <v>34382</v>
      </c>
      <c r="B554">
        <v>0.85665100000000005</v>
      </c>
    </row>
    <row r="555" spans="1:2" x14ac:dyDescent="0.25">
      <c r="A555" s="5">
        <v>34383</v>
      </c>
      <c r="B555">
        <v>0.86684899999999998</v>
      </c>
    </row>
    <row r="556" spans="1:2" x14ac:dyDescent="0.25">
      <c r="A556" s="5">
        <v>34387</v>
      </c>
      <c r="B556">
        <v>0.84645300000000001</v>
      </c>
    </row>
    <row r="557" spans="1:2" x14ac:dyDescent="0.25">
      <c r="A557" s="5">
        <v>34388</v>
      </c>
      <c r="B557">
        <v>0.86684899999999998</v>
      </c>
    </row>
    <row r="558" spans="1:2" x14ac:dyDescent="0.25">
      <c r="A558" s="5">
        <v>34389</v>
      </c>
      <c r="B558">
        <v>0.85155199999999998</v>
      </c>
    </row>
    <row r="559" spans="1:2" x14ac:dyDescent="0.25">
      <c r="A559" s="5">
        <v>34390</v>
      </c>
      <c r="B559">
        <v>0.86684899999999998</v>
      </c>
    </row>
    <row r="560" spans="1:2" x14ac:dyDescent="0.25">
      <c r="A560" s="5">
        <v>34393</v>
      </c>
      <c r="B560">
        <v>0.91783999999999999</v>
      </c>
    </row>
    <row r="561" spans="1:2" x14ac:dyDescent="0.25">
      <c r="A561" s="5">
        <v>34394</v>
      </c>
      <c r="B561">
        <v>1.0300210000000001</v>
      </c>
    </row>
    <row r="562" spans="1:2" x14ac:dyDescent="0.25">
      <c r="A562" s="5">
        <v>34395</v>
      </c>
      <c r="B562">
        <v>1.111607</v>
      </c>
    </row>
    <row r="563" spans="1:2" x14ac:dyDescent="0.25">
      <c r="A563" s="5">
        <v>34396</v>
      </c>
      <c r="B563">
        <v>1.0708139999999999</v>
      </c>
    </row>
    <row r="564" spans="1:2" x14ac:dyDescent="0.25">
      <c r="A564" s="5">
        <v>34397</v>
      </c>
      <c r="B564">
        <v>1.0504169999999999</v>
      </c>
    </row>
    <row r="565" spans="1:2" x14ac:dyDescent="0.25">
      <c r="A565" s="5">
        <v>34400</v>
      </c>
      <c r="B565">
        <v>1.0300210000000001</v>
      </c>
    </row>
    <row r="566" spans="1:2" x14ac:dyDescent="0.25">
      <c r="A566" s="5">
        <v>34401</v>
      </c>
      <c r="B566">
        <v>1.0198229999999999</v>
      </c>
    </row>
    <row r="567" spans="1:2" x14ac:dyDescent="0.25">
      <c r="A567" s="5">
        <v>34402</v>
      </c>
      <c r="B567">
        <v>1.004526</v>
      </c>
    </row>
    <row r="568" spans="1:2" x14ac:dyDescent="0.25">
      <c r="A568" s="5">
        <v>34403</v>
      </c>
      <c r="B568">
        <v>1.014724</v>
      </c>
    </row>
    <row r="569" spans="1:2" x14ac:dyDescent="0.25">
      <c r="A569" s="5">
        <v>34404</v>
      </c>
      <c r="B569">
        <v>1.040219</v>
      </c>
    </row>
    <row r="570" spans="1:2" x14ac:dyDescent="0.25">
      <c r="A570" s="5">
        <v>34407</v>
      </c>
      <c r="B570">
        <v>1.09121</v>
      </c>
    </row>
    <row r="571" spans="1:2" x14ac:dyDescent="0.25">
      <c r="A571" s="5">
        <v>34408</v>
      </c>
      <c r="B571">
        <v>1.116706</v>
      </c>
    </row>
    <row r="572" spans="1:2" x14ac:dyDescent="0.25">
      <c r="A572" s="5">
        <v>34409</v>
      </c>
      <c r="B572">
        <v>1.1727959999999999</v>
      </c>
    </row>
    <row r="573" spans="1:2" x14ac:dyDescent="0.25">
      <c r="A573" s="5">
        <v>34410</v>
      </c>
      <c r="B573">
        <v>1.142201</v>
      </c>
    </row>
    <row r="574" spans="1:2" x14ac:dyDescent="0.25">
      <c r="A574" s="5">
        <v>34411</v>
      </c>
      <c r="B574">
        <v>1.162598</v>
      </c>
    </row>
    <row r="575" spans="1:2" x14ac:dyDescent="0.25">
      <c r="A575" s="5">
        <v>34414</v>
      </c>
      <c r="B575">
        <v>1.1269039999999999</v>
      </c>
    </row>
    <row r="576" spans="1:2" x14ac:dyDescent="0.25">
      <c r="A576" s="5">
        <v>34415</v>
      </c>
      <c r="B576">
        <v>1.1014079999999999</v>
      </c>
    </row>
    <row r="577" spans="1:2" x14ac:dyDescent="0.25">
      <c r="A577" s="5">
        <v>34416</v>
      </c>
      <c r="B577">
        <v>1.0708139999999999</v>
      </c>
    </row>
    <row r="578" spans="1:2" x14ac:dyDescent="0.25">
      <c r="A578" s="5">
        <v>34417</v>
      </c>
      <c r="B578">
        <v>1.09121</v>
      </c>
    </row>
    <row r="579" spans="1:2" x14ac:dyDescent="0.25">
      <c r="A579" s="5">
        <v>34418</v>
      </c>
      <c r="B579">
        <v>1.060616</v>
      </c>
    </row>
    <row r="580" spans="1:2" x14ac:dyDescent="0.25">
      <c r="A580" s="5">
        <v>34421</v>
      </c>
      <c r="B580">
        <v>0.99942600000000004</v>
      </c>
    </row>
    <row r="581" spans="1:2" x14ac:dyDescent="0.25">
      <c r="A581" s="5">
        <v>34422</v>
      </c>
      <c r="B581">
        <v>0.94843500000000003</v>
      </c>
    </row>
    <row r="582" spans="1:2" x14ac:dyDescent="0.25">
      <c r="A582" s="5">
        <v>34423</v>
      </c>
      <c r="B582">
        <v>0.968831</v>
      </c>
    </row>
    <row r="583" spans="1:2" x14ac:dyDescent="0.25">
      <c r="A583" s="5">
        <v>34424</v>
      </c>
      <c r="B583">
        <v>0.99942600000000004</v>
      </c>
    </row>
    <row r="584" spans="1:2" x14ac:dyDescent="0.25">
      <c r="A584" s="5">
        <v>34428</v>
      </c>
      <c r="B584">
        <v>0.95353399999999999</v>
      </c>
    </row>
    <row r="585" spans="1:2" x14ac:dyDescent="0.25">
      <c r="A585" s="5">
        <v>34429</v>
      </c>
      <c r="B585">
        <v>0.94843500000000003</v>
      </c>
    </row>
    <row r="586" spans="1:2" x14ac:dyDescent="0.25">
      <c r="A586" s="5">
        <v>34430</v>
      </c>
      <c r="B586">
        <v>0.94843500000000003</v>
      </c>
    </row>
    <row r="587" spans="1:2" x14ac:dyDescent="0.25">
      <c r="A587" s="5">
        <v>34431</v>
      </c>
      <c r="B587">
        <v>0.94843500000000003</v>
      </c>
    </row>
    <row r="588" spans="1:2" x14ac:dyDescent="0.25">
      <c r="A588" s="5">
        <v>34432</v>
      </c>
      <c r="B588">
        <v>0.92803800000000003</v>
      </c>
    </row>
    <row r="589" spans="1:2" x14ac:dyDescent="0.25">
      <c r="A589" s="5">
        <v>34435</v>
      </c>
      <c r="B589">
        <v>0.89744400000000002</v>
      </c>
    </row>
    <row r="590" spans="1:2" x14ac:dyDescent="0.25">
      <c r="A590" s="5">
        <v>34436</v>
      </c>
      <c r="B590">
        <v>0.88724599999999998</v>
      </c>
    </row>
    <row r="591" spans="1:2" x14ac:dyDescent="0.25">
      <c r="A591" s="5">
        <v>34437</v>
      </c>
      <c r="B591">
        <v>0.83625400000000005</v>
      </c>
    </row>
    <row r="592" spans="1:2" x14ac:dyDescent="0.25">
      <c r="A592" s="5">
        <v>34438</v>
      </c>
      <c r="B592">
        <v>0.84645300000000001</v>
      </c>
    </row>
    <row r="593" spans="1:2" x14ac:dyDescent="0.25">
      <c r="A593" s="5">
        <v>34439</v>
      </c>
      <c r="B593">
        <v>0.92803800000000003</v>
      </c>
    </row>
    <row r="594" spans="1:2" x14ac:dyDescent="0.25">
      <c r="A594" s="5">
        <v>34442</v>
      </c>
      <c r="B594">
        <v>0.89744400000000002</v>
      </c>
    </row>
    <row r="595" spans="1:2" x14ac:dyDescent="0.25">
      <c r="A595" s="5">
        <v>34443</v>
      </c>
      <c r="B595">
        <v>0.85155199999999998</v>
      </c>
    </row>
    <row r="596" spans="1:2" x14ac:dyDescent="0.25">
      <c r="A596" s="5">
        <v>34444</v>
      </c>
      <c r="B596">
        <v>0.83625400000000005</v>
      </c>
    </row>
    <row r="597" spans="1:2" x14ac:dyDescent="0.25">
      <c r="A597" s="5">
        <v>34445</v>
      </c>
      <c r="B597">
        <v>0.81585799999999997</v>
      </c>
    </row>
    <row r="598" spans="1:2" x14ac:dyDescent="0.25">
      <c r="A598" s="5">
        <v>34446</v>
      </c>
      <c r="B598">
        <v>0.85665100000000005</v>
      </c>
    </row>
    <row r="599" spans="1:2" x14ac:dyDescent="0.25">
      <c r="A599" s="5">
        <v>34449</v>
      </c>
      <c r="B599">
        <v>0.89234500000000005</v>
      </c>
    </row>
    <row r="600" spans="1:2" x14ac:dyDescent="0.25">
      <c r="A600" s="5">
        <v>34450</v>
      </c>
      <c r="B600">
        <v>0.90764199999999995</v>
      </c>
    </row>
    <row r="601" spans="1:2" x14ac:dyDescent="0.25">
      <c r="A601" s="5">
        <v>34452</v>
      </c>
      <c r="B601">
        <v>0.86684899999999998</v>
      </c>
    </row>
    <row r="602" spans="1:2" x14ac:dyDescent="0.25">
      <c r="A602" s="5">
        <v>34453</v>
      </c>
      <c r="B602">
        <v>0.86684899999999998</v>
      </c>
    </row>
    <row r="603" spans="1:2" x14ac:dyDescent="0.25">
      <c r="A603" s="5">
        <v>34456</v>
      </c>
      <c r="B603">
        <v>0.86684899999999998</v>
      </c>
    </row>
    <row r="604" spans="1:2" x14ac:dyDescent="0.25">
      <c r="A604" s="5">
        <v>34457</v>
      </c>
      <c r="B604">
        <v>0.86684899999999998</v>
      </c>
    </row>
    <row r="605" spans="1:2" x14ac:dyDescent="0.25">
      <c r="A605" s="5">
        <v>34458</v>
      </c>
      <c r="B605">
        <v>0.84135400000000005</v>
      </c>
    </row>
    <row r="606" spans="1:2" x14ac:dyDescent="0.25">
      <c r="A606" s="5">
        <v>34459</v>
      </c>
      <c r="B606">
        <v>0.85665100000000005</v>
      </c>
    </row>
    <row r="607" spans="1:2" x14ac:dyDescent="0.25">
      <c r="A607" s="5">
        <v>34460</v>
      </c>
      <c r="B607">
        <v>0.83625400000000005</v>
      </c>
    </row>
    <row r="608" spans="1:2" x14ac:dyDescent="0.25">
      <c r="A608" s="5">
        <v>34463</v>
      </c>
      <c r="B608">
        <v>0.80566000000000004</v>
      </c>
    </row>
    <row r="609" spans="1:2" x14ac:dyDescent="0.25">
      <c r="A609" s="5">
        <v>34464</v>
      </c>
      <c r="B609">
        <v>0.78526300000000004</v>
      </c>
    </row>
    <row r="610" spans="1:2" x14ac:dyDescent="0.25">
      <c r="A610" s="5">
        <v>34465</v>
      </c>
      <c r="B610">
        <v>0.68837999999999999</v>
      </c>
    </row>
    <row r="611" spans="1:2" x14ac:dyDescent="0.25">
      <c r="A611" s="5">
        <v>34466</v>
      </c>
      <c r="B611">
        <v>0.70367800000000003</v>
      </c>
    </row>
    <row r="612" spans="1:2" x14ac:dyDescent="0.25">
      <c r="A612" s="5">
        <v>34467</v>
      </c>
      <c r="B612">
        <v>0.69857899999999995</v>
      </c>
    </row>
    <row r="613" spans="1:2" x14ac:dyDescent="0.25">
      <c r="A613" s="5">
        <v>34470</v>
      </c>
      <c r="B613">
        <v>0.70367800000000003</v>
      </c>
    </row>
    <row r="614" spans="1:2" x14ac:dyDescent="0.25">
      <c r="A614" s="5">
        <v>34471</v>
      </c>
      <c r="B614">
        <v>0.70367800000000003</v>
      </c>
    </row>
    <row r="615" spans="1:2" x14ac:dyDescent="0.25">
      <c r="A615" s="5">
        <v>34472</v>
      </c>
      <c r="B615">
        <v>0.73427200000000004</v>
      </c>
    </row>
    <row r="616" spans="1:2" x14ac:dyDescent="0.25">
      <c r="A616" s="5">
        <v>34473</v>
      </c>
      <c r="B616">
        <v>0.74446999999999997</v>
      </c>
    </row>
    <row r="617" spans="1:2" x14ac:dyDescent="0.25">
      <c r="A617" s="5">
        <v>34474</v>
      </c>
      <c r="B617">
        <v>0.73427200000000004</v>
      </c>
    </row>
    <row r="618" spans="1:2" x14ac:dyDescent="0.25">
      <c r="A618" s="5">
        <v>34477</v>
      </c>
      <c r="B618">
        <v>0.71387599999999996</v>
      </c>
    </row>
    <row r="619" spans="1:2" x14ac:dyDescent="0.25">
      <c r="A619" s="5">
        <v>34478</v>
      </c>
      <c r="B619">
        <v>0.75466900000000003</v>
      </c>
    </row>
    <row r="620" spans="1:2" x14ac:dyDescent="0.25">
      <c r="A620" s="5">
        <v>34479</v>
      </c>
      <c r="B620">
        <v>0.72917299999999996</v>
      </c>
    </row>
    <row r="621" spans="1:2" x14ac:dyDescent="0.25">
      <c r="A621" s="5">
        <v>34480</v>
      </c>
      <c r="B621">
        <v>0.70877699999999999</v>
      </c>
    </row>
    <row r="622" spans="1:2" x14ac:dyDescent="0.25">
      <c r="A622" s="5">
        <v>34481</v>
      </c>
      <c r="B622">
        <v>0.69347899999999996</v>
      </c>
    </row>
    <row r="623" spans="1:2" x14ac:dyDescent="0.25">
      <c r="A623" s="5">
        <v>34485</v>
      </c>
      <c r="B623">
        <v>0.66798400000000002</v>
      </c>
    </row>
    <row r="624" spans="1:2" x14ac:dyDescent="0.25">
      <c r="A624" s="5">
        <v>34486</v>
      </c>
      <c r="B624">
        <v>0.67308299999999999</v>
      </c>
    </row>
    <row r="625" spans="1:2" x14ac:dyDescent="0.25">
      <c r="A625" s="5">
        <v>34487</v>
      </c>
      <c r="B625">
        <v>0.68328100000000003</v>
      </c>
    </row>
    <row r="626" spans="1:2" x14ac:dyDescent="0.25">
      <c r="A626" s="5">
        <v>34488</v>
      </c>
      <c r="B626">
        <v>0.73427200000000004</v>
      </c>
    </row>
    <row r="627" spans="1:2" x14ac:dyDescent="0.25">
      <c r="A627" s="5">
        <v>34491</v>
      </c>
      <c r="B627">
        <v>0.74446999999999997</v>
      </c>
    </row>
    <row r="628" spans="1:2" x14ac:dyDescent="0.25">
      <c r="A628" s="5">
        <v>34492</v>
      </c>
      <c r="B628">
        <v>0.73682199999999998</v>
      </c>
    </row>
    <row r="629" spans="1:2" x14ac:dyDescent="0.25">
      <c r="A629" s="5">
        <v>34493</v>
      </c>
      <c r="B629">
        <v>0.72917299999999996</v>
      </c>
    </row>
    <row r="630" spans="1:2" x14ac:dyDescent="0.25">
      <c r="A630" s="5">
        <v>34494</v>
      </c>
      <c r="B630">
        <v>0.724074</v>
      </c>
    </row>
    <row r="631" spans="1:2" x14ac:dyDescent="0.25">
      <c r="A631" s="5">
        <v>34495</v>
      </c>
      <c r="B631">
        <v>0.74446999999999997</v>
      </c>
    </row>
    <row r="632" spans="1:2" x14ac:dyDescent="0.25">
      <c r="A632" s="5">
        <v>34498</v>
      </c>
      <c r="B632">
        <v>0.73427200000000004</v>
      </c>
    </row>
    <row r="633" spans="1:2" x14ac:dyDescent="0.25">
      <c r="A633" s="5">
        <v>34499</v>
      </c>
      <c r="B633">
        <v>0.73427200000000004</v>
      </c>
    </row>
    <row r="634" spans="1:2" x14ac:dyDescent="0.25">
      <c r="A634" s="5">
        <v>34500</v>
      </c>
      <c r="B634">
        <v>0.724074</v>
      </c>
    </row>
    <row r="635" spans="1:2" x14ac:dyDescent="0.25">
      <c r="A635" s="5">
        <v>34501</v>
      </c>
      <c r="B635">
        <v>0.71897500000000003</v>
      </c>
    </row>
    <row r="636" spans="1:2" x14ac:dyDescent="0.25">
      <c r="A636" s="5">
        <v>34502</v>
      </c>
      <c r="B636">
        <v>0.71387599999999996</v>
      </c>
    </row>
    <row r="637" spans="1:2" x14ac:dyDescent="0.25">
      <c r="A637" s="5">
        <v>34505</v>
      </c>
      <c r="B637">
        <v>0.67308299999999999</v>
      </c>
    </row>
    <row r="638" spans="1:2" x14ac:dyDescent="0.25">
      <c r="A638" s="5">
        <v>34506</v>
      </c>
      <c r="B638">
        <v>0.66798400000000002</v>
      </c>
    </row>
    <row r="639" spans="1:2" x14ac:dyDescent="0.25">
      <c r="A639" s="5">
        <v>34507</v>
      </c>
      <c r="B639">
        <v>0.68837999999999999</v>
      </c>
    </row>
    <row r="640" spans="1:2" x14ac:dyDescent="0.25">
      <c r="A640" s="5">
        <v>34508</v>
      </c>
      <c r="B640">
        <v>0.66288499999999995</v>
      </c>
    </row>
    <row r="641" spans="1:2" x14ac:dyDescent="0.25">
      <c r="A641" s="5">
        <v>34509</v>
      </c>
      <c r="B641">
        <v>0.65268599999999999</v>
      </c>
    </row>
    <row r="642" spans="1:2" x14ac:dyDescent="0.25">
      <c r="A642" s="5">
        <v>34512</v>
      </c>
      <c r="B642">
        <v>0.70367800000000003</v>
      </c>
    </row>
    <row r="643" spans="1:2" x14ac:dyDescent="0.25">
      <c r="A643" s="5">
        <v>34513</v>
      </c>
      <c r="B643">
        <v>0.67308299999999999</v>
      </c>
    </row>
    <row r="644" spans="1:2" x14ac:dyDescent="0.25">
      <c r="A644" s="5">
        <v>34514</v>
      </c>
      <c r="B644">
        <v>0.66798400000000002</v>
      </c>
    </row>
    <row r="645" spans="1:2" x14ac:dyDescent="0.25">
      <c r="A645" s="5">
        <v>34515</v>
      </c>
      <c r="B645">
        <v>0.65268599999999999</v>
      </c>
    </row>
    <row r="646" spans="1:2" x14ac:dyDescent="0.25">
      <c r="A646" s="5">
        <v>34516</v>
      </c>
      <c r="B646">
        <v>0.65268599999999999</v>
      </c>
    </row>
    <row r="647" spans="1:2" x14ac:dyDescent="0.25">
      <c r="A647" s="5">
        <v>34520</v>
      </c>
      <c r="B647">
        <v>0.64248799999999995</v>
      </c>
    </row>
    <row r="648" spans="1:2" x14ac:dyDescent="0.25">
      <c r="A648" s="5">
        <v>34521</v>
      </c>
      <c r="B648">
        <v>0.62209199999999998</v>
      </c>
    </row>
    <row r="649" spans="1:2" x14ac:dyDescent="0.25">
      <c r="A649" s="5">
        <v>34522</v>
      </c>
      <c r="B649">
        <v>0.64248799999999995</v>
      </c>
    </row>
    <row r="650" spans="1:2" x14ac:dyDescent="0.25">
      <c r="A650" s="5">
        <v>34523</v>
      </c>
      <c r="B650">
        <v>0.62209199999999998</v>
      </c>
    </row>
    <row r="651" spans="1:2" x14ac:dyDescent="0.25">
      <c r="A651" s="5">
        <v>34526</v>
      </c>
      <c r="B651">
        <v>0.62209199999999998</v>
      </c>
    </row>
    <row r="652" spans="1:2" x14ac:dyDescent="0.25">
      <c r="A652" s="5">
        <v>34527</v>
      </c>
      <c r="B652">
        <v>0.63993900000000004</v>
      </c>
    </row>
    <row r="653" spans="1:2" x14ac:dyDescent="0.25">
      <c r="A653" s="5">
        <v>34528</v>
      </c>
      <c r="B653">
        <v>0.67308299999999999</v>
      </c>
    </row>
    <row r="654" spans="1:2" x14ac:dyDescent="0.25">
      <c r="A654" s="5">
        <v>34529</v>
      </c>
      <c r="B654">
        <v>0.795462</v>
      </c>
    </row>
    <row r="655" spans="1:2" x14ac:dyDescent="0.25">
      <c r="A655" s="5">
        <v>34530</v>
      </c>
      <c r="B655">
        <v>0.775065</v>
      </c>
    </row>
    <row r="656" spans="1:2" x14ac:dyDescent="0.25">
      <c r="A656" s="5">
        <v>34533</v>
      </c>
      <c r="B656">
        <v>0.76486699999999996</v>
      </c>
    </row>
    <row r="657" spans="1:2" x14ac:dyDescent="0.25">
      <c r="A657" s="5">
        <v>34534</v>
      </c>
      <c r="B657">
        <v>0.70877699999999999</v>
      </c>
    </row>
    <row r="658" spans="1:2" x14ac:dyDescent="0.25">
      <c r="A658" s="5">
        <v>34535</v>
      </c>
      <c r="B658">
        <v>0.66798400000000002</v>
      </c>
    </row>
    <row r="659" spans="1:2" x14ac:dyDescent="0.25">
      <c r="A659" s="5">
        <v>34536</v>
      </c>
      <c r="B659">
        <v>0.71387599999999996</v>
      </c>
    </row>
    <row r="660" spans="1:2" x14ac:dyDescent="0.25">
      <c r="A660" s="5">
        <v>34537</v>
      </c>
      <c r="B660">
        <v>0.74446999999999997</v>
      </c>
    </row>
    <row r="661" spans="1:2" x14ac:dyDescent="0.25">
      <c r="A661" s="5">
        <v>34540</v>
      </c>
      <c r="B661">
        <v>0.75466900000000003</v>
      </c>
    </row>
    <row r="662" spans="1:2" x14ac:dyDescent="0.25">
      <c r="A662" s="5">
        <v>34541</v>
      </c>
      <c r="B662">
        <v>0.759768</v>
      </c>
    </row>
    <row r="663" spans="1:2" x14ac:dyDescent="0.25">
      <c r="A663" s="5">
        <v>34542</v>
      </c>
      <c r="B663">
        <v>0.75466900000000003</v>
      </c>
    </row>
    <row r="664" spans="1:2" x14ac:dyDescent="0.25">
      <c r="A664" s="5">
        <v>34543</v>
      </c>
      <c r="B664">
        <v>0.76486699999999996</v>
      </c>
    </row>
    <row r="665" spans="1:2" x14ac:dyDescent="0.25">
      <c r="A665" s="5">
        <v>34544</v>
      </c>
      <c r="B665">
        <v>0.73427200000000004</v>
      </c>
    </row>
    <row r="666" spans="1:2" x14ac:dyDescent="0.25">
      <c r="A666" s="5">
        <v>34547</v>
      </c>
      <c r="B666">
        <v>0.72662300000000002</v>
      </c>
    </row>
    <row r="667" spans="1:2" x14ac:dyDescent="0.25">
      <c r="A667" s="5">
        <v>34548</v>
      </c>
      <c r="B667">
        <v>0.724074</v>
      </c>
    </row>
    <row r="668" spans="1:2" x14ac:dyDescent="0.25">
      <c r="A668" s="5">
        <v>34549</v>
      </c>
      <c r="B668">
        <v>0.71387599999999996</v>
      </c>
    </row>
    <row r="669" spans="1:2" x14ac:dyDescent="0.25">
      <c r="A669" s="5">
        <v>34550</v>
      </c>
      <c r="B669">
        <v>0.72917299999999996</v>
      </c>
    </row>
    <row r="670" spans="1:2" x14ac:dyDescent="0.25">
      <c r="A670" s="5">
        <v>34551</v>
      </c>
      <c r="B670">
        <v>0.724074</v>
      </c>
    </row>
    <row r="671" spans="1:2" x14ac:dyDescent="0.25">
      <c r="A671" s="5">
        <v>34554</v>
      </c>
      <c r="B671">
        <v>0.74956999999999996</v>
      </c>
    </row>
    <row r="672" spans="1:2" x14ac:dyDescent="0.25">
      <c r="A672" s="5">
        <v>34555</v>
      </c>
      <c r="B672">
        <v>0.75466900000000003</v>
      </c>
    </row>
    <row r="673" spans="1:2" x14ac:dyDescent="0.25">
      <c r="A673" s="5">
        <v>34556</v>
      </c>
      <c r="B673">
        <v>0.759768</v>
      </c>
    </row>
    <row r="674" spans="1:2" x14ac:dyDescent="0.25">
      <c r="A674" s="5">
        <v>34557</v>
      </c>
      <c r="B674">
        <v>0.76486699999999996</v>
      </c>
    </row>
    <row r="675" spans="1:2" x14ac:dyDescent="0.25">
      <c r="A675" s="5">
        <v>34558</v>
      </c>
      <c r="B675">
        <v>0.87704700000000002</v>
      </c>
    </row>
    <row r="676" spans="1:2" x14ac:dyDescent="0.25">
      <c r="A676" s="5">
        <v>34561</v>
      </c>
      <c r="B676">
        <v>0.84390299999999996</v>
      </c>
    </row>
    <row r="677" spans="1:2" x14ac:dyDescent="0.25">
      <c r="A677" s="5">
        <v>34562</v>
      </c>
      <c r="B677">
        <v>0.88724599999999998</v>
      </c>
    </row>
    <row r="678" spans="1:2" x14ac:dyDescent="0.25">
      <c r="A678" s="5">
        <v>34563</v>
      </c>
      <c r="B678">
        <v>0.92803800000000003</v>
      </c>
    </row>
    <row r="679" spans="1:2" x14ac:dyDescent="0.25">
      <c r="A679" s="5">
        <v>34564</v>
      </c>
      <c r="B679">
        <v>0.92293999999999998</v>
      </c>
    </row>
    <row r="680" spans="1:2" x14ac:dyDescent="0.25">
      <c r="A680" s="5">
        <v>34565</v>
      </c>
      <c r="B680">
        <v>0.88724599999999998</v>
      </c>
    </row>
    <row r="681" spans="1:2" x14ac:dyDescent="0.25">
      <c r="A681" s="5">
        <v>34568</v>
      </c>
      <c r="B681">
        <v>0.88214599999999999</v>
      </c>
    </row>
    <row r="682" spans="1:2" x14ac:dyDescent="0.25">
      <c r="A682" s="5">
        <v>34569</v>
      </c>
      <c r="B682">
        <v>0.89744400000000002</v>
      </c>
    </row>
    <row r="683" spans="1:2" x14ac:dyDescent="0.25">
      <c r="A683" s="5">
        <v>34570</v>
      </c>
      <c r="B683">
        <v>0.91274100000000002</v>
      </c>
    </row>
    <row r="684" spans="1:2" x14ac:dyDescent="0.25">
      <c r="A684" s="5">
        <v>34571</v>
      </c>
      <c r="B684">
        <v>0.89744400000000002</v>
      </c>
    </row>
    <row r="685" spans="1:2" x14ac:dyDescent="0.25">
      <c r="A685" s="5">
        <v>34572</v>
      </c>
      <c r="B685">
        <v>0.92293999999999998</v>
      </c>
    </row>
    <row r="686" spans="1:2" x14ac:dyDescent="0.25">
      <c r="A686" s="5">
        <v>34575</v>
      </c>
      <c r="B686">
        <v>0.93823599999999996</v>
      </c>
    </row>
    <row r="687" spans="1:2" x14ac:dyDescent="0.25">
      <c r="A687" s="5">
        <v>34576</v>
      </c>
      <c r="B687">
        <v>0.93823599999999996</v>
      </c>
    </row>
    <row r="688" spans="1:2" x14ac:dyDescent="0.25">
      <c r="A688" s="5">
        <v>34577</v>
      </c>
      <c r="B688">
        <v>0.91783999999999999</v>
      </c>
    </row>
    <row r="689" spans="1:2" x14ac:dyDescent="0.25">
      <c r="A689" s="5">
        <v>34578</v>
      </c>
      <c r="B689">
        <v>0.87704700000000002</v>
      </c>
    </row>
    <row r="690" spans="1:2" x14ac:dyDescent="0.25">
      <c r="A690" s="5">
        <v>34579</v>
      </c>
      <c r="B690">
        <v>0.82605600000000001</v>
      </c>
    </row>
    <row r="691" spans="1:2" x14ac:dyDescent="0.25">
      <c r="A691" s="5">
        <v>34583</v>
      </c>
      <c r="B691">
        <v>0.85665100000000005</v>
      </c>
    </row>
    <row r="692" spans="1:2" x14ac:dyDescent="0.25">
      <c r="A692" s="5">
        <v>34584</v>
      </c>
      <c r="B692">
        <v>0.88214599999999999</v>
      </c>
    </row>
    <row r="693" spans="1:2" x14ac:dyDescent="0.25">
      <c r="A693" s="5">
        <v>34585</v>
      </c>
      <c r="B693">
        <v>0.94843500000000003</v>
      </c>
    </row>
    <row r="694" spans="1:2" x14ac:dyDescent="0.25">
      <c r="A694" s="5">
        <v>34586</v>
      </c>
      <c r="B694">
        <v>1.0070749999999999</v>
      </c>
    </row>
    <row r="695" spans="1:2" x14ac:dyDescent="0.25">
      <c r="A695" s="5">
        <v>34589</v>
      </c>
      <c r="B695">
        <v>1.0019750000000001</v>
      </c>
    </row>
    <row r="696" spans="1:2" x14ac:dyDescent="0.25">
      <c r="A696" s="5">
        <v>34590</v>
      </c>
      <c r="B696">
        <v>1.0198229999999999</v>
      </c>
    </row>
    <row r="697" spans="1:2" x14ac:dyDescent="0.25">
      <c r="A697" s="5">
        <v>34591</v>
      </c>
      <c r="B697">
        <v>1.0198229999999999</v>
      </c>
    </row>
    <row r="698" spans="1:2" x14ac:dyDescent="0.25">
      <c r="A698" s="5">
        <v>34592</v>
      </c>
      <c r="B698">
        <v>1.0504169999999999</v>
      </c>
    </row>
    <row r="699" spans="1:2" x14ac:dyDescent="0.25">
      <c r="A699" s="5">
        <v>34593</v>
      </c>
      <c r="B699">
        <v>1.0708139999999999</v>
      </c>
    </row>
    <row r="700" spans="1:2" x14ac:dyDescent="0.25">
      <c r="A700" s="5">
        <v>34596</v>
      </c>
      <c r="B700">
        <v>1.0708139999999999</v>
      </c>
    </row>
    <row r="701" spans="1:2" x14ac:dyDescent="0.25">
      <c r="A701" s="5">
        <v>34597</v>
      </c>
      <c r="B701">
        <v>1.0198229999999999</v>
      </c>
    </row>
    <row r="702" spans="1:2" x14ac:dyDescent="0.25">
      <c r="A702" s="5">
        <v>34598</v>
      </c>
      <c r="B702">
        <v>1.0198229999999999</v>
      </c>
    </row>
    <row r="703" spans="1:2" x14ac:dyDescent="0.25">
      <c r="A703" s="5">
        <v>34599</v>
      </c>
      <c r="B703">
        <v>1.0504169999999999</v>
      </c>
    </row>
    <row r="704" spans="1:2" x14ac:dyDescent="0.25">
      <c r="A704" s="5">
        <v>34600</v>
      </c>
      <c r="B704">
        <v>1.060616</v>
      </c>
    </row>
    <row r="705" spans="1:2" x14ac:dyDescent="0.25">
      <c r="A705" s="5">
        <v>34603</v>
      </c>
      <c r="B705">
        <v>1.0504169999999999</v>
      </c>
    </row>
    <row r="706" spans="1:2" x14ac:dyDescent="0.25">
      <c r="A706" s="5">
        <v>34604</v>
      </c>
      <c r="B706">
        <v>1.0300210000000001</v>
      </c>
    </row>
    <row r="707" spans="1:2" x14ac:dyDescent="0.25">
      <c r="A707" s="5">
        <v>34605</v>
      </c>
      <c r="B707">
        <v>1.0300210000000001</v>
      </c>
    </row>
    <row r="708" spans="1:2" x14ac:dyDescent="0.25">
      <c r="A708" s="5">
        <v>34606</v>
      </c>
      <c r="B708">
        <v>1.0096240000000001</v>
      </c>
    </row>
    <row r="709" spans="1:2" x14ac:dyDescent="0.25">
      <c r="A709" s="5">
        <v>34607</v>
      </c>
      <c r="B709">
        <v>1.03257</v>
      </c>
    </row>
    <row r="710" spans="1:2" x14ac:dyDescent="0.25">
      <c r="A710" s="5">
        <v>34610</v>
      </c>
      <c r="B710">
        <v>1.055517</v>
      </c>
    </row>
    <row r="711" spans="1:2" x14ac:dyDescent="0.25">
      <c r="A711" s="5">
        <v>34611</v>
      </c>
      <c r="B711">
        <v>1.0708139999999999</v>
      </c>
    </row>
    <row r="712" spans="1:2" x14ac:dyDescent="0.25">
      <c r="A712" s="5">
        <v>34612</v>
      </c>
      <c r="B712">
        <v>1.152399</v>
      </c>
    </row>
    <row r="713" spans="1:2" x14ac:dyDescent="0.25">
      <c r="A713" s="5">
        <v>34613</v>
      </c>
      <c r="B713">
        <v>1.1269039999999999</v>
      </c>
    </row>
    <row r="714" spans="1:2" x14ac:dyDescent="0.25">
      <c r="A714" s="5">
        <v>34614</v>
      </c>
      <c r="B714">
        <v>1.152399</v>
      </c>
    </row>
    <row r="715" spans="1:2" x14ac:dyDescent="0.25">
      <c r="A715" s="5">
        <v>34617</v>
      </c>
      <c r="B715">
        <v>1.142201</v>
      </c>
    </row>
    <row r="716" spans="1:2" x14ac:dyDescent="0.25">
      <c r="A716" s="5">
        <v>34618</v>
      </c>
      <c r="B716">
        <v>1.152399</v>
      </c>
    </row>
    <row r="717" spans="1:2" x14ac:dyDescent="0.25">
      <c r="A717" s="5">
        <v>34619</v>
      </c>
      <c r="B717">
        <v>1.1320030000000001</v>
      </c>
    </row>
    <row r="718" spans="1:2" x14ac:dyDescent="0.25">
      <c r="A718" s="5">
        <v>34620</v>
      </c>
      <c r="B718">
        <v>1.162598</v>
      </c>
    </row>
    <row r="719" spans="1:2" x14ac:dyDescent="0.25">
      <c r="A719" s="5">
        <v>34621</v>
      </c>
      <c r="B719">
        <v>1.142201</v>
      </c>
    </row>
    <row r="720" spans="1:2" x14ac:dyDescent="0.25">
      <c r="A720" s="5">
        <v>34624</v>
      </c>
      <c r="B720">
        <v>1.1320030000000001</v>
      </c>
    </row>
    <row r="721" spans="1:2" x14ac:dyDescent="0.25">
      <c r="A721" s="5">
        <v>34625</v>
      </c>
      <c r="B721">
        <v>1.1014079999999999</v>
      </c>
    </row>
    <row r="722" spans="1:2" x14ac:dyDescent="0.25">
      <c r="A722" s="5">
        <v>34626</v>
      </c>
      <c r="B722">
        <v>1.1218049999999999</v>
      </c>
    </row>
    <row r="723" spans="1:2" x14ac:dyDescent="0.25">
      <c r="A723" s="5">
        <v>34627</v>
      </c>
      <c r="B723">
        <v>1.152399</v>
      </c>
    </row>
    <row r="724" spans="1:2" x14ac:dyDescent="0.25">
      <c r="A724" s="5">
        <v>34628</v>
      </c>
      <c r="B724">
        <v>1.2084900000000001</v>
      </c>
    </row>
    <row r="725" spans="1:2" x14ac:dyDescent="0.25">
      <c r="A725" s="5">
        <v>34631</v>
      </c>
      <c r="B725">
        <v>1.1727959999999999</v>
      </c>
    </row>
    <row r="726" spans="1:2" x14ac:dyDescent="0.25">
      <c r="A726" s="5">
        <v>34632</v>
      </c>
      <c r="B726">
        <v>1.142201</v>
      </c>
    </row>
    <row r="727" spans="1:2" x14ac:dyDescent="0.25">
      <c r="A727" s="5">
        <v>34633</v>
      </c>
      <c r="B727">
        <v>1.1727959999999999</v>
      </c>
    </row>
    <row r="728" spans="1:2" x14ac:dyDescent="0.25">
      <c r="A728" s="5">
        <v>34634</v>
      </c>
      <c r="B728">
        <v>1.1829940000000001</v>
      </c>
    </row>
    <row r="729" spans="1:2" x14ac:dyDescent="0.25">
      <c r="A729" s="5">
        <v>34635</v>
      </c>
      <c r="B729">
        <v>1.213589</v>
      </c>
    </row>
    <row r="730" spans="1:2" x14ac:dyDescent="0.25">
      <c r="A730" s="5">
        <v>34638</v>
      </c>
      <c r="B730">
        <v>1.20339</v>
      </c>
    </row>
    <row r="731" spans="1:2" x14ac:dyDescent="0.25">
      <c r="A731" s="5">
        <v>34639</v>
      </c>
      <c r="B731">
        <v>1.188094</v>
      </c>
    </row>
    <row r="732" spans="1:2" x14ac:dyDescent="0.25">
      <c r="A732" s="5">
        <v>34640</v>
      </c>
      <c r="B732">
        <v>1.213589</v>
      </c>
    </row>
    <row r="733" spans="1:2" x14ac:dyDescent="0.25">
      <c r="A733" s="5">
        <v>34641</v>
      </c>
      <c r="B733">
        <v>1.218688</v>
      </c>
    </row>
    <row r="734" spans="1:2" x14ac:dyDescent="0.25">
      <c r="A734" s="5">
        <v>34642</v>
      </c>
      <c r="B734">
        <v>1.1829940000000001</v>
      </c>
    </row>
    <row r="735" spans="1:2" x14ac:dyDescent="0.25">
      <c r="A735" s="5">
        <v>34645</v>
      </c>
      <c r="B735">
        <v>1.223787</v>
      </c>
    </row>
    <row r="736" spans="1:2" x14ac:dyDescent="0.25">
      <c r="A736" s="5">
        <v>34646</v>
      </c>
      <c r="B736">
        <v>1.307922</v>
      </c>
    </row>
    <row r="737" spans="1:2" x14ac:dyDescent="0.25">
      <c r="A737" s="5">
        <v>34647</v>
      </c>
      <c r="B737">
        <v>1.341067</v>
      </c>
    </row>
    <row r="738" spans="1:2" x14ac:dyDescent="0.25">
      <c r="A738" s="5">
        <v>34648</v>
      </c>
      <c r="B738">
        <v>1.3359669999999999</v>
      </c>
    </row>
    <row r="739" spans="1:2" x14ac:dyDescent="0.25">
      <c r="A739" s="5">
        <v>34649</v>
      </c>
      <c r="B739">
        <v>1.315571</v>
      </c>
    </row>
    <row r="740" spans="1:2" x14ac:dyDescent="0.25">
      <c r="A740" s="5">
        <v>34652</v>
      </c>
      <c r="B740">
        <v>1.346166</v>
      </c>
    </row>
    <row r="741" spans="1:2" x14ac:dyDescent="0.25">
      <c r="A741" s="5">
        <v>34653</v>
      </c>
      <c r="B741">
        <v>1.3665620000000001</v>
      </c>
    </row>
    <row r="742" spans="1:2" x14ac:dyDescent="0.25">
      <c r="A742" s="5">
        <v>34654</v>
      </c>
      <c r="B742">
        <v>1.3512649999999999</v>
      </c>
    </row>
    <row r="743" spans="1:2" x14ac:dyDescent="0.25">
      <c r="A743" s="5">
        <v>34655</v>
      </c>
      <c r="B743">
        <v>1.305372</v>
      </c>
    </row>
    <row r="744" spans="1:2" x14ac:dyDescent="0.25">
      <c r="A744" s="5">
        <v>34656</v>
      </c>
      <c r="B744">
        <v>1.2543820000000001</v>
      </c>
    </row>
    <row r="745" spans="1:2" x14ac:dyDescent="0.25">
      <c r="A745" s="5">
        <v>34659</v>
      </c>
      <c r="B745">
        <v>1.2339850000000001</v>
      </c>
    </row>
    <row r="746" spans="1:2" x14ac:dyDescent="0.25">
      <c r="A746" s="5">
        <v>34660</v>
      </c>
      <c r="B746">
        <v>1.193192</v>
      </c>
    </row>
    <row r="747" spans="1:2" x14ac:dyDescent="0.25">
      <c r="A747" s="5">
        <v>34661</v>
      </c>
      <c r="B747">
        <v>1.2339850000000001</v>
      </c>
    </row>
    <row r="748" spans="1:2" x14ac:dyDescent="0.25">
      <c r="A748" s="5">
        <v>34663</v>
      </c>
      <c r="B748">
        <v>1.2849759999999999</v>
      </c>
    </row>
    <row r="749" spans="1:2" x14ac:dyDescent="0.25">
      <c r="A749" s="5">
        <v>34666</v>
      </c>
      <c r="B749">
        <v>1.295174</v>
      </c>
    </row>
    <row r="750" spans="1:2" x14ac:dyDescent="0.25">
      <c r="A750" s="5">
        <v>34667</v>
      </c>
      <c r="B750">
        <v>1.2849759999999999</v>
      </c>
    </row>
    <row r="751" spans="1:2" x14ac:dyDescent="0.25">
      <c r="A751" s="5">
        <v>34668</v>
      </c>
      <c r="B751">
        <v>1.2543820000000001</v>
      </c>
    </row>
    <row r="752" spans="1:2" x14ac:dyDescent="0.25">
      <c r="A752" s="5">
        <v>34669</v>
      </c>
      <c r="B752">
        <v>1.20339</v>
      </c>
    </row>
    <row r="753" spans="1:2" x14ac:dyDescent="0.25">
      <c r="A753" s="5">
        <v>34670</v>
      </c>
      <c r="B753">
        <v>1.213589</v>
      </c>
    </row>
    <row r="754" spans="1:2" x14ac:dyDescent="0.25">
      <c r="A754" s="5">
        <v>34673</v>
      </c>
      <c r="B754">
        <v>1.244184</v>
      </c>
    </row>
    <row r="755" spans="1:2" x14ac:dyDescent="0.25">
      <c r="A755" s="5">
        <v>34674</v>
      </c>
      <c r="B755">
        <v>1.1727959999999999</v>
      </c>
    </row>
    <row r="756" spans="1:2" x14ac:dyDescent="0.25">
      <c r="A756" s="5">
        <v>34675</v>
      </c>
      <c r="B756">
        <v>1.1014079999999999</v>
      </c>
    </row>
    <row r="757" spans="1:2" x14ac:dyDescent="0.25">
      <c r="A757" s="5">
        <v>34676</v>
      </c>
      <c r="B757">
        <v>1.0810120000000001</v>
      </c>
    </row>
    <row r="758" spans="1:2" x14ac:dyDescent="0.25">
      <c r="A758" s="5">
        <v>34677</v>
      </c>
      <c r="B758">
        <v>1.152399</v>
      </c>
    </row>
    <row r="759" spans="1:2" x14ac:dyDescent="0.25">
      <c r="A759" s="5">
        <v>34680</v>
      </c>
      <c r="B759">
        <v>1.0810120000000001</v>
      </c>
    </row>
    <row r="760" spans="1:2" x14ac:dyDescent="0.25">
      <c r="A760" s="5">
        <v>34681</v>
      </c>
      <c r="B760">
        <v>1.040219</v>
      </c>
    </row>
    <row r="761" spans="1:2" x14ac:dyDescent="0.25">
      <c r="A761" s="5">
        <v>34682</v>
      </c>
      <c r="B761">
        <v>0.989228</v>
      </c>
    </row>
    <row r="762" spans="1:2" x14ac:dyDescent="0.25">
      <c r="A762" s="5">
        <v>34683</v>
      </c>
      <c r="B762">
        <v>0.93823599999999996</v>
      </c>
    </row>
    <row r="763" spans="1:2" x14ac:dyDescent="0.25">
      <c r="A763" s="5">
        <v>34684</v>
      </c>
      <c r="B763">
        <v>0.989228</v>
      </c>
    </row>
    <row r="764" spans="1:2" x14ac:dyDescent="0.25">
      <c r="A764" s="5">
        <v>34687</v>
      </c>
      <c r="B764">
        <v>1.0096240000000001</v>
      </c>
    </row>
    <row r="765" spans="1:2" x14ac:dyDescent="0.25">
      <c r="A765" s="5">
        <v>34688</v>
      </c>
      <c r="B765">
        <v>1.060616</v>
      </c>
    </row>
    <row r="766" spans="1:2" x14ac:dyDescent="0.25">
      <c r="A766" s="5">
        <v>34689</v>
      </c>
      <c r="B766">
        <v>1.060616</v>
      </c>
    </row>
    <row r="767" spans="1:2" x14ac:dyDescent="0.25">
      <c r="A767" s="5">
        <v>34690</v>
      </c>
      <c r="B767">
        <v>1.0810120000000001</v>
      </c>
    </row>
    <row r="768" spans="1:2" x14ac:dyDescent="0.25">
      <c r="A768" s="5">
        <v>34691</v>
      </c>
      <c r="B768">
        <v>1.0504169999999999</v>
      </c>
    </row>
    <row r="769" spans="1:2" x14ac:dyDescent="0.25">
      <c r="A769" s="5">
        <v>34695</v>
      </c>
      <c r="B769">
        <v>1.040219</v>
      </c>
    </row>
    <row r="770" spans="1:2" x14ac:dyDescent="0.25">
      <c r="A770" s="5">
        <v>34696</v>
      </c>
      <c r="B770">
        <v>1.0096240000000001</v>
      </c>
    </row>
    <row r="771" spans="1:2" x14ac:dyDescent="0.25">
      <c r="A771" s="5">
        <v>34697</v>
      </c>
      <c r="B771">
        <v>0.99942600000000004</v>
      </c>
    </row>
    <row r="772" spans="1:2" x14ac:dyDescent="0.25">
      <c r="A772" s="5">
        <v>34698</v>
      </c>
      <c r="B772">
        <v>0.97902999999999996</v>
      </c>
    </row>
    <row r="773" spans="1:2" x14ac:dyDescent="0.25">
      <c r="A773" s="5">
        <v>34702</v>
      </c>
      <c r="B773">
        <v>0.989228</v>
      </c>
    </row>
    <row r="774" spans="1:2" x14ac:dyDescent="0.25">
      <c r="A774" s="5">
        <v>34703</v>
      </c>
      <c r="B774">
        <v>0.99942600000000004</v>
      </c>
    </row>
    <row r="775" spans="1:2" x14ac:dyDescent="0.25">
      <c r="A775" s="5">
        <v>34704</v>
      </c>
      <c r="B775">
        <v>0.989228</v>
      </c>
    </row>
    <row r="776" spans="1:2" x14ac:dyDescent="0.25">
      <c r="A776" s="5">
        <v>34705</v>
      </c>
      <c r="B776">
        <v>0.97902999999999996</v>
      </c>
    </row>
    <row r="777" spans="1:2" x14ac:dyDescent="0.25">
      <c r="A777" s="5">
        <v>34708</v>
      </c>
      <c r="B777">
        <v>0.94843500000000003</v>
      </c>
    </row>
    <row r="778" spans="1:2" x14ac:dyDescent="0.25">
      <c r="A778" s="5">
        <v>34709</v>
      </c>
      <c r="B778">
        <v>0.94843500000000003</v>
      </c>
    </row>
    <row r="779" spans="1:2" x14ac:dyDescent="0.25">
      <c r="A779" s="5">
        <v>34710</v>
      </c>
      <c r="B779">
        <v>0.93313800000000002</v>
      </c>
    </row>
    <row r="780" spans="1:2" x14ac:dyDescent="0.25">
      <c r="A780" s="5">
        <v>34711</v>
      </c>
      <c r="B780">
        <v>0.91783999999999999</v>
      </c>
    </row>
    <row r="781" spans="1:2" x14ac:dyDescent="0.25">
      <c r="A781" s="5">
        <v>34712</v>
      </c>
      <c r="B781">
        <v>0.85665100000000005</v>
      </c>
    </row>
    <row r="782" spans="1:2" x14ac:dyDescent="0.25">
      <c r="A782" s="5">
        <v>34715</v>
      </c>
      <c r="B782">
        <v>0.90254299999999998</v>
      </c>
    </row>
    <row r="783" spans="1:2" x14ac:dyDescent="0.25">
      <c r="A783" s="5">
        <v>34716</v>
      </c>
      <c r="B783">
        <v>0.989228</v>
      </c>
    </row>
    <row r="784" spans="1:2" x14ac:dyDescent="0.25">
      <c r="A784" s="5">
        <v>34717</v>
      </c>
      <c r="B784">
        <v>0.99942600000000004</v>
      </c>
    </row>
    <row r="785" spans="1:2" x14ac:dyDescent="0.25">
      <c r="A785" s="5">
        <v>34718</v>
      </c>
      <c r="B785">
        <v>0.97902999999999996</v>
      </c>
    </row>
    <row r="786" spans="1:2" x14ac:dyDescent="0.25">
      <c r="A786" s="5">
        <v>34719</v>
      </c>
      <c r="B786">
        <v>0.94843500000000003</v>
      </c>
    </row>
    <row r="787" spans="1:2" x14ac:dyDescent="0.25">
      <c r="A787" s="5">
        <v>34722</v>
      </c>
      <c r="B787">
        <v>1.0300210000000001</v>
      </c>
    </row>
    <row r="788" spans="1:2" x14ac:dyDescent="0.25">
      <c r="A788" s="5">
        <v>34723</v>
      </c>
      <c r="B788">
        <v>1.1218049999999999</v>
      </c>
    </row>
    <row r="789" spans="1:2" x14ac:dyDescent="0.25">
      <c r="A789" s="5">
        <v>34724</v>
      </c>
      <c r="B789">
        <v>1.1014079999999999</v>
      </c>
    </row>
    <row r="790" spans="1:2" x14ac:dyDescent="0.25">
      <c r="A790" s="5">
        <v>34725</v>
      </c>
      <c r="B790">
        <v>1.1473</v>
      </c>
    </row>
    <row r="791" spans="1:2" x14ac:dyDescent="0.25">
      <c r="A791" s="5">
        <v>34726</v>
      </c>
      <c r="B791">
        <v>1.162598</v>
      </c>
    </row>
    <row r="792" spans="1:2" x14ac:dyDescent="0.25">
      <c r="A792" s="5">
        <v>34729</v>
      </c>
      <c r="B792">
        <v>1.1014079999999999</v>
      </c>
    </row>
    <row r="793" spans="1:2" x14ac:dyDescent="0.25">
      <c r="A793" s="5">
        <v>34730</v>
      </c>
      <c r="B793">
        <v>1.0810120000000001</v>
      </c>
    </row>
    <row r="794" spans="1:2" x14ac:dyDescent="0.25">
      <c r="A794" s="5">
        <v>34731</v>
      </c>
      <c r="B794">
        <v>1.111607</v>
      </c>
    </row>
    <row r="795" spans="1:2" x14ac:dyDescent="0.25">
      <c r="A795" s="5">
        <v>34732</v>
      </c>
      <c r="B795">
        <v>1.1218049999999999</v>
      </c>
    </row>
    <row r="796" spans="1:2" x14ac:dyDescent="0.25">
      <c r="A796" s="5">
        <v>34733</v>
      </c>
      <c r="B796">
        <v>1.142201</v>
      </c>
    </row>
    <row r="797" spans="1:2" x14ac:dyDescent="0.25">
      <c r="A797" s="5">
        <v>34736</v>
      </c>
      <c r="B797">
        <v>1.142201</v>
      </c>
    </row>
    <row r="798" spans="1:2" x14ac:dyDescent="0.25">
      <c r="A798" s="5">
        <v>34737</v>
      </c>
      <c r="B798">
        <v>1.1473</v>
      </c>
    </row>
    <row r="799" spans="1:2" x14ac:dyDescent="0.25">
      <c r="A799" s="5">
        <v>34738</v>
      </c>
      <c r="B799">
        <v>1.142201</v>
      </c>
    </row>
    <row r="800" spans="1:2" x14ac:dyDescent="0.25">
      <c r="A800" s="5">
        <v>34739</v>
      </c>
      <c r="B800">
        <v>1.142201</v>
      </c>
    </row>
    <row r="801" spans="1:2" x14ac:dyDescent="0.25">
      <c r="A801" s="5">
        <v>34740</v>
      </c>
      <c r="B801">
        <v>1.152399</v>
      </c>
    </row>
    <row r="802" spans="1:2" x14ac:dyDescent="0.25">
      <c r="A802" s="5">
        <v>34743</v>
      </c>
      <c r="B802">
        <v>1.1218049999999999</v>
      </c>
    </row>
    <row r="803" spans="1:2" x14ac:dyDescent="0.25">
      <c r="A803" s="5">
        <v>34744</v>
      </c>
      <c r="B803">
        <v>1.09121</v>
      </c>
    </row>
    <row r="804" spans="1:2" x14ac:dyDescent="0.25">
      <c r="A804" s="5">
        <v>34745</v>
      </c>
      <c r="B804">
        <v>1.060616</v>
      </c>
    </row>
    <row r="805" spans="1:2" x14ac:dyDescent="0.25">
      <c r="A805" s="5">
        <v>34746</v>
      </c>
      <c r="B805">
        <v>1.0708139999999999</v>
      </c>
    </row>
    <row r="806" spans="1:2" x14ac:dyDescent="0.25">
      <c r="A806" s="5">
        <v>34747</v>
      </c>
      <c r="B806">
        <v>1.040219</v>
      </c>
    </row>
    <row r="807" spans="1:2" x14ac:dyDescent="0.25">
      <c r="A807" s="5">
        <v>34751</v>
      </c>
      <c r="B807">
        <v>1.045318</v>
      </c>
    </row>
    <row r="808" spans="1:2" x14ac:dyDescent="0.25">
      <c r="A808" s="5">
        <v>34752</v>
      </c>
      <c r="B808">
        <v>1.060616</v>
      </c>
    </row>
    <row r="809" spans="1:2" x14ac:dyDescent="0.25">
      <c r="A809" s="5">
        <v>34753</v>
      </c>
      <c r="B809">
        <v>1.152399</v>
      </c>
    </row>
    <row r="810" spans="1:2" x14ac:dyDescent="0.25">
      <c r="A810" s="5">
        <v>34754</v>
      </c>
      <c r="B810">
        <v>1.152399</v>
      </c>
    </row>
    <row r="811" spans="1:2" x14ac:dyDescent="0.25">
      <c r="A811" s="5">
        <v>34757</v>
      </c>
      <c r="B811">
        <v>1.1320030000000001</v>
      </c>
    </row>
    <row r="812" spans="1:2" x14ac:dyDescent="0.25">
      <c r="A812" s="5">
        <v>34758</v>
      </c>
      <c r="B812">
        <v>1.193192</v>
      </c>
    </row>
    <row r="813" spans="1:2" x14ac:dyDescent="0.25">
      <c r="A813" s="5">
        <v>34759</v>
      </c>
      <c r="B813">
        <v>1.152399</v>
      </c>
    </row>
    <row r="814" spans="1:2" x14ac:dyDescent="0.25">
      <c r="A814" s="5">
        <v>34760</v>
      </c>
      <c r="B814">
        <v>1.1320030000000001</v>
      </c>
    </row>
    <row r="815" spans="1:2" x14ac:dyDescent="0.25">
      <c r="A815" s="5">
        <v>34761</v>
      </c>
      <c r="B815">
        <v>1.193192</v>
      </c>
    </row>
    <row r="816" spans="1:2" x14ac:dyDescent="0.25">
      <c r="A816" s="5">
        <v>34764</v>
      </c>
      <c r="B816">
        <v>1.162598</v>
      </c>
    </row>
    <row r="817" spans="1:2" x14ac:dyDescent="0.25">
      <c r="A817" s="5">
        <v>34765</v>
      </c>
      <c r="B817">
        <v>1.142201</v>
      </c>
    </row>
    <row r="818" spans="1:2" x14ac:dyDescent="0.25">
      <c r="A818" s="5">
        <v>34766</v>
      </c>
      <c r="B818">
        <v>1.1320030000000001</v>
      </c>
    </row>
    <row r="819" spans="1:2" x14ac:dyDescent="0.25">
      <c r="A819" s="5">
        <v>34767</v>
      </c>
      <c r="B819">
        <v>1.20339</v>
      </c>
    </row>
    <row r="820" spans="1:2" x14ac:dyDescent="0.25">
      <c r="A820" s="5">
        <v>34768</v>
      </c>
      <c r="B820">
        <v>1.20339</v>
      </c>
    </row>
    <row r="821" spans="1:2" x14ac:dyDescent="0.25">
      <c r="A821" s="5">
        <v>34771</v>
      </c>
      <c r="B821">
        <v>1.1778949999999999</v>
      </c>
    </row>
    <row r="822" spans="1:2" x14ac:dyDescent="0.25">
      <c r="A822" s="5">
        <v>34772</v>
      </c>
      <c r="B822">
        <v>1.26458</v>
      </c>
    </row>
    <row r="823" spans="1:2" x14ac:dyDescent="0.25">
      <c r="A823" s="5">
        <v>34773</v>
      </c>
      <c r="B823">
        <v>1.2798780000000001</v>
      </c>
    </row>
    <row r="824" spans="1:2" x14ac:dyDescent="0.25">
      <c r="A824" s="5">
        <v>34774</v>
      </c>
      <c r="B824">
        <v>1.305372</v>
      </c>
    </row>
    <row r="825" spans="1:2" x14ac:dyDescent="0.25">
      <c r="A825" s="5">
        <v>34775</v>
      </c>
      <c r="B825">
        <v>1.3359669999999999</v>
      </c>
    </row>
    <row r="826" spans="1:2" x14ac:dyDescent="0.25">
      <c r="A826" s="5">
        <v>34778</v>
      </c>
      <c r="B826">
        <v>1.315571</v>
      </c>
    </row>
    <row r="827" spans="1:2" x14ac:dyDescent="0.25">
      <c r="A827" s="5">
        <v>34779</v>
      </c>
      <c r="B827">
        <v>1.26458</v>
      </c>
    </row>
    <row r="828" spans="1:2" x14ac:dyDescent="0.25">
      <c r="A828" s="5">
        <v>34780</v>
      </c>
      <c r="B828">
        <v>1.341067</v>
      </c>
    </row>
    <row r="829" spans="1:2" x14ac:dyDescent="0.25">
      <c r="A829" s="5">
        <v>34781</v>
      </c>
      <c r="B829">
        <v>1.3971560000000001</v>
      </c>
    </row>
    <row r="830" spans="1:2" x14ac:dyDescent="0.25">
      <c r="A830" s="5">
        <v>34782</v>
      </c>
      <c r="B830">
        <v>1.325769</v>
      </c>
    </row>
    <row r="831" spans="1:2" x14ac:dyDescent="0.25">
      <c r="A831" s="5">
        <v>34785</v>
      </c>
      <c r="B831">
        <v>1.346166</v>
      </c>
    </row>
    <row r="832" spans="1:2" x14ac:dyDescent="0.25">
      <c r="A832" s="5">
        <v>34786</v>
      </c>
      <c r="B832">
        <v>1.3869590000000001</v>
      </c>
    </row>
    <row r="833" spans="1:2" x14ac:dyDescent="0.25">
      <c r="A833" s="5">
        <v>34787</v>
      </c>
      <c r="B833">
        <v>1.4022570000000001</v>
      </c>
    </row>
    <row r="834" spans="1:2" x14ac:dyDescent="0.25">
      <c r="A834" s="5">
        <v>34788</v>
      </c>
      <c r="B834">
        <v>1.3512649999999999</v>
      </c>
    </row>
    <row r="835" spans="1:2" x14ac:dyDescent="0.25">
      <c r="A835" s="5">
        <v>34789</v>
      </c>
      <c r="B835">
        <v>1.3359669999999999</v>
      </c>
    </row>
    <row r="836" spans="1:2" x14ac:dyDescent="0.25">
      <c r="A836" s="5">
        <v>34792</v>
      </c>
      <c r="B836">
        <v>1.2977240000000001</v>
      </c>
    </row>
    <row r="837" spans="1:2" x14ac:dyDescent="0.25">
      <c r="A837" s="5">
        <v>34793</v>
      </c>
      <c r="B837">
        <v>1.2543820000000001</v>
      </c>
    </row>
    <row r="838" spans="1:2" x14ac:dyDescent="0.25">
      <c r="A838" s="5">
        <v>34794</v>
      </c>
      <c r="B838">
        <v>1.213589</v>
      </c>
    </row>
    <row r="839" spans="1:2" x14ac:dyDescent="0.25">
      <c r="A839" s="5">
        <v>34795</v>
      </c>
      <c r="B839">
        <v>1.167697</v>
      </c>
    </row>
    <row r="840" spans="1:2" x14ac:dyDescent="0.25">
      <c r="A840" s="5">
        <v>34796</v>
      </c>
      <c r="B840">
        <v>1.223787</v>
      </c>
    </row>
    <row r="841" spans="1:2" x14ac:dyDescent="0.25">
      <c r="A841" s="5">
        <v>34799</v>
      </c>
      <c r="B841">
        <v>1.142201</v>
      </c>
    </row>
    <row r="842" spans="1:2" x14ac:dyDescent="0.25">
      <c r="A842" s="5">
        <v>34800</v>
      </c>
      <c r="B842">
        <v>1.0708139999999999</v>
      </c>
    </row>
    <row r="843" spans="1:2" x14ac:dyDescent="0.25">
      <c r="A843" s="5">
        <v>34801</v>
      </c>
      <c r="B843">
        <v>1.1014079999999999</v>
      </c>
    </row>
    <row r="844" spans="1:2" x14ac:dyDescent="0.25">
      <c r="A844" s="5">
        <v>34802</v>
      </c>
      <c r="B844">
        <v>1.096309</v>
      </c>
    </row>
    <row r="845" spans="1:2" x14ac:dyDescent="0.25">
      <c r="A845" s="5">
        <v>34806</v>
      </c>
      <c r="B845">
        <v>1.09121</v>
      </c>
    </row>
    <row r="846" spans="1:2" x14ac:dyDescent="0.25">
      <c r="A846" s="5">
        <v>34807</v>
      </c>
      <c r="B846">
        <v>1.0504169999999999</v>
      </c>
    </row>
    <row r="847" spans="1:2" x14ac:dyDescent="0.25">
      <c r="A847" s="5">
        <v>34808</v>
      </c>
      <c r="B847">
        <v>1.004526</v>
      </c>
    </row>
    <row r="848" spans="1:2" x14ac:dyDescent="0.25">
      <c r="A848" s="5">
        <v>34809</v>
      </c>
      <c r="B848">
        <v>1.111607</v>
      </c>
    </row>
    <row r="849" spans="1:2" x14ac:dyDescent="0.25">
      <c r="A849" s="5">
        <v>34810</v>
      </c>
      <c r="B849">
        <v>1.0708139999999999</v>
      </c>
    </row>
    <row r="850" spans="1:2" x14ac:dyDescent="0.25">
      <c r="A850" s="5">
        <v>34813</v>
      </c>
      <c r="B850">
        <v>1.0198229999999999</v>
      </c>
    </row>
    <row r="851" spans="1:2" x14ac:dyDescent="0.25">
      <c r="A851" s="5">
        <v>34814</v>
      </c>
      <c r="B851">
        <v>1.040219</v>
      </c>
    </row>
    <row r="852" spans="1:2" x14ac:dyDescent="0.25">
      <c r="A852" s="5">
        <v>34815</v>
      </c>
      <c r="B852">
        <v>1.086111</v>
      </c>
    </row>
    <row r="853" spans="1:2" x14ac:dyDescent="0.25">
      <c r="A853" s="5">
        <v>34816</v>
      </c>
      <c r="B853">
        <v>1.09121</v>
      </c>
    </row>
    <row r="854" spans="1:2" x14ac:dyDescent="0.25">
      <c r="A854" s="5">
        <v>34817</v>
      </c>
      <c r="B854">
        <v>1.0708139999999999</v>
      </c>
    </row>
    <row r="855" spans="1:2" x14ac:dyDescent="0.25">
      <c r="A855" s="5">
        <v>34820</v>
      </c>
      <c r="B855">
        <v>1.03512</v>
      </c>
    </row>
    <row r="856" spans="1:2" x14ac:dyDescent="0.25">
      <c r="A856" s="5">
        <v>34821</v>
      </c>
      <c r="B856">
        <v>1.0504169999999999</v>
      </c>
    </row>
    <row r="857" spans="1:2" x14ac:dyDescent="0.25">
      <c r="A857" s="5">
        <v>34822</v>
      </c>
      <c r="B857">
        <v>1.060616</v>
      </c>
    </row>
    <row r="858" spans="1:2" x14ac:dyDescent="0.25">
      <c r="A858" s="5">
        <v>34823</v>
      </c>
      <c r="B858">
        <v>1.03512</v>
      </c>
    </row>
    <row r="859" spans="1:2" x14ac:dyDescent="0.25">
      <c r="A859" s="5">
        <v>34824</v>
      </c>
      <c r="B859">
        <v>1.03512</v>
      </c>
    </row>
    <row r="860" spans="1:2" x14ac:dyDescent="0.25">
      <c r="A860" s="5">
        <v>34827</v>
      </c>
      <c r="B860">
        <v>1.03512</v>
      </c>
    </row>
    <row r="861" spans="1:2" x14ac:dyDescent="0.25">
      <c r="A861" s="5">
        <v>34828</v>
      </c>
      <c r="B861">
        <v>0.99942600000000004</v>
      </c>
    </row>
    <row r="862" spans="1:2" x14ac:dyDescent="0.25">
      <c r="A862" s="5">
        <v>34829</v>
      </c>
      <c r="B862">
        <v>1.014724</v>
      </c>
    </row>
    <row r="863" spans="1:2" x14ac:dyDescent="0.25">
      <c r="A863" s="5">
        <v>34830</v>
      </c>
      <c r="B863">
        <v>1.142201</v>
      </c>
    </row>
    <row r="864" spans="1:2" x14ac:dyDescent="0.25">
      <c r="A864" s="5">
        <v>34831</v>
      </c>
      <c r="B864">
        <v>1.2084900000000001</v>
      </c>
    </row>
    <row r="865" spans="1:2" x14ac:dyDescent="0.25">
      <c r="A865" s="5">
        <v>34834</v>
      </c>
      <c r="B865">
        <v>1.20339</v>
      </c>
    </row>
    <row r="866" spans="1:2" x14ac:dyDescent="0.25">
      <c r="A866" s="5">
        <v>34835</v>
      </c>
      <c r="B866">
        <v>1.20339</v>
      </c>
    </row>
    <row r="867" spans="1:2" x14ac:dyDescent="0.25">
      <c r="A867" s="5">
        <v>34836</v>
      </c>
      <c r="B867">
        <v>1.160048</v>
      </c>
    </row>
    <row r="868" spans="1:2" x14ac:dyDescent="0.25">
      <c r="A868" s="5">
        <v>34837</v>
      </c>
      <c r="B868">
        <v>1.116706</v>
      </c>
    </row>
    <row r="869" spans="1:2" x14ac:dyDescent="0.25">
      <c r="A869" s="5">
        <v>34838</v>
      </c>
      <c r="B869">
        <v>1.103958</v>
      </c>
    </row>
    <row r="870" spans="1:2" x14ac:dyDescent="0.25">
      <c r="A870" s="5">
        <v>34841</v>
      </c>
      <c r="B870">
        <v>1.09121</v>
      </c>
    </row>
    <row r="871" spans="1:2" x14ac:dyDescent="0.25">
      <c r="A871" s="5">
        <v>34842</v>
      </c>
      <c r="B871">
        <v>1.0504169999999999</v>
      </c>
    </row>
    <row r="872" spans="1:2" x14ac:dyDescent="0.25">
      <c r="A872" s="5">
        <v>34843</v>
      </c>
      <c r="B872">
        <v>1.040219</v>
      </c>
    </row>
    <row r="873" spans="1:2" x14ac:dyDescent="0.25">
      <c r="A873" s="5">
        <v>34844</v>
      </c>
      <c r="B873">
        <v>1.0657140000000001</v>
      </c>
    </row>
    <row r="874" spans="1:2" x14ac:dyDescent="0.25">
      <c r="A874" s="5">
        <v>34845</v>
      </c>
      <c r="B874">
        <v>1.0504169999999999</v>
      </c>
    </row>
    <row r="875" spans="1:2" x14ac:dyDescent="0.25">
      <c r="A875" s="5">
        <v>34849</v>
      </c>
      <c r="B875">
        <v>1.004526</v>
      </c>
    </row>
    <row r="876" spans="1:2" x14ac:dyDescent="0.25">
      <c r="A876" s="5">
        <v>34850</v>
      </c>
      <c r="B876">
        <v>1.045318</v>
      </c>
    </row>
    <row r="877" spans="1:2" x14ac:dyDescent="0.25">
      <c r="A877" s="5">
        <v>34851</v>
      </c>
      <c r="B877">
        <v>1.03257</v>
      </c>
    </row>
    <row r="878" spans="1:2" x14ac:dyDescent="0.25">
      <c r="A878" s="5">
        <v>34852</v>
      </c>
      <c r="B878">
        <v>1.142201</v>
      </c>
    </row>
    <row r="879" spans="1:2" x14ac:dyDescent="0.25">
      <c r="A879" s="5">
        <v>34855</v>
      </c>
      <c r="B879">
        <v>1.20339</v>
      </c>
    </row>
    <row r="880" spans="1:2" x14ac:dyDescent="0.25">
      <c r="A880" s="5">
        <v>34856</v>
      </c>
      <c r="B880">
        <v>1.4175519999999999</v>
      </c>
    </row>
    <row r="881" spans="1:2" x14ac:dyDescent="0.25">
      <c r="A881" s="5">
        <v>34857</v>
      </c>
      <c r="B881">
        <v>1.4175519999999999</v>
      </c>
    </row>
    <row r="882" spans="1:2" x14ac:dyDescent="0.25">
      <c r="A882" s="5">
        <v>34858</v>
      </c>
      <c r="B882">
        <v>1.4022570000000001</v>
      </c>
    </row>
    <row r="883" spans="1:2" x14ac:dyDescent="0.25">
      <c r="A883" s="5">
        <v>34859</v>
      </c>
      <c r="B883">
        <v>1.3793089999999999</v>
      </c>
    </row>
    <row r="884" spans="1:2" x14ac:dyDescent="0.25">
      <c r="A884" s="5">
        <v>34862</v>
      </c>
      <c r="B884">
        <v>1.315571</v>
      </c>
    </row>
    <row r="885" spans="1:2" x14ac:dyDescent="0.25">
      <c r="A885" s="5">
        <v>34863</v>
      </c>
      <c r="B885">
        <v>1.3359669999999999</v>
      </c>
    </row>
    <row r="886" spans="1:2" x14ac:dyDescent="0.25">
      <c r="A886" s="5">
        <v>34864</v>
      </c>
      <c r="B886">
        <v>1.3359669999999999</v>
      </c>
    </row>
    <row r="887" spans="1:2" x14ac:dyDescent="0.25">
      <c r="A887" s="5">
        <v>34865</v>
      </c>
      <c r="B887">
        <v>1.4073549999999999</v>
      </c>
    </row>
    <row r="888" spans="1:2" x14ac:dyDescent="0.25">
      <c r="A888" s="5">
        <v>34866</v>
      </c>
      <c r="B888">
        <v>1.3869590000000001</v>
      </c>
    </row>
    <row r="889" spans="1:2" x14ac:dyDescent="0.25">
      <c r="A889" s="5">
        <v>34869</v>
      </c>
      <c r="B889">
        <v>1.4175519999999999</v>
      </c>
    </row>
    <row r="890" spans="1:2" x14ac:dyDescent="0.25">
      <c r="A890" s="5">
        <v>34870</v>
      </c>
      <c r="B890">
        <v>1.4328510000000001</v>
      </c>
    </row>
    <row r="891" spans="1:2" x14ac:dyDescent="0.25">
      <c r="A891" s="5">
        <v>34871</v>
      </c>
      <c r="B891">
        <v>1.3614630000000001</v>
      </c>
    </row>
    <row r="892" spans="1:2" x14ac:dyDescent="0.25">
      <c r="A892" s="5">
        <v>34872</v>
      </c>
      <c r="B892">
        <v>1.4328510000000001</v>
      </c>
    </row>
    <row r="893" spans="1:2" x14ac:dyDescent="0.25">
      <c r="A893" s="5">
        <v>34873</v>
      </c>
      <c r="B893">
        <v>1.37676</v>
      </c>
    </row>
    <row r="894" spans="1:2" x14ac:dyDescent="0.25">
      <c r="A894" s="5">
        <v>34876</v>
      </c>
      <c r="B894">
        <v>1.37676</v>
      </c>
    </row>
    <row r="895" spans="1:2" x14ac:dyDescent="0.25">
      <c r="A895" s="5">
        <v>34877</v>
      </c>
      <c r="B895">
        <v>1.32067</v>
      </c>
    </row>
    <row r="896" spans="1:2" x14ac:dyDescent="0.25">
      <c r="A896" s="5">
        <v>34878</v>
      </c>
      <c r="B896">
        <v>1.3512649999999999</v>
      </c>
    </row>
    <row r="897" spans="1:2" x14ac:dyDescent="0.25">
      <c r="A897" s="5">
        <v>34879</v>
      </c>
      <c r="B897">
        <v>1.392058</v>
      </c>
    </row>
    <row r="898" spans="1:2" x14ac:dyDescent="0.25">
      <c r="A898" s="5">
        <v>34880</v>
      </c>
      <c r="B898">
        <v>1.409904</v>
      </c>
    </row>
    <row r="899" spans="1:2" x14ac:dyDescent="0.25">
      <c r="A899" s="5">
        <v>34883</v>
      </c>
      <c r="B899">
        <v>1.3971560000000001</v>
      </c>
    </row>
    <row r="900" spans="1:2" x14ac:dyDescent="0.25">
      <c r="A900" s="5">
        <v>34885</v>
      </c>
      <c r="B900">
        <v>1.453247</v>
      </c>
    </row>
    <row r="901" spans="1:2" x14ac:dyDescent="0.25">
      <c r="A901" s="5">
        <v>34886</v>
      </c>
      <c r="B901">
        <v>1.453247</v>
      </c>
    </row>
    <row r="902" spans="1:2" x14ac:dyDescent="0.25">
      <c r="A902" s="5">
        <v>34887</v>
      </c>
      <c r="B902">
        <v>1.5297339999999999</v>
      </c>
    </row>
    <row r="903" spans="1:2" x14ac:dyDescent="0.25">
      <c r="A903" s="5">
        <v>34890</v>
      </c>
      <c r="B903">
        <v>1.6317159999999999</v>
      </c>
    </row>
    <row r="904" spans="1:2" x14ac:dyDescent="0.25">
      <c r="A904" s="5">
        <v>34891</v>
      </c>
      <c r="B904">
        <v>1.555229</v>
      </c>
    </row>
    <row r="905" spans="1:2" x14ac:dyDescent="0.25">
      <c r="A905" s="5">
        <v>34892</v>
      </c>
      <c r="B905">
        <v>1.5858239999999999</v>
      </c>
    </row>
    <row r="906" spans="1:2" x14ac:dyDescent="0.25">
      <c r="A906" s="5">
        <v>34893</v>
      </c>
      <c r="B906">
        <v>1.596023</v>
      </c>
    </row>
    <row r="907" spans="1:2" x14ac:dyDescent="0.25">
      <c r="A907" s="5">
        <v>34894</v>
      </c>
      <c r="B907">
        <v>1.5858239999999999</v>
      </c>
    </row>
    <row r="908" spans="1:2" x14ac:dyDescent="0.25">
      <c r="A908" s="5">
        <v>34897</v>
      </c>
      <c r="B908">
        <v>1.621518</v>
      </c>
    </row>
    <row r="909" spans="1:2" x14ac:dyDescent="0.25">
      <c r="A909" s="5">
        <v>34898</v>
      </c>
      <c r="B909">
        <v>1.5348329999999999</v>
      </c>
    </row>
    <row r="910" spans="1:2" x14ac:dyDescent="0.25">
      <c r="A910" s="5">
        <v>34899</v>
      </c>
      <c r="B910">
        <v>1.4328510000000001</v>
      </c>
    </row>
    <row r="911" spans="1:2" x14ac:dyDescent="0.25">
      <c r="A911" s="5">
        <v>34900</v>
      </c>
      <c r="B911">
        <v>1.453247</v>
      </c>
    </row>
    <row r="912" spans="1:2" x14ac:dyDescent="0.25">
      <c r="A912" s="5">
        <v>34901</v>
      </c>
      <c r="B912">
        <v>1.703104</v>
      </c>
    </row>
    <row r="913" spans="1:2" x14ac:dyDescent="0.25">
      <c r="A913" s="5">
        <v>34904</v>
      </c>
      <c r="B913">
        <v>1.8101849999999999</v>
      </c>
    </row>
    <row r="914" spans="1:2" x14ac:dyDescent="0.25">
      <c r="A914" s="5">
        <v>34905</v>
      </c>
      <c r="B914">
        <v>1.7693920000000001</v>
      </c>
    </row>
    <row r="915" spans="1:2" x14ac:dyDescent="0.25">
      <c r="A915" s="5">
        <v>34906</v>
      </c>
      <c r="B915">
        <v>1.7693920000000001</v>
      </c>
    </row>
    <row r="916" spans="1:2" x14ac:dyDescent="0.25">
      <c r="A916" s="5">
        <v>34907</v>
      </c>
      <c r="B916">
        <v>1.7591939999999999</v>
      </c>
    </row>
    <row r="917" spans="1:2" x14ac:dyDescent="0.25">
      <c r="A917" s="5">
        <v>34908</v>
      </c>
      <c r="B917">
        <v>1.7387980000000001</v>
      </c>
    </row>
    <row r="918" spans="1:2" x14ac:dyDescent="0.25">
      <c r="A918" s="5">
        <v>34911</v>
      </c>
      <c r="B918">
        <v>1.7438959999999999</v>
      </c>
    </row>
    <row r="919" spans="1:2" x14ac:dyDescent="0.25">
      <c r="A919" s="5">
        <v>34912</v>
      </c>
      <c r="B919">
        <v>1.7082029999999999</v>
      </c>
    </row>
    <row r="920" spans="1:2" x14ac:dyDescent="0.25">
      <c r="A920" s="5">
        <v>34913</v>
      </c>
      <c r="B920">
        <v>1.6878059999999999</v>
      </c>
    </row>
    <row r="921" spans="1:2" x14ac:dyDescent="0.25">
      <c r="A921" s="5">
        <v>34914</v>
      </c>
      <c r="B921">
        <v>1.7693920000000001</v>
      </c>
    </row>
    <row r="922" spans="1:2" x14ac:dyDescent="0.25">
      <c r="A922" s="5">
        <v>34915</v>
      </c>
      <c r="B922">
        <v>1.805086</v>
      </c>
    </row>
    <row r="923" spans="1:2" x14ac:dyDescent="0.25">
      <c r="A923" s="5">
        <v>34918</v>
      </c>
      <c r="B923">
        <v>1.7591939999999999</v>
      </c>
    </row>
    <row r="924" spans="1:2" x14ac:dyDescent="0.25">
      <c r="A924" s="5">
        <v>34919</v>
      </c>
      <c r="B924">
        <v>1.784689</v>
      </c>
    </row>
    <row r="925" spans="1:2" x14ac:dyDescent="0.25">
      <c r="A925" s="5">
        <v>34920</v>
      </c>
      <c r="B925">
        <v>1.871375</v>
      </c>
    </row>
    <row r="926" spans="1:2" x14ac:dyDescent="0.25">
      <c r="A926" s="5">
        <v>34921</v>
      </c>
      <c r="B926">
        <v>1.901969</v>
      </c>
    </row>
    <row r="927" spans="1:2" x14ac:dyDescent="0.25">
      <c r="A927" s="5">
        <v>34922</v>
      </c>
      <c r="B927">
        <v>1.866276</v>
      </c>
    </row>
    <row r="928" spans="1:2" x14ac:dyDescent="0.25">
      <c r="A928" s="5">
        <v>34925</v>
      </c>
      <c r="B928">
        <v>1.958059</v>
      </c>
    </row>
    <row r="929" spans="1:2" x14ac:dyDescent="0.25">
      <c r="A929" s="5">
        <v>34926</v>
      </c>
      <c r="B929">
        <v>2.0447440000000001</v>
      </c>
    </row>
    <row r="930" spans="1:2" x14ac:dyDescent="0.25">
      <c r="A930" s="5">
        <v>34927</v>
      </c>
      <c r="B930">
        <v>2.2130139999999998</v>
      </c>
    </row>
    <row r="931" spans="1:2" x14ac:dyDescent="0.25">
      <c r="A931" s="5">
        <v>34928</v>
      </c>
      <c r="B931">
        <v>2.0957349999999999</v>
      </c>
    </row>
    <row r="932" spans="1:2" x14ac:dyDescent="0.25">
      <c r="A932" s="5">
        <v>34929</v>
      </c>
      <c r="B932">
        <v>2.121232</v>
      </c>
    </row>
    <row r="933" spans="1:2" x14ac:dyDescent="0.25">
      <c r="A933" s="5">
        <v>34932</v>
      </c>
      <c r="B933">
        <v>1.9325639999999999</v>
      </c>
    </row>
    <row r="934" spans="1:2" x14ac:dyDescent="0.25">
      <c r="A934" s="5">
        <v>34933</v>
      </c>
      <c r="B934">
        <v>1.95041</v>
      </c>
    </row>
    <row r="935" spans="1:2" x14ac:dyDescent="0.25">
      <c r="A935" s="5">
        <v>34934</v>
      </c>
      <c r="B935">
        <v>2.0345460000000002</v>
      </c>
    </row>
    <row r="936" spans="1:2" x14ac:dyDescent="0.25">
      <c r="A936" s="5">
        <v>34935</v>
      </c>
      <c r="B936">
        <v>2.0141499999999999</v>
      </c>
    </row>
    <row r="937" spans="1:2" x14ac:dyDescent="0.25">
      <c r="A937" s="5">
        <v>34936</v>
      </c>
      <c r="B937">
        <v>2.0447440000000001</v>
      </c>
    </row>
    <row r="938" spans="1:2" x14ac:dyDescent="0.25">
      <c r="A938" s="5">
        <v>34939</v>
      </c>
      <c r="B938">
        <v>1.9886539999999999</v>
      </c>
    </row>
    <row r="939" spans="1:2" x14ac:dyDescent="0.25">
      <c r="A939" s="5">
        <v>34940</v>
      </c>
      <c r="B939">
        <v>1.9274640000000001</v>
      </c>
    </row>
    <row r="940" spans="1:2" x14ac:dyDescent="0.25">
      <c r="A940" s="5">
        <v>34941</v>
      </c>
      <c r="B940">
        <v>2.024349</v>
      </c>
    </row>
    <row r="941" spans="1:2" x14ac:dyDescent="0.25">
      <c r="A941" s="5">
        <v>34942</v>
      </c>
      <c r="B941">
        <v>1.9886539999999999</v>
      </c>
    </row>
    <row r="942" spans="1:2" x14ac:dyDescent="0.25">
      <c r="A942" s="5">
        <v>34943</v>
      </c>
      <c r="B942">
        <v>2.0345460000000002</v>
      </c>
    </row>
    <row r="943" spans="1:2" x14ac:dyDescent="0.25">
      <c r="A943" s="5">
        <v>34947</v>
      </c>
      <c r="B943">
        <v>2.1467260000000001</v>
      </c>
    </row>
    <row r="944" spans="1:2" x14ac:dyDescent="0.25">
      <c r="A944" s="5">
        <v>34948</v>
      </c>
      <c r="B944">
        <v>2.18242</v>
      </c>
    </row>
    <row r="945" spans="1:2" x14ac:dyDescent="0.25">
      <c r="A945" s="5">
        <v>34949</v>
      </c>
      <c r="B945">
        <v>2.0957349999999999</v>
      </c>
    </row>
    <row r="946" spans="1:2" x14ac:dyDescent="0.25">
      <c r="A946" s="5">
        <v>34950</v>
      </c>
      <c r="B946">
        <v>2.060041</v>
      </c>
    </row>
    <row r="947" spans="1:2" x14ac:dyDescent="0.25">
      <c r="A947" s="5">
        <v>34953</v>
      </c>
      <c r="B947">
        <v>2.0702400000000001</v>
      </c>
    </row>
    <row r="948" spans="1:2" x14ac:dyDescent="0.25">
      <c r="A948" s="5">
        <v>34954</v>
      </c>
      <c r="B948">
        <v>2.0396450000000002</v>
      </c>
    </row>
    <row r="949" spans="1:2" x14ac:dyDescent="0.25">
      <c r="A949" s="5">
        <v>34955</v>
      </c>
      <c r="B949">
        <v>2.024349</v>
      </c>
    </row>
    <row r="950" spans="1:2" x14ac:dyDescent="0.25">
      <c r="A950" s="5">
        <v>34956</v>
      </c>
      <c r="B950">
        <v>2.0192480000000002</v>
      </c>
    </row>
    <row r="951" spans="1:2" x14ac:dyDescent="0.25">
      <c r="A951" s="5">
        <v>34957</v>
      </c>
      <c r="B951">
        <v>1.9427620000000001</v>
      </c>
    </row>
    <row r="952" spans="1:2" x14ac:dyDescent="0.25">
      <c r="A952" s="5">
        <v>34960</v>
      </c>
      <c r="B952">
        <v>2.0141499999999999</v>
      </c>
    </row>
    <row r="953" spans="1:2" x14ac:dyDescent="0.25">
      <c r="A953" s="5">
        <v>34961</v>
      </c>
      <c r="B953">
        <v>2.0447440000000001</v>
      </c>
    </row>
    <row r="954" spans="1:2" x14ac:dyDescent="0.25">
      <c r="A954" s="5">
        <v>34962</v>
      </c>
      <c r="B954">
        <v>1.9886539999999999</v>
      </c>
    </row>
    <row r="955" spans="1:2" x14ac:dyDescent="0.25">
      <c r="A955" s="5">
        <v>34963</v>
      </c>
      <c r="B955">
        <v>1.9325639999999999</v>
      </c>
    </row>
    <row r="956" spans="1:2" x14ac:dyDescent="0.25">
      <c r="A956" s="5">
        <v>34964</v>
      </c>
      <c r="B956">
        <v>1.9172659999999999</v>
      </c>
    </row>
    <row r="957" spans="1:2" x14ac:dyDescent="0.25">
      <c r="A957" s="5">
        <v>34967</v>
      </c>
      <c r="B957">
        <v>1.8764719999999999</v>
      </c>
    </row>
    <row r="958" spans="1:2" x14ac:dyDescent="0.25">
      <c r="A958" s="5">
        <v>34968</v>
      </c>
      <c r="B958">
        <v>1.754095</v>
      </c>
    </row>
    <row r="959" spans="1:2" x14ac:dyDescent="0.25">
      <c r="A959" s="5">
        <v>34969</v>
      </c>
      <c r="B959">
        <v>1.7082029999999999</v>
      </c>
    </row>
    <row r="960" spans="1:2" x14ac:dyDescent="0.25">
      <c r="A960" s="5">
        <v>34970</v>
      </c>
      <c r="B960">
        <v>1.825482</v>
      </c>
    </row>
    <row r="961" spans="1:2" x14ac:dyDescent="0.25">
      <c r="A961" s="5">
        <v>34971</v>
      </c>
      <c r="B961">
        <v>1.871375</v>
      </c>
    </row>
    <row r="962" spans="1:2" x14ac:dyDescent="0.25">
      <c r="A962" s="5">
        <v>34974</v>
      </c>
      <c r="B962">
        <v>1.7387980000000001</v>
      </c>
    </row>
    <row r="963" spans="1:2" x14ac:dyDescent="0.25">
      <c r="A963" s="5">
        <v>34975</v>
      </c>
      <c r="B963">
        <v>1.7897890000000001</v>
      </c>
    </row>
    <row r="964" spans="1:2" x14ac:dyDescent="0.25">
      <c r="A964" s="5">
        <v>34976</v>
      </c>
      <c r="B964">
        <v>1.7133020000000001</v>
      </c>
    </row>
    <row r="965" spans="1:2" x14ac:dyDescent="0.25">
      <c r="A965" s="5">
        <v>34977</v>
      </c>
      <c r="B965">
        <v>1.6317159999999999</v>
      </c>
    </row>
    <row r="966" spans="1:2" x14ac:dyDescent="0.25">
      <c r="A966" s="5">
        <v>34978</v>
      </c>
      <c r="B966">
        <v>1.652112</v>
      </c>
    </row>
    <row r="967" spans="1:2" x14ac:dyDescent="0.25">
      <c r="A967" s="5">
        <v>34981</v>
      </c>
      <c r="B967">
        <v>1.524634</v>
      </c>
    </row>
    <row r="968" spans="1:2" x14ac:dyDescent="0.25">
      <c r="A968" s="5">
        <v>34982</v>
      </c>
      <c r="B968">
        <v>1.652112</v>
      </c>
    </row>
    <row r="969" spans="1:2" x14ac:dyDescent="0.25">
      <c r="A969" s="5">
        <v>34983</v>
      </c>
      <c r="B969">
        <v>1.6317159999999999</v>
      </c>
    </row>
    <row r="970" spans="1:2" x14ac:dyDescent="0.25">
      <c r="A970" s="5">
        <v>34984</v>
      </c>
      <c r="B970">
        <v>1.652112</v>
      </c>
    </row>
    <row r="971" spans="1:2" x14ac:dyDescent="0.25">
      <c r="A971" s="5">
        <v>34985</v>
      </c>
      <c r="B971">
        <v>1.652112</v>
      </c>
    </row>
    <row r="972" spans="1:2" x14ac:dyDescent="0.25">
      <c r="A972" s="5">
        <v>34988</v>
      </c>
      <c r="B972">
        <v>1.575626</v>
      </c>
    </row>
    <row r="973" spans="1:2" x14ac:dyDescent="0.25">
      <c r="A973" s="5">
        <v>34989</v>
      </c>
      <c r="B973">
        <v>1.66231</v>
      </c>
    </row>
    <row r="974" spans="1:2" x14ac:dyDescent="0.25">
      <c r="A974" s="5">
        <v>34990</v>
      </c>
      <c r="B974">
        <v>1.6419140000000001</v>
      </c>
    </row>
    <row r="975" spans="1:2" x14ac:dyDescent="0.25">
      <c r="A975" s="5">
        <v>34991</v>
      </c>
      <c r="B975">
        <v>1.565428</v>
      </c>
    </row>
    <row r="976" spans="1:2" x14ac:dyDescent="0.25">
      <c r="A976" s="5">
        <v>34992</v>
      </c>
      <c r="B976">
        <v>1.5195350000000001</v>
      </c>
    </row>
    <row r="977" spans="1:2" x14ac:dyDescent="0.25">
      <c r="A977" s="5">
        <v>34995</v>
      </c>
      <c r="B977">
        <v>1.626617</v>
      </c>
    </row>
    <row r="978" spans="1:2" x14ac:dyDescent="0.25">
      <c r="A978" s="5">
        <v>34996</v>
      </c>
      <c r="B978">
        <v>1.5909230000000001</v>
      </c>
    </row>
    <row r="979" spans="1:2" x14ac:dyDescent="0.25">
      <c r="A979" s="5">
        <v>34997</v>
      </c>
      <c r="B979">
        <v>1.5807249999999999</v>
      </c>
    </row>
    <row r="980" spans="1:2" x14ac:dyDescent="0.25">
      <c r="A980" s="5">
        <v>34998</v>
      </c>
      <c r="B980">
        <v>1.565428</v>
      </c>
    </row>
    <row r="981" spans="1:2" x14ac:dyDescent="0.25">
      <c r="A981" s="5">
        <v>34999</v>
      </c>
      <c r="B981">
        <v>1.652112</v>
      </c>
    </row>
    <row r="982" spans="1:2" x14ac:dyDescent="0.25">
      <c r="A982" s="5">
        <v>35002</v>
      </c>
      <c r="B982">
        <v>1.6419140000000001</v>
      </c>
    </row>
    <row r="983" spans="1:2" x14ac:dyDescent="0.25">
      <c r="A983" s="5">
        <v>35003</v>
      </c>
      <c r="B983">
        <v>1.5705260000000001</v>
      </c>
    </row>
    <row r="984" spans="1:2" x14ac:dyDescent="0.25">
      <c r="A984" s="5">
        <v>35004</v>
      </c>
      <c r="B984">
        <v>1.657211</v>
      </c>
    </row>
    <row r="985" spans="1:2" x14ac:dyDescent="0.25">
      <c r="A985" s="5">
        <v>35005</v>
      </c>
      <c r="B985">
        <v>1.6674100000000001</v>
      </c>
    </row>
    <row r="986" spans="1:2" x14ac:dyDescent="0.25">
      <c r="A986" s="5">
        <v>35006</v>
      </c>
      <c r="B986">
        <v>1.754095</v>
      </c>
    </row>
    <row r="987" spans="1:2" x14ac:dyDescent="0.25">
      <c r="A987" s="5">
        <v>35009</v>
      </c>
      <c r="B987">
        <v>1.881572</v>
      </c>
    </row>
    <row r="988" spans="1:2" x14ac:dyDescent="0.25">
      <c r="A988" s="5">
        <v>35010</v>
      </c>
      <c r="B988">
        <v>1.8356809999999999</v>
      </c>
    </row>
    <row r="989" spans="1:2" x14ac:dyDescent="0.25">
      <c r="A989" s="5">
        <v>35011</v>
      </c>
      <c r="B989">
        <v>1.8866719999999999</v>
      </c>
    </row>
    <row r="990" spans="1:2" x14ac:dyDescent="0.25">
      <c r="A990" s="5">
        <v>35012</v>
      </c>
      <c r="B990">
        <v>1.9121680000000001</v>
      </c>
    </row>
    <row r="991" spans="1:2" x14ac:dyDescent="0.25">
      <c r="A991" s="5">
        <v>35013</v>
      </c>
      <c r="B991">
        <v>1.9325639999999999</v>
      </c>
    </row>
    <row r="992" spans="1:2" x14ac:dyDescent="0.25">
      <c r="A992" s="5">
        <v>35016</v>
      </c>
      <c r="B992">
        <v>1.881572</v>
      </c>
    </row>
    <row r="993" spans="1:2" x14ac:dyDescent="0.25">
      <c r="A993" s="5">
        <v>35017</v>
      </c>
      <c r="B993">
        <v>1.7719419999999999</v>
      </c>
    </row>
    <row r="994" spans="1:2" x14ac:dyDescent="0.25">
      <c r="A994" s="5">
        <v>35018</v>
      </c>
      <c r="B994">
        <v>1.8866719999999999</v>
      </c>
    </row>
    <row r="995" spans="1:2" x14ac:dyDescent="0.25">
      <c r="A995" s="5">
        <v>35019</v>
      </c>
      <c r="B995">
        <v>1.866276</v>
      </c>
    </row>
    <row r="996" spans="1:2" x14ac:dyDescent="0.25">
      <c r="A996" s="5">
        <v>35020</v>
      </c>
      <c r="B996">
        <v>1.856077</v>
      </c>
    </row>
    <row r="997" spans="1:2" x14ac:dyDescent="0.25">
      <c r="A997" s="5">
        <v>35023</v>
      </c>
      <c r="B997">
        <v>1.7438959999999999</v>
      </c>
    </row>
    <row r="998" spans="1:2" x14ac:dyDescent="0.25">
      <c r="A998" s="5">
        <v>35024</v>
      </c>
      <c r="B998">
        <v>1.7693920000000001</v>
      </c>
    </row>
    <row r="999" spans="1:2" x14ac:dyDescent="0.25">
      <c r="A999" s="5">
        <v>35025</v>
      </c>
      <c r="B999">
        <v>1.6980040000000001</v>
      </c>
    </row>
    <row r="1000" spans="1:2" x14ac:dyDescent="0.25">
      <c r="A1000" s="5">
        <v>35027</v>
      </c>
      <c r="B1000">
        <v>1.718402</v>
      </c>
    </row>
    <row r="1001" spans="1:2" x14ac:dyDescent="0.25">
      <c r="A1001" s="5">
        <v>35030</v>
      </c>
      <c r="B1001">
        <v>1.7693920000000001</v>
      </c>
    </row>
    <row r="1002" spans="1:2" x14ac:dyDescent="0.25">
      <c r="A1002" s="5">
        <v>35031</v>
      </c>
      <c r="B1002">
        <v>1.8764719999999999</v>
      </c>
    </row>
    <row r="1003" spans="1:2" x14ac:dyDescent="0.25">
      <c r="A1003" s="5">
        <v>35032</v>
      </c>
      <c r="B1003">
        <v>1.7795909999999999</v>
      </c>
    </row>
    <row r="1004" spans="1:2" x14ac:dyDescent="0.25">
      <c r="A1004" s="5">
        <v>35033</v>
      </c>
      <c r="B1004">
        <v>1.6878059999999999</v>
      </c>
    </row>
    <row r="1005" spans="1:2" x14ac:dyDescent="0.25">
      <c r="A1005" s="5">
        <v>35034</v>
      </c>
      <c r="B1005">
        <v>1.6725080000000001</v>
      </c>
    </row>
    <row r="1006" spans="1:2" x14ac:dyDescent="0.25">
      <c r="A1006" s="5">
        <v>35037</v>
      </c>
      <c r="B1006">
        <v>1.7795909999999999</v>
      </c>
    </row>
    <row r="1007" spans="1:2" x14ac:dyDescent="0.25">
      <c r="A1007" s="5">
        <v>35038</v>
      </c>
      <c r="B1007">
        <v>1.6929050000000001</v>
      </c>
    </row>
    <row r="1008" spans="1:2" x14ac:dyDescent="0.25">
      <c r="A1008" s="5">
        <v>35039</v>
      </c>
      <c r="B1008">
        <v>1.60622</v>
      </c>
    </row>
    <row r="1009" spans="1:2" x14ac:dyDescent="0.25">
      <c r="A1009" s="5">
        <v>35040</v>
      </c>
      <c r="B1009">
        <v>1.652112</v>
      </c>
    </row>
    <row r="1010" spans="1:2" x14ac:dyDescent="0.25">
      <c r="A1010" s="5">
        <v>35041</v>
      </c>
      <c r="B1010">
        <v>1.6980040000000001</v>
      </c>
    </row>
    <row r="1011" spans="1:2" x14ac:dyDescent="0.25">
      <c r="A1011" s="5">
        <v>35044</v>
      </c>
      <c r="B1011">
        <v>1.6725080000000001</v>
      </c>
    </row>
    <row r="1012" spans="1:2" x14ac:dyDescent="0.25">
      <c r="A1012" s="5">
        <v>35045</v>
      </c>
      <c r="B1012">
        <v>1.626617</v>
      </c>
    </row>
    <row r="1013" spans="1:2" x14ac:dyDescent="0.25">
      <c r="A1013" s="5">
        <v>35046</v>
      </c>
      <c r="B1013">
        <v>1.596023</v>
      </c>
    </row>
    <row r="1014" spans="1:2" x14ac:dyDescent="0.25">
      <c r="A1014" s="5">
        <v>35047</v>
      </c>
      <c r="B1014">
        <v>1.545032</v>
      </c>
    </row>
    <row r="1015" spans="1:2" x14ac:dyDescent="0.25">
      <c r="A1015" s="5">
        <v>35048</v>
      </c>
      <c r="B1015">
        <v>1.524634</v>
      </c>
    </row>
    <row r="1016" spans="1:2" x14ac:dyDescent="0.25">
      <c r="A1016" s="5">
        <v>35051</v>
      </c>
      <c r="B1016">
        <v>1.4583459999999999</v>
      </c>
    </row>
    <row r="1017" spans="1:2" x14ac:dyDescent="0.25">
      <c r="A1017" s="5">
        <v>35052</v>
      </c>
      <c r="B1017">
        <v>1.6546620000000001</v>
      </c>
    </row>
    <row r="1018" spans="1:2" x14ac:dyDescent="0.25">
      <c r="A1018" s="5">
        <v>35053</v>
      </c>
      <c r="B1018">
        <v>1.5297339999999999</v>
      </c>
    </row>
    <row r="1019" spans="1:2" x14ac:dyDescent="0.25">
      <c r="A1019" s="5">
        <v>35054</v>
      </c>
      <c r="B1019">
        <v>1.7133020000000001</v>
      </c>
    </row>
    <row r="1020" spans="1:2" x14ac:dyDescent="0.25">
      <c r="A1020" s="5">
        <v>35055</v>
      </c>
      <c r="B1020">
        <v>1.8152839999999999</v>
      </c>
    </row>
    <row r="1021" spans="1:2" x14ac:dyDescent="0.25">
      <c r="A1021" s="5">
        <v>35059</v>
      </c>
      <c r="B1021">
        <v>1.7693920000000001</v>
      </c>
    </row>
    <row r="1022" spans="1:2" x14ac:dyDescent="0.25">
      <c r="A1022" s="5">
        <v>35060</v>
      </c>
      <c r="B1022">
        <v>1.7693920000000001</v>
      </c>
    </row>
    <row r="1023" spans="1:2" x14ac:dyDescent="0.25">
      <c r="A1023" s="5">
        <v>35061</v>
      </c>
      <c r="B1023">
        <v>1.7082029999999999</v>
      </c>
    </row>
    <row r="1024" spans="1:2" x14ac:dyDescent="0.25">
      <c r="A1024" s="5">
        <v>35062</v>
      </c>
      <c r="B1024">
        <v>1.754095</v>
      </c>
    </row>
    <row r="1025" spans="1:2" x14ac:dyDescent="0.25">
      <c r="A1025" s="5">
        <v>35066</v>
      </c>
      <c r="B1025">
        <v>1.784689</v>
      </c>
    </row>
    <row r="1026" spans="1:2" x14ac:dyDescent="0.25">
      <c r="A1026" s="5">
        <v>35067</v>
      </c>
      <c r="B1026">
        <v>1.6980040000000001</v>
      </c>
    </row>
    <row r="1027" spans="1:2" x14ac:dyDescent="0.25">
      <c r="A1027" s="5">
        <v>35068</v>
      </c>
      <c r="B1027">
        <v>1.626617</v>
      </c>
    </row>
    <row r="1028" spans="1:2" x14ac:dyDescent="0.25">
      <c r="A1028" s="5">
        <v>35069</v>
      </c>
      <c r="B1028">
        <v>1.6929050000000001</v>
      </c>
    </row>
    <row r="1029" spans="1:2" x14ac:dyDescent="0.25">
      <c r="A1029" s="5">
        <v>35072</v>
      </c>
      <c r="B1029">
        <v>1.66486</v>
      </c>
    </row>
    <row r="1030" spans="1:2" x14ac:dyDescent="0.25">
      <c r="A1030" s="5">
        <v>35073</v>
      </c>
      <c r="B1030">
        <v>1.55013</v>
      </c>
    </row>
    <row r="1031" spans="1:2" x14ac:dyDescent="0.25">
      <c r="A1031" s="5">
        <v>35074</v>
      </c>
      <c r="B1031">
        <v>1.5603279999999999</v>
      </c>
    </row>
    <row r="1032" spans="1:2" x14ac:dyDescent="0.25">
      <c r="A1032" s="5">
        <v>35075</v>
      </c>
      <c r="B1032">
        <v>1.6419140000000001</v>
      </c>
    </row>
    <row r="1033" spans="1:2" x14ac:dyDescent="0.25">
      <c r="A1033" s="5">
        <v>35076</v>
      </c>
      <c r="B1033">
        <v>1.55013</v>
      </c>
    </row>
    <row r="1034" spans="1:2" x14ac:dyDescent="0.25">
      <c r="A1034" s="5">
        <v>35079</v>
      </c>
      <c r="B1034">
        <v>1.4634450000000001</v>
      </c>
    </row>
    <row r="1035" spans="1:2" x14ac:dyDescent="0.25">
      <c r="A1035" s="5">
        <v>35080</v>
      </c>
      <c r="B1035">
        <v>1.55013</v>
      </c>
    </row>
    <row r="1036" spans="1:2" x14ac:dyDescent="0.25">
      <c r="A1036" s="5">
        <v>35081</v>
      </c>
      <c r="B1036">
        <v>1.6419140000000001</v>
      </c>
    </row>
    <row r="1037" spans="1:2" x14ac:dyDescent="0.25">
      <c r="A1037" s="5">
        <v>35082</v>
      </c>
      <c r="B1037">
        <v>1.657211</v>
      </c>
    </row>
    <row r="1038" spans="1:2" x14ac:dyDescent="0.25">
      <c r="A1038" s="5">
        <v>35083</v>
      </c>
      <c r="B1038">
        <v>1.754095</v>
      </c>
    </row>
    <row r="1039" spans="1:2" x14ac:dyDescent="0.25">
      <c r="A1039" s="5">
        <v>35086</v>
      </c>
      <c r="B1039">
        <v>1.7795909999999999</v>
      </c>
    </row>
    <row r="1040" spans="1:2" x14ac:dyDescent="0.25">
      <c r="A1040" s="5">
        <v>35087</v>
      </c>
      <c r="B1040">
        <v>1.8101849999999999</v>
      </c>
    </row>
    <row r="1041" spans="1:2" x14ac:dyDescent="0.25">
      <c r="A1041" s="5">
        <v>35088</v>
      </c>
      <c r="B1041">
        <v>1.871375</v>
      </c>
    </row>
    <row r="1042" spans="1:2" x14ac:dyDescent="0.25">
      <c r="A1042" s="5">
        <v>35089</v>
      </c>
      <c r="B1042">
        <v>1.825482</v>
      </c>
    </row>
    <row r="1043" spans="1:2" x14ac:dyDescent="0.25">
      <c r="A1043" s="5">
        <v>35090</v>
      </c>
      <c r="B1043">
        <v>1.794888</v>
      </c>
    </row>
    <row r="1044" spans="1:2" x14ac:dyDescent="0.25">
      <c r="A1044" s="5">
        <v>35093</v>
      </c>
      <c r="B1044">
        <v>1.866276</v>
      </c>
    </row>
    <row r="1045" spans="1:2" x14ac:dyDescent="0.25">
      <c r="A1045" s="5">
        <v>35094</v>
      </c>
      <c r="B1045">
        <v>1.8917710000000001</v>
      </c>
    </row>
    <row r="1046" spans="1:2" x14ac:dyDescent="0.25">
      <c r="A1046" s="5">
        <v>35095</v>
      </c>
      <c r="B1046">
        <v>1.825482</v>
      </c>
    </row>
    <row r="1047" spans="1:2" x14ac:dyDescent="0.25">
      <c r="A1047" s="5">
        <v>35096</v>
      </c>
      <c r="B1047">
        <v>1.881572</v>
      </c>
    </row>
    <row r="1048" spans="1:2" x14ac:dyDescent="0.25">
      <c r="A1048" s="5">
        <v>35097</v>
      </c>
      <c r="B1048">
        <v>1.9478599999999999</v>
      </c>
    </row>
    <row r="1049" spans="1:2" x14ac:dyDescent="0.25">
      <c r="A1049" s="5">
        <v>35100</v>
      </c>
      <c r="B1049">
        <v>1.973357</v>
      </c>
    </row>
    <row r="1050" spans="1:2" x14ac:dyDescent="0.25">
      <c r="A1050" s="5">
        <v>35101</v>
      </c>
      <c r="B1050">
        <v>1.993754</v>
      </c>
    </row>
    <row r="1051" spans="1:2" x14ac:dyDescent="0.25">
      <c r="A1051" s="5">
        <v>35102</v>
      </c>
      <c r="B1051">
        <v>1.9478599999999999</v>
      </c>
    </row>
    <row r="1052" spans="1:2" x14ac:dyDescent="0.25">
      <c r="A1052" s="5">
        <v>35103</v>
      </c>
      <c r="B1052">
        <v>1.958059</v>
      </c>
    </row>
    <row r="1053" spans="1:2" x14ac:dyDescent="0.25">
      <c r="A1053" s="5">
        <v>35104</v>
      </c>
      <c r="B1053">
        <v>1.983555</v>
      </c>
    </row>
    <row r="1054" spans="1:2" x14ac:dyDescent="0.25">
      <c r="A1054" s="5">
        <v>35107</v>
      </c>
      <c r="B1054">
        <v>1.9274640000000001</v>
      </c>
    </row>
    <row r="1055" spans="1:2" x14ac:dyDescent="0.25">
      <c r="A1055" s="5">
        <v>35108</v>
      </c>
      <c r="B1055">
        <v>1.8866719999999999</v>
      </c>
    </row>
    <row r="1056" spans="1:2" x14ac:dyDescent="0.25">
      <c r="A1056" s="5">
        <v>35109</v>
      </c>
      <c r="B1056">
        <v>1.8968700000000001</v>
      </c>
    </row>
    <row r="1057" spans="1:2" x14ac:dyDescent="0.25">
      <c r="A1057" s="5">
        <v>35110</v>
      </c>
      <c r="B1057">
        <v>1.9172659999999999</v>
      </c>
    </row>
    <row r="1058" spans="1:2" x14ac:dyDescent="0.25">
      <c r="A1058" s="5">
        <v>35111</v>
      </c>
      <c r="B1058">
        <v>1.9325639999999999</v>
      </c>
    </row>
    <row r="1059" spans="1:2" x14ac:dyDescent="0.25">
      <c r="A1059" s="5">
        <v>35115</v>
      </c>
      <c r="B1059">
        <v>1.8305819999999999</v>
      </c>
    </row>
    <row r="1060" spans="1:2" x14ac:dyDescent="0.25">
      <c r="A1060" s="5">
        <v>35116</v>
      </c>
      <c r="B1060">
        <v>1.881572</v>
      </c>
    </row>
    <row r="1061" spans="1:2" x14ac:dyDescent="0.25">
      <c r="A1061" s="5">
        <v>35117</v>
      </c>
      <c r="B1061">
        <v>1.774492</v>
      </c>
    </row>
    <row r="1062" spans="1:2" x14ac:dyDescent="0.25">
      <c r="A1062" s="5">
        <v>35118</v>
      </c>
      <c r="B1062">
        <v>1.733698</v>
      </c>
    </row>
    <row r="1063" spans="1:2" x14ac:dyDescent="0.25">
      <c r="A1063" s="5">
        <v>35121</v>
      </c>
      <c r="B1063">
        <v>1.7795909999999999</v>
      </c>
    </row>
    <row r="1064" spans="1:2" x14ac:dyDescent="0.25">
      <c r="A1064" s="5">
        <v>35122</v>
      </c>
      <c r="B1064">
        <v>1.7642929999999999</v>
      </c>
    </row>
    <row r="1065" spans="1:2" x14ac:dyDescent="0.25">
      <c r="A1065" s="5">
        <v>35123</v>
      </c>
      <c r="B1065">
        <v>1.6470130000000001</v>
      </c>
    </row>
    <row r="1066" spans="1:2" x14ac:dyDescent="0.25">
      <c r="A1066" s="5">
        <v>35124</v>
      </c>
      <c r="B1066">
        <v>1.60877</v>
      </c>
    </row>
    <row r="1067" spans="1:2" x14ac:dyDescent="0.25">
      <c r="A1067" s="5">
        <v>35125</v>
      </c>
      <c r="B1067">
        <v>1.6317159999999999</v>
      </c>
    </row>
    <row r="1068" spans="1:2" x14ac:dyDescent="0.25">
      <c r="A1068" s="5">
        <v>35128</v>
      </c>
      <c r="B1068">
        <v>1.6317159999999999</v>
      </c>
    </row>
    <row r="1069" spans="1:2" x14ac:dyDescent="0.25">
      <c r="A1069" s="5">
        <v>35129</v>
      </c>
      <c r="B1069">
        <v>1.621518</v>
      </c>
    </row>
    <row r="1070" spans="1:2" x14ac:dyDescent="0.25">
      <c r="A1070" s="5">
        <v>35130</v>
      </c>
      <c r="B1070">
        <v>1.5909230000000001</v>
      </c>
    </row>
    <row r="1071" spans="1:2" x14ac:dyDescent="0.25">
      <c r="A1071" s="5">
        <v>35131</v>
      </c>
      <c r="B1071">
        <v>1.5526789999999999</v>
      </c>
    </row>
    <row r="1072" spans="1:2" x14ac:dyDescent="0.25">
      <c r="A1072" s="5">
        <v>35132</v>
      </c>
      <c r="B1072">
        <v>1.49404</v>
      </c>
    </row>
    <row r="1073" spans="1:2" x14ac:dyDescent="0.25">
      <c r="A1073" s="5">
        <v>35135</v>
      </c>
      <c r="B1073">
        <v>1.5807249999999999</v>
      </c>
    </row>
    <row r="1074" spans="1:2" x14ac:dyDescent="0.25">
      <c r="A1074" s="5">
        <v>35136</v>
      </c>
      <c r="B1074">
        <v>1.6113189999999999</v>
      </c>
    </row>
    <row r="1075" spans="1:2" x14ac:dyDescent="0.25">
      <c r="A1075" s="5">
        <v>35137</v>
      </c>
      <c r="B1075">
        <v>1.5858239999999999</v>
      </c>
    </row>
    <row r="1076" spans="1:2" x14ac:dyDescent="0.25">
      <c r="A1076" s="5">
        <v>35138</v>
      </c>
      <c r="B1076">
        <v>1.5399309999999999</v>
      </c>
    </row>
    <row r="1077" spans="1:2" x14ac:dyDescent="0.25">
      <c r="A1077" s="5">
        <v>35139</v>
      </c>
      <c r="B1077">
        <v>1.5297339999999999</v>
      </c>
    </row>
    <row r="1078" spans="1:2" x14ac:dyDescent="0.25">
      <c r="A1078" s="5">
        <v>35142</v>
      </c>
      <c r="B1078">
        <v>1.596023</v>
      </c>
    </row>
    <row r="1079" spans="1:2" x14ac:dyDescent="0.25">
      <c r="A1079" s="5">
        <v>35143</v>
      </c>
      <c r="B1079">
        <v>1.555229</v>
      </c>
    </row>
    <row r="1080" spans="1:2" x14ac:dyDescent="0.25">
      <c r="A1080" s="5">
        <v>35144</v>
      </c>
      <c r="B1080">
        <v>1.5144359999999999</v>
      </c>
    </row>
    <row r="1081" spans="1:2" x14ac:dyDescent="0.25">
      <c r="A1081" s="5">
        <v>35145</v>
      </c>
      <c r="B1081">
        <v>1.4838420000000001</v>
      </c>
    </row>
    <row r="1082" spans="1:2" x14ac:dyDescent="0.25">
      <c r="A1082" s="5">
        <v>35146</v>
      </c>
      <c r="B1082">
        <v>1.601121</v>
      </c>
    </row>
    <row r="1083" spans="1:2" x14ac:dyDescent="0.25">
      <c r="A1083" s="5">
        <v>35149</v>
      </c>
      <c r="B1083">
        <v>1.6317159999999999</v>
      </c>
    </row>
    <row r="1084" spans="1:2" x14ac:dyDescent="0.25">
      <c r="A1084" s="5">
        <v>35150</v>
      </c>
      <c r="B1084">
        <v>1.6470130000000001</v>
      </c>
    </row>
    <row r="1085" spans="1:2" x14ac:dyDescent="0.25">
      <c r="A1085" s="5">
        <v>35151</v>
      </c>
      <c r="B1085">
        <v>1.6878059999999999</v>
      </c>
    </row>
    <row r="1086" spans="1:2" x14ac:dyDescent="0.25">
      <c r="A1086" s="5">
        <v>35152</v>
      </c>
      <c r="B1086">
        <v>1.6929050000000001</v>
      </c>
    </row>
    <row r="1087" spans="1:2" x14ac:dyDescent="0.25">
      <c r="A1087" s="5">
        <v>35153</v>
      </c>
      <c r="B1087">
        <v>1.6929050000000001</v>
      </c>
    </row>
    <row r="1088" spans="1:2" x14ac:dyDescent="0.25">
      <c r="A1088" s="5">
        <v>35156</v>
      </c>
      <c r="B1088">
        <v>1.626617</v>
      </c>
    </row>
    <row r="1089" spans="1:2" x14ac:dyDescent="0.25">
      <c r="A1089" s="5">
        <v>35157</v>
      </c>
      <c r="B1089">
        <v>1.682707</v>
      </c>
    </row>
    <row r="1090" spans="1:2" x14ac:dyDescent="0.25">
      <c r="A1090" s="5">
        <v>35158</v>
      </c>
      <c r="B1090">
        <v>1.6674100000000001</v>
      </c>
    </row>
    <row r="1091" spans="1:2" x14ac:dyDescent="0.25">
      <c r="A1091" s="5">
        <v>35159</v>
      </c>
      <c r="B1091">
        <v>1.657211</v>
      </c>
    </row>
    <row r="1092" spans="1:2" x14ac:dyDescent="0.25">
      <c r="A1092" s="5">
        <v>35163</v>
      </c>
      <c r="B1092">
        <v>1.6164190000000001</v>
      </c>
    </row>
    <row r="1093" spans="1:2" x14ac:dyDescent="0.25">
      <c r="A1093" s="5">
        <v>35164</v>
      </c>
      <c r="B1093">
        <v>1.601121</v>
      </c>
    </row>
    <row r="1094" spans="1:2" x14ac:dyDescent="0.25">
      <c r="A1094" s="5">
        <v>35165</v>
      </c>
      <c r="B1094">
        <v>1.6368149999999999</v>
      </c>
    </row>
    <row r="1095" spans="1:2" x14ac:dyDescent="0.25">
      <c r="A1095" s="5">
        <v>35166</v>
      </c>
      <c r="B1095">
        <v>1.6113189999999999</v>
      </c>
    </row>
    <row r="1096" spans="1:2" x14ac:dyDescent="0.25">
      <c r="A1096" s="5">
        <v>35167</v>
      </c>
      <c r="B1096">
        <v>1.6240669999999999</v>
      </c>
    </row>
    <row r="1097" spans="1:2" x14ac:dyDescent="0.25">
      <c r="A1097" s="5">
        <v>35170</v>
      </c>
      <c r="B1097">
        <v>1.601121</v>
      </c>
    </row>
    <row r="1098" spans="1:2" x14ac:dyDescent="0.25">
      <c r="A1098" s="5">
        <v>35171</v>
      </c>
      <c r="B1098">
        <v>1.346166</v>
      </c>
    </row>
    <row r="1099" spans="1:2" x14ac:dyDescent="0.25">
      <c r="A1099" s="5">
        <v>35172</v>
      </c>
      <c r="B1099">
        <v>1.290076</v>
      </c>
    </row>
    <row r="1100" spans="1:2" x14ac:dyDescent="0.25">
      <c r="A1100" s="5">
        <v>35173</v>
      </c>
      <c r="B1100">
        <v>1.2492829999999999</v>
      </c>
    </row>
    <row r="1101" spans="1:2" x14ac:dyDescent="0.25">
      <c r="A1101" s="5">
        <v>35174</v>
      </c>
      <c r="B1101">
        <v>1.346166</v>
      </c>
    </row>
    <row r="1102" spans="1:2" x14ac:dyDescent="0.25">
      <c r="A1102" s="5">
        <v>35177</v>
      </c>
      <c r="B1102">
        <v>1.341067</v>
      </c>
    </row>
    <row r="1103" spans="1:2" x14ac:dyDescent="0.25">
      <c r="A1103" s="5">
        <v>35178</v>
      </c>
      <c r="B1103">
        <v>1.4838420000000001</v>
      </c>
    </row>
    <row r="1104" spans="1:2" x14ac:dyDescent="0.25">
      <c r="A1104" s="5">
        <v>35179</v>
      </c>
      <c r="B1104">
        <v>1.55013</v>
      </c>
    </row>
    <row r="1105" spans="1:2" x14ac:dyDescent="0.25">
      <c r="A1105" s="5">
        <v>35180</v>
      </c>
      <c r="B1105">
        <v>1.575626</v>
      </c>
    </row>
    <row r="1106" spans="1:2" x14ac:dyDescent="0.25">
      <c r="A1106" s="5">
        <v>35181</v>
      </c>
      <c r="B1106">
        <v>1.6470130000000001</v>
      </c>
    </row>
    <row r="1107" spans="1:2" x14ac:dyDescent="0.25">
      <c r="A1107" s="5">
        <v>35184</v>
      </c>
      <c r="B1107">
        <v>1.60622</v>
      </c>
    </row>
    <row r="1108" spans="1:2" x14ac:dyDescent="0.25">
      <c r="A1108" s="5">
        <v>35185</v>
      </c>
      <c r="B1108">
        <v>1.5807249999999999</v>
      </c>
    </row>
    <row r="1109" spans="1:2" x14ac:dyDescent="0.25">
      <c r="A1109" s="5">
        <v>35186</v>
      </c>
      <c r="B1109">
        <v>1.601121</v>
      </c>
    </row>
    <row r="1110" spans="1:2" x14ac:dyDescent="0.25">
      <c r="A1110" s="5">
        <v>35187</v>
      </c>
      <c r="B1110">
        <v>1.5705260000000001</v>
      </c>
    </row>
    <row r="1111" spans="1:2" x14ac:dyDescent="0.25">
      <c r="A1111" s="5">
        <v>35188</v>
      </c>
      <c r="B1111">
        <v>1.575626</v>
      </c>
    </row>
    <row r="1112" spans="1:2" x14ac:dyDescent="0.25">
      <c r="A1112" s="5">
        <v>35191</v>
      </c>
      <c r="B1112">
        <v>1.555229</v>
      </c>
    </row>
    <row r="1113" spans="1:2" x14ac:dyDescent="0.25">
      <c r="A1113" s="5">
        <v>35192</v>
      </c>
      <c r="B1113">
        <v>1.6470130000000001</v>
      </c>
    </row>
    <row r="1114" spans="1:2" x14ac:dyDescent="0.25">
      <c r="A1114" s="5">
        <v>35193</v>
      </c>
      <c r="B1114">
        <v>1.6317159999999999</v>
      </c>
    </row>
    <row r="1115" spans="1:2" x14ac:dyDescent="0.25">
      <c r="A1115" s="5">
        <v>35194</v>
      </c>
      <c r="B1115">
        <v>1.6368149999999999</v>
      </c>
    </row>
    <row r="1116" spans="1:2" x14ac:dyDescent="0.25">
      <c r="A1116" s="5">
        <v>35195</v>
      </c>
      <c r="B1116">
        <v>1.7387980000000001</v>
      </c>
    </row>
    <row r="1117" spans="1:2" x14ac:dyDescent="0.25">
      <c r="A1117" s="5">
        <v>35198</v>
      </c>
      <c r="B1117">
        <v>1.825482</v>
      </c>
    </row>
    <row r="1118" spans="1:2" x14ac:dyDescent="0.25">
      <c r="A1118" s="5">
        <v>35199</v>
      </c>
      <c r="B1118">
        <v>1.986742</v>
      </c>
    </row>
    <row r="1119" spans="1:2" x14ac:dyDescent="0.25">
      <c r="A1119" s="5">
        <v>35200</v>
      </c>
      <c r="B1119">
        <v>1.9172659999999999</v>
      </c>
    </row>
    <row r="1120" spans="1:2" x14ac:dyDescent="0.25">
      <c r="A1120" s="5">
        <v>35201</v>
      </c>
      <c r="B1120">
        <v>1.998853</v>
      </c>
    </row>
    <row r="1121" spans="1:2" x14ac:dyDescent="0.25">
      <c r="A1121" s="5">
        <v>35202</v>
      </c>
      <c r="B1121">
        <v>2.0498419999999999</v>
      </c>
    </row>
    <row r="1122" spans="1:2" x14ac:dyDescent="0.25">
      <c r="A1122" s="5">
        <v>35205</v>
      </c>
      <c r="B1122">
        <v>2.0294469999999998</v>
      </c>
    </row>
    <row r="1123" spans="1:2" x14ac:dyDescent="0.25">
      <c r="A1123" s="5">
        <v>35206</v>
      </c>
      <c r="B1123">
        <v>2.0345460000000002</v>
      </c>
    </row>
    <row r="1124" spans="1:2" x14ac:dyDescent="0.25">
      <c r="A1124" s="5">
        <v>35207</v>
      </c>
      <c r="B1124">
        <v>2.0039509999999998</v>
      </c>
    </row>
    <row r="1125" spans="1:2" x14ac:dyDescent="0.25">
      <c r="A1125" s="5">
        <v>35208</v>
      </c>
      <c r="B1125">
        <v>1.978456</v>
      </c>
    </row>
    <row r="1126" spans="1:2" x14ac:dyDescent="0.25">
      <c r="A1126" s="5">
        <v>35209</v>
      </c>
      <c r="B1126">
        <v>2.0141499999999999</v>
      </c>
    </row>
    <row r="1127" spans="1:2" x14ac:dyDescent="0.25">
      <c r="A1127" s="5">
        <v>35213</v>
      </c>
      <c r="B1127">
        <v>1.973357</v>
      </c>
    </row>
    <row r="1128" spans="1:2" x14ac:dyDescent="0.25">
      <c r="A1128" s="5">
        <v>35214</v>
      </c>
      <c r="B1128">
        <v>2.0039509999999998</v>
      </c>
    </row>
    <row r="1129" spans="1:2" x14ac:dyDescent="0.25">
      <c r="A1129" s="5">
        <v>35215</v>
      </c>
      <c r="B1129">
        <v>2.105934</v>
      </c>
    </row>
    <row r="1130" spans="1:2" x14ac:dyDescent="0.25">
      <c r="A1130" s="5">
        <v>35216</v>
      </c>
      <c r="B1130">
        <v>2.2206630000000001</v>
      </c>
    </row>
    <row r="1131" spans="1:2" x14ac:dyDescent="0.25">
      <c r="A1131" s="5">
        <v>35219</v>
      </c>
      <c r="B1131">
        <v>2.1110329999999999</v>
      </c>
    </row>
    <row r="1132" spans="1:2" x14ac:dyDescent="0.25">
      <c r="A1132" s="5">
        <v>35220</v>
      </c>
      <c r="B1132">
        <v>2.1518250000000001</v>
      </c>
    </row>
    <row r="1133" spans="1:2" x14ac:dyDescent="0.25">
      <c r="A1133" s="5">
        <v>35221</v>
      </c>
      <c r="B1133">
        <v>2.1263290000000001</v>
      </c>
    </row>
    <row r="1134" spans="1:2" x14ac:dyDescent="0.25">
      <c r="A1134" s="5">
        <v>35222</v>
      </c>
      <c r="B1134">
        <v>2.0855359999999998</v>
      </c>
    </row>
    <row r="1135" spans="1:2" x14ac:dyDescent="0.25">
      <c r="A1135" s="5">
        <v>35223</v>
      </c>
      <c r="B1135">
        <v>2.1263290000000001</v>
      </c>
    </row>
    <row r="1136" spans="1:2" x14ac:dyDescent="0.25">
      <c r="A1136" s="5">
        <v>35226</v>
      </c>
      <c r="B1136">
        <v>2.1110329999999999</v>
      </c>
    </row>
    <row r="1137" spans="1:2" x14ac:dyDescent="0.25">
      <c r="A1137" s="5">
        <v>35227</v>
      </c>
      <c r="B1137">
        <v>2.0702400000000001</v>
      </c>
    </row>
    <row r="1138" spans="1:2" x14ac:dyDescent="0.25">
      <c r="A1138" s="5">
        <v>35228</v>
      </c>
      <c r="B1138">
        <v>2.0855359999999998</v>
      </c>
    </row>
    <row r="1139" spans="1:2" x14ac:dyDescent="0.25">
      <c r="A1139" s="5">
        <v>35229</v>
      </c>
      <c r="B1139">
        <v>2.0498419999999999</v>
      </c>
    </row>
    <row r="1140" spans="1:2" x14ac:dyDescent="0.25">
      <c r="A1140" s="5">
        <v>35230</v>
      </c>
      <c r="B1140">
        <v>1.9682580000000001</v>
      </c>
    </row>
    <row r="1141" spans="1:2" x14ac:dyDescent="0.25">
      <c r="A1141" s="5">
        <v>35233</v>
      </c>
      <c r="B1141">
        <v>1.937662</v>
      </c>
    </row>
    <row r="1142" spans="1:2" x14ac:dyDescent="0.25">
      <c r="A1142" s="5">
        <v>35234</v>
      </c>
      <c r="B1142">
        <v>1.8764719999999999</v>
      </c>
    </row>
    <row r="1143" spans="1:2" x14ac:dyDescent="0.25">
      <c r="A1143" s="5">
        <v>35235</v>
      </c>
      <c r="B1143">
        <v>1.937662</v>
      </c>
    </row>
    <row r="1144" spans="1:2" x14ac:dyDescent="0.25">
      <c r="A1144" s="5">
        <v>35236</v>
      </c>
      <c r="B1144">
        <v>2.1569240000000001</v>
      </c>
    </row>
    <row r="1145" spans="1:2" x14ac:dyDescent="0.25">
      <c r="A1145" s="5">
        <v>35237</v>
      </c>
      <c r="B1145">
        <v>2.167122</v>
      </c>
    </row>
    <row r="1146" spans="1:2" x14ac:dyDescent="0.25">
      <c r="A1146" s="5">
        <v>35240</v>
      </c>
      <c r="B1146">
        <v>2.105934</v>
      </c>
    </row>
    <row r="1147" spans="1:2" x14ac:dyDescent="0.25">
      <c r="A1147" s="5">
        <v>35241</v>
      </c>
      <c r="B1147">
        <v>2.0447440000000001</v>
      </c>
    </row>
    <row r="1148" spans="1:2" x14ac:dyDescent="0.25">
      <c r="A1148" s="5">
        <v>35242</v>
      </c>
      <c r="B1148">
        <v>2.0957349999999999</v>
      </c>
    </row>
    <row r="1149" spans="1:2" x14ac:dyDescent="0.25">
      <c r="A1149" s="5">
        <v>35243</v>
      </c>
      <c r="B1149">
        <v>2.0957349999999999</v>
      </c>
    </row>
    <row r="1150" spans="1:2" x14ac:dyDescent="0.25">
      <c r="A1150" s="5">
        <v>35244</v>
      </c>
      <c r="B1150">
        <v>2.167122</v>
      </c>
    </row>
    <row r="1151" spans="1:2" x14ac:dyDescent="0.25">
      <c r="A1151" s="5">
        <v>35247</v>
      </c>
      <c r="B1151">
        <v>2.1365289999999999</v>
      </c>
    </row>
    <row r="1152" spans="1:2" x14ac:dyDescent="0.25">
      <c r="A1152" s="5">
        <v>35248</v>
      </c>
      <c r="B1152">
        <v>2.116133</v>
      </c>
    </row>
    <row r="1153" spans="1:2" x14ac:dyDescent="0.25">
      <c r="A1153" s="5">
        <v>35249</v>
      </c>
      <c r="B1153">
        <v>2.0855359999999998</v>
      </c>
    </row>
    <row r="1154" spans="1:2" x14ac:dyDescent="0.25">
      <c r="A1154" s="5">
        <v>35251</v>
      </c>
      <c r="B1154">
        <v>2.0294469999999998</v>
      </c>
    </row>
    <row r="1155" spans="1:2" x14ac:dyDescent="0.25">
      <c r="A1155" s="5">
        <v>35254</v>
      </c>
      <c r="B1155">
        <v>2.0039509999999998</v>
      </c>
    </row>
    <row r="1156" spans="1:2" x14ac:dyDescent="0.25">
      <c r="A1156" s="5">
        <v>35255</v>
      </c>
      <c r="B1156">
        <v>2.0498419999999999</v>
      </c>
    </row>
    <row r="1157" spans="1:2" x14ac:dyDescent="0.25">
      <c r="A1157" s="5">
        <v>35256</v>
      </c>
      <c r="B1157">
        <v>1.973357</v>
      </c>
    </row>
    <row r="1158" spans="1:2" x14ac:dyDescent="0.25">
      <c r="A1158" s="5">
        <v>35257</v>
      </c>
      <c r="B1158">
        <v>1.8611759999999999</v>
      </c>
    </row>
    <row r="1159" spans="1:2" x14ac:dyDescent="0.25">
      <c r="A1159" s="5">
        <v>35258</v>
      </c>
      <c r="B1159">
        <v>1.784689</v>
      </c>
    </row>
    <row r="1160" spans="1:2" x14ac:dyDescent="0.25">
      <c r="A1160" s="5">
        <v>35261</v>
      </c>
      <c r="B1160">
        <v>1.6368149999999999</v>
      </c>
    </row>
    <row r="1161" spans="1:2" x14ac:dyDescent="0.25">
      <c r="A1161" s="5">
        <v>35262</v>
      </c>
      <c r="B1161">
        <v>1.7387980000000001</v>
      </c>
    </row>
    <row r="1162" spans="1:2" x14ac:dyDescent="0.25">
      <c r="A1162" s="5">
        <v>35263</v>
      </c>
      <c r="B1162">
        <v>1.66231</v>
      </c>
    </row>
    <row r="1163" spans="1:2" x14ac:dyDescent="0.25">
      <c r="A1163" s="5">
        <v>35264</v>
      </c>
      <c r="B1163">
        <v>1.7235</v>
      </c>
    </row>
    <row r="1164" spans="1:2" x14ac:dyDescent="0.25">
      <c r="A1164" s="5">
        <v>35265</v>
      </c>
      <c r="B1164">
        <v>1.5807249999999999</v>
      </c>
    </row>
    <row r="1165" spans="1:2" x14ac:dyDescent="0.25">
      <c r="A1165" s="5">
        <v>35268</v>
      </c>
      <c r="B1165">
        <v>1.682707</v>
      </c>
    </row>
    <row r="1166" spans="1:2" x14ac:dyDescent="0.25">
      <c r="A1166" s="5">
        <v>35269</v>
      </c>
      <c r="B1166">
        <v>1.682707</v>
      </c>
    </row>
    <row r="1167" spans="1:2" x14ac:dyDescent="0.25">
      <c r="A1167" s="5">
        <v>35270</v>
      </c>
      <c r="B1167">
        <v>1.7591939999999999</v>
      </c>
    </row>
    <row r="1168" spans="1:2" x14ac:dyDescent="0.25">
      <c r="A1168" s="5">
        <v>35271</v>
      </c>
      <c r="B1168">
        <v>1.733698</v>
      </c>
    </row>
    <row r="1169" spans="1:2" x14ac:dyDescent="0.25">
      <c r="A1169" s="5">
        <v>35272</v>
      </c>
      <c r="B1169">
        <v>1.7693920000000001</v>
      </c>
    </row>
    <row r="1170" spans="1:2" x14ac:dyDescent="0.25">
      <c r="A1170" s="5">
        <v>35275</v>
      </c>
      <c r="B1170">
        <v>1.7642929999999999</v>
      </c>
    </row>
    <row r="1171" spans="1:2" x14ac:dyDescent="0.25">
      <c r="A1171" s="5">
        <v>35276</v>
      </c>
      <c r="B1171">
        <v>1.7082029999999999</v>
      </c>
    </row>
    <row r="1172" spans="1:2" x14ac:dyDescent="0.25">
      <c r="A1172" s="5">
        <v>35277</v>
      </c>
      <c r="B1172">
        <v>1.7693920000000001</v>
      </c>
    </row>
    <row r="1173" spans="1:2" x14ac:dyDescent="0.25">
      <c r="A1173" s="5">
        <v>35278</v>
      </c>
      <c r="B1173">
        <v>1.8101849999999999</v>
      </c>
    </row>
    <row r="1174" spans="1:2" x14ac:dyDescent="0.25">
      <c r="A1174" s="5">
        <v>35279</v>
      </c>
      <c r="B1174">
        <v>1.8917710000000001</v>
      </c>
    </row>
    <row r="1175" spans="1:2" x14ac:dyDescent="0.25">
      <c r="A1175" s="5">
        <v>35282</v>
      </c>
      <c r="B1175">
        <v>1.8764719999999999</v>
      </c>
    </row>
    <row r="1176" spans="1:2" x14ac:dyDescent="0.25">
      <c r="A1176" s="5">
        <v>35283</v>
      </c>
      <c r="B1176">
        <v>1.9478599999999999</v>
      </c>
    </row>
    <row r="1177" spans="1:2" x14ac:dyDescent="0.25">
      <c r="A1177" s="5">
        <v>35284</v>
      </c>
      <c r="B1177">
        <v>1.963158</v>
      </c>
    </row>
    <row r="1178" spans="1:2" x14ac:dyDescent="0.25">
      <c r="A1178" s="5">
        <v>35285</v>
      </c>
      <c r="B1178">
        <v>1.9274640000000001</v>
      </c>
    </row>
    <row r="1179" spans="1:2" x14ac:dyDescent="0.25">
      <c r="A1179" s="5">
        <v>35286</v>
      </c>
      <c r="B1179">
        <v>1.8764719999999999</v>
      </c>
    </row>
    <row r="1180" spans="1:2" x14ac:dyDescent="0.25">
      <c r="A1180" s="5">
        <v>35289</v>
      </c>
      <c r="B1180">
        <v>1.907068</v>
      </c>
    </row>
    <row r="1181" spans="1:2" x14ac:dyDescent="0.25">
      <c r="A1181" s="5">
        <v>35290</v>
      </c>
      <c r="B1181">
        <v>1.8203830000000001</v>
      </c>
    </row>
    <row r="1182" spans="1:2" x14ac:dyDescent="0.25">
      <c r="A1182" s="5">
        <v>35291</v>
      </c>
      <c r="B1182">
        <v>1.8917710000000001</v>
      </c>
    </row>
    <row r="1183" spans="1:2" x14ac:dyDescent="0.25">
      <c r="A1183" s="5">
        <v>35292</v>
      </c>
      <c r="B1183">
        <v>1.8866719999999999</v>
      </c>
    </row>
    <row r="1184" spans="1:2" x14ac:dyDescent="0.25">
      <c r="A1184" s="5">
        <v>35293</v>
      </c>
      <c r="B1184">
        <v>1.8968700000000001</v>
      </c>
    </row>
    <row r="1185" spans="1:2" x14ac:dyDescent="0.25">
      <c r="A1185" s="5">
        <v>35296</v>
      </c>
      <c r="B1185">
        <v>1.8356809999999999</v>
      </c>
    </row>
    <row r="1186" spans="1:2" x14ac:dyDescent="0.25">
      <c r="A1186" s="5">
        <v>35297</v>
      </c>
      <c r="B1186">
        <v>1.8407800000000001</v>
      </c>
    </row>
    <row r="1187" spans="1:2" x14ac:dyDescent="0.25">
      <c r="A1187" s="5">
        <v>35298</v>
      </c>
      <c r="B1187">
        <v>1.825482</v>
      </c>
    </row>
    <row r="1188" spans="1:2" x14ac:dyDescent="0.25">
      <c r="A1188" s="5">
        <v>35299</v>
      </c>
      <c r="B1188">
        <v>1.9172659999999999</v>
      </c>
    </row>
    <row r="1189" spans="1:2" x14ac:dyDescent="0.25">
      <c r="A1189" s="5">
        <v>35300</v>
      </c>
      <c r="B1189">
        <v>1.871375</v>
      </c>
    </row>
    <row r="1190" spans="1:2" x14ac:dyDescent="0.25">
      <c r="A1190" s="5">
        <v>35303</v>
      </c>
      <c r="B1190">
        <v>1.8407800000000001</v>
      </c>
    </row>
    <row r="1191" spans="1:2" x14ac:dyDescent="0.25">
      <c r="A1191" s="5">
        <v>35304</v>
      </c>
      <c r="B1191">
        <v>1.866276</v>
      </c>
    </row>
    <row r="1192" spans="1:2" x14ac:dyDescent="0.25">
      <c r="A1192" s="5">
        <v>35305</v>
      </c>
      <c r="B1192">
        <v>1.8152839999999999</v>
      </c>
    </row>
    <row r="1193" spans="1:2" x14ac:dyDescent="0.25">
      <c r="A1193" s="5">
        <v>35306</v>
      </c>
      <c r="B1193">
        <v>1.7897890000000001</v>
      </c>
    </row>
    <row r="1194" spans="1:2" x14ac:dyDescent="0.25">
      <c r="A1194" s="5">
        <v>35307</v>
      </c>
      <c r="B1194">
        <v>1.7693920000000001</v>
      </c>
    </row>
    <row r="1195" spans="1:2" x14ac:dyDescent="0.25">
      <c r="A1195" s="5">
        <v>35311</v>
      </c>
      <c r="B1195">
        <v>1.733698</v>
      </c>
    </row>
    <row r="1196" spans="1:2" x14ac:dyDescent="0.25">
      <c r="A1196" s="5">
        <v>35312</v>
      </c>
      <c r="B1196">
        <v>1.682707</v>
      </c>
    </row>
    <row r="1197" spans="1:2" x14ac:dyDescent="0.25">
      <c r="A1197" s="5">
        <v>35313</v>
      </c>
      <c r="B1197">
        <v>1.626617</v>
      </c>
    </row>
    <row r="1198" spans="1:2" x14ac:dyDescent="0.25">
      <c r="A1198" s="5">
        <v>35314</v>
      </c>
      <c r="B1198">
        <v>1.6470130000000001</v>
      </c>
    </row>
    <row r="1199" spans="1:2" x14ac:dyDescent="0.25">
      <c r="A1199" s="5">
        <v>35317</v>
      </c>
      <c r="B1199">
        <v>1.7082029999999999</v>
      </c>
    </row>
    <row r="1200" spans="1:2" x14ac:dyDescent="0.25">
      <c r="A1200" s="5">
        <v>35318</v>
      </c>
      <c r="B1200">
        <v>1.66231</v>
      </c>
    </row>
    <row r="1201" spans="1:2" x14ac:dyDescent="0.25">
      <c r="A1201" s="5">
        <v>35319</v>
      </c>
      <c r="B1201">
        <v>1.596023</v>
      </c>
    </row>
    <row r="1202" spans="1:2" x14ac:dyDescent="0.25">
      <c r="A1202" s="5">
        <v>35320</v>
      </c>
      <c r="B1202">
        <v>1.6470130000000001</v>
      </c>
    </row>
    <row r="1203" spans="1:2" x14ac:dyDescent="0.25">
      <c r="A1203" s="5">
        <v>35321</v>
      </c>
      <c r="B1203">
        <v>1.6929050000000001</v>
      </c>
    </row>
    <row r="1204" spans="1:2" x14ac:dyDescent="0.25">
      <c r="A1204" s="5">
        <v>35324</v>
      </c>
      <c r="B1204">
        <v>1.5909230000000001</v>
      </c>
    </row>
    <row r="1205" spans="1:2" x14ac:dyDescent="0.25">
      <c r="A1205" s="5">
        <v>35325</v>
      </c>
      <c r="B1205">
        <v>1.55013</v>
      </c>
    </row>
    <row r="1206" spans="1:2" x14ac:dyDescent="0.25">
      <c r="A1206" s="5">
        <v>35326</v>
      </c>
      <c r="B1206">
        <v>1.626617</v>
      </c>
    </row>
    <row r="1207" spans="1:2" x14ac:dyDescent="0.25">
      <c r="A1207" s="5">
        <v>35327</v>
      </c>
      <c r="B1207">
        <v>1.6317159999999999</v>
      </c>
    </row>
    <row r="1208" spans="1:2" x14ac:dyDescent="0.25">
      <c r="A1208" s="5">
        <v>35328</v>
      </c>
      <c r="B1208">
        <v>1.626617</v>
      </c>
    </row>
    <row r="1209" spans="1:2" x14ac:dyDescent="0.25">
      <c r="A1209" s="5">
        <v>35331</v>
      </c>
      <c r="B1209">
        <v>1.5858239999999999</v>
      </c>
    </row>
    <row r="1210" spans="1:2" x14ac:dyDescent="0.25">
      <c r="A1210" s="5">
        <v>35332</v>
      </c>
      <c r="B1210">
        <v>1.5807249999999999</v>
      </c>
    </row>
    <row r="1211" spans="1:2" x14ac:dyDescent="0.25">
      <c r="A1211" s="5">
        <v>35333</v>
      </c>
      <c r="B1211">
        <v>1.596023</v>
      </c>
    </row>
    <row r="1212" spans="1:2" x14ac:dyDescent="0.25">
      <c r="A1212" s="5">
        <v>35334</v>
      </c>
      <c r="B1212">
        <v>1.6980040000000001</v>
      </c>
    </row>
    <row r="1213" spans="1:2" x14ac:dyDescent="0.25">
      <c r="A1213" s="5">
        <v>35335</v>
      </c>
      <c r="B1213">
        <v>1.7770410000000001</v>
      </c>
    </row>
    <row r="1214" spans="1:2" x14ac:dyDescent="0.25">
      <c r="A1214" s="5">
        <v>35338</v>
      </c>
      <c r="B1214">
        <v>1.733698</v>
      </c>
    </row>
    <row r="1215" spans="1:2" x14ac:dyDescent="0.25">
      <c r="A1215" s="5">
        <v>35339</v>
      </c>
      <c r="B1215">
        <v>1.6929050000000001</v>
      </c>
    </row>
    <row r="1216" spans="1:2" x14ac:dyDescent="0.25">
      <c r="A1216" s="5">
        <v>35340</v>
      </c>
      <c r="B1216">
        <v>1.6189690000000001</v>
      </c>
    </row>
    <row r="1217" spans="1:2" x14ac:dyDescent="0.25">
      <c r="A1217" s="5">
        <v>35341</v>
      </c>
      <c r="B1217">
        <v>1.5705260000000001</v>
      </c>
    </row>
    <row r="1218" spans="1:2" x14ac:dyDescent="0.25">
      <c r="A1218" s="5">
        <v>35342</v>
      </c>
      <c r="B1218">
        <v>1.575626</v>
      </c>
    </row>
    <row r="1219" spans="1:2" x14ac:dyDescent="0.25">
      <c r="A1219" s="5">
        <v>35345</v>
      </c>
      <c r="B1219">
        <v>1.5858239999999999</v>
      </c>
    </row>
    <row r="1220" spans="1:2" x14ac:dyDescent="0.25">
      <c r="A1220" s="5">
        <v>35346</v>
      </c>
      <c r="B1220">
        <v>1.555229</v>
      </c>
    </row>
    <row r="1221" spans="1:2" x14ac:dyDescent="0.25">
      <c r="A1221" s="5">
        <v>35347</v>
      </c>
      <c r="B1221">
        <v>1.5297339999999999</v>
      </c>
    </row>
    <row r="1222" spans="1:2" x14ac:dyDescent="0.25">
      <c r="A1222" s="5">
        <v>35348</v>
      </c>
      <c r="B1222">
        <v>1.545032</v>
      </c>
    </row>
    <row r="1223" spans="1:2" x14ac:dyDescent="0.25">
      <c r="A1223" s="5">
        <v>35349</v>
      </c>
      <c r="B1223">
        <v>1.6878059999999999</v>
      </c>
    </row>
    <row r="1224" spans="1:2" x14ac:dyDescent="0.25">
      <c r="A1224" s="5">
        <v>35352</v>
      </c>
      <c r="B1224">
        <v>1.5858239999999999</v>
      </c>
    </row>
    <row r="1225" spans="1:2" x14ac:dyDescent="0.25">
      <c r="A1225" s="5">
        <v>35353</v>
      </c>
      <c r="B1225">
        <v>1.555229</v>
      </c>
    </row>
    <row r="1226" spans="1:2" x14ac:dyDescent="0.25">
      <c r="A1226" s="5">
        <v>35354</v>
      </c>
      <c r="B1226">
        <v>1.5399309999999999</v>
      </c>
    </row>
    <row r="1227" spans="1:2" x14ac:dyDescent="0.25">
      <c r="A1227" s="5">
        <v>35355</v>
      </c>
      <c r="B1227">
        <v>1.5297339999999999</v>
      </c>
    </row>
    <row r="1228" spans="1:2" x14ac:dyDescent="0.25">
      <c r="A1228" s="5">
        <v>35356</v>
      </c>
      <c r="B1228">
        <v>1.5093369999999999</v>
      </c>
    </row>
    <row r="1229" spans="1:2" x14ac:dyDescent="0.25">
      <c r="A1229" s="5">
        <v>35359</v>
      </c>
      <c r="B1229">
        <v>1.4787429999999999</v>
      </c>
    </row>
    <row r="1230" spans="1:2" x14ac:dyDescent="0.25">
      <c r="A1230" s="5">
        <v>35360</v>
      </c>
      <c r="B1230">
        <v>1.5348329999999999</v>
      </c>
    </row>
    <row r="1231" spans="1:2" x14ac:dyDescent="0.25">
      <c r="A1231" s="5">
        <v>35361</v>
      </c>
      <c r="B1231">
        <v>1.545032</v>
      </c>
    </row>
    <row r="1232" spans="1:2" x14ac:dyDescent="0.25">
      <c r="A1232" s="5">
        <v>35362</v>
      </c>
      <c r="B1232">
        <v>1.5093369999999999</v>
      </c>
    </row>
    <row r="1233" spans="1:2" x14ac:dyDescent="0.25">
      <c r="A1233" s="5">
        <v>35363</v>
      </c>
      <c r="B1233">
        <v>1.5195350000000001</v>
      </c>
    </row>
    <row r="1234" spans="1:2" x14ac:dyDescent="0.25">
      <c r="A1234" s="5">
        <v>35366</v>
      </c>
      <c r="B1234">
        <v>1.524634</v>
      </c>
    </row>
    <row r="1235" spans="1:2" x14ac:dyDescent="0.25">
      <c r="A1235" s="5">
        <v>35367</v>
      </c>
      <c r="B1235">
        <v>1.5399309999999999</v>
      </c>
    </row>
    <row r="1236" spans="1:2" x14ac:dyDescent="0.25">
      <c r="A1236" s="5">
        <v>35368</v>
      </c>
      <c r="B1236">
        <v>1.5603279999999999</v>
      </c>
    </row>
    <row r="1237" spans="1:2" x14ac:dyDescent="0.25">
      <c r="A1237" s="5">
        <v>35369</v>
      </c>
      <c r="B1237">
        <v>1.621518</v>
      </c>
    </row>
    <row r="1238" spans="1:2" x14ac:dyDescent="0.25">
      <c r="A1238" s="5">
        <v>35370</v>
      </c>
      <c r="B1238">
        <v>1.6368149999999999</v>
      </c>
    </row>
    <row r="1239" spans="1:2" x14ac:dyDescent="0.25">
      <c r="A1239" s="5">
        <v>35373</v>
      </c>
      <c r="B1239">
        <v>1.596023</v>
      </c>
    </row>
    <row r="1240" spans="1:2" x14ac:dyDescent="0.25">
      <c r="A1240" s="5">
        <v>35374</v>
      </c>
      <c r="B1240">
        <v>1.60622</v>
      </c>
    </row>
    <row r="1241" spans="1:2" x14ac:dyDescent="0.25">
      <c r="A1241" s="5">
        <v>35375</v>
      </c>
      <c r="B1241">
        <v>1.6317159999999999</v>
      </c>
    </row>
    <row r="1242" spans="1:2" x14ac:dyDescent="0.25">
      <c r="A1242" s="5">
        <v>35376</v>
      </c>
      <c r="B1242">
        <v>1.6980040000000001</v>
      </c>
    </row>
    <row r="1243" spans="1:2" x14ac:dyDescent="0.25">
      <c r="A1243" s="5">
        <v>35377</v>
      </c>
      <c r="B1243">
        <v>1.733698</v>
      </c>
    </row>
    <row r="1244" spans="1:2" x14ac:dyDescent="0.25">
      <c r="A1244" s="5">
        <v>35380</v>
      </c>
      <c r="B1244">
        <v>1.825482</v>
      </c>
    </row>
    <row r="1245" spans="1:2" x14ac:dyDescent="0.25">
      <c r="A1245" s="5">
        <v>35381</v>
      </c>
      <c r="B1245">
        <v>1.7795909999999999</v>
      </c>
    </row>
    <row r="1246" spans="1:2" x14ac:dyDescent="0.25">
      <c r="A1246" s="5">
        <v>35382</v>
      </c>
      <c r="B1246">
        <v>1.784689</v>
      </c>
    </row>
    <row r="1247" spans="1:2" x14ac:dyDescent="0.25">
      <c r="A1247" s="5">
        <v>35383</v>
      </c>
      <c r="B1247">
        <v>1.8764719999999999</v>
      </c>
    </row>
    <row r="1248" spans="1:2" x14ac:dyDescent="0.25">
      <c r="A1248" s="5">
        <v>35384</v>
      </c>
      <c r="B1248">
        <v>1.784689</v>
      </c>
    </row>
    <row r="1249" spans="1:2" x14ac:dyDescent="0.25">
      <c r="A1249" s="5">
        <v>35387</v>
      </c>
      <c r="B1249">
        <v>1.7082029999999999</v>
      </c>
    </row>
    <row r="1250" spans="1:2" x14ac:dyDescent="0.25">
      <c r="A1250" s="5">
        <v>35388</v>
      </c>
      <c r="B1250">
        <v>1.733698</v>
      </c>
    </row>
    <row r="1251" spans="1:2" x14ac:dyDescent="0.25">
      <c r="A1251" s="5">
        <v>35389</v>
      </c>
      <c r="B1251">
        <v>1.6725080000000001</v>
      </c>
    </row>
    <row r="1252" spans="1:2" x14ac:dyDescent="0.25">
      <c r="A1252" s="5">
        <v>35390</v>
      </c>
      <c r="B1252">
        <v>1.677608</v>
      </c>
    </row>
    <row r="1253" spans="1:2" x14ac:dyDescent="0.25">
      <c r="A1253" s="5">
        <v>35391</v>
      </c>
      <c r="B1253">
        <v>1.703104</v>
      </c>
    </row>
    <row r="1254" spans="1:2" x14ac:dyDescent="0.25">
      <c r="A1254" s="5">
        <v>35394</v>
      </c>
      <c r="B1254">
        <v>1.7133020000000001</v>
      </c>
    </row>
    <row r="1255" spans="1:2" x14ac:dyDescent="0.25">
      <c r="A1255" s="5">
        <v>35395</v>
      </c>
      <c r="B1255">
        <v>1.677608</v>
      </c>
    </row>
    <row r="1256" spans="1:2" x14ac:dyDescent="0.25">
      <c r="A1256" s="5">
        <v>35396</v>
      </c>
      <c r="B1256">
        <v>1.748996</v>
      </c>
    </row>
    <row r="1257" spans="1:2" x14ac:dyDescent="0.25">
      <c r="A1257" s="5">
        <v>35398</v>
      </c>
      <c r="B1257">
        <v>1.7133020000000001</v>
      </c>
    </row>
    <row r="1258" spans="1:2" x14ac:dyDescent="0.25">
      <c r="A1258" s="5">
        <v>35401</v>
      </c>
      <c r="B1258">
        <v>1.718402</v>
      </c>
    </row>
    <row r="1259" spans="1:2" x14ac:dyDescent="0.25">
      <c r="A1259" s="5">
        <v>35402</v>
      </c>
      <c r="B1259">
        <v>1.6113189999999999</v>
      </c>
    </row>
    <row r="1260" spans="1:2" x14ac:dyDescent="0.25">
      <c r="A1260" s="5">
        <v>35403</v>
      </c>
      <c r="B1260">
        <v>1.6164190000000001</v>
      </c>
    </row>
    <row r="1261" spans="1:2" x14ac:dyDescent="0.25">
      <c r="A1261" s="5">
        <v>35404</v>
      </c>
      <c r="B1261">
        <v>1.596023</v>
      </c>
    </row>
    <row r="1262" spans="1:2" x14ac:dyDescent="0.25">
      <c r="A1262" s="5">
        <v>35405</v>
      </c>
      <c r="B1262">
        <v>1.652112</v>
      </c>
    </row>
    <row r="1263" spans="1:2" x14ac:dyDescent="0.25">
      <c r="A1263" s="5">
        <v>35408</v>
      </c>
      <c r="B1263">
        <v>1.6419140000000001</v>
      </c>
    </row>
    <row r="1264" spans="1:2" x14ac:dyDescent="0.25">
      <c r="A1264" s="5">
        <v>35409</v>
      </c>
      <c r="B1264">
        <v>1.6113189999999999</v>
      </c>
    </row>
    <row r="1265" spans="1:2" x14ac:dyDescent="0.25">
      <c r="A1265" s="5">
        <v>35410</v>
      </c>
      <c r="B1265">
        <v>1.6164190000000001</v>
      </c>
    </row>
    <row r="1266" spans="1:2" x14ac:dyDescent="0.25">
      <c r="A1266" s="5">
        <v>35411</v>
      </c>
      <c r="B1266">
        <v>1.596023</v>
      </c>
    </row>
    <row r="1267" spans="1:2" x14ac:dyDescent="0.25">
      <c r="A1267" s="5">
        <v>35412</v>
      </c>
      <c r="B1267">
        <v>1.6113189999999999</v>
      </c>
    </row>
    <row r="1268" spans="1:2" x14ac:dyDescent="0.25">
      <c r="A1268" s="5">
        <v>35415</v>
      </c>
      <c r="B1268">
        <v>1.5858239999999999</v>
      </c>
    </row>
    <row r="1269" spans="1:2" x14ac:dyDescent="0.25">
      <c r="A1269" s="5">
        <v>35416</v>
      </c>
      <c r="B1269">
        <v>1.60622</v>
      </c>
    </row>
    <row r="1270" spans="1:2" x14ac:dyDescent="0.25">
      <c r="A1270" s="5">
        <v>35417</v>
      </c>
      <c r="B1270">
        <v>1.626617</v>
      </c>
    </row>
    <row r="1271" spans="1:2" x14ac:dyDescent="0.25">
      <c r="A1271" s="5">
        <v>35418</v>
      </c>
      <c r="B1271">
        <v>1.66231</v>
      </c>
    </row>
    <row r="1272" spans="1:2" x14ac:dyDescent="0.25">
      <c r="A1272" s="5">
        <v>35419</v>
      </c>
      <c r="B1272">
        <v>1.6317159999999999</v>
      </c>
    </row>
    <row r="1273" spans="1:2" x14ac:dyDescent="0.25">
      <c r="A1273" s="5">
        <v>35422</v>
      </c>
      <c r="B1273">
        <v>1.6368149999999999</v>
      </c>
    </row>
    <row r="1274" spans="1:2" x14ac:dyDescent="0.25">
      <c r="A1274" s="5">
        <v>35423</v>
      </c>
      <c r="B1274">
        <v>1.657211</v>
      </c>
    </row>
    <row r="1275" spans="1:2" x14ac:dyDescent="0.25">
      <c r="A1275" s="5">
        <v>35425</v>
      </c>
      <c r="B1275">
        <v>1.652112</v>
      </c>
    </row>
    <row r="1276" spans="1:2" x14ac:dyDescent="0.25">
      <c r="A1276" s="5">
        <v>35426</v>
      </c>
      <c r="B1276">
        <v>1.652112</v>
      </c>
    </row>
    <row r="1277" spans="1:2" x14ac:dyDescent="0.25">
      <c r="A1277" s="5">
        <v>35429</v>
      </c>
      <c r="B1277">
        <v>1.652112</v>
      </c>
    </row>
    <row r="1278" spans="1:2" x14ac:dyDescent="0.25">
      <c r="A1278" s="5">
        <v>35430</v>
      </c>
      <c r="B1278">
        <v>1.626617</v>
      </c>
    </row>
    <row r="1279" spans="1:2" x14ac:dyDescent="0.25">
      <c r="A1279" s="5">
        <v>35432</v>
      </c>
      <c r="B1279">
        <v>1.60622</v>
      </c>
    </row>
    <row r="1280" spans="1:2" x14ac:dyDescent="0.25">
      <c r="A1280" s="5">
        <v>35433</v>
      </c>
      <c r="B1280">
        <v>1.626617</v>
      </c>
    </row>
    <row r="1281" spans="1:2" x14ac:dyDescent="0.25">
      <c r="A1281" s="5">
        <v>35436</v>
      </c>
      <c r="B1281">
        <v>1.621518</v>
      </c>
    </row>
    <row r="1282" spans="1:2" x14ac:dyDescent="0.25">
      <c r="A1282" s="5">
        <v>35437</v>
      </c>
      <c r="B1282">
        <v>1.66231</v>
      </c>
    </row>
    <row r="1283" spans="1:2" x14ac:dyDescent="0.25">
      <c r="A1283" s="5">
        <v>35438</v>
      </c>
      <c r="B1283">
        <v>1.677608</v>
      </c>
    </row>
    <row r="1284" spans="1:2" x14ac:dyDescent="0.25">
      <c r="A1284" s="5">
        <v>35439</v>
      </c>
      <c r="B1284">
        <v>1.718402</v>
      </c>
    </row>
    <row r="1285" spans="1:2" x14ac:dyDescent="0.25">
      <c r="A1285" s="5">
        <v>35440</v>
      </c>
      <c r="B1285">
        <v>1.8152839999999999</v>
      </c>
    </row>
    <row r="1286" spans="1:2" x14ac:dyDescent="0.25">
      <c r="A1286" s="5">
        <v>35443</v>
      </c>
      <c r="B1286">
        <v>1.7795909999999999</v>
      </c>
    </row>
    <row r="1287" spans="1:2" x14ac:dyDescent="0.25">
      <c r="A1287" s="5">
        <v>35444</v>
      </c>
      <c r="B1287">
        <v>1.881572</v>
      </c>
    </row>
    <row r="1288" spans="1:2" x14ac:dyDescent="0.25">
      <c r="A1288" s="5">
        <v>35445</v>
      </c>
      <c r="B1288">
        <v>1.8866719999999999</v>
      </c>
    </row>
    <row r="1289" spans="1:2" x14ac:dyDescent="0.25">
      <c r="A1289" s="5">
        <v>35446</v>
      </c>
      <c r="B1289">
        <v>2.0192480000000002</v>
      </c>
    </row>
    <row r="1290" spans="1:2" x14ac:dyDescent="0.25">
      <c r="A1290" s="5">
        <v>35447</v>
      </c>
      <c r="B1290">
        <v>1.998853</v>
      </c>
    </row>
    <row r="1291" spans="1:2" x14ac:dyDescent="0.25">
      <c r="A1291" s="5">
        <v>35450</v>
      </c>
      <c r="B1291">
        <v>2.1416270000000002</v>
      </c>
    </row>
    <row r="1292" spans="1:2" x14ac:dyDescent="0.25">
      <c r="A1292" s="5">
        <v>35451</v>
      </c>
      <c r="B1292">
        <v>2.314997</v>
      </c>
    </row>
    <row r="1293" spans="1:2" x14ac:dyDescent="0.25">
      <c r="A1293" s="5">
        <v>35452</v>
      </c>
      <c r="B1293">
        <v>2.4067799999999999</v>
      </c>
    </row>
    <row r="1294" spans="1:2" x14ac:dyDescent="0.25">
      <c r="A1294" s="5">
        <v>35453</v>
      </c>
      <c r="B1294">
        <v>2.350692</v>
      </c>
    </row>
    <row r="1295" spans="1:2" x14ac:dyDescent="0.25">
      <c r="A1295" s="5">
        <v>35454</v>
      </c>
      <c r="B1295">
        <v>2.2793040000000002</v>
      </c>
    </row>
    <row r="1296" spans="1:2" x14ac:dyDescent="0.25">
      <c r="A1296" s="5">
        <v>35457</v>
      </c>
      <c r="B1296">
        <v>2.192618</v>
      </c>
    </row>
    <row r="1297" spans="1:2" x14ac:dyDescent="0.25">
      <c r="A1297" s="5">
        <v>35458</v>
      </c>
      <c r="B1297">
        <v>2.2232129999999999</v>
      </c>
    </row>
    <row r="1298" spans="1:2" x14ac:dyDescent="0.25">
      <c r="A1298" s="5">
        <v>35459</v>
      </c>
      <c r="B1298">
        <v>2.207916</v>
      </c>
    </row>
    <row r="1299" spans="1:2" x14ac:dyDescent="0.25">
      <c r="A1299" s="5">
        <v>35460</v>
      </c>
      <c r="B1299">
        <v>2.2742049999999998</v>
      </c>
    </row>
    <row r="1300" spans="1:2" x14ac:dyDescent="0.25">
      <c r="A1300" s="5">
        <v>35461</v>
      </c>
      <c r="B1300">
        <v>2.2844030000000002</v>
      </c>
    </row>
    <row r="1301" spans="1:2" x14ac:dyDescent="0.25">
      <c r="A1301" s="5">
        <v>35464</v>
      </c>
      <c r="B1301">
        <v>2.2844030000000002</v>
      </c>
    </row>
    <row r="1302" spans="1:2" x14ac:dyDescent="0.25">
      <c r="A1302" s="5">
        <v>35465</v>
      </c>
      <c r="B1302">
        <v>2.2793040000000002</v>
      </c>
    </row>
    <row r="1303" spans="1:2" x14ac:dyDescent="0.25">
      <c r="A1303" s="5">
        <v>35466</v>
      </c>
      <c r="B1303">
        <v>2.2130139999999998</v>
      </c>
    </row>
    <row r="1304" spans="1:2" x14ac:dyDescent="0.25">
      <c r="A1304" s="5">
        <v>35467</v>
      </c>
      <c r="B1304">
        <v>2.2436090000000002</v>
      </c>
    </row>
    <row r="1305" spans="1:2" x14ac:dyDescent="0.25">
      <c r="A1305" s="5">
        <v>35468</v>
      </c>
      <c r="B1305">
        <v>2.3659889999999999</v>
      </c>
    </row>
    <row r="1306" spans="1:2" x14ac:dyDescent="0.25">
      <c r="A1306" s="5">
        <v>35471</v>
      </c>
      <c r="B1306">
        <v>2.3608899999999999</v>
      </c>
    </row>
    <row r="1307" spans="1:2" x14ac:dyDescent="0.25">
      <c r="A1307" s="5">
        <v>35472</v>
      </c>
      <c r="B1307">
        <v>2.3659889999999999</v>
      </c>
    </row>
    <row r="1308" spans="1:2" x14ac:dyDescent="0.25">
      <c r="A1308" s="5">
        <v>35473</v>
      </c>
      <c r="B1308">
        <v>2.575053</v>
      </c>
    </row>
    <row r="1309" spans="1:2" x14ac:dyDescent="0.25">
      <c r="A1309" s="5">
        <v>35474</v>
      </c>
      <c r="B1309">
        <v>2.5036649999999998</v>
      </c>
    </row>
    <row r="1310" spans="1:2" x14ac:dyDescent="0.25">
      <c r="A1310" s="5">
        <v>35475</v>
      </c>
      <c r="B1310">
        <v>2.442475</v>
      </c>
    </row>
    <row r="1311" spans="1:2" x14ac:dyDescent="0.25">
      <c r="A1311" s="5">
        <v>35479</v>
      </c>
      <c r="B1311">
        <v>2.396582</v>
      </c>
    </row>
    <row r="1312" spans="1:2" x14ac:dyDescent="0.25">
      <c r="A1312" s="5">
        <v>35480</v>
      </c>
      <c r="B1312">
        <v>2.373637</v>
      </c>
    </row>
    <row r="1313" spans="1:2" x14ac:dyDescent="0.25">
      <c r="A1313" s="5">
        <v>35481</v>
      </c>
      <c r="B1313">
        <v>2.289501</v>
      </c>
    </row>
    <row r="1314" spans="1:2" x14ac:dyDescent="0.25">
      <c r="A1314" s="5">
        <v>35482</v>
      </c>
      <c r="B1314">
        <v>2.2232129999999999</v>
      </c>
    </row>
    <row r="1315" spans="1:2" x14ac:dyDescent="0.25">
      <c r="A1315" s="5">
        <v>35485</v>
      </c>
      <c r="B1315">
        <v>2.228313</v>
      </c>
    </row>
    <row r="1316" spans="1:2" x14ac:dyDescent="0.25">
      <c r="A1316" s="5">
        <v>35486</v>
      </c>
      <c r="B1316">
        <v>2.3404929999999999</v>
      </c>
    </row>
    <row r="1317" spans="1:2" x14ac:dyDescent="0.25">
      <c r="A1317" s="5">
        <v>35487</v>
      </c>
      <c r="B1317">
        <v>2.330295</v>
      </c>
    </row>
    <row r="1318" spans="1:2" x14ac:dyDescent="0.25">
      <c r="A1318" s="5">
        <v>35488</v>
      </c>
      <c r="B1318">
        <v>2.2997000000000001</v>
      </c>
    </row>
    <row r="1319" spans="1:2" x14ac:dyDescent="0.25">
      <c r="A1319" s="5">
        <v>35489</v>
      </c>
      <c r="B1319">
        <v>2.271655</v>
      </c>
    </row>
    <row r="1320" spans="1:2" x14ac:dyDescent="0.25">
      <c r="A1320" s="5">
        <v>35492</v>
      </c>
      <c r="B1320">
        <v>2.314997</v>
      </c>
    </row>
    <row r="1321" spans="1:2" x14ac:dyDescent="0.25">
      <c r="A1321" s="5">
        <v>35493</v>
      </c>
      <c r="B1321">
        <v>2.3863850000000002</v>
      </c>
    </row>
    <row r="1322" spans="1:2" x14ac:dyDescent="0.25">
      <c r="A1322" s="5">
        <v>35494</v>
      </c>
      <c r="B1322">
        <v>2.554656</v>
      </c>
    </row>
    <row r="1323" spans="1:2" x14ac:dyDescent="0.25">
      <c r="A1323" s="5">
        <v>35495</v>
      </c>
      <c r="B1323">
        <v>2.422078</v>
      </c>
    </row>
    <row r="1324" spans="1:2" x14ac:dyDescent="0.25">
      <c r="A1324" s="5">
        <v>35496</v>
      </c>
      <c r="B1324">
        <v>2.396582</v>
      </c>
    </row>
    <row r="1325" spans="1:2" x14ac:dyDescent="0.25">
      <c r="A1325" s="5">
        <v>35499</v>
      </c>
      <c r="B1325">
        <v>2.4271780000000001</v>
      </c>
    </row>
    <row r="1326" spans="1:2" x14ac:dyDescent="0.25">
      <c r="A1326" s="5">
        <v>35500</v>
      </c>
      <c r="B1326">
        <v>2.4322759999999999</v>
      </c>
    </row>
    <row r="1327" spans="1:2" x14ac:dyDescent="0.25">
      <c r="A1327" s="5">
        <v>35501</v>
      </c>
      <c r="B1327">
        <v>2.3914840000000002</v>
      </c>
    </row>
    <row r="1328" spans="1:2" x14ac:dyDescent="0.25">
      <c r="A1328" s="5">
        <v>35502</v>
      </c>
      <c r="B1328">
        <v>2.41188</v>
      </c>
    </row>
    <row r="1329" spans="1:2" x14ac:dyDescent="0.25">
      <c r="A1329" s="5">
        <v>35503</v>
      </c>
      <c r="B1329">
        <v>2.41188</v>
      </c>
    </row>
    <row r="1330" spans="1:2" x14ac:dyDescent="0.25">
      <c r="A1330" s="5">
        <v>35506</v>
      </c>
      <c r="B1330">
        <v>2.3557890000000001</v>
      </c>
    </row>
    <row r="1331" spans="1:2" x14ac:dyDescent="0.25">
      <c r="A1331" s="5">
        <v>35507</v>
      </c>
      <c r="B1331">
        <v>2.2997000000000001</v>
      </c>
    </row>
    <row r="1332" spans="1:2" x14ac:dyDescent="0.25">
      <c r="A1332" s="5">
        <v>35508</v>
      </c>
      <c r="B1332">
        <v>2.2053660000000002</v>
      </c>
    </row>
    <row r="1333" spans="1:2" x14ac:dyDescent="0.25">
      <c r="A1333" s="5">
        <v>35509</v>
      </c>
      <c r="B1333">
        <v>2.2997000000000001</v>
      </c>
    </row>
    <row r="1334" spans="1:2" x14ac:dyDescent="0.25">
      <c r="A1334" s="5">
        <v>35510</v>
      </c>
      <c r="B1334">
        <v>2.3251949999999999</v>
      </c>
    </row>
    <row r="1335" spans="1:2" x14ac:dyDescent="0.25">
      <c r="A1335" s="5">
        <v>35513</v>
      </c>
      <c r="B1335">
        <v>2.3761860000000001</v>
      </c>
    </row>
    <row r="1336" spans="1:2" x14ac:dyDescent="0.25">
      <c r="A1336" s="5">
        <v>35514</v>
      </c>
      <c r="B1336">
        <v>2.4271780000000001</v>
      </c>
    </row>
    <row r="1337" spans="1:2" x14ac:dyDescent="0.25">
      <c r="A1337" s="5">
        <v>35515</v>
      </c>
      <c r="B1337">
        <v>2.4985650000000001</v>
      </c>
    </row>
    <row r="1338" spans="1:2" x14ac:dyDescent="0.25">
      <c r="A1338" s="5">
        <v>35516</v>
      </c>
      <c r="B1338">
        <v>2.442475</v>
      </c>
    </row>
    <row r="1339" spans="1:2" x14ac:dyDescent="0.25">
      <c r="A1339" s="5">
        <v>35520</v>
      </c>
      <c r="B1339">
        <v>2.2997000000000001</v>
      </c>
    </row>
    <row r="1340" spans="1:2" x14ac:dyDescent="0.25">
      <c r="A1340" s="5">
        <v>35521</v>
      </c>
      <c r="B1340">
        <v>2.4144299999999999</v>
      </c>
    </row>
    <row r="1341" spans="1:2" x14ac:dyDescent="0.25">
      <c r="A1341" s="5">
        <v>35522</v>
      </c>
      <c r="B1341">
        <v>2.3073480000000002</v>
      </c>
    </row>
    <row r="1342" spans="1:2" x14ac:dyDescent="0.25">
      <c r="A1342" s="5">
        <v>35523</v>
      </c>
      <c r="B1342">
        <v>2.3404929999999999</v>
      </c>
    </row>
    <row r="1343" spans="1:2" x14ac:dyDescent="0.25">
      <c r="A1343" s="5">
        <v>35524</v>
      </c>
      <c r="B1343">
        <v>2.4016820000000001</v>
      </c>
    </row>
    <row r="1344" spans="1:2" x14ac:dyDescent="0.25">
      <c r="A1344" s="5">
        <v>35527</v>
      </c>
      <c r="B1344">
        <v>2.4526729999999999</v>
      </c>
    </row>
    <row r="1345" spans="1:2" x14ac:dyDescent="0.25">
      <c r="A1345" s="5">
        <v>35528</v>
      </c>
      <c r="B1345">
        <v>2.335394</v>
      </c>
    </row>
    <row r="1346" spans="1:2" x14ac:dyDescent="0.25">
      <c r="A1346" s="5">
        <v>35529</v>
      </c>
      <c r="B1346">
        <v>2.3251949999999999</v>
      </c>
    </row>
    <row r="1347" spans="1:2" x14ac:dyDescent="0.25">
      <c r="A1347" s="5">
        <v>35530</v>
      </c>
      <c r="B1347">
        <v>2.2946</v>
      </c>
    </row>
    <row r="1348" spans="1:2" x14ac:dyDescent="0.25">
      <c r="A1348" s="5">
        <v>35531</v>
      </c>
      <c r="B1348">
        <v>2.1977180000000001</v>
      </c>
    </row>
    <row r="1349" spans="1:2" x14ac:dyDescent="0.25">
      <c r="A1349" s="5">
        <v>35534</v>
      </c>
      <c r="B1349">
        <v>2.2232129999999999</v>
      </c>
    </row>
    <row r="1350" spans="1:2" x14ac:dyDescent="0.25">
      <c r="A1350" s="5">
        <v>35535</v>
      </c>
      <c r="B1350">
        <v>2.228313</v>
      </c>
    </row>
    <row r="1351" spans="1:2" x14ac:dyDescent="0.25">
      <c r="A1351" s="5">
        <v>35536</v>
      </c>
      <c r="B1351">
        <v>2.0651419999999998</v>
      </c>
    </row>
    <row r="1352" spans="1:2" x14ac:dyDescent="0.25">
      <c r="A1352" s="5">
        <v>35537</v>
      </c>
      <c r="B1352">
        <v>2.116133</v>
      </c>
    </row>
    <row r="1353" spans="1:2" x14ac:dyDescent="0.25">
      <c r="A1353" s="5">
        <v>35538</v>
      </c>
      <c r="B1353">
        <v>1.9682580000000001</v>
      </c>
    </row>
    <row r="1354" spans="1:2" x14ac:dyDescent="0.25">
      <c r="A1354" s="5">
        <v>35541</v>
      </c>
      <c r="B1354">
        <v>1.856077</v>
      </c>
    </row>
    <row r="1355" spans="1:2" x14ac:dyDescent="0.25">
      <c r="A1355" s="5">
        <v>35542</v>
      </c>
      <c r="B1355">
        <v>1.7285999999999999</v>
      </c>
    </row>
    <row r="1356" spans="1:2" x14ac:dyDescent="0.25">
      <c r="A1356" s="5">
        <v>35543</v>
      </c>
      <c r="B1356">
        <v>1.825482</v>
      </c>
    </row>
    <row r="1357" spans="1:2" x14ac:dyDescent="0.25">
      <c r="A1357" s="5">
        <v>35544</v>
      </c>
      <c r="B1357">
        <v>1.754095</v>
      </c>
    </row>
    <row r="1358" spans="1:2" x14ac:dyDescent="0.25">
      <c r="A1358" s="5">
        <v>35545</v>
      </c>
      <c r="B1358">
        <v>1.8407800000000001</v>
      </c>
    </row>
    <row r="1359" spans="1:2" x14ac:dyDescent="0.25">
      <c r="A1359" s="5">
        <v>35548</v>
      </c>
      <c r="B1359">
        <v>1.8331310000000001</v>
      </c>
    </row>
    <row r="1360" spans="1:2" x14ac:dyDescent="0.25">
      <c r="A1360" s="5">
        <v>35549</v>
      </c>
      <c r="B1360">
        <v>1.845879</v>
      </c>
    </row>
    <row r="1361" spans="1:2" x14ac:dyDescent="0.25">
      <c r="A1361" s="5">
        <v>35550</v>
      </c>
      <c r="B1361">
        <v>1.907068</v>
      </c>
    </row>
    <row r="1362" spans="1:2" x14ac:dyDescent="0.25">
      <c r="A1362" s="5">
        <v>35551</v>
      </c>
      <c r="B1362">
        <v>1.998853</v>
      </c>
    </row>
    <row r="1363" spans="1:2" x14ac:dyDescent="0.25">
      <c r="A1363" s="5">
        <v>35552</v>
      </c>
      <c r="B1363">
        <v>2.0192480000000002</v>
      </c>
    </row>
    <row r="1364" spans="1:2" x14ac:dyDescent="0.25">
      <c r="A1364" s="5">
        <v>35555</v>
      </c>
      <c r="B1364">
        <v>2.1773210000000001</v>
      </c>
    </row>
    <row r="1365" spans="1:2" x14ac:dyDescent="0.25">
      <c r="A1365" s="5">
        <v>35556</v>
      </c>
      <c r="B1365">
        <v>2.121232</v>
      </c>
    </row>
    <row r="1366" spans="1:2" x14ac:dyDescent="0.25">
      <c r="A1366" s="5">
        <v>35557</v>
      </c>
      <c r="B1366">
        <v>2.1314289999999998</v>
      </c>
    </row>
    <row r="1367" spans="1:2" x14ac:dyDescent="0.25">
      <c r="A1367" s="5">
        <v>35558</v>
      </c>
      <c r="B1367">
        <v>2.1110329999999999</v>
      </c>
    </row>
    <row r="1368" spans="1:2" x14ac:dyDescent="0.25">
      <c r="A1368" s="5">
        <v>35559</v>
      </c>
      <c r="B1368">
        <v>2.0957349999999999</v>
      </c>
    </row>
    <row r="1369" spans="1:2" x14ac:dyDescent="0.25">
      <c r="A1369" s="5">
        <v>35562</v>
      </c>
      <c r="B1369">
        <v>2.060041</v>
      </c>
    </row>
    <row r="1370" spans="1:2" x14ac:dyDescent="0.25">
      <c r="A1370" s="5">
        <v>35563</v>
      </c>
      <c r="B1370">
        <v>2.0702400000000001</v>
      </c>
    </row>
    <row r="1371" spans="1:2" x14ac:dyDescent="0.25">
      <c r="A1371" s="5">
        <v>35564</v>
      </c>
      <c r="B1371">
        <v>2.054942</v>
      </c>
    </row>
    <row r="1372" spans="1:2" x14ac:dyDescent="0.25">
      <c r="A1372" s="5">
        <v>35565</v>
      </c>
      <c r="B1372">
        <v>2.0447440000000001</v>
      </c>
    </row>
    <row r="1373" spans="1:2" x14ac:dyDescent="0.25">
      <c r="A1373" s="5">
        <v>35566</v>
      </c>
      <c r="B1373">
        <v>2.024349</v>
      </c>
    </row>
    <row r="1374" spans="1:2" x14ac:dyDescent="0.25">
      <c r="A1374" s="5">
        <v>35569</v>
      </c>
      <c r="B1374">
        <v>2.0574919999999999</v>
      </c>
    </row>
    <row r="1375" spans="1:2" x14ac:dyDescent="0.25">
      <c r="A1375" s="5">
        <v>35570</v>
      </c>
      <c r="B1375">
        <v>2.1416270000000002</v>
      </c>
    </row>
    <row r="1376" spans="1:2" x14ac:dyDescent="0.25">
      <c r="A1376" s="5">
        <v>35571</v>
      </c>
      <c r="B1376">
        <v>2.1518250000000001</v>
      </c>
    </row>
    <row r="1377" spans="1:2" x14ac:dyDescent="0.25">
      <c r="A1377" s="5">
        <v>35572</v>
      </c>
      <c r="B1377">
        <v>2.1543749999999999</v>
      </c>
    </row>
    <row r="1378" spans="1:2" x14ac:dyDescent="0.25">
      <c r="A1378" s="5">
        <v>35573</v>
      </c>
      <c r="B1378">
        <v>2.2946</v>
      </c>
    </row>
    <row r="1379" spans="1:2" x14ac:dyDescent="0.25">
      <c r="A1379" s="5">
        <v>35577</v>
      </c>
      <c r="B1379">
        <v>2.2844030000000002</v>
      </c>
    </row>
    <row r="1380" spans="1:2" x14ac:dyDescent="0.25">
      <c r="A1380" s="5">
        <v>35578</v>
      </c>
      <c r="B1380">
        <v>2.2436090000000002</v>
      </c>
    </row>
    <row r="1381" spans="1:2" x14ac:dyDescent="0.25">
      <c r="A1381" s="5">
        <v>35579</v>
      </c>
      <c r="B1381">
        <v>2.1773210000000001</v>
      </c>
    </row>
    <row r="1382" spans="1:2" x14ac:dyDescent="0.25">
      <c r="A1382" s="5">
        <v>35580</v>
      </c>
      <c r="B1382">
        <v>1.9682580000000001</v>
      </c>
    </row>
    <row r="1383" spans="1:2" x14ac:dyDescent="0.25">
      <c r="A1383" s="5">
        <v>35583</v>
      </c>
      <c r="B1383">
        <v>1.9351130000000001</v>
      </c>
    </row>
    <row r="1384" spans="1:2" x14ac:dyDescent="0.25">
      <c r="A1384" s="5">
        <v>35584</v>
      </c>
      <c r="B1384">
        <v>1.899419</v>
      </c>
    </row>
    <row r="1385" spans="1:2" x14ac:dyDescent="0.25">
      <c r="A1385" s="5">
        <v>35585</v>
      </c>
      <c r="B1385">
        <v>1.901969</v>
      </c>
    </row>
    <row r="1386" spans="1:2" x14ac:dyDescent="0.25">
      <c r="A1386" s="5">
        <v>35586</v>
      </c>
      <c r="B1386">
        <v>1.9555100000000001</v>
      </c>
    </row>
    <row r="1387" spans="1:2" x14ac:dyDescent="0.25">
      <c r="A1387" s="5">
        <v>35587</v>
      </c>
      <c r="B1387">
        <v>1.9045190000000001</v>
      </c>
    </row>
    <row r="1388" spans="1:2" x14ac:dyDescent="0.25">
      <c r="A1388" s="5">
        <v>35590</v>
      </c>
      <c r="B1388">
        <v>1.983555</v>
      </c>
    </row>
    <row r="1389" spans="1:2" x14ac:dyDescent="0.25">
      <c r="A1389" s="5">
        <v>35591</v>
      </c>
      <c r="B1389">
        <v>1.901969</v>
      </c>
    </row>
    <row r="1390" spans="1:2" x14ac:dyDescent="0.25">
      <c r="A1390" s="5">
        <v>35592</v>
      </c>
      <c r="B1390">
        <v>1.9325639999999999</v>
      </c>
    </row>
    <row r="1391" spans="1:2" x14ac:dyDescent="0.25">
      <c r="A1391" s="5">
        <v>35593</v>
      </c>
      <c r="B1391">
        <v>1.9249160000000001</v>
      </c>
    </row>
    <row r="1392" spans="1:2" x14ac:dyDescent="0.25">
      <c r="A1392" s="5">
        <v>35594</v>
      </c>
      <c r="B1392">
        <v>1.965708</v>
      </c>
    </row>
    <row r="1393" spans="1:2" x14ac:dyDescent="0.25">
      <c r="A1393" s="5">
        <v>35597</v>
      </c>
      <c r="B1393">
        <v>1.937662</v>
      </c>
    </row>
    <row r="1394" spans="1:2" x14ac:dyDescent="0.25">
      <c r="A1394" s="5">
        <v>35598</v>
      </c>
      <c r="B1394">
        <v>1.973357</v>
      </c>
    </row>
    <row r="1395" spans="1:2" x14ac:dyDescent="0.25">
      <c r="A1395" s="5">
        <v>35599</v>
      </c>
      <c r="B1395">
        <v>1.958059</v>
      </c>
    </row>
    <row r="1396" spans="1:2" x14ac:dyDescent="0.25">
      <c r="A1396" s="5">
        <v>35600</v>
      </c>
      <c r="B1396">
        <v>2.0090509999999999</v>
      </c>
    </row>
    <row r="1397" spans="1:2" x14ac:dyDescent="0.25">
      <c r="A1397" s="5">
        <v>35601</v>
      </c>
      <c r="B1397">
        <v>2.0294469999999998</v>
      </c>
    </row>
    <row r="1398" spans="1:2" x14ac:dyDescent="0.25">
      <c r="A1398" s="5">
        <v>35604</v>
      </c>
      <c r="B1398">
        <v>1.9886539999999999</v>
      </c>
    </row>
    <row r="1399" spans="1:2" x14ac:dyDescent="0.25">
      <c r="A1399" s="5">
        <v>35605</v>
      </c>
      <c r="B1399">
        <v>2.0396450000000002</v>
      </c>
    </row>
    <row r="1400" spans="1:2" x14ac:dyDescent="0.25">
      <c r="A1400" s="5">
        <v>35606</v>
      </c>
      <c r="B1400">
        <v>2.0345460000000002</v>
      </c>
    </row>
    <row r="1401" spans="1:2" x14ac:dyDescent="0.25">
      <c r="A1401" s="5">
        <v>35607</v>
      </c>
      <c r="B1401">
        <v>2.001401</v>
      </c>
    </row>
    <row r="1402" spans="1:2" x14ac:dyDescent="0.25">
      <c r="A1402" s="5">
        <v>35608</v>
      </c>
      <c r="B1402">
        <v>2.0702400000000001</v>
      </c>
    </row>
    <row r="1403" spans="1:2" x14ac:dyDescent="0.25">
      <c r="A1403" s="5">
        <v>35611</v>
      </c>
      <c r="B1403">
        <v>2.0753379999999999</v>
      </c>
    </row>
    <row r="1404" spans="1:2" x14ac:dyDescent="0.25">
      <c r="A1404" s="5">
        <v>35612</v>
      </c>
      <c r="B1404">
        <v>2.105934</v>
      </c>
    </row>
    <row r="1405" spans="1:2" x14ac:dyDescent="0.25">
      <c r="A1405" s="5">
        <v>35613</v>
      </c>
      <c r="B1405">
        <v>2.2104650000000001</v>
      </c>
    </row>
    <row r="1406" spans="1:2" x14ac:dyDescent="0.25">
      <c r="A1406" s="5">
        <v>35614</v>
      </c>
      <c r="B1406">
        <v>2.207916</v>
      </c>
    </row>
    <row r="1407" spans="1:2" x14ac:dyDescent="0.25">
      <c r="A1407" s="5">
        <v>35618</v>
      </c>
      <c r="B1407">
        <v>2.2232129999999999</v>
      </c>
    </row>
    <row r="1408" spans="1:2" x14ac:dyDescent="0.25">
      <c r="A1408" s="5">
        <v>35619</v>
      </c>
      <c r="B1408">
        <v>2.1416270000000002</v>
      </c>
    </row>
    <row r="1409" spans="1:2" x14ac:dyDescent="0.25">
      <c r="A1409" s="5">
        <v>35620</v>
      </c>
      <c r="B1409">
        <v>2.167122</v>
      </c>
    </row>
    <row r="1410" spans="1:2" x14ac:dyDescent="0.25">
      <c r="A1410" s="5">
        <v>35621</v>
      </c>
      <c r="B1410">
        <v>2.207916</v>
      </c>
    </row>
    <row r="1411" spans="1:2" x14ac:dyDescent="0.25">
      <c r="A1411" s="5">
        <v>35622</v>
      </c>
      <c r="B1411">
        <v>2.2334109999999998</v>
      </c>
    </row>
    <row r="1412" spans="1:2" x14ac:dyDescent="0.25">
      <c r="A1412" s="5">
        <v>35625</v>
      </c>
      <c r="B1412">
        <v>2.3124470000000001</v>
      </c>
    </row>
    <row r="1413" spans="1:2" x14ac:dyDescent="0.25">
      <c r="A1413" s="5">
        <v>35626</v>
      </c>
      <c r="B1413">
        <v>2.2589070000000002</v>
      </c>
    </row>
    <row r="1414" spans="1:2" x14ac:dyDescent="0.25">
      <c r="A1414" s="5">
        <v>35627</v>
      </c>
      <c r="B1414">
        <v>2.19007</v>
      </c>
    </row>
    <row r="1415" spans="1:2" x14ac:dyDescent="0.25">
      <c r="A1415" s="5">
        <v>35628</v>
      </c>
      <c r="B1415">
        <v>2.139078</v>
      </c>
    </row>
    <row r="1416" spans="1:2" x14ac:dyDescent="0.25">
      <c r="A1416" s="5">
        <v>35629</v>
      </c>
      <c r="B1416">
        <v>2.1645729999999999</v>
      </c>
    </row>
    <row r="1417" spans="1:2" x14ac:dyDescent="0.25">
      <c r="A1417" s="5">
        <v>35632</v>
      </c>
      <c r="B1417">
        <v>2.1875200000000001</v>
      </c>
    </row>
    <row r="1418" spans="1:2" x14ac:dyDescent="0.25">
      <c r="A1418" s="5">
        <v>35633</v>
      </c>
      <c r="B1418">
        <v>2.105934</v>
      </c>
    </row>
    <row r="1419" spans="1:2" x14ac:dyDescent="0.25">
      <c r="A1419" s="5">
        <v>35634</v>
      </c>
      <c r="B1419">
        <v>1.95296</v>
      </c>
    </row>
    <row r="1420" spans="1:2" x14ac:dyDescent="0.25">
      <c r="A1420" s="5">
        <v>35635</v>
      </c>
      <c r="B1420">
        <v>1.884123</v>
      </c>
    </row>
    <row r="1421" spans="1:2" x14ac:dyDescent="0.25">
      <c r="A1421" s="5">
        <v>35636</v>
      </c>
      <c r="B1421">
        <v>1.8866719999999999</v>
      </c>
    </row>
    <row r="1422" spans="1:2" x14ac:dyDescent="0.25">
      <c r="A1422" s="5">
        <v>35639</v>
      </c>
      <c r="B1422">
        <v>1.9478599999999999</v>
      </c>
    </row>
    <row r="1423" spans="1:2" x14ac:dyDescent="0.25">
      <c r="A1423" s="5">
        <v>35640</v>
      </c>
      <c r="B1423">
        <v>1.8968700000000001</v>
      </c>
    </row>
    <row r="1424" spans="1:2" x14ac:dyDescent="0.25">
      <c r="A1424" s="5">
        <v>35641</v>
      </c>
      <c r="B1424">
        <v>1.889221</v>
      </c>
    </row>
    <row r="1425" spans="1:2" x14ac:dyDescent="0.25">
      <c r="A1425" s="5">
        <v>35642</v>
      </c>
      <c r="B1425">
        <v>1.8866719999999999</v>
      </c>
    </row>
    <row r="1426" spans="1:2" x14ac:dyDescent="0.25">
      <c r="A1426" s="5">
        <v>35643</v>
      </c>
      <c r="B1426">
        <v>1.9325639999999999</v>
      </c>
    </row>
    <row r="1427" spans="1:2" x14ac:dyDescent="0.25">
      <c r="A1427" s="5">
        <v>35646</v>
      </c>
      <c r="B1427">
        <v>1.95296</v>
      </c>
    </row>
    <row r="1428" spans="1:2" x14ac:dyDescent="0.25">
      <c r="A1428" s="5">
        <v>35647</v>
      </c>
      <c r="B1428">
        <v>1.95296</v>
      </c>
    </row>
    <row r="1429" spans="1:2" x14ac:dyDescent="0.25">
      <c r="A1429" s="5">
        <v>35648</v>
      </c>
      <c r="B1429">
        <v>1.95296</v>
      </c>
    </row>
    <row r="1430" spans="1:2" x14ac:dyDescent="0.25">
      <c r="A1430" s="5">
        <v>35649</v>
      </c>
      <c r="B1430">
        <v>1.907068</v>
      </c>
    </row>
    <row r="1431" spans="1:2" x14ac:dyDescent="0.25">
      <c r="A1431" s="5">
        <v>35650</v>
      </c>
      <c r="B1431">
        <v>1.881572</v>
      </c>
    </row>
    <row r="1432" spans="1:2" x14ac:dyDescent="0.25">
      <c r="A1432" s="5">
        <v>35653</v>
      </c>
      <c r="B1432">
        <v>1.850978</v>
      </c>
    </row>
    <row r="1433" spans="1:2" x14ac:dyDescent="0.25">
      <c r="A1433" s="5">
        <v>35654</v>
      </c>
      <c r="B1433">
        <v>1.8764719999999999</v>
      </c>
    </row>
    <row r="1434" spans="1:2" x14ac:dyDescent="0.25">
      <c r="A1434" s="5">
        <v>35655</v>
      </c>
      <c r="B1434">
        <v>1.8866719999999999</v>
      </c>
    </row>
    <row r="1435" spans="1:2" x14ac:dyDescent="0.25">
      <c r="A1435" s="5">
        <v>35656</v>
      </c>
      <c r="B1435">
        <v>1.879024</v>
      </c>
    </row>
    <row r="1436" spans="1:2" x14ac:dyDescent="0.25">
      <c r="A1436" s="5">
        <v>35657</v>
      </c>
      <c r="B1436">
        <v>1.83823</v>
      </c>
    </row>
    <row r="1437" spans="1:2" x14ac:dyDescent="0.25">
      <c r="A1437" s="5">
        <v>35660</v>
      </c>
      <c r="B1437">
        <v>1.7872380000000001</v>
      </c>
    </row>
    <row r="1438" spans="1:2" x14ac:dyDescent="0.25">
      <c r="A1438" s="5">
        <v>35661</v>
      </c>
      <c r="B1438">
        <v>1.9045190000000001</v>
      </c>
    </row>
    <row r="1439" spans="1:2" x14ac:dyDescent="0.25">
      <c r="A1439" s="5">
        <v>35662</v>
      </c>
      <c r="B1439">
        <v>1.9325639999999999</v>
      </c>
    </row>
    <row r="1440" spans="1:2" x14ac:dyDescent="0.25">
      <c r="A1440" s="5">
        <v>35663</v>
      </c>
      <c r="B1440">
        <v>1.9096169999999999</v>
      </c>
    </row>
    <row r="1441" spans="1:2" x14ac:dyDescent="0.25">
      <c r="A1441" s="5">
        <v>35664</v>
      </c>
      <c r="B1441">
        <v>1.8866719999999999</v>
      </c>
    </row>
    <row r="1442" spans="1:2" x14ac:dyDescent="0.25">
      <c r="A1442" s="5">
        <v>35667</v>
      </c>
      <c r="B1442">
        <v>1.8968700000000001</v>
      </c>
    </row>
    <row r="1443" spans="1:2" x14ac:dyDescent="0.25">
      <c r="A1443" s="5">
        <v>35668</v>
      </c>
      <c r="B1443">
        <v>1.879024</v>
      </c>
    </row>
    <row r="1444" spans="1:2" x14ac:dyDescent="0.25">
      <c r="A1444" s="5">
        <v>35669</v>
      </c>
      <c r="B1444">
        <v>1.881572</v>
      </c>
    </row>
    <row r="1445" spans="1:2" x14ac:dyDescent="0.25">
      <c r="A1445" s="5">
        <v>35670</v>
      </c>
      <c r="B1445">
        <v>1.866276</v>
      </c>
    </row>
    <row r="1446" spans="1:2" x14ac:dyDescent="0.25">
      <c r="A1446" s="5">
        <v>35671</v>
      </c>
      <c r="B1446">
        <v>1.8866719999999999</v>
      </c>
    </row>
    <row r="1447" spans="1:2" x14ac:dyDescent="0.25">
      <c r="A1447" s="5">
        <v>35675</v>
      </c>
      <c r="B1447">
        <v>1.958059</v>
      </c>
    </row>
    <row r="1448" spans="1:2" x14ac:dyDescent="0.25">
      <c r="A1448" s="5">
        <v>35676</v>
      </c>
      <c r="B1448">
        <v>1.986103</v>
      </c>
    </row>
    <row r="1449" spans="1:2" x14ac:dyDescent="0.25">
      <c r="A1449" s="5">
        <v>35677</v>
      </c>
      <c r="B1449">
        <v>1.963158</v>
      </c>
    </row>
    <row r="1450" spans="1:2" x14ac:dyDescent="0.25">
      <c r="A1450" s="5">
        <v>35678</v>
      </c>
      <c r="B1450">
        <v>2.0370949999999999</v>
      </c>
    </row>
    <row r="1451" spans="1:2" x14ac:dyDescent="0.25">
      <c r="A1451" s="5">
        <v>35681</v>
      </c>
      <c r="B1451">
        <v>2.1008339999999999</v>
      </c>
    </row>
    <row r="1452" spans="1:2" x14ac:dyDescent="0.25">
      <c r="A1452" s="5">
        <v>35682</v>
      </c>
      <c r="B1452">
        <v>2.0727890000000002</v>
      </c>
    </row>
    <row r="1453" spans="1:2" x14ac:dyDescent="0.25">
      <c r="A1453" s="5">
        <v>35683</v>
      </c>
      <c r="B1453">
        <v>2.080438</v>
      </c>
    </row>
    <row r="1454" spans="1:2" x14ac:dyDescent="0.25">
      <c r="A1454" s="5">
        <v>35684</v>
      </c>
      <c r="B1454">
        <v>2.1365289999999999</v>
      </c>
    </row>
    <row r="1455" spans="1:2" x14ac:dyDescent="0.25">
      <c r="A1455" s="5">
        <v>35685</v>
      </c>
      <c r="B1455">
        <v>2.128879</v>
      </c>
    </row>
    <row r="1456" spans="1:2" x14ac:dyDescent="0.25">
      <c r="A1456" s="5">
        <v>35688</v>
      </c>
      <c r="B1456">
        <v>2.0702400000000001</v>
      </c>
    </row>
    <row r="1457" spans="1:2" x14ac:dyDescent="0.25">
      <c r="A1457" s="5">
        <v>35689</v>
      </c>
      <c r="B1457">
        <v>2.1110329999999999</v>
      </c>
    </row>
    <row r="1458" spans="1:2" x14ac:dyDescent="0.25">
      <c r="A1458" s="5">
        <v>35690</v>
      </c>
      <c r="B1458">
        <v>2.1084830000000001</v>
      </c>
    </row>
    <row r="1459" spans="1:2" x14ac:dyDescent="0.25">
      <c r="A1459" s="5">
        <v>35691</v>
      </c>
      <c r="B1459">
        <v>2.167122</v>
      </c>
    </row>
    <row r="1460" spans="1:2" x14ac:dyDescent="0.25">
      <c r="A1460" s="5">
        <v>35692</v>
      </c>
      <c r="B1460">
        <v>2.2181139999999999</v>
      </c>
    </row>
    <row r="1461" spans="1:2" x14ac:dyDescent="0.25">
      <c r="A1461" s="5">
        <v>35695</v>
      </c>
      <c r="B1461">
        <v>2.2793040000000002</v>
      </c>
    </row>
    <row r="1462" spans="1:2" x14ac:dyDescent="0.25">
      <c r="A1462" s="5">
        <v>35696</v>
      </c>
      <c r="B1462">
        <v>2.2844030000000002</v>
      </c>
    </row>
    <row r="1463" spans="1:2" x14ac:dyDescent="0.25">
      <c r="A1463" s="5">
        <v>35697</v>
      </c>
      <c r="B1463">
        <v>2.2946</v>
      </c>
    </row>
    <row r="1464" spans="1:2" x14ac:dyDescent="0.25">
      <c r="A1464" s="5">
        <v>35698</v>
      </c>
      <c r="B1464">
        <v>2.2538079999999998</v>
      </c>
    </row>
    <row r="1465" spans="1:2" x14ac:dyDescent="0.25">
      <c r="A1465" s="5">
        <v>35699</v>
      </c>
      <c r="B1465">
        <v>2.2869519999999999</v>
      </c>
    </row>
    <row r="1466" spans="1:2" x14ac:dyDescent="0.25">
      <c r="A1466" s="5">
        <v>35702</v>
      </c>
      <c r="B1466">
        <v>2.5138639999999999</v>
      </c>
    </row>
    <row r="1467" spans="1:2" x14ac:dyDescent="0.25">
      <c r="A1467" s="5">
        <v>35703</v>
      </c>
      <c r="B1467">
        <v>2.597998</v>
      </c>
    </row>
    <row r="1468" spans="1:2" x14ac:dyDescent="0.25">
      <c r="A1468" s="5">
        <v>35704</v>
      </c>
      <c r="B1468">
        <v>2.5291600000000001</v>
      </c>
    </row>
    <row r="1469" spans="1:2" x14ac:dyDescent="0.25">
      <c r="A1469" s="5">
        <v>35705</v>
      </c>
      <c r="B1469">
        <v>2.4934660000000002</v>
      </c>
    </row>
    <row r="1470" spans="1:2" x14ac:dyDescent="0.25">
      <c r="A1470" s="5">
        <v>35706</v>
      </c>
      <c r="B1470">
        <v>2.6311420000000001</v>
      </c>
    </row>
    <row r="1471" spans="1:2" x14ac:dyDescent="0.25">
      <c r="A1471" s="5">
        <v>35709</v>
      </c>
      <c r="B1471">
        <v>2.6056469999999998</v>
      </c>
    </row>
    <row r="1472" spans="1:2" x14ac:dyDescent="0.25">
      <c r="A1472" s="5">
        <v>35710</v>
      </c>
      <c r="B1472">
        <v>2.6158450000000002</v>
      </c>
    </row>
    <row r="1473" spans="1:2" x14ac:dyDescent="0.25">
      <c r="A1473" s="5">
        <v>35711</v>
      </c>
      <c r="B1473">
        <v>2.64134</v>
      </c>
    </row>
    <row r="1474" spans="1:2" x14ac:dyDescent="0.25">
      <c r="A1474" s="5">
        <v>35712</v>
      </c>
      <c r="B1474">
        <v>2.679583</v>
      </c>
    </row>
    <row r="1475" spans="1:2" x14ac:dyDescent="0.25">
      <c r="A1475" s="5">
        <v>35713</v>
      </c>
      <c r="B1475">
        <v>2.75352</v>
      </c>
    </row>
    <row r="1476" spans="1:2" x14ac:dyDescent="0.25">
      <c r="A1476" s="5">
        <v>35716</v>
      </c>
      <c r="B1476">
        <v>2.750972</v>
      </c>
    </row>
    <row r="1477" spans="1:2" x14ac:dyDescent="0.25">
      <c r="A1477" s="5">
        <v>35717</v>
      </c>
      <c r="B1477">
        <v>2.722925</v>
      </c>
    </row>
    <row r="1478" spans="1:2" x14ac:dyDescent="0.25">
      <c r="A1478" s="5">
        <v>35718</v>
      </c>
      <c r="B1478">
        <v>2.7280250000000001</v>
      </c>
    </row>
    <row r="1479" spans="1:2" x14ac:dyDescent="0.25">
      <c r="A1479" s="5">
        <v>35719</v>
      </c>
      <c r="B1479">
        <v>2.6438890000000002</v>
      </c>
    </row>
    <row r="1480" spans="1:2" x14ac:dyDescent="0.25">
      <c r="A1480" s="5">
        <v>35720</v>
      </c>
      <c r="B1480">
        <v>2.5087630000000001</v>
      </c>
    </row>
    <row r="1481" spans="1:2" x14ac:dyDescent="0.25">
      <c r="A1481" s="5">
        <v>35723</v>
      </c>
      <c r="B1481">
        <v>2.6056469999999998</v>
      </c>
    </row>
    <row r="1482" spans="1:2" x14ac:dyDescent="0.25">
      <c r="A1482" s="5">
        <v>35724</v>
      </c>
      <c r="B1482">
        <v>2.608196</v>
      </c>
    </row>
    <row r="1483" spans="1:2" x14ac:dyDescent="0.25">
      <c r="A1483" s="5">
        <v>35725</v>
      </c>
      <c r="B1483">
        <v>2.5852499999999998</v>
      </c>
    </row>
    <row r="1484" spans="1:2" x14ac:dyDescent="0.25">
      <c r="A1484" s="5">
        <v>35726</v>
      </c>
      <c r="B1484">
        <v>2.5036649999999998</v>
      </c>
    </row>
    <row r="1485" spans="1:2" x14ac:dyDescent="0.25">
      <c r="A1485" s="5">
        <v>35727</v>
      </c>
      <c r="B1485">
        <v>2.416979</v>
      </c>
    </row>
    <row r="1486" spans="1:2" x14ac:dyDescent="0.25">
      <c r="A1486" s="5">
        <v>35730</v>
      </c>
      <c r="B1486">
        <v>2.2436090000000002</v>
      </c>
    </row>
    <row r="1487" spans="1:2" x14ac:dyDescent="0.25">
      <c r="A1487" s="5">
        <v>35731</v>
      </c>
      <c r="B1487">
        <v>2.422078</v>
      </c>
    </row>
    <row r="1488" spans="1:2" x14ac:dyDescent="0.25">
      <c r="A1488" s="5">
        <v>35732</v>
      </c>
      <c r="B1488">
        <v>2.3379430000000001</v>
      </c>
    </row>
    <row r="1489" spans="1:2" x14ac:dyDescent="0.25">
      <c r="A1489" s="5">
        <v>35733</v>
      </c>
      <c r="B1489">
        <v>2.2130139999999998</v>
      </c>
    </row>
    <row r="1490" spans="1:2" x14ac:dyDescent="0.25">
      <c r="A1490" s="5">
        <v>35734</v>
      </c>
      <c r="B1490">
        <v>2.2997000000000001</v>
      </c>
    </row>
    <row r="1491" spans="1:2" x14ac:dyDescent="0.25">
      <c r="A1491" s="5">
        <v>35737</v>
      </c>
      <c r="B1491">
        <v>2.41188</v>
      </c>
    </row>
    <row r="1492" spans="1:2" x14ac:dyDescent="0.25">
      <c r="A1492" s="5">
        <v>35738</v>
      </c>
      <c r="B1492">
        <v>2.559755</v>
      </c>
    </row>
    <row r="1493" spans="1:2" x14ac:dyDescent="0.25">
      <c r="A1493" s="5">
        <v>35739</v>
      </c>
      <c r="B1493">
        <v>2.6566380000000001</v>
      </c>
    </row>
    <row r="1494" spans="1:2" x14ac:dyDescent="0.25">
      <c r="A1494" s="5">
        <v>35740</v>
      </c>
      <c r="B1494">
        <v>2.5189629999999998</v>
      </c>
    </row>
    <row r="1495" spans="1:2" x14ac:dyDescent="0.25">
      <c r="A1495" s="5">
        <v>35741</v>
      </c>
      <c r="B1495">
        <v>2.5495559999999999</v>
      </c>
    </row>
    <row r="1496" spans="1:2" x14ac:dyDescent="0.25">
      <c r="A1496" s="5">
        <v>35744</v>
      </c>
      <c r="B1496">
        <v>2.5725020000000001</v>
      </c>
    </row>
    <row r="1497" spans="1:2" x14ac:dyDescent="0.25">
      <c r="A1497" s="5">
        <v>35745</v>
      </c>
      <c r="B1497">
        <v>2.5419070000000001</v>
      </c>
    </row>
    <row r="1498" spans="1:2" x14ac:dyDescent="0.25">
      <c r="A1498" s="5">
        <v>35746</v>
      </c>
      <c r="B1498">
        <v>2.5291600000000001</v>
      </c>
    </row>
    <row r="1499" spans="1:2" x14ac:dyDescent="0.25">
      <c r="A1499" s="5">
        <v>35747</v>
      </c>
      <c r="B1499">
        <v>2.6515390000000001</v>
      </c>
    </row>
    <row r="1500" spans="1:2" x14ac:dyDescent="0.25">
      <c r="A1500" s="5">
        <v>35748</v>
      </c>
      <c r="B1500">
        <v>2.8478539999999999</v>
      </c>
    </row>
    <row r="1501" spans="1:2" x14ac:dyDescent="0.25">
      <c r="A1501" s="5">
        <v>35751</v>
      </c>
      <c r="B1501">
        <v>2.817259</v>
      </c>
    </row>
    <row r="1502" spans="1:2" x14ac:dyDescent="0.25">
      <c r="A1502" s="5">
        <v>35752</v>
      </c>
      <c r="B1502">
        <v>2.7841149999999999</v>
      </c>
    </row>
    <row r="1503" spans="1:2" x14ac:dyDescent="0.25">
      <c r="A1503" s="5">
        <v>35753</v>
      </c>
      <c r="B1503">
        <v>2.8019630000000002</v>
      </c>
    </row>
    <row r="1504" spans="1:2" x14ac:dyDescent="0.25">
      <c r="A1504" s="5">
        <v>35754</v>
      </c>
      <c r="B1504">
        <v>2.8962949999999998</v>
      </c>
    </row>
    <row r="1505" spans="1:2" x14ac:dyDescent="0.25">
      <c r="A1505" s="5">
        <v>35755</v>
      </c>
      <c r="B1505">
        <v>2.8402059999999998</v>
      </c>
    </row>
    <row r="1506" spans="1:2" x14ac:dyDescent="0.25">
      <c r="A1506" s="5">
        <v>35758</v>
      </c>
      <c r="B1506">
        <v>2.7331249999999998</v>
      </c>
    </row>
    <row r="1507" spans="1:2" x14ac:dyDescent="0.25">
      <c r="A1507" s="5">
        <v>35759</v>
      </c>
      <c r="B1507">
        <v>2.789215</v>
      </c>
    </row>
    <row r="1508" spans="1:2" x14ac:dyDescent="0.25">
      <c r="A1508" s="5">
        <v>35760</v>
      </c>
      <c r="B1508">
        <v>2.7866650000000002</v>
      </c>
    </row>
    <row r="1509" spans="1:2" x14ac:dyDescent="0.25">
      <c r="A1509" s="5">
        <v>35762</v>
      </c>
      <c r="B1509">
        <v>2.763719</v>
      </c>
    </row>
    <row r="1510" spans="1:2" x14ac:dyDescent="0.25">
      <c r="A1510" s="5">
        <v>35765</v>
      </c>
      <c r="B1510">
        <v>2.8911959999999999</v>
      </c>
    </row>
    <row r="1511" spans="1:2" x14ac:dyDescent="0.25">
      <c r="A1511" s="5">
        <v>35766</v>
      </c>
      <c r="B1511">
        <v>2.773917</v>
      </c>
    </row>
    <row r="1512" spans="1:2" x14ac:dyDescent="0.25">
      <c r="A1512" s="5">
        <v>35767</v>
      </c>
      <c r="B1512">
        <v>2.6744849999999998</v>
      </c>
    </row>
    <row r="1513" spans="1:2" x14ac:dyDescent="0.25">
      <c r="A1513" s="5">
        <v>35768</v>
      </c>
      <c r="B1513">
        <v>2.6311420000000001</v>
      </c>
    </row>
    <row r="1514" spans="1:2" x14ac:dyDescent="0.25">
      <c r="A1514" s="5">
        <v>35769</v>
      </c>
      <c r="B1514">
        <v>2.7331249999999998</v>
      </c>
    </row>
    <row r="1515" spans="1:2" x14ac:dyDescent="0.25">
      <c r="A1515" s="5">
        <v>35772</v>
      </c>
      <c r="B1515">
        <v>2.796862</v>
      </c>
    </row>
    <row r="1516" spans="1:2" x14ac:dyDescent="0.25">
      <c r="A1516" s="5">
        <v>35773</v>
      </c>
      <c r="B1516">
        <v>2.6566380000000001</v>
      </c>
    </row>
    <row r="1517" spans="1:2" x14ac:dyDescent="0.25">
      <c r="A1517" s="5">
        <v>35774</v>
      </c>
      <c r="B1517">
        <v>2.5495559999999999</v>
      </c>
    </row>
    <row r="1518" spans="1:2" x14ac:dyDescent="0.25">
      <c r="A1518" s="5">
        <v>35775</v>
      </c>
      <c r="B1518">
        <v>2.422078</v>
      </c>
    </row>
    <row r="1519" spans="1:2" x14ac:dyDescent="0.25">
      <c r="A1519" s="5">
        <v>35776</v>
      </c>
      <c r="B1519">
        <v>2.0676899999999998</v>
      </c>
    </row>
    <row r="1520" spans="1:2" x14ac:dyDescent="0.25">
      <c r="A1520" s="5">
        <v>35779</v>
      </c>
      <c r="B1520">
        <v>2.0753379999999999</v>
      </c>
    </row>
    <row r="1521" spans="1:2" x14ac:dyDescent="0.25">
      <c r="A1521" s="5">
        <v>35780</v>
      </c>
      <c r="B1521">
        <v>2.1416270000000002</v>
      </c>
    </row>
    <row r="1522" spans="1:2" x14ac:dyDescent="0.25">
      <c r="A1522" s="5">
        <v>35781</v>
      </c>
      <c r="B1522">
        <v>2.103383</v>
      </c>
    </row>
    <row r="1523" spans="1:2" x14ac:dyDescent="0.25">
      <c r="A1523" s="5">
        <v>35782</v>
      </c>
      <c r="B1523">
        <v>2.0039509999999998</v>
      </c>
    </row>
    <row r="1524" spans="1:2" x14ac:dyDescent="0.25">
      <c r="A1524" s="5">
        <v>35783</v>
      </c>
      <c r="B1524">
        <v>1.958059</v>
      </c>
    </row>
    <row r="1525" spans="1:2" x14ac:dyDescent="0.25">
      <c r="A1525" s="5">
        <v>35786</v>
      </c>
      <c r="B1525">
        <v>1.9759059999999999</v>
      </c>
    </row>
    <row r="1526" spans="1:2" x14ac:dyDescent="0.25">
      <c r="A1526" s="5">
        <v>35787</v>
      </c>
      <c r="B1526">
        <v>1.8968700000000001</v>
      </c>
    </row>
    <row r="1527" spans="1:2" x14ac:dyDescent="0.25">
      <c r="A1527" s="5">
        <v>35788</v>
      </c>
      <c r="B1527">
        <v>1.868824</v>
      </c>
    </row>
    <row r="1528" spans="1:2" x14ac:dyDescent="0.25">
      <c r="A1528" s="5">
        <v>35790</v>
      </c>
      <c r="B1528">
        <v>1.889221</v>
      </c>
    </row>
    <row r="1529" spans="1:2" x14ac:dyDescent="0.25">
      <c r="A1529" s="5">
        <v>35793</v>
      </c>
      <c r="B1529">
        <v>2.080438</v>
      </c>
    </row>
    <row r="1530" spans="1:2" x14ac:dyDescent="0.25">
      <c r="A1530" s="5">
        <v>35794</v>
      </c>
      <c r="B1530">
        <v>2.1365289999999999</v>
      </c>
    </row>
    <row r="1531" spans="1:2" x14ac:dyDescent="0.25">
      <c r="A1531" s="5">
        <v>35795</v>
      </c>
      <c r="B1531">
        <v>2.060041</v>
      </c>
    </row>
    <row r="1532" spans="1:2" x14ac:dyDescent="0.25">
      <c r="A1532" s="5">
        <v>35797</v>
      </c>
      <c r="B1532">
        <v>2.1135830000000002</v>
      </c>
    </row>
    <row r="1533" spans="1:2" x14ac:dyDescent="0.25">
      <c r="A1533" s="5">
        <v>35800</v>
      </c>
      <c r="B1533">
        <v>2.1365289999999999</v>
      </c>
    </row>
    <row r="1534" spans="1:2" x14ac:dyDescent="0.25">
      <c r="A1534" s="5">
        <v>35801</v>
      </c>
      <c r="B1534">
        <v>2.1186820000000002</v>
      </c>
    </row>
    <row r="1535" spans="1:2" x14ac:dyDescent="0.25">
      <c r="A1535" s="5">
        <v>35802</v>
      </c>
      <c r="B1535">
        <v>1.95296</v>
      </c>
    </row>
    <row r="1536" spans="1:2" x14ac:dyDescent="0.25">
      <c r="A1536" s="5">
        <v>35803</v>
      </c>
      <c r="B1536">
        <v>1.973357</v>
      </c>
    </row>
    <row r="1537" spans="1:2" x14ac:dyDescent="0.25">
      <c r="A1537" s="5">
        <v>35804</v>
      </c>
      <c r="B1537">
        <v>1.89432</v>
      </c>
    </row>
    <row r="1538" spans="1:2" x14ac:dyDescent="0.25">
      <c r="A1538" s="5">
        <v>35807</v>
      </c>
      <c r="B1538">
        <v>1.919815</v>
      </c>
    </row>
    <row r="1539" spans="1:2" x14ac:dyDescent="0.25">
      <c r="A1539" s="5">
        <v>35808</v>
      </c>
      <c r="B1539">
        <v>1.986103</v>
      </c>
    </row>
    <row r="1540" spans="1:2" x14ac:dyDescent="0.25">
      <c r="A1540" s="5">
        <v>35809</v>
      </c>
      <c r="B1540">
        <v>1.986103</v>
      </c>
    </row>
    <row r="1541" spans="1:2" x14ac:dyDescent="0.25">
      <c r="A1541" s="5">
        <v>35810</v>
      </c>
      <c r="B1541">
        <v>1.8764719999999999</v>
      </c>
    </row>
    <row r="1542" spans="1:2" x14ac:dyDescent="0.25">
      <c r="A1542" s="5">
        <v>35811</v>
      </c>
      <c r="B1542">
        <v>1.8764719999999999</v>
      </c>
    </row>
    <row r="1543" spans="1:2" x14ac:dyDescent="0.25">
      <c r="A1543" s="5">
        <v>35815</v>
      </c>
      <c r="B1543">
        <v>1.937662</v>
      </c>
    </row>
    <row r="1544" spans="1:2" x14ac:dyDescent="0.25">
      <c r="A1544" s="5">
        <v>35816</v>
      </c>
      <c r="B1544">
        <v>2.207916</v>
      </c>
    </row>
    <row r="1545" spans="1:2" x14ac:dyDescent="0.25">
      <c r="A1545" s="5">
        <v>35817</v>
      </c>
      <c r="B1545">
        <v>2.162023</v>
      </c>
    </row>
    <row r="1546" spans="1:2" x14ac:dyDescent="0.25">
      <c r="A1546" s="5">
        <v>35818</v>
      </c>
      <c r="B1546">
        <v>2.2206630000000001</v>
      </c>
    </row>
    <row r="1547" spans="1:2" x14ac:dyDescent="0.25">
      <c r="A1547" s="5">
        <v>35821</v>
      </c>
      <c r="B1547">
        <v>2.116133</v>
      </c>
    </row>
    <row r="1548" spans="1:2" x14ac:dyDescent="0.25">
      <c r="A1548" s="5">
        <v>35822</v>
      </c>
      <c r="B1548">
        <v>2.1416270000000002</v>
      </c>
    </row>
    <row r="1549" spans="1:2" x14ac:dyDescent="0.25">
      <c r="A1549" s="5">
        <v>35823</v>
      </c>
      <c r="B1549">
        <v>2.2002670000000002</v>
      </c>
    </row>
    <row r="1550" spans="1:2" x14ac:dyDescent="0.25">
      <c r="A1550" s="5">
        <v>35824</v>
      </c>
      <c r="B1550">
        <v>2.1951679999999998</v>
      </c>
    </row>
    <row r="1551" spans="1:2" x14ac:dyDescent="0.25">
      <c r="A1551" s="5">
        <v>35825</v>
      </c>
      <c r="B1551">
        <v>2.116133</v>
      </c>
    </row>
    <row r="1552" spans="1:2" x14ac:dyDescent="0.25">
      <c r="A1552" s="5">
        <v>35828</v>
      </c>
      <c r="B1552">
        <v>2.2946</v>
      </c>
    </row>
    <row r="1553" spans="1:2" x14ac:dyDescent="0.25">
      <c r="A1553" s="5">
        <v>35829</v>
      </c>
      <c r="B1553">
        <v>2.2844030000000002</v>
      </c>
    </row>
    <row r="1554" spans="1:2" x14ac:dyDescent="0.25">
      <c r="A1554" s="5">
        <v>35830</v>
      </c>
      <c r="B1554">
        <v>2.3277450000000002</v>
      </c>
    </row>
    <row r="1555" spans="1:2" x14ac:dyDescent="0.25">
      <c r="A1555" s="5">
        <v>35831</v>
      </c>
      <c r="B1555">
        <v>2.2946</v>
      </c>
    </row>
    <row r="1556" spans="1:2" x14ac:dyDescent="0.25">
      <c r="A1556" s="5">
        <v>35832</v>
      </c>
      <c r="B1556">
        <v>1.9478599999999999</v>
      </c>
    </row>
    <row r="1557" spans="1:2" x14ac:dyDescent="0.25">
      <c r="A1557" s="5">
        <v>35835</v>
      </c>
      <c r="B1557">
        <v>1.9453119999999999</v>
      </c>
    </row>
    <row r="1558" spans="1:2" x14ac:dyDescent="0.25">
      <c r="A1558" s="5">
        <v>35836</v>
      </c>
      <c r="B1558">
        <v>1.8917710000000001</v>
      </c>
    </row>
    <row r="1559" spans="1:2" x14ac:dyDescent="0.25">
      <c r="A1559" s="5">
        <v>35837</v>
      </c>
      <c r="B1559">
        <v>1.9274640000000001</v>
      </c>
    </row>
    <row r="1560" spans="1:2" x14ac:dyDescent="0.25">
      <c r="A1560" s="5">
        <v>35838</v>
      </c>
      <c r="B1560">
        <v>1.9427620000000001</v>
      </c>
    </row>
    <row r="1561" spans="1:2" x14ac:dyDescent="0.25">
      <c r="A1561" s="5">
        <v>35839</v>
      </c>
      <c r="B1561">
        <v>1.899419</v>
      </c>
    </row>
    <row r="1562" spans="1:2" x14ac:dyDescent="0.25">
      <c r="A1562" s="5">
        <v>35843</v>
      </c>
      <c r="B1562">
        <v>1.907068</v>
      </c>
    </row>
    <row r="1563" spans="1:2" x14ac:dyDescent="0.25">
      <c r="A1563" s="5">
        <v>35844</v>
      </c>
      <c r="B1563">
        <v>1.9351130000000001</v>
      </c>
    </row>
    <row r="1564" spans="1:2" x14ac:dyDescent="0.25">
      <c r="A1564" s="5">
        <v>35845</v>
      </c>
      <c r="B1564">
        <v>1.9274640000000001</v>
      </c>
    </row>
    <row r="1565" spans="1:2" x14ac:dyDescent="0.25">
      <c r="A1565" s="5">
        <v>35846</v>
      </c>
      <c r="B1565">
        <v>1.901969</v>
      </c>
    </row>
    <row r="1566" spans="1:2" x14ac:dyDescent="0.25">
      <c r="A1566" s="5">
        <v>35849</v>
      </c>
      <c r="B1566">
        <v>2.0957349999999999</v>
      </c>
    </row>
    <row r="1567" spans="1:2" x14ac:dyDescent="0.25">
      <c r="A1567" s="5">
        <v>35850</v>
      </c>
      <c r="B1567">
        <v>2.0472939999999999</v>
      </c>
    </row>
    <row r="1568" spans="1:2" x14ac:dyDescent="0.25">
      <c r="A1568" s="5">
        <v>35851</v>
      </c>
      <c r="B1568">
        <v>2.0753379999999999</v>
      </c>
    </row>
    <row r="1569" spans="1:2" x14ac:dyDescent="0.25">
      <c r="A1569" s="5">
        <v>35852</v>
      </c>
      <c r="B1569">
        <v>2.103383</v>
      </c>
    </row>
    <row r="1570" spans="1:2" x14ac:dyDescent="0.25">
      <c r="A1570" s="5">
        <v>35853</v>
      </c>
      <c r="B1570">
        <v>2.080438</v>
      </c>
    </row>
    <row r="1571" spans="1:2" x14ac:dyDescent="0.25">
      <c r="A1571" s="5">
        <v>35856</v>
      </c>
      <c r="B1571">
        <v>2.0217990000000001</v>
      </c>
    </row>
    <row r="1572" spans="1:2" x14ac:dyDescent="0.25">
      <c r="A1572" s="5">
        <v>35857</v>
      </c>
      <c r="B1572">
        <v>2.0103249999999999</v>
      </c>
    </row>
    <row r="1573" spans="1:2" x14ac:dyDescent="0.25">
      <c r="A1573" s="5">
        <v>35858</v>
      </c>
      <c r="B1573">
        <v>2.0116000000000001</v>
      </c>
    </row>
    <row r="1574" spans="1:2" x14ac:dyDescent="0.25">
      <c r="A1574" s="5">
        <v>35859</v>
      </c>
      <c r="B1574">
        <v>1.9427620000000001</v>
      </c>
    </row>
    <row r="1575" spans="1:2" x14ac:dyDescent="0.25">
      <c r="A1575" s="5">
        <v>35860</v>
      </c>
      <c r="B1575">
        <v>1.977182</v>
      </c>
    </row>
    <row r="1576" spans="1:2" x14ac:dyDescent="0.25">
      <c r="A1576" s="5">
        <v>35863</v>
      </c>
      <c r="B1576">
        <v>1.9427620000000001</v>
      </c>
    </row>
    <row r="1577" spans="1:2" x14ac:dyDescent="0.25">
      <c r="A1577" s="5">
        <v>35864</v>
      </c>
      <c r="B1577">
        <v>1.95296</v>
      </c>
    </row>
    <row r="1578" spans="1:2" x14ac:dyDescent="0.25">
      <c r="A1578" s="5">
        <v>35865</v>
      </c>
      <c r="B1578">
        <v>2.0141499999999999</v>
      </c>
    </row>
    <row r="1579" spans="1:2" x14ac:dyDescent="0.25">
      <c r="A1579" s="5">
        <v>35866</v>
      </c>
      <c r="B1579">
        <v>1.998853</v>
      </c>
    </row>
    <row r="1580" spans="1:2" x14ac:dyDescent="0.25">
      <c r="A1580" s="5">
        <v>35867</v>
      </c>
      <c r="B1580">
        <v>1.960609</v>
      </c>
    </row>
    <row r="1581" spans="1:2" x14ac:dyDescent="0.25">
      <c r="A1581" s="5">
        <v>35870</v>
      </c>
      <c r="B1581">
        <v>1.993754</v>
      </c>
    </row>
    <row r="1582" spans="1:2" x14ac:dyDescent="0.25">
      <c r="A1582" s="5">
        <v>35871</v>
      </c>
      <c r="B1582">
        <v>1.958059</v>
      </c>
    </row>
    <row r="1583" spans="1:2" x14ac:dyDescent="0.25">
      <c r="A1583" s="5">
        <v>35872</v>
      </c>
      <c r="B1583">
        <v>1.9810049999999999</v>
      </c>
    </row>
    <row r="1584" spans="1:2" x14ac:dyDescent="0.25">
      <c r="A1584" s="5">
        <v>35873</v>
      </c>
      <c r="B1584">
        <v>1.9810049999999999</v>
      </c>
    </row>
    <row r="1585" spans="1:2" x14ac:dyDescent="0.25">
      <c r="A1585" s="5">
        <v>35874</v>
      </c>
      <c r="B1585">
        <v>1.9478599999999999</v>
      </c>
    </row>
    <row r="1586" spans="1:2" x14ac:dyDescent="0.25">
      <c r="A1586" s="5">
        <v>35877</v>
      </c>
      <c r="B1586">
        <v>1.958059</v>
      </c>
    </row>
    <row r="1587" spans="1:2" x14ac:dyDescent="0.25">
      <c r="A1587" s="5">
        <v>35878</v>
      </c>
      <c r="B1587">
        <v>1.9427620000000001</v>
      </c>
    </row>
    <row r="1588" spans="1:2" x14ac:dyDescent="0.25">
      <c r="A1588" s="5">
        <v>35879</v>
      </c>
      <c r="B1588">
        <v>1.973357</v>
      </c>
    </row>
    <row r="1589" spans="1:2" x14ac:dyDescent="0.25">
      <c r="A1589" s="5">
        <v>35880</v>
      </c>
      <c r="B1589">
        <v>2.0065</v>
      </c>
    </row>
    <row r="1590" spans="1:2" x14ac:dyDescent="0.25">
      <c r="A1590" s="5">
        <v>35881</v>
      </c>
      <c r="B1590">
        <v>2.0370949999999999</v>
      </c>
    </row>
    <row r="1591" spans="1:2" x14ac:dyDescent="0.25">
      <c r="A1591" s="5">
        <v>35884</v>
      </c>
      <c r="B1591">
        <v>2.0217990000000001</v>
      </c>
    </row>
    <row r="1592" spans="1:2" x14ac:dyDescent="0.25">
      <c r="A1592" s="5">
        <v>35885</v>
      </c>
      <c r="B1592">
        <v>2.18242</v>
      </c>
    </row>
    <row r="1593" spans="1:2" x14ac:dyDescent="0.25">
      <c r="A1593" s="5">
        <v>35886</v>
      </c>
      <c r="B1593">
        <v>2.1849690000000002</v>
      </c>
    </row>
    <row r="1594" spans="1:2" x14ac:dyDescent="0.25">
      <c r="A1594" s="5">
        <v>35887</v>
      </c>
      <c r="B1594">
        <v>2.18242</v>
      </c>
    </row>
    <row r="1595" spans="1:2" x14ac:dyDescent="0.25">
      <c r="A1595" s="5">
        <v>35888</v>
      </c>
      <c r="B1595">
        <v>2.2742049999999998</v>
      </c>
    </row>
    <row r="1596" spans="1:2" x14ac:dyDescent="0.25">
      <c r="A1596" s="5">
        <v>35891</v>
      </c>
      <c r="B1596">
        <v>2.2257630000000002</v>
      </c>
    </row>
    <row r="1597" spans="1:2" x14ac:dyDescent="0.25">
      <c r="A1597" s="5">
        <v>35892</v>
      </c>
      <c r="B1597">
        <v>2.1773210000000001</v>
      </c>
    </row>
    <row r="1598" spans="1:2" x14ac:dyDescent="0.25">
      <c r="A1598" s="5">
        <v>35893</v>
      </c>
      <c r="B1598">
        <v>2.149276</v>
      </c>
    </row>
    <row r="1599" spans="1:2" x14ac:dyDescent="0.25">
      <c r="A1599" s="5">
        <v>35894</v>
      </c>
      <c r="B1599">
        <v>2.2002670000000002</v>
      </c>
    </row>
    <row r="1600" spans="1:2" x14ac:dyDescent="0.25">
      <c r="A1600" s="5">
        <v>35898</v>
      </c>
      <c r="B1600">
        <v>2.18242</v>
      </c>
    </row>
    <row r="1601" spans="1:2" x14ac:dyDescent="0.25">
      <c r="A1601" s="5">
        <v>35899</v>
      </c>
      <c r="B1601">
        <v>2.2334109999999998</v>
      </c>
    </row>
    <row r="1602" spans="1:2" x14ac:dyDescent="0.25">
      <c r="A1602" s="5">
        <v>35900</v>
      </c>
      <c r="B1602">
        <v>2.228313</v>
      </c>
    </row>
    <row r="1603" spans="1:2" x14ac:dyDescent="0.25">
      <c r="A1603" s="5">
        <v>35901</v>
      </c>
      <c r="B1603">
        <v>2.2793040000000002</v>
      </c>
    </row>
    <row r="1604" spans="1:2" x14ac:dyDescent="0.25">
      <c r="A1604" s="5">
        <v>35902</v>
      </c>
      <c r="B1604">
        <v>2.271655</v>
      </c>
    </row>
    <row r="1605" spans="1:2" x14ac:dyDescent="0.25">
      <c r="A1605" s="5">
        <v>35905</v>
      </c>
      <c r="B1605">
        <v>2.4016820000000001</v>
      </c>
    </row>
    <row r="1606" spans="1:2" x14ac:dyDescent="0.25">
      <c r="A1606" s="5">
        <v>35906</v>
      </c>
      <c r="B1606">
        <v>2.4373749999999998</v>
      </c>
    </row>
    <row r="1607" spans="1:2" x14ac:dyDescent="0.25">
      <c r="A1607" s="5">
        <v>35907</v>
      </c>
      <c r="B1607">
        <v>2.3557890000000001</v>
      </c>
    </row>
    <row r="1608" spans="1:2" x14ac:dyDescent="0.25">
      <c r="A1608" s="5">
        <v>35908</v>
      </c>
      <c r="B1608">
        <v>2.3022490000000002</v>
      </c>
    </row>
    <row r="1609" spans="1:2" x14ac:dyDescent="0.25">
      <c r="A1609" s="5">
        <v>35909</v>
      </c>
      <c r="B1609">
        <v>2.3124470000000001</v>
      </c>
    </row>
    <row r="1610" spans="1:2" x14ac:dyDescent="0.25">
      <c r="A1610" s="5">
        <v>35912</v>
      </c>
      <c r="B1610">
        <v>2.2308629999999998</v>
      </c>
    </row>
    <row r="1611" spans="1:2" x14ac:dyDescent="0.25">
      <c r="A1611" s="5">
        <v>35913</v>
      </c>
      <c r="B1611">
        <v>2.1977180000000001</v>
      </c>
    </row>
    <row r="1612" spans="1:2" x14ac:dyDescent="0.25">
      <c r="A1612" s="5">
        <v>35914</v>
      </c>
      <c r="B1612">
        <v>2.289501</v>
      </c>
    </row>
    <row r="1613" spans="1:2" x14ac:dyDescent="0.25">
      <c r="A1613" s="5">
        <v>35915</v>
      </c>
      <c r="B1613">
        <v>2.2946</v>
      </c>
    </row>
    <row r="1614" spans="1:2" x14ac:dyDescent="0.25">
      <c r="A1614" s="5">
        <v>35916</v>
      </c>
      <c r="B1614">
        <v>2.2691050000000001</v>
      </c>
    </row>
    <row r="1615" spans="1:2" x14ac:dyDescent="0.25">
      <c r="A1615" s="5">
        <v>35919</v>
      </c>
      <c r="B1615">
        <v>2.330295</v>
      </c>
    </row>
    <row r="1616" spans="1:2" x14ac:dyDescent="0.25">
      <c r="A1616" s="5">
        <v>35920</v>
      </c>
      <c r="B1616">
        <v>2.2946</v>
      </c>
    </row>
    <row r="1617" spans="1:2" x14ac:dyDescent="0.25">
      <c r="A1617" s="5">
        <v>35921</v>
      </c>
      <c r="B1617">
        <v>2.2742049999999998</v>
      </c>
    </row>
    <row r="1618" spans="1:2" x14ac:dyDescent="0.25">
      <c r="A1618" s="5">
        <v>35922</v>
      </c>
      <c r="B1618">
        <v>2.2589070000000002</v>
      </c>
    </row>
    <row r="1619" spans="1:2" x14ac:dyDescent="0.25">
      <c r="A1619" s="5">
        <v>35923</v>
      </c>
      <c r="B1619">
        <v>2.289501</v>
      </c>
    </row>
    <row r="1620" spans="1:2" x14ac:dyDescent="0.25">
      <c r="A1620" s="5">
        <v>35926</v>
      </c>
      <c r="B1620">
        <v>2.2359610000000001</v>
      </c>
    </row>
    <row r="1621" spans="1:2" x14ac:dyDescent="0.25">
      <c r="A1621" s="5">
        <v>35927</v>
      </c>
      <c r="B1621">
        <v>2.2308629999999998</v>
      </c>
    </row>
    <row r="1622" spans="1:2" x14ac:dyDescent="0.25">
      <c r="A1622" s="5">
        <v>35928</v>
      </c>
      <c r="B1622">
        <v>2.2869519999999999</v>
      </c>
    </row>
    <row r="1623" spans="1:2" x14ac:dyDescent="0.25">
      <c r="A1623" s="5">
        <v>35929</v>
      </c>
      <c r="B1623">
        <v>2.2589070000000002</v>
      </c>
    </row>
    <row r="1624" spans="1:2" x14ac:dyDescent="0.25">
      <c r="A1624" s="5">
        <v>35930</v>
      </c>
      <c r="B1624">
        <v>2.335394</v>
      </c>
    </row>
    <row r="1625" spans="1:2" x14ac:dyDescent="0.25">
      <c r="A1625" s="5">
        <v>35933</v>
      </c>
      <c r="B1625">
        <v>2.2869519999999999</v>
      </c>
    </row>
    <row r="1626" spans="1:2" x14ac:dyDescent="0.25">
      <c r="A1626" s="5">
        <v>35934</v>
      </c>
      <c r="B1626">
        <v>2.2946</v>
      </c>
    </row>
    <row r="1627" spans="1:2" x14ac:dyDescent="0.25">
      <c r="A1627" s="5">
        <v>35935</v>
      </c>
      <c r="B1627">
        <v>2.2512590000000001</v>
      </c>
    </row>
    <row r="1628" spans="1:2" x14ac:dyDescent="0.25">
      <c r="A1628" s="5">
        <v>35936</v>
      </c>
      <c r="B1628">
        <v>2.2614570000000001</v>
      </c>
    </row>
    <row r="1629" spans="1:2" x14ac:dyDescent="0.25">
      <c r="A1629" s="5">
        <v>35937</v>
      </c>
      <c r="B1629">
        <v>2.2601819999999999</v>
      </c>
    </row>
    <row r="1630" spans="1:2" x14ac:dyDescent="0.25">
      <c r="A1630" s="5">
        <v>35941</v>
      </c>
      <c r="B1630">
        <v>2.18242</v>
      </c>
    </row>
    <row r="1631" spans="1:2" x14ac:dyDescent="0.25">
      <c r="A1631" s="5">
        <v>35942</v>
      </c>
      <c r="B1631">
        <v>2.192618</v>
      </c>
    </row>
    <row r="1632" spans="1:2" x14ac:dyDescent="0.25">
      <c r="A1632" s="5">
        <v>35943</v>
      </c>
      <c r="B1632">
        <v>2.167122</v>
      </c>
    </row>
    <row r="1633" spans="1:2" x14ac:dyDescent="0.25">
      <c r="A1633" s="5">
        <v>35944</v>
      </c>
      <c r="B1633">
        <v>2.1263290000000001</v>
      </c>
    </row>
    <row r="1634" spans="1:2" x14ac:dyDescent="0.25">
      <c r="A1634" s="5">
        <v>35947</v>
      </c>
      <c r="B1634">
        <v>2.0523920000000002</v>
      </c>
    </row>
    <row r="1635" spans="1:2" x14ac:dyDescent="0.25">
      <c r="A1635" s="5">
        <v>35948</v>
      </c>
      <c r="B1635">
        <v>2.080438</v>
      </c>
    </row>
    <row r="1636" spans="1:2" x14ac:dyDescent="0.25">
      <c r="A1636" s="5">
        <v>35949</v>
      </c>
      <c r="B1636">
        <v>2.0498419999999999</v>
      </c>
    </row>
    <row r="1637" spans="1:2" x14ac:dyDescent="0.25">
      <c r="A1637" s="5">
        <v>35950</v>
      </c>
      <c r="B1637">
        <v>2.0906349999999998</v>
      </c>
    </row>
    <row r="1638" spans="1:2" x14ac:dyDescent="0.25">
      <c r="A1638" s="5">
        <v>35951</v>
      </c>
      <c r="B1638">
        <v>2.116133</v>
      </c>
    </row>
    <row r="1639" spans="1:2" x14ac:dyDescent="0.25">
      <c r="A1639" s="5">
        <v>35954</v>
      </c>
      <c r="B1639">
        <v>2.1110329999999999</v>
      </c>
    </row>
    <row r="1640" spans="1:2" x14ac:dyDescent="0.25">
      <c r="A1640" s="5">
        <v>35955</v>
      </c>
      <c r="B1640">
        <v>2.162023</v>
      </c>
    </row>
    <row r="1641" spans="1:2" x14ac:dyDescent="0.25">
      <c r="A1641" s="5">
        <v>35956</v>
      </c>
      <c r="B1641">
        <v>2.105934</v>
      </c>
    </row>
    <row r="1642" spans="1:2" x14ac:dyDescent="0.25">
      <c r="A1642" s="5">
        <v>35957</v>
      </c>
      <c r="B1642">
        <v>2.0039509999999998</v>
      </c>
    </row>
    <row r="1643" spans="1:2" x14ac:dyDescent="0.25">
      <c r="A1643" s="5">
        <v>35958</v>
      </c>
      <c r="B1643">
        <v>1.998853</v>
      </c>
    </row>
    <row r="1644" spans="1:2" x14ac:dyDescent="0.25">
      <c r="A1644" s="5">
        <v>35961</v>
      </c>
      <c r="B1644">
        <v>1.907068</v>
      </c>
    </row>
    <row r="1645" spans="1:2" x14ac:dyDescent="0.25">
      <c r="A1645" s="5">
        <v>35962</v>
      </c>
      <c r="B1645">
        <v>1.983555</v>
      </c>
    </row>
    <row r="1646" spans="1:2" x14ac:dyDescent="0.25">
      <c r="A1646" s="5">
        <v>35963</v>
      </c>
      <c r="B1646">
        <v>1.9963029999999999</v>
      </c>
    </row>
    <row r="1647" spans="1:2" x14ac:dyDescent="0.25">
      <c r="A1647" s="5">
        <v>35964</v>
      </c>
      <c r="B1647">
        <v>2.0090509999999999</v>
      </c>
    </row>
    <row r="1648" spans="1:2" x14ac:dyDescent="0.25">
      <c r="A1648" s="5">
        <v>35965</v>
      </c>
      <c r="B1648">
        <v>2.0090509999999999</v>
      </c>
    </row>
    <row r="1649" spans="1:2" x14ac:dyDescent="0.25">
      <c r="A1649" s="5">
        <v>35968</v>
      </c>
      <c r="B1649">
        <v>2.054942</v>
      </c>
    </row>
    <row r="1650" spans="1:2" x14ac:dyDescent="0.25">
      <c r="A1650" s="5">
        <v>35969</v>
      </c>
      <c r="B1650">
        <v>2.103383</v>
      </c>
    </row>
    <row r="1651" spans="1:2" x14ac:dyDescent="0.25">
      <c r="A1651" s="5">
        <v>35970</v>
      </c>
      <c r="B1651">
        <v>2.271655</v>
      </c>
    </row>
    <row r="1652" spans="1:2" x14ac:dyDescent="0.25">
      <c r="A1652" s="5">
        <v>35971</v>
      </c>
      <c r="B1652">
        <v>2.2997000000000001</v>
      </c>
    </row>
    <row r="1653" spans="1:2" x14ac:dyDescent="0.25">
      <c r="A1653" s="5">
        <v>35972</v>
      </c>
      <c r="B1653">
        <v>2.207916</v>
      </c>
    </row>
    <row r="1654" spans="1:2" x14ac:dyDescent="0.25">
      <c r="A1654" s="5">
        <v>35975</v>
      </c>
      <c r="B1654">
        <v>2.2818529999999999</v>
      </c>
    </row>
    <row r="1655" spans="1:2" x14ac:dyDescent="0.25">
      <c r="A1655" s="5">
        <v>35976</v>
      </c>
      <c r="B1655">
        <v>2.2920509999999998</v>
      </c>
    </row>
    <row r="1656" spans="1:2" x14ac:dyDescent="0.25">
      <c r="A1656" s="5">
        <v>35977</v>
      </c>
      <c r="B1656">
        <v>2.289501</v>
      </c>
    </row>
    <row r="1657" spans="1:2" x14ac:dyDescent="0.25">
      <c r="A1657" s="5">
        <v>35978</v>
      </c>
      <c r="B1657">
        <v>2.2181139999999999</v>
      </c>
    </row>
    <row r="1658" spans="1:2" x14ac:dyDescent="0.25">
      <c r="A1658" s="5">
        <v>35982</v>
      </c>
      <c r="B1658">
        <v>2.2436090000000002</v>
      </c>
    </row>
    <row r="1659" spans="1:2" x14ac:dyDescent="0.25">
      <c r="A1659" s="5">
        <v>35983</v>
      </c>
      <c r="B1659">
        <v>2.2104650000000001</v>
      </c>
    </row>
    <row r="1660" spans="1:2" x14ac:dyDescent="0.25">
      <c r="A1660" s="5">
        <v>35984</v>
      </c>
      <c r="B1660">
        <v>2.234686</v>
      </c>
    </row>
    <row r="1661" spans="1:2" x14ac:dyDescent="0.25">
      <c r="A1661" s="5">
        <v>35985</v>
      </c>
      <c r="B1661">
        <v>2.3226460000000002</v>
      </c>
    </row>
    <row r="1662" spans="1:2" x14ac:dyDescent="0.25">
      <c r="A1662" s="5">
        <v>35986</v>
      </c>
      <c r="B1662">
        <v>2.3047979999999999</v>
      </c>
    </row>
    <row r="1663" spans="1:2" x14ac:dyDescent="0.25">
      <c r="A1663" s="5">
        <v>35989</v>
      </c>
      <c r="B1663">
        <v>2.2818529999999999</v>
      </c>
    </row>
    <row r="1664" spans="1:2" x14ac:dyDescent="0.25">
      <c r="A1664" s="5">
        <v>35990</v>
      </c>
      <c r="B1664">
        <v>2.2997000000000001</v>
      </c>
    </row>
    <row r="1665" spans="1:2" x14ac:dyDescent="0.25">
      <c r="A1665" s="5">
        <v>35991</v>
      </c>
      <c r="B1665">
        <v>2.350692</v>
      </c>
    </row>
    <row r="1666" spans="1:2" x14ac:dyDescent="0.25">
      <c r="A1666" s="5">
        <v>35992</v>
      </c>
      <c r="B1666">
        <v>2.358339</v>
      </c>
    </row>
    <row r="1667" spans="1:2" x14ac:dyDescent="0.25">
      <c r="A1667" s="5">
        <v>35993</v>
      </c>
      <c r="B1667">
        <v>2.335394</v>
      </c>
    </row>
    <row r="1668" spans="1:2" x14ac:dyDescent="0.25">
      <c r="A1668" s="5">
        <v>35996</v>
      </c>
      <c r="B1668">
        <v>2.3098969999999999</v>
      </c>
    </row>
    <row r="1669" spans="1:2" x14ac:dyDescent="0.25">
      <c r="A1669" s="5">
        <v>35997</v>
      </c>
      <c r="B1669">
        <v>2.348141</v>
      </c>
    </row>
    <row r="1670" spans="1:2" x14ac:dyDescent="0.25">
      <c r="A1670" s="5">
        <v>35998</v>
      </c>
      <c r="B1670">
        <v>2.7382240000000002</v>
      </c>
    </row>
    <row r="1671" spans="1:2" x14ac:dyDescent="0.25">
      <c r="A1671" s="5">
        <v>35999</v>
      </c>
      <c r="B1671">
        <v>2.5801509999999999</v>
      </c>
    </row>
    <row r="1672" spans="1:2" x14ac:dyDescent="0.25">
      <c r="A1672" s="5">
        <v>36000</v>
      </c>
      <c r="B1672">
        <v>2.5699529999999999</v>
      </c>
    </row>
    <row r="1673" spans="1:2" x14ac:dyDescent="0.25">
      <c r="A1673" s="5">
        <v>36003</v>
      </c>
      <c r="B1673">
        <v>2.562303</v>
      </c>
    </row>
    <row r="1674" spans="1:2" x14ac:dyDescent="0.25">
      <c r="A1674" s="5">
        <v>36004</v>
      </c>
      <c r="B1674">
        <v>2.4883670000000002</v>
      </c>
    </row>
    <row r="1675" spans="1:2" x14ac:dyDescent="0.25">
      <c r="A1675" s="5">
        <v>36005</v>
      </c>
      <c r="B1675">
        <v>2.5011139999999998</v>
      </c>
    </row>
    <row r="1676" spans="1:2" x14ac:dyDescent="0.25">
      <c r="A1676" s="5">
        <v>36006</v>
      </c>
      <c r="B1676">
        <v>2.5317090000000002</v>
      </c>
    </row>
    <row r="1677" spans="1:2" x14ac:dyDescent="0.25">
      <c r="A1677" s="5">
        <v>36007</v>
      </c>
      <c r="B1677">
        <v>2.5431819999999998</v>
      </c>
    </row>
    <row r="1678" spans="1:2" x14ac:dyDescent="0.25">
      <c r="A1678" s="5">
        <v>36010</v>
      </c>
      <c r="B1678">
        <v>2.4858180000000001</v>
      </c>
    </row>
    <row r="1679" spans="1:2" x14ac:dyDescent="0.25">
      <c r="A1679" s="5">
        <v>36011</v>
      </c>
      <c r="B1679">
        <v>2.4067799999999999</v>
      </c>
    </row>
    <row r="1680" spans="1:2" x14ac:dyDescent="0.25">
      <c r="A1680" s="5">
        <v>36012</v>
      </c>
      <c r="B1680">
        <v>2.3761860000000001</v>
      </c>
    </row>
    <row r="1681" spans="1:2" x14ac:dyDescent="0.25">
      <c r="A1681" s="5">
        <v>36013</v>
      </c>
      <c r="B1681">
        <v>2.4195280000000001</v>
      </c>
    </row>
    <row r="1682" spans="1:2" x14ac:dyDescent="0.25">
      <c r="A1682" s="5">
        <v>36014</v>
      </c>
      <c r="B1682">
        <v>2.396582</v>
      </c>
    </row>
    <row r="1683" spans="1:2" x14ac:dyDescent="0.25">
      <c r="A1683" s="5">
        <v>36017</v>
      </c>
      <c r="B1683">
        <v>2.4042319999999999</v>
      </c>
    </row>
    <row r="1684" spans="1:2" x14ac:dyDescent="0.25">
      <c r="A1684" s="5">
        <v>36018</v>
      </c>
      <c r="B1684">
        <v>2.3098969999999999</v>
      </c>
    </row>
    <row r="1685" spans="1:2" x14ac:dyDescent="0.25">
      <c r="A1685" s="5">
        <v>36019</v>
      </c>
      <c r="B1685">
        <v>2.2436090000000002</v>
      </c>
    </row>
    <row r="1686" spans="1:2" x14ac:dyDescent="0.25">
      <c r="A1686" s="5">
        <v>36020</v>
      </c>
      <c r="B1686">
        <v>2.18242</v>
      </c>
    </row>
    <row r="1687" spans="1:2" x14ac:dyDescent="0.25">
      <c r="A1687" s="5">
        <v>36021</v>
      </c>
      <c r="B1687">
        <v>2.2232129999999999</v>
      </c>
    </row>
    <row r="1688" spans="1:2" x14ac:dyDescent="0.25">
      <c r="A1688" s="5">
        <v>36024</v>
      </c>
      <c r="B1688">
        <v>2.192618</v>
      </c>
    </row>
    <row r="1689" spans="1:2" x14ac:dyDescent="0.25">
      <c r="A1689" s="5">
        <v>36025</v>
      </c>
      <c r="B1689">
        <v>2.2844030000000002</v>
      </c>
    </row>
    <row r="1690" spans="1:2" x14ac:dyDescent="0.25">
      <c r="A1690" s="5">
        <v>36026</v>
      </c>
      <c r="B1690">
        <v>2.2691050000000001</v>
      </c>
    </row>
    <row r="1691" spans="1:2" x14ac:dyDescent="0.25">
      <c r="A1691" s="5">
        <v>36027</v>
      </c>
      <c r="B1691">
        <v>2.2640069999999999</v>
      </c>
    </row>
    <row r="1692" spans="1:2" x14ac:dyDescent="0.25">
      <c r="A1692" s="5">
        <v>36028</v>
      </c>
      <c r="B1692">
        <v>2.192618</v>
      </c>
    </row>
    <row r="1693" spans="1:2" x14ac:dyDescent="0.25">
      <c r="A1693" s="5">
        <v>36031</v>
      </c>
      <c r="B1693">
        <v>2.2028159999999999</v>
      </c>
    </row>
    <row r="1694" spans="1:2" x14ac:dyDescent="0.25">
      <c r="A1694" s="5">
        <v>36032</v>
      </c>
      <c r="B1694">
        <v>2.1773210000000001</v>
      </c>
    </row>
    <row r="1695" spans="1:2" x14ac:dyDescent="0.25">
      <c r="A1695" s="5">
        <v>36033</v>
      </c>
      <c r="B1695">
        <v>2.1008339999999999</v>
      </c>
    </row>
    <row r="1696" spans="1:2" x14ac:dyDescent="0.25">
      <c r="A1696" s="5">
        <v>36034</v>
      </c>
      <c r="B1696">
        <v>2.001401</v>
      </c>
    </row>
    <row r="1697" spans="1:2" x14ac:dyDescent="0.25">
      <c r="A1697" s="5">
        <v>36035</v>
      </c>
      <c r="B1697">
        <v>1.879024</v>
      </c>
    </row>
    <row r="1698" spans="1:2" x14ac:dyDescent="0.25">
      <c r="A1698" s="5">
        <v>36038</v>
      </c>
      <c r="B1698">
        <v>1.792338</v>
      </c>
    </row>
    <row r="1699" spans="1:2" x14ac:dyDescent="0.25">
      <c r="A1699" s="5">
        <v>36039</v>
      </c>
      <c r="B1699">
        <v>1.940212</v>
      </c>
    </row>
    <row r="1700" spans="1:2" x14ac:dyDescent="0.25">
      <c r="A1700" s="5">
        <v>36040</v>
      </c>
      <c r="B1700">
        <v>1.9274640000000001</v>
      </c>
    </row>
    <row r="1701" spans="1:2" x14ac:dyDescent="0.25">
      <c r="A1701" s="5">
        <v>36041</v>
      </c>
      <c r="B1701">
        <v>1.797437</v>
      </c>
    </row>
    <row r="1702" spans="1:2" x14ac:dyDescent="0.25">
      <c r="A1702" s="5">
        <v>36042</v>
      </c>
      <c r="B1702">
        <v>1.736248</v>
      </c>
    </row>
    <row r="1703" spans="1:2" x14ac:dyDescent="0.25">
      <c r="A1703" s="5">
        <v>36046</v>
      </c>
      <c r="B1703">
        <v>1.998853</v>
      </c>
    </row>
    <row r="1704" spans="1:2" x14ac:dyDescent="0.25">
      <c r="A1704" s="5">
        <v>36047</v>
      </c>
      <c r="B1704">
        <v>2.0192480000000002</v>
      </c>
    </row>
    <row r="1705" spans="1:2" x14ac:dyDescent="0.25">
      <c r="A1705" s="5">
        <v>36048</v>
      </c>
      <c r="B1705">
        <v>1.8152839999999999</v>
      </c>
    </row>
    <row r="1706" spans="1:2" x14ac:dyDescent="0.25">
      <c r="A1706" s="5">
        <v>36049</v>
      </c>
      <c r="B1706">
        <v>1.856077</v>
      </c>
    </row>
    <row r="1707" spans="1:2" x14ac:dyDescent="0.25">
      <c r="A1707" s="5">
        <v>36052</v>
      </c>
      <c r="B1707">
        <v>1.8866719999999999</v>
      </c>
    </row>
    <row r="1708" spans="1:2" x14ac:dyDescent="0.25">
      <c r="A1708" s="5">
        <v>36053</v>
      </c>
      <c r="B1708">
        <v>1.9453119999999999</v>
      </c>
    </row>
    <row r="1709" spans="1:2" x14ac:dyDescent="0.25">
      <c r="A1709" s="5">
        <v>36054</v>
      </c>
      <c r="B1709">
        <v>1.937662</v>
      </c>
    </row>
    <row r="1710" spans="1:2" x14ac:dyDescent="0.25">
      <c r="A1710" s="5">
        <v>36055</v>
      </c>
      <c r="B1710">
        <v>1.9172659999999999</v>
      </c>
    </row>
    <row r="1711" spans="1:2" x14ac:dyDescent="0.25">
      <c r="A1711" s="5">
        <v>36056</v>
      </c>
      <c r="B1711">
        <v>1.960609</v>
      </c>
    </row>
    <row r="1712" spans="1:2" x14ac:dyDescent="0.25">
      <c r="A1712" s="5">
        <v>36059</v>
      </c>
      <c r="B1712">
        <v>2.016699</v>
      </c>
    </row>
    <row r="1713" spans="1:2" x14ac:dyDescent="0.25">
      <c r="A1713" s="5">
        <v>36060</v>
      </c>
      <c r="B1713">
        <v>2.0574919999999999</v>
      </c>
    </row>
    <row r="1714" spans="1:2" x14ac:dyDescent="0.25">
      <c r="A1714" s="5">
        <v>36061</v>
      </c>
      <c r="B1714">
        <v>2.0931860000000002</v>
      </c>
    </row>
    <row r="1715" spans="1:2" x14ac:dyDescent="0.25">
      <c r="A1715" s="5">
        <v>36062</v>
      </c>
      <c r="B1715">
        <v>2.0097710000000002</v>
      </c>
    </row>
    <row r="1716" spans="1:2" x14ac:dyDescent="0.25">
      <c r="A1716" s="5">
        <v>36063</v>
      </c>
      <c r="B1716">
        <v>2.1270739999999999</v>
      </c>
    </row>
    <row r="1717" spans="1:2" x14ac:dyDescent="0.25">
      <c r="A1717" s="5">
        <v>36066</v>
      </c>
      <c r="B1717">
        <v>2.0436589999999999</v>
      </c>
    </row>
    <row r="1718" spans="1:2" x14ac:dyDescent="0.25">
      <c r="A1718" s="5">
        <v>36067</v>
      </c>
      <c r="B1718">
        <v>2.022805</v>
      </c>
    </row>
    <row r="1719" spans="1:2" x14ac:dyDescent="0.25">
      <c r="A1719" s="5">
        <v>36068</v>
      </c>
      <c r="B1719">
        <v>1.9993449999999999</v>
      </c>
    </row>
    <row r="1720" spans="1:2" x14ac:dyDescent="0.25">
      <c r="A1720" s="5">
        <v>36069</v>
      </c>
      <c r="B1720">
        <v>1.9367829999999999</v>
      </c>
    </row>
    <row r="1721" spans="1:2" x14ac:dyDescent="0.25">
      <c r="A1721" s="5">
        <v>36070</v>
      </c>
      <c r="B1721">
        <v>1.9863109999999999</v>
      </c>
    </row>
    <row r="1722" spans="1:2" x14ac:dyDescent="0.25">
      <c r="A1722" s="5">
        <v>36073</v>
      </c>
      <c r="B1722">
        <v>1.829909</v>
      </c>
    </row>
    <row r="1723" spans="1:2" x14ac:dyDescent="0.25">
      <c r="A1723" s="5">
        <v>36074</v>
      </c>
      <c r="B1723">
        <v>1.8429420000000001</v>
      </c>
    </row>
    <row r="1724" spans="1:2" x14ac:dyDescent="0.25">
      <c r="A1724" s="5">
        <v>36075</v>
      </c>
      <c r="B1724">
        <v>1.7882020000000001</v>
      </c>
    </row>
    <row r="1725" spans="1:2" x14ac:dyDescent="0.25">
      <c r="A1725" s="5">
        <v>36076</v>
      </c>
      <c r="B1725">
        <v>1.631799</v>
      </c>
    </row>
    <row r="1726" spans="1:2" x14ac:dyDescent="0.25">
      <c r="A1726" s="5">
        <v>36077</v>
      </c>
      <c r="B1726">
        <v>1.7073929999999999</v>
      </c>
    </row>
    <row r="1727" spans="1:2" x14ac:dyDescent="0.25">
      <c r="A1727" s="5">
        <v>36080</v>
      </c>
      <c r="B1727">
        <v>1.754313</v>
      </c>
    </row>
    <row r="1728" spans="1:2" x14ac:dyDescent="0.25">
      <c r="A1728" s="5">
        <v>36081</v>
      </c>
      <c r="B1728">
        <v>1.730853</v>
      </c>
    </row>
    <row r="1729" spans="1:2" x14ac:dyDescent="0.25">
      <c r="A1729" s="5">
        <v>36082</v>
      </c>
      <c r="B1729">
        <v>1.9002889999999999</v>
      </c>
    </row>
    <row r="1730" spans="1:2" x14ac:dyDescent="0.25">
      <c r="A1730" s="5">
        <v>36083</v>
      </c>
      <c r="B1730">
        <v>1.9967379999999999</v>
      </c>
    </row>
    <row r="1731" spans="1:2" x14ac:dyDescent="0.25">
      <c r="A1731" s="5">
        <v>36084</v>
      </c>
      <c r="B1731">
        <v>1.9810970000000001</v>
      </c>
    </row>
    <row r="1732" spans="1:2" x14ac:dyDescent="0.25">
      <c r="A1732" s="5">
        <v>36087</v>
      </c>
      <c r="B1732">
        <v>1.9810970000000001</v>
      </c>
    </row>
    <row r="1733" spans="1:2" x14ac:dyDescent="0.25">
      <c r="A1733" s="5">
        <v>36088</v>
      </c>
      <c r="B1733">
        <v>2.0592990000000002</v>
      </c>
    </row>
    <row r="1734" spans="1:2" x14ac:dyDescent="0.25">
      <c r="A1734" s="5">
        <v>36089</v>
      </c>
      <c r="B1734">
        <v>2.1583540000000001</v>
      </c>
    </row>
    <row r="1735" spans="1:2" x14ac:dyDescent="0.25">
      <c r="A1735" s="5">
        <v>36090</v>
      </c>
      <c r="B1735">
        <v>2.1348940000000001</v>
      </c>
    </row>
    <row r="1736" spans="1:2" x14ac:dyDescent="0.25">
      <c r="A1736" s="5">
        <v>36091</v>
      </c>
      <c r="B1736">
        <v>2.2626210000000002</v>
      </c>
    </row>
    <row r="1737" spans="1:2" x14ac:dyDescent="0.25">
      <c r="A1737" s="5">
        <v>36094</v>
      </c>
      <c r="B1737">
        <v>2.2730480000000002</v>
      </c>
    </row>
    <row r="1738" spans="1:2" x14ac:dyDescent="0.25">
      <c r="A1738" s="5">
        <v>36095</v>
      </c>
      <c r="B1738">
        <v>2.2391619999999999</v>
      </c>
    </row>
    <row r="1739" spans="1:2" x14ac:dyDescent="0.25">
      <c r="A1739" s="5">
        <v>36096</v>
      </c>
      <c r="B1739">
        <v>2.3069359999999999</v>
      </c>
    </row>
    <row r="1740" spans="1:2" x14ac:dyDescent="0.25">
      <c r="A1740" s="5">
        <v>36097</v>
      </c>
      <c r="B1740">
        <v>2.2834750000000001</v>
      </c>
    </row>
    <row r="1741" spans="1:2" x14ac:dyDescent="0.25">
      <c r="A1741" s="5">
        <v>36098</v>
      </c>
      <c r="B1741">
        <v>2.3199700000000001</v>
      </c>
    </row>
    <row r="1742" spans="1:2" x14ac:dyDescent="0.25">
      <c r="A1742" s="5">
        <v>36101</v>
      </c>
      <c r="B1742">
        <v>2.4320580000000001</v>
      </c>
    </row>
    <row r="1743" spans="1:2" x14ac:dyDescent="0.25">
      <c r="A1743" s="5">
        <v>36102</v>
      </c>
      <c r="B1743">
        <v>2.4033850000000001</v>
      </c>
    </row>
    <row r="1744" spans="1:2" x14ac:dyDescent="0.25">
      <c r="A1744" s="5">
        <v>36103</v>
      </c>
      <c r="B1744">
        <v>2.2939020000000001</v>
      </c>
    </row>
    <row r="1745" spans="1:2" x14ac:dyDescent="0.25">
      <c r="A1745" s="5">
        <v>36104</v>
      </c>
      <c r="B1745">
        <v>2.3616769999999998</v>
      </c>
    </row>
    <row r="1746" spans="1:2" x14ac:dyDescent="0.25">
      <c r="A1746" s="5">
        <v>36105</v>
      </c>
      <c r="B1746">
        <v>2.374711</v>
      </c>
    </row>
    <row r="1747" spans="1:2" x14ac:dyDescent="0.25">
      <c r="A1747" s="5">
        <v>36108</v>
      </c>
      <c r="B1747">
        <v>2.3616769999999998</v>
      </c>
    </row>
    <row r="1748" spans="1:2" x14ac:dyDescent="0.25">
      <c r="A1748" s="5">
        <v>36109</v>
      </c>
      <c r="B1748">
        <v>2.3721040000000002</v>
      </c>
    </row>
    <row r="1749" spans="1:2" x14ac:dyDescent="0.25">
      <c r="A1749" s="5">
        <v>36110</v>
      </c>
      <c r="B1749">
        <v>2.2860830000000001</v>
      </c>
    </row>
    <row r="1750" spans="1:2" x14ac:dyDescent="0.25">
      <c r="A1750" s="5">
        <v>36111</v>
      </c>
      <c r="B1750">
        <v>2.301723</v>
      </c>
    </row>
    <row r="1751" spans="1:2" x14ac:dyDescent="0.25">
      <c r="A1751" s="5">
        <v>36112</v>
      </c>
      <c r="B1751">
        <v>2.2886890000000002</v>
      </c>
    </row>
    <row r="1752" spans="1:2" x14ac:dyDescent="0.25">
      <c r="A1752" s="5">
        <v>36115</v>
      </c>
      <c r="B1752">
        <v>2.2626210000000002</v>
      </c>
    </row>
    <row r="1753" spans="1:2" x14ac:dyDescent="0.25">
      <c r="A1753" s="5">
        <v>36116</v>
      </c>
      <c r="B1753">
        <v>2.2965089999999999</v>
      </c>
    </row>
    <row r="1754" spans="1:2" x14ac:dyDescent="0.25">
      <c r="A1754" s="5">
        <v>36117</v>
      </c>
      <c r="B1754">
        <v>2.3955649999999999</v>
      </c>
    </row>
    <row r="1755" spans="1:2" x14ac:dyDescent="0.25">
      <c r="A1755" s="5">
        <v>36118</v>
      </c>
      <c r="B1755">
        <v>2.314756</v>
      </c>
    </row>
    <row r="1756" spans="1:2" x14ac:dyDescent="0.25">
      <c r="A1756" s="5">
        <v>36119</v>
      </c>
      <c r="B1756">
        <v>2.3095430000000001</v>
      </c>
    </row>
    <row r="1757" spans="1:2" x14ac:dyDescent="0.25">
      <c r="A1757" s="5">
        <v>36122</v>
      </c>
      <c r="B1757">
        <v>2.3616769999999998</v>
      </c>
    </row>
    <row r="1758" spans="1:2" x14ac:dyDescent="0.25">
      <c r="A1758" s="5">
        <v>36123</v>
      </c>
      <c r="B1758">
        <v>2.2912970000000001</v>
      </c>
    </row>
    <row r="1759" spans="1:2" x14ac:dyDescent="0.25">
      <c r="A1759" s="5">
        <v>36124</v>
      </c>
      <c r="B1759">
        <v>2.2939020000000001</v>
      </c>
    </row>
    <row r="1760" spans="1:2" x14ac:dyDescent="0.25">
      <c r="A1760" s="5">
        <v>36126</v>
      </c>
      <c r="B1760">
        <v>2.2912970000000001</v>
      </c>
    </row>
    <row r="1761" spans="1:2" x14ac:dyDescent="0.25">
      <c r="A1761" s="5">
        <v>36129</v>
      </c>
      <c r="B1761">
        <v>2.2886890000000002</v>
      </c>
    </row>
    <row r="1762" spans="1:2" x14ac:dyDescent="0.25">
      <c r="A1762" s="5">
        <v>36130</v>
      </c>
      <c r="B1762">
        <v>2.2600150000000001</v>
      </c>
    </row>
    <row r="1763" spans="1:2" x14ac:dyDescent="0.25">
      <c r="A1763" s="5">
        <v>36131</v>
      </c>
      <c r="B1763">
        <v>2.2521949999999999</v>
      </c>
    </row>
    <row r="1764" spans="1:2" x14ac:dyDescent="0.25">
      <c r="A1764" s="5">
        <v>36132</v>
      </c>
      <c r="B1764">
        <v>2.246982</v>
      </c>
    </row>
    <row r="1765" spans="1:2" x14ac:dyDescent="0.25">
      <c r="A1765" s="5">
        <v>36133</v>
      </c>
      <c r="B1765">
        <v>2.24959</v>
      </c>
    </row>
    <row r="1766" spans="1:2" x14ac:dyDescent="0.25">
      <c r="A1766" s="5">
        <v>36136</v>
      </c>
      <c r="B1766">
        <v>2.223522</v>
      </c>
    </row>
    <row r="1767" spans="1:2" x14ac:dyDescent="0.25">
      <c r="A1767" s="5">
        <v>36137</v>
      </c>
      <c r="B1767">
        <v>2.1062189999999998</v>
      </c>
    </row>
    <row r="1768" spans="1:2" x14ac:dyDescent="0.25">
      <c r="A1768" s="5">
        <v>36138</v>
      </c>
      <c r="B1768">
        <v>2.1375009999999999</v>
      </c>
    </row>
    <row r="1769" spans="1:2" x14ac:dyDescent="0.25">
      <c r="A1769" s="5">
        <v>36139</v>
      </c>
      <c r="B1769">
        <v>2.1427130000000001</v>
      </c>
    </row>
    <row r="1770" spans="1:2" x14ac:dyDescent="0.25">
      <c r="A1770" s="5">
        <v>36140</v>
      </c>
      <c r="B1770">
        <v>2.1766000000000001</v>
      </c>
    </row>
    <row r="1771" spans="1:2" x14ac:dyDescent="0.25">
      <c r="A1771" s="5">
        <v>36143</v>
      </c>
      <c r="B1771">
        <v>2.0488719999999998</v>
      </c>
    </row>
    <row r="1772" spans="1:2" x14ac:dyDescent="0.25">
      <c r="A1772" s="5">
        <v>36144</v>
      </c>
      <c r="B1772">
        <v>2.1557469999999999</v>
      </c>
    </row>
    <row r="1773" spans="1:2" x14ac:dyDescent="0.25">
      <c r="A1773" s="5">
        <v>36145</v>
      </c>
      <c r="B1773">
        <v>2.1687810000000001</v>
      </c>
    </row>
    <row r="1774" spans="1:2" x14ac:dyDescent="0.25">
      <c r="A1774" s="5">
        <v>36146</v>
      </c>
      <c r="B1774">
        <v>2.1844209999999999</v>
      </c>
    </row>
    <row r="1775" spans="1:2" x14ac:dyDescent="0.25">
      <c r="A1775" s="5">
        <v>36147</v>
      </c>
      <c r="B1775">
        <v>2.0931869999999999</v>
      </c>
    </row>
    <row r="1776" spans="1:2" x14ac:dyDescent="0.25">
      <c r="A1776" s="5">
        <v>36150</v>
      </c>
      <c r="B1776">
        <v>2.1479270000000001</v>
      </c>
    </row>
    <row r="1777" spans="1:2" x14ac:dyDescent="0.25">
      <c r="A1777" s="5">
        <v>36151</v>
      </c>
      <c r="B1777">
        <v>2.1218599999999999</v>
      </c>
    </row>
    <row r="1778" spans="1:2" x14ac:dyDescent="0.25">
      <c r="A1778" s="5">
        <v>36152</v>
      </c>
      <c r="B1778">
        <v>2.1531400000000001</v>
      </c>
    </row>
    <row r="1779" spans="1:2" x14ac:dyDescent="0.25">
      <c r="A1779" s="5">
        <v>36153</v>
      </c>
      <c r="B1779">
        <v>2.1296789999999999</v>
      </c>
    </row>
    <row r="1780" spans="1:2" x14ac:dyDescent="0.25">
      <c r="A1780" s="5">
        <v>36157</v>
      </c>
      <c r="B1780">
        <v>2.1635680000000002</v>
      </c>
    </row>
    <row r="1781" spans="1:2" x14ac:dyDescent="0.25">
      <c r="A1781" s="5">
        <v>36158</v>
      </c>
      <c r="B1781">
        <v>2.1557469999999999</v>
      </c>
    </row>
    <row r="1782" spans="1:2" x14ac:dyDescent="0.25">
      <c r="A1782" s="5">
        <v>36159</v>
      </c>
      <c r="B1782">
        <v>2.140107</v>
      </c>
    </row>
    <row r="1783" spans="1:2" x14ac:dyDescent="0.25">
      <c r="A1783" s="5">
        <v>36160</v>
      </c>
      <c r="B1783">
        <v>2.1609600000000002</v>
      </c>
    </row>
    <row r="1784" spans="1:2" x14ac:dyDescent="0.25">
      <c r="A1784" s="5">
        <v>36164</v>
      </c>
      <c r="B1784">
        <v>2.3121499999999999</v>
      </c>
    </row>
    <row r="1785" spans="1:2" x14ac:dyDescent="0.25">
      <c r="A1785" s="5">
        <v>36165</v>
      </c>
      <c r="B1785">
        <v>2.3825310000000002</v>
      </c>
    </row>
    <row r="1786" spans="1:2" x14ac:dyDescent="0.25">
      <c r="A1786" s="5">
        <v>36166</v>
      </c>
      <c r="B1786">
        <v>2.4789789999999998</v>
      </c>
    </row>
    <row r="1787" spans="1:2" x14ac:dyDescent="0.25">
      <c r="A1787" s="5">
        <v>36167</v>
      </c>
      <c r="B1787">
        <v>2.4998309999999999</v>
      </c>
    </row>
    <row r="1788" spans="1:2" x14ac:dyDescent="0.25">
      <c r="A1788" s="5">
        <v>36168</v>
      </c>
      <c r="B1788">
        <v>2.5128650000000001</v>
      </c>
    </row>
    <row r="1789" spans="1:2" x14ac:dyDescent="0.25">
      <c r="A1789" s="5">
        <v>36171</v>
      </c>
      <c r="B1789">
        <v>2.5858539999999999</v>
      </c>
    </row>
    <row r="1790" spans="1:2" x14ac:dyDescent="0.25">
      <c r="A1790" s="5">
        <v>36172</v>
      </c>
      <c r="B1790">
        <v>2.5389339999999998</v>
      </c>
    </row>
    <row r="1791" spans="1:2" x14ac:dyDescent="0.25">
      <c r="A1791" s="5">
        <v>36173</v>
      </c>
      <c r="B1791">
        <v>2.4555189999999998</v>
      </c>
    </row>
    <row r="1792" spans="1:2" x14ac:dyDescent="0.25">
      <c r="A1792" s="5">
        <v>36174</v>
      </c>
      <c r="B1792">
        <v>2.5258989999999999</v>
      </c>
    </row>
    <row r="1793" spans="1:2" x14ac:dyDescent="0.25">
      <c r="A1793" s="5">
        <v>36175</v>
      </c>
      <c r="B1793">
        <v>2.6640549999999998</v>
      </c>
    </row>
    <row r="1794" spans="1:2" x14ac:dyDescent="0.25">
      <c r="A1794" s="5">
        <v>36179</v>
      </c>
      <c r="B1794">
        <v>2.7735370000000001</v>
      </c>
    </row>
    <row r="1795" spans="1:2" x14ac:dyDescent="0.25">
      <c r="A1795" s="5">
        <v>36180</v>
      </c>
      <c r="B1795">
        <v>2.5858539999999999</v>
      </c>
    </row>
    <row r="1796" spans="1:2" x14ac:dyDescent="0.25">
      <c r="A1796" s="5">
        <v>36181</v>
      </c>
      <c r="B1796">
        <v>2.4815860000000001</v>
      </c>
    </row>
    <row r="1797" spans="1:2" x14ac:dyDescent="0.25">
      <c r="A1797" s="5">
        <v>36182</v>
      </c>
      <c r="B1797">
        <v>2.4607320000000001</v>
      </c>
    </row>
    <row r="1798" spans="1:2" x14ac:dyDescent="0.25">
      <c r="A1798" s="5">
        <v>36185</v>
      </c>
      <c r="B1798">
        <v>2.4242379999999999</v>
      </c>
    </row>
    <row r="1799" spans="1:2" x14ac:dyDescent="0.25">
      <c r="A1799" s="5">
        <v>36186</v>
      </c>
      <c r="B1799">
        <v>2.5024380000000002</v>
      </c>
    </row>
    <row r="1800" spans="1:2" x14ac:dyDescent="0.25">
      <c r="A1800" s="5">
        <v>36187</v>
      </c>
      <c r="B1800">
        <v>2.4659450000000001</v>
      </c>
    </row>
    <row r="1801" spans="1:2" x14ac:dyDescent="0.25">
      <c r="A1801" s="5">
        <v>36188</v>
      </c>
      <c r="B1801">
        <v>2.6849090000000002</v>
      </c>
    </row>
    <row r="1802" spans="1:2" x14ac:dyDescent="0.25">
      <c r="A1802" s="5">
        <v>36189</v>
      </c>
      <c r="B1802">
        <v>2.7448619999999999</v>
      </c>
    </row>
    <row r="1803" spans="1:2" x14ac:dyDescent="0.25">
      <c r="A1803" s="5">
        <v>36192</v>
      </c>
      <c r="B1803">
        <v>2.6432009999999999</v>
      </c>
    </row>
    <row r="1804" spans="1:2" x14ac:dyDescent="0.25">
      <c r="A1804" s="5">
        <v>36193</v>
      </c>
      <c r="B1804">
        <v>2.6119210000000002</v>
      </c>
    </row>
    <row r="1805" spans="1:2" x14ac:dyDescent="0.25">
      <c r="A1805" s="5">
        <v>36194</v>
      </c>
      <c r="B1805">
        <v>2.7787510000000002</v>
      </c>
    </row>
    <row r="1806" spans="1:2" x14ac:dyDescent="0.25">
      <c r="A1806" s="5">
        <v>36195</v>
      </c>
      <c r="B1806">
        <v>2.7292230000000002</v>
      </c>
    </row>
    <row r="1807" spans="1:2" x14ac:dyDescent="0.25">
      <c r="A1807" s="5">
        <v>36196</v>
      </c>
      <c r="B1807">
        <v>2.7969970000000002</v>
      </c>
    </row>
    <row r="1808" spans="1:2" x14ac:dyDescent="0.25">
      <c r="A1808" s="5">
        <v>36199</v>
      </c>
      <c r="B1808">
        <v>2.9090850000000001</v>
      </c>
    </row>
    <row r="1809" spans="1:2" x14ac:dyDescent="0.25">
      <c r="A1809" s="5">
        <v>36200</v>
      </c>
      <c r="B1809">
        <v>2.833491</v>
      </c>
    </row>
    <row r="1810" spans="1:2" x14ac:dyDescent="0.25">
      <c r="A1810" s="5">
        <v>36201</v>
      </c>
      <c r="B1810">
        <v>2.7735370000000001</v>
      </c>
    </row>
    <row r="1811" spans="1:2" x14ac:dyDescent="0.25">
      <c r="A1811" s="5">
        <v>36202</v>
      </c>
      <c r="B1811">
        <v>2.8413110000000001</v>
      </c>
    </row>
    <row r="1812" spans="1:2" x14ac:dyDescent="0.25">
      <c r="A1812" s="5">
        <v>36203</v>
      </c>
      <c r="B1812">
        <v>2.7917839999999998</v>
      </c>
    </row>
    <row r="1813" spans="1:2" x14ac:dyDescent="0.25">
      <c r="A1813" s="5">
        <v>36207</v>
      </c>
      <c r="B1813">
        <v>2.8100309999999999</v>
      </c>
    </row>
    <row r="1814" spans="1:2" x14ac:dyDescent="0.25">
      <c r="A1814" s="5">
        <v>36208</v>
      </c>
      <c r="B1814">
        <v>2.7135829999999999</v>
      </c>
    </row>
    <row r="1815" spans="1:2" x14ac:dyDescent="0.25">
      <c r="A1815" s="5">
        <v>36209</v>
      </c>
      <c r="B1815">
        <v>2.665359</v>
      </c>
    </row>
    <row r="1816" spans="1:2" x14ac:dyDescent="0.25">
      <c r="A1816" s="5">
        <v>36210</v>
      </c>
      <c r="B1816">
        <v>2.705762</v>
      </c>
    </row>
    <row r="1817" spans="1:2" x14ac:dyDescent="0.25">
      <c r="A1817" s="5">
        <v>36213</v>
      </c>
      <c r="B1817">
        <v>2.9768599999999998</v>
      </c>
    </row>
    <row r="1818" spans="1:2" x14ac:dyDescent="0.25">
      <c r="A1818" s="5">
        <v>36214</v>
      </c>
      <c r="B1818">
        <v>3.0707010000000001</v>
      </c>
    </row>
    <row r="1819" spans="1:2" x14ac:dyDescent="0.25">
      <c r="A1819" s="5">
        <v>36215</v>
      </c>
      <c r="B1819">
        <v>3.034208</v>
      </c>
    </row>
    <row r="1820" spans="1:2" x14ac:dyDescent="0.25">
      <c r="A1820" s="5">
        <v>36216</v>
      </c>
      <c r="B1820">
        <v>3.034208</v>
      </c>
    </row>
    <row r="1821" spans="1:2" x14ac:dyDescent="0.25">
      <c r="A1821" s="5">
        <v>36217</v>
      </c>
      <c r="B1821">
        <v>3.0446339999999998</v>
      </c>
    </row>
    <row r="1822" spans="1:2" x14ac:dyDescent="0.25">
      <c r="A1822" s="5">
        <v>36220</v>
      </c>
      <c r="B1822">
        <v>3.018567</v>
      </c>
    </row>
    <row r="1823" spans="1:2" x14ac:dyDescent="0.25">
      <c r="A1823" s="5">
        <v>36221</v>
      </c>
      <c r="B1823">
        <v>3.075914</v>
      </c>
    </row>
    <row r="1824" spans="1:2" x14ac:dyDescent="0.25">
      <c r="A1824" s="5">
        <v>36222</v>
      </c>
      <c r="B1824">
        <v>3.0498479999999999</v>
      </c>
    </row>
    <row r="1825" spans="1:2" x14ac:dyDescent="0.25">
      <c r="A1825" s="5">
        <v>36223</v>
      </c>
      <c r="B1825">
        <v>3.1045889999999998</v>
      </c>
    </row>
    <row r="1826" spans="1:2" x14ac:dyDescent="0.25">
      <c r="A1826" s="5">
        <v>36224</v>
      </c>
      <c r="B1826">
        <v>3.1932160000000001</v>
      </c>
    </row>
    <row r="1827" spans="1:2" x14ac:dyDescent="0.25">
      <c r="A1827" s="5">
        <v>36227</v>
      </c>
      <c r="B1827">
        <v>3.2427429999999999</v>
      </c>
    </row>
    <row r="1828" spans="1:2" x14ac:dyDescent="0.25">
      <c r="A1828" s="5">
        <v>36228</v>
      </c>
      <c r="B1828">
        <v>3.3261590000000001</v>
      </c>
    </row>
    <row r="1829" spans="1:2" x14ac:dyDescent="0.25">
      <c r="A1829" s="5">
        <v>36229</v>
      </c>
      <c r="B1829">
        <v>3.320945</v>
      </c>
    </row>
    <row r="1830" spans="1:2" x14ac:dyDescent="0.25">
      <c r="A1830" s="5">
        <v>36230</v>
      </c>
      <c r="B1830">
        <v>3.3522259999999999</v>
      </c>
    </row>
    <row r="1831" spans="1:2" x14ac:dyDescent="0.25">
      <c r="A1831" s="5">
        <v>36231</v>
      </c>
      <c r="B1831">
        <v>3.2218909999999998</v>
      </c>
    </row>
    <row r="1832" spans="1:2" x14ac:dyDescent="0.25">
      <c r="A1832" s="5">
        <v>36234</v>
      </c>
      <c r="B1832">
        <v>3.4226079999999999</v>
      </c>
    </row>
    <row r="1833" spans="1:2" x14ac:dyDescent="0.25">
      <c r="A1833" s="5">
        <v>36235</v>
      </c>
      <c r="B1833">
        <v>3.3730790000000002</v>
      </c>
    </row>
    <row r="1834" spans="1:2" x14ac:dyDescent="0.25">
      <c r="A1834" s="5">
        <v>36236</v>
      </c>
      <c r="B1834">
        <v>3.3418000000000001</v>
      </c>
    </row>
    <row r="1835" spans="1:2" x14ac:dyDescent="0.25">
      <c r="A1835" s="5">
        <v>36237</v>
      </c>
      <c r="B1835">
        <v>3.4226079999999999</v>
      </c>
    </row>
    <row r="1836" spans="1:2" x14ac:dyDescent="0.25">
      <c r="A1836" s="5">
        <v>36238</v>
      </c>
      <c r="B1836">
        <v>3.5268739999999998</v>
      </c>
    </row>
    <row r="1837" spans="1:2" x14ac:dyDescent="0.25">
      <c r="A1837" s="5">
        <v>36241</v>
      </c>
      <c r="B1837">
        <v>3.6546029999999998</v>
      </c>
    </row>
    <row r="1838" spans="1:2" x14ac:dyDescent="0.25">
      <c r="A1838" s="5">
        <v>36242</v>
      </c>
      <c r="B1838">
        <v>3.425214</v>
      </c>
    </row>
    <row r="1839" spans="1:2" x14ac:dyDescent="0.25">
      <c r="A1839" s="5">
        <v>36243</v>
      </c>
      <c r="B1839">
        <v>3.6441750000000002</v>
      </c>
    </row>
    <row r="1840" spans="1:2" x14ac:dyDescent="0.25">
      <c r="A1840" s="5">
        <v>36244</v>
      </c>
      <c r="B1840">
        <v>4.1055640000000002</v>
      </c>
    </row>
    <row r="1841" spans="1:2" x14ac:dyDescent="0.25">
      <c r="A1841" s="5">
        <v>36245</v>
      </c>
      <c r="B1841">
        <v>4.652971</v>
      </c>
    </row>
    <row r="1842" spans="1:2" x14ac:dyDescent="0.25">
      <c r="A1842" s="5">
        <v>36248</v>
      </c>
      <c r="B1842">
        <v>4.793736</v>
      </c>
    </row>
    <row r="1843" spans="1:2" x14ac:dyDescent="0.25">
      <c r="A1843" s="5">
        <v>36249</v>
      </c>
      <c r="B1843">
        <v>4.8797569999999997</v>
      </c>
    </row>
    <row r="1844" spans="1:2" x14ac:dyDescent="0.25">
      <c r="A1844" s="5">
        <v>36250</v>
      </c>
      <c r="B1844">
        <v>5.1873500000000003</v>
      </c>
    </row>
    <row r="1845" spans="1:2" x14ac:dyDescent="0.25">
      <c r="A1845" s="5">
        <v>36251</v>
      </c>
      <c r="B1845">
        <v>5.713902</v>
      </c>
    </row>
    <row r="1846" spans="1:2" x14ac:dyDescent="0.25">
      <c r="A1846" s="5">
        <v>36255</v>
      </c>
      <c r="B1846">
        <v>6.2091770000000004</v>
      </c>
    </row>
    <row r="1847" spans="1:2" x14ac:dyDescent="0.25">
      <c r="A1847" s="5">
        <v>36256</v>
      </c>
      <c r="B1847">
        <v>6.0866639999999999</v>
      </c>
    </row>
    <row r="1848" spans="1:2" x14ac:dyDescent="0.25">
      <c r="A1848" s="5">
        <v>36257</v>
      </c>
      <c r="B1848">
        <v>5.7764620000000004</v>
      </c>
    </row>
    <row r="1849" spans="1:2" x14ac:dyDescent="0.25">
      <c r="A1849" s="5">
        <v>36258</v>
      </c>
      <c r="B1849">
        <v>6.1883249999999999</v>
      </c>
    </row>
    <row r="1850" spans="1:2" x14ac:dyDescent="0.25">
      <c r="A1850" s="5">
        <v>36259</v>
      </c>
      <c r="B1850">
        <v>6.0710220000000001</v>
      </c>
    </row>
    <row r="1851" spans="1:2" x14ac:dyDescent="0.25">
      <c r="A1851" s="5">
        <v>36262</v>
      </c>
      <c r="B1851">
        <v>6.7096640000000001</v>
      </c>
    </row>
    <row r="1852" spans="1:2" x14ac:dyDescent="0.25">
      <c r="A1852" s="5">
        <v>36263</v>
      </c>
      <c r="B1852">
        <v>7.0798139999999998</v>
      </c>
    </row>
    <row r="1853" spans="1:2" x14ac:dyDescent="0.25">
      <c r="A1853" s="5">
        <v>36264</v>
      </c>
      <c r="B1853">
        <v>6.5871500000000003</v>
      </c>
    </row>
    <row r="1854" spans="1:2" x14ac:dyDescent="0.25">
      <c r="A1854" s="5">
        <v>36265</v>
      </c>
      <c r="B1854">
        <v>6.5793299999999997</v>
      </c>
    </row>
    <row r="1855" spans="1:2" x14ac:dyDescent="0.25">
      <c r="A1855" s="5">
        <v>36266</v>
      </c>
      <c r="B1855">
        <v>5.9432929999999997</v>
      </c>
    </row>
    <row r="1856" spans="1:2" x14ac:dyDescent="0.25">
      <c r="A1856" s="5">
        <v>36269</v>
      </c>
      <c r="B1856">
        <v>5.1977739999999999</v>
      </c>
    </row>
    <row r="1857" spans="1:2" x14ac:dyDescent="0.25">
      <c r="A1857" s="5">
        <v>36270</v>
      </c>
      <c r="B1857">
        <v>5.8650900000000004</v>
      </c>
    </row>
    <row r="1858" spans="1:2" x14ac:dyDescent="0.25">
      <c r="A1858" s="5">
        <v>36271</v>
      </c>
      <c r="B1858">
        <v>8.1355319999999995</v>
      </c>
    </row>
    <row r="1859" spans="1:2" x14ac:dyDescent="0.25">
      <c r="A1859" s="5">
        <v>36272</v>
      </c>
      <c r="B1859">
        <v>8.0677570000000003</v>
      </c>
    </row>
    <row r="1860" spans="1:2" x14ac:dyDescent="0.25">
      <c r="A1860" s="5">
        <v>36273</v>
      </c>
      <c r="B1860">
        <v>7.9608819999999998</v>
      </c>
    </row>
    <row r="1861" spans="1:2" x14ac:dyDescent="0.25">
      <c r="A1861" s="5">
        <v>36276</v>
      </c>
      <c r="B1861">
        <v>8.4874399999999994</v>
      </c>
    </row>
    <row r="1862" spans="1:2" x14ac:dyDescent="0.25">
      <c r="A1862" s="5">
        <v>36277</v>
      </c>
      <c r="B1862">
        <v>8.2189460000000008</v>
      </c>
    </row>
    <row r="1863" spans="1:2" x14ac:dyDescent="0.25">
      <c r="A1863" s="5">
        <v>36278</v>
      </c>
      <c r="B1863">
        <v>7.9426389999999998</v>
      </c>
    </row>
    <row r="1864" spans="1:2" x14ac:dyDescent="0.25">
      <c r="A1864" s="5">
        <v>36279</v>
      </c>
      <c r="B1864">
        <v>8.2684770000000007</v>
      </c>
    </row>
    <row r="1865" spans="1:2" x14ac:dyDescent="0.25">
      <c r="A1865" s="5">
        <v>36280</v>
      </c>
      <c r="B1865">
        <v>8.3414640000000002</v>
      </c>
    </row>
    <row r="1866" spans="1:2" x14ac:dyDescent="0.25">
      <c r="A1866" s="5">
        <v>36283</v>
      </c>
      <c r="B1866">
        <v>9.107837</v>
      </c>
    </row>
    <row r="1867" spans="1:2" x14ac:dyDescent="0.25">
      <c r="A1867" s="5">
        <v>36284</v>
      </c>
      <c r="B1867">
        <v>8.7533270000000005</v>
      </c>
    </row>
    <row r="1868" spans="1:2" x14ac:dyDescent="0.25">
      <c r="A1868" s="5">
        <v>36285</v>
      </c>
      <c r="B1868">
        <v>9.368506</v>
      </c>
    </row>
    <row r="1869" spans="1:2" x14ac:dyDescent="0.25">
      <c r="A1869" s="5">
        <v>36286</v>
      </c>
      <c r="B1869">
        <v>9.0113859999999999</v>
      </c>
    </row>
    <row r="1870" spans="1:2" x14ac:dyDescent="0.25">
      <c r="A1870" s="5">
        <v>36287</v>
      </c>
      <c r="B1870">
        <v>9.0192080000000008</v>
      </c>
    </row>
    <row r="1871" spans="1:2" x14ac:dyDescent="0.25">
      <c r="A1871" s="5">
        <v>36290</v>
      </c>
      <c r="B1871">
        <v>8.8419500000000006</v>
      </c>
    </row>
    <row r="1872" spans="1:2" x14ac:dyDescent="0.25">
      <c r="A1872" s="5">
        <v>36291</v>
      </c>
      <c r="B1872">
        <v>9.1339020000000009</v>
      </c>
    </row>
    <row r="1873" spans="1:2" x14ac:dyDescent="0.25">
      <c r="A1873" s="5">
        <v>36292</v>
      </c>
      <c r="B1873">
        <v>9.7230190000000007</v>
      </c>
    </row>
    <row r="1874" spans="1:2" x14ac:dyDescent="0.25">
      <c r="A1874" s="5">
        <v>36293</v>
      </c>
      <c r="B1874">
        <v>9.5978980000000007</v>
      </c>
    </row>
    <row r="1875" spans="1:2" x14ac:dyDescent="0.25">
      <c r="A1875" s="5">
        <v>36294</v>
      </c>
      <c r="B1875">
        <v>9.3424379999999996</v>
      </c>
    </row>
    <row r="1876" spans="1:2" x14ac:dyDescent="0.25">
      <c r="A1876" s="5">
        <v>36297</v>
      </c>
      <c r="B1876">
        <v>9.0713419999999996</v>
      </c>
    </row>
    <row r="1877" spans="1:2" x14ac:dyDescent="0.25">
      <c r="A1877" s="5">
        <v>36298</v>
      </c>
      <c r="B1877">
        <v>8.6073470000000007</v>
      </c>
    </row>
    <row r="1878" spans="1:2" x14ac:dyDescent="0.25">
      <c r="A1878" s="5">
        <v>36299</v>
      </c>
      <c r="B1878">
        <v>8.6229879999999994</v>
      </c>
    </row>
    <row r="1879" spans="1:2" x14ac:dyDescent="0.25">
      <c r="A1879" s="5">
        <v>36300</v>
      </c>
      <c r="B1879">
        <v>8.5291420000000002</v>
      </c>
    </row>
    <row r="1880" spans="1:2" x14ac:dyDescent="0.25">
      <c r="A1880" s="5">
        <v>36301</v>
      </c>
      <c r="B1880">
        <v>8.3675289999999993</v>
      </c>
    </row>
    <row r="1881" spans="1:2" x14ac:dyDescent="0.25">
      <c r="A1881" s="5">
        <v>36304</v>
      </c>
      <c r="B1881">
        <v>7.7367080000000001</v>
      </c>
    </row>
    <row r="1882" spans="1:2" x14ac:dyDescent="0.25">
      <c r="A1882" s="5">
        <v>36305</v>
      </c>
      <c r="B1882">
        <v>7.6376499999999998</v>
      </c>
    </row>
    <row r="1883" spans="1:2" x14ac:dyDescent="0.25">
      <c r="A1883" s="5">
        <v>36306</v>
      </c>
      <c r="B1883">
        <v>8.2424099999999996</v>
      </c>
    </row>
    <row r="1884" spans="1:2" x14ac:dyDescent="0.25">
      <c r="A1884" s="5">
        <v>36307</v>
      </c>
      <c r="B1884">
        <v>8.039085</v>
      </c>
    </row>
    <row r="1885" spans="1:2" x14ac:dyDescent="0.25">
      <c r="A1885" s="5">
        <v>36308</v>
      </c>
      <c r="B1885">
        <v>8.1120719999999995</v>
      </c>
    </row>
    <row r="1886" spans="1:2" x14ac:dyDescent="0.25">
      <c r="A1886" s="5">
        <v>36312</v>
      </c>
      <c r="B1886">
        <v>7.8357599999999996</v>
      </c>
    </row>
    <row r="1887" spans="1:2" x14ac:dyDescent="0.25">
      <c r="A1887" s="5">
        <v>36313</v>
      </c>
      <c r="B1887">
        <v>8.2476190000000003</v>
      </c>
    </row>
    <row r="1888" spans="1:2" x14ac:dyDescent="0.25">
      <c r="A1888" s="5">
        <v>36314</v>
      </c>
      <c r="B1888">
        <v>8.5135039999999993</v>
      </c>
    </row>
    <row r="1889" spans="1:2" x14ac:dyDescent="0.25">
      <c r="A1889" s="5">
        <v>36315</v>
      </c>
      <c r="B1889">
        <v>9.1703930000000007</v>
      </c>
    </row>
    <row r="1890" spans="1:2" x14ac:dyDescent="0.25">
      <c r="A1890" s="5">
        <v>36318</v>
      </c>
      <c r="B1890">
        <v>9.1391139999999993</v>
      </c>
    </row>
    <row r="1891" spans="1:2" x14ac:dyDescent="0.25">
      <c r="A1891" s="5">
        <v>36319</v>
      </c>
      <c r="B1891">
        <v>8.7481069999999992</v>
      </c>
    </row>
    <row r="1892" spans="1:2" x14ac:dyDescent="0.25">
      <c r="A1892" s="5">
        <v>36320</v>
      </c>
      <c r="B1892">
        <v>9.1339020000000009</v>
      </c>
    </row>
    <row r="1893" spans="1:2" x14ac:dyDescent="0.25">
      <c r="A1893" s="5">
        <v>36321</v>
      </c>
      <c r="B1893">
        <v>9.2381729999999997</v>
      </c>
    </row>
    <row r="1894" spans="1:2" x14ac:dyDescent="0.25">
      <c r="A1894" s="5">
        <v>36322</v>
      </c>
      <c r="B1894">
        <v>9.0713419999999996</v>
      </c>
    </row>
    <row r="1895" spans="1:2" x14ac:dyDescent="0.25">
      <c r="A1895" s="5">
        <v>36325</v>
      </c>
      <c r="B1895">
        <v>8.5708509999999993</v>
      </c>
    </row>
    <row r="1896" spans="1:2" x14ac:dyDescent="0.25">
      <c r="A1896" s="5">
        <v>36326</v>
      </c>
      <c r="B1896">
        <v>9.4831970000000005</v>
      </c>
    </row>
    <row r="1897" spans="1:2" x14ac:dyDescent="0.25">
      <c r="A1897" s="5">
        <v>36327</v>
      </c>
      <c r="B1897">
        <v>9.8794210000000007</v>
      </c>
    </row>
    <row r="1898" spans="1:2" x14ac:dyDescent="0.25">
      <c r="A1898" s="5">
        <v>36328</v>
      </c>
      <c r="B1898">
        <v>10.004542000000001</v>
      </c>
    </row>
    <row r="1899" spans="1:2" x14ac:dyDescent="0.25">
      <c r="A1899" s="5">
        <v>36329</v>
      </c>
      <c r="B1899">
        <v>10.823048</v>
      </c>
    </row>
    <row r="1900" spans="1:2" x14ac:dyDescent="0.25">
      <c r="A1900" s="5">
        <v>36332</v>
      </c>
      <c r="B1900">
        <v>10.885609000000001</v>
      </c>
    </row>
    <row r="1901" spans="1:2" x14ac:dyDescent="0.25">
      <c r="A1901" s="5">
        <v>36333</v>
      </c>
      <c r="B1901">
        <v>10.896034999999999</v>
      </c>
    </row>
    <row r="1902" spans="1:2" x14ac:dyDescent="0.25">
      <c r="A1902" s="5">
        <v>36334</v>
      </c>
      <c r="B1902">
        <v>11.167133</v>
      </c>
    </row>
    <row r="1903" spans="1:2" x14ac:dyDescent="0.25">
      <c r="A1903" s="5">
        <v>36335</v>
      </c>
      <c r="B1903">
        <v>10.656219</v>
      </c>
    </row>
    <row r="1904" spans="1:2" x14ac:dyDescent="0.25">
      <c r="A1904" s="5">
        <v>36336</v>
      </c>
      <c r="B1904">
        <v>10.572801999999999</v>
      </c>
    </row>
    <row r="1905" spans="1:2" x14ac:dyDescent="0.25">
      <c r="A1905" s="5">
        <v>36339</v>
      </c>
      <c r="B1905">
        <v>11.219265</v>
      </c>
    </row>
    <row r="1906" spans="1:2" x14ac:dyDescent="0.25">
      <c r="A1906" s="5">
        <v>36340</v>
      </c>
      <c r="B1906">
        <v>11.427803000000001</v>
      </c>
    </row>
    <row r="1907" spans="1:2" x14ac:dyDescent="0.25">
      <c r="A1907" s="5">
        <v>36341</v>
      </c>
      <c r="B1907">
        <v>11.969998</v>
      </c>
    </row>
    <row r="1908" spans="1:2" x14ac:dyDescent="0.25">
      <c r="A1908" s="5">
        <v>36342</v>
      </c>
      <c r="B1908">
        <v>11.657195</v>
      </c>
    </row>
    <row r="1909" spans="1:2" x14ac:dyDescent="0.25">
      <c r="A1909" s="5">
        <v>36343</v>
      </c>
      <c r="B1909">
        <v>12.032563</v>
      </c>
    </row>
    <row r="1910" spans="1:2" x14ac:dyDescent="0.25">
      <c r="A1910" s="5">
        <v>36347</v>
      </c>
      <c r="B1910">
        <v>11.865729999999999</v>
      </c>
    </row>
    <row r="1911" spans="1:2" x14ac:dyDescent="0.25">
      <c r="A1911" s="5">
        <v>36348</v>
      </c>
      <c r="B1911">
        <v>11.631131</v>
      </c>
    </row>
    <row r="1912" spans="1:2" x14ac:dyDescent="0.25">
      <c r="A1912" s="5">
        <v>36349</v>
      </c>
      <c r="B1912">
        <v>11.865729999999999</v>
      </c>
    </row>
    <row r="1913" spans="1:2" x14ac:dyDescent="0.25">
      <c r="A1913" s="5">
        <v>36350</v>
      </c>
      <c r="B1913">
        <v>12.407926</v>
      </c>
    </row>
    <row r="1914" spans="1:2" x14ac:dyDescent="0.25">
      <c r="A1914" s="5">
        <v>36353</v>
      </c>
      <c r="B1914">
        <v>12.298446</v>
      </c>
    </row>
    <row r="1915" spans="1:2" x14ac:dyDescent="0.25">
      <c r="A1915" s="5">
        <v>36354</v>
      </c>
      <c r="B1915">
        <v>12.042989</v>
      </c>
    </row>
    <row r="1916" spans="1:2" x14ac:dyDescent="0.25">
      <c r="A1916" s="5">
        <v>36355</v>
      </c>
      <c r="B1916">
        <v>12.475704</v>
      </c>
    </row>
    <row r="1917" spans="1:2" x14ac:dyDescent="0.25">
      <c r="A1917" s="5">
        <v>36356</v>
      </c>
      <c r="B1917">
        <v>12.759835000000001</v>
      </c>
    </row>
    <row r="1918" spans="1:2" x14ac:dyDescent="0.25">
      <c r="A1918" s="5">
        <v>36357</v>
      </c>
      <c r="B1918">
        <v>13.200367</v>
      </c>
    </row>
    <row r="1919" spans="1:2" x14ac:dyDescent="0.25">
      <c r="A1919" s="5">
        <v>36360</v>
      </c>
      <c r="B1919">
        <v>13.236865</v>
      </c>
    </row>
    <row r="1920" spans="1:2" x14ac:dyDescent="0.25">
      <c r="A1920" s="5">
        <v>36361</v>
      </c>
      <c r="B1920">
        <v>13.591372</v>
      </c>
    </row>
    <row r="1921" spans="1:2" x14ac:dyDescent="0.25">
      <c r="A1921" s="5">
        <v>36362</v>
      </c>
      <c r="B1921">
        <v>13.064816</v>
      </c>
    </row>
    <row r="1922" spans="1:2" x14ac:dyDescent="0.25">
      <c r="A1922" s="5">
        <v>36363</v>
      </c>
      <c r="B1922">
        <v>12.553902000000001</v>
      </c>
    </row>
    <row r="1923" spans="1:2" x14ac:dyDescent="0.25">
      <c r="A1923" s="5">
        <v>36364</v>
      </c>
      <c r="B1923">
        <v>12.903202</v>
      </c>
    </row>
    <row r="1924" spans="1:2" x14ac:dyDescent="0.25">
      <c r="A1924" s="5">
        <v>36367</v>
      </c>
      <c r="B1924">
        <v>12.731159</v>
      </c>
    </row>
    <row r="1925" spans="1:2" x14ac:dyDescent="0.25">
      <c r="A1925" s="5">
        <v>36368</v>
      </c>
      <c r="B1925">
        <v>12.877134</v>
      </c>
    </row>
    <row r="1926" spans="1:2" x14ac:dyDescent="0.25">
      <c r="A1926" s="5">
        <v>36369</v>
      </c>
      <c r="B1926">
        <v>13.32549</v>
      </c>
    </row>
    <row r="1927" spans="1:2" x14ac:dyDescent="0.25">
      <c r="A1927" s="5">
        <v>36370</v>
      </c>
      <c r="B1927">
        <v>13.043958</v>
      </c>
    </row>
    <row r="1928" spans="1:2" x14ac:dyDescent="0.25">
      <c r="A1928" s="5">
        <v>36371</v>
      </c>
      <c r="B1928">
        <v>13.012684</v>
      </c>
    </row>
    <row r="1929" spans="1:2" x14ac:dyDescent="0.25">
      <c r="A1929" s="5">
        <v>36374</v>
      </c>
      <c r="B1929">
        <v>12.72073</v>
      </c>
    </row>
    <row r="1930" spans="1:2" x14ac:dyDescent="0.25">
      <c r="A1930" s="5">
        <v>36375</v>
      </c>
      <c r="B1930">
        <v>11.678046999999999</v>
      </c>
    </row>
    <row r="1931" spans="1:2" x14ac:dyDescent="0.25">
      <c r="A1931" s="5">
        <v>36376</v>
      </c>
      <c r="B1931">
        <v>11.881371</v>
      </c>
    </row>
    <row r="1932" spans="1:2" x14ac:dyDescent="0.25">
      <c r="A1932" s="5">
        <v>36377</v>
      </c>
      <c r="B1932">
        <v>11.943932999999999</v>
      </c>
    </row>
    <row r="1933" spans="1:2" x14ac:dyDescent="0.25">
      <c r="A1933" s="5">
        <v>36378</v>
      </c>
      <c r="B1933">
        <v>12.324513</v>
      </c>
    </row>
    <row r="1934" spans="1:2" x14ac:dyDescent="0.25">
      <c r="A1934" s="5">
        <v>36381</v>
      </c>
      <c r="B1934">
        <v>12.298446</v>
      </c>
    </row>
    <row r="1935" spans="1:2" x14ac:dyDescent="0.25">
      <c r="A1935" s="5">
        <v>36382</v>
      </c>
      <c r="B1935">
        <v>12.314082000000001</v>
      </c>
    </row>
    <row r="1936" spans="1:2" x14ac:dyDescent="0.25">
      <c r="A1936" s="5">
        <v>36383</v>
      </c>
      <c r="B1936">
        <v>12.491334999999999</v>
      </c>
    </row>
    <row r="1937" spans="1:2" x14ac:dyDescent="0.25">
      <c r="A1937" s="5">
        <v>36384</v>
      </c>
      <c r="B1937">
        <v>12.595610000000001</v>
      </c>
    </row>
    <row r="1938" spans="1:2" x14ac:dyDescent="0.25">
      <c r="A1938" s="5">
        <v>36385</v>
      </c>
      <c r="B1938">
        <v>13.34634</v>
      </c>
    </row>
    <row r="1939" spans="1:2" x14ac:dyDescent="0.25">
      <c r="A1939" s="5">
        <v>36388</v>
      </c>
      <c r="B1939">
        <v>13.492316000000001</v>
      </c>
    </row>
    <row r="1940" spans="1:2" x14ac:dyDescent="0.25">
      <c r="A1940" s="5">
        <v>36389</v>
      </c>
      <c r="B1940">
        <v>14.435946</v>
      </c>
    </row>
    <row r="1941" spans="1:2" x14ac:dyDescent="0.25">
      <c r="A1941" s="5">
        <v>36390</v>
      </c>
      <c r="B1941">
        <v>13.888532</v>
      </c>
    </row>
    <row r="1942" spans="1:2" x14ac:dyDescent="0.25">
      <c r="A1942" s="5">
        <v>36391</v>
      </c>
      <c r="B1942">
        <v>13.742559999999999</v>
      </c>
    </row>
    <row r="1943" spans="1:2" x14ac:dyDescent="0.25">
      <c r="A1943" s="5">
        <v>36392</v>
      </c>
      <c r="B1943">
        <v>14.592345</v>
      </c>
    </row>
    <row r="1944" spans="1:2" x14ac:dyDescent="0.25">
      <c r="A1944" s="5">
        <v>36395</v>
      </c>
      <c r="B1944">
        <v>15.301367000000001</v>
      </c>
    </row>
    <row r="1945" spans="1:2" x14ac:dyDescent="0.25">
      <c r="A1945" s="5">
        <v>36396</v>
      </c>
      <c r="B1945">
        <v>14.93122</v>
      </c>
    </row>
    <row r="1946" spans="1:2" x14ac:dyDescent="0.25">
      <c r="A1946" s="5">
        <v>36397</v>
      </c>
      <c r="B1946">
        <v>15.848773</v>
      </c>
    </row>
    <row r="1947" spans="1:2" x14ac:dyDescent="0.25">
      <c r="A1947" s="5">
        <v>36398</v>
      </c>
      <c r="B1947">
        <v>15.911344</v>
      </c>
    </row>
    <row r="1948" spans="1:2" x14ac:dyDescent="0.25">
      <c r="A1948" s="5">
        <v>36399</v>
      </c>
      <c r="B1948">
        <v>15.327436000000001</v>
      </c>
    </row>
    <row r="1949" spans="1:2" x14ac:dyDescent="0.25">
      <c r="A1949" s="5">
        <v>36402</v>
      </c>
      <c r="B1949">
        <v>15.264874000000001</v>
      </c>
    </row>
    <row r="1950" spans="1:2" x14ac:dyDescent="0.25">
      <c r="A1950" s="5">
        <v>36403</v>
      </c>
      <c r="B1950">
        <v>16.031251999999999</v>
      </c>
    </row>
    <row r="1951" spans="1:2" x14ac:dyDescent="0.25">
      <c r="A1951" s="5">
        <v>36404</v>
      </c>
      <c r="B1951">
        <v>14.071009</v>
      </c>
    </row>
    <row r="1952" spans="1:2" x14ac:dyDescent="0.25">
      <c r="A1952" s="5">
        <v>36405</v>
      </c>
      <c r="B1952">
        <v>13.951095</v>
      </c>
    </row>
    <row r="1953" spans="1:2" x14ac:dyDescent="0.25">
      <c r="A1953" s="5">
        <v>36406</v>
      </c>
      <c r="B1953">
        <v>13.627865999999999</v>
      </c>
    </row>
    <row r="1954" spans="1:2" x14ac:dyDescent="0.25">
      <c r="A1954" s="5">
        <v>36410</v>
      </c>
      <c r="B1954">
        <v>13.831194</v>
      </c>
    </row>
    <row r="1955" spans="1:2" x14ac:dyDescent="0.25">
      <c r="A1955" s="5">
        <v>36411</v>
      </c>
      <c r="B1955">
        <v>14.003233</v>
      </c>
    </row>
    <row r="1956" spans="1:2" x14ac:dyDescent="0.25">
      <c r="A1956" s="5">
        <v>36412</v>
      </c>
      <c r="B1956">
        <v>13.857259000000001</v>
      </c>
    </row>
    <row r="1957" spans="1:2" x14ac:dyDescent="0.25">
      <c r="A1957" s="5">
        <v>36413</v>
      </c>
      <c r="B1957">
        <v>13.820765</v>
      </c>
    </row>
    <row r="1958" spans="1:2" x14ac:dyDescent="0.25">
      <c r="A1958" s="5">
        <v>36416</v>
      </c>
      <c r="B1958">
        <v>12.793718999999999</v>
      </c>
    </row>
    <row r="1959" spans="1:2" x14ac:dyDescent="0.25">
      <c r="A1959" s="5">
        <v>36417</v>
      </c>
      <c r="B1959">
        <v>14.222200000000001</v>
      </c>
    </row>
    <row r="1960" spans="1:2" x14ac:dyDescent="0.25">
      <c r="A1960" s="5">
        <v>36418</v>
      </c>
      <c r="B1960">
        <v>14.503717</v>
      </c>
    </row>
    <row r="1961" spans="1:2" x14ac:dyDescent="0.25">
      <c r="A1961" s="5">
        <v>36419</v>
      </c>
      <c r="B1961">
        <v>15.004206999999999</v>
      </c>
    </row>
    <row r="1962" spans="1:2" x14ac:dyDescent="0.25">
      <c r="A1962" s="5">
        <v>36420</v>
      </c>
      <c r="B1962">
        <v>15.843562</v>
      </c>
    </row>
    <row r="1963" spans="1:2" x14ac:dyDescent="0.25">
      <c r="A1963" s="5">
        <v>36423</v>
      </c>
      <c r="B1963">
        <v>15.681953999999999</v>
      </c>
    </row>
    <row r="1964" spans="1:2" x14ac:dyDescent="0.25">
      <c r="A1964" s="5">
        <v>36424</v>
      </c>
      <c r="B1964">
        <v>15.207534000000001</v>
      </c>
    </row>
    <row r="1965" spans="1:2" x14ac:dyDescent="0.25">
      <c r="A1965" s="5">
        <v>36425</v>
      </c>
      <c r="B1965">
        <v>15.859208000000001</v>
      </c>
    </row>
    <row r="1966" spans="1:2" x14ac:dyDescent="0.25">
      <c r="A1966" s="5">
        <v>36426</v>
      </c>
      <c r="B1966">
        <v>15.567254</v>
      </c>
    </row>
    <row r="1967" spans="1:2" x14ac:dyDescent="0.25">
      <c r="A1967" s="5">
        <v>36427</v>
      </c>
      <c r="B1967">
        <v>15.807066000000001</v>
      </c>
    </row>
    <row r="1968" spans="1:2" x14ac:dyDescent="0.25">
      <c r="A1968" s="5">
        <v>36430</v>
      </c>
      <c r="B1968">
        <v>16.125086</v>
      </c>
    </row>
    <row r="1969" spans="1:2" x14ac:dyDescent="0.25">
      <c r="A1969" s="5">
        <v>36431</v>
      </c>
      <c r="B1969">
        <v>16.151157000000001</v>
      </c>
    </row>
    <row r="1970" spans="1:2" x14ac:dyDescent="0.25">
      <c r="A1970" s="5">
        <v>36432</v>
      </c>
      <c r="B1970">
        <v>15.661099</v>
      </c>
    </row>
    <row r="1971" spans="1:2" x14ac:dyDescent="0.25">
      <c r="A1971" s="5">
        <v>36433</v>
      </c>
      <c r="B1971">
        <v>15.781005</v>
      </c>
    </row>
    <row r="1972" spans="1:2" x14ac:dyDescent="0.25">
      <c r="A1972" s="5">
        <v>36434</v>
      </c>
      <c r="B1972">
        <v>15.582891999999999</v>
      </c>
    </row>
    <row r="1973" spans="1:2" x14ac:dyDescent="0.25">
      <c r="A1973" s="5">
        <v>36437</v>
      </c>
      <c r="B1973">
        <v>15.835751</v>
      </c>
    </row>
    <row r="1974" spans="1:2" x14ac:dyDescent="0.25">
      <c r="A1974" s="5">
        <v>36438</v>
      </c>
      <c r="B1974">
        <v>16.244994999999999</v>
      </c>
    </row>
    <row r="1975" spans="1:2" x14ac:dyDescent="0.25">
      <c r="A1975" s="5">
        <v>36439</v>
      </c>
      <c r="B1975">
        <v>17.042653999999999</v>
      </c>
    </row>
    <row r="1976" spans="1:2" x14ac:dyDescent="0.25">
      <c r="A1976" s="5">
        <v>36440</v>
      </c>
      <c r="B1976">
        <v>16.729851</v>
      </c>
    </row>
    <row r="1977" spans="1:2" x14ac:dyDescent="0.25">
      <c r="A1977" s="5">
        <v>36441</v>
      </c>
      <c r="B1977">
        <v>17.845510000000001</v>
      </c>
    </row>
    <row r="1978" spans="1:2" x14ac:dyDescent="0.25">
      <c r="A1978" s="5">
        <v>36444</v>
      </c>
      <c r="B1978">
        <v>18.559754999999999</v>
      </c>
    </row>
    <row r="1979" spans="1:2" x14ac:dyDescent="0.25">
      <c r="A1979" s="5">
        <v>36445</v>
      </c>
      <c r="B1979">
        <v>17.689117</v>
      </c>
    </row>
    <row r="1980" spans="1:2" x14ac:dyDescent="0.25">
      <c r="A1980" s="5">
        <v>36446</v>
      </c>
      <c r="B1980">
        <v>17.045265000000001</v>
      </c>
    </row>
    <row r="1981" spans="1:2" x14ac:dyDescent="0.25">
      <c r="A1981" s="5">
        <v>36447</v>
      </c>
      <c r="B1981">
        <v>17.019189999999998</v>
      </c>
    </row>
    <row r="1982" spans="1:2" x14ac:dyDescent="0.25">
      <c r="A1982" s="5">
        <v>36448</v>
      </c>
      <c r="B1982">
        <v>16.55781</v>
      </c>
    </row>
    <row r="1983" spans="1:2" x14ac:dyDescent="0.25">
      <c r="A1983" s="5">
        <v>36451</v>
      </c>
      <c r="B1983">
        <v>16.323195999999999</v>
      </c>
    </row>
    <row r="1984" spans="1:2" x14ac:dyDescent="0.25">
      <c r="A1984" s="5">
        <v>36452</v>
      </c>
      <c r="B1984">
        <v>16.516089999999998</v>
      </c>
    </row>
    <row r="1985" spans="1:2" x14ac:dyDescent="0.25">
      <c r="A1985" s="5">
        <v>36453</v>
      </c>
      <c r="B1985">
        <v>16.875820000000001</v>
      </c>
    </row>
    <row r="1986" spans="1:2" x14ac:dyDescent="0.25">
      <c r="A1986" s="5">
        <v>36454</v>
      </c>
      <c r="B1986">
        <v>17.991492999999998</v>
      </c>
    </row>
    <row r="1987" spans="1:2" x14ac:dyDescent="0.25">
      <c r="A1987" s="5">
        <v>36455</v>
      </c>
      <c r="B1987">
        <v>17.996715999999999</v>
      </c>
    </row>
    <row r="1988" spans="1:2" x14ac:dyDescent="0.25">
      <c r="A1988" s="5">
        <v>36458</v>
      </c>
      <c r="B1988">
        <v>17.610914000000001</v>
      </c>
    </row>
    <row r="1989" spans="1:2" x14ac:dyDescent="0.25">
      <c r="A1989" s="5">
        <v>36459</v>
      </c>
      <c r="B1989">
        <v>17.329393</v>
      </c>
    </row>
    <row r="1990" spans="1:2" x14ac:dyDescent="0.25">
      <c r="A1990" s="5">
        <v>36460</v>
      </c>
      <c r="B1990">
        <v>17.360668</v>
      </c>
    </row>
    <row r="1991" spans="1:2" x14ac:dyDescent="0.25">
      <c r="A1991" s="5">
        <v>36461</v>
      </c>
      <c r="B1991">
        <v>18.184387000000001</v>
      </c>
    </row>
    <row r="1992" spans="1:2" x14ac:dyDescent="0.25">
      <c r="A1992" s="5">
        <v>36462</v>
      </c>
      <c r="B1992">
        <v>18.580608000000002</v>
      </c>
    </row>
    <row r="1993" spans="1:2" x14ac:dyDescent="0.25">
      <c r="A1993" s="5">
        <v>36465</v>
      </c>
      <c r="B1993">
        <v>18.783937000000002</v>
      </c>
    </row>
    <row r="1994" spans="1:2" x14ac:dyDescent="0.25">
      <c r="A1994" s="5">
        <v>36466</v>
      </c>
      <c r="B1994">
        <v>18.752652999999999</v>
      </c>
    </row>
    <row r="1995" spans="1:2" x14ac:dyDescent="0.25">
      <c r="A1995" s="5">
        <v>36467</v>
      </c>
      <c r="B1995">
        <v>21.729514999999999</v>
      </c>
    </row>
    <row r="1996" spans="1:2" x14ac:dyDescent="0.25">
      <c r="A1996" s="5">
        <v>36468</v>
      </c>
      <c r="B1996">
        <v>22.016247</v>
      </c>
    </row>
    <row r="1997" spans="1:2" x14ac:dyDescent="0.25">
      <c r="A1997" s="5">
        <v>36469</v>
      </c>
      <c r="B1997">
        <v>24.555191000000001</v>
      </c>
    </row>
    <row r="1998" spans="1:2" x14ac:dyDescent="0.25">
      <c r="A1998" s="5">
        <v>36472</v>
      </c>
      <c r="B1998">
        <v>24.138107000000002</v>
      </c>
    </row>
    <row r="1999" spans="1:2" x14ac:dyDescent="0.25">
      <c r="A1999" s="5">
        <v>36473</v>
      </c>
      <c r="B1999">
        <v>25.008752999999999</v>
      </c>
    </row>
    <row r="2000" spans="1:2" x14ac:dyDescent="0.25">
      <c r="A2000" s="5">
        <v>36474</v>
      </c>
      <c r="B2000">
        <v>26.656191</v>
      </c>
    </row>
    <row r="2001" spans="1:2" x14ac:dyDescent="0.25">
      <c r="A2001" s="5">
        <v>36475</v>
      </c>
      <c r="B2001">
        <v>28.819770999999999</v>
      </c>
    </row>
    <row r="2002" spans="1:2" x14ac:dyDescent="0.25">
      <c r="A2002" s="5">
        <v>36476</v>
      </c>
      <c r="B2002">
        <v>31.530733000000001</v>
      </c>
    </row>
    <row r="2003" spans="1:2" x14ac:dyDescent="0.25">
      <c r="A2003" s="5">
        <v>36479</v>
      </c>
      <c r="B2003">
        <v>30.696569</v>
      </c>
    </row>
    <row r="2004" spans="1:2" x14ac:dyDescent="0.25">
      <c r="A2004" s="5">
        <v>36480</v>
      </c>
      <c r="B2004">
        <v>30.488056</v>
      </c>
    </row>
    <row r="2005" spans="1:2" x14ac:dyDescent="0.25">
      <c r="A2005" s="5">
        <v>36481</v>
      </c>
      <c r="B2005">
        <v>28.600781999999999</v>
      </c>
    </row>
    <row r="2006" spans="1:2" x14ac:dyDescent="0.25">
      <c r="A2006" s="5">
        <v>36482</v>
      </c>
      <c r="B2006">
        <v>29.679970000000001</v>
      </c>
    </row>
    <row r="2007" spans="1:2" x14ac:dyDescent="0.25">
      <c r="A2007" s="5">
        <v>36483</v>
      </c>
      <c r="B2007">
        <v>30.618386999999998</v>
      </c>
    </row>
    <row r="2008" spans="1:2" x14ac:dyDescent="0.25">
      <c r="A2008" s="5">
        <v>36486</v>
      </c>
      <c r="B2008">
        <v>30.029267999999998</v>
      </c>
    </row>
    <row r="2009" spans="1:2" x14ac:dyDescent="0.25">
      <c r="A2009" s="5">
        <v>36487</v>
      </c>
      <c r="B2009">
        <v>30.050111999999999</v>
      </c>
    </row>
    <row r="2010" spans="1:2" x14ac:dyDescent="0.25">
      <c r="A2010" s="5">
        <v>36488</v>
      </c>
      <c r="B2010">
        <v>31.306557000000002</v>
      </c>
    </row>
    <row r="2011" spans="1:2" x14ac:dyDescent="0.25">
      <c r="A2011" s="5">
        <v>36490</v>
      </c>
      <c r="B2011">
        <v>32.093783999999999</v>
      </c>
    </row>
    <row r="2012" spans="1:2" x14ac:dyDescent="0.25">
      <c r="A2012" s="5">
        <v>36493</v>
      </c>
      <c r="B2012">
        <v>30.967677999999999</v>
      </c>
    </row>
    <row r="2013" spans="1:2" x14ac:dyDescent="0.25">
      <c r="A2013" s="5">
        <v>36494</v>
      </c>
      <c r="B2013">
        <v>30.222151</v>
      </c>
    </row>
    <row r="2014" spans="1:2" x14ac:dyDescent="0.25">
      <c r="A2014" s="5">
        <v>36495</v>
      </c>
      <c r="B2014">
        <v>30.373366999999998</v>
      </c>
    </row>
    <row r="2015" spans="1:2" x14ac:dyDescent="0.25">
      <c r="A2015" s="5">
        <v>36496</v>
      </c>
      <c r="B2015">
        <v>31.197071000000001</v>
      </c>
    </row>
    <row r="2016" spans="1:2" x14ac:dyDescent="0.25">
      <c r="A2016" s="5">
        <v>36497</v>
      </c>
      <c r="B2016">
        <v>32.067703000000002</v>
      </c>
    </row>
    <row r="2017" spans="1:2" x14ac:dyDescent="0.25">
      <c r="A2017" s="5">
        <v>36500</v>
      </c>
      <c r="B2017">
        <v>32.927925000000002</v>
      </c>
    </row>
    <row r="2018" spans="1:2" x14ac:dyDescent="0.25">
      <c r="A2018" s="5">
        <v>36501</v>
      </c>
      <c r="B2018">
        <v>33.272010999999999</v>
      </c>
    </row>
    <row r="2019" spans="1:2" x14ac:dyDescent="0.25">
      <c r="A2019" s="5">
        <v>36502</v>
      </c>
      <c r="B2019">
        <v>32.469138999999998</v>
      </c>
    </row>
    <row r="2020" spans="1:2" x14ac:dyDescent="0.25">
      <c r="A2020" s="5">
        <v>36503</v>
      </c>
      <c r="B2020">
        <v>32.948771999999998</v>
      </c>
    </row>
    <row r="2021" spans="1:2" x14ac:dyDescent="0.25">
      <c r="A2021" s="5">
        <v>36504</v>
      </c>
      <c r="B2021">
        <v>32.656844999999997</v>
      </c>
    </row>
    <row r="2022" spans="1:2" x14ac:dyDescent="0.25">
      <c r="A2022" s="5">
        <v>36507</v>
      </c>
      <c r="B2022">
        <v>34.830840999999999</v>
      </c>
    </row>
    <row r="2023" spans="1:2" x14ac:dyDescent="0.25">
      <c r="A2023" s="5">
        <v>36508</v>
      </c>
      <c r="B2023">
        <v>35.138412000000002</v>
      </c>
    </row>
    <row r="2024" spans="1:2" x14ac:dyDescent="0.25">
      <c r="A2024" s="5">
        <v>36509</v>
      </c>
      <c r="B2024">
        <v>35.30003</v>
      </c>
    </row>
    <row r="2025" spans="1:2" x14ac:dyDescent="0.25">
      <c r="A2025" s="5">
        <v>36510</v>
      </c>
      <c r="B2025">
        <v>36.639876999999998</v>
      </c>
    </row>
    <row r="2026" spans="1:2" x14ac:dyDescent="0.25">
      <c r="A2026" s="5">
        <v>36511</v>
      </c>
      <c r="B2026">
        <v>37.953662999999999</v>
      </c>
    </row>
    <row r="2027" spans="1:2" x14ac:dyDescent="0.25">
      <c r="A2027" s="5">
        <v>36514</v>
      </c>
      <c r="B2027">
        <v>38.939003</v>
      </c>
    </row>
    <row r="2028" spans="1:2" x14ac:dyDescent="0.25">
      <c r="A2028" s="5">
        <v>36515</v>
      </c>
      <c r="B2028">
        <v>41.446658999999997</v>
      </c>
    </row>
    <row r="2029" spans="1:2" x14ac:dyDescent="0.25">
      <c r="A2029" s="5">
        <v>36516</v>
      </c>
      <c r="B2029">
        <v>40.492592000000002</v>
      </c>
    </row>
    <row r="2030" spans="1:2" x14ac:dyDescent="0.25">
      <c r="A2030" s="5">
        <v>36517</v>
      </c>
      <c r="B2030">
        <v>38.912925999999999</v>
      </c>
    </row>
    <row r="2031" spans="1:2" x14ac:dyDescent="0.25">
      <c r="A2031" s="5">
        <v>36521</v>
      </c>
      <c r="B2031">
        <v>42.828197000000003</v>
      </c>
    </row>
    <row r="2032" spans="1:2" x14ac:dyDescent="0.25">
      <c r="A2032" s="5">
        <v>36522</v>
      </c>
      <c r="B2032">
        <v>41.957565000000002</v>
      </c>
    </row>
    <row r="2033" spans="1:2" x14ac:dyDescent="0.25">
      <c r="A2033" s="5">
        <v>36523</v>
      </c>
      <c r="B2033">
        <v>54.970241999999999</v>
      </c>
    </row>
    <row r="2034" spans="1:2" x14ac:dyDescent="0.25">
      <c r="A2034" s="5">
        <v>36524</v>
      </c>
      <c r="B2034">
        <v>53.969265</v>
      </c>
    </row>
    <row r="2035" spans="1:2" x14ac:dyDescent="0.25">
      <c r="A2035" s="5">
        <v>36525</v>
      </c>
      <c r="B2035">
        <v>58.765610000000002</v>
      </c>
    </row>
    <row r="2036" spans="1:2" x14ac:dyDescent="0.25">
      <c r="A2036" s="5">
        <v>36528</v>
      </c>
      <c r="B2036">
        <v>59.829124</v>
      </c>
    </row>
    <row r="2037" spans="1:2" x14ac:dyDescent="0.25">
      <c r="A2037" s="5">
        <v>36529</v>
      </c>
      <c r="B2037">
        <v>54.073509000000001</v>
      </c>
    </row>
    <row r="2038" spans="1:2" x14ac:dyDescent="0.25">
      <c r="A2038" s="5">
        <v>36530</v>
      </c>
      <c r="B2038">
        <v>52.196689999999997</v>
      </c>
    </row>
    <row r="2039" spans="1:2" x14ac:dyDescent="0.25">
      <c r="A2039" s="5">
        <v>36531</v>
      </c>
      <c r="B2039">
        <v>46.733051000000003</v>
      </c>
    </row>
    <row r="2040" spans="1:2" x14ac:dyDescent="0.25">
      <c r="A2040" s="5">
        <v>36532</v>
      </c>
      <c r="B2040">
        <v>50.048794000000001</v>
      </c>
    </row>
    <row r="2041" spans="1:2" x14ac:dyDescent="0.25">
      <c r="A2041" s="5">
        <v>36535</v>
      </c>
      <c r="B2041">
        <v>53.176830000000002</v>
      </c>
    </row>
    <row r="2042" spans="1:2" x14ac:dyDescent="0.25">
      <c r="A2042" s="5">
        <v>36536</v>
      </c>
      <c r="B2042">
        <v>48.192794999999997</v>
      </c>
    </row>
    <row r="2043" spans="1:2" x14ac:dyDescent="0.25">
      <c r="A2043" s="5">
        <v>36537</v>
      </c>
      <c r="B2043">
        <v>46.128284000000001</v>
      </c>
    </row>
    <row r="2044" spans="1:2" x14ac:dyDescent="0.25">
      <c r="A2044" s="5">
        <v>36538</v>
      </c>
      <c r="B2044">
        <v>47.754874999999998</v>
      </c>
    </row>
    <row r="2045" spans="1:2" x14ac:dyDescent="0.25">
      <c r="A2045" s="5">
        <v>36539</v>
      </c>
      <c r="B2045">
        <v>46.858173000000001</v>
      </c>
    </row>
    <row r="2046" spans="1:2" x14ac:dyDescent="0.25">
      <c r="A2046" s="5">
        <v>36543</v>
      </c>
      <c r="B2046">
        <v>46.399399000000003</v>
      </c>
    </row>
    <row r="2047" spans="1:2" x14ac:dyDescent="0.25">
      <c r="A2047" s="5">
        <v>36544</v>
      </c>
      <c r="B2047">
        <v>48.92268</v>
      </c>
    </row>
    <row r="2048" spans="1:2" x14ac:dyDescent="0.25">
      <c r="A2048" s="5">
        <v>36545</v>
      </c>
      <c r="B2048">
        <v>51.925590999999997</v>
      </c>
    </row>
    <row r="2049" spans="1:2" x14ac:dyDescent="0.25">
      <c r="A2049" s="5">
        <v>36546</v>
      </c>
      <c r="B2049">
        <v>51.696201000000002</v>
      </c>
    </row>
    <row r="2050" spans="1:2" x14ac:dyDescent="0.25">
      <c r="A2050" s="5">
        <v>36549</v>
      </c>
      <c r="B2050">
        <v>46.733051000000003</v>
      </c>
    </row>
    <row r="2051" spans="1:2" x14ac:dyDescent="0.25">
      <c r="A2051" s="5">
        <v>36550</v>
      </c>
      <c r="B2051">
        <v>49.715122000000001</v>
      </c>
    </row>
    <row r="2052" spans="1:2" x14ac:dyDescent="0.25">
      <c r="A2052" s="5">
        <v>36551</v>
      </c>
      <c r="B2052">
        <v>41.582194999999999</v>
      </c>
    </row>
    <row r="2053" spans="1:2" x14ac:dyDescent="0.25">
      <c r="A2053" s="5">
        <v>36552</v>
      </c>
      <c r="B2053">
        <v>40.039009</v>
      </c>
    </row>
    <row r="2054" spans="1:2" x14ac:dyDescent="0.25">
      <c r="A2054" s="5">
        <v>36553</v>
      </c>
      <c r="B2054">
        <v>36.890118000000001</v>
      </c>
    </row>
    <row r="2055" spans="1:2" x14ac:dyDescent="0.25">
      <c r="A2055" s="5">
        <v>36556</v>
      </c>
      <c r="B2055">
        <v>42.374640999999997</v>
      </c>
    </row>
    <row r="2056" spans="1:2" x14ac:dyDescent="0.25">
      <c r="A2056" s="5">
        <v>36557</v>
      </c>
      <c r="B2056">
        <v>45.398411000000003</v>
      </c>
    </row>
    <row r="2057" spans="1:2" x14ac:dyDescent="0.25">
      <c r="A2057" s="5">
        <v>36558</v>
      </c>
      <c r="B2057">
        <v>47.400368</v>
      </c>
    </row>
    <row r="2058" spans="1:2" x14ac:dyDescent="0.25">
      <c r="A2058" s="5">
        <v>36559</v>
      </c>
      <c r="B2058">
        <v>46.441093000000002</v>
      </c>
    </row>
    <row r="2059" spans="1:2" x14ac:dyDescent="0.25">
      <c r="A2059" s="5">
        <v>36560</v>
      </c>
      <c r="B2059">
        <v>45.857193000000002</v>
      </c>
    </row>
    <row r="2060" spans="1:2" x14ac:dyDescent="0.25">
      <c r="A2060" s="5">
        <v>36563</v>
      </c>
      <c r="B2060">
        <v>44.522571999999997</v>
      </c>
    </row>
    <row r="2061" spans="1:2" x14ac:dyDescent="0.25">
      <c r="A2061" s="5">
        <v>36564</v>
      </c>
      <c r="B2061">
        <v>46.399399000000003</v>
      </c>
    </row>
    <row r="2062" spans="1:2" x14ac:dyDescent="0.25">
      <c r="A2062" s="5">
        <v>36565</v>
      </c>
      <c r="B2062">
        <v>44.480865000000001</v>
      </c>
    </row>
    <row r="2063" spans="1:2" x14ac:dyDescent="0.25">
      <c r="A2063" s="5">
        <v>36566</v>
      </c>
      <c r="B2063">
        <v>45.690361000000003</v>
      </c>
    </row>
    <row r="2064" spans="1:2" x14ac:dyDescent="0.25">
      <c r="A2064" s="5">
        <v>36567</v>
      </c>
      <c r="B2064">
        <v>44.042926999999999</v>
      </c>
    </row>
    <row r="2065" spans="1:2" x14ac:dyDescent="0.25">
      <c r="A2065" s="5">
        <v>36570</v>
      </c>
      <c r="B2065">
        <v>42.416339999999998</v>
      </c>
    </row>
    <row r="2066" spans="1:2" x14ac:dyDescent="0.25">
      <c r="A2066" s="5">
        <v>36571</v>
      </c>
      <c r="B2066">
        <v>42.249512000000003</v>
      </c>
    </row>
    <row r="2067" spans="1:2" x14ac:dyDescent="0.25">
      <c r="A2067" s="5">
        <v>36572</v>
      </c>
      <c r="B2067">
        <v>40.664639000000001</v>
      </c>
    </row>
    <row r="2068" spans="1:2" x14ac:dyDescent="0.25">
      <c r="A2068" s="5">
        <v>36573</v>
      </c>
      <c r="B2068">
        <v>43.375610000000002</v>
      </c>
    </row>
    <row r="2069" spans="1:2" x14ac:dyDescent="0.25">
      <c r="A2069" s="5">
        <v>36574</v>
      </c>
      <c r="B2069">
        <v>44.87706</v>
      </c>
    </row>
    <row r="2070" spans="1:2" x14ac:dyDescent="0.25">
      <c r="A2070" s="5">
        <v>36578</v>
      </c>
      <c r="B2070">
        <v>43.563282000000001</v>
      </c>
    </row>
    <row r="2071" spans="1:2" x14ac:dyDescent="0.25">
      <c r="A2071" s="5">
        <v>36579</v>
      </c>
      <c r="B2071">
        <v>49.006100000000004</v>
      </c>
    </row>
    <row r="2072" spans="1:2" x14ac:dyDescent="0.25">
      <c r="A2072" s="5">
        <v>36580</v>
      </c>
      <c r="B2072">
        <v>46.607940999999997</v>
      </c>
    </row>
    <row r="2073" spans="1:2" x14ac:dyDescent="0.25">
      <c r="A2073" s="5">
        <v>36581</v>
      </c>
      <c r="B2073">
        <v>44.564255000000003</v>
      </c>
    </row>
    <row r="2074" spans="1:2" x14ac:dyDescent="0.25">
      <c r="A2074" s="5">
        <v>36584</v>
      </c>
      <c r="B2074">
        <v>47.796570000000003</v>
      </c>
    </row>
    <row r="2075" spans="1:2" x14ac:dyDescent="0.25">
      <c r="A2075" s="5">
        <v>36585</v>
      </c>
      <c r="B2075">
        <v>47.525481999999997</v>
      </c>
    </row>
    <row r="2076" spans="1:2" x14ac:dyDescent="0.25">
      <c r="A2076" s="5">
        <v>36586</v>
      </c>
      <c r="B2076">
        <v>46.378525000000003</v>
      </c>
    </row>
    <row r="2077" spans="1:2" x14ac:dyDescent="0.25">
      <c r="A2077" s="5">
        <v>36587</v>
      </c>
      <c r="B2077">
        <v>44.10548</v>
      </c>
    </row>
    <row r="2078" spans="1:2" x14ac:dyDescent="0.25">
      <c r="A2078" s="5">
        <v>36588</v>
      </c>
      <c r="B2078">
        <v>44.001209000000003</v>
      </c>
    </row>
    <row r="2079" spans="1:2" x14ac:dyDescent="0.25">
      <c r="A2079" s="5">
        <v>36591</v>
      </c>
      <c r="B2079">
        <v>44.460006999999997</v>
      </c>
    </row>
    <row r="2080" spans="1:2" x14ac:dyDescent="0.25">
      <c r="A2080" s="5">
        <v>36592</v>
      </c>
      <c r="B2080">
        <v>42.708278999999997</v>
      </c>
    </row>
    <row r="2081" spans="1:2" x14ac:dyDescent="0.25">
      <c r="A2081" s="5">
        <v>36593</v>
      </c>
      <c r="B2081">
        <v>43.083660000000002</v>
      </c>
    </row>
    <row r="2082" spans="1:2" x14ac:dyDescent="0.25">
      <c r="A2082" s="5">
        <v>36594</v>
      </c>
      <c r="B2082">
        <v>42.374640999999997</v>
      </c>
    </row>
    <row r="2083" spans="1:2" x14ac:dyDescent="0.25">
      <c r="A2083" s="5">
        <v>36595</v>
      </c>
      <c r="B2083">
        <v>45.419272999999997</v>
      </c>
    </row>
    <row r="2084" spans="1:2" x14ac:dyDescent="0.25">
      <c r="A2084" s="5">
        <v>36598</v>
      </c>
      <c r="B2084">
        <v>43.438170999999997</v>
      </c>
    </row>
    <row r="2085" spans="1:2" x14ac:dyDescent="0.25">
      <c r="A2085" s="5">
        <v>36599</v>
      </c>
      <c r="B2085">
        <v>41.749015999999997</v>
      </c>
    </row>
    <row r="2086" spans="1:2" x14ac:dyDescent="0.25">
      <c r="A2086" s="5">
        <v>36600</v>
      </c>
      <c r="B2086">
        <v>42.708278999999997</v>
      </c>
    </row>
    <row r="2087" spans="1:2" x14ac:dyDescent="0.25">
      <c r="A2087" s="5">
        <v>36601</v>
      </c>
      <c r="B2087">
        <v>44.334873000000002</v>
      </c>
    </row>
    <row r="2088" spans="1:2" x14ac:dyDescent="0.25">
      <c r="A2088" s="5">
        <v>36602</v>
      </c>
      <c r="B2088">
        <v>45.460968000000001</v>
      </c>
    </row>
    <row r="2089" spans="1:2" x14ac:dyDescent="0.25">
      <c r="A2089" s="5">
        <v>36605</v>
      </c>
      <c r="B2089">
        <v>43.250492000000001</v>
      </c>
    </row>
    <row r="2090" spans="1:2" x14ac:dyDescent="0.25">
      <c r="A2090" s="5">
        <v>36606</v>
      </c>
      <c r="B2090">
        <v>44.918781000000003</v>
      </c>
    </row>
    <row r="2091" spans="1:2" x14ac:dyDescent="0.25">
      <c r="A2091" s="5">
        <v>36607</v>
      </c>
      <c r="B2091">
        <v>45.002204999999996</v>
      </c>
    </row>
    <row r="2092" spans="1:2" x14ac:dyDescent="0.25">
      <c r="A2092" s="5">
        <v>36608</v>
      </c>
      <c r="B2092">
        <v>48.088535</v>
      </c>
    </row>
    <row r="2093" spans="1:2" x14ac:dyDescent="0.25">
      <c r="A2093" s="5">
        <v>36609</v>
      </c>
      <c r="B2093">
        <v>48.714142000000002</v>
      </c>
    </row>
    <row r="2094" spans="1:2" x14ac:dyDescent="0.25">
      <c r="A2094" s="5">
        <v>36612</v>
      </c>
      <c r="B2094">
        <v>49.694271000000001</v>
      </c>
    </row>
    <row r="2095" spans="1:2" x14ac:dyDescent="0.25">
      <c r="A2095" s="5">
        <v>36613</v>
      </c>
      <c r="B2095">
        <v>51.654513999999999</v>
      </c>
    </row>
    <row r="2096" spans="1:2" x14ac:dyDescent="0.25">
      <c r="A2096" s="5">
        <v>36614</v>
      </c>
      <c r="B2096">
        <v>52.551215999999997</v>
      </c>
    </row>
    <row r="2097" spans="1:2" x14ac:dyDescent="0.25">
      <c r="A2097" s="5">
        <v>36615</v>
      </c>
      <c r="B2097">
        <v>48.458672</v>
      </c>
    </row>
    <row r="2098" spans="1:2" x14ac:dyDescent="0.25">
      <c r="A2098" s="5">
        <v>36616</v>
      </c>
      <c r="B2098">
        <v>49.819397000000002</v>
      </c>
    </row>
    <row r="2099" spans="1:2" x14ac:dyDescent="0.25">
      <c r="A2099" s="5">
        <v>36619</v>
      </c>
      <c r="B2099">
        <v>46.962440000000001</v>
      </c>
    </row>
    <row r="2100" spans="1:2" x14ac:dyDescent="0.25">
      <c r="A2100" s="5">
        <v>36620</v>
      </c>
      <c r="B2100">
        <v>48.92268</v>
      </c>
    </row>
    <row r="2101" spans="1:2" x14ac:dyDescent="0.25">
      <c r="A2101" s="5">
        <v>36621</v>
      </c>
      <c r="B2101">
        <v>47.129252999999999</v>
      </c>
    </row>
    <row r="2102" spans="1:2" x14ac:dyDescent="0.25">
      <c r="A2102" s="5">
        <v>36622</v>
      </c>
      <c r="B2102">
        <v>46.420245999999999</v>
      </c>
    </row>
    <row r="2103" spans="1:2" x14ac:dyDescent="0.25">
      <c r="A2103" s="5">
        <v>36623</v>
      </c>
      <c r="B2103">
        <v>50.799506999999998</v>
      </c>
    </row>
    <row r="2104" spans="1:2" x14ac:dyDescent="0.25">
      <c r="A2104" s="5">
        <v>36626</v>
      </c>
      <c r="B2104">
        <v>47.108409999999999</v>
      </c>
    </row>
    <row r="2105" spans="1:2" x14ac:dyDescent="0.25">
      <c r="A2105" s="5">
        <v>36627</v>
      </c>
      <c r="B2105">
        <v>45.857193000000002</v>
      </c>
    </row>
    <row r="2106" spans="1:2" x14ac:dyDescent="0.25">
      <c r="A2106" s="5">
        <v>36628</v>
      </c>
      <c r="B2106">
        <v>41.749015999999997</v>
      </c>
    </row>
    <row r="2107" spans="1:2" x14ac:dyDescent="0.25">
      <c r="A2107" s="5">
        <v>36629</v>
      </c>
      <c r="B2107">
        <v>42.207797999999997</v>
      </c>
    </row>
    <row r="2108" spans="1:2" x14ac:dyDescent="0.25">
      <c r="A2108" s="5">
        <v>36630</v>
      </c>
      <c r="B2108">
        <v>35.096699000000001</v>
      </c>
    </row>
    <row r="2109" spans="1:2" x14ac:dyDescent="0.25">
      <c r="A2109" s="5">
        <v>36633</v>
      </c>
      <c r="B2109">
        <v>38.996349000000002</v>
      </c>
    </row>
    <row r="2110" spans="1:2" x14ac:dyDescent="0.25">
      <c r="A2110" s="5">
        <v>36634</v>
      </c>
      <c r="B2110">
        <v>37.432307999999999</v>
      </c>
    </row>
    <row r="2111" spans="1:2" x14ac:dyDescent="0.25">
      <c r="A2111" s="5">
        <v>36635</v>
      </c>
      <c r="B2111">
        <v>38.287318999999997</v>
      </c>
    </row>
    <row r="2112" spans="1:2" x14ac:dyDescent="0.25">
      <c r="A2112" s="5">
        <v>36636</v>
      </c>
      <c r="B2112">
        <v>36.535606000000001</v>
      </c>
    </row>
    <row r="2113" spans="1:2" x14ac:dyDescent="0.25">
      <c r="A2113" s="5">
        <v>36640</v>
      </c>
      <c r="B2113">
        <v>33.240729999999999</v>
      </c>
    </row>
    <row r="2114" spans="1:2" x14ac:dyDescent="0.25">
      <c r="A2114" s="5">
        <v>36641</v>
      </c>
      <c r="B2114">
        <v>35.013306</v>
      </c>
    </row>
    <row r="2115" spans="1:2" x14ac:dyDescent="0.25">
      <c r="A2115" s="5">
        <v>36642</v>
      </c>
      <c r="B2115">
        <v>32.448287999999998</v>
      </c>
    </row>
    <row r="2116" spans="1:2" x14ac:dyDescent="0.25">
      <c r="A2116" s="5">
        <v>36643</v>
      </c>
      <c r="B2116">
        <v>34.533669000000003</v>
      </c>
    </row>
    <row r="2117" spans="1:2" x14ac:dyDescent="0.25">
      <c r="A2117" s="5">
        <v>36644</v>
      </c>
      <c r="B2117">
        <v>36.181094999999999</v>
      </c>
    </row>
    <row r="2118" spans="1:2" x14ac:dyDescent="0.25">
      <c r="A2118" s="5">
        <v>36647</v>
      </c>
      <c r="B2118">
        <v>36.619014999999997</v>
      </c>
    </row>
    <row r="2119" spans="1:2" x14ac:dyDescent="0.25">
      <c r="A2119" s="5">
        <v>36648</v>
      </c>
      <c r="B2119">
        <v>37.932785000000003</v>
      </c>
    </row>
    <row r="2120" spans="1:2" x14ac:dyDescent="0.25">
      <c r="A2120" s="5">
        <v>36649</v>
      </c>
      <c r="B2120">
        <v>37.015250999999999</v>
      </c>
    </row>
    <row r="2121" spans="1:2" x14ac:dyDescent="0.25">
      <c r="A2121" s="5">
        <v>36650</v>
      </c>
      <c r="B2121">
        <v>35.597186999999998</v>
      </c>
    </row>
    <row r="2122" spans="1:2" x14ac:dyDescent="0.25">
      <c r="A2122" s="5">
        <v>36651</v>
      </c>
      <c r="B2122">
        <v>36.619014999999997</v>
      </c>
    </row>
    <row r="2123" spans="1:2" x14ac:dyDescent="0.25">
      <c r="A2123" s="5">
        <v>36654</v>
      </c>
      <c r="B2123">
        <v>34.366824999999999</v>
      </c>
    </row>
    <row r="2124" spans="1:2" x14ac:dyDescent="0.25">
      <c r="A2124" s="5">
        <v>36655</v>
      </c>
      <c r="B2124">
        <v>35.034134000000002</v>
      </c>
    </row>
    <row r="2125" spans="1:2" x14ac:dyDescent="0.25">
      <c r="A2125" s="5">
        <v>36656</v>
      </c>
      <c r="B2125">
        <v>32.469138999999998</v>
      </c>
    </row>
    <row r="2126" spans="1:2" x14ac:dyDescent="0.25">
      <c r="A2126" s="5">
        <v>36657</v>
      </c>
      <c r="B2126">
        <v>33.136459000000002</v>
      </c>
    </row>
    <row r="2127" spans="1:2" x14ac:dyDescent="0.25">
      <c r="A2127" s="5">
        <v>36658</v>
      </c>
      <c r="B2127">
        <v>32.698551000000002</v>
      </c>
    </row>
    <row r="2128" spans="1:2" x14ac:dyDescent="0.25">
      <c r="A2128" s="5">
        <v>36661</v>
      </c>
      <c r="B2128">
        <v>34.804752000000001</v>
      </c>
    </row>
    <row r="2129" spans="1:2" x14ac:dyDescent="0.25">
      <c r="A2129" s="5">
        <v>36662</v>
      </c>
      <c r="B2129">
        <v>36.264515000000003</v>
      </c>
    </row>
    <row r="2130" spans="1:2" x14ac:dyDescent="0.25">
      <c r="A2130" s="5">
        <v>36663</v>
      </c>
      <c r="B2130">
        <v>34.418964000000003</v>
      </c>
    </row>
    <row r="2131" spans="1:2" x14ac:dyDescent="0.25">
      <c r="A2131" s="5">
        <v>36664</v>
      </c>
      <c r="B2131">
        <v>32.34404</v>
      </c>
    </row>
    <row r="2132" spans="1:2" x14ac:dyDescent="0.25">
      <c r="A2132" s="5">
        <v>36665</v>
      </c>
      <c r="B2132">
        <v>29.758181</v>
      </c>
    </row>
    <row r="2133" spans="1:2" x14ac:dyDescent="0.25">
      <c r="A2133" s="5">
        <v>36668</v>
      </c>
      <c r="B2133">
        <v>29.507921</v>
      </c>
    </row>
    <row r="2134" spans="1:2" x14ac:dyDescent="0.25">
      <c r="A2134" s="5">
        <v>36669</v>
      </c>
      <c r="B2134">
        <v>26.484155999999999</v>
      </c>
    </row>
    <row r="2135" spans="1:2" x14ac:dyDescent="0.25">
      <c r="A2135" s="5">
        <v>36670</v>
      </c>
      <c r="B2135">
        <v>25.608288000000002</v>
      </c>
    </row>
    <row r="2136" spans="1:2" x14ac:dyDescent="0.25">
      <c r="A2136" s="5">
        <v>36671</v>
      </c>
      <c r="B2136">
        <v>23.02244</v>
      </c>
    </row>
    <row r="2137" spans="1:2" x14ac:dyDescent="0.25">
      <c r="A2137" s="5">
        <v>36672</v>
      </c>
      <c r="B2137">
        <v>22.042314999999999</v>
      </c>
    </row>
    <row r="2138" spans="1:2" x14ac:dyDescent="0.25">
      <c r="A2138" s="5">
        <v>36676</v>
      </c>
      <c r="B2138">
        <v>25.483170000000001</v>
      </c>
    </row>
    <row r="2139" spans="1:2" x14ac:dyDescent="0.25">
      <c r="A2139" s="5">
        <v>36677</v>
      </c>
      <c r="B2139">
        <v>22.146584000000001</v>
      </c>
    </row>
    <row r="2140" spans="1:2" x14ac:dyDescent="0.25">
      <c r="A2140" s="5">
        <v>36678</v>
      </c>
      <c r="B2140">
        <v>23.02244</v>
      </c>
    </row>
    <row r="2141" spans="1:2" x14ac:dyDescent="0.25">
      <c r="A2141" s="5">
        <v>36679</v>
      </c>
      <c r="B2141">
        <v>24.252800000000001</v>
      </c>
    </row>
    <row r="2142" spans="1:2" x14ac:dyDescent="0.25">
      <c r="A2142" s="5">
        <v>36682</v>
      </c>
      <c r="B2142">
        <v>22.43853</v>
      </c>
    </row>
    <row r="2143" spans="1:2" x14ac:dyDescent="0.25">
      <c r="A2143" s="5">
        <v>36683</v>
      </c>
      <c r="B2143">
        <v>22.980734000000002</v>
      </c>
    </row>
    <row r="2144" spans="1:2" x14ac:dyDescent="0.25">
      <c r="A2144" s="5">
        <v>36684</v>
      </c>
      <c r="B2144">
        <v>24.920124000000001</v>
      </c>
    </row>
    <row r="2145" spans="1:2" x14ac:dyDescent="0.25">
      <c r="A2145" s="5">
        <v>36685</v>
      </c>
      <c r="B2145">
        <v>25.837689999999998</v>
      </c>
    </row>
    <row r="2146" spans="1:2" x14ac:dyDescent="0.25">
      <c r="A2146" s="5">
        <v>36686</v>
      </c>
      <c r="B2146">
        <v>26.379887</v>
      </c>
    </row>
    <row r="2147" spans="1:2" x14ac:dyDescent="0.25">
      <c r="A2147" s="5">
        <v>36689</v>
      </c>
      <c r="B2147">
        <v>27.255731999999998</v>
      </c>
    </row>
    <row r="2148" spans="1:2" x14ac:dyDescent="0.25">
      <c r="A2148" s="5">
        <v>36690</v>
      </c>
      <c r="B2148">
        <v>27.151464000000001</v>
      </c>
    </row>
    <row r="2149" spans="1:2" x14ac:dyDescent="0.25">
      <c r="A2149" s="5">
        <v>36691</v>
      </c>
      <c r="B2149">
        <v>23.522921</v>
      </c>
    </row>
    <row r="2150" spans="1:2" x14ac:dyDescent="0.25">
      <c r="A2150" s="5">
        <v>36692</v>
      </c>
      <c r="B2150">
        <v>20.499144000000001</v>
      </c>
    </row>
    <row r="2151" spans="1:2" x14ac:dyDescent="0.25">
      <c r="A2151" s="5">
        <v>36693</v>
      </c>
      <c r="B2151">
        <v>21.938047000000001</v>
      </c>
    </row>
    <row r="2152" spans="1:2" x14ac:dyDescent="0.25">
      <c r="A2152" s="5">
        <v>36696</v>
      </c>
      <c r="B2152">
        <v>21.750360000000001</v>
      </c>
    </row>
    <row r="2153" spans="1:2" x14ac:dyDescent="0.25">
      <c r="A2153" s="5">
        <v>36697</v>
      </c>
      <c r="B2153">
        <v>20.999635999999999</v>
      </c>
    </row>
    <row r="2154" spans="1:2" x14ac:dyDescent="0.25">
      <c r="A2154" s="5">
        <v>36698</v>
      </c>
      <c r="B2154">
        <v>21.520979000000001</v>
      </c>
    </row>
    <row r="2155" spans="1:2" x14ac:dyDescent="0.25">
      <c r="A2155" s="5">
        <v>36699</v>
      </c>
      <c r="B2155">
        <v>22.772192</v>
      </c>
    </row>
    <row r="2156" spans="1:2" x14ac:dyDescent="0.25">
      <c r="A2156" s="5">
        <v>36700</v>
      </c>
      <c r="B2156">
        <v>22.146584000000001</v>
      </c>
    </row>
    <row r="2157" spans="1:2" x14ac:dyDescent="0.25">
      <c r="A2157" s="5">
        <v>36703</v>
      </c>
      <c r="B2157">
        <v>21.604386999999999</v>
      </c>
    </row>
    <row r="2158" spans="1:2" x14ac:dyDescent="0.25">
      <c r="A2158" s="5">
        <v>36704</v>
      </c>
      <c r="B2158">
        <v>21.249873999999998</v>
      </c>
    </row>
    <row r="2159" spans="1:2" x14ac:dyDescent="0.25">
      <c r="A2159" s="5">
        <v>36705</v>
      </c>
      <c r="B2159">
        <v>21.208169999999999</v>
      </c>
    </row>
    <row r="2160" spans="1:2" x14ac:dyDescent="0.25">
      <c r="A2160" s="5">
        <v>36706</v>
      </c>
      <c r="B2160">
        <v>20.519997</v>
      </c>
    </row>
    <row r="2161" spans="1:2" x14ac:dyDescent="0.25">
      <c r="A2161" s="5">
        <v>36707</v>
      </c>
      <c r="B2161">
        <v>20.019504999999999</v>
      </c>
    </row>
    <row r="2162" spans="1:2" x14ac:dyDescent="0.25">
      <c r="A2162" s="5">
        <v>36710</v>
      </c>
      <c r="B2162">
        <v>20.102920999999998</v>
      </c>
    </row>
    <row r="2163" spans="1:2" x14ac:dyDescent="0.25">
      <c r="A2163" s="5">
        <v>36712</v>
      </c>
      <c r="B2163">
        <v>19.498175</v>
      </c>
    </row>
    <row r="2164" spans="1:2" x14ac:dyDescent="0.25">
      <c r="A2164" s="5">
        <v>36713</v>
      </c>
      <c r="B2164">
        <v>20.582557999999999</v>
      </c>
    </row>
    <row r="2165" spans="1:2" x14ac:dyDescent="0.25">
      <c r="A2165" s="5">
        <v>36714</v>
      </c>
      <c r="B2165">
        <v>18.893415000000001</v>
      </c>
    </row>
    <row r="2166" spans="1:2" x14ac:dyDescent="0.25">
      <c r="A2166" s="5">
        <v>36717</v>
      </c>
      <c r="B2166">
        <v>18.309507</v>
      </c>
    </row>
    <row r="2167" spans="1:2" x14ac:dyDescent="0.25">
      <c r="A2167" s="5">
        <v>36718</v>
      </c>
      <c r="B2167">
        <v>17.683900999999999</v>
      </c>
    </row>
    <row r="2168" spans="1:2" x14ac:dyDescent="0.25">
      <c r="A2168" s="5">
        <v>36719</v>
      </c>
      <c r="B2168">
        <v>20.353172000000001</v>
      </c>
    </row>
    <row r="2169" spans="1:2" x14ac:dyDescent="0.25">
      <c r="A2169" s="5">
        <v>36720</v>
      </c>
      <c r="B2169">
        <v>20.686831000000002</v>
      </c>
    </row>
    <row r="2170" spans="1:2" x14ac:dyDescent="0.25">
      <c r="A2170" s="5">
        <v>36721</v>
      </c>
      <c r="B2170">
        <v>21.041342</v>
      </c>
    </row>
    <row r="2171" spans="1:2" x14ac:dyDescent="0.25">
      <c r="A2171" s="5">
        <v>36724</v>
      </c>
      <c r="B2171">
        <v>23.293534999999999</v>
      </c>
    </row>
    <row r="2172" spans="1:2" x14ac:dyDescent="0.25">
      <c r="A2172" s="5">
        <v>36725</v>
      </c>
      <c r="B2172">
        <v>21.729514999999999</v>
      </c>
    </row>
    <row r="2173" spans="1:2" x14ac:dyDescent="0.25">
      <c r="A2173" s="5">
        <v>36726</v>
      </c>
      <c r="B2173">
        <v>21.020486999999999</v>
      </c>
    </row>
    <row r="2174" spans="1:2" x14ac:dyDescent="0.25">
      <c r="A2174" s="5">
        <v>36727</v>
      </c>
      <c r="B2174">
        <v>21.041342</v>
      </c>
    </row>
    <row r="2175" spans="1:2" x14ac:dyDescent="0.25">
      <c r="A2175" s="5">
        <v>36728</v>
      </c>
      <c r="B2175">
        <v>20.957927999999999</v>
      </c>
    </row>
    <row r="2176" spans="1:2" x14ac:dyDescent="0.25">
      <c r="A2176" s="5">
        <v>36731</v>
      </c>
      <c r="B2176">
        <v>21.229020999999999</v>
      </c>
    </row>
    <row r="2177" spans="1:2" x14ac:dyDescent="0.25">
      <c r="A2177" s="5">
        <v>36732</v>
      </c>
      <c r="B2177">
        <v>22.813901999999999</v>
      </c>
    </row>
    <row r="2178" spans="1:2" x14ac:dyDescent="0.25">
      <c r="A2178" s="5">
        <v>36733</v>
      </c>
      <c r="B2178">
        <v>22.918178999999999</v>
      </c>
    </row>
    <row r="2179" spans="1:2" x14ac:dyDescent="0.25">
      <c r="A2179" s="5">
        <v>36734</v>
      </c>
      <c r="B2179">
        <v>21.875489999999999</v>
      </c>
    </row>
    <row r="2180" spans="1:2" x14ac:dyDescent="0.25">
      <c r="A2180" s="5">
        <v>36735</v>
      </c>
      <c r="B2180">
        <v>20.832809000000001</v>
      </c>
    </row>
    <row r="2181" spans="1:2" x14ac:dyDescent="0.25">
      <c r="A2181" s="5">
        <v>36738</v>
      </c>
      <c r="B2181">
        <v>21.666951999999998</v>
      </c>
    </row>
    <row r="2182" spans="1:2" x14ac:dyDescent="0.25">
      <c r="A2182" s="5">
        <v>36739</v>
      </c>
      <c r="B2182">
        <v>20.999635999999999</v>
      </c>
    </row>
    <row r="2183" spans="1:2" x14ac:dyDescent="0.25">
      <c r="A2183" s="5">
        <v>36740</v>
      </c>
      <c r="B2183">
        <v>20.665976000000001</v>
      </c>
    </row>
    <row r="2184" spans="1:2" x14ac:dyDescent="0.25">
      <c r="A2184" s="5">
        <v>36741</v>
      </c>
      <c r="B2184">
        <v>21.437555</v>
      </c>
    </row>
    <row r="2185" spans="1:2" x14ac:dyDescent="0.25">
      <c r="A2185" s="5">
        <v>36742</v>
      </c>
      <c r="B2185">
        <v>21.354139</v>
      </c>
    </row>
    <row r="2186" spans="1:2" x14ac:dyDescent="0.25">
      <c r="A2186" s="5">
        <v>36745</v>
      </c>
      <c r="B2186">
        <v>21.208169999999999</v>
      </c>
    </row>
    <row r="2187" spans="1:2" x14ac:dyDescent="0.25">
      <c r="A2187" s="5">
        <v>36746</v>
      </c>
      <c r="B2187">
        <v>20.374020000000002</v>
      </c>
    </row>
    <row r="2188" spans="1:2" x14ac:dyDescent="0.25">
      <c r="A2188" s="5">
        <v>36747</v>
      </c>
      <c r="B2188">
        <v>20.499144000000001</v>
      </c>
    </row>
    <row r="2189" spans="1:2" x14ac:dyDescent="0.25">
      <c r="A2189" s="5">
        <v>36748</v>
      </c>
      <c r="B2189">
        <v>20.499144000000001</v>
      </c>
    </row>
    <row r="2190" spans="1:2" x14ac:dyDescent="0.25">
      <c r="A2190" s="5">
        <v>36749</v>
      </c>
      <c r="B2190">
        <v>20.561720000000001</v>
      </c>
    </row>
    <row r="2191" spans="1:2" x14ac:dyDescent="0.25">
      <c r="A2191" s="5">
        <v>36752</v>
      </c>
      <c r="B2191">
        <v>20.895361000000001</v>
      </c>
    </row>
    <row r="2192" spans="1:2" x14ac:dyDescent="0.25">
      <c r="A2192" s="5">
        <v>36753</v>
      </c>
      <c r="B2192">
        <v>20.478297999999999</v>
      </c>
    </row>
    <row r="2193" spans="1:2" x14ac:dyDescent="0.25">
      <c r="A2193" s="5">
        <v>36754</v>
      </c>
      <c r="B2193">
        <v>20.186337000000002</v>
      </c>
    </row>
    <row r="2194" spans="1:2" x14ac:dyDescent="0.25">
      <c r="A2194" s="5">
        <v>36755</v>
      </c>
      <c r="B2194">
        <v>20.207191000000002</v>
      </c>
    </row>
    <row r="2195" spans="1:2" x14ac:dyDescent="0.25">
      <c r="A2195" s="5">
        <v>36756</v>
      </c>
      <c r="B2195">
        <v>19.936088999999999</v>
      </c>
    </row>
    <row r="2196" spans="1:2" x14ac:dyDescent="0.25">
      <c r="A2196" s="5">
        <v>36759</v>
      </c>
      <c r="B2196">
        <v>19.685853999999999</v>
      </c>
    </row>
    <row r="2197" spans="1:2" x14ac:dyDescent="0.25">
      <c r="A2197" s="5">
        <v>36760</v>
      </c>
      <c r="B2197">
        <v>18.893415000000001</v>
      </c>
    </row>
    <row r="2198" spans="1:2" x14ac:dyDescent="0.25">
      <c r="A2198" s="5">
        <v>36761</v>
      </c>
      <c r="B2198">
        <v>18.830850999999999</v>
      </c>
    </row>
    <row r="2199" spans="1:2" x14ac:dyDescent="0.25">
      <c r="A2199" s="5">
        <v>36762</v>
      </c>
      <c r="B2199">
        <v>20.228045000000002</v>
      </c>
    </row>
    <row r="2200" spans="1:2" x14ac:dyDescent="0.25">
      <c r="A2200" s="5">
        <v>36763</v>
      </c>
      <c r="B2200">
        <v>19.644145999999999</v>
      </c>
    </row>
    <row r="2201" spans="1:2" x14ac:dyDescent="0.25">
      <c r="A2201" s="5">
        <v>36766</v>
      </c>
      <c r="B2201">
        <v>19.810974000000002</v>
      </c>
    </row>
    <row r="2202" spans="1:2" x14ac:dyDescent="0.25">
      <c r="A2202" s="5">
        <v>36767</v>
      </c>
      <c r="B2202">
        <v>20.102920999999998</v>
      </c>
    </row>
    <row r="2203" spans="1:2" x14ac:dyDescent="0.25">
      <c r="A2203" s="5">
        <v>36768</v>
      </c>
      <c r="B2203">
        <v>19.456462999999999</v>
      </c>
    </row>
    <row r="2204" spans="1:2" x14ac:dyDescent="0.25">
      <c r="A2204" s="5">
        <v>36769</v>
      </c>
      <c r="B2204">
        <v>19.977803999999999</v>
      </c>
    </row>
    <row r="2205" spans="1:2" x14ac:dyDescent="0.25">
      <c r="A2205" s="5">
        <v>36770</v>
      </c>
      <c r="B2205">
        <v>19.769273999999999</v>
      </c>
    </row>
    <row r="2206" spans="1:2" x14ac:dyDescent="0.25">
      <c r="A2206" s="5">
        <v>36774</v>
      </c>
      <c r="B2206">
        <v>19.810974000000002</v>
      </c>
    </row>
    <row r="2207" spans="1:2" x14ac:dyDescent="0.25">
      <c r="A2207" s="5">
        <v>36775</v>
      </c>
      <c r="B2207">
        <v>20.62426</v>
      </c>
    </row>
    <row r="2208" spans="1:2" x14ac:dyDescent="0.25">
      <c r="A2208" s="5">
        <v>36776</v>
      </c>
      <c r="B2208">
        <v>21.395856999999999</v>
      </c>
    </row>
    <row r="2209" spans="1:2" x14ac:dyDescent="0.25">
      <c r="A2209" s="5">
        <v>36777</v>
      </c>
      <c r="B2209">
        <v>20.540848</v>
      </c>
    </row>
    <row r="2210" spans="1:2" x14ac:dyDescent="0.25">
      <c r="A2210" s="5">
        <v>36780</v>
      </c>
      <c r="B2210">
        <v>19.393902000000001</v>
      </c>
    </row>
    <row r="2211" spans="1:2" x14ac:dyDescent="0.25">
      <c r="A2211" s="5">
        <v>36781</v>
      </c>
      <c r="B2211">
        <v>20.499144000000001</v>
      </c>
    </row>
    <row r="2212" spans="1:2" x14ac:dyDescent="0.25">
      <c r="A2212" s="5">
        <v>36782</v>
      </c>
      <c r="B2212">
        <v>21.354139</v>
      </c>
    </row>
    <row r="2213" spans="1:2" x14ac:dyDescent="0.25">
      <c r="A2213" s="5">
        <v>36783</v>
      </c>
      <c r="B2213">
        <v>20.895361000000001</v>
      </c>
    </row>
    <row r="2214" spans="1:2" x14ac:dyDescent="0.25">
      <c r="A2214" s="5">
        <v>36784</v>
      </c>
      <c r="B2214">
        <v>22.104876000000001</v>
      </c>
    </row>
    <row r="2215" spans="1:2" x14ac:dyDescent="0.25">
      <c r="A2215" s="5">
        <v>36787</v>
      </c>
      <c r="B2215">
        <v>23.293534999999999</v>
      </c>
    </row>
    <row r="2216" spans="1:2" x14ac:dyDescent="0.25">
      <c r="A2216" s="5">
        <v>36788</v>
      </c>
      <c r="B2216">
        <v>25.858523999999999</v>
      </c>
    </row>
    <row r="2217" spans="1:2" x14ac:dyDescent="0.25">
      <c r="A2217" s="5">
        <v>36789</v>
      </c>
      <c r="B2217">
        <v>25.040030000000002</v>
      </c>
    </row>
    <row r="2218" spans="1:2" x14ac:dyDescent="0.25">
      <c r="A2218" s="5">
        <v>36790</v>
      </c>
      <c r="B2218">
        <v>24.002573000000002</v>
      </c>
    </row>
    <row r="2219" spans="1:2" x14ac:dyDescent="0.25">
      <c r="A2219" s="5">
        <v>36791</v>
      </c>
      <c r="B2219">
        <v>24.357071000000001</v>
      </c>
    </row>
    <row r="2220" spans="1:2" x14ac:dyDescent="0.25">
      <c r="A2220" s="5">
        <v>36794</v>
      </c>
      <c r="B2220">
        <v>23.356093999999999</v>
      </c>
    </row>
    <row r="2221" spans="1:2" x14ac:dyDescent="0.25">
      <c r="A2221" s="5">
        <v>36795</v>
      </c>
      <c r="B2221">
        <v>24.482192999999999</v>
      </c>
    </row>
    <row r="2222" spans="1:2" x14ac:dyDescent="0.25">
      <c r="A2222" s="5">
        <v>36796</v>
      </c>
      <c r="B2222">
        <v>24.315370999999999</v>
      </c>
    </row>
    <row r="2223" spans="1:2" x14ac:dyDescent="0.25">
      <c r="A2223" s="5">
        <v>36797</v>
      </c>
      <c r="B2223">
        <v>24.961838</v>
      </c>
    </row>
    <row r="2224" spans="1:2" x14ac:dyDescent="0.25">
      <c r="A2224" s="5">
        <v>36798</v>
      </c>
      <c r="B2224">
        <v>23.77317</v>
      </c>
    </row>
    <row r="2225" spans="1:2" x14ac:dyDescent="0.25">
      <c r="A2225" s="5">
        <v>36801</v>
      </c>
      <c r="B2225">
        <v>23.794028999999998</v>
      </c>
    </row>
    <row r="2226" spans="1:2" x14ac:dyDescent="0.25">
      <c r="A2226" s="5">
        <v>36802</v>
      </c>
      <c r="B2226">
        <v>24.190245000000001</v>
      </c>
    </row>
    <row r="2227" spans="1:2" x14ac:dyDescent="0.25">
      <c r="A2227" s="5">
        <v>36803</v>
      </c>
      <c r="B2227">
        <v>26.171333000000001</v>
      </c>
    </row>
    <row r="2228" spans="1:2" x14ac:dyDescent="0.25">
      <c r="A2228" s="5">
        <v>36804</v>
      </c>
      <c r="B2228">
        <v>27.651941000000001</v>
      </c>
    </row>
    <row r="2229" spans="1:2" x14ac:dyDescent="0.25">
      <c r="A2229" s="5">
        <v>36805</v>
      </c>
      <c r="B2229">
        <v>25.962795</v>
      </c>
    </row>
    <row r="2230" spans="1:2" x14ac:dyDescent="0.25">
      <c r="A2230" s="5">
        <v>36808</v>
      </c>
      <c r="B2230">
        <v>26.484155999999999</v>
      </c>
    </row>
    <row r="2231" spans="1:2" x14ac:dyDescent="0.25">
      <c r="A2231" s="5">
        <v>36809</v>
      </c>
      <c r="B2231">
        <v>26.588415000000001</v>
      </c>
    </row>
    <row r="2232" spans="1:2" x14ac:dyDescent="0.25">
      <c r="A2232" s="5">
        <v>36810</v>
      </c>
      <c r="B2232">
        <v>23.522921</v>
      </c>
    </row>
    <row r="2233" spans="1:2" x14ac:dyDescent="0.25">
      <c r="A2233" s="5">
        <v>36811</v>
      </c>
      <c r="B2233">
        <v>21.479271000000001</v>
      </c>
    </row>
    <row r="2234" spans="1:2" x14ac:dyDescent="0.25">
      <c r="A2234" s="5">
        <v>36812</v>
      </c>
      <c r="B2234">
        <v>23.335255</v>
      </c>
    </row>
    <row r="2235" spans="1:2" x14ac:dyDescent="0.25">
      <c r="A2235" s="5">
        <v>36815</v>
      </c>
      <c r="B2235">
        <v>25.691701999999999</v>
      </c>
    </row>
    <row r="2236" spans="1:2" x14ac:dyDescent="0.25">
      <c r="A2236" s="5">
        <v>36816</v>
      </c>
      <c r="B2236">
        <v>24.753298000000001</v>
      </c>
    </row>
    <row r="2237" spans="1:2" x14ac:dyDescent="0.25">
      <c r="A2237" s="5">
        <v>36817</v>
      </c>
      <c r="B2237">
        <v>24.961838</v>
      </c>
    </row>
    <row r="2238" spans="1:2" x14ac:dyDescent="0.25">
      <c r="A2238" s="5">
        <v>36818</v>
      </c>
      <c r="B2238">
        <v>25.691701999999999</v>
      </c>
    </row>
    <row r="2239" spans="1:2" x14ac:dyDescent="0.25">
      <c r="A2239" s="5">
        <v>36819</v>
      </c>
      <c r="B2239">
        <v>24.940977</v>
      </c>
    </row>
    <row r="2240" spans="1:2" x14ac:dyDescent="0.25">
      <c r="A2240" s="5">
        <v>36822</v>
      </c>
      <c r="B2240">
        <v>24.565605000000001</v>
      </c>
    </row>
    <row r="2241" spans="1:2" x14ac:dyDescent="0.25">
      <c r="A2241" s="5">
        <v>36823</v>
      </c>
      <c r="B2241">
        <v>23.689747000000001</v>
      </c>
    </row>
    <row r="2242" spans="1:2" x14ac:dyDescent="0.25">
      <c r="A2242" s="5">
        <v>36824</v>
      </c>
      <c r="B2242">
        <v>21.938047000000001</v>
      </c>
    </row>
    <row r="2243" spans="1:2" x14ac:dyDescent="0.25">
      <c r="A2243" s="5">
        <v>36825</v>
      </c>
      <c r="B2243">
        <v>23.960851999999999</v>
      </c>
    </row>
    <row r="2244" spans="1:2" x14ac:dyDescent="0.25">
      <c r="A2244" s="5">
        <v>36826</v>
      </c>
      <c r="B2244">
        <v>24.982669999999999</v>
      </c>
    </row>
    <row r="2245" spans="1:2" x14ac:dyDescent="0.25">
      <c r="A2245" s="5">
        <v>36829</v>
      </c>
      <c r="B2245">
        <v>22.730484000000001</v>
      </c>
    </row>
    <row r="2246" spans="1:2" x14ac:dyDescent="0.25">
      <c r="A2246" s="5">
        <v>36830</v>
      </c>
      <c r="B2246">
        <v>21.724302000000002</v>
      </c>
    </row>
    <row r="2247" spans="1:2" x14ac:dyDescent="0.25">
      <c r="A2247" s="5">
        <v>36831</v>
      </c>
      <c r="B2247">
        <v>20.519997</v>
      </c>
    </row>
    <row r="2248" spans="1:2" x14ac:dyDescent="0.25">
      <c r="A2248" s="5">
        <v>36832</v>
      </c>
      <c r="B2248">
        <v>20.957927999999999</v>
      </c>
    </row>
    <row r="2249" spans="1:2" x14ac:dyDescent="0.25">
      <c r="A2249" s="5">
        <v>36833</v>
      </c>
      <c r="B2249">
        <v>23.522921</v>
      </c>
    </row>
    <row r="2250" spans="1:2" x14ac:dyDescent="0.25">
      <c r="A2250" s="5">
        <v>36836</v>
      </c>
      <c r="B2250">
        <v>23.543779000000001</v>
      </c>
    </row>
    <row r="2251" spans="1:2" x14ac:dyDescent="0.25">
      <c r="A2251" s="5">
        <v>36837</v>
      </c>
      <c r="B2251">
        <v>24.607315</v>
      </c>
    </row>
    <row r="2252" spans="1:2" x14ac:dyDescent="0.25">
      <c r="A2252" s="5">
        <v>36838</v>
      </c>
      <c r="B2252">
        <v>23.043292999999998</v>
      </c>
    </row>
    <row r="2253" spans="1:2" x14ac:dyDescent="0.25">
      <c r="A2253" s="5">
        <v>36839</v>
      </c>
      <c r="B2253">
        <v>24.252800000000001</v>
      </c>
    </row>
    <row r="2254" spans="1:2" x14ac:dyDescent="0.25">
      <c r="A2254" s="5">
        <v>36840</v>
      </c>
      <c r="B2254">
        <v>24.669875999999999</v>
      </c>
    </row>
    <row r="2255" spans="1:2" x14ac:dyDescent="0.25">
      <c r="A2255" s="5">
        <v>36843</v>
      </c>
      <c r="B2255">
        <v>25.045249999999999</v>
      </c>
    </row>
    <row r="2256" spans="1:2" x14ac:dyDescent="0.25">
      <c r="A2256" s="5">
        <v>36844</v>
      </c>
      <c r="B2256">
        <v>26.817803999999999</v>
      </c>
    </row>
    <row r="2257" spans="1:2" x14ac:dyDescent="0.25">
      <c r="A2257" s="5">
        <v>36845</v>
      </c>
      <c r="B2257">
        <v>28.089884000000001</v>
      </c>
    </row>
    <row r="2258" spans="1:2" x14ac:dyDescent="0.25">
      <c r="A2258" s="5">
        <v>36846</v>
      </c>
      <c r="B2258">
        <v>29.382805000000001</v>
      </c>
    </row>
    <row r="2259" spans="1:2" x14ac:dyDescent="0.25">
      <c r="A2259" s="5">
        <v>36847</v>
      </c>
      <c r="B2259">
        <v>29.633058999999999</v>
      </c>
    </row>
    <row r="2260" spans="1:2" x14ac:dyDescent="0.25">
      <c r="A2260" s="5">
        <v>36850</v>
      </c>
      <c r="B2260">
        <v>28.235866999999999</v>
      </c>
    </row>
    <row r="2261" spans="1:2" x14ac:dyDescent="0.25">
      <c r="A2261" s="5">
        <v>36851</v>
      </c>
      <c r="B2261">
        <v>29.195115999999999</v>
      </c>
    </row>
    <row r="2262" spans="1:2" x14ac:dyDescent="0.25">
      <c r="A2262" s="5">
        <v>36852</v>
      </c>
      <c r="B2262">
        <v>26.338173000000001</v>
      </c>
    </row>
    <row r="2263" spans="1:2" x14ac:dyDescent="0.25">
      <c r="A2263" s="5">
        <v>36854</v>
      </c>
      <c r="B2263">
        <v>28.194144999999999</v>
      </c>
    </row>
    <row r="2264" spans="1:2" x14ac:dyDescent="0.25">
      <c r="A2264" s="5">
        <v>36857</v>
      </c>
      <c r="B2264">
        <v>29.841584999999998</v>
      </c>
    </row>
    <row r="2265" spans="1:2" x14ac:dyDescent="0.25">
      <c r="A2265" s="5">
        <v>36858</v>
      </c>
      <c r="B2265">
        <v>27.850058000000001</v>
      </c>
    </row>
    <row r="2266" spans="1:2" x14ac:dyDescent="0.25">
      <c r="A2266" s="5">
        <v>36859</v>
      </c>
      <c r="B2266">
        <v>27.568539000000001</v>
      </c>
    </row>
    <row r="2267" spans="1:2" x14ac:dyDescent="0.25">
      <c r="A2267" s="5">
        <v>36860</v>
      </c>
      <c r="B2267">
        <v>26.7761</v>
      </c>
    </row>
    <row r="2268" spans="1:2" x14ac:dyDescent="0.25">
      <c r="A2268" s="5">
        <v>36861</v>
      </c>
      <c r="B2268">
        <v>27.693653000000001</v>
      </c>
    </row>
    <row r="2269" spans="1:2" x14ac:dyDescent="0.25">
      <c r="A2269" s="5">
        <v>36864</v>
      </c>
      <c r="B2269">
        <v>30.029267999999998</v>
      </c>
    </row>
    <row r="2270" spans="1:2" x14ac:dyDescent="0.25">
      <c r="A2270" s="5">
        <v>36865</v>
      </c>
      <c r="B2270">
        <v>33.240729999999999</v>
      </c>
    </row>
    <row r="2271" spans="1:2" x14ac:dyDescent="0.25">
      <c r="A2271" s="5">
        <v>36866</v>
      </c>
      <c r="B2271">
        <v>33.157322000000001</v>
      </c>
    </row>
    <row r="2272" spans="1:2" x14ac:dyDescent="0.25">
      <c r="A2272" s="5">
        <v>36867</v>
      </c>
      <c r="B2272">
        <v>34.846451000000002</v>
      </c>
    </row>
    <row r="2273" spans="1:2" x14ac:dyDescent="0.25">
      <c r="A2273" s="5">
        <v>36868</v>
      </c>
      <c r="B2273">
        <v>34.450240999999998</v>
      </c>
    </row>
    <row r="2274" spans="1:2" x14ac:dyDescent="0.25">
      <c r="A2274" s="5">
        <v>36871</v>
      </c>
      <c r="B2274">
        <v>33.199024000000001</v>
      </c>
    </row>
    <row r="2275" spans="1:2" x14ac:dyDescent="0.25">
      <c r="A2275" s="5">
        <v>36872</v>
      </c>
      <c r="B2275">
        <v>29.966715000000001</v>
      </c>
    </row>
    <row r="2276" spans="1:2" x14ac:dyDescent="0.25">
      <c r="A2276" s="5">
        <v>36873</v>
      </c>
      <c r="B2276">
        <v>30.467188</v>
      </c>
    </row>
    <row r="2277" spans="1:2" x14ac:dyDescent="0.25">
      <c r="A2277" s="5">
        <v>36874</v>
      </c>
      <c r="B2277">
        <v>29.382805000000001</v>
      </c>
    </row>
    <row r="2278" spans="1:2" x14ac:dyDescent="0.25">
      <c r="A2278" s="5">
        <v>36875</v>
      </c>
      <c r="B2278">
        <v>26.546707000000001</v>
      </c>
    </row>
    <row r="2279" spans="1:2" x14ac:dyDescent="0.25">
      <c r="A2279" s="5">
        <v>36878</v>
      </c>
      <c r="B2279">
        <v>28.506964</v>
      </c>
    </row>
    <row r="2280" spans="1:2" x14ac:dyDescent="0.25">
      <c r="A2280" s="5">
        <v>36879</v>
      </c>
      <c r="B2280">
        <v>27.839639999999999</v>
      </c>
    </row>
    <row r="2281" spans="1:2" x14ac:dyDescent="0.25">
      <c r="A2281" s="5">
        <v>36880</v>
      </c>
      <c r="B2281">
        <v>25.733405999999999</v>
      </c>
    </row>
    <row r="2282" spans="1:2" x14ac:dyDescent="0.25">
      <c r="A2282" s="5">
        <v>36881</v>
      </c>
      <c r="B2282">
        <v>25.295484999999999</v>
      </c>
    </row>
    <row r="2283" spans="1:2" x14ac:dyDescent="0.25">
      <c r="A2283" s="5">
        <v>36882</v>
      </c>
      <c r="B2283">
        <v>28.360970999999999</v>
      </c>
    </row>
    <row r="2284" spans="1:2" x14ac:dyDescent="0.25">
      <c r="A2284" s="5">
        <v>36886</v>
      </c>
      <c r="B2284">
        <v>27.964763999999999</v>
      </c>
    </row>
    <row r="2285" spans="1:2" x14ac:dyDescent="0.25">
      <c r="A2285" s="5">
        <v>36887</v>
      </c>
      <c r="B2285">
        <v>29.987563999999999</v>
      </c>
    </row>
    <row r="2286" spans="1:2" x14ac:dyDescent="0.25">
      <c r="A2286" s="5">
        <v>36888</v>
      </c>
      <c r="B2286">
        <v>29.820726000000001</v>
      </c>
    </row>
    <row r="2287" spans="1:2" x14ac:dyDescent="0.25">
      <c r="A2287" s="5">
        <v>36889</v>
      </c>
      <c r="B2287">
        <v>27.422557999999999</v>
      </c>
    </row>
    <row r="2288" spans="1:2" x14ac:dyDescent="0.25">
      <c r="A2288" s="5">
        <v>36893</v>
      </c>
      <c r="B2288">
        <v>23.648047999999999</v>
      </c>
    </row>
    <row r="2289" spans="1:2" x14ac:dyDescent="0.25">
      <c r="A2289" s="5">
        <v>36894</v>
      </c>
      <c r="B2289">
        <v>28.048158999999998</v>
      </c>
    </row>
    <row r="2290" spans="1:2" x14ac:dyDescent="0.25">
      <c r="A2290" s="5">
        <v>36895</v>
      </c>
      <c r="B2290">
        <v>26.338173000000001</v>
      </c>
    </row>
    <row r="2291" spans="1:2" x14ac:dyDescent="0.25">
      <c r="A2291" s="5">
        <v>36896</v>
      </c>
      <c r="B2291">
        <v>24.377925999999999</v>
      </c>
    </row>
    <row r="2292" spans="1:2" x14ac:dyDescent="0.25">
      <c r="A2292" s="5">
        <v>36899</v>
      </c>
      <c r="B2292">
        <v>25.983657999999998</v>
      </c>
    </row>
    <row r="2293" spans="1:2" x14ac:dyDescent="0.25">
      <c r="A2293" s="5">
        <v>36900</v>
      </c>
      <c r="B2293">
        <v>24.440487000000001</v>
      </c>
    </row>
    <row r="2294" spans="1:2" x14ac:dyDescent="0.25">
      <c r="A2294" s="5">
        <v>36901</v>
      </c>
      <c r="B2294">
        <v>24.169388000000001</v>
      </c>
    </row>
    <row r="2295" spans="1:2" x14ac:dyDescent="0.25">
      <c r="A2295" s="5">
        <v>36902</v>
      </c>
      <c r="B2295">
        <v>23.543779000000001</v>
      </c>
    </row>
    <row r="2296" spans="1:2" x14ac:dyDescent="0.25">
      <c r="A2296" s="5">
        <v>36903</v>
      </c>
      <c r="B2296">
        <v>23.960851999999999</v>
      </c>
    </row>
    <row r="2297" spans="1:2" x14ac:dyDescent="0.25">
      <c r="A2297" s="5">
        <v>36907</v>
      </c>
      <c r="B2297">
        <v>23.668901000000002</v>
      </c>
    </row>
    <row r="2298" spans="1:2" x14ac:dyDescent="0.25">
      <c r="A2298" s="5">
        <v>36908</v>
      </c>
      <c r="B2298">
        <v>24.357071000000001</v>
      </c>
    </row>
    <row r="2299" spans="1:2" x14ac:dyDescent="0.25">
      <c r="A2299" s="5">
        <v>36909</v>
      </c>
      <c r="B2299">
        <v>24.377925999999999</v>
      </c>
    </row>
    <row r="2300" spans="1:2" x14ac:dyDescent="0.25">
      <c r="A2300" s="5">
        <v>36910</v>
      </c>
      <c r="B2300">
        <v>23.48122</v>
      </c>
    </row>
    <row r="2301" spans="1:2" x14ac:dyDescent="0.25">
      <c r="A2301" s="5">
        <v>36913</v>
      </c>
      <c r="B2301">
        <v>25.170361</v>
      </c>
    </row>
    <row r="2302" spans="1:2" x14ac:dyDescent="0.25">
      <c r="A2302" s="5">
        <v>36914</v>
      </c>
      <c r="B2302">
        <v>25.900244000000001</v>
      </c>
    </row>
    <row r="2303" spans="1:2" x14ac:dyDescent="0.25">
      <c r="A2303" s="5">
        <v>36915</v>
      </c>
      <c r="B2303">
        <v>24.774137</v>
      </c>
    </row>
    <row r="2304" spans="1:2" x14ac:dyDescent="0.25">
      <c r="A2304" s="5">
        <v>36916</v>
      </c>
      <c r="B2304">
        <v>24.669875999999999</v>
      </c>
    </row>
    <row r="2305" spans="1:2" x14ac:dyDescent="0.25">
      <c r="A2305" s="5">
        <v>36917</v>
      </c>
      <c r="B2305">
        <v>27.026337000000002</v>
      </c>
    </row>
    <row r="2306" spans="1:2" x14ac:dyDescent="0.25">
      <c r="A2306" s="5">
        <v>36920</v>
      </c>
      <c r="B2306">
        <v>28.965727000000001</v>
      </c>
    </row>
    <row r="2307" spans="1:2" x14ac:dyDescent="0.25">
      <c r="A2307" s="5">
        <v>36921</v>
      </c>
      <c r="B2307">
        <v>28.590358999999999</v>
      </c>
    </row>
    <row r="2308" spans="1:2" x14ac:dyDescent="0.25">
      <c r="A2308" s="5">
        <v>36922</v>
      </c>
      <c r="B2308">
        <v>28.048158999999998</v>
      </c>
    </row>
    <row r="2309" spans="1:2" x14ac:dyDescent="0.25">
      <c r="A2309" s="5">
        <v>36923</v>
      </c>
      <c r="B2309">
        <v>28.444400999999999</v>
      </c>
    </row>
    <row r="2310" spans="1:2" x14ac:dyDescent="0.25">
      <c r="A2310" s="5">
        <v>36924</v>
      </c>
      <c r="B2310">
        <v>28.965727000000001</v>
      </c>
    </row>
    <row r="2311" spans="1:2" x14ac:dyDescent="0.25">
      <c r="A2311" s="5">
        <v>36927</v>
      </c>
      <c r="B2311">
        <v>28.840606999999999</v>
      </c>
    </row>
    <row r="2312" spans="1:2" x14ac:dyDescent="0.25">
      <c r="A2312" s="5">
        <v>36928</v>
      </c>
      <c r="B2312">
        <v>27.672812</v>
      </c>
    </row>
    <row r="2313" spans="1:2" x14ac:dyDescent="0.25">
      <c r="A2313" s="5">
        <v>36929</v>
      </c>
      <c r="B2313">
        <v>28.903165999999999</v>
      </c>
    </row>
    <row r="2314" spans="1:2" x14ac:dyDescent="0.25">
      <c r="A2314" s="5">
        <v>36930</v>
      </c>
      <c r="B2314">
        <v>28.277560999999999</v>
      </c>
    </row>
    <row r="2315" spans="1:2" x14ac:dyDescent="0.25">
      <c r="A2315" s="5">
        <v>36931</v>
      </c>
      <c r="B2315">
        <v>26.400734</v>
      </c>
    </row>
    <row r="2316" spans="1:2" x14ac:dyDescent="0.25">
      <c r="A2316" s="5">
        <v>36934</v>
      </c>
      <c r="B2316">
        <v>27.651941000000001</v>
      </c>
    </row>
    <row r="2317" spans="1:2" x14ac:dyDescent="0.25">
      <c r="A2317" s="5">
        <v>36935</v>
      </c>
      <c r="B2317">
        <v>26.85951</v>
      </c>
    </row>
    <row r="2318" spans="1:2" x14ac:dyDescent="0.25">
      <c r="A2318" s="5">
        <v>36936</v>
      </c>
      <c r="B2318">
        <v>27.818769</v>
      </c>
    </row>
    <row r="2319" spans="1:2" x14ac:dyDescent="0.25">
      <c r="A2319" s="5">
        <v>36937</v>
      </c>
      <c r="B2319">
        <v>28.569513000000001</v>
      </c>
    </row>
    <row r="2320" spans="1:2" x14ac:dyDescent="0.25">
      <c r="A2320" s="5">
        <v>36938</v>
      </c>
      <c r="B2320">
        <v>26.901215000000001</v>
      </c>
    </row>
    <row r="2321" spans="1:2" x14ac:dyDescent="0.25">
      <c r="A2321" s="5">
        <v>36942</v>
      </c>
      <c r="B2321">
        <v>25.196429999999999</v>
      </c>
    </row>
    <row r="2322" spans="1:2" x14ac:dyDescent="0.25">
      <c r="A2322" s="5">
        <v>36943</v>
      </c>
      <c r="B2322">
        <v>23.77317</v>
      </c>
    </row>
    <row r="2323" spans="1:2" x14ac:dyDescent="0.25">
      <c r="A2323" s="5">
        <v>36944</v>
      </c>
      <c r="B2323">
        <v>22.334267000000001</v>
      </c>
    </row>
    <row r="2324" spans="1:2" x14ac:dyDescent="0.25">
      <c r="A2324" s="5">
        <v>36945</v>
      </c>
      <c r="B2324">
        <v>20.62426</v>
      </c>
    </row>
    <row r="2325" spans="1:2" x14ac:dyDescent="0.25">
      <c r="A2325" s="5">
        <v>36948</v>
      </c>
      <c r="B2325">
        <v>21.041342</v>
      </c>
    </row>
    <row r="2326" spans="1:2" x14ac:dyDescent="0.25">
      <c r="A2326" s="5">
        <v>36949</v>
      </c>
      <c r="B2326">
        <v>18.559754999999999</v>
      </c>
    </row>
    <row r="2327" spans="1:2" x14ac:dyDescent="0.25">
      <c r="A2327" s="5">
        <v>36950</v>
      </c>
      <c r="B2327">
        <v>18.288661999999999</v>
      </c>
    </row>
    <row r="2328" spans="1:2" x14ac:dyDescent="0.25">
      <c r="A2328" s="5">
        <v>36951</v>
      </c>
      <c r="B2328">
        <v>20.415724000000001</v>
      </c>
    </row>
    <row r="2329" spans="1:2" x14ac:dyDescent="0.25">
      <c r="A2329" s="5">
        <v>36952</v>
      </c>
      <c r="B2329">
        <v>20.186337000000002</v>
      </c>
    </row>
    <row r="2330" spans="1:2" x14ac:dyDescent="0.25">
      <c r="A2330" s="5">
        <v>36955</v>
      </c>
      <c r="B2330">
        <v>20.999635999999999</v>
      </c>
    </row>
    <row r="2331" spans="1:2" x14ac:dyDescent="0.25">
      <c r="A2331" s="5">
        <v>36956</v>
      </c>
      <c r="B2331">
        <v>19.706713000000001</v>
      </c>
    </row>
    <row r="2332" spans="1:2" x14ac:dyDescent="0.25">
      <c r="A2332" s="5">
        <v>36957</v>
      </c>
      <c r="B2332">
        <v>19.227076</v>
      </c>
    </row>
    <row r="2333" spans="1:2" x14ac:dyDescent="0.25">
      <c r="A2333" s="5">
        <v>36958</v>
      </c>
      <c r="B2333">
        <v>19.101946000000002</v>
      </c>
    </row>
    <row r="2334" spans="1:2" x14ac:dyDescent="0.25">
      <c r="A2334" s="5">
        <v>36959</v>
      </c>
      <c r="B2334">
        <v>17.329393</v>
      </c>
    </row>
    <row r="2335" spans="1:2" x14ac:dyDescent="0.25">
      <c r="A2335" s="5">
        <v>36962</v>
      </c>
      <c r="B2335">
        <v>16.036473999999998</v>
      </c>
    </row>
    <row r="2336" spans="1:2" x14ac:dyDescent="0.25">
      <c r="A2336" s="5">
        <v>36963</v>
      </c>
      <c r="B2336">
        <v>17.621344000000001</v>
      </c>
    </row>
    <row r="2337" spans="1:2" x14ac:dyDescent="0.25">
      <c r="A2337" s="5">
        <v>36964</v>
      </c>
      <c r="B2337">
        <v>17.120857000000001</v>
      </c>
    </row>
    <row r="2338" spans="1:2" x14ac:dyDescent="0.25">
      <c r="A2338" s="5">
        <v>36965</v>
      </c>
      <c r="B2338">
        <v>17.412796</v>
      </c>
    </row>
    <row r="2339" spans="1:2" x14ac:dyDescent="0.25">
      <c r="A2339" s="5">
        <v>36966</v>
      </c>
      <c r="B2339">
        <v>16.787192999999998</v>
      </c>
    </row>
    <row r="2340" spans="1:2" x14ac:dyDescent="0.25">
      <c r="A2340" s="5">
        <v>36969</v>
      </c>
      <c r="B2340">
        <v>19.414750999999999</v>
      </c>
    </row>
    <row r="2341" spans="1:2" x14ac:dyDescent="0.25">
      <c r="A2341" s="5">
        <v>36970</v>
      </c>
      <c r="B2341">
        <v>18.017558999999999</v>
      </c>
    </row>
    <row r="2342" spans="1:2" x14ac:dyDescent="0.25">
      <c r="A2342" s="5">
        <v>36971</v>
      </c>
      <c r="B2342">
        <v>19.393902000000001</v>
      </c>
    </row>
    <row r="2343" spans="1:2" x14ac:dyDescent="0.25">
      <c r="A2343" s="5">
        <v>36972</v>
      </c>
      <c r="B2343">
        <v>18.976831000000001</v>
      </c>
    </row>
    <row r="2344" spans="1:2" x14ac:dyDescent="0.25">
      <c r="A2344" s="5">
        <v>36973</v>
      </c>
      <c r="B2344">
        <v>19.644145999999999</v>
      </c>
    </row>
    <row r="2345" spans="1:2" x14ac:dyDescent="0.25">
      <c r="A2345" s="5">
        <v>36976</v>
      </c>
      <c r="B2345">
        <v>18.893415000000001</v>
      </c>
    </row>
    <row r="2346" spans="1:2" x14ac:dyDescent="0.25">
      <c r="A2346" s="5">
        <v>36977</v>
      </c>
      <c r="B2346">
        <v>19.977803999999999</v>
      </c>
    </row>
    <row r="2347" spans="1:2" x14ac:dyDescent="0.25">
      <c r="A2347" s="5">
        <v>36978</v>
      </c>
      <c r="B2347">
        <v>18.288661999999999</v>
      </c>
    </row>
    <row r="2348" spans="1:2" x14ac:dyDescent="0.25">
      <c r="A2348" s="5">
        <v>36979</v>
      </c>
      <c r="B2348">
        <v>18.246960000000001</v>
      </c>
    </row>
    <row r="2349" spans="1:2" x14ac:dyDescent="0.25">
      <c r="A2349" s="5">
        <v>36980</v>
      </c>
      <c r="B2349">
        <v>18.893415000000001</v>
      </c>
    </row>
    <row r="2350" spans="1:2" x14ac:dyDescent="0.25">
      <c r="A2350" s="5">
        <v>36983</v>
      </c>
      <c r="B2350">
        <v>17.183413000000002</v>
      </c>
    </row>
    <row r="2351" spans="1:2" x14ac:dyDescent="0.25">
      <c r="A2351" s="5">
        <v>36984</v>
      </c>
      <c r="B2351">
        <v>15.264874000000001</v>
      </c>
    </row>
    <row r="2352" spans="1:2" x14ac:dyDescent="0.25">
      <c r="A2352" s="5">
        <v>36985</v>
      </c>
      <c r="B2352">
        <v>14.639268</v>
      </c>
    </row>
    <row r="2353" spans="1:2" x14ac:dyDescent="0.25">
      <c r="A2353" s="5">
        <v>36986</v>
      </c>
      <c r="B2353">
        <v>15.994761</v>
      </c>
    </row>
    <row r="2354" spans="1:2" x14ac:dyDescent="0.25">
      <c r="A2354" s="5">
        <v>36987</v>
      </c>
      <c r="B2354">
        <v>14.889512</v>
      </c>
    </row>
    <row r="2355" spans="1:2" x14ac:dyDescent="0.25">
      <c r="A2355" s="5">
        <v>36990</v>
      </c>
      <c r="B2355">
        <v>15.094718</v>
      </c>
    </row>
    <row r="2356" spans="1:2" x14ac:dyDescent="0.25">
      <c r="A2356" s="5">
        <v>36991</v>
      </c>
      <c r="B2356">
        <v>16.282533999999998</v>
      </c>
    </row>
    <row r="2357" spans="1:2" x14ac:dyDescent="0.25">
      <c r="A2357" s="5">
        <v>36992</v>
      </c>
      <c r="B2357">
        <v>17.046603999999999</v>
      </c>
    </row>
    <row r="2358" spans="1:2" x14ac:dyDescent="0.25">
      <c r="A2358" s="5">
        <v>36993</v>
      </c>
      <c r="B2358">
        <v>17.697258000000001</v>
      </c>
    </row>
    <row r="2359" spans="1:2" x14ac:dyDescent="0.25">
      <c r="A2359" s="5">
        <v>36997</v>
      </c>
      <c r="B2359">
        <v>16.139057000000001</v>
      </c>
    </row>
    <row r="2360" spans="1:2" x14ac:dyDescent="0.25">
      <c r="A2360" s="5">
        <v>36998</v>
      </c>
      <c r="B2360">
        <v>16.936508</v>
      </c>
    </row>
    <row r="2361" spans="1:2" x14ac:dyDescent="0.25">
      <c r="A2361" s="5">
        <v>36999</v>
      </c>
      <c r="B2361">
        <v>19.602437999999999</v>
      </c>
    </row>
    <row r="2362" spans="1:2" x14ac:dyDescent="0.25">
      <c r="A2362" s="5">
        <v>37000</v>
      </c>
      <c r="B2362">
        <v>22.131564999999998</v>
      </c>
    </row>
    <row r="2363" spans="1:2" x14ac:dyDescent="0.25">
      <c r="A2363" s="5">
        <v>37001</v>
      </c>
      <c r="B2363">
        <v>21.297423999999999</v>
      </c>
    </row>
    <row r="2364" spans="1:2" x14ac:dyDescent="0.25">
      <c r="A2364" s="5">
        <v>37004</v>
      </c>
      <c r="B2364">
        <v>19.418925999999999</v>
      </c>
    </row>
    <row r="2365" spans="1:2" x14ac:dyDescent="0.25">
      <c r="A2365" s="5">
        <v>37005</v>
      </c>
      <c r="B2365">
        <v>19.852684</v>
      </c>
    </row>
    <row r="2366" spans="1:2" x14ac:dyDescent="0.25">
      <c r="A2366" s="5">
        <v>37006</v>
      </c>
      <c r="B2366">
        <v>21.013815000000001</v>
      </c>
    </row>
    <row r="2367" spans="1:2" x14ac:dyDescent="0.25">
      <c r="A2367" s="5">
        <v>37007</v>
      </c>
      <c r="B2367">
        <v>19.368879</v>
      </c>
    </row>
    <row r="2368" spans="1:2" x14ac:dyDescent="0.25">
      <c r="A2368" s="5">
        <v>37008</v>
      </c>
      <c r="B2368">
        <v>18.784977000000001</v>
      </c>
    </row>
    <row r="2369" spans="1:2" x14ac:dyDescent="0.25">
      <c r="A2369" s="5">
        <v>37011</v>
      </c>
      <c r="B2369">
        <v>19.138649000000001</v>
      </c>
    </row>
    <row r="2370" spans="1:2" x14ac:dyDescent="0.25">
      <c r="A2370" s="5">
        <v>37012</v>
      </c>
      <c r="B2370">
        <v>20.603418000000001</v>
      </c>
    </row>
    <row r="2371" spans="1:2" x14ac:dyDescent="0.25">
      <c r="A2371" s="5">
        <v>37013</v>
      </c>
      <c r="B2371">
        <v>20.052880999999999</v>
      </c>
    </row>
    <row r="2372" spans="1:2" x14ac:dyDescent="0.25">
      <c r="A2372" s="5">
        <v>37014</v>
      </c>
      <c r="B2372">
        <v>19.632477000000002</v>
      </c>
    </row>
    <row r="2373" spans="1:2" x14ac:dyDescent="0.25">
      <c r="A2373" s="5">
        <v>37015</v>
      </c>
      <c r="B2373">
        <v>20.550025999999999</v>
      </c>
    </row>
    <row r="2374" spans="1:2" x14ac:dyDescent="0.25">
      <c r="A2374" s="5">
        <v>37018</v>
      </c>
      <c r="B2374">
        <v>20.183001999999998</v>
      </c>
    </row>
    <row r="2375" spans="1:2" x14ac:dyDescent="0.25">
      <c r="A2375" s="5">
        <v>37019</v>
      </c>
      <c r="B2375">
        <v>20.703500999999999</v>
      </c>
    </row>
    <row r="2376" spans="1:2" x14ac:dyDescent="0.25">
      <c r="A2376" s="5">
        <v>37020</v>
      </c>
      <c r="B2376">
        <v>19.779271999999999</v>
      </c>
    </row>
    <row r="2377" spans="1:2" x14ac:dyDescent="0.25">
      <c r="A2377" s="5">
        <v>37021</v>
      </c>
      <c r="B2377">
        <v>19.555728999999999</v>
      </c>
    </row>
    <row r="2378" spans="1:2" x14ac:dyDescent="0.25">
      <c r="A2378" s="5">
        <v>37022</v>
      </c>
      <c r="B2378">
        <v>19.335505000000001</v>
      </c>
    </row>
    <row r="2379" spans="1:2" x14ac:dyDescent="0.25">
      <c r="A2379" s="5">
        <v>37025</v>
      </c>
      <c r="B2379">
        <v>18.99184</v>
      </c>
    </row>
    <row r="2380" spans="1:2" x14ac:dyDescent="0.25">
      <c r="A2380" s="5">
        <v>37026</v>
      </c>
      <c r="B2380">
        <v>19.852684</v>
      </c>
    </row>
    <row r="2381" spans="1:2" x14ac:dyDescent="0.25">
      <c r="A2381" s="5">
        <v>37027</v>
      </c>
      <c r="B2381">
        <v>21.607728999999999</v>
      </c>
    </row>
    <row r="2382" spans="1:2" x14ac:dyDescent="0.25">
      <c r="A2382" s="5">
        <v>37028</v>
      </c>
      <c r="B2382">
        <v>22.138245000000001</v>
      </c>
    </row>
    <row r="2383" spans="1:2" x14ac:dyDescent="0.25">
      <c r="A2383" s="5">
        <v>37029</v>
      </c>
      <c r="B2383">
        <v>21.814598</v>
      </c>
    </row>
    <row r="2384" spans="1:2" x14ac:dyDescent="0.25">
      <c r="A2384" s="5">
        <v>37032</v>
      </c>
      <c r="B2384">
        <v>23.689747000000001</v>
      </c>
    </row>
    <row r="2385" spans="1:2" x14ac:dyDescent="0.25">
      <c r="A2385" s="5">
        <v>37033</v>
      </c>
      <c r="B2385">
        <v>23.326070999999999</v>
      </c>
    </row>
    <row r="2386" spans="1:2" x14ac:dyDescent="0.25">
      <c r="A2386" s="5">
        <v>37034</v>
      </c>
      <c r="B2386">
        <v>22.725489</v>
      </c>
    </row>
    <row r="2387" spans="1:2" x14ac:dyDescent="0.25">
      <c r="A2387" s="5">
        <v>37035</v>
      </c>
      <c r="B2387">
        <v>23.356093999999999</v>
      </c>
    </row>
    <row r="2388" spans="1:2" x14ac:dyDescent="0.25">
      <c r="A2388" s="5">
        <v>37036</v>
      </c>
      <c r="B2388">
        <v>22.528618000000002</v>
      </c>
    </row>
    <row r="2389" spans="1:2" x14ac:dyDescent="0.25">
      <c r="A2389" s="5">
        <v>37040</v>
      </c>
      <c r="B2389">
        <v>22.081522</v>
      </c>
    </row>
    <row r="2390" spans="1:2" x14ac:dyDescent="0.25">
      <c r="A2390" s="5">
        <v>37041</v>
      </c>
      <c r="B2390">
        <v>20.626778000000002</v>
      </c>
    </row>
    <row r="2391" spans="1:2" x14ac:dyDescent="0.25">
      <c r="A2391" s="5">
        <v>37042</v>
      </c>
      <c r="B2391">
        <v>20.26642</v>
      </c>
    </row>
    <row r="2392" spans="1:2" x14ac:dyDescent="0.25">
      <c r="A2392" s="5">
        <v>37043</v>
      </c>
      <c r="B2392">
        <v>20.550025999999999</v>
      </c>
    </row>
    <row r="2393" spans="1:2" x14ac:dyDescent="0.25">
      <c r="A2393" s="5">
        <v>37046</v>
      </c>
      <c r="B2393">
        <v>20.666801</v>
      </c>
    </row>
    <row r="2394" spans="1:2" x14ac:dyDescent="0.25">
      <c r="A2394" s="5">
        <v>37047</v>
      </c>
      <c r="B2394">
        <v>21.193992999999999</v>
      </c>
    </row>
    <row r="2395" spans="1:2" x14ac:dyDescent="0.25">
      <c r="A2395" s="5">
        <v>37048</v>
      </c>
      <c r="B2395">
        <v>20.846983000000002</v>
      </c>
    </row>
    <row r="2396" spans="1:2" x14ac:dyDescent="0.25">
      <c r="A2396" s="5">
        <v>37049</v>
      </c>
      <c r="B2396">
        <v>21.687805000000001</v>
      </c>
    </row>
    <row r="2397" spans="1:2" x14ac:dyDescent="0.25">
      <c r="A2397" s="5">
        <v>37050</v>
      </c>
      <c r="B2397">
        <v>20.433252</v>
      </c>
    </row>
    <row r="2398" spans="1:2" x14ac:dyDescent="0.25">
      <c r="A2398" s="5">
        <v>37053</v>
      </c>
      <c r="B2398">
        <v>19.946110000000001</v>
      </c>
    </row>
    <row r="2399" spans="1:2" x14ac:dyDescent="0.25">
      <c r="A2399" s="5">
        <v>37054</v>
      </c>
      <c r="B2399">
        <v>19.342186000000002</v>
      </c>
    </row>
    <row r="2400" spans="1:2" x14ac:dyDescent="0.25">
      <c r="A2400" s="5">
        <v>37055</v>
      </c>
      <c r="B2400">
        <v>18.090961</v>
      </c>
    </row>
    <row r="2401" spans="1:2" x14ac:dyDescent="0.25">
      <c r="A2401" s="5">
        <v>37056</v>
      </c>
      <c r="B2401">
        <v>17.183413000000002</v>
      </c>
    </row>
    <row r="2402" spans="1:2" x14ac:dyDescent="0.25">
      <c r="A2402" s="5">
        <v>37057</v>
      </c>
      <c r="B2402">
        <v>16.466049000000002</v>
      </c>
    </row>
    <row r="2403" spans="1:2" x14ac:dyDescent="0.25">
      <c r="A2403" s="5">
        <v>37060</v>
      </c>
      <c r="B2403">
        <v>16.696273999999999</v>
      </c>
    </row>
    <row r="2404" spans="1:2" x14ac:dyDescent="0.25">
      <c r="A2404" s="5">
        <v>37061</v>
      </c>
      <c r="B2404">
        <v>16.786362</v>
      </c>
    </row>
    <row r="2405" spans="1:2" x14ac:dyDescent="0.25">
      <c r="A2405" s="5">
        <v>37062</v>
      </c>
      <c r="B2405">
        <v>16.165749000000002</v>
      </c>
    </row>
    <row r="2406" spans="1:2" x14ac:dyDescent="0.25">
      <c r="A2406" s="5">
        <v>37063</v>
      </c>
      <c r="B2406">
        <v>17.517067000000001</v>
      </c>
    </row>
    <row r="2407" spans="1:2" x14ac:dyDescent="0.25">
      <c r="A2407" s="5">
        <v>37064</v>
      </c>
      <c r="B2407">
        <v>18.027574999999999</v>
      </c>
    </row>
    <row r="2408" spans="1:2" x14ac:dyDescent="0.25">
      <c r="A2408" s="5">
        <v>37067</v>
      </c>
      <c r="B2408">
        <v>18.134338</v>
      </c>
    </row>
    <row r="2409" spans="1:2" x14ac:dyDescent="0.25">
      <c r="A2409" s="5">
        <v>37068</v>
      </c>
      <c r="B2409">
        <v>17.834053000000001</v>
      </c>
    </row>
    <row r="2410" spans="1:2" x14ac:dyDescent="0.25">
      <c r="A2410" s="5">
        <v>37069</v>
      </c>
      <c r="B2410">
        <v>18.538065</v>
      </c>
    </row>
    <row r="2411" spans="1:2" x14ac:dyDescent="0.25">
      <c r="A2411" s="5">
        <v>37070</v>
      </c>
      <c r="B2411">
        <v>19.218733</v>
      </c>
    </row>
    <row r="2412" spans="1:2" x14ac:dyDescent="0.25">
      <c r="A2412" s="5">
        <v>37071</v>
      </c>
      <c r="B2412">
        <v>19.512350000000001</v>
      </c>
    </row>
    <row r="2413" spans="1:2" x14ac:dyDescent="0.25">
      <c r="A2413" s="5">
        <v>37074</v>
      </c>
      <c r="B2413">
        <v>19.308819</v>
      </c>
    </row>
    <row r="2414" spans="1:2" x14ac:dyDescent="0.25">
      <c r="A2414" s="5">
        <v>37075</v>
      </c>
      <c r="B2414">
        <v>21.310776000000001</v>
      </c>
    </row>
    <row r="2415" spans="1:2" x14ac:dyDescent="0.25">
      <c r="A2415" s="5">
        <v>37077</v>
      </c>
      <c r="B2415">
        <v>20.489968999999999</v>
      </c>
    </row>
    <row r="2416" spans="1:2" x14ac:dyDescent="0.25">
      <c r="A2416" s="5">
        <v>37078</v>
      </c>
      <c r="B2416">
        <v>19.412255999999999</v>
      </c>
    </row>
    <row r="2417" spans="1:2" x14ac:dyDescent="0.25">
      <c r="A2417" s="5">
        <v>37081</v>
      </c>
      <c r="B2417">
        <v>20.593399000000002</v>
      </c>
    </row>
    <row r="2418" spans="1:2" x14ac:dyDescent="0.25">
      <c r="A2418" s="5">
        <v>37082</v>
      </c>
      <c r="B2418">
        <v>19.702534</v>
      </c>
    </row>
    <row r="2419" spans="1:2" x14ac:dyDescent="0.25">
      <c r="A2419" s="5">
        <v>37083</v>
      </c>
      <c r="B2419">
        <v>18.83503</v>
      </c>
    </row>
    <row r="2420" spans="1:2" x14ac:dyDescent="0.25">
      <c r="A2420" s="5">
        <v>37084</v>
      </c>
      <c r="B2420">
        <v>21.140609999999999</v>
      </c>
    </row>
    <row r="2421" spans="1:2" x14ac:dyDescent="0.25">
      <c r="A2421" s="5">
        <v>37085</v>
      </c>
      <c r="B2421">
        <v>21.881329000000001</v>
      </c>
    </row>
    <row r="2422" spans="1:2" x14ac:dyDescent="0.25">
      <c r="A2422" s="5">
        <v>37088</v>
      </c>
      <c r="B2422">
        <v>21.390844000000001</v>
      </c>
    </row>
    <row r="2423" spans="1:2" x14ac:dyDescent="0.25">
      <c r="A2423" s="5">
        <v>37089</v>
      </c>
      <c r="B2423">
        <v>21.584372999999999</v>
      </c>
    </row>
    <row r="2424" spans="1:2" x14ac:dyDescent="0.25">
      <c r="A2424" s="5">
        <v>37090</v>
      </c>
      <c r="B2424">
        <v>20.870335000000001</v>
      </c>
    </row>
    <row r="2425" spans="1:2" x14ac:dyDescent="0.25">
      <c r="A2425" s="5">
        <v>37091</v>
      </c>
      <c r="B2425">
        <v>21.921364000000001</v>
      </c>
    </row>
    <row r="2426" spans="1:2" x14ac:dyDescent="0.25">
      <c r="A2426" s="5">
        <v>37092</v>
      </c>
      <c r="B2426">
        <v>21.514305</v>
      </c>
    </row>
    <row r="2427" spans="1:2" x14ac:dyDescent="0.25">
      <c r="A2427" s="5">
        <v>37095</v>
      </c>
      <c r="B2427">
        <v>20.303121999999998</v>
      </c>
    </row>
    <row r="2428" spans="1:2" x14ac:dyDescent="0.25">
      <c r="A2428" s="5">
        <v>37096</v>
      </c>
      <c r="B2428">
        <v>19.268774000000001</v>
      </c>
    </row>
    <row r="2429" spans="1:2" x14ac:dyDescent="0.25">
      <c r="A2429" s="5">
        <v>37097</v>
      </c>
      <c r="B2429">
        <v>19.882717</v>
      </c>
    </row>
    <row r="2430" spans="1:2" x14ac:dyDescent="0.25">
      <c r="A2430" s="5">
        <v>37098</v>
      </c>
      <c r="B2430">
        <v>19.906071000000001</v>
      </c>
    </row>
    <row r="2431" spans="1:2" x14ac:dyDescent="0.25">
      <c r="A2431" s="5">
        <v>37099</v>
      </c>
      <c r="B2431">
        <v>21.080549000000001</v>
      </c>
    </row>
    <row r="2432" spans="1:2" x14ac:dyDescent="0.25">
      <c r="A2432" s="5">
        <v>37102</v>
      </c>
      <c r="B2432">
        <v>21.390844000000001</v>
      </c>
    </row>
    <row r="2433" spans="1:2" x14ac:dyDescent="0.25">
      <c r="A2433" s="5">
        <v>37103</v>
      </c>
      <c r="B2433">
        <v>21.097227</v>
      </c>
    </row>
    <row r="2434" spans="1:2" x14ac:dyDescent="0.25">
      <c r="A2434" s="5">
        <v>37104</v>
      </c>
      <c r="B2434">
        <v>21.811253000000001</v>
      </c>
    </row>
    <row r="2435" spans="1:2" x14ac:dyDescent="0.25">
      <c r="A2435" s="5">
        <v>37105</v>
      </c>
      <c r="B2435">
        <v>22.802216999999999</v>
      </c>
    </row>
    <row r="2436" spans="1:2" x14ac:dyDescent="0.25">
      <c r="A2436" s="5">
        <v>37106</v>
      </c>
      <c r="B2436">
        <v>22.308406999999999</v>
      </c>
    </row>
    <row r="2437" spans="1:2" x14ac:dyDescent="0.25">
      <c r="A2437" s="5">
        <v>37109</v>
      </c>
      <c r="B2437">
        <v>22.455214999999999</v>
      </c>
    </row>
    <row r="2438" spans="1:2" x14ac:dyDescent="0.25">
      <c r="A2438" s="5">
        <v>37110</v>
      </c>
      <c r="B2438">
        <v>22.541969000000002</v>
      </c>
    </row>
    <row r="2439" spans="1:2" x14ac:dyDescent="0.25">
      <c r="A2439" s="5">
        <v>37111</v>
      </c>
      <c r="B2439">
        <v>21.717827</v>
      </c>
    </row>
    <row r="2440" spans="1:2" x14ac:dyDescent="0.25">
      <c r="A2440" s="5">
        <v>37112</v>
      </c>
      <c r="B2440">
        <v>21.928038000000001</v>
      </c>
    </row>
    <row r="2441" spans="1:2" x14ac:dyDescent="0.25">
      <c r="A2441" s="5">
        <v>37113</v>
      </c>
      <c r="B2441">
        <v>21.277412000000002</v>
      </c>
    </row>
    <row r="2442" spans="1:2" x14ac:dyDescent="0.25">
      <c r="A2442" s="5">
        <v>37116</v>
      </c>
      <c r="B2442">
        <v>22.221664000000001</v>
      </c>
    </row>
    <row r="2443" spans="1:2" x14ac:dyDescent="0.25">
      <c r="A2443" s="5">
        <v>37117</v>
      </c>
      <c r="B2443">
        <v>21.998114000000001</v>
      </c>
    </row>
    <row r="2444" spans="1:2" x14ac:dyDescent="0.25">
      <c r="A2444" s="5">
        <v>37118</v>
      </c>
      <c r="B2444">
        <v>21.197327000000001</v>
      </c>
    </row>
    <row r="2445" spans="1:2" x14ac:dyDescent="0.25">
      <c r="A2445" s="5">
        <v>37119</v>
      </c>
      <c r="B2445">
        <v>21.624407000000001</v>
      </c>
    </row>
    <row r="2446" spans="1:2" x14ac:dyDescent="0.25">
      <c r="A2446" s="5">
        <v>37120</v>
      </c>
      <c r="B2446">
        <v>20.540019999999998</v>
      </c>
    </row>
    <row r="2447" spans="1:2" x14ac:dyDescent="0.25">
      <c r="A2447" s="5">
        <v>37123</v>
      </c>
      <c r="B2447">
        <v>21.257390999999998</v>
      </c>
    </row>
    <row r="2448" spans="1:2" x14ac:dyDescent="0.25">
      <c r="A2448" s="5">
        <v>37124</v>
      </c>
      <c r="B2448">
        <v>20.833632999999999</v>
      </c>
    </row>
    <row r="2449" spans="1:2" x14ac:dyDescent="0.25">
      <c r="A2449" s="5">
        <v>37125</v>
      </c>
      <c r="B2449">
        <v>21.270727000000001</v>
      </c>
    </row>
    <row r="2450" spans="1:2" x14ac:dyDescent="0.25">
      <c r="A2450" s="5">
        <v>37126</v>
      </c>
      <c r="B2450">
        <v>21.003806999999998</v>
      </c>
    </row>
    <row r="2451" spans="1:2" x14ac:dyDescent="0.25">
      <c r="A2451" s="5">
        <v>37127</v>
      </c>
      <c r="B2451">
        <v>22.058163</v>
      </c>
    </row>
    <row r="2452" spans="1:2" x14ac:dyDescent="0.25">
      <c r="A2452" s="5">
        <v>37130</v>
      </c>
      <c r="B2452">
        <v>21.677792</v>
      </c>
    </row>
    <row r="2453" spans="1:2" x14ac:dyDescent="0.25">
      <c r="A2453" s="5">
        <v>37131</v>
      </c>
      <c r="B2453">
        <v>20.953754</v>
      </c>
    </row>
    <row r="2454" spans="1:2" x14ac:dyDescent="0.25">
      <c r="A2454" s="5">
        <v>37132</v>
      </c>
      <c r="B2454">
        <v>20.927063</v>
      </c>
    </row>
    <row r="2455" spans="1:2" x14ac:dyDescent="0.25">
      <c r="A2455" s="5">
        <v>37133</v>
      </c>
      <c r="B2455">
        <v>19.882717</v>
      </c>
    </row>
    <row r="2456" spans="1:2" x14ac:dyDescent="0.25">
      <c r="A2456" s="5">
        <v>37134</v>
      </c>
      <c r="B2456">
        <v>19.635802999999999</v>
      </c>
    </row>
    <row r="2457" spans="1:2" x14ac:dyDescent="0.25">
      <c r="A2457" s="5">
        <v>37138</v>
      </c>
      <c r="B2457">
        <v>18.117660999999998</v>
      </c>
    </row>
    <row r="2458" spans="1:2" x14ac:dyDescent="0.25">
      <c r="A2458" s="5">
        <v>37139</v>
      </c>
      <c r="B2458">
        <v>17.753965000000001</v>
      </c>
    </row>
    <row r="2459" spans="1:2" x14ac:dyDescent="0.25">
      <c r="A2459" s="5">
        <v>37140</v>
      </c>
      <c r="B2459">
        <v>16.185777999999999</v>
      </c>
    </row>
    <row r="2460" spans="1:2" x14ac:dyDescent="0.25">
      <c r="A2460" s="5">
        <v>37141</v>
      </c>
      <c r="B2460">
        <v>16.409324999999999</v>
      </c>
    </row>
    <row r="2461" spans="1:2" x14ac:dyDescent="0.25">
      <c r="A2461" s="5">
        <v>37144</v>
      </c>
      <c r="B2461">
        <v>16.863098000000001</v>
      </c>
    </row>
    <row r="2462" spans="1:2" x14ac:dyDescent="0.25">
      <c r="A2462" s="5">
        <v>37151</v>
      </c>
      <c r="B2462">
        <v>15.278223000000001</v>
      </c>
    </row>
    <row r="2463" spans="1:2" x14ac:dyDescent="0.25">
      <c r="A2463" s="5">
        <v>37152</v>
      </c>
      <c r="B2463">
        <v>15.471745</v>
      </c>
    </row>
    <row r="2464" spans="1:2" x14ac:dyDescent="0.25">
      <c r="A2464" s="5">
        <v>37153</v>
      </c>
      <c r="B2464">
        <v>15.014633999999999</v>
      </c>
    </row>
    <row r="2465" spans="1:2" x14ac:dyDescent="0.25">
      <c r="A2465" s="5">
        <v>37154</v>
      </c>
      <c r="B2465">
        <v>15.194808999999999</v>
      </c>
    </row>
    <row r="2466" spans="1:2" x14ac:dyDescent="0.25">
      <c r="A2466" s="5">
        <v>37155</v>
      </c>
      <c r="B2466">
        <v>14.977935</v>
      </c>
    </row>
    <row r="2467" spans="1:2" x14ac:dyDescent="0.25">
      <c r="A2467" s="5">
        <v>37158</v>
      </c>
      <c r="B2467">
        <v>15.882142999999999</v>
      </c>
    </row>
    <row r="2468" spans="1:2" x14ac:dyDescent="0.25">
      <c r="A2468" s="5">
        <v>37159</v>
      </c>
      <c r="B2468">
        <v>16.289206</v>
      </c>
    </row>
    <row r="2469" spans="1:2" x14ac:dyDescent="0.25">
      <c r="A2469" s="5">
        <v>37160</v>
      </c>
      <c r="B2469">
        <v>15.458397</v>
      </c>
    </row>
    <row r="2470" spans="1:2" x14ac:dyDescent="0.25">
      <c r="A2470" s="5">
        <v>37161</v>
      </c>
      <c r="B2470">
        <v>15.868797000000001</v>
      </c>
    </row>
    <row r="2471" spans="1:2" x14ac:dyDescent="0.25">
      <c r="A2471" s="5">
        <v>37162</v>
      </c>
      <c r="B2471">
        <v>15.862128999999999</v>
      </c>
    </row>
    <row r="2472" spans="1:2" x14ac:dyDescent="0.25">
      <c r="A2472" s="5">
        <v>37165</v>
      </c>
      <c r="B2472">
        <v>14.947901999999999</v>
      </c>
    </row>
    <row r="2473" spans="1:2" x14ac:dyDescent="0.25">
      <c r="A2473" s="5">
        <v>37166</v>
      </c>
      <c r="B2473">
        <v>15.304919</v>
      </c>
    </row>
    <row r="2474" spans="1:2" x14ac:dyDescent="0.25">
      <c r="A2474" s="5">
        <v>37167</v>
      </c>
      <c r="B2474">
        <v>14.951241</v>
      </c>
    </row>
    <row r="2475" spans="1:2" x14ac:dyDescent="0.25">
      <c r="A2475" s="5">
        <v>37168</v>
      </c>
      <c r="B2475">
        <v>14.013659000000001</v>
      </c>
    </row>
    <row r="2476" spans="1:2" x14ac:dyDescent="0.25">
      <c r="A2476" s="5">
        <v>37169</v>
      </c>
      <c r="B2476">
        <v>12.832504</v>
      </c>
    </row>
    <row r="2477" spans="1:2" x14ac:dyDescent="0.25">
      <c r="A2477" s="5">
        <v>37172</v>
      </c>
      <c r="B2477">
        <v>13.753405000000001</v>
      </c>
    </row>
    <row r="2478" spans="1:2" x14ac:dyDescent="0.25">
      <c r="A2478" s="5">
        <v>37173</v>
      </c>
      <c r="B2478">
        <v>13.629949999999999</v>
      </c>
    </row>
    <row r="2479" spans="1:2" x14ac:dyDescent="0.25">
      <c r="A2479" s="5">
        <v>37174</v>
      </c>
      <c r="B2479">
        <v>14.981266</v>
      </c>
    </row>
    <row r="2480" spans="1:2" x14ac:dyDescent="0.25">
      <c r="A2480" s="5">
        <v>37175</v>
      </c>
      <c r="B2480">
        <v>16.576162</v>
      </c>
    </row>
    <row r="2481" spans="1:2" x14ac:dyDescent="0.25">
      <c r="A2481" s="5">
        <v>37176</v>
      </c>
      <c r="B2481">
        <v>16.516089999999998</v>
      </c>
    </row>
    <row r="2482" spans="1:2" x14ac:dyDescent="0.25">
      <c r="A2482" s="5">
        <v>37179</v>
      </c>
      <c r="B2482">
        <v>16.866430000000001</v>
      </c>
    </row>
    <row r="2483" spans="1:2" x14ac:dyDescent="0.25">
      <c r="A2483" s="5">
        <v>37180</v>
      </c>
      <c r="B2483">
        <v>16.632874000000001</v>
      </c>
    </row>
    <row r="2484" spans="1:2" x14ac:dyDescent="0.25">
      <c r="A2484" s="5">
        <v>37181</v>
      </c>
      <c r="B2484">
        <v>15.561842</v>
      </c>
    </row>
    <row r="2485" spans="1:2" x14ac:dyDescent="0.25">
      <c r="A2485" s="5">
        <v>37182</v>
      </c>
      <c r="B2485">
        <v>15.812078</v>
      </c>
    </row>
    <row r="2486" spans="1:2" x14ac:dyDescent="0.25">
      <c r="A2486" s="5">
        <v>37183</v>
      </c>
      <c r="B2486">
        <v>16.115713</v>
      </c>
    </row>
    <row r="2487" spans="1:2" x14ac:dyDescent="0.25">
      <c r="A2487" s="5">
        <v>37186</v>
      </c>
      <c r="B2487">
        <v>16.125715</v>
      </c>
    </row>
    <row r="2488" spans="1:2" x14ac:dyDescent="0.25">
      <c r="A2488" s="5">
        <v>37187</v>
      </c>
      <c r="B2488">
        <v>16.466049000000002</v>
      </c>
    </row>
    <row r="2489" spans="1:2" x14ac:dyDescent="0.25">
      <c r="A2489" s="5">
        <v>37188</v>
      </c>
      <c r="B2489">
        <v>17.763981000000001</v>
      </c>
    </row>
    <row r="2490" spans="1:2" x14ac:dyDescent="0.25">
      <c r="A2490" s="5">
        <v>37189</v>
      </c>
      <c r="B2490">
        <v>18.638165000000001</v>
      </c>
    </row>
    <row r="2491" spans="1:2" x14ac:dyDescent="0.25">
      <c r="A2491" s="5">
        <v>37190</v>
      </c>
      <c r="B2491">
        <v>18.441306999999998</v>
      </c>
    </row>
    <row r="2492" spans="1:2" x14ac:dyDescent="0.25">
      <c r="A2492" s="5">
        <v>37193</v>
      </c>
      <c r="B2492">
        <v>17.450330999999998</v>
      </c>
    </row>
    <row r="2493" spans="1:2" x14ac:dyDescent="0.25">
      <c r="A2493" s="5">
        <v>37194</v>
      </c>
      <c r="B2493">
        <v>16.245836000000001</v>
      </c>
    </row>
    <row r="2494" spans="1:2" x14ac:dyDescent="0.25">
      <c r="A2494" s="5">
        <v>37195</v>
      </c>
      <c r="B2494">
        <v>16.389306999999999</v>
      </c>
    </row>
    <row r="2495" spans="1:2" x14ac:dyDescent="0.25">
      <c r="A2495" s="5">
        <v>37196</v>
      </c>
      <c r="B2495">
        <v>17.226790999999999</v>
      </c>
    </row>
    <row r="2496" spans="1:2" x14ac:dyDescent="0.25">
      <c r="A2496" s="5">
        <v>37197</v>
      </c>
      <c r="B2496">
        <v>17.857409000000001</v>
      </c>
    </row>
    <row r="2497" spans="1:2" x14ac:dyDescent="0.25">
      <c r="A2497" s="5">
        <v>37200</v>
      </c>
      <c r="B2497">
        <v>17.710595999999999</v>
      </c>
    </row>
    <row r="2498" spans="1:2" x14ac:dyDescent="0.25">
      <c r="A2498" s="5">
        <v>37201</v>
      </c>
      <c r="B2498">
        <v>18.261133000000001</v>
      </c>
    </row>
    <row r="2499" spans="1:2" x14ac:dyDescent="0.25">
      <c r="A2499" s="5">
        <v>37202</v>
      </c>
      <c r="B2499">
        <v>18.387931999999999</v>
      </c>
    </row>
    <row r="2500" spans="1:2" x14ac:dyDescent="0.25">
      <c r="A2500" s="5">
        <v>37203</v>
      </c>
      <c r="B2500">
        <v>18.781631000000001</v>
      </c>
    </row>
    <row r="2501" spans="1:2" x14ac:dyDescent="0.25">
      <c r="A2501" s="5">
        <v>37204</v>
      </c>
      <c r="B2501">
        <v>18.491350000000001</v>
      </c>
    </row>
    <row r="2502" spans="1:2" x14ac:dyDescent="0.25">
      <c r="A2502" s="5">
        <v>37207</v>
      </c>
      <c r="B2502">
        <v>18.761621000000002</v>
      </c>
    </row>
    <row r="2503" spans="1:2" x14ac:dyDescent="0.25">
      <c r="A2503" s="5">
        <v>37208</v>
      </c>
      <c r="B2503">
        <v>19.205390999999999</v>
      </c>
    </row>
    <row r="2504" spans="1:2" x14ac:dyDescent="0.25">
      <c r="A2504" s="5">
        <v>37209</v>
      </c>
      <c r="B2504">
        <v>19.375551000000002</v>
      </c>
    </row>
    <row r="2505" spans="1:2" x14ac:dyDescent="0.25">
      <c r="A2505" s="5">
        <v>37210</v>
      </c>
      <c r="B2505">
        <v>19.672509999999999</v>
      </c>
    </row>
    <row r="2506" spans="1:2" x14ac:dyDescent="0.25">
      <c r="A2506" s="5">
        <v>37211</v>
      </c>
      <c r="B2506">
        <v>20.046209000000001</v>
      </c>
    </row>
    <row r="2507" spans="1:2" x14ac:dyDescent="0.25">
      <c r="A2507" s="5">
        <v>37214</v>
      </c>
      <c r="B2507">
        <v>20.843651000000001</v>
      </c>
    </row>
    <row r="2508" spans="1:2" x14ac:dyDescent="0.25">
      <c r="A2508" s="5">
        <v>37215</v>
      </c>
      <c r="B2508">
        <v>19.759253999999999</v>
      </c>
    </row>
    <row r="2509" spans="1:2" x14ac:dyDescent="0.25">
      <c r="A2509" s="5">
        <v>37216</v>
      </c>
      <c r="B2509">
        <v>19.946110000000001</v>
      </c>
    </row>
    <row r="2510" spans="1:2" x14ac:dyDescent="0.25">
      <c r="A2510" s="5">
        <v>37218</v>
      </c>
      <c r="B2510">
        <v>20.456600000000002</v>
      </c>
    </row>
    <row r="2511" spans="1:2" x14ac:dyDescent="0.25">
      <c r="A2511" s="5">
        <v>37221</v>
      </c>
      <c r="B2511">
        <v>20.152982999999999</v>
      </c>
    </row>
    <row r="2512" spans="1:2" x14ac:dyDescent="0.25">
      <c r="A2512" s="5">
        <v>37222</v>
      </c>
      <c r="B2512">
        <v>20.026184000000001</v>
      </c>
    </row>
    <row r="2513" spans="1:2" x14ac:dyDescent="0.25">
      <c r="A2513" s="5">
        <v>37223</v>
      </c>
      <c r="B2513">
        <v>19.115297000000002</v>
      </c>
    </row>
    <row r="2514" spans="1:2" x14ac:dyDescent="0.25">
      <c r="A2514" s="5">
        <v>37224</v>
      </c>
      <c r="B2514">
        <v>19.492334</v>
      </c>
    </row>
    <row r="2515" spans="1:2" x14ac:dyDescent="0.25">
      <c r="A2515" s="5">
        <v>37225</v>
      </c>
      <c r="B2515">
        <v>19.592424000000001</v>
      </c>
    </row>
    <row r="2516" spans="1:2" x14ac:dyDescent="0.25">
      <c r="A2516" s="5">
        <v>37228</v>
      </c>
      <c r="B2516">
        <v>19.111955999999999</v>
      </c>
    </row>
    <row r="2517" spans="1:2" x14ac:dyDescent="0.25">
      <c r="A2517" s="5">
        <v>37229</v>
      </c>
      <c r="B2517">
        <v>19.989483</v>
      </c>
    </row>
    <row r="2518" spans="1:2" x14ac:dyDescent="0.25">
      <c r="A2518" s="5">
        <v>37230</v>
      </c>
      <c r="B2518">
        <v>20.683495000000001</v>
      </c>
    </row>
    <row r="2519" spans="1:2" x14ac:dyDescent="0.25">
      <c r="A2519" s="5">
        <v>37231</v>
      </c>
      <c r="B2519">
        <v>20.032855999999999</v>
      </c>
    </row>
    <row r="2520" spans="1:2" x14ac:dyDescent="0.25">
      <c r="A2520" s="5">
        <v>37232</v>
      </c>
      <c r="B2520">
        <v>19.008527999999998</v>
      </c>
    </row>
    <row r="2521" spans="1:2" x14ac:dyDescent="0.25">
      <c r="A2521" s="5">
        <v>37235</v>
      </c>
      <c r="B2521">
        <v>19.02854</v>
      </c>
    </row>
    <row r="2522" spans="1:2" x14ac:dyDescent="0.25">
      <c r="A2522" s="5">
        <v>37236</v>
      </c>
      <c r="B2522">
        <v>19.19537</v>
      </c>
    </row>
    <row r="2523" spans="1:2" x14ac:dyDescent="0.25">
      <c r="A2523" s="5">
        <v>37237</v>
      </c>
      <c r="B2523">
        <v>19.242092</v>
      </c>
    </row>
    <row r="2524" spans="1:2" x14ac:dyDescent="0.25">
      <c r="A2524" s="5">
        <v>37238</v>
      </c>
      <c r="B2524">
        <v>18.351219</v>
      </c>
    </row>
    <row r="2525" spans="1:2" x14ac:dyDescent="0.25">
      <c r="A2525" s="5">
        <v>37239</v>
      </c>
      <c r="B2525">
        <v>18.631495000000001</v>
      </c>
    </row>
    <row r="2526" spans="1:2" x14ac:dyDescent="0.25">
      <c r="A2526" s="5">
        <v>37242</v>
      </c>
      <c r="B2526">
        <v>17.857409000000001</v>
      </c>
    </row>
    <row r="2527" spans="1:2" x14ac:dyDescent="0.25">
      <c r="A2527" s="5">
        <v>37243</v>
      </c>
      <c r="B2527">
        <v>17.884094000000001</v>
      </c>
    </row>
    <row r="2528" spans="1:2" x14ac:dyDescent="0.25">
      <c r="A2528" s="5">
        <v>37244</v>
      </c>
      <c r="B2528">
        <v>17.443670000000001</v>
      </c>
    </row>
    <row r="2529" spans="1:2" x14ac:dyDescent="0.25">
      <c r="A2529" s="5">
        <v>37245</v>
      </c>
      <c r="B2529">
        <v>16.536114000000001</v>
      </c>
    </row>
    <row r="2530" spans="1:2" x14ac:dyDescent="0.25">
      <c r="A2530" s="5">
        <v>37246</v>
      </c>
      <c r="B2530">
        <v>16.679597999999999</v>
      </c>
    </row>
    <row r="2531" spans="1:2" x14ac:dyDescent="0.25">
      <c r="A2531" s="5">
        <v>37249</v>
      </c>
      <c r="B2531">
        <v>16.722961000000002</v>
      </c>
    </row>
    <row r="2532" spans="1:2" x14ac:dyDescent="0.25">
      <c r="A2532" s="5">
        <v>37251</v>
      </c>
      <c r="B2532">
        <v>16.886455999999999</v>
      </c>
    </row>
    <row r="2533" spans="1:2" x14ac:dyDescent="0.25">
      <c r="A2533" s="5">
        <v>37252</v>
      </c>
      <c r="B2533">
        <v>17.416972999999999</v>
      </c>
    </row>
    <row r="2534" spans="1:2" x14ac:dyDescent="0.25">
      <c r="A2534" s="5">
        <v>37253</v>
      </c>
      <c r="B2534">
        <v>17.283505999999999</v>
      </c>
    </row>
    <row r="2535" spans="1:2" x14ac:dyDescent="0.25">
      <c r="A2535" s="5">
        <v>37256</v>
      </c>
      <c r="B2535">
        <v>16.849751999999999</v>
      </c>
    </row>
    <row r="2536" spans="1:2" x14ac:dyDescent="0.25">
      <c r="A2536" s="5">
        <v>37258</v>
      </c>
      <c r="B2536">
        <v>17.366918999999999</v>
      </c>
    </row>
    <row r="2537" spans="1:2" x14ac:dyDescent="0.25">
      <c r="A2537" s="5">
        <v>37259</v>
      </c>
      <c r="B2537">
        <v>17.343571000000001</v>
      </c>
    </row>
    <row r="2538" spans="1:2" x14ac:dyDescent="0.25">
      <c r="A2538" s="5">
        <v>37260</v>
      </c>
      <c r="B2538">
        <v>16.819728999999999</v>
      </c>
    </row>
    <row r="2539" spans="1:2" x14ac:dyDescent="0.25">
      <c r="A2539" s="5">
        <v>37263</v>
      </c>
      <c r="B2539">
        <v>15.748678</v>
      </c>
    </row>
    <row r="2540" spans="1:2" x14ac:dyDescent="0.25">
      <c r="A2540" s="5">
        <v>37264</v>
      </c>
      <c r="B2540">
        <v>16.079001999999999</v>
      </c>
    </row>
    <row r="2541" spans="1:2" x14ac:dyDescent="0.25">
      <c r="A2541" s="5">
        <v>37265</v>
      </c>
      <c r="B2541">
        <v>15.418357</v>
      </c>
    </row>
    <row r="2542" spans="1:2" x14ac:dyDescent="0.25">
      <c r="A2542" s="5">
        <v>37266</v>
      </c>
      <c r="B2542">
        <v>15.578519999999999</v>
      </c>
    </row>
    <row r="2543" spans="1:2" x14ac:dyDescent="0.25">
      <c r="A2543" s="5">
        <v>37267</v>
      </c>
      <c r="B2543">
        <v>15.518452</v>
      </c>
    </row>
    <row r="2544" spans="1:2" x14ac:dyDescent="0.25">
      <c r="A2544" s="5">
        <v>37270</v>
      </c>
      <c r="B2544">
        <v>15.732006999999999</v>
      </c>
    </row>
    <row r="2545" spans="1:2" x14ac:dyDescent="0.25">
      <c r="A2545" s="5">
        <v>37271</v>
      </c>
      <c r="B2545">
        <v>15.531805</v>
      </c>
    </row>
    <row r="2546" spans="1:2" x14ac:dyDescent="0.25">
      <c r="A2546" s="5">
        <v>37272</v>
      </c>
      <c r="B2546">
        <v>15.181454</v>
      </c>
    </row>
    <row r="2547" spans="1:2" x14ac:dyDescent="0.25">
      <c r="A2547" s="5">
        <v>37273</v>
      </c>
      <c r="B2547">
        <v>15.772043999999999</v>
      </c>
    </row>
    <row r="2548" spans="1:2" x14ac:dyDescent="0.25">
      <c r="A2548" s="5">
        <v>37274</v>
      </c>
      <c r="B2548">
        <v>14.997949</v>
      </c>
    </row>
    <row r="2549" spans="1:2" x14ac:dyDescent="0.25">
      <c r="A2549" s="5">
        <v>37278</v>
      </c>
      <c r="B2549">
        <v>13.813464</v>
      </c>
    </row>
    <row r="2550" spans="1:2" x14ac:dyDescent="0.25">
      <c r="A2550" s="5">
        <v>37279</v>
      </c>
      <c r="B2550">
        <v>14.527493</v>
      </c>
    </row>
    <row r="2551" spans="1:2" x14ac:dyDescent="0.25">
      <c r="A2551" s="5">
        <v>37280</v>
      </c>
      <c r="B2551">
        <v>14.584208</v>
      </c>
    </row>
    <row r="2552" spans="1:2" x14ac:dyDescent="0.25">
      <c r="A2552" s="5">
        <v>37281</v>
      </c>
      <c r="B2552">
        <v>15.364979999999999</v>
      </c>
    </row>
    <row r="2553" spans="1:2" x14ac:dyDescent="0.25">
      <c r="A2553" s="5">
        <v>37284</v>
      </c>
      <c r="B2553">
        <v>15.144755999999999</v>
      </c>
    </row>
    <row r="2554" spans="1:2" x14ac:dyDescent="0.25">
      <c r="A2554" s="5">
        <v>37285</v>
      </c>
      <c r="B2554">
        <v>14.407377</v>
      </c>
    </row>
    <row r="2555" spans="1:2" x14ac:dyDescent="0.25">
      <c r="A2555" s="5">
        <v>37286</v>
      </c>
      <c r="B2555">
        <v>14.911199</v>
      </c>
    </row>
    <row r="2556" spans="1:2" x14ac:dyDescent="0.25">
      <c r="A2556" s="5">
        <v>37287</v>
      </c>
      <c r="B2556">
        <v>14.697654999999999</v>
      </c>
    </row>
    <row r="2557" spans="1:2" x14ac:dyDescent="0.25">
      <c r="A2557" s="5">
        <v>37288</v>
      </c>
      <c r="B2557">
        <v>14.167144</v>
      </c>
    </row>
    <row r="2558" spans="1:2" x14ac:dyDescent="0.25">
      <c r="A2558" s="5">
        <v>37291</v>
      </c>
      <c r="B2558">
        <v>13.609933</v>
      </c>
    </row>
    <row r="2559" spans="1:2" x14ac:dyDescent="0.25">
      <c r="A2559" s="5">
        <v>37292</v>
      </c>
      <c r="B2559">
        <v>13.282945</v>
      </c>
    </row>
    <row r="2560" spans="1:2" x14ac:dyDescent="0.25">
      <c r="A2560" s="5">
        <v>37293</v>
      </c>
      <c r="B2560">
        <v>13.546535</v>
      </c>
    </row>
    <row r="2561" spans="1:2" x14ac:dyDescent="0.25">
      <c r="A2561" s="5">
        <v>37294</v>
      </c>
      <c r="B2561">
        <v>13.049382</v>
      </c>
    </row>
    <row r="2562" spans="1:2" x14ac:dyDescent="0.25">
      <c r="A2562" s="5">
        <v>37295</v>
      </c>
      <c r="B2562">
        <v>12.498844999999999</v>
      </c>
    </row>
    <row r="2563" spans="1:2" x14ac:dyDescent="0.25">
      <c r="A2563" s="5">
        <v>37298</v>
      </c>
      <c r="B2563">
        <v>13.773427</v>
      </c>
    </row>
    <row r="2564" spans="1:2" x14ac:dyDescent="0.25">
      <c r="A2564" s="5">
        <v>37299</v>
      </c>
      <c r="B2564">
        <v>13.513168</v>
      </c>
    </row>
    <row r="2565" spans="1:2" x14ac:dyDescent="0.25">
      <c r="A2565" s="5">
        <v>37300</v>
      </c>
      <c r="B2565">
        <v>13.980294000000001</v>
      </c>
    </row>
    <row r="2566" spans="1:2" x14ac:dyDescent="0.25">
      <c r="A2566" s="5">
        <v>37301</v>
      </c>
      <c r="B2566">
        <v>13.363021</v>
      </c>
    </row>
    <row r="2567" spans="1:2" x14ac:dyDescent="0.25">
      <c r="A2567" s="5">
        <v>37302</v>
      </c>
      <c r="B2567">
        <v>12.478827000000001</v>
      </c>
    </row>
    <row r="2568" spans="1:2" x14ac:dyDescent="0.25">
      <c r="A2568" s="5">
        <v>37306</v>
      </c>
      <c r="B2568">
        <v>12.452133</v>
      </c>
    </row>
    <row r="2569" spans="1:2" x14ac:dyDescent="0.25">
      <c r="A2569" s="5">
        <v>37307</v>
      </c>
      <c r="B2569">
        <v>11.981683</v>
      </c>
    </row>
    <row r="2570" spans="1:2" x14ac:dyDescent="0.25">
      <c r="A2570" s="5">
        <v>37308</v>
      </c>
      <c r="B2570">
        <v>10.843902999999999</v>
      </c>
    </row>
    <row r="2571" spans="1:2" x14ac:dyDescent="0.25">
      <c r="A2571" s="5">
        <v>37309</v>
      </c>
      <c r="B2571">
        <v>10.910634999999999</v>
      </c>
    </row>
    <row r="2572" spans="1:2" x14ac:dyDescent="0.25">
      <c r="A2572" s="5">
        <v>37312</v>
      </c>
      <c r="B2572">
        <v>11.981683</v>
      </c>
    </row>
    <row r="2573" spans="1:2" x14ac:dyDescent="0.25">
      <c r="A2573" s="5">
        <v>37313</v>
      </c>
      <c r="B2573">
        <v>11.601308</v>
      </c>
    </row>
    <row r="2574" spans="1:2" x14ac:dyDescent="0.25">
      <c r="A2574" s="5">
        <v>37314</v>
      </c>
      <c r="B2574">
        <v>11.200915999999999</v>
      </c>
    </row>
    <row r="2575" spans="1:2" x14ac:dyDescent="0.25">
      <c r="A2575" s="5">
        <v>37315</v>
      </c>
      <c r="B2575">
        <v>11.094148000000001</v>
      </c>
    </row>
    <row r="2576" spans="1:2" x14ac:dyDescent="0.25">
      <c r="A2576" s="5">
        <v>37316</v>
      </c>
      <c r="B2576">
        <v>12.001697</v>
      </c>
    </row>
    <row r="2577" spans="1:2" x14ac:dyDescent="0.25">
      <c r="A2577" s="5">
        <v>37319</v>
      </c>
      <c r="B2577">
        <v>12.969310999999999</v>
      </c>
    </row>
    <row r="2578" spans="1:2" x14ac:dyDescent="0.25">
      <c r="A2578" s="5">
        <v>37320</v>
      </c>
      <c r="B2578">
        <v>12.965975</v>
      </c>
    </row>
    <row r="2579" spans="1:2" x14ac:dyDescent="0.25">
      <c r="A2579" s="5">
        <v>37321</v>
      </c>
      <c r="B2579">
        <v>13.329663999999999</v>
      </c>
    </row>
    <row r="2580" spans="1:2" x14ac:dyDescent="0.25">
      <c r="A2580" s="5">
        <v>37322</v>
      </c>
      <c r="B2580">
        <v>13.826807000000001</v>
      </c>
    </row>
    <row r="2581" spans="1:2" x14ac:dyDescent="0.25">
      <c r="A2581" s="5">
        <v>37323</v>
      </c>
      <c r="B2581">
        <v>14.614242000000001</v>
      </c>
    </row>
    <row r="2582" spans="1:2" x14ac:dyDescent="0.25">
      <c r="A2582" s="5">
        <v>37326</v>
      </c>
      <c r="B2582">
        <v>14.564197999999999</v>
      </c>
    </row>
    <row r="2583" spans="1:2" x14ac:dyDescent="0.25">
      <c r="A2583" s="5">
        <v>37327</v>
      </c>
      <c r="B2583">
        <v>14.207181</v>
      </c>
    </row>
    <row r="2584" spans="1:2" x14ac:dyDescent="0.25">
      <c r="A2584" s="5">
        <v>37328</v>
      </c>
      <c r="B2584">
        <v>13.66999</v>
      </c>
    </row>
    <row r="2585" spans="1:2" x14ac:dyDescent="0.25">
      <c r="A2585" s="5">
        <v>37329</v>
      </c>
      <c r="B2585">
        <v>13.486475</v>
      </c>
    </row>
    <row r="2586" spans="1:2" x14ac:dyDescent="0.25">
      <c r="A2586" s="5">
        <v>37330</v>
      </c>
      <c r="B2586">
        <v>14.010320999999999</v>
      </c>
    </row>
    <row r="2587" spans="1:2" x14ac:dyDescent="0.25">
      <c r="A2587" s="5">
        <v>37333</v>
      </c>
      <c r="B2587">
        <v>14.584208</v>
      </c>
    </row>
    <row r="2588" spans="1:2" x14ac:dyDescent="0.25">
      <c r="A2588" s="5">
        <v>37334</v>
      </c>
      <c r="B2588">
        <v>14.360664999999999</v>
      </c>
    </row>
    <row r="2589" spans="1:2" x14ac:dyDescent="0.25">
      <c r="A2589" s="5">
        <v>37335</v>
      </c>
      <c r="B2589">
        <v>13.416404</v>
      </c>
    </row>
    <row r="2590" spans="1:2" x14ac:dyDescent="0.25">
      <c r="A2590" s="5">
        <v>37336</v>
      </c>
      <c r="B2590">
        <v>13.936919</v>
      </c>
    </row>
    <row r="2591" spans="1:2" x14ac:dyDescent="0.25">
      <c r="A2591" s="5">
        <v>37337</v>
      </c>
      <c r="B2591">
        <v>13.503161</v>
      </c>
    </row>
    <row r="2592" spans="1:2" x14ac:dyDescent="0.25">
      <c r="A2592" s="5">
        <v>37340</v>
      </c>
      <c r="B2592">
        <v>13.169499999999999</v>
      </c>
    </row>
    <row r="2593" spans="1:2" x14ac:dyDescent="0.25">
      <c r="A2593" s="5">
        <v>37341</v>
      </c>
      <c r="B2593">
        <v>13.302963999999999</v>
      </c>
    </row>
    <row r="2594" spans="1:2" x14ac:dyDescent="0.25">
      <c r="A2594" s="5">
        <v>37342</v>
      </c>
      <c r="B2594">
        <v>12.63565</v>
      </c>
    </row>
    <row r="2595" spans="1:2" x14ac:dyDescent="0.25">
      <c r="A2595" s="5">
        <v>37343</v>
      </c>
      <c r="B2595">
        <v>12.558908000000001</v>
      </c>
    </row>
    <row r="2596" spans="1:2" x14ac:dyDescent="0.25">
      <c r="A2596" s="5">
        <v>37347</v>
      </c>
      <c r="B2596">
        <v>13.126131000000001</v>
      </c>
    </row>
    <row r="2597" spans="1:2" x14ac:dyDescent="0.25">
      <c r="A2597" s="5">
        <v>37348</v>
      </c>
      <c r="B2597">
        <v>12.435454999999999</v>
      </c>
    </row>
    <row r="2598" spans="1:2" x14ac:dyDescent="0.25">
      <c r="A2598" s="5">
        <v>37349</v>
      </c>
      <c r="B2598">
        <v>12.558908000000001</v>
      </c>
    </row>
    <row r="2599" spans="1:2" x14ac:dyDescent="0.25">
      <c r="A2599" s="5">
        <v>37350</v>
      </c>
      <c r="B2599">
        <v>12.2119</v>
      </c>
    </row>
    <row r="2600" spans="1:2" x14ac:dyDescent="0.25">
      <c r="A2600" s="5">
        <v>37351</v>
      </c>
      <c r="B2600">
        <v>11.981683</v>
      </c>
    </row>
    <row r="2601" spans="1:2" x14ac:dyDescent="0.25">
      <c r="A2601" s="5">
        <v>37354</v>
      </c>
      <c r="B2601">
        <v>12.051743999999999</v>
      </c>
    </row>
    <row r="2602" spans="1:2" x14ac:dyDescent="0.25">
      <c r="A2602" s="5">
        <v>37355</v>
      </c>
      <c r="B2602">
        <v>11.678046999999999</v>
      </c>
    </row>
    <row r="2603" spans="1:2" x14ac:dyDescent="0.25">
      <c r="A2603" s="5">
        <v>37356</v>
      </c>
      <c r="B2603">
        <v>11.778147000000001</v>
      </c>
    </row>
    <row r="2604" spans="1:2" x14ac:dyDescent="0.25">
      <c r="A2604" s="5">
        <v>37357</v>
      </c>
      <c r="B2604">
        <v>11.557931</v>
      </c>
    </row>
    <row r="2605" spans="1:2" x14ac:dyDescent="0.25">
      <c r="A2605" s="5">
        <v>37358</v>
      </c>
      <c r="B2605">
        <v>11.914948000000001</v>
      </c>
    </row>
    <row r="2606" spans="1:2" x14ac:dyDescent="0.25">
      <c r="A2606" s="5">
        <v>37361</v>
      </c>
      <c r="B2606">
        <v>12.078434</v>
      </c>
    </row>
    <row r="2607" spans="1:2" x14ac:dyDescent="0.25">
      <c r="A2607" s="5">
        <v>37362</v>
      </c>
      <c r="B2607">
        <v>13.219552999999999</v>
      </c>
    </row>
    <row r="2608" spans="1:2" x14ac:dyDescent="0.25">
      <c r="A2608" s="5">
        <v>37363</v>
      </c>
      <c r="B2608">
        <v>13.279609000000001</v>
      </c>
    </row>
    <row r="2609" spans="1:2" x14ac:dyDescent="0.25">
      <c r="A2609" s="5">
        <v>37364</v>
      </c>
      <c r="B2609">
        <v>12.81249</v>
      </c>
    </row>
    <row r="2610" spans="1:2" x14ac:dyDescent="0.25">
      <c r="A2610" s="5">
        <v>37365</v>
      </c>
      <c r="B2610">
        <v>12.432117999999999</v>
      </c>
    </row>
    <row r="2611" spans="1:2" x14ac:dyDescent="0.25">
      <c r="A2611" s="5">
        <v>37368</v>
      </c>
      <c r="B2611">
        <v>11.688062</v>
      </c>
    </row>
    <row r="2612" spans="1:2" x14ac:dyDescent="0.25">
      <c r="A2612" s="5">
        <v>37369</v>
      </c>
      <c r="B2612">
        <v>10.760489</v>
      </c>
    </row>
    <row r="2613" spans="1:2" x14ac:dyDescent="0.25">
      <c r="A2613" s="5">
        <v>37370</v>
      </c>
      <c r="B2613">
        <v>11.107491</v>
      </c>
    </row>
    <row r="2614" spans="1:2" x14ac:dyDescent="0.25">
      <c r="A2614" s="5">
        <v>37371</v>
      </c>
      <c r="B2614">
        <v>10.810539</v>
      </c>
    </row>
    <row r="2615" spans="1:2" x14ac:dyDescent="0.25">
      <c r="A2615" s="5">
        <v>37372</v>
      </c>
      <c r="B2615">
        <v>10.226635999999999</v>
      </c>
    </row>
    <row r="2616" spans="1:2" x14ac:dyDescent="0.25">
      <c r="A2616" s="5">
        <v>37375</v>
      </c>
      <c r="B2616">
        <v>9.7495030000000007</v>
      </c>
    </row>
    <row r="2617" spans="1:2" x14ac:dyDescent="0.25">
      <c r="A2617" s="5">
        <v>37376</v>
      </c>
      <c r="B2617">
        <v>10.063143999999999</v>
      </c>
    </row>
    <row r="2618" spans="1:2" x14ac:dyDescent="0.25">
      <c r="A2618" s="5">
        <v>37377</v>
      </c>
      <c r="B2618">
        <v>9.9363489999999999</v>
      </c>
    </row>
    <row r="2619" spans="1:2" x14ac:dyDescent="0.25">
      <c r="A2619" s="5">
        <v>37378</v>
      </c>
      <c r="B2619">
        <v>9.4859100000000005</v>
      </c>
    </row>
    <row r="2620" spans="1:2" x14ac:dyDescent="0.25">
      <c r="A2620" s="5">
        <v>37379</v>
      </c>
      <c r="B2620">
        <v>8.9553969999999996</v>
      </c>
    </row>
    <row r="2621" spans="1:2" x14ac:dyDescent="0.25">
      <c r="A2621" s="5">
        <v>37382</v>
      </c>
      <c r="B2621">
        <v>8.8252740000000003</v>
      </c>
    </row>
    <row r="2622" spans="1:2" x14ac:dyDescent="0.25">
      <c r="A2622" s="5">
        <v>37383</v>
      </c>
      <c r="B2622">
        <v>8.2747320000000002</v>
      </c>
    </row>
    <row r="2623" spans="1:2" x14ac:dyDescent="0.25">
      <c r="A2623" s="5">
        <v>37384</v>
      </c>
      <c r="B2623">
        <v>9.8195689999999995</v>
      </c>
    </row>
    <row r="2624" spans="1:2" x14ac:dyDescent="0.25">
      <c r="A2624" s="5">
        <v>37385</v>
      </c>
      <c r="B2624">
        <v>9.4558789999999995</v>
      </c>
    </row>
    <row r="2625" spans="1:2" x14ac:dyDescent="0.25">
      <c r="A2625" s="5">
        <v>37386</v>
      </c>
      <c r="B2625">
        <v>8.9420470000000005</v>
      </c>
    </row>
    <row r="2626" spans="1:2" x14ac:dyDescent="0.25">
      <c r="A2626" s="5">
        <v>37389</v>
      </c>
      <c r="B2626">
        <v>9.7061279999999996</v>
      </c>
    </row>
    <row r="2627" spans="1:2" x14ac:dyDescent="0.25">
      <c r="A2627" s="5">
        <v>37390</v>
      </c>
      <c r="B2627">
        <v>10.236641000000001</v>
      </c>
    </row>
    <row r="2628" spans="1:2" x14ac:dyDescent="0.25">
      <c r="A2628" s="5">
        <v>37391</v>
      </c>
      <c r="B2628">
        <v>10.700424999999999</v>
      </c>
    </row>
    <row r="2629" spans="1:2" x14ac:dyDescent="0.25">
      <c r="A2629" s="5">
        <v>37392</v>
      </c>
      <c r="B2629">
        <v>10.790514999999999</v>
      </c>
    </row>
    <row r="2630" spans="1:2" x14ac:dyDescent="0.25">
      <c r="A2630" s="5">
        <v>37393</v>
      </c>
      <c r="B2630">
        <v>10.840567</v>
      </c>
    </row>
    <row r="2631" spans="1:2" x14ac:dyDescent="0.25">
      <c r="A2631" s="5">
        <v>37396</v>
      </c>
      <c r="B2631">
        <v>10.640368</v>
      </c>
    </row>
    <row r="2632" spans="1:2" x14ac:dyDescent="0.25">
      <c r="A2632" s="5">
        <v>37397</v>
      </c>
      <c r="B2632">
        <v>10.883945000000001</v>
      </c>
    </row>
    <row r="2633" spans="1:2" x14ac:dyDescent="0.25">
      <c r="A2633" s="5">
        <v>37398</v>
      </c>
      <c r="B2633">
        <v>10.466868</v>
      </c>
    </row>
    <row r="2634" spans="1:2" x14ac:dyDescent="0.25">
      <c r="A2634" s="5">
        <v>37399</v>
      </c>
      <c r="B2634">
        <v>10.566966000000001</v>
      </c>
    </row>
    <row r="2635" spans="1:2" x14ac:dyDescent="0.25">
      <c r="A2635" s="5">
        <v>37400</v>
      </c>
      <c r="B2635">
        <v>10.34675</v>
      </c>
    </row>
    <row r="2636" spans="1:2" x14ac:dyDescent="0.25">
      <c r="A2636" s="5">
        <v>37404</v>
      </c>
      <c r="B2636">
        <v>10.480214</v>
      </c>
    </row>
    <row r="2637" spans="1:2" x14ac:dyDescent="0.25">
      <c r="A2637" s="5">
        <v>37405</v>
      </c>
      <c r="B2637">
        <v>10.390126</v>
      </c>
    </row>
    <row r="2638" spans="1:2" x14ac:dyDescent="0.25">
      <c r="A2638" s="5">
        <v>37406</v>
      </c>
      <c r="B2638">
        <v>10.40347</v>
      </c>
    </row>
    <row r="2639" spans="1:2" x14ac:dyDescent="0.25">
      <c r="A2639" s="5">
        <v>37407</v>
      </c>
      <c r="B2639">
        <v>10.556956</v>
      </c>
    </row>
    <row r="2640" spans="1:2" x14ac:dyDescent="0.25">
      <c r="A2640" s="5">
        <v>37410</v>
      </c>
      <c r="B2640">
        <v>10.400137000000001</v>
      </c>
    </row>
    <row r="2641" spans="1:2" x14ac:dyDescent="0.25">
      <c r="A2641" s="5">
        <v>37411</v>
      </c>
      <c r="B2641">
        <v>10.823878000000001</v>
      </c>
    </row>
    <row r="2642" spans="1:2" x14ac:dyDescent="0.25">
      <c r="A2642" s="5">
        <v>37412</v>
      </c>
      <c r="B2642">
        <v>10.957345</v>
      </c>
    </row>
    <row r="2643" spans="1:2" x14ac:dyDescent="0.25">
      <c r="A2643" s="5">
        <v>37413</v>
      </c>
      <c r="B2643">
        <v>10.263337999999999</v>
      </c>
    </row>
    <row r="2644" spans="1:2" x14ac:dyDescent="0.25">
      <c r="A2644" s="5">
        <v>37414</v>
      </c>
      <c r="B2644">
        <v>10.300041</v>
      </c>
    </row>
    <row r="2645" spans="1:2" x14ac:dyDescent="0.25">
      <c r="A2645" s="5">
        <v>37417</v>
      </c>
      <c r="B2645">
        <v>10.506907</v>
      </c>
    </row>
    <row r="2646" spans="1:2" x14ac:dyDescent="0.25">
      <c r="A2646" s="5">
        <v>37418</v>
      </c>
      <c r="B2646">
        <v>10.446849</v>
      </c>
    </row>
    <row r="2647" spans="1:2" x14ac:dyDescent="0.25">
      <c r="A2647" s="5">
        <v>37419</v>
      </c>
      <c r="B2647">
        <v>11.010732000000001</v>
      </c>
    </row>
    <row r="2648" spans="1:2" x14ac:dyDescent="0.25">
      <c r="A2648" s="5">
        <v>37420</v>
      </c>
      <c r="B2648">
        <v>10.807199000000001</v>
      </c>
    </row>
    <row r="2649" spans="1:2" x14ac:dyDescent="0.25">
      <c r="A2649" s="5">
        <v>37421</v>
      </c>
      <c r="B2649">
        <v>9.9797229999999999</v>
      </c>
    </row>
    <row r="2650" spans="1:2" x14ac:dyDescent="0.25">
      <c r="A2650" s="5">
        <v>37424</v>
      </c>
      <c r="B2650">
        <v>9.7495030000000007</v>
      </c>
    </row>
    <row r="2651" spans="1:2" x14ac:dyDescent="0.25">
      <c r="A2651" s="5">
        <v>37425</v>
      </c>
      <c r="B2651">
        <v>9.6360600000000005</v>
      </c>
    </row>
    <row r="2652" spans="1:2" x14ac:dyDescent="0.25">
      <c r="A2652" s="5">
        <v>37426</v>
      </c>
      <c r="B2652">
        <v>9.3858169999999994</v>
      </c>
    </row>
    <row r="2653" spans="1:2" x14ac:dyDescent="0.25">
      <c r="A2653" s="5">
        <v>37427</v>
      </c>
      <c r="B2653">
        <v>8.7852289999999993</v>
      </c>
    </row>
    <row r="2654" spans="1:2" x14ac:dyDescent="0.25">
      <c r="A2654" s="5">
        <v>37428</v>
      </c>
      <c r="B2654">
        <v>8.7151580000000006</v>
      </c>
    </row>
    <row r="2655" spans="1:2" x14ac:dyDescent="0.25">
      <c r="A2655" s="5">
        <v>37431</v>
      </c>
      <c r="B2655">
        <v>8.9420470000000005</v>
      </c>
    </row>
    <row r="2656" spans="1:2" x14ac:dyDescent="0.25">
      <c r="A2656" s="5">
        <v>37432</v>
      </c>
      <c r="B2656">
        <v>8.7952379999999994</v>
      </c>
    </row>
    <row r="2657" spans="1:2" x14ac:dyDescent="0.25">
      <c r="A2657" s="5">
        <v>37433</v>
      </c>
      <c r="B2657">
        <v>9.0354729999999996</v>
      </c>
    </row>
    <row r="2658" spans="1:2" x14ac:dyDescent="0.25">
      <c r="A2658" s="5">
        <v>37434</v>
      </c>
      <c r="B2658">
        <v>9.1622629999999994</v>
      </c>
    </row>
    <row r="2659" spans="1:2" x14ac:dyDescent="0.25">
      <c r="A2659" s="5">
        <v>37435</v>
      </c>
      <c r="B2659">
        <v>9.1722730000000006</v>
      </c>
    </row>
    <row r="2660" spans="1:2" x14ac:dyDescent="0.25">
      <c r="A2660" s="5">
        <v>37438</v>
      </c>
      <c r="B2660">
        <v>8.8185990000000007</v>
      </c>
    </row>
    <row r="2661" spans="1:2" x14ac:dyDescent="0.25">
      <c r="A2661" s="5">
        <v>37439</v>
      </c>
      <c r="B2661">
        <v>8.2747320000000002</v>
      </c>
    </row>
    <row r="2662" spans="1:2" x14ac:dyDescent="0.25">
      <c r="A2662" s="5">
        <v>37440</v>
      </c>
      <c r="B2662">
        <v>8.8019069999999999</v>
      </c>
    </row>
    <row r="2663" spans="1:2" x14ac:dyDescent="0.25">
      <c r="A2663" s="5">
        <v>37442</v>
      </c>
      <c r="B2663">
        <v>9.5226150000000001</v>
      </c>
    </row>
    <row r="2664" spans="1:2" x14ac:dyDescent="0.25">
      <c r="A2664" s="5">
        <v>37445</v>
      </c>
      <c r="B2664">
        <v>9.0621659999999995</v>
      </c>
    </row>
    <row r="2665" spans="1:2" x14ac:dyDescent="0.25">
      <c r="A2665" s="5">
        <v>37446</v>
      </c>
      <c r="B2665">
        <v>9.1856209999999994</v>
      </c>
    </row>
    <row r="2666" spans="1:2" x14ac:dyDescent="0.25">
      <c r="A2666" s="5">
        <v>37447</v>
      </c>
      <c r="B2666">
        <v>8.8119200000000006</v>
      </c>
    </row>
    <row r="2667" spans="1:2" x14ac:dyDescent="0.25">
      <c r="A2667" s="5">
        <v>37448</v>
      </c>
      <c r="B2667">
        <v>9.3124099999999999</v>
      </c>
    </row>
    <row r="2668" spans="1:2" x14ac:dyDescent="0.25">
      <c r="A2668" s="5">
        <v>37449</v>
      </c>
      <c r="B2668">
        <v>9.3791410000000006</v>
      </c>
    </row>
    <row r="2669" spans="1:2" x14ac:dyDescent="0.25">
      <c r="A2669" s="5">
        <v>37452</v>
      </c>
      <c r="B2669">
        <v>9.8028840000000006</v>
      </c>
    </row>
    <row r="2670" spans="1:2" x14ac:dyDescent="0.25">
      <c r="A2670" s="5">
        <v>37453</v>
      </c>
      <c r="B2670">
        <v>9.9563690000000005</v>
      </c>
    </row>
    <row r="2671" spans="1:2" x14ac:dyDescent="0.25">
      <c r="A2671" s="5">
        <v>37454</v>
      </c>
      <c r="B2671">
        <v>9.9997450000000008</v>
      </c>
    </row>
    <row r="2672" spans="1:2" x14ac:dyDescent="0.25">
      <c r="A2672" s="5">
        <v>37455</v>
      </c>
      <c r="B2672">
        <v>10.13321</v>
      </c>
    </row>
    <row r="2673" spans="1:2" x14ac:dyDescent="0.25">
      <c r="A2673" s="5">
        <v>37456</v>
      </c>
      <c r="B2673">
        <v>10.006418999999999</v>
      </c>
    </row>
    <row r="2674" spans="1:2" x14ac:dyDescent="0.25">
      <c r="A2674" s="5">
        <v>37459</v>
      </c>
      <c r="B2674">
        <v>9.8329179999999994</v>
      </c>
    </row>
    <row r="2675" spans="1:2" x14ac:dyDescent="0.25">
      <c r="A2675" s="5">
        <v>37460</v>
      </c>
      <c r="B2675">
        <v>9.3491149999999994</v>
      </c>
    </row>
    <row r="2676" spans="1:2" x14ac:dyDescent="0.25">
      <c r="A2676" s="5">
        <v>37461</v>
      </c>
      <c r="B2676">
        <v>9.7094629999999995</v>
      </c>
    </row>
    <row r="2677" spans="1:2" x14ac:dyDescent="0.25">
      <c r="A2677" s="5">
        <v>37462</v>
      </c>
      <c r="B2677">
        <v>8.5583399999999994</v>
      </c>
    </row>
    <row r="2678" spans="1:2" x14ac:dyDescent="0.25">
      <c r="A2678" s="5">
        <v>37463</v>
      </c>
      <c r="B2678">
        <v>8.6717849999999999</v>
      </c>
    </row>
    <row r="2679" spans="1:2" x14ac:dyDescent="0.25">
      <c r="A2679" s="5">
        <v>37466</v>
      </c>
      <c r="B2679">
        <v>9.3858169999999994</v>
      </c>
    </row>
    <row r="2680" spans="1:2" x14ac:dyDescent="0.25">
      <c r="A2680" s="5">
        <v>37467</v>
      </c>
      <c r="B2680">
        <v>9.2023050000000008</v>
      </c>
    </row>
    <row r="2681" spans="1:2" x14ac:dyDescent="0.25">
      <c r="A2681" s="5">
        <v>37468</v>
      </c>
      <c r="B2681">
        <v>9.1689360000000004</v>
      </c>
    </row>
    <row r="2682" spans="1:2" x14ac:dyDescent="0.25">
      <c r="A2682" s="5">
        <v>37469</v>
      </c>
      <c r="B2682">
        <v>8.5449959999999994</v>
      </c>
    </row>
    <row r="2683" spans="1:2" x14ac:dyDescent="0.25">
      <c r="A2683" s="5">
        <v>37470</v>
      </c>
      <c r="B2683">
        <v>8.5249760000000006</v>
      </c>
    </row>
    <row r="2684" spans="1:2" x14ac:dyDescent="0.25">
      <c r="A2684" s="5">
        <v>37473</v>
      </c>
      <c r="B2684">
        <v>7.9243870000000003</v>
      </c>
    </row>
    <row r="2685" spans="1:2" x14ac:dyDescent="0.25">
      <c r="A2685" s="5">
        <v>37474</v>
      </c>
      <c r="B2685">
        <v>8.4015249999999995</v>
      </c>
    </row>
    <row r="2686" spans="1:2" x14ac:dyDescent="0.25">
      <c r="A2686" s="5">
        <v>37475</v>
      </c>
      <c r="B2686">
        <v>8.3447980000000008</v>
      </c>
    </row>
    <row r="2687" spans="1:2" x14ac:dyDescent="0.25">
      <c r="A2687" s="5">
        <v>37476</v>
      </c>
      <c r="B2687">
        <v>8.6884689999999996</v>
      </c>
    </row>
    <row r="2688" spans="1:2" x14ac:dyDescent="0.25">
      <c r="A2688" s="5">
        <v>37477</v>
      </c>
      <c r="B2688">
        <v>8.6417529999999996</v>
      </c>
    </row>
    <row r="2689" spans="1:2" x14ac:dyDescent="0.25">
      <c r="A2689" s="5">
        <v>37480</v>
      </c>
      <c r="B2689">
        <v>8.6150640000000003</v>
      </c>
    </row>
    <row r="2690" spans="1:2" x14ac:dyDescent="0.25">
      <c r="A2690" s="5">
        <v>37481</v>
      </c>
      <c r="B2690">
        <v>8.7818900000000006</v>
      </c>
    </row>
    <row r="2691" spans="1:2" x14ac:dyDescent="0.25">
      <c r="A2691" s="5">
        <v>37482</v>
      </c>
      <c r="B2691">
        <v>9.2590260000000004</v>
      </c>
    </row>
    <row r="2692" spans="1:2" x14ac:dyDescent="0.25">
      <c r="A2692" s="5">
        <v>37483</v>
      </c>
      <c r="B2692">
        <v>9.4992629999999991</v>
      </c>
    </row>
    <row r="2693" spans="1:2" x14ac:dyDescent="0.25">
      <c r="A2693" s="5">
        <v>37484</v>
      </c>
      <c r="B2693">
        <v>9.7061279999999996</v>
      </c>
    </row>
    <row r="2694" spans="1:2" x14ac:dyDescent="0.25">
      <c r="A2694" s="5">
        <v>37487</v>
      </c>
      <c r="B2694">
        <v>9.9763909999999996</v>
      </c>
    </row>
    <row r="2695" spans="1:2" x14ac:dyDescent="0.25">
      <c r="A2695" s="5">
        <v>37488</v>
      </c>
      <c r="B2695">
        <v>9.7728599999999997</v>
      </c>
    </row>
    <row r="2696" spans="1:2" x14ac:dyDescent="0.25">
      <c r="A2696" s="5">
        <v>37489</v>
      </c>
      <c r="B2696">
        <v>9.7528330000000008</v>
      </c>
    </row>
    <row r="2697" spans="1:2" x14ac:dyDescent="0.25">
      <c r="A2697" s="5">
        <v>37490</v>
      </c>
      <c r="B2697">
        <v>10.093168</v>
      </c>
    </row>
    <row r="2698" spans="1:2" x14ac:dyDescent="0.25">
      <c r="A2698" s="5">
        <v>37491</v>
      </c>
      <c r="B2698">
        <v>9.8362549999999995</v>
      </c>
    </row>
    <row r="2699" spans="1:2" x14ac:dyDescent="0.25">
      <c r="A2699" s="5">
        <v>37494</v>
      </c>
      <c r="B2699">
        <v>9.9763909999999996</v>
      </c>
    </row>
    <row r="2700" spans="1:2" x14ac:dyDescent="0.25">
      <c r="A2700" s="5">
        <v>37495</v>
      </c>
      <c r="B2700">
        <v>9.5359619999999996</v>
      </c>
    </row>
    <row r="2701" spans="1:2" x14ac:dyDescent="0.25">
      <c r="A2701" s="5">
        <v>37496</v>
      </c>
      <c r="B2701">
        <v>9.1122119999999995</v>
      </c>
    </row>
    <row r="2702" spans="1:2" x14ac:dyDescent="0.25">
      <c r="A2702" s="5">
        <v>37497</v>
      </c>
      <c r="B2702">
        <v>9.4692260000000008</v>
      </c>
    </row>
    <row r="2703" spans="1:2" x14ac:dyDescent="0.25">
      <c r="A2703" s="5">
        <v>37498</v>
      </c>
      <c r="B2703">
        <v>9.2456750000000003</v>
      </c>
    </row>
    <row r="2704" spans="1:2" x14ac:dyDescent="0.25">
      <c r="A2704" s="5">
        <v>37502</v>
      </c>
      <c r="B2704">
        <v>8.9720739999999992</v>
      </c>
    </row>
    <row r="2705" spans="1:2" x14ac:dyDescent="0.25">
      <c r="A2705" s="5">
        <v>37503</v>
      </c>
      <c r="B2705">
        <v>9.0488160000000004</v>
      </c>
    </row>
    <row r="2706" spans="1:2" x14ac:dyDescent="0.25">
      <c r="A2706" s="5">
        <v>37504</v>
      </c>
      <c r="B2706">
        <v>8.9287039999999998</v>
      </c>
    </row>
    <row r="2707" spans="1:2" x14ac:dyDescent="0.25">
      <c r="A2707" s="5">
        <v>37505</v>
      </c>
      <c r="B2707">
        <v>9.4959199999999999</v>
      </c>
    </row>
    <row r="2708" spans="1:2" x14ac:dyDescent="0.25">
      <c r="A2708" s="5">
        <v>37508</v>
      </c>
      <c r="B2708">
        <v>9.9630430000000008</v>
      </c>
    </row>
    <row r="2709" spans="1:2" x14ac:dyDescent="0.25">
      <c r="A2709" s="5">
        <v>37509</v>
      </c>
      <c r="B2709">
        <v>9.866282</v>
      </c>
    </row>
    <row r="2710" spans="1:2" x14ac:dyDescent="0.25">
      <c r="A2710" s="5">
        <v>37510</v>
      </c>
      <c r="B2710">
        <v>9.7461669999999998</v>
      </c>
    </row>
    <row r="2711" spans="1:2" x14ac:dyDescent="0.25">
      <c r="A2711" s="5">
        <v>37511</v>
      </c>
      <c r="B2711">
        <v>9.3958239999999993</v>
      </c>
    </row>
    <row r="2712" spans="1:2" x14ac:dyDescent="0.25">
      <c r="A2712" s="5">
        <v>37512</v>
      </c>
      <c r="B2712">
        <v>9.5359619999999996</v>
      </c>
    </row>
    <row r="2713" spans="1:2" x14ac:dyDescent="0.25">
      <c r="A2713" s="5">
        <v>37515</v>
      </c>
      <c r="B2713">
        <v>9.1188889999999994</v>
      </c>
    </row>
    <row r="2714" spans="1:2" x14ac:dyDescent="0.25">
      <c r="A2714" s="5">
        <v>37516</v>
      </c>
      <c r="B2714">
        <v>8.995431</v>
      </c>
    </row>
    <row r="2715" spans="1:2" x14ac:dyDescent="0.25">
      <c r="A2715" s="5">
        <v>37517</v>
      </c>
      <c r="B2715">
        <v>8.6717849999999999</v>
      </c>
    </row>
    <row r="2716" spans="1:2" x14ac:dyDescent="0.25">
      <c r="A2716" s="5">
        <v>37518</v>
      </c>
      <c r="B2716">
        <v>8.5816979999999994</v>
      </c>
    </row>
    <row r="2717" spans="1:2" x14ac:dyDescent="0.25">
      <c r="A2717" s="5">
        <v>37519</v>
      </c>
      <c r="B2717">
        <v>9.3691309999999994</v>
      </c>
    </row>
    <row r="2718" spans="1:2" x14ac:dyDescent="0.25">
      <c r="A2718" s="5">
        <v>37522</v>
      </c>
      <c r="B2718">
        <v>9.1555890000000009</v>
      </c>
    </row>
    <row r="2719" spans="1:2" x14ac:dyDescent="0.25">
      <c r="A2719" s="5">
        <v>37523</v>
      </c>
      <c r="B2719">
        <v>9.1889540000000007</v>
      </c>
    </row>
    <row r="2720" spans="1:2" x14ac:dyDescent="0.25">
      <c r="A2720" s="5">
        <v>37524</v>
      </c>
      <c r="B2720">
        <v>9.4592220000000005</v>
      </c>
    </row>
    <row r="2721" spans="1:2" x14ac:dyDescent="0.25">
      <c r="A2721" s="5">
        <v>37525</v>
      </c>
      <c r="B2721">
        <v>9.6060289999999995</v>
      </c>
    </row>
    <row r="2722" spans="1:2" x14ac:dyDescent="0.25">
      <c r="A2722" s="5">
        <v>37526</v>
      </c>
      <c r="B2722">
        <v>9.545973</v>
      </c>
    </row>
    <row r="2723" spans="1:2" x14ac:dyDescent="0.25">
      <c r="A2723" s="5">
        <v>37529</v>
      </c>
      <c r="B2723">
        <v>9.2156470000000006</v>
      </c>
    </row>
    <row r="2724" spans="1:2" x14ac:dyDescent="0.25">
      <c r="A2724" s="5">
        <v>37530</v>
      </c>
      <c r="B2724">
        <v>9.9330110000000005</v>
      </c>
    </row>
    <row r="2725" spans="1:2" x14ac:dyDescent="0.25">
      <c r="A2725" s="5">
        <v>37531</v>
      </c>
      <c r="B2725">
        <v>9.6060289999999995</v>
      </c>
    </row>
    <row r="2726" spans="1:2" x14ac:dyDescent="0.25">
      <c r="A2726" s="5">
        <v>37532</v>
      </c>
      <c r="B2726">
        <v>9.7094629999999995</v>
      </c>
    </row>
    <row r="2727" spans="1:2" x14ac:dyDescent="0.25">
      <c r="A2727" s="5">
        <v>37533</v>
      </c>
      <c r="B2727">
        <v>9.7628520000000005</v>
      </c>
    </row>
    <row r="2728" spans="1:2" x14ac:dyDescent="0.25">
      <c r="A2728" s="5">
        <v>37536</v>
      </c>
      <c r="B2728">
        <v>9.8395930000000007</v>
      </c>
    </row>
    <row r="2729" spans="1:2" x14ac:dyDescent="0.25">
      <c r="A2729" s="5">
        <v>37537</v>
      </c>
      <c r="B2729">
        <v>9.5759980000000002</v>
      </c>
    </row>
    <row r="2730" spans="1:2" x14ac:dyDescent="0.25">
      <c r="A2730" s="5">
        <v>37538</v>
      </c>
      <c r="B2730">
        <v>9.3124099999999999</v>
      </c>
    </row>
    <row r="2731" spans="1:2" x14ac:dyDescent="0.25">
      <c r="A2731" s="5">
        <v>37539</v>
      </c>
      <c r="B2731">
        <v>9.9797229999999999</v>
      </c>
    </row>
    <row r="2732" spans="1:2" x14ac:dyDescent="0.25">
      <c r="A2732" s="5">
        <v>37540</v>
      </c>
      <c r="B2732">
        <v>10.466868</v>
      </c>
    </row>
    <row r="2733" spans="1:2" x14ac:dyDescent="0.25">
      <c r="A2733" s="5">
        <v>37543</v>
      </c>
      <c r="B2733">
        <v>10.927314000000001</v>
      </c>
    </row>
    <row r="2734" spans="1:2" x14ac:dyDescent="0.25">
      <c r="A2734" s="5">
        <v>37544</v>
      </c>
      <c r="B2734">
        <v>11.791494999999999</v>
      </c>
    </row>
    <row r="2735" spans="1:2" x14ac:dyDescent="0.25">
      <c r="A2735" s="5">
        <v>37545</v>
      </c>
      <c r="B2735">
        <v>11.397774</v>
      </c>
    </row>
    <row r="2736" spans="1:2" x14ac:dyDescent="0.25">
      <c r="A2736" s="5">
        <v>37546</v>
      </c>
      <c r="B2736">
        <v>12.008372</v>
      </c>
    </row>
    <row r="2737" spans="1:2" x14ac:dyDescent="0.25">
      <c r="A2737" s="5">
        <v>37547</v>
      </c>
      <c r="B2737">
        <v>12.078434</v>
      </c>
    </row>
    <row r="2738" spans="1:2" x14ac:dyDescent="0.25">
      <c r="A2738" s="5">
        <v>37550</v>
      </c>
      <c r="B2738">
        <v>12.308662</v>
      </c>
    </row>
    <row r="2739" spans="1:2" x14ac:dyDescent="0.25">
      <c r="A2739" s="5">
        <v>37551</v>
      </c>
      <c r="B2739">
        <v>12.332018</v>
      </c>
    </row>
    <row r="2740" spans="1:2" x14ac:dyDescent="0.25">
      <c r="A2740" s="5">
        <v>37552</v>
      </c>
      <c r="B2740">
        <v>12.185212999999999</v>
      </c>
    </row>
    <row r="2741" spans="1:2" x14ac:dyDescent="0.25">
      <c r="A2741" s="5">
        <v>37553</v>
      </c>
      <c r="B2741">
        <v>11.808172000000001</v>
      </c>
    </row>
    <row r="2742" spans="1:2" x14ac:dyDescent="0.25">
      <c r="A2742" s="5">
        <v>37554</v>
      </c>
      <c r="B2742">
        <v>12.185212999999999</v>
      </c>
    </row>
    <row r="2743" spans="1:2" x14ac:dyDescent="0.25">
      <c r="A2743" s="5">
        <v>37557</v>
      </c>
      <c r="B2743">
        <v>11.808172000000001</v>
      </c>
    </row>
    <row r="2744" spans="1:2" x14ac:dyDescent="0.25">
      <c r="A2744" s="5">
        <v>37558</v>
      </c>
      <c r="B2744">
        <v>11.240956000000001</v>
      </c>
    </row>
    <row r="2745" spans="1:2" x14ac:dyDescent="0.25">
      <c r="A2745" s="5">
        <v>37559</v>
      </c>
      <c r="B2745">
        <v>11.224275</v>
      </c>
    </row>
    <row r="2746" spans="1:2" x14ac:dyDescent="0.25">
      <c r="A2746" s="5">
        <v>37560</v>
      </c>
      <c r="B2746">
        <v>11.517896</v>
      </c>
    </row>
    <row r="2747" spans="1:2" x14ac:dyDescent="0.25">
      <c r="A2747" s="5">
        <v>37561</v>
      </c>
      <c r="B2747">
        <v>11.901597000000001</v>
      </c>
    </row>
    <row r="2748" spans="1:2" x14ac:dyDescent="0.25">
      <c r="A2748" s="5">
        <v>37564</v>
      </c>
      <c r="B2748">
        <v>11.911611000000001</v>
      </c>
    </row>
    <row r="2749" spans="1:2" x14ac:dyDescent="0.25">
      <c r="A2749" s="5">
        <v>37565</v>
      </c>
      <c r="B2749">
        <v>11.888252</v>
      </c>
    </row>
    <row r="2750" spans="1:2" x14ac:dyDescent="0.25">
      <c r="A2750" s="5">
        <v>37566</v>
      </c>
      <c r="B2750">
        <v>11.961660999999999</v>
      </c>
    </row>
    <row r="2751" spans="1:2" x14ac:dyDescent="0.25">
      <c r="A2751" s="5">
        <v>37567</v>
      </c>
      <c r="B2751">
        <v>11.658030999999999</v>
      </c>
    </row>
    <row r="2752" spans="1:2" x14ac:dyDescent="0.25">
      <c r="A2752" s="5">
        <v>37568</v>
      </c>
      <c r="B2752">
        <v>11.591298999999999</v>
      </c>
    </row>
    <row r="2753" spans="1:2" x14ac:dyDescent="0.25">
      <c r="A2753" s="5">
        <v>37571</v>
      </c>
      <c r="B2753">
        <v>11.004059</v>
      </c>
    </row>
    <row r="2754" spans="1:2" x14ac:dyDescent="0.25">
      <c r="A2754" s="5">
        <v>37572</v>
      </c>
      <c r="B2754">
        <v>11.504542000000001</v>
      </c>
    </row>
    <row r="2755" spans="1:2" x14ac:dyDescent="0.25">
      <c r="A2755" s="5">
        <v>37573</v>
      </c>
      <c r="B2755">
        <v>11.721424000000001</v>
      </c>
    </row>
    <row r="2756" spans="1:2" x14ac:dyDescent="0.25">
      <c r="A2756" s="5">
        <v>37574</v>
      </c>
      <c r="B2756">
        <v>12.745756</v>
      </c>
    </row>
    <row r="2757" spans="1:2" x14ac:dyDescent="0.25">
      <c r="A2757" s="5">
        <v>37575</v>
      </c>
      <c r="B2757">
        <v>13.159492</v>
      </c>
    </row>
    <row r="2758" spans="1:2" x14ac:dyDescent="0.25">
      <c r="A2758" s="5">
        <v>37578</v>
      </c>
      <c r="B2758">
        <v>12.809150000000001</v>
      </c>
    </row>
    <row r="2759" spans="1:2" x14ac:dyDescent="0.25">
      <c r="A2759" s="5">
        <v>37579</v>
      </c>
      <c r="B2759">
        <v>12.348708999999999</v>
      </c>
    </row>
    <row r="2760" spans="1:2" x14ac:dyDescent="0.25">
      <c r="A2760" s="5">
        <v>37580</v>
      </c>
      <c r="B2760">
        <v>13.062735999999999</v>
      </c>
    </row>
    <row r="2761" spans="1:2" x14ac:dyDescent="0.25">
      <c r="A2761" s="5">
        <v>37581</v>
      </c>
      <c r="B2761">
        <v>13.559877999999999</v>
      </c>
    </row>
    <row r="2762" spans="1:2" x14ac:dyDescent="0.25">
      <c r="A2762" s="5">
        <v>37582</v>
      </c>
      <c r="B2762">
        <v>13.573233</v>
      </c>
    </row>
    <row r="2763" spans="1:2" x14ac:dyDescent="0.25">
      <c r="A2763" s="5">
        <v>37585</v>
      </c>
      <c r="B2763">
        <v>13.980294000000001</v>
      </c>
    </row>
    <row r="2764" spans="1:2" x14ac:dyDescent="0.25">
      <c r="A2764" s="5">
        <v>37586</v>
      </c>
      <c r="B2764">
        <v>13.45645</v>
      </c>
    </row>
    <row r="2765" spans="1:2" x14ac:dyDescent="0.25">
      <c r="A2765" s="5">
        <v>37587</v>
      </c>
      <c r="B2765">
        <v>13.916898</v>
      </c>
    </row>
    <row r="2766" spans="1:2" x14ac:dyDescent="0.25">
      <c r="A2766" s="5">
        <v>37589</v>
      </c>
      <c r="B2766">
        <v>13.753405000000001</v>
      </c>
    </row>
    <row r="2767" spans="1:2" x14ac:dyDescent="0.25">
      <c r="A2767" s="5">
        <v>37592</v>
      </c>
      <c r="B2767">
        <v>14.243881</v>
      </c>
    </row>
    <row r="2768" spans="1:2" x14ac:dyDescent="0.25">
      <c r="A2768" s="5">
        <v>37593</v>
      </c>
      <c r="B2768">
        <v>13.616607999999999</v>
      </c>
    </row>
    <row r="2769" spans="1:2" x14ac:dyDescent="0.25">
      <c r="A2769" s="5">
        <v>37594</v>
      </c>
      <c r="B2769">
        <v>13.339665999999999</v>
      </c>
    </row>
    <row r="2770" spans="1:2" x14ac:dyDescent="0.25">
      <c r="A2770" s="5">
        <v>37595</v>
      </c>
      <c r="B2770">
        <v>13.206208999999999</v>
      </c>
    </row>
    <row r="2771" spans="1:2" x14ac:dyDescent="0.25">
      <c r="A2771" s="5">
        <v>37596</v>
      </c>
      <c r="B2771">
        <v>13.840154</v>
      </c>
    </row>
    <row r="2772" spans="1:2" x14ac:dyDescent="0.25">
      <c r="A2772" s="5">
        <v>37599</v>
      </c>
      <c r="B2772">
        <v>13.076077</v>
      </c>
    </row>
    <row r="2773" spans="1:2" x14ac:dyDescent="0.25">
      <c r="A2773" s="5">
        <v>37600</v>
      </c>
      <c r="B2773">
        <v>13.216213</v>
      </c>
    </row>
    <row r="2774" spans="1:2" x14ac:dyDescent="0.25">
      <c r="A2774" s="5">
        <v>37601</v>
      </c>
      <c r="B2774">
        <v>13.192862</v>
      </c>
    </row>
    <row r="2775" spans="1:2" x14ac:dyDescent="0.25">
      <c r="A2775" s="5">
        <v>37602</v>
      </c>
      <c r="B2775">
        <v>12.849190999999999</v>
      </c>
    </row>
    <row r="2776" spans="1:2" x14ac:dyDescent="0.25">
      <c r="A2776" s="5">
        <v>37603</v>
      </c>
      <c r="B2776">
        <v>12.5489</v>
      </c>
    </row>
    <row r="2777" spans="1:2" x14ac:dyDescent="0.25">
      <c r="A2777" s="5">
        <v>37606</v>
      </c>
      <c r="B2777">
        <v>13.142808</v>
      </c>
    </row>
    <row r="2778" spans="1:2" x14ac:dyDescent="0.25">
      <c r="A2778" s="5">
        <v>37607</v>
      </c>
      <c r="B2778">
        <v>13.192862</v>
      </c>
    </row>
    <row r="2779" spans="1:2" x14ac:dyDescent="0.25">
      <c r="A2779" s="5">
        <v>37608</v>
      </c>
      <c r="B2779">
        <v>12.795801000000001</v>
      </c>
    </row>
    <row r="2780" spans="1:2" x14ac:dyDescent="0.25">
      <c r="A2780" s="5">
        <v>37609</v>
      </c>
      <c r="B2780">
        <v>12.558908000000001</v>
      </c>
    </row>
    <row r="2781" spans="1:2" x14ac:dyDescent="0.25">
      <c r="A2781" s="5">
        <v>37610</v>
      </c>
      <c r="B2781">
        <v>12.572253999999999</v>
      </c>
    </row>
    <row r="2782" spans="1:2" x14ac:dyDescent="0.25">
      <c r="A2782" s="5">
        <v>37613</v>
      </c>
      <c r="B2782">
        <v>13.009352</v>
      </c>
    </row>
    <row r="2783" spans="1:2" x14ac:dyDescent="0.25">
      <c r="A2783" s="5">
        <v>37614</v>
      </c>
      <c r="B2783">
        <v>12.832504</v>
      </c>
    </row>
    <row r="2784" spans="1:2" x14ac:dyDescent="0.25">
      <c r="A2784" s="5">
        <v>37616</v>
      </c>
      <c r="B2784">
        <v>12.70238</v>
      </c>
    </row>
    <row r="2785" spans="1:2" x14ac:dyDescent="0.25">
      <c r="A2785" s="5">
        <v>37617</v>
      </c>
      <c r="B2785">
        <v>12.435454999999999</v>
      </c>
    </row>
    <row r="2786" spans="1:2" x14ac:dyDescent="0.25">
      <c r="A2786" s="5">
        <v>37620</v>
      </c>
      <c r="B2786">
        <v>12.278634</v>
      </c>
    </row>
    <row r="2787" spans="1:2" x14ac:dyDescent="0.25">
      <c r="A2787" s="5">
        <v>37621</v>
      </c>
      <c r="B2787">
        <v>12.141833999999999</v>
      </c>
    </row>
    <row r="2788" spans="1:2" x14ac:dyDescent="0.25">
      <c r="A2788" s="5">
        <v>37623</v>
      </c>
      <c r="B2788">
        <v>12.392077</v>
      </c>
    </row>
    <row r="2789" spans="1:2" x14ac:dyDescent="0.25">
      <c r="A2789" s="5">
        <v>37624</v>
      </c>
      <c r="B2789">
        <v>11.911611000000001</v>
      </c>
    </row>
    <row r="2790" spans="1:2" x14ac:dyDescent="0.25">
      <c r="A2790" s="5">
        <v>37627</v>
      </c>
      <c r="B2790">
        <v>12.468819</v>
      </c>
    </row>
    <row r="2791" spans="1:2" x14ac:dyDescent="0.25">
      <c r="A2791" s="5">
        <v>37628</v>
      </c>
      <c r="B2791">
        <v>12.432117999999999</v>
      </c>
    </row>
    <row r="2792" spans="1:2" x14ac:dyDescent="0.25">
      <c r="A2792" s="5">
        <v>37629</v>
      </c>
      <c r="B2792">
        <v>12.218575</v>
      </c>
    </row>
    <row r="2793" spans="1:2" x14ac:dyDescent="0.25">
      <c r="A2793" s="5">
        <v>37630</v>
      </c>
      <c r="B2793">
        <v>12.905912000000001</v>
      </c>
    </row>
    <row r="2794" spans="1:2" x14ac:dyDescent="0.25">
      <c r="A2794" s="5">
        <v>37631</v>
      </c>
      <c r="B2794">
        <v>12.829167999999999</v>
      </c>
    </row>
    <row r="2795" spans="1:2" x14ac:dyDescent="0.25">
      <c r="A2795" s="5">
        <v>37634</v>
      </c>
      <c r="B2795">
        <v>12.91258</v>
      </c>
    </row>
    <row r="2796" spans="1:2" x14ac:dyDescent="0.25">
      <c r="A2796" s="5">
        <v>37635</v>
      </c>
      <c r="B2796">
        <v>13.119456</v>
      </c>
    </row>
    <row r="2797" spans="1:2" x14ac:dyDescent="0.25">
      <c r="A2797" s="5">
        <v>37636</v>
      </c>
      <c r="B2797">
        <v>12.802481999999999</v>
      </c>
    </row>
    <row r="2798" spans="1:2" x14ac:dyDescent="0.25">
      <c r="A2798" s="5">
        <v>37637</v>
      </c>
      <c r="B2798">
        <v>12.809150000000001</v>
      </c>
    </row>
    <row r="2799" spans="1:2" x14ac:dyDescent="0.25">
      <c r="A2799" s="5">
        <v>37638</v>
      </c>
      <c r="B2799">
        <v>12.278634</v>
      </c>
    </row>
    <row r="2800" spans="1:2" x14ac:dyDescent="0.25">
      <c r="A2800" s="5">
        <v>37642</v>
      </c>
      <c r="B2800">
        <v>12.332018</v>
      </c>
    </row>
    <row r="2801" spans="1:2" x14ac:dyDescent="0.25">
      <c r="A2801" s="5">
        <v>37643</v>
      </c>
      <c r="B2801">
        <v>12.241935</v>
      </c>
    </row>
    <row r="2802" spans="1:2" x14ac:dyDescent="0.25">
      <c r="A2802" s="5">
        <v>37644</v>
      </c>
      <c r="B2802">
        <v>12.655673</v>
      </c>
    </row>
    <row r="2803" spans="1:2" x14ac:dyDescent="0.25">
      <c r="A2803" s="5">
        <v>37645</v>
      </c>
      <c r="B2803">
        <v>12.278634</v>
      </c>
    </row>
    <row r="2804" spans="1:2" x14ac:dyDescent="0.25">
      <c r="A2804" s="5">
        <v>37648</v>
      </c>
      <c r="B2804">
        <v>12.138500000000001</v>
      </c>
    </row>
    <row r="2805" spans="1:2" x14ac:dyDescent="0.25">
      <c r="A2805" s="5">
        <v>37649</v>
      </c>
      <c r="B2805">
        <v>12.375392</v>
      </c>
    </row>
    <row r="2806" spans="1:2" x14ac:dyDescent="0.25">
      <c r="A2806" s="5">
        <v>37650</v>
      </c>
      <c r="B2806">
        <v>12.682366</v>
      </c>
    </row>
    <row r="2807" spans="1:2" x14ac:dyDescent="0.25">
      <c r="A2807" s="5">
        <v>37651</v>
      </c>
      <c r="B2807">
        <v>12.525541</v>
      </c>
    </row>
    <row r="2808" spans="1:2" x14ac:dyDescent="0.25">
      <c r="A2808" s="5">
        <v>37652</v>
      </c>
      <c r="B2808">
        <v>12.565583</v>
      </c>
    </row>
    <row r="2809" spans="1:2" x14ac:dyDescent="0.25">
      <c r="A2809" s="5">
        <v>37655</v>
      </c>
      <c r="B2809">
        <v>12.458815</v>
      </c>
    </row>
    <row r="2810" spans="1:2" x14ac:dyDescent="0.25">
      <c r="A2810" s="5">
        <v>37656</v>
      </c>
      <c r="B2810">
        <v>12.2119</v>
      </c>
    </row>
    <row r="2811" spans="1:2" x14ac:dyDescent="0.25">
      <c r="A2811" s="5">
        <v>37657</v>
      </c>
      <c r="B2811">
        <v>12.105127</v>
      </c>
    </row>
    <row r="2812" spans="1:2" x14ac:dyDescent="0.25">
      <c r="A2812" s="5">
        <v>37658</v>
      </c>
      <c r="B2812">
        <v>12.205228999999999</v>
      </c>
    </row>
    <row r="2813" spans="1:2" x14ac:dyDescent="0.25">
      <c r="A2813" s="5">
        <v>37659</v>
      </c>
      <c r="B2813">
        <v>12.091787</v>
      </c>
    </row>
    <row r="2814" spans="1:2" x14ac:dyDescent="0.25">
      <c r="A2814" s="5">
        <v>37662</v>
      </c>
      <c r="B2814">
        <v>12.552231000000001</v>
      </c>
    </row>
    <row r="2815" spans="1:2" x14ac:dyDescent="0.25">
      <c r="A2815" s="5">
        <v>37663</v>
      </c>
      <c r="B2815">
        <v>12.562244</v>
      </c>
    </row>
    <row r="2816" spans="1:2" x14ac:dyDescent="0.25">
      <c r="A2816" s="5">
        <v>37664</v>
      </c>
      <c r="B2816">
        <v>12.198556999999999</v>
      </c>
    </row>
    <row r="2817" spans="1:2" x14ac:dyDescent="0.25">
      <c r="A2817" s="5">
        <v>37665</v>
      </c>
      <c r="B2817">
        <v>11.314361</v>
      </c>
    </row>
    <row r="2818" spans="1:2" x14ac:dyDescent="0.25">
      <c r="A2818" s="5">
        <v>37666</v>
      </c>
      <c r="B2818">
        <v>11.57795</v>
      </c>
    </row>
    <row r="2819" spans="1:2" x14ac:dyDescent="0.25">
      <c r="A2819" s="5">
        <v>37670</v>
      </c>
      <c r="B2819">
        <v>11.808172000000001</v>
      </c>
    </row>
    <row r="2820" spans="1:2" x14ac:dyDescent="0.25">
      <c r="A2820" s="5">
        <v>37671</v>
      </c>
      <c r="B2820">
        <v>11.858223000000001</v>
      </c>
    </row>
    <row r="2821" spans="1:2" x14ac:dyDescent="0.25">
      <c r="A2821" s="5">
        <v>37672</v>
      </c>
      <c r="B2821">
        <v>11.57795</v>
      </c>
    </row>
    <row r="2822" spans="1:2" x14ac:dyDescent="0.25">
      <c r="A2822" s="5">
        <v>37673</v>
      </c>
      <c r="B2822">
        <v>11.751457</v>
      </c>
    </row>
    <row r="2823" spans="1:2" x14ac:dyDescent="0.25">
      <c r="A2823" s="5">
        <v>37676</v>
      </c>
      <c r="B2823">
        <v>11.738106999999999</v>
      </c>
    </row>
    <row r="2824" spans="1:2" x14ac:dyDescent="0.25">
      <c r="A2824" s="5">
        <v>37677</v>
      </c>
      <c r="B2824">
        <v>11.601308</v>
      </c>
    </row>
    <row r="2825" spans="1:2" x14ac:dyDescent="0.25">
      <c r="A2825" s="5">
        <v>37678</v>
      </c>
      <c r="B2825">
        <v>11.167551</v>
      </c>
    </row>
    <row r="2826" spans="1:2" x14ac:dyDescent="0.25">
      <c r="A2826" s="5">
        <v>37679</v>
      </c>
      <c r="B2826">
        <v>11.417799</v>
      </c>
    </row>
    <row r="2827" spans="1:2" x14ac:dyDescent="0.25">
      <c r="A2827" s="5">
        <v>37680</v>
      </c>
      <c r="B2827">
        <v>11.537917</v>
      </c>
    </row>
    <row r="2828" spans="1:2" x14ac:dyDescent="0.25">
      <c r="A2828" s="5">
        <v>37683</v>
      </c>
      <c r="B2828">
        <v>11.347728</v>
      </c>
    </row>
    <row r="2829" spans="1:2" x14ac:dyDescent="0.25">
      <c r="A2829" s="5">
        <v>37684</v>
      </c>
      <c r="B2829">
        <v>11.494532</v>
      </c>
    </row>
    <row r="2830" spans="1:2" x14ac:dyDescent="0.25">
      <c r="A2830" s="5">
        <v>37685</v>
      </c>
      <c r="B2830">
        <v>11.841538999999999</v>
      </c>
    </row>
    <row r="2831" spans="1:2" x14ac:dyDescent="0.25">
      <c r="A2831" s="5">
        <v>37686</v>
      </c>
      <c r="B2831">
        <v>11.671373000000001</v>
      </c>
    </row>
    <row r="2832" spans="1:2" x14ac:dyDescent="0.25">
      <c r="A2832" s="5">
        <v>37687</v>
      </c>
      <c r="B2832">
        <v>11.738106999999999</v>
      </c>
    </row>
    <row r="2833" spans="1:2" x14ac:dyDescent="0.25">
      <c r="A2833" s="5">
        <v>37690</v>
      </c>
      <c r="B2833">
        <v>11.424465</v>
      </c>
    </row>
    <row r="2834" spans="1:2" x14ac:dyDescent="0.25">
      <c r="A2834" s="5">
        <v>37691</v>
      </c>
      <c r="B2834">
        <v>11.521228000000001</v>
      </c>
    </row>
    <row r="2835" spans="1:2" x14ac:dyDescent="0.25">
      <c r="A2835" s="5">
        <v>37692</v>
      </c>
      <c r="B2835">
        <v>11.73508</v>
      </c>
    </row>
    <row r="2836" spans="1:2" x14ac:dyDescent="0.25">
      <c r="A2836" s="5">
        <v>37693</v>
      </c>
      <c r="B2836">
        <v>12.593826999999999</v>
      </c>
    </row>
    <row r="2837" spans="1:2" x14ac:dyDescent="0.25">
      <c r="A2837" s="5">
        <v>37694</v>
      </c>
      <c r="B2837">
        <v>12.523655</v>
      </c>
    </row>
    <row r="2838" spans="1:2" x14ac:dyDescent="0.25">
      <c r="A2838" s="5">
        <v>37697</v>
      </c>
      <c r="B2838">
        <v>13.038233</v>
      </c>
    </row>
    <row r="2839" spans="1:2" x14ac:dyDescent="0.25">
      <c r="A2839" s="5">
        <v>37698</v>
      </c>
      <c r="B2839">
        <v>13.115087000000001</v>
      </c>
    </row>
    <row r="2840" spans="1:2" x14ac:dyDescent="0.25">
      <c r="A2840" s="5">
        <v>37699</v>
      </c>
      <c r="B2840">
        <v>13.071657</v>
      </c>
    </row>
    <row r="2841" spans="1:2" x14ac:dyDescent="0.25">
      <c r="A2841" s="5">
        <v>37700</v>
      </c>
      <c r="B2841">
        <v>12.901239</v>
      </c>
    </row>
    <row r="2842" spans="1:2" x14ac:dyDescent="0.25">
      <c r="A2842" s="5">
        <v>37701</v>
      </c>
      <c r="B2842">
        <v>13.101727</v>
      </c>
    </row>
    <row r="2843" spans="1:2" x14ac:dyDescent="0.25">
      <c r="A2843" s="5">
        <v>37704</v>
      </c>
      <c r="B2843">
        <v>12.737507000000001</v>
      </c>
    </row>
    <row r="2844" spans="1:2" x14ac:dyDescent="0.25">
      <c r="A2844" s="5">
        <v>37705</v>
      </c>
      <c r="B2844">
        <v>12.951364</v>
      </c>
    </row>
    <row r="2845" spans="1:2" x14ac:dyDescent="0.25">
      <c r="A2845" s="5">
        <v>37706</v>
      </c>
      <c r="B2845">
        <v>12.841094</v>
      </c>
    </row>
    <row r="2846" spans="1:2" x14ac:dyDescent="0.25">
      <c r="A2846" s="5">
        <v>37707</v>
      </c>
      <c r="B2846">
        <v>12.563751</v>
      </c>
    </row>
    <row r="2847" spans="1:2" x14ac:dyDescent="0.25">
      <c r="A2847" s="5">
        <v>37708</v>
      </c>
      <c r="B2847">
        <v>12.530343</v>
      </c>
    </row>
    <row r="2848" spans="1:2" x14ac:dyDescent="0.25">
      <c r="A2848" s="5">
        <v>37711</v>
      </c>
      <c r="B2848">
        <v>12.029123</v>
      </c>
    </row>
    <row r="2849" spans="1:2" x14ac:dyDescent="0.25">
      <c r="A2849" s="5">
        <v>37712</v>
      </c>
      <c r="B2849">
        <v>12.012419</v>
      </c>
    </row>
    <row r="2850" spans="1:2" x14ac:dyDescent="0.25">
      <c r="A2850" s="5">
        <v>37713</v>
      </c>
      <c r="B2850">
        <v>11.420987</v>
      </c>
    </row>
    <row r="2851" spans="1:2" x14ac:dyDescent="0.25">
      <c r="A2851" s="5">
        <v>37714</v>
      </c>
      <c r="B2851">
        <v>11.467762</v>
      </c>
    </row>
    <row r="2852" spans="1:2" x14ac:dyDescent="0.25">
      <c r="A2852" s="5">
        <v>37715</v>
      </c>
      <c r="B2852">
        <v>11.457744</v>
      </c>
    </row>
    <row r="2853" spans="1:2" x14ac:dyDescent="0.25">
      <c r="A2853" s="5">
        <v>37718</v>
      </c>
      <c r="B2853">
        <v>11.424326000000001</v>
      </c>
    </row>
    <row r="2854" spans="1:2" x14ac:dyDescent="0.25">
      <c r="A2854" s="5">
        <v>37719</v>
      </c>
      <c r="B2854">
        <v>10.826212999999999</v>
      </c>
    </row>
    <row r="2855" spans="1:2" x14ac:dyDescent="0.25">
      <c r="A2855" s="5">
        <v>37720</v>
      </c>
      <c r="B2855">
        <v>10.766067</v>
      </c>
    </row>
    <row r="2856" spans="1:2" x14ac:dyDescent="0.25">
      <c r="A2856" s="5">
        <v>37721</v>
      </c>
      <c r="B2856">
        <v>10.796137999999999</v>
      </c>
    </row>
    <row r="2857" spans="1:2" x14ac:dyDescent="0.25">
      <c r="A2857" s="5">
        <v>37722</v>
      </c>
      <c r="B2857">
        <v>10.652461000000001</v>
      </c>
    </row>
    <row r="2858" spans="1:2" x14ac:dyDescent="0.25">
      <c r="A2858" s="5">
        <v>37725</v>
      </c>
      <c r="B2858">
        <v>11.046746000000001</v>
      </c>
    </row>
    <row r="2859" spans="1:2" x14ac:dyDescent="0.25">
      <c r="A2859" s="5">
        <v>37726</v>
      </c>
      <c r="B2859">
        <v>11.053431</v>
      </c>
    </row>
    <row r="2860" spans="1:2" x14ac:dyDescent="0.25">
      <c r="A2860" s="5">
        <v>37727</v>
      </c>
      <c r="B2860">
        <v>10.93314</v>
      </c>
    </row>
    <row r="2861" spans="1:2" x14ac:dyDescent="0.25">
      <c r="A2861" s="5">
        <v>37728</v>
      </c>
      <c r="B2861">
        <v>11.006644</v>
      </c>
    </row>
    <row r="2862" spans="1:2" x14ac:dyDescent="0.25">
      <c r="A2862" s="5">
        <v>37732</v>
      </c>
      <c r="B2862">
        <v>10.986599</v>
      </c>
    </row>
    <row r="2863" spans="1:2" x14ac:dyDescent="0.25">
      <c r="A2863" s="5">
        <v>37733</v>
      </c>
      <c r="B2863">
        <v>11.096867</v>
      </c>
    </row>
    <row r="2864" spans="1:2" x14ac:dyDescent="0.25">
      <c r="A2864" s="5">
        <v>37734</v>
      </c>
      <c r="B2864">
        <v>11.020016999999999</v>
      </c>
    </row>
    <row r="2865" spans="1:2" x14ac:dyDescent="0.25">
      <c r="A2865" s="5">
        <v>37735</v>
      </c>
      <c r="B2865">
        <v>10.903065</v>
      </c>
    </row>
    <row r="2866" spans="1:2" x14ac:dyDescent="0.25">
      <c r="A2866" s="5">
        <v>37736</v>
      </c>
      <c r="B2866">
        <v>10.398514</v>
      </c>
    </row>
    <row r="2867" spans="1:2" x14ac:dyDescent="0.25">
      <c r="A2867" s="5">
        <v>37739</v>
      </c>
      <c r="B2867">
        <v>10.378458</v>
      </c>
    </row>
    <row r="2868" spans="1:2" x14ac:dyDescent="0.25">
      <c r="A2868" s="5">
        <v>37740</v>
      </c>
      <c r="B2868">
        <v>10.655802</v>
      </c>
    </row>
    <row r="2869" spans="1:2" x14ac:dyDescent="0.25">
      <c r="A2869" s="5">
        <v>37741</v>
      </c>
      <c r="B2869">
        <v>10.652461000000001</v>
      </c>
    </row>
    <row r="2870" spans="1:2" x14ac:dyDescent="0.25">
      <c r="A2870" s="5">
        <v>37742</v>
      </c>
      <c r="B2870">
        <v>10.762726000000001</v>
      </c>
    </row>
    <row r="2871" spans="1:2" x14ac:dyDescent="0.25">
      <c r="A2871" s="5">
        <v>37743</v>
      </c>
      <c r="B2871">
        <v>10.729316000000001</v>
      </c>
    </row>
    <row r="2872" spans="1:2" x14ac:dyDescent="0.25">
      <c r="A2872" s="5">
        <v>37746</v>
      </c>
      <c r="B2872">
        <v>10.852943</v>
      </c>
    </row>
    <row r="2873" spans="1:2" x14ac:dyDescent="0.25">
      <c r="A2873" s="5">
        <v>37747</v>
      </c>
      <c r="B2873">
        <v>10.969894</v>
      </c>
    </row>
    <row r="2874" spans="1:2" x14ac:dyDescent="0.25">
      <c r="A2874" s="5">
        <v>37748</v>
      </c>
      <c r="B2874">
        <v>10.672508000000001</v>
      </c>
    </row>
    <row r="2875" spans="1:2" x14ac:dyDescent="0.25">
      <c r="A2875" s="5">
        <v>37749</v>
      </c>
      <c r="B2875">
        <v>10.154588</v>
      </c>
    </row>
    <row r="2876" spans="1:2" x14ac:dyDescent="0.25">
      <c r="A2876" s="5">
        <v>37750</v>
      </c>
      <c r="B2876">
        <v>10.395168999999999</v>
      </c>
    </row>
    <row r="2877" spans="1:2" x14ac:dyDescent="0.25">
      <c r="A2877" s="5">
        <v>37753</v>
      </c>
      <c r="B2877">
        <v>10.398514</v>
      </c>
    </row>
    <row r="2878" spans="1:2" x14ac:dyDescent="0.25">
      <c r="A2878" s="5">
        <v>37754</v>
      </c>
      <c r="B2878">
        <v>10.482049999999999</v>
      </c>
    </row>
    <row r="2879" spans="1:2" x14ac:dyDescent="0.25">
      <c r="A2879" s="5">
        <v>37755</v>
      </c>
      <c r="B2879">
        <v>10.304952</v>
      </c>
    </row>
    <row r="2880" spans="1:2" x14ac:dyDescent="0.25">
      <c r="A2880" s="5">
        <v>37756</v>
      </c>
      <c r="B2880">
        <v>10.101127</v>
      </c>
    </row>
    <row r="2881" spans="1:2" x14ac:dyDescent="0.25">
      <c r="A2881" s="5">
        <v>37757</v>
      </c>
      <c r="B2881">
        <v>10.124516</v>
      </c>
    </row>
    <row r="2882" spans="1:2" x14ac:dyDescent="0.25">
      <c r="A2882" s="5">
        <v>37760</v>
      </c>
      <c r="B2882">
        <v>10.114490999999999</v>
      </c>
    </row>
    <row r="2883" spans="1:2" x14ac:dyDescent="0.25">
      <c r="A2883" s="5">
        <v>37761</v>
      </c>
      <c r="B2883">
        <v>10.345048999999999</v>
      </c>
    </row>
    <row r="2884" spans="1:2" x14ac:dyDescent="0.25">
      <c r="A2884" s="5">
        <v>37762</v>
      </c>
      <c r="B2884">
        <v>10.485389</v>
      </c>
    </row>
    <row r="2885" spans="1:2" x14ac:dyDescent="0.25">
      <c r="A2885" s="5">
        <v>37763</v>
      </c>
      <c r="B2885">
        <v>10.475360999999999</v>
      </c>
    </row>
    <row r="2886" spans="1:2" x14ac:dyDescent="0.25">
      <c r="A2886" s="5">
        <v>37764</v>
      </c>
      <c r="B2886">
        <v>10.325002</v>
      </c>
    </row>
    <row r="2887" spans="1:2" x14ac:dyDescent="0.25">
      <c r="A2887" s="5">
        <v>37768</v>
      </c>
      <c r="B2887">
        <v>10.615705</v>
      </c>
    </row>
    <row r="2888" spans="1:2" x14ac:dyDescent="0.25">
      <c r="A2888" s="5">
        <v>37769</v>
      </c>
      <c r="B2888">
        <v>10.505262999999999</v>
      </c>
    </row>
    <row r="2889" spans="1:2" x14ac:dyDescent="0.25">
      <c r="A2889" s="5">
        <v>37770</v>
      </c>
      <c r="B2889">
        <v>10.876746000000001</v>
      </c>
    </row>
    <row r="2890" spans="1:2" x14ac:dyDescent="0.25">
      <c r="A2890" s="5">
        <v>37771</v>
      </c>
      <c r="B2890">
        <v>11.228147</v>
      </c>
    </row>
    <row r="2891" spans="1:2" x14ac:dyDescent="0.25">
      <c r="A2891" s="5">
        <v>37774</v>
      </c>
      <c r="B2891">
        <v>11.161213</v>
      </c>
    </row>
    <row r="2892" spans="1:2" x14ac:dyDescent="0.25">
      <c r="A2892" s="5">
        <v>37775</v>
      </c>
      <c r="B2892">
        <v>11.606325</v>
      </c>
    </row>
    <row r="2893" spans="1:2" x14ac:dyDescent="0.25">
      <c r="A2893" s="5">
        <v>37776</v>
      </c>
      <c r="B2893">
        <v>11.613020000000001</v>
      </c>
    </row>
    <row r="2894" spans="1:2" x14ac:dyDescent="0.25">
      <c r="A2894" s="5">
        <v>37777</v>
      </c>
      <c r="B2894">
        <v>11.679948</v>
      </c>
    </row>
    <row r="2895" spans="1:2" x14ac:dyDescent="0.25">
      <c r="A2895" s="5">
        <v>37778</v>
      </c>
      <c r="B2895">
        <v>11.228147</v>
      </c>
    </row>
    <row r="2896" spans="1:2" x14ac:dyDescent="0.25">
      <c r="A2896" s="5">
        <v>37781</v>
      </c>
      <c r="B2896">
        <v>11.111015</v>
      </c>
    </row>
    <row r="2897" spans="1:2" x14ac:dyDescent="0.25">
      <c r="A2897" s="5">
        <v>37782</v>
      </c>
      <c r="B2897">
        <v>11.254922000000001</v>
      </c>
    </row>
    <row r="2898" spans="1:2" x14ac:dyDescent="0.25">
      <c r="A2898" s="5">
        <v>37783</v>
      </c>
      <c r="B2898">
        <v>11.251576</v>
      </c>
    </row>
    <row r="2899" spans="1:2" x14ac:dyDescent="0.25">
      <c r="A2899" s="5">
        <v>37784</v>
      </c>
      <c r="B2899">
        <v>11.241535000000001</v>
      </c>
    </row>
    <row r="2900" spans="1:2" x14ac:dyDescent="0.25">
      <c r="A2900" s="5">
        <v>37785</v>
      </c>
      <c r="B2900">
        <v>11.040732</v>
      </c>
    </row>
    <row r="2901" spans="1:2" x14ac:dyDescent="0.25">
      <c r="A2901" s="5">
        <v>37788</v>
      </c>
      <c r="B2901">
        <v>11.271656</v>
      </c>
    </row>
    <row r="2902" spans="1:2" x14ac:dyDescent="0.25">
      <c r="A2902" s="5">
        <v>37789</v>
      </c>
      <c r="B2902">
        <v>11.301776</v>
      </c>
    </row>
    <row r="2903" spans="1:2" x14ac:dyDescent="0.25">
      <c r="A2903" s="5">
        <v>37790</v>
      </c>
      <c r="B2903">
        <v>11.94434</v>
      </c>
    </row>
    <row r="2904" spans="1:2" x14ac:dyDescent="0.25">
      <c r="A2904" s="5">
        <v>37791</v>
      </c>
      <c r="B2904">
        <v>12.355981</v>
      </c>
    </row>
    <row r="2905" spans="1:2" x14ac:dyDescent="0.25">
      <c r="A2905" s="5">
        <v>37792</v>
      </c>
      <c r="B2905">
        <v>12.198691</v>
      </c>
    </row>
    <row r="2906" spans="1:2" x14ac:dyDescent="0.25">
      <c r="A2906" s="5">
        <v>37795</v>
      </c>
      <c r="B2906">
        <v>12.048086</v>
      </c>
    </row>
    <row r="2907" spans="1:2" x14ac:dyDescent="0.25">
      <c r="A2907" s="5">
        <v>37796</v>
      </c>
      <c r="B2907">
        <v>11.984500000000001</v>
      </c>
    </row>
    <row r="2908" spans="1:2" x14ac:dyDescent="0.25">
      <c r="A2908" s="5">
        <v>37797</v>
      </c>
      <c r="B2908">
        <v>11.820512000000001</v>
      </c>
    </row>
    <row r="2909" spans="1:2" x14ac:dyDescent="0.25">
      <c r="A2909" s="5">
        <v>37798</v>
      </c>
      <c r="B2909">
        <v>12.191991</v>
      </c>
    </row>
    <row r="2910" spans="1:2" x14ac:dyDescent="0.25">
      <c r="A2910" s="5">
        <v>37799</v>
      </c>
      <c r="B2910">
        <v>12.051435</v>
      </c>
    </row>
    <row r="2911" spans="1:2" x14ac:dyDescent="0.25">
      <c r="A2911" s="5">
        <v>37802</v>
      </c>
      <c r="B2911">
        <v>12.028005</v>
      </c>
    </row>
    <row r="2912" spans="1:2" x14ac:dyDescent="0.25">
      <c r="A2912" s="5">
        <v>37803</v>
      </c>
      <c r="B2912">
        <v>12.061481000000001</v>
      </c>
    </row>
    <row r="2913" spans="1:2" x14ac:dyDescent="0.25">
      <c r="A2913" s="5">
        <v>37804</v>
      </c>
      <c r="B2913">
        <v>12.630409</v>
      </c>
    </row>
    <row r="2914" spans="1:2" x14ac:dyDescent="0.25">
      <c r="A2914" s="5">
        <v>37805</v>
      </c>
      <c r="B2914">
        <v>12.536701000000001</v>
      </c>
    </row>
    <row r="2915" spans="1:2" x14ac:dyDescent="0.25">
      <c r="A2915" s="5">
        <v>37809</v>
      </c>
      <c r="B2915">
        <v>13.346605</v>
      </c>
    </row>
    <row r="2916" spans="1:2" x14ac:dyDescent="0.25">
      <c r="A2916" s="5">
        <v>37810</v>
      </c>
      <c r="B2916">
        <v>13.21608</v>
      </c>
    </row>
    <row r="2917" spans="1:2" x14ac:dyDescent="0.25">
      <c r="A2917" s="5">
        <v>37811</v>
      </c>
      <c r="B2917">
        <v>13.085556</v>
      </c>
    </row>
    <row r="2918" spans="1:2" x14ac:dyDescent="0.25">
      <c r="A2918" s="5">
        <v>37812</v>
      </c>
      <c r="B2918">
        <v>12.77097</v>
      </c>
    </row>
    <row r="2919" spans="1:2" x14ac:dyDescent="0.25">
      <c r="A2919" s="5">
        <v>37813</v>
      </c>
      <c r="B2919">
        <v>12.931611</v>
      </c>
    </row>
    <row r="2920" spans="1:2" x14ac:dyDescent="0.25">
      <c r="A2920" s="5">
        <v>37816</v>
      </c>
      <c r="B2920">
        <v>12.841253999999999</v>
      </c>
    </row>
    <row r="2921" spans="1:2" x14ac:dyDescent="0.25">
      <c r="A2921" s="5">
        <v>37817</v>
      </c>
      <c r="B2921">
        <v>12.650492</v>
      </c>
    </row>
    <row r="2922" spans="1:2" x14ac:dyDescent="0.25">
      <c r="A2922" s="5">
        <v>37818</v>
      </c>
      <c r="B2922">
        <v>12.489848</v>
      </c>
    </row>
    <row r="2923" spans="1:2" x14ac:dyDescent="0.25">
      <c r="A2923" s="5">
        <v>37819</v>
      </c>
      <c r="B2923">
        <v>11.94434</v>
      </c>
    </row>
    <row r="2924" spans="1:2" x14ac:dyDescent="0.25">
      <c r="A2924" s="5">
        <v>37820</v>
      </c>
      <c r="B2924">
        <v>11.877405</v>
      </c>
    </row>
    <row r="2925" spans="1:2" x14ac:dyDescent="0.25">
      <c r="A2925" s="5">
        <v>37823</v>
      </c>
      <c r="B2925">
        <v>11.71007</v>
      </c>
    </row>
    <row r="2926" spans="1:2" x14ac:dyDescent="0.25">
      <c r="A2926" s="5">
        <v>37824</v>
      </c>
      <c r="B2926">
        <v>12.128408</v>
      </c>
    </row>
    <row r="2927" spans="1:2" x14ac:dyDescent="0.25">
      <c r="A2927" s="5">
        <v>37825</v>
      </c>
      <c r="B2927">
        <v>12.131755999999999</v>
      </c>
    </row>
    <row r="2928" spans="1:2" x14ac:dyDescent="0.25">
      <c r="A2928" s="5">
        <v>37826</v>
      </c>
      <c r="B2928">
        <v>12.453042</v>
      </c>
    </row>
    <row r="2929" spans="1:2" x14ac:dyDescent="0.25">
      <c r="A2929" s="5">
        <v>37827</v>
      </c>
      <c r="B2929">
        <v>12.667221</v>
      </c>
    </row>
    <row r="2930" spans="1:2" x14ac:dyDescent="0.25">
      <c r="A2930" s="5">
        <v>37830</v>
      </c>
      <c r="B2930">
        <v>12.924917000000001</v>
      </c>
    </row>
    <row r="2931" spans="1:2" x14ac:dyDescent="0.25">
      <c r="A2931" s="5">
        <v>37831</v>
      </c>
      <c r="B2931">
        <v>12.760927000000001</v>
      </c>
    </row>
    <row r="2932" spans="1:2" x14ac:dyDescent="0.25">
      <c r="A2932" s="5">
        <v>37832</v>
      </c>
      <c r="B2932">
        <v>12.496549999999999</v>
      </c>
    </row>
    <row r="2933" spans="1:2" x14ac:dyDescent="0.25">
      <c r="A2933" s="5">
        <v>37833</v>
      </c>
      <c r="B2933">
        <v>12.543397000000001</v>
      </c>
    </row>
    <row r="2934" spans="1:2" x14ac:dyDescent="0.25">
      <c r="A2934" s="5">
        <v>37834</v>
      </c>
      <c r="B2934">
        <v>12.215419000000001</v>
      </c>
    </row>
    <row r="2935" spans="1:2" x14ac:dyDescent="0.25">
      <c r="A2935" s="5">
        <v>37837</v>
      </c>
      <c r="B2935">
        <v>12.509930000000001</v>
      </c>
    </row>
    <row r="2936" spans="1:2" x14ac:dyDescent="0.25">
      <c r="A2936" s="5">
        <v>37838</v>
      </c>
      <c r="B2936">
        <v>12.054779</v>
      </c>
    </row>
    <row r="2937" spans="1:2" x14ac:dyDescent="0.25">
      <c r="A2937" s="5">
        <v>37839</v>
      </c>
      <c r="B2937">
        <v>12.205382999999999</v>
      </c>
    </row>
    <row r="2938" spans="1:2" x14ac:dyDescent="0.25">
      <c r="A2938" s="5">
        <v>37840</v>
      </c>
      <c r="B2938">
        <v>12.185298</v>
      </c>
    </row>
    <row r="2939" spans="1:2" x14ac:dyDescent="0.25">
      <c r="A2939" s="5">
        <v>37841</v>
      </c>
      <c r="B2939">
        <v>11.833897</v>
      </c>
    </row>
    <row r="2940" spans="1:2" x14ac:dyDescent="0.25">
      <c r="A2940" s="5">
        <v>37844</v>
      </c>
      <c r="B2940">
        <v>12.007928</v>
      </c>
    </row>
    <row r="2941" spans="1:2" x14ac:dyDescent="0.25">
      <c r="A2941" s="5">
        <v>37845</v>
      </c>
      <c r="B2941">
        <v>12.302441</v>
      </c>
    </row>
    <row r="2942" spans="1:2" x14ac:dyDescent="0.25">
      <c r="A2942" s="5">
        <v>37846</v>
      </c>
      <c r="B2942">
        <v>12.660527999999999</v>
      </c>
    </row>
    <row r="2943" spans="1:2" x14ac:dyDescent="0.25">
      <c r="A2943" s="5">
        <v>37847</v>
      </c>
      <c r="B2943">
        <v>12.844599000000001</v>
      </c>
    </row>
    <row r="2944" spans="1:2" x14ac:dyDescent="0.25">
      <c r="A2944" s="5">
        <v>37848</v>
      </c>
      <c r="B2944">
        <v>12.837908000000001</v>
      </c>
    </row>
    <row r="2945" spans="1:2" x14ac:dyDescent="0.25">
      <c r="A2945" s="5">
        <v>37851</v>
      </c>
      <c r="B2945">
        <v>13.088907000000001</v>
      </c>
    </row>
    <row r="2946" spans="1:2" x14ac:dyDescent="0.25">
      <c r="A2946" s="5">
        <v>37852</v>
      </c>
      <c r="B2946">
        <v>12.944998</v>
      </c>
    </row>
    <row r="2947" spans="1:2" x14ac:dyDescent="0.25">
      <c r="A2947" s="5">
        <v>37853</v>
      </c>
      <c r="B2947">
        <v>12.931611</v>
      </c>
    </row>
    <row r="2948" spans="1:2" x14ac:dyDescent="0.25">
      <c r="A2948" s="5">
        <v>37854</v>
      </c>
      <c r="B2948">
        <v>12.931611</v>
      </c>
    </row>
    <row r="2949" spans="1:2" x14ac:dyDescent="0.25">
      <c r="A2949" s="5">
        <v>37855</v>
      </c>
      <c r="B2949">
        <v>13.008588</v>
      </c>
    </row>
    <row r="2950" spans="1:2" x14ac:dyDescent="0.25">
      <c r="A2950" s="5">
        <v>37858</v>
      </c>
      <c r="B2950">
        <v>13.045400000000001</v>
      </c>
    </row>
    <row r="2951" spans="1:2" x14ac:dyDescent="0.25">
      <c r="A2951" s="5">
        <v>37859</v>
      </c>
      <c r="B2951">
        <v>13.252894</v>
      </c>
    </row>
    <row r="2952" spans="1:2" x14ac:dyDescent="0.25">
      <c r="A2952" s="5">
        <v>37860</v>
      </c>
      <c r="B2952">
        <v>13.745734000000001</v>
      </c>
    </row>
    <row r="2953" spans="1:2" x14ac:dyDescent="0.25">
      <c r="A2953" s="5">
        <v>37861</v>
      </c>
      <c r="B2953">
        <v>13.735673999999999</v>
      </c>
    </row>
    <row r="2954" spans="1:2" x14ac:dyDescent="0.25">
      <c r="A2954" s="5">
        <v>37862</v>
      </c>
      <c r="B2954">
        <v>13.856368</v>
      </c>
    </row>
    <row r="2955" spans="1:2" x14ac:dyDescent="0.25">
      <c r="A2955" s="5">
        <v>37866</v>
      </c>
      <c r="B2955">
        <v>13.816133000000001</v>
      </c>
    </row>
    <row r="2956" spans="1:2" x14ac:dyDescent="0.25">
      <c r="A2956" s="5">
        <v>37867</v>
      </c>
      <c r="B2956">
        <v>13.534514</v>
      </c>
    </row>
    <row r="2957" spans="1:2" x14ac:dyDescent="0.25">
      <c r="A2957" s="5">
        <v>37868</v>
      </c>
      <c r="B2957">
        <v>13.779256</v>
      </c>
    </row>
    <row r="2958" spans="1:2" x14ac:dyDescent="0.25">
      <c r="A2958" s="5">
        <v>37869</v>
      </c>
      <c r="B2958">
        <v>13.816133000000001</v>
      </c>
    </row>
    <row r="2959" spans="1:2" x14ac:dyDescent="0.25">
      <c r="A2959" s="5">
        <v>37872</v>
      </c>
      <c r="B2959">
        <v>14.241918999999999</v>
      </c>
    </row>
    <row r="2960" spans="1:2" x14ac:dyDescent="0.25">
      <c r="A2960" s="5">
        <v>37873</v>
      </c>
      <c r="B2960">
        <v>14.020644000000001</v>
      </c>
    </row>
    <row r="2961" spans="1:2" x14ac:dyDescent="0.25">
      <c r="A2961" s="5">
        <v>37874</v>
      </c>
      <c r="B2961">
        <v>13.618333</v>
      </c>
    </row>
    <row r="2962" spans="1:2" x14ac:dyDescent="0.25">
      <c r="A2962" s="5">
        <v>37875</v>
      </c>
      <c r="B2962">
        <v>13.745734000000001</v>
      </c>
    </row>
    <row r="2963" spans="1:2" x14ac:dyDescent="0.25">
      <c r="A2963" s="5">
        <v>37876</v>
      </c>
      <c r="B2963">
        <v>14.355904000000001</v>
      </c>
    </row>
    <row r="2964" spans="1:2" x14ac:dyDescent="0.25">
      <c r="A2964" s="5">
        <v>37879</v>
      </c>
      <c r="B2964">
        <v>14.567125000000001</v>
      </c>
    </row>
    <row r="2965" spans="1:2" x14ac:dyDescent="0.25">
      <c r="A2965" s="5">
        <v>37880</v>
      </c>
      <c r="B2965">
        <v>15.049894</v>
      </c>
    </row>
    <row r="2966" spans="1:2" x14ac:dyDescent="0.25">
      <c r="A2966" s="5">
        <v>37881</v>
      </c>
      <c r="B2966">
        <v>14.83198</v>
      </c>
    </row>
    <row r="2967" spans="1:2" x14ac:dyDescent="0.25">
      <c r="A2967" s="5">
        <v>37882</v>
      </c>
      <c r="B2967">
        <v>15.331512999999999</v>
      </c>
    </row>
    <row r="2968" spans="1:2" x14ac:dyDescent="0.25">
      <c r="A2968" s="5">
        <v>37883</v>
      </c>
      <c r="B2968">
        <v>15.103541</v>
      </c>
    </row>
    <row r="2969" spans="1:2" x14ac:dyDescent="0.25">
      <c r="A2969" s="5">
        <v>37886</v>
      </c>
      <c r="B2969">
        <v>14.959383000000001</v>
      </c>
    </row>
    <row r="2970" spans="1:2" x14ac:dyDescent="0.25">
      <c r="A2970" s="5">
        <v>37887</v>
      </c>
      <c r="B2970">
        <v>15.013019999999999</v>
      </c>
    </row>
    <row r="2971" spans="1:2" x14ac:dyDescent="0.25">
      <c r="A2971" s="5">
        <v>37888</v>
      </c>
      <c r="B2971">
        <v>14.590591999999999</v>
      </c>
    </row>
    <row r="2972" spans="1:2" x14ac:dyDescent="0.25">
      <c r="A2972" s="5">
        <v>37889</v>
      </c>
      <c r="B2972">
        <v>14.379371000000001</v>
      </c>
    </row>
    <row r="2973" spans="1:2" x14ac:dyDescent="0.25">
      <c r="A2973" s="5">
        <v>37890</v>
      </c>
      <c r="B2973">
        <v>13.963649999999999</v>
      </c>
    </row>
    <row r="2974" spans="1:2" x14ac:dyDescent="0.25">
      <c r="A2974" s="5">
        <v>37893</v>
      </c>
      <c r="B2974">
        <v>14.530243</v>
      </c>
    </row>
    <row r="2975" spans="1:2" x14ac:dyDescent="0.25">
      <c r="A2975" s="5">
        <v>37894</v>
      </c>
      <c r="B2975">
        <v>13.970357999999999</v>
      </c>
    </row>
    <row r="2976" spans="1:2" x14ac:dyDescent="0.25">
      <c r="A2976" s="5">
        <v>37895</v>
      </c>
      <c r="B2976">
        <v>14.198333999999999</v>
      </c>
    </row>
    <row r="2977" spans="1:2" x14ac:dyDescent="0.25">
      <c r="A2977" s="5">
        <v>37896</v>
      </c>
      <c r="B2977">
        <v>14.412896999999999</v>
      </c>
    </row>
    <row r="2978" spans="1:2" x14ac:dyDescent="0.25">
      <c r="A2978" s="5">
        <v>37897</v>
      </c>
      <c r="B2978">
        <v>14.748173</v>
      </c>
    </row>
    <row r="2979" spans="1:2" x14ac:dyDescent="0.25">
      <c r="A2979" s="5">
        <v>37900</v>
      </c>
      <c r="B2979">
        <v>14.728049</v>
      </c>
    </row>
    <row r="2980" spans="1:2" x14ac:dyDescent="0.25">
      <c r="A2980" s="5">
        <v>37901</v>
      </c>
      <c r="B2980">
        <v>14.671055000000001</v>
      </c>
    </row>
    <row r="2981" spans="1:2" x14ac:dyDescent="0.25">
      <c r="A2981" s="5">
        <v>37902</v>
      </c>
      <c r="B2981">
        <v>14.500069</v>
      </c>
    </row>
    <row r="2982" spans="1:2" x14ac:dyDescent="0.25">
      <c r="A2982" s="5">
        <v>37903</v>
      </c>
      <c r="B2982">
        <v>14.637522000000001</v>
      </c>
    </row>
    <row r="2983" spans="1:2" x14ac:dyDescent="0.25">
      <c r="A2983" s="5">
        <v>37904</v>
      </c>
      <c r="B2983">
        <v>14.855446000000001</v>
      </c>
    </row>
    <row r="2984" spans="1:2" x14ac:dyDescent="0.25">
      <c r="A2984" s="5">
        <v>37907</v>
      </c>
      <c r="B2984">
        <v>15.059958</v>
      </c>
    </row>
    <row r="2985" spans="1:2" x14ac:dyDescent="0.25">
      <c r="A2985" s="5">
        <v>37908</v>
      </c>
      <c r="B2985">
        <v>14.952667999999999</v>
      </c>
    </row>
    <row r="2986" spans="1:2" x14ac:dyDescent="0.25">
      <c r="A2986" s="5">
        <v>37909</v>
      </c>
      <c r="B2986">
        <v>14.791748999999999</v>
      </c>
    </row>
    <row r="2987" spans="1:2" x14ac:dyDescent="0.25">
      <c r="A2987" s="5">
        <v>37910</v>
      </c>
      <c r="B2987">
        <v>15.043193</v>
      </c>
    </row>
    <row r="2988" spans="1:2" x14ac:dyDescent="0.25">
      <c r="A2988" s="5">
        <v>37911</v>
      </c>
      <c r="B2988">
        <v>14.503424000000001</v>
      </c>
    </row>
    <row r="2989" spans="1:2" x14ac:dyDescent="0.25">
      <c r="A2989" s="5">
        <v>37914</v>
      </c>
      <c r="B2989">
        <v>14.919141</v>
      </c>
    </row>
    <row r="2990" spans="1:2" x14ac:dyDescent="0.25">
      <c r="A2990" s="5">
        <v>37915</v>
      </c>
      <c r="B2990">
        <v>15.197419999999999</v>
      </c>
    </row>
    <row r="2991" spans="1:2" x14ac:dyDescent="0.25">
      <c r="A2991" s="5">
        <v>37916</v>
      </c>
      <c r="B2991">
        <v>14.754873999999999</v>
      </c>
    </row>
    <row r="2992" spans="1:2" x14ac:dyDescent="0.25">
      <c r="A2992" s="5">
        <v>37917</v>
      </c>
      <c r="B2992">
        <v>14.707933000000001</v>
      </c>
    </row>
    <row r="2993" spans="1:2" x14ac:dyDescent="0.25">
      <c r="A2993" s="5">
        <v>37918</v>
      </c>
      <c r="B2993">
        <v>14.818565</v>
      </c>
    </row>
    <row r="2994" spans="1:2" x14ac:dyDescent="0.25">
      <c r="A2994" s="5">
        <v>37921</v>
      </c>
      <c r="B2994">
        <v>14.83198</v>
      </c>
    </row>
    <row r="2995" spans="1:2" x14ac:dyDescent="0.25">
      <c r="A2995" s="5">
        <v>37922</v>
      </c>
      <c r="B2995">
        <v>15.757299</v>
      </c>
    </row>
    <row r="2996" spans="1:2" x14ac:dyDescent="0.25">
      <c r="A2996" s="5">
        <v>37923</v>
      </c>
      <c r="B2996">
        <v>15.931637</v>
      </c>
    </row>
    <row r="2997" spans="1:2" x14ac:dyDescent="0.25">
      <c r="A2997" s="5">
        <v>37924</v>
      </c>
      <c r="B2997">
        <v>16.099267999999999</v>
      </c>
    </row>
    <row r="2998" spans="1:2" x14ac:dyDescent="0.25">
      <c r="A2998" s="5">
        <v>37925</v>
      </c>
      <c r="B2998">
        <v>15.921576</v>
      </c>
    </row>
    <row r="2999" spans="1:2" x14ac:dyDescent="0.25">
      <c r="A2999" s="5">
        <v>37928</v>
      </c>
      <c r="B2999">
        <v>16.176380000000002</v>
      </c>
    </row>
    <row r="3000" spans="1:2" x14ac:dyDescent="0.25">
      <c r="A3000" s="5">
        <v>37929</v>
      </c>
      <c r="B3000">
        <v>15.86458</v>
      </c>
    </row>
    <row r="3001" spans="1:2" x14ac:dyDescent="0.25">
      <c r="A3001" s="5">
        <v>37930</v>
      </c>
      <c r="B3001">
        <v>15.619847999999999</v>
      </c>
    </row>
    <row r="3002" spans="1:2" x14ac:dyDescent="0.25">
      <c r="A3002" s="5">
        <v>37931</v>
      </c>
      <c r="B3002">
        <v>15.643316</v>
      </c>
    </row>
    <row r="3003" spans="1:2" x14ac:dyDescent="0.25">
      <c r="A3003" s="5">
        <v>37932</v>
      </c>
      <c r="B3003">
        <v>16.105979999999999</v>
      </c>
    </row>
    <row r="3004" spans="1:2" x14ac:dyDescent="0.25">
      <c r="A3004" s="5">
        <v>37935</v>
      </c>
      <c r="B3004">
        <v>15.660078</v>
      </c>
    </row>
    <row r="3005" spans="1:2" x14ac:dyDescent="0.25">
      <c r="A3005" s="5">
        <v>37936</v>
      </c>
      <c r="B3005">
        <v>15.562848000000001</v>
      </c>
    </row>
    <row r="3006" spans="1:2" x14ac:dyDescent="0.25">
      <c r="A3006" s="5">
        <v>37937</v>
      </c>
      <c r="B3006">
        <v>16.028860000000002</v>
      </c>
    </row>
    <row r="3007" spans="1:2" x14ac:dyDescent="0.25">
      <c r="A3007" s="5">
        <v>37938</v>
      </c>
      <c r="B3007">
        <v>15.991979000000001</v>
      </c>
    </row>
    <row r="3008" spans="1:2" x14ac:dyDescent="0.25">
      <c r="A3008" s="5">
        <v>37939</v>
      </c>
      <c r="B3008">
        <v>15.891401</v>
      </c>
    </row>
    <row r="3009" spans="1:2" x14ac:dyDescent="0.25">
      <c r="A3009" s="5">
        <v>37942</v>
      </c>
      <c r="B3009">
        <v>15.66343</v>
      </c>
    </row>
    <row r="3010" spans="1:2" x14ac:dyDescent="0.25">
      <c r="A3010" s="5">
        <v>37943</v>
      </c>
      <c r="B3010">
        <v>15.230943</v>
      </c>
    </row>
    <row r="3011" spans="1:2" x14ac:dyDescent="0.25">
      <c r="A3011" s="5">
        <v>37944</v>
      </c>
      <c r="B3011">
        <v>15.432093999999999</v>
      </c>
    </row>
    <row r="3012" spans="1:2" x14ac:dyDescent="0.25">
      <c r="A3012" s="5">
        <v>37945</v>
      </c>
      <c r="B3012">
        <v>15.009665</v>
      </c>
    </row>
    <row r="3013" spans="1:2" x14ac:dyDescent="0.25">
      <c r="A3013" s="5">
        <v>37946</v>
      </c>
      <c r="B3013">
        <v>14.724696</v>
      </c>
    </row>
    <row r="3014" spans="1:2" x14ac:dyDescent="0.25">
      <c r="A3014" s="5">
        <v>37949</v>
      </c>
      <c r="B3014">
        <v>15.150480999999999</v>
      </c>
    </row>
    <row r="3015" spans="1:2" x14ac:dyDescent="0.25">
      <c r="A3015" s="5">
        <v>37950</v>
      </c>
      <c r="B3015">
        <v>15.304938999999999</v>
      </c>
    </row>
    <row r="3016" spans="1:2" x14ac:dyDescent="0.25">
      <c r="A3016" s="5">
        <v>37951</v>
      </c>
      <c r="B3016">
        <v>14.928858999999999</v>
      </c>
    </row>
    <row r="3017" spans="1:2" x14ac:dyDescent="0.25">
      <c r="A3017" s="5">
        <v>37953</v>
      </c>
      <c r="B3017">
        <v>14.959070000000001</v>
      </c>
    </row>
    <row r="3018" spans="1:2" x14ac:dyDescent="0.25">
      <c r="A3018" s="5">
        <v>37956</v>
      </c>
      <c r="B3018">
        <v>15.311653</v>
      </c>
    </row>
    <row r="3019" spans="1:2" x14ac:dyDescent="0.25">
      <c r="A3019" s="5">
        <v>37957</v>
      </c>
      <c r="B3019">
        <v>15.076601999999999</v>
      </c>
    </row>
    <row r="3020" spans="1:2" x14ac:dyDescent="0.25">
      <c r="A3020" s="5">
        <v>37958</v>
      </c>
      <c r="B3020">
        <v>14.932216</v>
      </c>
    </row>
    <row r="3021" spans="1:2" x14ac:dyDescent="0.25">
      <c r="A3021" s="5">
        <v>37959</v>
      </c>
      <c r="B3021">
        <v>16.486889000000001</v>
      </c>
    </row>
    <row r="3022" spans="1:2" x14ac:dyDescent="0.25">
      <c r="A3022" s="5">
        <v>37960</v>
      </c>
      <c r="B3022">
        <v>16.614491000000001</v>
      </c>
    </row>
    <row r="3023" spans="1:2" x14ac:dyDescent="0.25">
      <c r="A3023" s="5">
        <v>37963</v>
      </c>
      <c r="B3023">
        <v>16.527182</v>
      </c>
    </row>
    <row r="3024" spans="1:2" x14ac:dyDescent="0.25">
      <c r="A3024" s="5">
        <v>37964</v>
      </c>
      <c r="B3024">
        <v>16.265280000000001</v>
      </c>
    </row>
    <row r="3025" spans="1:2" x14ac:dyDescent="0.25">
      <c r="A3025" s="5">
        <v>37965</v>
      </c>
      <c r="B3025">
        <v>16.36936</v>
      </c>
    </row>
    <row r="3026" spans="1:2" x14ac:dyDescent="0.25">
      <c r="A3026" s="5">
        <v>37966</v>
      </c>
      <c r="B3026">
        <v>16.836099999999998</v>
      </c>
    </row>
    <row r="3027" spans="1:2" x14ac:dyDescent="0.25">
      <c r="A3027" s="5">
        <v>37967</v>
      </c>
      <c r="B3027">
        <v>17.124876</v>
      </c>
    </row>
    <row r="3028" spans="1:2" x14ac:dyDescent="0.25">
      <c r="A3028" s="5">
        <v>37970</v>
      </c>
      <c r="B3028">
        <v>16.812597</v>
      </c>
    </row>
    <row r="3029" spans="1:2" x14ac:dyDescent="0.25">
      <c r="A3029" s="5">
        <v>37971</v>
      </c>
      <c r="B3029">
        <v>16.718582000000001</v>
      </c>
    </row>
    <row r="3030" spans="1:2" x14ac:dyDescent="0.25">
      <c r="A3030" s="5">
        <v>37972</v>
      </c>
      <c r="B3030">
        <v>16.560759999999998</v>
      </c>
    </row>
    <row r="3031" spans="1:2" x14ac:dyDescent="0.25">
      <c r="A3031" s="5">
        <v>37973</v>
      </c>
      <c r="B3031">
        <v>17.286045000000001</v>
      </c>
    </row>
    <row r="3032" spans="1:2" x14ac:dyDescent="0.25">
      <c r="A3032" s="5">
        <v>37974</v>
      </c>
      <c r="B3032">
        <v>17.134948999999999</v>
      </c>
    </row>
    <row r="3033" spans="1:2" x14ac:dyDescent="0.25">
      <c r="A3033" s="5">
        <v>37977</v>
      </c>
      <c r="B3033">
        <v>17.544601</v>
      </c>
    </row>
    <row r="3034" spans="1:2" x14ac:dyDescent="0.25">
      <c r="A3034" s="5">
        <v>37978</v>
      </c>
      <c r="B3034">
        <v>17.971045</v>
      </c>
    </row>
    <row r="3035" spans="1:2" x14ac:dyDescent="0.25">
      <c r="A3035" s="5">
        <v>37979</v>
      </c>
      <c r="B3035">
        <v>17.742716000000001</v>
      </c>
    </row>
    <row r="3036" spans="1:2" x14ac:dyDescent="0.25">
      <c r="A3036" s="5">
        <v>37981</v>
      </c>
      <c r="B3036">
        <v>17.806501000000001</v>
      </c>
    </row>
    <row r="3037" spans="1:2" x14ac:dyDescent="0.25">
      <c r="A3037" s="5">
        <v>37984</v>
      </c>
      <c r="B3037">
        <v>18.407553</v>
      </c>
    </row>
    <row r="3038" spans="1:2" x14ac:dyDescent="0.25">
      <c r="A3038" s="5">
        <v>37985</v>
      </c>
      <c r="B3038">
        <v>18.259820999999999</v>
      </c>
    </row>
    <row r="3039" spans="1:2" x14ac:dyDescent="0.25">
      <c r="A3039" s="5">
        <v>37986</v>
      </c>
      <c r="B3039">
        <v>18.108719000000001</v>
      </c>
    </row>
    <row r="3040" spans="1:2" x14ac:dyDescent="0.25">
      <c r="A3040" s="5">
        <v>37988</v>
      </c>
      <c r="B3040">
        <v>18.004622000000001</v>
      </c>
    </row>
    <row r="3041" spans="1:2" x14ac:dyDescent="0.25">
      <c r="A3041" s="5">
        <v>37991</v>
      </c>
      <c r="B3041">
        <v>18.384058</v>
      </c>
    </row>
    <row r="3042" spans="1:2" x14ac:dyDescent="0.25">
      <c r="A3042" s="5">
        <v>37992</v>
      </c>
      <c r="B3042">
        <v>18.209447999999998</v>
      </c>
    </row>
    <row r="3043" spans="1:2" x14ac:dyDescent="0.25">
      <c r="A3043" s="5">
        <v>37993</v>
      </c>
      <c r="B3043">
        <v>18.723198</v>
      </c>
    </row>
    <row r="3044" spans="1:2" x14ac:dyDescent="0.25">
      <c r="A3044" s="5">
        <v>37994</v>
      </c>
      <c r="B3044">
        <v>19.794333999999999</v>
      </c>
    </row>
    <row r="3045" spans="1:2" x14ac:dyDescent="0.25">
      <c r="A3045" s="5">
        <v>37995</v>
      </c>
      <c r="B3045">
        <v>19.801055999999999</v>
      </c>
    </row>
    <row r="3046" spans="1:2" x14ac:dyDescent="0.25">
      <c r="A3046" s="5">
        <v>37998</v>
      </c>
      <c r="B3046">
        <v>20.177126000000001</v>
      </c>
    </row>
    <row r="3047" spans="1:2" x14ac:dyDescent="0.25">
      <c r="A3047" s="5">
        <v>37999</v>
      </c>
      <c r="B3047">
        <v>19.958876</v>
      </c>
    </row>
    <row r="3048" spans="1:2" x14ac:dyDescent="0.25">
      <c r="A3048" s="5">
        <v>38000</v>
      </c>
      <c r="B3048">
        <v>20.183847</v>
      </c>
    </row>
    <row r="3049" spans="1:2" x14ac:dyDescent="0.25">
      <c r="A3049" s="5">
        <v>38001</v>
      </c>
      <c r="B3049">
        <v>20.120047</v>
      </c>
    </row>
    <row r="3050" spans="1:2" x14ac:dyDescent="0.25">
      <c r="A3050" s="5">
        <v>38002</v>
      </c>
      <c r="B3050">
        <v>20.036100000000001</v>
      </c>
    </row>
    <row r="3051" spans="1:2" x14ac:dyDescent="0.25">
      <c r="A3051" s="5">
        <v>38006</v>
      </c>
      <c r="B3051">
        <v>19.770835999999999</v>
      </c>
    </row>
    <row r="3052" spans="1:2" x14ac:dyDescent="0.25">
      <c r="A3052" s="5">
        <v>38007</v>
      </c>
      <c r="B3052">
        <v>19.733902</v>
      </c>
    </row>
    <row r="3053" spans="1:2" x14ac:dyDescent="0.25">
      <c r="A3053" s="5">
        <v>38008</v>
      </c>
      <c r="B3053">
        <v>19.176494999999999</v>
      </c>
    </row>
    <row r="3054" spans="1:2" x14ac:dyDescent="0.25">
      <c r="A3054" s="5">
        <v>38009</v>
      </c>
      <c r="B3054">
        <v>19.116060000000001</v>
      </c>
    </row>
    <row r="3055" spans="1:2" x14ac:dyDescent="0.25">
      <c r="A3055" s="5">
        <v>38012</v>
      </c>
      <c r="B3055">
        <v>19.626448</v>
      </c>
    </row>
    <row r="3056" spans="1:2" x14ac:dyDescent="0.25">
      <c r="A3056" s="5">
        <v>38013</v>
      </c>
      <c r="B3056">
        <v>19.173138000000002</v>
      </c>
    </row>
    <row r="3057" spans="1:2" x14ac:dyDescent="0.25">
      <c r="A3057" s="5">
        <v>38014</v>
      </c>
      <c r="B3057">
        <v>18.991816</v>
      </c>
    </row>
    <row r="3058" spans="1:2" x14ac:dyDescent="0.25">
      <c r="A3058" s="5">
        <v>38015</v>
      </c>
      <c r="B3058">
        <v>19.320885000000001</v>
      </c>
    </row>
    <row r="3059" spans="1:2" x14ac:dyDescent="0.25">
      <c r="A3059" s="5">
        <v>38016</v>
      </c>
      <c r="B3059">
        <v>19.680178000000002</v>
      </c>
    </row>
    <row r="3060" spans="1:2" x14ac:dyDescent="0.25">
      <c r="A3060" s="5">
        <v>38019</v>
      </c>
      <c r="B3060">
        <v>19.327605999999999</v>
      </c>
    </row>
    <row r="3061" spans="1:2" x14ac:dyDescent="0.25">
      <c r="A3061" s="5">
        <v>38020</v>
      </c>
      <c r="B3061">
        <v>19.287307999999999</v>
      </c>
    </row>
    <row r="3062" spans="1:2" x14ac:dyDescent="0.25">
      <c r="A3062" s="5">
        <v>38021</v>
      </c>
      <c r="B3062">
        <v>18.934740000000001</v>
      </c>
    </row>
    <row r="3063" spans="1:2" x14ac:dyDescent="0.25">
      <c r="A3063" s="5">
        <v>38022</v>
      </c>
      <c r="B3063">
        <v>19.092554</v>
      </c>
    </row>
    <row r="3064" spans="1:2" x14ac:dyDescent="0.25">
      <c r="A3064" s="5">
        <v>38023</v>
      </c>
      <c r="B3064">
        <v>19.371262000000002</v>
      </c>
    </row>
    <row r="3065" spans="1:2" x14ac:dyDescent="0.25">
      <c r="A3065" s="5">
        <v>38026</v>
      </c>
      <c r="B3065">
        <v>19.193300000000001</v>
      </c>
    </row>
    <row r="3066" spans="1:2" x14ac:dyDescent="0.25">
      <c r="A3066" s="5">
        <v>38027</v>
      </c>
      <c r="B3066">
        <v>19.505568</v>
      </c>
    </row>
    <row r="3067" spans="1:2" x14ac:dyDescent="0.25">
      <c r="A3067" s="5">
        <v>38028</v>
      </c>
      <c r="B3067">
        <v>19.938732000000002</v>
      </c>
    </row>
    <row r="3068" spans="1:2" x14ac:dyDescent="0.25">
      <c r="A3068" s="5">
        <v>38029</v>
      </c>
      <c r="B3068">
        <v>19.683530999999999</v>
      </c>
    </row>
    <row r="3069" spans="1:2" x14ac:dyDescent="0.25">
      <c r="A3069" s="5">
        <v>38030</v>
      </c>
      <c r="B3069">
        <v>19.371262000000002</v>
      </c>
    </row>
    <row r="3070" spans="1:2" x14ac:dyDescent="0.25">
      <c r="A3070" s="5">
        <v>38034</v>
      </c>
      <c r="B3070">
        <v>19.995809999999999</v>
      </c>
    </row>
    <row r="3071" spans="1:2" x14ac:dyDescent="0.25">
      <c r="A3071" s="5">
        <v>38035</v>
      </c>
      <c r="B3071">
        <v>19.831274000000001</v>
      </c>
    </row>
    <row r="3072" spans="1:2" x14ac:dyDescent="0.25">
      <c r="A3072" s="5">
        <v>38036</v>
      </c>
      <c r="B3072">
        <v>19.740615999999999</v>
      </c>
    </row>
    <row r="3073" spans="1:2" x14ac:dyDescent="0.25">
      <c r="A3073" s="5">
        <v>38037</v>
      </c>
      <c r="B3073">
        <v>19.945442</v>
      </c>
    </row>
    <row r="3074" spans="1:2" x14ac:dyDescent="0.25">
      <c r="A3074" s="5">
        <v>38040</v>
      </c>
      <c r="B3074">
        <v>20.962862000000001</v>
      </c>
    </row>
    <row r="3075" spans="1:2" x14ac:dyDescent="0.25">
      <c r="A3075" s="5">
        <v>38041</v>
      </c>
      <c r="B3075">
        <v>20.509561999999999</v>
      </c>
    </row>
    <row r="3076" spans="1:2" x14ac:dyDescent="0.25">
      <c r="A3076" s="5">
        <v>38042</v>
      </c>
      <c r="B3076">
        <v>20.869263</v>
      </c>
    </row>
    <row r="3077" spans="1:2" x14ac:dyDescent="0.25">
      <c r="A3077" s="5">
        <v>38043</v>
      </c>
      <c r="B3077">
        <v>21.413838999999999</v>
      </c>
    </row>
    <row r="3078" spans="1:2" x14ac:dyDescent="0.25">
      <c r="A3078" s="5">
        <v>38044</v>
      </c>
      <c r="B3078">
        <v>21.208786</v>
      </c>
    </row>
    <row r="3079" spans="1:2" x14ac:dyDescent="0.25">
      <c r="A3079" s="5">
        <v>38047</v>
      </c>
      <c r="B3079">
        <v>21.094487999999998</v>
      </c>
    </row>
    <row r="3080" spans="1:2" x14ac:dyDescent="0.25">
      <c r="A3080" s="5">
        <v>38048</v>
      </c>
      <c r="B3080">
        <v>20.845721999999999</v>
      </c>
    </row>
    <row r="3081" spans="1:2" x14ac:dyDescent="0.25">
      <c r="A3081" s="5">
        <v>38049</v>
      </c>
      <c r="B3081">
        <v>20.761679000000001</v>
      </c>
    </row>
    <row r="3082" spans="1:2" x14ac:dyDescent="0.25">
      <c r="A3082" s="5">
        <v>38050</v>
      </c>
      <c r="B3082">
        <v>21.03397</v>
      </c>
    </row>
    <row r="3083" spans="1:2" x14ac:dyDescent="0.25">
      <c r="A3083" s="5">
        <v>38051</v>
      </c>
      <c r="B3083">
        <v>21.474357999999999</v>
      </c>
    </row>
    <row r="3084" spans="1:2" x14ac:dyDescent="0.25">
      <c r="A3084" s="5">
        <v>38054</v>
      </c>
      <c r="B3084">
        <v>21.386963000000002</v>
      </c>
    </row>
    <row r="3085" spans="1:2" x14ac:dyDescent="0.25">
      <c r="A3085" s="5">
        <v>38055</v>
      </c>
      <c r="B3085">
        <v>21.430647</v>
      </c>
    </row>
    <row r="3086" spans="1:2" x14ac:dyDescent="0.25">
      <c r="A3086" s="5">
        <v>38056</v>
      </c>
      <c r="B3086">
        <v>21.346609000000001</v>
      </c>
    </row>
    <row r="3087" spans="1:2" x14ac:dyDescent="0.25">
      <c r="A3087" s="5">
        <v>38057</v>
      </c>
      <c r="B3087">
        <v>20.768405999999999</v>
      </c>
    </row>
    <row r="3088" spans="1:2" x14ac:dyDescent="0.25">
      <c r="A3088" s="5">
        <v>38058</v>
      </c>
      <c r="B3088">
        <v>21.185248999999999</v>
      </c>
    </row>
    <row r="3089" spans="1:2" x14ac:dyDescent="0.25">
      <c r="A3089" s="5">
        <v>38061</v>
      </c>
      <c r="B3089">
        <v>21.118013000000001</v>
      </c>
    </row>
    <row r="3090" spans="1:2" x14ac:dyDescent="0.25">
      <c r="A3090" s="5">
        <v>38062</v>
      </c>
      <c r="B3090">
        <v>21.558396999999999</v>
      </c>
    </row>
    <row r="3091" spans="1:2" x14ac:dyDescent="0.25">
      <c r="A3091" s="5">
        <v>38063</v>
      </c>
      <c r="B3091">
        <v>21.756737000000001</v>
      </c>
    </row>
    <row r="3092" spans="1:2" x14ac:dyDescent="0.25">
      <c r="A3092" s="5">
        <v>38064</v>
      </c>
      <c r="B3092">
        <v>21.793709</v>
      </c>
    </row>
    <row r="3093" spans="1:2" x14ac:dyDescent="0.25">
      <c r="A3093" s="5">
        <v>38065</v>
      </c>
      <c r="B3093">
        <v>21.635715000000001</v>
      </c>
    </row>
    <row r="3094" spans="1:2" x14ac:dyDescent="0.25">
      <c r="A3094" s="5">
        <v>38068</v>
      </c>
      <c r="B3094">
        <v>20.946573000000001</v>
      </c>
    </row>
    <row r="3095" spans="1:2" x14ac:dyDescent="0.25">
      <c r="A3095" s="5">
        <v>38069</v>
      </c>
      <c r="B3095">
        <v>20.704526999999999</v>
      </c>
    </row>
    <row r="3096" spans="1:2" x14ac:dyDescent="0.25">
      <c r="A3096" s="5">
        <v>38070</v>
      </c>
      <c r="B3096">
        <v>20.912951</v>
      </c>
    </row>
    <row r="3097" spans="1:2" x14ac:dyDescent="0.25">
      <c r="A3097" s="5">
        <v>38071</v>
      </c>
      <c r="B3097">
        <v>21.151631999999999</v>
      </c>
    </row>
    <row r="3098" spans="1:2" x14ac:dyDescent="0.25">
      <c r="A3098" s="5">
        <v>38072</v>
      </c>
      <c r="B3098">
        <v>20.761679000000001</v>
      </c>
    </row>
    <row r="3099" spans="1:2" x14ac:dyDescent="0.25">
      <c r="A3099" s="5">
        <v>38075</v>
      </c>
      <c r="B3099">
        <v>22.055923</v>
      </c>
    </row>
    <row r="3100" spans="1:2" x14ac:dyDescent="0.25">
      <c r="A3100" s="5">
        <v>38076</v>
      </c>
      <c r="B3100">
        <v>22.045843000000001</v>
      </c>
    </row>
    <row r="3101" spans="1:2" x14ac:dyDescent="0.25">
      <c r="A3101" s="5">
        <v>38077</v>
      </c>
      <c r="B3101">
        <v>22.284521000000002</v>
      </c>
    </row>
    <row r="3102" spans="1:2" x14ac:dyDescent="0.25">
      <c r="A3102" s="5">
        <v>38078</v>
      </c>
      <c r="B3102">
        <v>22.284521000000002</v>
      </c>
    </row>
    <row r="3103" spans="1:2" x14ac:dyDescent="0.25">
      <c r="A3103" s="5">
        <v>38079</v>
      </c>
      <c r="B3103">
        <v>22.936675999999999</v>
      </c>
    </row>
    <row r="3104" spans="1:2" x14ac:dyDescent="0.25">
      <c r="A3104" s="5">
        <v>38082</v>
      </c>
      <c r="B3104">
        <v>23.259402999999999</v>
      </c>
    </row>
    <row r="3105" spans="1:2" x14ac:dyDescent="0.25">
      <c r="A3105" s="5">
        <v>38083</v>
      </c>
      <c r="B3105">
        <v>22.963577000000001</v>
      </c>
    </row>
    <row r="3106" spans="1:2" x14ac:dyDescent="0.25">
      <c r="A3106" s="5">
        <v>38084</v>
      </c>
      <c r="B3106">
        <v>23.010632999999999</v>
      </c>
    </row>
    <row r="3107" spans="1:2" x14ac:dyDescent="0.25">
      <c r="A3107" s="5">
        <v>38085</v>
      </c>
      <c r="B3107">
        <v>22.650942000000001</v>
      </c>
    </row>
    <row r="3108" spans="1:2" x14ac:dyDescent="0.25">
      <c r="A3108" s="5">
        <v>38089</v>
      </c>
      <c r="B3108">
        <v>22.913150999999999</v>
      </c>
    </row>
    <row r="3109" spans="1:2" x14ac:dyDescent="0.25">
      <c r="A3109" s="5">
        <v>38090</v>
      </c>
      <c r="B3109">
        <v>22.573613999999999</v>
      </c>
    </row>
    <row r="3110" spans="1:2" x14ac:dyDescent="0.25">
      <c r="A3110" s="5">
        <v>38091</v>
      </c>
      <c r="B3110">
        <v>22.637497</v>
      </c>
    </row>
    <row r="3111" spans="1:2" x14ac:dyDescent="0.25">
      <c r="A3111" s="5">
        <v>38092</v>
      </c>
      <c r="B3111">
        <v>22.200475999999998</v>
      </c>
    </row>
    <row r="3112" spans="1:2" x14ac:dyDescent="0.25">
      <c r="A3112" s="5">
        <v>38093</v>
      </c>
      <c r="B3112">
        <v>21.803802000000001</v>
      </c>
    </row>
    <row r="3113" spans="1:2" x14ac:dyDescent="0.25">
      <c r="A3113" s="5">
        <v>38096</v>
      </c>
      <c r="B3113">
        <v>22.385368</v>
      </c>
    </row>
    <row r="3114" spans="1:2" x14ac:dyDescent="0.25">
      <c r="A3114" s="5">
        <v>38097</v>
      </c>
      <c r="B3114">
        <v>21.659248000000002</v>
      </c>
    </row>
    <row r="3115" spans="1:2" x14ac:dyDescent="0.25">
      <c r="A3115" s="5">
        <v>38098</v>
      </c>
      <c r="B3115">
        <v>22.133241999999999</v>
      </c>
    </row>
    <row r="3116" spans="1:2" x14ac:dyDescent="0.25">
      <c r="A3116" s="5">
        <v>38099</v>
      </c>
      <c r="B3116">
        <v>22.819023000000001</v>
      </c>
    </row>
    <row r="3117" spans="1:2" x14ac:dyDescent="0.25">
      <c r="A3117" s="5">
        <v>38100</v>
      </c>
      <c r="B3117">
        <v>22.516476000000001</v>
      </c>
    </row>
    <row r="3118" spans="1:2" x14ac:dyDescent="0.25">
      <c r="A3118" s="5">
        <v>38103</v>
      </c>
      <c r="B3118">
        <v>22.237449999999999</v>
      </c>
    </row>
    <row r="3119" spans="1:2" x14ac:dyDescent="0.25">
      <c r="A3119" s="5">
        <v>38104</v>
      </c>
      <c r="B3119">
        <v>22.123159000000001</v>
      </c>
    </row>
    <row r="3120" spans="1:2" x14ac:dyDescent="0.25">
      <c r="A3120" s="5">
        <v>38105</v>
      </c>
      <c r="B3120">
        <v>21.887836</v>
      </c>
    </row>
    <row r="3121" spans="1:2" x14ac:dyDescent="0.25">
      <c r="A3121" s="5">
        <v>38106</v>
      </c>
      <c r="B3121">
        <v>21.652526999999999</v>
      </c>
    </row>
    <row r="3122" spans="1:2" x14ac:dyDescent="0.25">
      <c r="A3122" s="5">
        <v>38107</v>
      </c>
      <c r="B3122">
        <v>20.997</v>
      </c>
    </row>
    <row r="3123" spans="1:2" x14ac:dyDescent="0.25">
      <c r="A3123" s="5">
        <v>38110</v>
      </c>
      <c r="B3123">
        <v>21.507973</v>
      </c>
    </row>
    <row r="3124" spans="1:2" x14ac:dyDescent="0.25">
      <c r="A3124" s="5">
        <v>38111</v>
      </c>
      <c r="B3124">
        <v>21.7332</v>
      </c>
    </row>
    <row r="3125" spans="1:2" x14ac:dyDescent="0.25">
      <c r="A3125" s="5">
        <v>38112</v>
      </c>
      <c r="B3125">
        <v>21.854225</v>
      </c>
    </row>
    <row r="3126" spans="1:2" x14ac:dyDescent="0.25">
      <c r="A3126" s="5">
        <v>38113</v>
      </c>
      <c r="B3126">
        <v>21.484435999999999</v>
      </c>
    </row>
    <row r="3127" spans="1:2" x14ac:dyDescent="0.25">
      <c r="A3127" s="5">
        <v>38114</v>
      </c>
      <c r="B3127">
        <v>21.262568999999999</v>
      </c>
    </row>
    <row r="3128" spans="1:2" x14ac:dyDescent="0.25">
      <c r="A3128" s="5">
        <v>38117</v>
      </c>
      <c r="B3128">
        <v>21.390308000000001</v>
      </c>
    </row>
    <row r="3129" spans="1:2" x14ac:dyDescent="0.25">
      <c r="A3129" s="5">
        <v>38118</v>
      </c>
      <c r="B3129">
        <v>21.756737000000001</v>
      </c>
    </row>
    <row r="3130" spans="1:2" x14ac:dyDescent="0.25">
      <c r="A3130" s="5">
        <v>38119</v>
      </c>
      <c r="B3130">
        <v>21.481072999999999</v>
      </c>
    </row>
    <row r="3131" spans="1:2" x14ac:dyDescent="0.25">
      <c r="A3131" s="5">
        <v>38120</v>
      </c>
      <c r="B3131">
        <v>21.672688999999998</v>
      </c>
    </row>
    <row r="3132" spans="1:2" x14ac:dyDescent="0.25">
      <c r="A3132" s="5">
        <v>38121</v>
      </c>
      <c r="B3132">
        <v>21.397037999999998</v>
      </c>
    </row>
    <row r="3133" spans="1:2" x14ac:dyDescent="0.25">
      <c r="A3133" s="5">
        <v>38124</v>
      </c>
      <c r="B3133">
        <v>21.030616999999999</v>
      </c>
    </row>
    <row r="3134" spans="1:2" x14ac:dyDescent="0.25">
      <c r="A3134" s="5">
        <v>38125</v>
      </c>
      <c r="B3134">
        <v>21.521414</v>
      </c>
    </row>
    <row r="3135" spans="1:2" x14ac:dyDescent="0.25">
      <c r="A3135" s="5">
        <v>38126</v>
      </c>
      <c r="B3135">
        <v>21.366785</v>
      </c>
    </row>
    <row r="3136" spans="1:2" x14ac:dyDescent="0.25">
      <c r="A3136" s="5">
        <v>38127</v>
      </c>
      <c r="B3136">
        <v>21.581923</v>
      </c>
    </row>
    <row r="3137" spans="1:2" x14ac:dyDescent="0.25">
      <c r="A3137" s="5">
        <v>38128</v>
      </c>
      <c r="B3137">
        <v>21.985325</v>
      </c>
    </row>
    <row r="3138" spans="1:2" x14ac:dyDescent="0.25">
      <c r="A3138" s="5">
        <v>38131</v>
      </c>
      <c r="B3138">
        <v>22.035761000000001</v>
      </c>
    </row>
    <row r="3139" spans="1:2" x14ac:dyDescent="0.25">
      <c r="A3139" s="5">
        <v>38132</v>
      </c>
      <c r="B3139">
        <v>22.489585999999999</v>
      </c>
    </row>
    <row r="3140" spans="1:2" x14ac:dyDescent="0.25">
      <c r="A3140" s="5">
        <v>38133</v>
      </c>
      <c r="B3140">
        <v>22.412146</v>
      </c>
    </row>
    <row r="3141" spans="1:2" x14ac:dyDescent="0.25">
      <c r="A3141" s="5">
        <v>38134</v>
      </c>
      <c r="B3141">
        <v>22.489584000000001</v>
      </c>
    </row>
    <row r="3142" spans="1:2" x14ac:dyDescent="0.25">
      <c r="A3142" s="5">
        <v>38135</v>
      </c>
      <c r="B3142">
        <v>22.580475</v>
      </c>
    </row>
    <row r="3143" spans="1:2" x14ac:dyDescent="0.25">
      <c r="A3143" s="5">
        <v>38139</v>
      </c>
      <c r="B3143">
        <v>22.910420999999999</v>
      </c>
    </row>
    <row r="3144" spans="1:2" x14ac:dyDescent="0.25">
      <c r="A3144" s="5">
        <v>38140</v>
      </c>
      <c r="B3144">
        <v>22.886849999999999</v>
      </c>
    </row>
    <row r="3145" spans="1:2" x14ac:dyDescent="0.25">
      <c r="A3145" s="5">
        <v>38141</v>
      </c>
      <c r="B3145">
        <v>22.772376999999999</v>
      </c>
    </row>
    <row r="3146" spans="1:2" x14ac:dyDescent="0.25">
      <c r="A3146" s="5">
        <v>38142</v>
      </c>
      <c r="B3146">
        <v>22.651178000000002</v>
      </c>
    </row>
    <row r="3147" spans="1:2" x14ac:dyDescent="0.25">
      <c r="A3147" s="5">
        <v>38145</v>
      </c>
      <c r="B3147">
        <v>23.122515</v>
      </c>
    </row>
    <row r="3148" spans="1:2" x14ac:dyDescent="0.25">
      <c r="A3148" s="5">
        <v>38146</v>
      </c>
      <c r="B3148">
        <v>23.348089000000002</v>
      </c>
    </row>
    <row r="3149" spans="1:2" x14ac:dyDescent="0.25">
      <c r="A3149" s="5">
        <v>38147</v>
      </c>
      <c r="B3149">
        <v>23.048446999999999</v>
      </c>
    </row>
    <row r="3150" spans="1:2" x14ac:dyDescent="0.25">
      <c r="A3150" s="5">
        <v>38148</v>
      </c>
      <c r="B3150">
        <v>23.519788999999999</v>
      </c>
    </row>
    <row r="3151" spans="1:2" x14ac:dyDescent="0.25">
      <c r="A3151" s="5">
        <v>38152</v>
      </c>
      <c r="B3151">
        <v>23.135995999999999</v>
      </c>
    </row>
    <row r="3152" spans="1:2" x14ac:dyDescent="0.25">
      <c r="A3152" s="5">
        <v>38153</v>
      </c>
      <c r="B3152">
        <v>23.364930999999999</v>
      </c>
    </row>
    <row r="3153" spans="1:2" x14ac:dyDescent="0.25">
      <c r="A3153" s="5">
        <v>38154</v>
      </c>
      <c r="B3153">
        <v>23.146082</v>
      </c>
    </row>
    <row r="3154" spans="1:2" x14ac:dyDescent="0.25">
      <c r="A3154" s="5">
        <v>38155</v>
      </c>
      <c r="B3154">
        <v>22.977743</v>
      </c>
    </row>
    <row r="3155" spans="1:2" x14ac:dyDescent="0.25">
      <c r="A3155" s="5">
        <v>38156</v>
      </c>
      <c r="B3155">
        <v>22.385214000000001</v>
      </c>
    </row>
    <row r="3156" spans="1:2" x14ac:dyDescent="0.25">
      <c r="A3156" s="5">
        <v>38159</v>
      </c>
      <c r="B3156">
        <v>22.048544</v>
      </c>
    </row>
    <row r="3157" spans="1:2" x14ac:dyDescent="0.25">
      <c r="A3157" s="5">
        <v>38160</v>
      </c>
      <c r="B3157">
        <v>22.876749</v>
      </c>
    </row>
    <row r="3158" spans="1:2" x14ac:dyDescent="0.25">
      <c r="A3158" s="5">
        <v>38161</v>
      </c>
      <c r="B3158">
        <v>22.859908999999998</v>
      </c>
    </row>
    <row r="3159" spans="1:2" x14ac:dyDescent="0.25">
      <c r="A3159" s="5">
        <v>38162</v>
      </c>
      <c r="B3159">
        <v>23.122515</v>
      </c>
    </row>
    <row r="3160" spans="1:2" x14ac:dyDescent="0.25">
      <c r="A3160" s="5">
        <v>38163</v>
      </c>
      <c r="B3160">
        <v>23.257189</v>
      </c>
    </row>
    <row r="3161" spans="1:2" x14ac:dyDescent="0.25">
      <c r="A3161" s="5">
        <v>38166</v>
      </c>
      <c r="B3161">
        <v>23.119152</v>
      </c>
    </row>
    <row r="3162" spans="1:2" x14ac:dyDescent="0.25">
      <c r="A3162" s="5">
        <v>38167</v>
      </c>
      <c r="B3162">
        <v>24.088774000000001</v>
      </c>
    </row>
    <row r="3163" spans="1:2" x14ac:dyDescent="0.25">
      <c r="A3163" s="5">
        <v>38168</v>
      </c>
      <c r="B3163">
        <v>24.570198000000001</v>
      </c>
    </row>
    <row r="3164" spans="1:2" x14ac:dyDescent="0.25">
      <c r="A3164" s="5">
        <v>38169</v>
      </c>
      <c r="B3164">
        <v>24.257100999999999</v>
      </c>
    </row>
    <row r="3165" spans="1:2" x14ac:dyDescent="0.25">
      <c r="A3165" s="5">
        <v>38170</v>
      </c>
      <c r="B3165">
        <v>24.331157999999999</v>
      </c>
    </row>
    <row r="3166" spans="1:2" x14ac:dyDescent="0.25">
      <c r="A3166" s="5">
        <v>38174</v>
      </c>
      <c r="B3166">
        <v>23.762203</v>
      </c>
    </row>
    <row r="3167" spans="1:2" x14ac:dyDescent="0.25">
      <c r="A3167" s="5">
        <v>38175</v>
      </c>
      <c r="B3167">
        <v>24.065197000000001</v>
      </c>
    </row>
    <row r="3168" spans="1:2" x14ac:dyDescent="0.25">
      <c r="A3168" s="5">
        <v>38176</v>
      </c>
      <c r="B3168">
        <v>23.785761000000001</v>
      </c>
    </row>
    <row r="3169" spans="1:2" x14ac:dyDescent="0.25">
      <c r="A3169" s="5">
        <v>38177</v>
      </c>
      <c r="B3169">
        <v>23.755455000000001</v>
      </c>
    </row>
    <row r="3170" spans="1:2" x14ac:dyDescent="0.25">
      <c r="A3170" s="5">
        <v>38180</v>
      </c>
      <c r="B3170">
        <v>23.38175</v>
      </c>
    </row>
    <row r="3171" spans="1:2" x14ac:dyDescent="0.25">
      <c r="A3171" s="5">
        <v>38181</v>
      </c>
      <c r="B3171">
        <v>23.657829</v>
      </c>
    </row>
    <row r="3172" spans="1:2" x14ac:dyDescent="0.25">
      <c r="A3172" s="5">
        <v>38182</v>
      </c>
      <c r="B3172">
        <v>23.442364000000001</v>
      </c>
    </row>
    <row r="3173" spans="1:2" x14ac:dyDescent="0.25">
      <c r="A3173" s="5">
        <v>38183</v>
      </c>
      <c r="B3173">
        <v>23.189841999999999</v>
      </c>
    </row>
    <row r="3174" spans="1:2" x14ac:dyDescent="0.25">
      <c r="A3174" s="5">
        <v>38184</v>
      </c>
      <c r="B3174">
        <v>22.987856000000001</v>
      </c>
    </row>
    <row r="3175" spans="1:2" x14ac:dyDescent="0.25">
      <c r="A3175" s="5">
        <v>38187</v>
      </c>
      <c r="B3175">
        <v>22.950818999999999</v>
      </c>
    </row>
    <row r="3176" spans="1:2" x14ac:dyDescent="0.25">
      <c r="A3176" s="5">
        <v>38188</v>
      </c>
      <c r="B3176">
        <v>23.408688000000001</v>
      </c>
    </row>
    <row r="3177" spans="1:2" x14ac:dyDescent="0.25">
      <c r="A3177" s="5">
        <v>38189</v>
      </c>
      <c r="B3177">
        <v>22.785843</v>
      </c>
    </row>
    <row r="3178" spans="1:2" x14ac:dyDescent="0.25">
      <c r="A3178" s="5">
        <v>38190</v>
      </c>
      <c r="B3178">
        <v>24.408591999999999</v>
      </c>
    </row>
    <row r="3179" spans="1:2" x14ac:dyDescent="0.25">
      <c r="A3179" s="5">
        <v>38191</v>
      </c>
      <c r="B3179">
        <v>23.86993</v>
      </c>
    </row>
    <row r="3180" spans="1:2" x14ac:dyDescent="0.25">
      <c r="A3180" s="5">
        <v>38194</v>
      </c>
      <c r="B3180">
        <v>23.735254000000001</v>
      </c>
    </row>
    <row r="3181" spans="1:2" x14ac:dyDescent="0.25">
      <c r="A3181" s="5">
        <v>38195</v>
      </c>
      <c r="B3181">
        <v>23.711689</v>
      </c>
    </row>
    <row r="3182" spans="1:2" x14ac:dyDescent="0.25">
      <c r="A3182" s="5">
        <v>38196</v>
      </c>
      <c r="B3182">
        <v>23.587122000000001</v>
      </c>
    </row>
    <row r="3183" spans="1:2" x14ac:dyDescent="0.25">
      <c r="A3183" s="5">
        <v>38197</v>
      </c>
      <c r="B3183">
        <v>23.566927</v>
      </c>
    </row>
    <row r="3184" spans="1:2" x14ac:dyDescent="0.25">
      <c r="A3184" s="5">
        <v>38198</v>
      </c>
      <c r="B3184">
        <v>23.300948999999999</v>
      </c>
    </row>
    <row r="3185" spans="1:2" x14ac:dyDescent="0.25">
      <c r="A3185" s="5">
        <v>38201</v>
      </c>
      <c r="B3185">
        <v>24.260469000000001</v>
      </c>
    </row>
    <row r="3186" spans="1:2" x14ac:dyDescent="0.25">
      <c r="A3186" s="5">
        <v>38202</v>
      </c>
      <c r="B3186">
        <v>23.893491999999998</v>
      </c>
    </row>
    <row r="3187" spans="1:2" x14ac:dyDescent="0.25">
      <c r="A3187" s="5">
        <v>38203</v>
      </c>
      <c r="B3187">
        <v>24.00123</v>
      </c>
    </row>
    <row r="3188" spans="1:2" x14ac:dyDescent="0.25">
      <c r="A3188" s="5">
        <v>38204</v>
      </c>
      <c r="B3188">
        <v>23.482755999999998</v>
      </c>
    </row>
    <row r="3189" spans="1:2" x14ac:dyDescent="0.25">
      <c r="A3189" s="5">
        <v>38205</v>
      </c>
      <c r="B3189">
        <v>22.742084999999999</v>
      </c>
    </row>
    <row r="3190" spans="1:2" x14ac:dyDescent="0.25">
      <c r="A3190" s="5">
        <v>38208</v>
      </c>
      <c r="B3190">
        <v>23.112414999999999</v>
      </c>
    </row>
    <row r="3191" spans="1:2" x14ac:dyDescent="0.25">
      <c r="A3191" s="5">
        <v>38209</v>
      </c>
      <c r="B3191">
        <v>23.459192000000002</v>
      </c>
    </row>
    <row r="3192" spans="1:2" x14ac:dyDescent="0.25">
      <c r="A3192" s="5">
        <v>38210</v>
      </c>
      <c r="B3192">
        <v>23.068653000000001</v>
      </c>
    </row>
    <row r="3193" spans="1:2" x14ac:dyDescent="0.25">
      <c r="A3193" s="5">
        <v>38211</v>
      </c>
      <c r="B3193">
        <v>23.290856999999999</v>
      </c>
    </row>
    <row r="3194" spans="1:2" x14ac:dyDescent="0.25">
      <c r="A3194" s="5">
        <v>38212</v>
      </c>
      <c r="B3194">
        <v>23.287483000000002</v>
      </c>
    </row>
    <row r="3195" spans="1:2" x14ac:dyDescent="0.25">
      <c r="A3195" s="5">
        <v>38215</v>
      </c>
      <c r="B3195">
        <v>23.513058000000001</v>
      </c>
    </row>
    <row r="3196" spans="1:2" x14ac:dyDescent="0.25">
      <c r="A3196" s="5">
        <v>38216</v>
      </c>
      <c r="B3196">
        <v>23.539988999999998</v>
      </c>
    </row>
    <row r="3197" spans="1:2" x14ac:dyDescent="0.25">
      <c r="A3197" s="5">
        <v>38217</v>
      </c>
      <c r="B3197">
        <v>24.253729</v>
      </c>
    </row>
    <row r="3198" spans="1:2" x14ac:dyDescent="0.25">
      <c r="A3198" s="5">
        <v>38218</v>
      </c>
      <c r="B3198">
        <v>23.910326000000001</v>
      </c>
    </row>
    <row r="3199" spans="1:2" x14ac:dyDescent="0.25">
      <c r="A3199" s="5">
        <v>38219</v>
      </c>
      <c r="B3199">
        <v>25.048271</v>
      </c>
    </row>
    <row r="3200" spans="1:2" x14ac:dyDescent="0.25">
      <c r="A3200" s="5">
        <v>38222</v>
      </c>
      <c r="B3200">
        <v>25.566745999999998</v>
      </c>
    </row>
    <row r="3201" spans="1:2" x14ac:dyDescent="0.25">
      <c r="A3201" s="5">
        <v>38223</v>
      </c>
      <c r="B3201">
        <v>25.593679000000002</v>
      </c>
    </row>
    <row r="3202" spans="1:2" x14ac:dyDescent="0.25">
      <c r="A3202" s="5">
        <v>38224</v>
      </c>
      <c r="B3202">
        <v>25.850023</v>
      </c>
    </row>
    <row r="3203" spans="1:2" x14ac:dyDescent="0.25">
      <c r="A3203" s="5">
        <v>38225</v>
      </c>
      <c r="B3203">
        <v>25.586936999999999</v>
      </c>
    </row>
    <row r="3204" spans="1:2" x14ac:dyDescent="0.25">
      <c r="A3204" s="5">
        <v>38226</v>
      </c>
      <c r="B3204">
        <v>25.924223000000001</v>
      </c>
    </row>
    <row r="3205" spans="1:2" x14ac:dyDescent="0.25">
      <c r="A3205" s="5">
        <v>38229</v>
      </c>
      <c r="B3205">
        <v>25.438526</v>
      </c>
    </row>
    <row r="3206" spans="1:2" x14ac:dyDescent="0.25">
      <c r="A3206" s="5">
        <v>38230</v>
      </c>
      <c r="B3206">
        <v>25.667878999999999</v>
      </c>
    </row>
    <row r="3207" spans="1:2" x14ac:dyDescent="0.25">
      <c r="A3207" s="5">
        <v>38231</v>
      </c>
      <c r="B3207">
        <v>25.627403000000001</v>
      </c>
    </row>
    <row r="3208" spans="1:2" x14ac:dyDescent="0.25">
      <c r="A3208" s="5">
        <v>38232</v>
      </c>
      <c r="B3208">
        <v>26.187304999999999</v>
      </c>
    </row>
    <row r="3209" spans="1:2" x14ac:dyDescent="0.25">
      <c r="A3209" s="5">
        <v>38233</v>
      </c>
      <c r="B3209">
        <v>25.964693</v>
      </c>
    </row>
    <row r="3210" spans="1:2" x14ac:dyDescent="0.25">
      <c r="A3210" s="5">
        <v>38237</v>
      </c>
      <c r="B3210">
        <v>26.531352999999999</v>
      </c>
    </row>
    <row r="3211" spans="1:2" x14ac:dyDescent="0.25">
      <c r="A3211" s="5">
        <v>38238</v>
      </c>
      <c r="B3211">
        <v>26.652774999999998</v>
      </c>
    </row>
    <row r="3212" spans="1:2" x14ac:dyDescent="0.25">
      <c r="A3212" s="5">
        <v>38239</v>
      </c>
      <c r="B3212">
        <v>26.747219000000001</v>
      </c>
    </row>
    <row r="3213" spans="1:2" x14ac:dyDescent="0.25">
      <c r="A3213" s="5">
        <v>38240</v>
      </c>
      <c r="B3213">
        <v>26.639282000000001</v>
      </c>
    </row>
    <row r="3214" spans="1:2" x14ac:dyDescent="0.25">
      <c r="A3214" s="5">
        <v>38243</v>
      </c>
      <c r="B3214">
        <v>27.253149000000001</v>
      </c>
    </row>
    <row r="3215" spans="1:2" x14ac:dyDescent="0.25">
      <c r="A3215" s="5">
        <v>38244</v>
      </c>
      <c r="B3215">
        <v>27.590451999999999</v>
      </c>
    </row>
    <row r="3216" spans="1:2" x14ac:dyDescent="0.25">
      <c r="A3216" s="5">
        <v>38245</v>
      </c>
      <c r="B3216">
        <v>27.367826000000001</v>
      </c>
    </row>
    <row r="3217" spans="1:2" x14ac:dyDescent="0.25">
      <c r="A3217" s="5">
        <v>38246</v>
      </c>
      <c r="B3217">
        <v>27.253149000000001</v>
      </c>
    </row>
    <row r="3218" spans="1:2" x14ac:dyDescent="0.25">
      <c r="A3218" s="5">
        <v>38247</v>
      </c>
      <c r="B3218">
        <v>26.194051999999999</v>
      </c>
    </row>
    <row r="3219" spans="1:2" x14ac:dyDescent="0.25">
      <c r="A3219" s="5">
        <v>38250</v>
      </c>
      <c r="B3219">
        <v>25.917475</v>
      </c>
    </row>
    <row r="3220" spans="1:2" x14ac:dyDescent="0.25">
      <c r="A3220" s="5">
        <v>38251</v>
      </c>
      <c r="B3220">
        <v>26.612307000000001</v>
      </c>
    </row>
    <row r="3221" spans="1:2" x14ac:dyDescent="0.25">
      <c r="A3221" s="5">
        <v>38252</v>
      </c>
      <c r="B3221">
        <v>26.092865</v>
      </c>
    </row>
    <row r="3222" spans="1:2" x14ac:dyDescent="0.25">
      <c r="A3222" s="5">
        <v>38253</v>
      </c>
      <c r="B3222">
        <v>26.119855999999999</v>
      </c>
    </row>
    <row r="3223" spans="1:2" x14ac:dyDescent="0.25">
      <c r="A3223" s="5">
        <v>38254</v>
      </c>
      <c r="B3223">
        <v>25.802809</v>
      </c>
    </row>
    <row r="3224" spans="1:2" x14ac:dyDescent="0.25">
      <c r="A3224" s="5">
        <v>38257</v>
      </c>
      <c r="B3224">
        <v>25.640903000000002</v>
      </c>
    </row>
    <row r="3225" spans="1:2" x14ac:dyDescent="0.25">
      <c r="A3225" s="5">
        <v>38258</v>
      </c>
      <c r="B3225">
        <v>25.694876000000001</v>
      </c>
    </row>
    <row r="3226" spans="1:2" x14ac:dyDescent="0.25">
      <c r="A3226" s="5">
        <v>38259</v>
      </c>
      <c r="B3226">
        <v>26.275003000000002</v>
      </c>
    </row>
    <row r="3227" spans="1:2" x14ac:dyDescent="0.25">
      <c r="A3227" s="5">
        <v>38260</v>
      </c>
      <c r="B3227">
        <v>26.335726000000001</v>
      </c>
    </row>
    <row r="3228" spans="1:2" x14ac:dyDescent="0.25">
      <c r="A3228" s="5">
        <v>38261</v>
      </c>
      <c r="B3228">
        <v>27.286881999999999</v>
      </c>
    </row>
    <row r="3229" spans="1:2" x14ac:dyDescent="0.25">
      <c r="A3229" s="5">
        <v>38264</v>
      </c>
      <c r="B3229">
        <v>27.637675999999999</v>
      </c>
    </row>
    <row r="3230" spans="1:2" x14ac:dyDescent="0.25">
      <c r="A3230" s="5">
        <v>38265</v>
      </c>
      <c r="B3230">
        <v>27.786069999999999</v>
      </c>
    </row>
    <row r="3231" spans="1:2" x14ac:dyDescent="0.25">
      <c r="A3231" s="5">
        <v>38266</v>
      </c>
      <c r="B3231">
        <v>28.211058000000001</v>
      </c>
    </row>
    <row r="3232" spans="1:2" x14ac:dyDescent="0.25">
      <c r="A3232" s="5">
        <v>38267</v>
      </c>
      <c r="B3232">
        <v>27.914238000000001</v>
      </c>
    </row>
    <row r="3233" spans="1:2" x14ac:dyDescent="0.25">
      <c r="A3233" s="5">
        <v>38268</v>
      </c>
      <c r="B3233">
        <v>27.603936999999998</v>
      </c>
    </row>
    <row r="3234" spans="1:2" x14ac:dyDescent="0.25">
      <c r="A3234" s="5">
        <v>38271</v>
      </c>
      <c r="B3234">
        <v>27.799558999999999</v>
      </c>
    </row>
    <row r="3235" spans="1:2" x14ac:dyDescent="0.25">
      <c r="A3235" s="5">
        <v>38272</v>
      </c>
      <c r="B3235">
        <v>28.022179000000001</v>
      </c>
    </row>
    <row r="3236" spans="1:2" x14ac:dyDescent="0.25">
      <c r="A3236" s="5">
        <v>38273</v>
      </c>
      <c r="B3236">
        <v>28.028922999999999</v>
      </c>
    </row>
    <row r="3237" spans="1:2" x14ac:dyDescent="0.25">
      <c r="A3237" s="5">
        <v>38274</v>
      </c>
      <c r="B3237">
        <v>28.440414000000001</v>
      </c>
    </row>
    <row r="3238" spans="1:2" x14ac:dyDescent="0.25">
      <c r="A3238" s="5">
        <v>38275</v>
      </c>
      <c r="B3238">
        <v>28.649547999999999</v>
      </c>
    </row>
    <row r="3239" spans="1:2" x14ac:dyDescent="0.25">
      <c r="A3239" s="5">
        <v>38278</v>
      </c>
      <c r="B3239">
        <v>29.411818</v>
      </c>
    </row>
    <row r="3240" spans="1:2" x14ac:dyDescent="0.25">
      <c r="A3240" s="5">
        <v>38279</v>
      </c>
      <c r="B3240">
        <v>28.872157999999999</v>
      </c>
    </row>
    <row r="3241" spans="1:2" x14ac:dyDescent="0.25">
      <c r="A3241" s="5">
        <v>38280</v>
      </c>
      <c r="B3241">
        <v>29.283649</v>
      </c>
    </row>
    <row r="3242" spans="1:2" x14ac:dyDescent="0.25">
      <c r="A3242" s="5">
        <v>38281</v>
      </c>
      <c r="B3242">
        <v>29.73563</v>
      </c>
    </row>
    <row r="3243" spans="1:2" x14ac:dyDescent="0.25">
      <c r="A3243" s="5">
        <v>38282</v>
      </c>
      <c r="B3243">
        <v>28.332484999999998</v>
      </c>
    </row>
    <row r="3244" spans="1:2" x14ac:dyDescent="0.25">
      <c r="A3244" s="5">
        <v>38285</v>
      </c>
      <c r="B3244">
        <v>27.752348000000001</v>
      </c>
    </row>
    <row r="3245" spans="1:2" x14ac:dyDescent="0.25">
      <c r="A3245" s="5">
        <v>38286</v>
      </c>
      <c r="B3245">
        <v>26.646023</v>
      </c>
    </row>
    <row r="3246" spans="1:2" x14ac:dyDescent="0.25">
      <c r="A3246" s="5">
        <v>38287</v>
      </c>
      <c r="B3246">
        <v>27.671396000000001</v>
      </c>
    </row>
    <row r="3247" spans="1:2" x14ac:dyDescent="0.25">
      <c r="A3247" s="5">
        <v>38288</v>
      </c>
      <c r="B3247">
        <v>27.988453</v>
      </c>
    </row>
    <row r="3248" spans="1:2" x14ac:dyDescent="0.25">
      <c r="A3248" s="5">
        <v>38289</v>
      </c>
      <c r="B3248">
        <v>28.062640999999999</v>
      </c>
    </row>
    <row r="3249" spans="1:2" x14ac:dyDescent="0.25">
      <c r="A3249" s="5">
        <v>38292</v>
      </c>
      <c r="B3249">
        <v>27.361098999999999</v>
      </c>
    </row>
    <row r="3250" spans="1:2" x14ac:dyDescent="0.25">
      <c r="A3250" s="5">
        <v>38293</v>
      </c>
      <c r="B3250">
        <v>27.576951999999999</v>
      </c>
    </row>
    <row r="3251" spans="1:2" x14ac:dyDescent="0.25">
      <c r="A3251" s="5">
        <v>38294</v>
      </c>
      <c r="B3251">
        <v>26.895621999999999</v>
      </c>
    </row>
    <row r="3252" spans="1:2" x14ac:dyDescent="0.25">
      <c r="A3252" s="5">
        <v>38295</v>
      </c>
      <c r="B3252">
        <v>25.681377000000001</v>
      </c>
    </row>
    <row r="3253" spans="1:2" x14ac:dyDescent="0.25">
      <c r="A3253" s="5">
        <v>38296</v>
      </c>
      <c r="B3253">
        <v>25.816282000000001</v>
      </c>
    </row>
    <row r="3254" spans="1:2" x14ac:dyDescent="0.25">
      <c r="A3254" s="5">
        <v>38299</v>
      </c>
      <c r="B3254">
        <v>26.079376</v>
      </c>
    </row>
    <row r="3255" spans="1:2" x14ac:dyDescent="0.25">
      <c r="A3255" s="5">
        <v>38300</v>
      </c>
      <c r="B3255">
        <v>26.308745999999999</v>
      </c>
    </row>
    <row r="3256" spans="1:2" x14ac:dyDescent="0.25">
      <c r="A3256" s="5">
        <v>38301</v>
      </c>
      <c r="B3256">
        <v>26.200809</v>
      </c>
    </row>
    <row r="3257" spans="1:2" x14ac:dyDescent="0.25">
      <c r="A3257" s="5">
        <v>38302</v>
      </c>
      <c r="B3257">
        <v>27.044036999999999</v>
      </c>
    </row>
    <row r="3258" spans="1:2" x14ac:dyDescent="0.25">
      <c r="A3258" s="5">
        <v>38303</v>
      </c>
      <c r="B3258">
        <v>27.118237000000001</v>
      </c>
    </row>
    <row r="3259" spans="1:2" x14ac:dyDescent="0.25">
      <c r="A3259" s="5">
        <v>38306</v>
      </c>
      <c r="B3259">
        <v>27.111488000000001</v>
      </c>
    </row>
    <row r="3260" spans="1:2" x14ac:dyDescent="0.25">
      <c r="A3260" s="5">
        <v>38307</v>
      </c>
      <c r="B3260">
        <v>26.740475</v>
      </c>
    </row>
    <row r="3261" spans="1:2" x14ac:dyDescent="0.25">
      <c r="A3261" s="5">
        <v>38308</v>
      </c>
      <c r="B3261">
        <v>27.529730000000001</v>
      </c>
    </row>
    <row r="3262" spans="1:2" x14ac:dyDescent="0.25">
      <c r="A3262" s="5">
        <v>38309</v>
      </c>
      <c r="B3262">
        <v>27.819796</v>
      </c>
    </row>
    <row r="3263" spans="1:2" x14ac:dyDescent="0.25">
      <c r="A3263" s="5">
        <v>38310</v>
      </c>
      <c r="B3263">
        <v>27.064264000000001</v>
      </c>
    </row>
    <row r="3264" spans="1:2" x14ac:dyDescent="0.25">
      <c r="A3264" s="5">
        <v>38313</v>
      </c>
      <c r="B3264">
        <v>27.651167000000001</v>
      </c>
    </row>
    <row r="3265" spans="1:2" x14ac:dyDescent="0.25">
      <c r="A3265" s="5">
        <v>38314</v>
      </c>
      <c r="B3265">
        <v>27.475763000000001</v>
      </c>
    </row>
    <row r="3266" spans="1:2" x14ac:dyDescent="0.25">
      <c r="A3266" s="5">
        <v>38315</v>
      </c>
      <c r="B3266">
        <v>28.103110999999998</v>
      </c>
    </row>
    <row r="3267" spans="1:2" x14ac:dyDescent="0.25">
      <c r="A3267" s="5">
        <v>38317</v>
      </c>
      <c r="B3267">
        <v>27.927724999999999</v>
      </c>
    </row>
    <row r="3268" spans="1:2" x14ac:dyDescent="0.25">
      <c r="A3268" s="5">
        <v>38320</v>
      </c>
      <c r="B3268">
        <v>28.055902</v>
      </c>
    </row>
    <row r="3269" spans="1:2" x14ac:dyDescent="0.25">
      <c r="A3269" s="5">
        <v>38321</v>
      </c>
      <c r="B3269">
        <v>28.076142999999998</v>
      </c>
    </row>
    <row r="3270" spans="1:2" x14ac:dyDescent="0.25">
      <c r="A3270" s="5">
        <v>38322</v>
      </c>
      <c r="B3270">
        <v>29.047546000000001</v>
      </c>
    </row>
    <row r="3271" spans="1:2" x14ac:dyDescent="0.25">
      <c r="A3271" s="5">
        <v>38323</v>
      </c>
      <c r="B3271">
        <v>29.425294999999998</v>
      </c>
    </row>
    <row r="3272" spans="1:2" x14ac:dyDescent="0.25">
      <c r="A3272" s="5">
        <v>38324</v>
      </c>
      <c r="B3272">
        <v>29.344379</v>
      </c>
    </row>
    <row r="3273" spans="1:2" x14ac:dyDescent="0.25">
      <c r="A3273" s="5">
        <v>38327</v>
      </c>
      <c r="B3273">
        <v>29.283548</v>
      </c>
    </row>
    <row r="3274" spans="1:2" x14ac:dyDescent="0.25">
      <c r="A3274" s="5">
        <v>38328</v>
      </c>
      <c r="B3274">
        <v>28.959220999999999</v>
      </c>
    </row>
    <row r="3275" spans="1:2" x14ac:dyDescent="0.25">
      <c r="A3275" s="5">
        <v>38329</v>
      </c>
      <c r="B3275">
        <v>29.459225</v>
      </c>
    </row>
    <row r="3276" spans="1:2" x14ac:dyDescent="0.25">
      <c r="A3276" s="5">
        <v>38330</v>
      </c>
      <c r="B3276">
        <v>29.344367999999999</v>
      </c>
    </row>
    <row r="3277" spans="1:2" x14ac:dyDescent="0.25">
      <c r="A3277" s="5">
        <v>38331</v>
      </c>
      <c r="B3277">
        <v>29.256523000000001</v>
      </c>
    </row>
    <row r="3278" spans="1:2" x14ac:dyDescent="0.25">
      <c r="A3278" s="5">
        <v>38334</v>
      </c>
      <c r="B3278">
        <v>29.661922000000001</v>
      </c>
    </row>
    <row r="3279" spans="1:2" x14ac:dyDescent="0.25">
      <c r="A3279" s="5">
        <v>38335</v>
      </c>
      <c r="B3279">
        <v>29.756519000000001</v>
      </c>
    </row>
    <row r="3280" spans="1:2" x14ac:dyDescent="0.25">
      <c r="A3280" s="5">
        <v>38336</v>
      </c>
      <c r="B3280">
        <v>29.959216999999999</v>
      </c>
    </row>
    <row r="3281" spans="1:2" x14ac:dyDescent="0.25">
      <c r="A3281" s="5">
        <v>38337</v>
      </c>
      <c r="B3281">
        <v>29.357882</v>
      </c>
    </row>
    <row r="3282" spans="1:2" x14ac:dyDescent="0.25">
      <c r="A3282" s="5">
        <v>38338</v>
      </c>
      <c r="B3282">
        <v>29.297075</v>
      </c>
    </row>
    <row r="3283" spans="1:2" x14ac:dyDescent="0.25">
      <c r="A3283" s="5">
        <v>38341</v>
      </c>
      <c r="B3283">
        <v>29.013283000000001</v>
      </c>
    </row>
    <row r="3284" spans="1:2" x14ac:dyDescent="0.25">
      <c r="A3284" s="5">
        <v>38342</v>
      </c>
      <c r="B3284">
        <v>29.715980999999999</v>
      </c>
    </row>
    <row r="3285" spans="1:2" x14ac:dyDescent="0.25">
      <c r="A3285" s="5">
        <v>38343</v>
      </c>
      <c r="B3285">
        <v>30.026786999999999</v>
      </c>
    </row>
    <row r="3286" spans="1:2" x14ac:dyDescent="0.25">
      <c r="A3286" s="5">
        <v>38344</v>
      </c>
      <c r="B3286">
        <v>30.101109000000001</v>
      </c>
    </row>
    <row r="3287" spans="1:2" x14ac:dyDescent="0.25">
      <c r="A3287" s="5">
        <v>38348</v>
      </c>
      <c r="B3287">
        <v>29.351120000000002</v>
      </c>
    </row>
    <row r="3288" spans="1:2" x14ac:dyDescent="0.25">
      <c r="A3288" s="5">
        <v>38349</v>
      </c>
      <c r="B3288">
        <v>29.398417999999999</v>
      </c>
    </row>
    <row r="3289" spans="1:2" x14ac:dyDescent="0.25">
      <c r="A3289" s="5">
        <v>38350</v>
      </c>
      <c r="B3289">
        <v>28.945716999999998</v>
      </c>
    </row>
    <row r="3290" spans="1:2" x14ac:dyDescent="0.25">
      <c r="A3290" s="5">
        <v>38351</v>
      </c>
      <c r="B3290">
        <v>28.844360000000002</v>
      </c>
    </row>
    <row r="3291" spans="1:2" x14ac:dyDescent="0.25">
      <c r="A3291" s="5">
        <v>38352</v>
      </c>
      <c r="B3291">
        <v>28.648416999999998</v>
      </c>
    </row>
    <row r="3292" spans="1:2" x14ac:dyDescent="0.25">
      <c r="A3292" s="5">
        <v>38355</v>
      </c>
      <c r="B3292">
        <v>28.594370000000001</v>
      </c>
    </row>
    <row r="3293" spans="1:2" x14ac:dyDescent="0.25">
      <c r="A3293" s="5">
        <v>38356</v>
      </c>
      <c r="B3293">
        <v>28.466000000000001</v>
      </c>
    </row>
    <row r="3294" spans="1:2" x14ac:dyDescent="0.25">
      <c r="A3294" s="5">
        <v>38357</v>
      </c>
      <c r="B3294">
        <v>28.587610000000002</v>
      </c>
    </row>
    <row r="3295" spans="1:2" x14ac:dyDescent="0.25">
      <c r="A3295" s="5">
        <v>38358</v>
      </c>
      <c r="B3295">
        <v>29.053823000000001</v>
      </c>
    </row>
    <row r="3296" spans="1:2" x14ac:dyDescent="0.25">
      <c r="A3296" s="5">
        <v>38359</v>
      </c>
      <c r="B3296">
        <v>29.202466999999999</v>
      </c>
    </row>
    <row r="3297" spans="1:2" x14ac:dyDescent="0.25">
      <c r="A3297" s="5">
        <v>38362</v>
      </c>
      <c r="B3297">
        <v>29.155173999999999</v>
      </c>
    </row>
    <row r="3298" spans="1:2" x14ac:dyDescent="0.25">
      <c r="A3298" s="5">
        <v>38363</v>
      </c>
      <c r="B3298">
        <v>29.215976999999999</v>
      </c>
    </row>
    <row r="3299" spans="1:2" x14ac:dyDescent="0.25">
      <c r="A3299" s="5">
        <v>38364</v>
      </c>
      <c r="B3299">
        <v>29.134909</v>
      </c>
    </row>
    <row r="3300" spans="1:2" x14ac:dyDescent="0.25">
      <c r="A3300" s="5">
        <v>38365</v>
      </c>
      <c r="B3300">
        <v>28.445713000000001</v>
      </c>
    </row>
    <row r="3301" spans="1:2" x14ac:dyDescent="0.25">
      <c r="A3301" s="5">
        <v>38366</v>
      </c>
      <c r="B3301">
        <v>28.520057999999999</v>
      </c>
    </row>
    <row r="3302" spans="1:2" x14ac:dyDescent="0.25">
      <c r="A3302" s="5">
        <v>38370</v>
      </c>
      <c r="B3302">
        <v>28.797073000000001</v>
      </c>
    </row>
    <row r="3303" spans="1:2" x14ac:dyDescent="0.25">
      <c r="A3303" s="5">
        <v>38371</v>
      </c>
      <c r="B3303">
        <v>27.749780999999999</v>
      </c>
    </row>
    <row r="3304" spans="1:2" x14ac:dyDescent="0.25">
      <c r="A3304" s="5">
        <v>38372</v>
      </c>
      <c r="B3304">
        <v>25.526817000000001</v>
      </c>
    </row>
    <row r="3305" spans="1:2" x14ac:dyDescent="0.25">
      <c r="A3305" s="5">
        <v>38373</v>
      </c>
      <c r="B3305">
        <v>25.540338999999999</v>
      </c>
    </row>
    <row r="3306" spans="1:2" x14ac:dyDescent="0.25">
      <c r="A3306" s="5">
        <v>38376</v>
      </c>
      <c r="B3306">
        <v>24.688991999999999</v>
      </c>
    </row>
    <row r="3307" spans="1:2" x14ac:dyDescent="0.25">
      <c r="A3307" s="5">
        <v>38377</v>
      </c>
      <c r="B3307">
        <v>24.770081999999999</v>
      </c>
    </row>
    <row r="3308" spans="1:2" x14ac:dyDescent="0.25">
      <c r="A3308" s="5">
        <v>38378</v>
      </c>
      <c r="B3308">
        <v>24.932236</v>
      </c>
    </row>
    <row r="3309" spans="1:2" x14ac:dyDescent="0.25">
      <c r="A3309" s="5">
        <v>38379</v>
      </c>
      <c r="B3309">
        <v>24.418724000000001</v>
      </c>
    </row>
    <row r="3310" spans="1:2" x14ac:dyDescent="0.25">
      <c r="A3310" s="5">
        <v>38380</v>
      </c>
      <c r="B3310">
        <v>24.56061</v>
      </c>
    </row>
    <row r="3311" spans="1:2" x14ac:dyDescent="0.25">
      <c r="A3311" s="5">
        <v>38383</v>
      </c>
      <c r="B3311">
        <v>25.161968000000002</v>
      </c>
    </row>
    <row r="3312" spans="1:2" x14ac:dyDescent="0.25">
      <c r="A3312" s="5">
        <v>38384</v>
      </c>
      <c r="B3312">
        <v>24.884927999999999</v>
      </c>
    </row>
    <row r="3313" spans="1:2" x14ac:dyDescent="0.25">
      <c r="A3313" s="5">
        <v>38385</v>
      </c>
      <c r="B3313">
        <v>24.587644999999998</v>
      </c>
    </row>
    <row r="3314" spans="1:2" x14ac:dyDescent="0.25">
      <c r="A3314" s="5">
        <v>38386</v>
      </c>
      <c r="B3314">
        <v>24.398451000000001</v>
      </c>
    </row>
    <row r="3315" spans="1:2" x14ac:dyDescent="0.25">
      <c r="A3315" s="5">
        <v>38387</v>
      </c>
      <c r="B3315">
        <v>24.966018999999999</v>
      </c>
    </row>
    <row r="3316" spans="1:2" x14ac:dyDescent="0.25">
      <c r="A3316" s="5">
        <v>38390</v>
      </c>
      <c r="B3316">
        <v>24.31061</v>
      </c>
    </row>
    <row r="3317" spans="1:2" x14ac:dyDescent="0.25">
      <c r="A3317" s="5">
        <v>38391</v>
      </c>
      <c r="B3317">
        <v>24.4863</v>
      </c>
    </row>
    <row r="3318" spans="1:2" x14ac:dyDescent="0.25">
      <c r="A3318" s="5">
        <v>38392</v>
      </c>
      <c r="B3318">
        <v>24.114675999999999</v>
      </c>
    </row>
    <row r="3319" spans="1:2" x14ac:dyDescent="0.25">
      <c r="A3319" s="5">
        <v>38393</v>
      </c>
      <c r="B3319">
        <v>23.857924000000001</v>
      </c>
    </row>
    <row r="3320" spans="1:2" x14ac:dyDescent="0.25">
      <c r="A3320" s="5">
        <v>38394</v>
      </c>
      <c r="B3320">
        <v>24.43224</v>
      </c>
    </row>
    <row r="3321" spans="1:2" x14ac:dyDescent="0.25">
      <c r="A3321" s="5">
        <v>38397</v>
      </c>
      <c r="B3321">
        <v>25.114656</v>
      </c>
    </row>
    <row r="3322" spans="1:2" x14ac:dyDescent="0.25">
      <c r="A3322" s="5">
        <v>38398</v>
      </c>
      <c r="B3322">
        <v>24.918725999999999</v>
      </c>
    </row>
    <row r="3323" spans="1:2" x14ac:dyDescent="0.25">
      <c r="A3323" s="5">
        <v>38399</v>
      </c>
      <c r="B3323">
        <v>24.317381000000001</v>
      </c>
    </row>
    <row r="3324" spans="1:2" x14ac:dyDescent="0.25">
      <c r="A3324" s="5">
        <v>38400</v>
      </c>
      <c r="B3324">
        <v>23.884938999999999</v>
      </c>
    </row>
    <row r="3325" spans="1:2" x14ac:dyDescent="0.25">
      <c r="A3325" s="5">
        <v>38401</v>
      </c>
      <c r="B3325">
        <v>23.405211999999999</v>
      </c>
    </row>
    <row r="3326" spans="1:2" x14ac:dyDescent="0.25">
      <c r="A3326" s="5">
        <v>38405</v>
      </c>
      <c r="B3326">
        <v>23.337654000000001</v>
      </c>
    </row>
    <row r="3327" spans="1:2" x14ac:dyDescent="0.25">
      <c r="A3327" s="5">
        <v>38406</v>
      </c>
      <c r="B3327">
        <v>23.107451999999999</v>
      </c>
    </row>
    <row r="3328" spans="1:2" x14ac:dyDescent="0.25">
      <c r="A3328" s="5">
        <v>38407</v>
      </c>
      <c r="B3328">
        <v>24.041771000000001</v>
      </c>
    </row>
    <row r="3329" spans="1:2" x14ac:dyDescent="0.25">
      <c r="A3329" s="5">
        <v>38408</v>
      </c>
      <c r="B3329">
        <v>25.050557999999999</v>
      </c>
    </row>
    <row r="3330" spans="1:2" x14ac:dyDescent="0.25">
      <c r="A3330" s="5">
        <v>38411</v>
      </c>
      <c r="B3330">
        <v>24.407378999999999</v>
      </c>
    </row>
    <row r="3331" spans="1:2" x14ac:dyDescent="0.25">
      <c r="A3331" s="5">
        <v>38412</v>
      </c>
      <c r="B3331">
        <v>24.617267999999999</v>
      </c>
    </row>
    <row r="3332" spans="1:2" x14ac:dyDescent="0.25">
      <c r="A3332" s="5">
        <v>38413</v>
      </c>
      <c r="B3332">
        <v>24.563095000000001</v>
      </c>
    </row>
    <row r="3333" spans="1:2" x14ac:dyDescent="0.25">
      <c r="A3333" s="5">
        <v>38414</v>
      </c>
      <c r="B3333">
        <v>23.974070000000001</v>
      </c>
    </row>
    <row r="3334" spans="1:2" x14ac:dyDescent="0.25">
      <c r="A3334" s="5">
        <v>38415</v>
      </c>
      <c r="B3334">
        <v>24.035007</v>
      </c>
    </row>
    <row r="3335" spans="1:2" x14ac:dyDescent="0.25">
      <c r="A3335" s="5">
        <v>38418</v>
      </c>
      <c r="B3335">
        <v>25.314616999999998</v>
      </c>
    </row>
    <row r="3336" spans="1:2" x14ac:dyDescent="0.25">
      <c r="A3336" s="5">
        <v>38419</v>
      </c>
      <c r="B3336">
        <v>24.569877999999999</v>
      </c>
    </row>
    <row r="3337" spans="1:2" x14ac:dyDescent="0.25">
      <c r="A3337" s="5">
        <v>38420</v>
      </c>
      <c r="B3337">
        <v>24.874535000000002</v>
      </c>
    </row>
    <row r="3338" spans="1:2" x14ac:dyDescent="0.25">
      <c r="A3338" s="5">
        <v>38421</v>
      </c>
      <c r="B3338">
        <v>25.104727</v>
      </c>
    </row>
    <row r="3339" spans="1:2" x14ac:dyDescent="0.25">
      <c r="A3339" s="5">
        <v>38422</v>
      </c>
      <c r="B3339">
        <v>25.287528999999999</v>
      </c>
    </row>
    <row r="3340" spans="1:2" x14ac:dyDescent="0.25">
      <c r="A3340" s="5">
        <v>38425</v>
      </c>
      <c r="B3340">
        <v>25.362010999999999</v>
      </c>
    </row>
    <row r="3341" spans="1:2" x14ac:dyDescent="0.25">
      <c r="A3341" s="5">
        <v>38426</v>
      </c>
      <c r="B3341">
        <v>25.802097</v>
      </c>
    </row>
    <row r="3342" spans="1:2" x14ac:dyDescent="0.25">
      <c r="A3342" s="5">
        <v>38427</v>
      </c>
      <c r="B3342">
        <v>25.565114999999999</v>
      </c>
    </row>
    <row r="3343" spans="1:2" x14ac:dyDescent="0.25">
      <c r="A3343" s="5">
        <v>38428</v>
      </c>
      <c r="B3343">
        <v>24.969328000000001</v>
      </c>
    </row>
    <row r="3344" spans="1:2" x14ac:dyDescent="0.25">
      <c r="A3344" s="5">
        <v>38429</v>
      </c>
      <c r="B3344">
        <v>24.691734</v>
      </c>
    </row>
    <row r="3345" spans="1:2" x14ac:dyDescent="0.25">
      <c r="A3345" s="5">
        <v>38432</v>
      </c>
      <c r="B3345">
        <v>24.73237</v>
      </c>
    </row>
    <row r="3346" spans="1:2" x14ac:dyDescent="0.25">
      <c r="A3346" s="5">
        <v>38433</v>
      </c>
      <c r="B3346">
        <v>24.373525999999998</v>
      </c>
    </row>
    <row r="3347" spans="1:2" x14ac:dyDescent="0.25">
      <c r="A3347" s="5">
        <v>38434</v>
      </c>
      <c r="B3347">
        <v>24.583416</v>
      </c>
    </row>
    <row r="3348" spans="1:2" x14ac:dyDescent="0.25">
      <c r="A3348" s="5">
        <v>38435</v>
      </c>
      <c r="B3348">
        <v>24.211033</v>
      </c>
    </row>
    <row r="3349" spans="1:2" x14ac:dyDescent="0.25">
      <c r="A3349" s="5">
        <v>38439</v>
      </c>
      <c r="B3349">
        <v>24.502162999999999</v>
      </c>
    </row>
    <row r="3350" spans="1:2" x14ac:dyDescent="0.25">
      <c r="A3350" s="5">
        <v>38440</v>
      </c>
      <c r="B3350">
        <v>24.204266000000001</v>
      </c>
    </row>
    <row r="3351" spans="1:2" x14ac:dyDescent="0.25">
      <c r="A3351" s="5">
        <v>38441</v>
      </c>
      <c r="B3351">
        <v>24.989633999999999</v>
      </c>
    </row>
    <row r="3352" spans="1:2" x14ac:dyDescent="0.25">
      <c r="A3352" s="5">
        <v>38442</v>
      </c>
      <c r="B3352">
        <v>24.800058</v>
      </c>
    </row>
    <row r="3353" spans="1:2" x14ac:dyDescent="0.25">
      <c r="A3353" s="5">
        <v>38443</v>
      </c>
      <c r="B3353">
        <v>24.068859</v>
      </c>
    </row>
    <row r="3354" spans="1:2" x14ac:dyDescent="0.25">
      <c r="A3354" s="5">
        <v>38446</v>
      </c>
      <c r="B3354">
        <v>24.427681</v>
      </c>
    </row>
    <row r="3355" spans="1:2" x14ac:dyDescent="0.25">
      <c r="A3355" s="5">
        <v>38447</v>
      </c>
      <c r="B3355">
        <v>24.136558999999998</v>
      </c>
    </row>
    <row r="3356" spans="1:2" x14ac:dyDescent="0.25">
      <c r="A3356" s="5">
        <v>38448</v>
      </c>
      <c r="B3356">
        <v>23.777729000000001</v>
      </c>
    </row>
    <row r="3357" spans="1:2" x14ac:dyDescent="0.25">
      <c r="A3357" s="5">
        <v>38449</v>
      </c>
      <c r="B3357">
        <v>23.811582999999999</v>
      </c>
    </row>
    <row r="3358" spans="1:2" x14ac:dyDescent="0.25">
      <c r="A3358" s="5">
        <v>38450</v>
      </c>
      <c r="B3358">
        <v>23.628776999999999</v>
      </c>
    </row>
    <row r="3359" spans="1:2" x14ac:dyDescent="0.25">
      <c r="A3359" s="5">
        <v>38453</v>
      </c>
      <c r="B3359">
        <v>23.351192000000001</v>
      </c>
    </row>
    <row r="3360" spans="1:2" x14ac:dyDescent="0.25">
      <c r="A3360" s="5">
        <v>38454</v>
      </c>
      <c r="B3360">
        <v>23.425657000000001</v>
      </c>
    </row>
    <row r="3361" spans="1:2" x14ac:dyDescent="0.25">
      <c r="A3361" s="5">
        <v>38455</v>
      </c>
      <c r="B3361">
        <v>22.274694</v>
      </c>
    </row>
    <row r="3362" spans="1:2" x14ac:dyDescent="0.25">
      <c r="A3362" s="5">
        <v>38456</v>
      </c>
      <c r="B3362">
        <v>22.728314999999998</v>
      </c>
    </row>
    <row r="3363" spans="1:2" x14ac:dyDescent="0.25">
      <c r="A3363" s="5">
        <v>38457</v>
      </c>
      <c r="B3363">
        <v>22.132518999999998</v>
      </c>
    </row>
    <row r="3364" spans="1:2" x14ac:dyDescent="0.25">
      <c r="A3364" s="5">
        <v>38460</v>
      </c>
      <c r="B3364">
        <v>22.017416000000001</v>
      </c>
    </row>
    <row r="3365" spans="1:2" x14ac:dyDescent="0.25">
      <c r="A3365" s="5">
        <v>38461</v>
      </c>
      <c r="B3365">
        <v>22.206985</v>
      </c>
    </row>
    <row r="3366" spans="1:2" x14ac:dyDescent="0.25">
      <c r="A3366" s="5">
        <v>38462</v>
      </c>
      <c r="B3366">
        <v>22.484579</v>
      </c>
    </row>
    <row r="3367" spans="1:2" x14ac:dyDescent="0.25">
      <c r="A3367" s="5">
        <v>38463</v>
      </c>
      <c r="B3367">
        <v>23.500139000000001</v>
      </c>
    </row>
    <row r="3368" spans="1:2" x14ac:dyDescent="0.25">
      <c r="A3368" s="5">
        <v>38464</v>
      </c>
      <c r="B3368">
        <v>22.965277</v>
      </c>
    </row>
    <row r="3369" spans="1:2" x14ac:dyDescent="0.25">
      <c r="A3369" s="5">
        <v>38467</v>
      </c>
      <c r="B3369">
        <v>23.473074</v>
      </c>
    </row>
    <row r="3370" spans="1:2" x14ac:dyDescent="0.25">
      <c r="A3370" s="5">
        <v>38468</v>
      </c>
      <c r="B3370">
        <v>23.357970999999999</v>
      </c>
    </row>
    <row r="3371" spans="1:2" x14ac:dyDescent="0.25">
      <c r="A3371" s="5">
        <v>38469</v>
      </c>
      <c r="B3371">
        <v>23.933444999999999</v>
      </c>
    </row>
    <row r="3372" spans="1:2" x14ac:dyDescent="0.25">
      <c r="A3372" s="5">
        <v>38470</v>
      </c>
      <c r="B3372">
        <v>23.588153999999999</v>
      </c>
    </row>
    <row r="3373" spans="1:2" x14ac:dyDescent="0.25">
      <c r="A3373" s="5">
        <v>38471</v>
      </c>
      <c r="B3373">
        <v>23.622011000000001</v>
      </c>
    </row>
    <row r="3374" spans="1:2" x14ac:dyDescent="0.25">
      <c r="A3374" s="5">
        <v>38474</v>
      </c>
      <c r="B3374">
        <v>23.730333000000002</v>
      </c>
    </row>
    <row r="3375" spans="1:2" x14ac:dyDescent="0.25">
      <c r="A3375" s="5">
        <v>38475</v>
      </c>
      <c r="B3375">
        <v>23.473074</v>
      </c>
    </row>
    <row r="3376" spans="1:2" x14ac:dyDescent="0.25">
      <c r="A3376" s="5">
        <v>38476</v>
      </c>
      <c r="B3376">
        <v>24.136558999999998</v>
      </c>
    </row>
    <row r="3377" spans="1:2" x14ac:dyDescent="0.25">
      <c r="A3377" s="5">
        <v>38477</v>
      </c>
      <c r="B3377">
        <v>23.804821</v>
      </c>
    </row>
    <row r="3378" spans="1:2" x14ac:dyDescent="0.25">
      <c r="A3378" s="5">
        <v>38478</v>
      </c>
      <c r="B3378">
        <v>24.089167</v>
      </c>
    </row>
    <row r="3379" spans="1:2" x14ac:dyDescent="0.25">
      <c r="A3379" s="5">
        <v>38481</v>
      </c>
      <c r="B3379">
        <v>24.400623</v>
      </c>
    </row>
    <row r="3380" spans="1:2" x14ac:dyDescent="0.25">
      <c r="A3380" s="5">
        <v>38482</v>
      </c>
      <c r="B3380">
        <v>24.095939999999999</v>
      </c>
    </row>
    <row r="3381" spans="1:2" x14ac:dyDescent="0.25">
      <c r="A3381" s="5">
        <v>38483</v>
      </c>
      <c r="B3381">
        <v>24.475083999999999</v>
      </c>
    </row>
    <row r="3382" spans="1:2" x14ac:dyDescent="0.25">
      <c r="A3382" s="5">
        <v>38484</v>
      </c>
      <c r="B3382">
        <v>24.163647000000001</v>
      </c>
    </row>
    <row r="3383" spans="1:2" x14ac:dyDescent="0.25">
      <c r="A3383" s="5">
        <v>38485</v>
      </c>
      <c r="B3383">
        <v>23.899591000000001</v>
      </c>
    </row>
    <row r="3384" spans="1:2" x14ac:dyDescent="0.25">
      <c r="A3384" s="5">
        <v>38488</v>
      </c>
      <c r="B3384">
        <v>23.926682</v>
      </c>
    </row>
    <row r="3385" spans="1:2" x14ac:dyDescent="0.25">
      <c r="A3385" s="5">
        <v>38489</v>
      </c>
      <c r="B3385">
        <v>24.434453999999999</v>
      </c>
    </row>
    <row r="3386" spans="1:2" x14ac:dyDescent="0.25">
      <c r="A3386" s="5">
        <v>38490</v>
      </c>
      <c r="B3386">
        <v>24.745906999999999</v>
      </c>
    </row>
    <row r="3387" spans="1:2" x14ac:dyDescent="0.25">
      <c r="A3387" s="5">
        <v>38491</v>
      </c>
      <c r="B3387">
        <v>24.786528000000001</v>
      </c>
    </row>
    <row r="3388" spans="1:2" x14ac:dyDescent="0.25">
      <c r="A3388" s="5">
        <v>38492</v>
      </c>
      <c r="B3388">
        <v>25.273989</v>
      </c>
    </row>
    <row r="3389" spans="1:2" x14ac:dyDescent="0.25">
      <c r="A3389" s="5">
        <v>38495</v>
      </c>
      <c r="B3389">
        <v>25.179203000000001</v>
      </c>
    </row>
    <row r="3390" spans="1:2" x14ac:dyDescent="0.25">
      <c r="A3390" s="5">
        <v>38496</v>
      </c>
      <c r="B3390">
        <v>25.118276999999999</v>
      </c>
    </row>
    <row r="3391" spans="1:2" x14ac:dyDescent="0.25">
      <c r="A3391" s="5">
        <v>38497</v>
      </c>
      <c r="B3391">
        <v>24.955383000000001</v>
      </c>
    </row>
    <row r="3392" spans="1:2" x14ac:dyDescent="0.25">
      <c r="A3392" s="5">
        <v>38498</v>
      </c>
      <c r="B3392">
        <v>25.403327999999998</v>
      </c>
    </row>
    <row r="3393" spans="1:2" x14ac:dyDescent="0.25">
      <c r="A3393" s="5">
        <v>38499</v>
      </c>
      <c r="B3393">
        <v>25.220065999999999</v>
      </c>
    </row>
    <row r="3394" spans="1:2" x14ac:dyDescent="0.25">
      <c r="A3394" s="5">
        <v>38503</v>
      </c>
      <c r="B3394">
        <v>25.294730999999999</v>
      </c>
    </row>
    <row r="3395" spans="1:2" x14ac:dyDescent="0.25">
      <c r="A3395" s="5">
        <v>38504</v>
      </c>
      <c r="B3395">
        <v>25.858035999999998</v>
      </c>
    </row>
    <row r="3396" spans="1:2" x14ac:dyDescent="0.25">
      <c r="A3396" s="5">
        <v>38505</v>
      </c>
      <c r="B3396">
        <v>25.959849999999999</v>
      </c>
    </row>
    <row r="3397" spans="1:2" x14ac:dyDescent="0.25">
      <c r="A3397" s="5">
        <v>38506</v>
      </c>
      <c r="B3397">
        <v>25.518692000000001</v>
      </c>
    </row>
    <row r="3398" spans="1:2" x14ac:dyDescent="0.25">
      <c r="A3398" s="5">
        <v>38509</v>
      </c>
      <c r="B3398">
        <v>25.647655</v>
      </c>
    </row>
    <row r="3399" spans="1:2" x14ac:dyDescent="0.25">
      <c r="A3399" s="5">
        <v>38510</v>
      </c>
      <c r="B3399">
        <v>25.287939000000001</v>
      </c>
    </row>
    <row r="3400" spans="1:2" x14ac:dyDescent="0.25">
      <c r="A3400" s="5">
        <v>38511</v>
      </c>
      <c r="B3400">
        <v>25.063976</v>
      </c>
    </row>
    <row r="3401" spans="1:2" x14ac:dyDescent="0.25">
      <c r="A3401" s="5">
        <v>38512</v>
      </c>
      <c r="B3401">
        <v>24.799292000000001</v>
      </c>
    </row>
    <row r="3402" spans="1:2" x14ac:dyDescent="0.25">
      <c r="A3402" s="5">
        <v>38513</v>
      </c>
      <c r="B3402">
        <v>24.432796</v>
      </c>
    </row>
    <row r="3403" spans="1:2" x14ac:dyDescent="0.25">
      <c r="A3403" s="5">
        <v>38516</v>
      </c>
      <c r="B3403">
        <v>24.52103</v>
      </c>
    </row>
    <row r="3404" spans="1:2" x14ac:dyDescent="0.25">
      <c r="A3404" s="5">
        <v>38517</v>
      </c>
      <c r="B3404">
        <v>23.808406999999999</v>
      </c>
    </row>
    <row r="3405" spans="1:2" x14ac:dyDescent="0.25">
      <c r="A3405" s="5">
        <v>38518</v>
      </c>
      <c r="B3405">
        <v>23.659089999999999</v>
      </c>
    </row>
    <row r="3406" spans="1:2" x14ac:dyDescent="0.25">
      <c r="A3406" s="5">
        <v>38519</v>
      </c>
      <c r="B3406">
        <v>23.733746</v>
      </c>
    </row>
    <row r="3407" spans="1:2" x14ac:dyDescent="0.25">
      <c r="A3407" s="5">
        <v>38520</v>
      </c>
      <c r="B3407">
        <v>23.686235</v>
      </c>
    </row>
    <row r="3408" spans="1:2" x14ac:dyDescent="0.25">
      <c r="A3408" s="5">
        <v>38523</v>
      </c>
      <c r="B3408">
        <v>23.896635</v>
      </c>
    </row>
    <row r="3409" spans="1:2" x14ac:dyDescent="0.25">
      <c r="A3409" s="5">
        <v>38524</v>
      </c>
      <c r="B3409">
        <v>23.835552</v>
      </c>
    </row>
    <row r="3410" spans="1:2" x14ac:dyDescent="0.25">
      <c r="A3410" s="5">
        <v>38525</v>
      </c>
      <c r="B3410">
        <v>23.693031000000001</v>
      </c>
    </row>
    <row r="3411" spans="1:2" x14ac:dyDescent="0.25">
      <c r="A3411" s="5">
        <v>38526</v>
      </c>
      <c r="B3411">
        <v>23.075422</v>
      </c>
    </row>
    <row r="3412" spans="1:2" x14ac:dyDescent="0.25">
      <c r="A3412" s="5">
        <v>38527</v>
      </c>
      <c r="B3412">
        <v>22.790368999999998</v>
      </c>
    </row>
    <row r="3413" spans="1:2" x14ac:dyDescent="0.25">
      <c r="A3413" s="5">
        <v>38530</v>
      </c>
      <c r="B3413">
        <v>22.797153000000002</v>
      </c>
    </row>
    <row r="3414" spans="1:2" x14ac:dyDescent="0.25">
      <c r="A3414" s="5">
        <v>38531</v>
      </c>
      <c r="B3414">
        <v>22.736073000000001</v>
      </c>
    </row>
    <row r="3415" spans="1:2" x14ac:dyDescent="0.25">
      <c r="A3415" s="5">
        <v>38532</v>
      </c>
      <c r="B3415">
        <v>22.763217999999998</v>
      </c>
    </row>
    <row r="3416" spans="1:2" x14ac:dyDescent="0.25">
      <c r="A3416" s="5">
        <v>38533</v>
      </c>
      <c r="B3416">
        <v>22.403509</v>
      </c>
    </row>
    <row r="3417" spans="1:2" x14ac:dyDescent="0.25">
      <c r="A3417" s="5">
        <v>38534</v>
      </c>
      <c r="B3417">
        <v>22.803947000000001</v>
      </c>
    </row>
    <row r="3418" spans="1:2" x14ac:dyDescent="0.25">
      <c r="A3418" s="5">
        <v>38538</v>
      </c>
      <c r="B3418">
        <v>22.797153000000002</v>
      </c>
    </row>
    <row r="3419" spans="1:2" x14ac:dyDescent="0.25">
      <c r="A3419" s="5">
        <v>38539</v>
      </c>
      <c r="B3419">
        <v>22.668205</v>
      </c>
    </row>
    <row r="3420" spans="1:2" x14ac:dyDescent="0.25">
      <c r="A3420" s="5">
        <v>38540</v>
      </c>
      <c r="B3420">
        <v>22.715713999999998</v>
      </c>
    </row>
    <row r="3421" spans="1:2" x14ac:dyDescent="0.25">
      <c r="A3421" s="5">
        <v>38541</v>
      </c>
      <c r="B3421">
        <v>23.584433000000001</v>
      </c>
    </row>
    <row r="3422" spans="1:2" x14ac:dyDescent="0.25">
      <c r="A3422" s="5">
        <v>38544</v>
      </c>
      <c r="B3422">
        <v>23.889842999999999</v>
      </c>
    </row>
    <row r="3423" spans="1:2" x14ac:dyDescent="0.25">
      <c r="A3423" s="5">
        <v>38545</v>
      </c>
      <c r="B3423">
        <v>23.821978000000001</v>
      </c>
    </row>
    <row r="3424" spans="1:2" x14ac:dyDescent="0.25">
      <c r="A3424" s="5">
        <v>38546</v>
      </c>
      <c r="B3424">
        <v>23.699821</v>
      </c>
    </row>
    <row r="3425" spans="1:2" x14ac:dyDescent="0.25">
      <c r="A3425" s="5">
        <v>38547</v>
      </c>
      <c r="B3425">
        <v>23.991641999999999</v>
      </c>
    </row>
    <row r="3426" spans="1:2" x14ac:dyDescent="0.25">
      <c r="A3426" s="5">
        <v>38548</v>
      </c>
      <c r="B3426">
        <v>24.147745</v>
      </c>
    </row>
    <row r="3427" spans="1:2" x14ac:dyDescent="0.25">
      <c r="A3427" s="5">
        <v>38551</v>
      </c>
      <c r="B3427">
        <v>23.835552</v>
      </c>
    </row>
    <row r="3428" spans="1:2" x14ac:dyDescent="0.25">
      <c r="A3428" s="5">
        <v>38552</v>
      </c>
      <c r="B3428">
        <v>24.297062</v>
      </c>
    </row>
    <row r="3429" spans="1:2" x14ac:dyDescent="0.25">
      <c r="A3429" s="5">
        <v>38553</v>
      </c>
      <c r="B3429">
        <v>24.493874000000002</v>
      </c>
    </row>
    <row r="3430" spans="1:2" x14ac:dyDescent="0.25">
      <c r="A3430" s="5">
        <v>38554</v>
      </c>
      <c r="B3430">
        <v>26.475655</v>
      </c>
    </row>
    <row r="3431" spans="1:2" x14ac:dyDescent="0.25">
      <c r="A3431" s="5">
        <v>38555</v>
      </c>
      <c r="B3431">
        <v>26.672470000000001</v>
      </c>
    </row>
    <row r="3432" spans="1:2" x14ac:dyDescent="0.25">
      <c r="A3432" s="5">
        <v>38558</v>
      </c>
      <c r="B3432">
        <v>26.665690999999999</v>
      </c>
    </row>
    <row r="3433" spans="1:2" x14ac:dyDescent="0.25">
      <c r="A3433" s="5">
        <v>38559</v>
      </c>
      <c r="B3433">
        <v>26.835348</v>
      </c>
    </row>
    <row r="3434" spans="1:2" x14ac:dyDescent="0.25">
      <c r="A3434" s="5">
        <v>38560</v>
      </c>
      <c r="B3434">
        <v>27.249352999999999</v>
      </c>
    </row>
    <row r="3435" spans="1:2" x14ac:dyDescent="0.25">
      <c r="A3435" s="5">
        <v>38561</v>
      </c>
      <c r="B3435">
        <v>26.99823</v>
      </c>
    </row>
    <row r="3436" spans="1:2" x14ac:dyDescent="0.25">
      <c r="A3436" s="5">
        <v>38562</v>
      </c>
      <c r="B3436">
        <v>26.794637999999999</v>
      </c>
    </row>
    <row r="3437" spans="1:2" x14ac:dyDescent="0.25">
      <c r="A3437" s="5">
        <v>38565</v>
      </c>
      <c r="B3437">
        <v>26.468869999999999</v>
      </c>
    </row>
    <row r="3438" spans="1:2" x14ac:dyDescent="0.25">
      <c r="A3438" s="5">
        <v>38566</v>
      </c>
      <c r="B3438">
        <v>26.910011000000001</v>
      </c>
    </row>
    <row r="3439" spans="1:2" x14ac:dyDescent="0.25">
      <c r="A3439" s="5">
        <v>38567</v>
      </c>
      <c r="B3439">
        <v>27.10004</v>
      </c>
    </row>
    <row r="3440" spans="1:2" x14ac:dyDescent="0.25">
      <c r="A3440" s="5">
        <v>38568</v>
      </c>
      <c r="B3440">
        <v>26.848935999999998</v>
      </c>
    </row>
    <row r="3441" spans="1:2" x14ac:dyDescent="0.25">
      <c r="A3441" s="5">
        <v>38569</v>
      </c>
      <c r="B3441">
        <v>26.577453999999999</v>
      </c>
    </row>
    <row r="3442" spans="1:2" x14ac:dyDescent="0.25">
      <c r="A3442" s="5">
        <v>38572</v>
      </c>
      <c r="B3442">
        <v>26.604607000000001</v>
      </c>
    </row>
    <row r="3443" spans="1:2" x14ac:dyDescent="0.25">
      <c r="A3443" s="5">
        <v>38573</v>
      </c>
      <c r="B3443">
        <v>26.312760999999998</v>
      </c>
    </row>
    <row r="3444" spans="1:2" x14ac:dyDescent="0.25">
      <c r="A3444" s="5">
        <v>38574</v>
      </c>
      <c r="B3444">
        <v>26.611391000000001</v>
      </c>
    </row>
    <row r="3445" spans="1:2" x14ac:dyDescent="0.25">
      <c r="A3445" s="5">
        <v>38575</v>
      </c>
      <c r="B3445">
        <v>27.473320000000001</v>
      </c>
    </row>
    <row r="3446" spans="1:2" x14ac:dyDescent="0.25">
      <c r="A3446" s="5">
        <v>38576</v>
      </c>
      <c r="B3446">
        <v>27.683712</v>
      </c>
    </row>
    <row r="3447" spans="1:2" x14ac:dyDescent="0.25">
      <c r="A3447" s="5">
        <v>38579</v>
      </c>
      <c r="B3447">
        <v>28.138428000000001</v>
      </c>
    </row>
    <row r="3448" spans="1:2" x14ac:dyDescent="0.25">
      <c r="A3448" s="5">
        <v>38580</v>
      </c>
      <c r="B3448">
        <v>27.317225000000001</v>
      </c>
    </row>
    <row r="3449" spans="1:2" x14ac:dyDescent="0.25">
      <c r="A3449" s="5">
        <v>38581</v>
      </c>
      <c r="B3449">
        <v>27.228991000000001</v>
      </c>
    </row>
    <row r="3450" spans="1:2" x14ac:dyDescent="0.25">
      <c r="A3450" s="5">
        <v>38582</v>
      </c>
      <c r="B3450">
        <v>27.10004</v>
      </c>
    </row>
    <row r="3451" spans="1:2" x14ac:dyDescent="0.25">
      <c r="A3451" s="5">
        <v>38583</v>
      </c>
      <c r="B3451">
        <v>27.290088999999998</v>
      </c>
    </row>
    <row r="3452" spans="1:2" x14ac:dyDescent="0.25">
      <c r="A3452" s="5">
        <v>38586</v>
      </c>
      <c r="B3452">
        <v>27.520831999999999</v>
      </c>
    </row>
    <row r="3453" spans="1:2" x14ac:dyDescent="0.25">
      <c r="A3453" s="5">
        <v>38587</v>
      </c>
      <c r="B3453">
        <v>27.344360000000002</v>
      </c>
    </row>
    <row r="3454" spans="1:2" x14ac:dyDescent="0.25">
      <c r="A3454" s="5">
        <v>38588</v>
      </c>
      <c r="B3454">
        <v>26.949850000000001</v>
      </c>
    </row>
    <row r="3455" spans="1:2" x14ac:dyDescent="0.25">
      <c r="A3455" s="5">
        <v>38589</v>
      </c>
      <c r="B3455">
        <v>27.249137999999999</v>
      </c>
    </row>
    <row r="3456" spans="1:2" x14ac:dyDescent="0.25">
      <c r="A3456" s="5">
        <v>38590</v>
      </c>
      <c r="B3456">
        <v>27.106289</v>
      </c>
    </row>
    <row r="3457" spans="1:2" x14ac:dyDescent="0.25">
      <c r="A3457" s="5">
        <v>38593</v>
      </c>
      <c r="B3457">
        <v>27.187929</v>
      </c>
    </row>
    <row r="3458" spans="1:2" x14ac:dyDescent="0.25">
      <c r="A3458" s="5">
        <v>38594</v>
      </c>
      <c r="B3458">
        <v>27.113099999999999</v>
      </c>
    </row>
    <row r="3459" spans="1:2" x14ac:dyDescent="0.25">
      <c r="A3459" s="5">
        <v>38595</v>
      </c>
      <c r="B3459">
        <v>27.011066</v>
      </c>
    </row>
    <row r="3460" spans="1:2" x14ac:dyDescent="0.25">
      <c r="A3460" s="5">
        <v>38596</v>
      </c>
      <c r="B3460">
        <v>27.208323</v>
      </c>
    </row>
    <row r="3461" spans="1:2" x14ac:dyDescent="0.25">
      <c r="A3461" s="5">
        <v>38597</v>
      </c>
      <c r="B3461">
        <v>27.181124000000001</v>
      </c>
    </row>
    <row r="3462" spans="1:2" x14ac:dyDescent="0.25">
      <c r="A3462" s="5">
        <v>38601</v>
      </c>
      <c r="B3462">
        <v>27.582446999999998</v>
      </c>
    </row>
    <row r="3463" spans="1:2" x14ac:dyDescent="0.25">
      <c r="A3463" s="5">
        <v>38602</v>
      </c>
      <c r="B3463">
        <v>27.616448999999999</v>
      </c>
    </row>
    <row r="3464" spans="1:2" x14ac:dyDescent="0.25">
      <c r="A3464" s="5">
        <v>38603</v>
      </c>
      <c r="B3464">
        <v>28.391893</v>
      </c>
    </row>
    <row r="3465" spans="1:2" x14ac:dyDescent="0.25">
      <c r="A3465" s="5">
        <v>38604</v>
      </c>
      <c r="B3465">
        <v>29.119714999999999</v>
      </c>
    </row>
    <row r="3466" spans="1:2" x14ac:dyDescent="0.25">
      <c r="A3466" s="5">
        <v>38607</v>
      </c>
      <c r="B3466">
        <v>28.942855999999999</v>
      </c>
    </row>
    <row r="3467" spans="1:2" x14ac:dyDescent="0.25">
      <c r="A3467" s="5">
        <v>38608</v>
      </c>
      <c r="B3467">
        <v>29.146913999999999</v>
      </c>
    </row>
    <row r="3468" spans="1:2" x14ac:dyDescent="0.25">
      <c r="A3468" s="5">
        <v>38609</v>
      </c>
      <c r="B3468">
        <v>28.616358000000002</v>
      </c>
    </row>
    <row r="3469" spans="1:2" x14ac:dyDescent="0.25">
      <c r="A3469" s="5">
        <v>38610</v>
      </c>
      <c r="B3469">
        <v>28.738793999999999</v>
      </c>
    </row>
    <row r="3470" spans="1:2" x14ac:dyDescent="0.25">
      <c r="A3470" s="5">
        <v>38611</v>
      </c>
      <c r="B3470">
        <v>29.466621</v>
      </c>
    </row>
    <row r="3471" spans="1:2" x14ac:dyDescent="0.25">
      <c r="A3471" s="5">
        <v>38614</v>
      </c>
      <c r="B3471">
        <v>29.051683000000001</v>
      </c>
    </row>
    <row r="3472" spans="1:2" x14ac:dyDescent="0.25">
      <c r="A3472" s="5">
        <v>38615</v>
      </c>
      <c r="B3472">
        <v>29.534631999999998</v>
      </c>
    </row>
    <row r="3473" spans="1:2" x14ac:dyDescent="0.25">
      <c r="A3473" s="5">
        <v>38616</v>
      </c>
      <c r="B3473">
        <v>29.745501000000001</v>
      </c>
    </row>
    <row r="3474" spans="1:2" x14ac:dyDescent="0.25">
      <c r="A3474" s="5">
        <v>38617</v>
      </c>
      <c r="B3474">
        <v>29.929169000000002</v>
      </c>
    </row>
    <row r="3475" spans="1:2" x14ac:dyDescent="0.25">
      <c r="A3475" s="5">
        <v>38618</v>
      </c>
      <c r="B3475">
        <v>30.446117000000001</v>
      </c>
    </row>
    <row r="3476" spans="1:2" x14ac:dyDescent="0.25">
      <c r="A3476" s="5">
        <v>38621</v>
      </c>
      <c r="B3476">
        <v>30.201257999999999</v>
      </c>
    </row>
    <row r="3477" spans="1:2" x14ac:dyDescent="0.25">
      <c r="A3477" s="5">
        <v>38622</v>
      </c>
      <c r="B3477">
        <v>30.167233</v>
      </c>
    </row>
    <row r="3478" spans="1:2" x14ac:dyDescent="0.25">
      <c r="A3478" s="5">
        <v>38623</v>
      </c>
      <c r="B3478">
        <v>30.276053999999998</v>
      </c>
    </row>
    <row r="3479" spans="1:2" x14ac:dyDescent="0.25">
      <c r="A3479" s="5">
        <v>38624</v>
      </c>
      <c r="B3479">
        <v>30.602577</v>
      </c>
    </row>
    <row r="3480" spans="1:2" x14ac:dyDescent="0.25">
      <c r="A3480" s="5">
        <v>38625</v>
      </c>
      <c r="B3480">
        <v>30.439322000000001</v>
      </c>
    </row>
    <row r="3481" spans="1:2" x14ac:dyDescent="0.25">
      <c r="A3481" s="5">
        <v>38628</v>
      </c>
      <c r="B3481">
        <v>30.643393</v>
      </c>
    </row>
    <row r="3482" spans="1:2" x14ac:dyDescent="0.25">
      <c r="A3482" s="5">
        <v>38629</v>
      </c>
      <c r="B3482">
        <v>31.024296</v>
      </c>
    </row>
    <row r="3483" spans="1:2" x14ac:dyDescent="0.25">
      <c r="A3483" s="5">
        <v>38630</v>
      </c>
      <c r="B3483">
        <v>30.711417999999998</v>
      </c>
    </row>
    <row r="3484" spans="1:2" x14ac:dyDescent="0.25">
      <c r="A3484" s="5">
        <v>38631</v>
      </c>
      <c r="B3484">
        <v>30.031195</v>
      </c>
    </row>
    <row r="3485" spans="1:2" x14ac:dyDescent="0.25">
      <c r="A3485" s="5">
        <v>38632</v>
      </c>
      <c r="B3485">
        <v>29.874752000000001</v>
      </c>
    </row>
    <row r="3486" spans="1:2" x14ac:dyDescent="0.25">
      <c r="A3486" s="5">
        <v>38635</v>
      </c>
      <c r="B3486">
        <v>29.711490999999999</v>
      </c>
    </row>
    <row r="3487" spans="1:2" x14ac:dyDescent="0.25">
      <c r="A3487" s="5">
        <v>38636</v>
      </c>
      <c r="B3487">
        <v>29.561845999999999</v>
      </c>
    </row>
    <row r="3488" spans="1:2" x14ac:dyDescent="0.25">
      <c r="A3488" s="5">
        <v>38637</v>
      </c>
      <c r="B3488">
        <v>28.806827999999999</v>
      </c>
    </row>
    <row r="3489" spans="1:2" x14ac:dyDescent="0.25">
      <c r="A3489" s="5">
        <v>38638</v>
      </c>
      <c r="B3489">
        <v>28.364677</v>
      </c>
    </row>
    <row r="3490" spans="1:2" x14ac:dyDescent="0.25">
      <c r="A3490" s="5">
        <v>38639</v>
      </c>
      <c r="B3490">
        <v>28.521135000000001</v>
      </c>
    </row>
    <row r="3491" spans="1:2" x14ac:dyDescent="0.25">
      <c r="A3491" s="5">
        <v>38642</v>
      </c>
      <c r="B3491">
        <v>28.697979</v>
      </c>
    </row>
    <row r="3492" spans="1:2" x14ac:dyDescent="0.25">
      <c r="A3492" s="5">
        <v>38643</v>
      </c>
      <c r="B3492">
        <v>28.874844</v>
      </c>
    </row>
    <row r="3493" spans="1:2" x14ac:dyDescent="0.25">
      <c r="A3493" s="5">
        <v>38644</v>
      </c>
      <c r="B3493">
        <v>29.942774</v>
      </c>
    </row>
    <row r="3494" spans="1:2" x14ac:dyDescent="0.25">
      <c r="A3494" s="5">
        <v>38645</v>
      </c>
      <c r="B3494">
        <v>29.487037999999998</v>
      </c>
    </row>
    <row r="3495" spans="1:2" x14ac:dyDescent="0.25">
      <c r="A3495" s="5">
        <v>38646</v>
      </c>
      <c r="B3495">
        <v>30.609376999999999</v>
      </c>
    </row>
    <row r="3496" spans="1:2" x14ac:dyDescent="0.25">
      <c r="A3496" s="5">
        <v>38649</v>
      </c>
      <c r="B3496">
        <v>31.085518</v>
      </c>
    </row>
    <row r="3497" spans="1:2" x14ac:dyDescent="0.25">
      <c r="A3497" s="5">
        <v>38650</v>
      </c>
      <c r="B3497">
        <v>30.718204</v>
      </c>
    </row>
    <row r="3498" spans="1:2" x14ac:dyDescent="0.25">
      <c r="A3498" s="5">
        <v>38651</v>
      </c>
      <c r="B3498">
        <v>30.507324000000001</v>
      </c>
    </row>
    <row r="3499" spans="1:2" x14ac:dyDescent="0.25">
      <c r="A3499" s="5">
        <v>38652</v>
      </c>
      <c r="B3499">
        <v>29.282962999999999</v>
      </c>
    </row>
    <row r="3500" spans="1:2" x14ac:dyDescent="0.25">
      <c r="A3500" s="5">
        <v>38653</v>
      </c>
      <c r="B3500">
        <v>27.936150000000001</v>
      </c>
    </row>
    <row r="3501" spans="1:2" x14ac:dyDescent="0.25">
      <c r="A3501" s="5">
        <v>38656</v>
      </c>
      <c r="B3501">
        <v>27.045074</v>
      </c>
    </row>
    <row r="3502" spans="1:2" x14ac:dyDescent="0.25">
      <c r="A3502" s="5">
        <v>38657</v>
      </c>
      <c r="B3502">
        <v>26.861422999999998</v>
      </c>
    </row>
    <row r="3503" spans="1:2" x14ac:dyDescent="0.25">
      <c r="A3503" s="5">
        <v>38658</v>
      </c>
      <c r="B3503">
        <v>27.466818</v>
      </c>
    </row>
    <row r="3504" spans="1:2" x14ac:dyDescent="0.25">
      <c r="A3504" s="5">
        <v>38659</v>
      </c>
      <c r="B3504">
        <v>29.942774</v>
      </c>
    </row>
    <row r="3505" spans="1:2" x14ac:dyDescent="0.25">
      <c r="A3505" s="5">
        <v>38660</v>
      </c>
      <c r="B3505">
        <v>30.473334999999999</v>
      </c>
    </row>
    <row r="3506" spans="1:2" x14ac:dyDescent="0.25">
      <c r="A3506" s="5">
        <v>38663</v>
      </c>
      <c r="B3506">
        <v>30.3645</v>
      </c>
    </row>
    <row r="3507" spans="1:2" x14ac:dyDescent="0.25">
      <c r="A3507" s="5">
        <v>38664</v>
      </c>
      <c r="B3507">
        <v>30.806633000000001</v>
      </c>
    </row>
    <row r="3508" spans="1:2" x14ac:dyDescent="0.25">
      <c r="A3508" s="5">
        <v>38665</v>
      </c>
      <c r="B3508">
        <v>30.384905</v>
      </c>
    </row>
    <row r="3509" spans="1:2" x14ac:dyDescent="0.25">
      <c r="A3509" s="5">
        <v>38666</v>
      </c>
      <c r="B3509">
        <v>31.058316999999999</v>
      </c>
    </row>
    <row r="3510" spans="1:2" x14ac:dyDescent="0.25">
      <c r="A3510" s="5">
        <v>38667</v>
      </c>
      <c r="B3510">
        <v>30.895047999999999</v>
      </c>
    </row>
    <row r="3511" spans="1:2" x14ac:dyDescent="0.25">
      <c r="A3511" s="5">
        <v>38670</v>
      </c>
      <c r="B3511">
        <v>30.969877</v>
      </c>
    </row>
    <row r="3512" spans="1:2" x14ac:dyDescent="0.25">
      <c r="A3512" s="5">
        <v>38671</v>
      </c>
      <c r="B3512">
        <v>30.568562</v>
      </c>
    </row>
    <row r="3513" spans="1:2" x14ac:dyDescent="0.25">
      <c r="A3513" s="5">
        <v>38672</v>
      </c>
      <c r="B3513">
        <v>30.575357</v>
      </c>
    </row>
    <row r="3514" spans="1:2" x14ac:dyDescent="0.25">
      <c r="A3514" s="5">
        <v>38673</v>
      </c>
      <c r="B3514">
        <v>30.969877</v>
      </c>
    </row>
    <row r="3515" spans="1:2" x14ac:dyDescent="0.25">
      <c r="A3515" s="5">
        <v>38674</v>
      </c>
      <c r="B3515">
        <v>31.241961</v>
      </c>
    </row>
    <row r="3516" spans="1:2" x14ac:dyDescent="0.25">
      <c r="A3516" s="5">
        <v>38677</v>
      </c>
      <c r="B3516">
        <v>31.343988</v>
      </c>
    </row>
    <row r="3517" spans="1:2" x14ac:dyDescent="0.25">
      <c r="A3517" s="5">
        <v>38678</v>
      </c>
      <c r="B3517">
        <v>31.241961</v>
      </c>
    </row>
    <row r="3518" spans="1:2" x14ac:dyDescent="0.25">
      <c r="A3518" s="5">
        <v>38679</v>
      </c>
      <c r="B3518">
        <v>31.296386999999999</v>
      </c>
    </row>
    <row r="3519" spans="1:2" x14ac:dyDescent="0.25">
      <c r="A3519" s="5">
        <v>38681</v>
      </c>
      <c r="B3519">
        <v>31.412034999999999</v>
      </c>
    </row>
    <row r="3520" spans="1:2" x14ac:dyDescent="0.25">
      <c r="A3520" s="5">
        <v>38684</v>
      </c>
      <c r="B3520">
        <v>31.316787999999999</v>
      </c>
    </row>
    <row r="3521" spans="1:2" x14ac:dyDescent="0.25">
      <c r="A3521" s="5">
        <v>38685</v>
      </c>
      <c r="B3521">
        <v>30.976690000000001</v>
      </c>
    </row>
    <row r="3522" spans="1:2" x14ac:dyDescent="0.25">
      <c r="A3522" s="5">
        <v>38686</v>
      </c>
      <c r="B3522">
        <v>30.929071</v>
      </c>
    </row>
    <row r="3523" spans="1:2" x14ac:dyDescent="0.25">
      <c r="A3523" s="5">
        <v>38687</v>
      </c>
      <c r="B3523">
        <v>31.017489999999999</v>
      </c>
    </row>
    <row r="3524" spans="1:2" x14ac:dyDescent="0.25">
      <c r="A3524" s="5">
        <v>38688</v>
      </c>
      <c r="B3524">
        <v>30.745415000000001</v>
      </c>
    </row>
    <row r="3525" spans="1:2" x14ac:dyDescent="0.25">
      <c r="A3525" s="5">
        <v>38691</v>
      </c>
      <c r="B3525">
        <v>30.322835999999999</v>
      </c>
    </row>
    <row r="3526" spans="1:2" x14ac:dyDescent="0.25">
      <c r="A3526" s="5">
        <v>38692</v>
      </c>
      <c r="B3526">
        <v>30.493223</v>
      </c>
    </row>
    <row r="3527" spans="1:2" x14ac:dyDescent="0.25">
      <c r="A3527" s="5">
        <v>38693</v>
      </c>
      <c r="B3527">
        <v>30.670445999999998</v>
      </c>
    </row>
    <row r="3528" spans="1:2" x14ac:dyDescent="0.25">
      <c r="A3528" s="5">
        <v>38694</v>
      </c>
      <c r="B3528">
        <v>30.131989000000001</v>
      </c>
    </row>
    <row r="3529" spans="1:2" x14ac:dyDescent="0.25">
      <c r="A3529" s="5">
        <v>38695</v>
      </c>
      <c r="B3529">
        <v>30.295591000000002</v>
      </c>
    </row>
    <row r="3530" spans="1:2" x14ac:dyDescent="0.25">
      <c r="A3530" s="5">
        <v>38698</v>
      </c>
      <c r="B3530">
        <v>30.806754999999999</v>
      </c>
    </row>
    <row r="3531" spans="1:2" x14ac:dyDescent="0.25">
      <c r="A3531" s="5">
        <v>38699</v>
      </c>
      <c r="B3531">
        <v>31.24295</v>
      </c>
    </row>
    <row r="3532" spans="1:2" x14ac:dyDescent="0.25">
      <c r="A3532" s="5">
        <v>38700</v>
      </c>
      <c r="B3532">
        <v>31.508759999999999</v>
      </c>
    </row>
    <row r="3533" spans="1:2" x14ac:dyDescent="0.25">
      <c r="A3533" s="5">
        <v>38701</v>
      </c>
      <c r="B3533">
        <v>31.174814000000001</v>
      </c>
    </row>
    <row r="3534" spans="1:2" x14ac:dyDescent="0.25">
      <c r="A3534" s="5">
        <v>38702</v>
      </c>
      <c r="B3534">
        <v>30.636351000000001</v>
      </c>
    </row>
    <row r="3535" spans="1:2" x14ac:dyDescent="0.25">
      <c r="A3535" s="5">
        <v>38705</v>
      </c>
      <c r="B3535">
        <v>29.777581999999999</v>
      </c>
    </row>
    <row r="3536" spans="1:2" x14ac:dyDescent="0.25">
      <c r="A3536" s="5">
        <v>38706</v>
      </c>
      <c r="B3536">
        <v>30.050219999999999</v>
      </c>
    </row>
    <row r="3537" spans="1:2" x14ac:dyDescent="0.25">
      <c r="A3537" s="5">
        <v>38707</v>
      </c>
      <c r="B3537">
        <v>29.982057999999999</v>
      </c>
    </row>
    <row r="3538" spans="1:2" x14ac:dyDescent="0.25">
      <c r="A3538" s="5">
        <v>38708</v>
      </c>
      <c r="B3538">
        <v>30.254688000000002</v>
      </c>
    </row>
    <row r="3539" spans="1:2" x14ac:dyDescent="0.25">
      <c r="A3539" s="5">
        <v>38709</v>
      </c>
      <c r="B3539">
        <v>30.254688000000002</v>
      </c>
    </row>
    <row r="3540" spans="1:2" x14ac:dyDescent="0.25">
      <c r="A3540" s="5">
        <v>38713</v>
      </c>
      <c r="B3540">
        <v>29.743501999999999</v>
      </c>
    </row>
    <row r="3541" spans="1:2" x14ac:dyDescent="0.25">
      <c r="A3541" s="5">
        <v>38714</v>
      </c>
      <c r="B3541">
        <v>29.750337999999999</v>
      </c>
    </row>
    <row r="3542" spans="1:2" x14ac:dyDescent="0.25">
      <c r="A3542" s="5">
        <v>38715</v>
      </c>
      <c r="B3542">
        <v>29.675370999999998</v>
      </c>
    </row>
    <row r="3543" spans="1:2" x14ac:dyDescent="0.25">
      <c r="A3543" s="5">
        <v>38716</v>
      </c>
      <c r="B3543">
        <v>29.361827999999999</v>
      </c>
    </row>
    <row r="3544" spans="1:2" x14ac:dyDescent="0.25">
      <c r="A3544" s="5">
        <v>38720</v>
      </c>
      <c r="B3544">
        <v>29.988855000000001</v>
      </c>
    </row>
    <row r="3545" spans="1:2" x14ac:dyDescent="0.25">
      <c r="A3545" s="5">
        <v>38721</v>
      </c>
      <c r="B3545">
        <v>30.963519999999999</v>
      </c>
    </row>
    <row r="3546" spans="1:2" x14ac:dyDescent="0.25">
      <c r="A3546" s="5">
        <v>38722</v>
      </c>
      <c r="B3546">
        <v>30.813568</v>
      </c>
    </row>
    <row r="3547" spans="1:2" x14ac:dyDescent="0.25">
      <c r="A3547" s="5">
        <v>38723</v>
      </c>
      <c r="B3547">
        <v>32.278950000000002</v>
      </c>
    </row>
    <row r="3548" spans="1:2" x14ac:dyDescent="0.25">
      <c r="A3548" s="5">
        <v>38726</v>
      </c>
      <c r="B3548">
        <v>32.422069999999998</v>
      </c>
    </row>
    <row r="3549" spans="1:2" x14ac:dyDescent="0.25">
      <c r="A3549" s="5">
        <v>38727</v>
      </c>
      <c r="B3549">
        <v>32.292557000000002</v>
      </c>
    </row>
    <row r="3550" spans="1:2" x14ac:dyDescent="0.25">
      <c r="A3550" s="5">
        <v>38728</v>
      </c>
      <c r="B3550">
        <v>33.260387000000001</v>
      </c>
    </row>
    <row r="3551" spans="1:2" x14ac:dyDescent="0.25">
      <c r="A3551" s="5">
        <v>38729</v>
      </c>
      <c r="B3551">
        <v>33.396706000000002</v>
      </c>
    </row>
    <row r="3552" spans="1:2" x14ac:dyDescent="0.25">
      <c r="A3552" s="5">
        <v>38730</v>
      </c>
      <c r="B3552">
        <v>33.151328999999997</v>
      </c>
    </row>
    <row r="3553" spans="1:2" x14ac:dyDescent="0.25">
      <c r="A3553" s="5">
        <v>38734</v>
      </c>
      <c r="B3553">
        <v>32.796925000000002</v>
      </c>
    </row>
    <row r="3554" spans="1:2" x14ac:dyDescent="0.25">
      <c r="A3554" s="5">
        <v>38735</v>
      </c>
      <c r="B3554">
        <v>32.544730999999999</v>
      </c>
    </row>
    <row r="3555" spans="1:2" x14ac:dyDescent="0.25">
      <c r="A3555" s="5">
        <v>38736</v>
      </c>
      <c r="B3555">
        <v>33.171782999999998</v>
      </c>
    </row>
    <row r="3556" spans="1:2" x14ac:dyDescent="0.25">
      <c r="A3556" s="5">
        <v>38737</v>
      </c>
      <c r="B3556">
        <v>32.006306000000002</v>
      </c>
    </row>
    <row r="3557" spans="1:2" x14ac:dyDescent="0.25">
      <c r="A3557" s="5">
        <v>38740</v>
      </c>
      <c r="B3557">
        <v>31.979043999999998</v>
      </c>
    </row>
    <row r="3558" spans="1:2" x14ac:dyDescent="0.25">
      <c r="A3558" s="5">
        <v>38741</v>
      </c>
      <c r="B3558">
        <v>32.762847999999998</v>
      </c>
    </row>
    <row r="3559" spans="1:2" x14ac:dyDescent="0.25">
      <c r="A3559" s="5">
        <v>38742</v>
      </c>
      <c r="B3559">
        <v>32.428882999999999</v>
      </c>
    </row>
    <row r="3560" spans="1:2" x14ac:dyDescent="0.25">
      <c r="A3560" s="5">
        <v>38743</v>
      </c>
      <c r="B3560">
        <v>32.374358999999998</v>
      </c>
    </row>
    <row r="3561" spans="1:2" x14ac:dyDescent="0.25">
      <c r="A3561" s="5">
        <v>38744</v>
      </c>
      <c r="B3561">
        <v>32.728763999999998</v>
      </c>
    </row>
    <row r="3562" spans="1:2" x14ac:dyDescent="0.25">
      <c r="A3562" s="5">
        <v>38747</v>
      </c>
      <c r="B3562">
        <v>33.103622000000001</v>
      </c>
    </row>
    <row r="3563" spans="1:2" x14ac:dyDescent="0.25">
      <c r="A3563" s="5">
        <v>38748</v>
      </c>
      <c r="B3563">
        <v>32.687874000000001</v>
      </c>
    </row>
    <row r="3564" spans="1:2" x14ac:dyDescent="0.25">
      <c r="A3564" s="5">
        <v>38749</v>
      </c>
      <c r="B3564">
        <v>32.667431000000001</v>
      </c>
    </row>
    <row r="3565" spans="1:2" x14ac:dyDescent="0.25">
      <c r="A3565" s="5">
        <v>38750</v>
      </c>
      <c r="B3565">
        <v>31.951775000000001</v>
      </c>
    </row>
    <row r="3566" spans="1:2" x14ac:dyDescent="0.25">
      <c r="A3566" s="5">
        <v>38751</v>
      </c>
      <c r="B3566">
        <v>31.40653</v>
      </c>
    </row>
    <row r="3567" spans="1:2" x14ac:dyDescent="0.25">
      <c r="A3567" s="5">
        <v>38754</v>
      </c>
      <c r="B3567">
        <v>31.304300000000001</v>
      </c>
    </row>
    <row r="3568" spans="1:2" x14ac:dyDescent="0.25">
      <c r="A3568" s="5">
        <v>38755</v>
      </c>
      <c r="B3568">
        <v>31.167984000000001</v>
      </c>
    </row>
    <row r="3569" spans="1:2" x14ac:dyDescent="0.25">
      <c r="A3569" s="5">
        <v>38756</v>
      </c>
      <c r="B3569">
        <v>32.013129999999997</v>
      </c>
    </row>
    <row r="3570" spans="1:2" x14ac:dyDescent="0.25">
      <c r="A3570" s="5">
        <v>38757</v>
      </c>
      <c r="B3570">
        <v>31.461062999999999</v>
      </c>
    </row>
    <row r="3571" spans="1:2" x14ac:dyDescent="0.25">
      <c r="A3571" s="5">
        <v>38758</v>
      </c>
      <c r="B3571">
        <v>31.801846999999999</v>
      </c>
    </row>
    <row r="3572" spans="1:2" x14ac:dyDescent="0.25">
      <c r="A3572" s="5">
        <v>38761</v>
      </c>
      <c r="B3572">
        <v>31.31794</v>
      </c>
    </row>
    <row r="3573" spans="1:2" x14ac:dyDescent="0.25">
      <c r="A3573" s="5">
        <v>38762</v>
      </c>
      <c r="B3573">
        <v>32.442504999999997</v>
      </c>
    </row>
    <row r="3574" spans="1:2" x14ac:dyDescent="0.25">
      <c r="A3574" s="5">
        <v>38763</v>
      </c>
      <c r="B3574">
        <v>32.265289000000003</v>
      </c>
    </row>
    <row r="3575" spans="1:2" x14ac:dyDescent="0.25">
      <c r="A3575" s="5">
        <v>38764</v>
      </c>
      <c r="B3575">
        <v>32.783276000000001</v>
      </c>
    </row>
    <row r="3576" spans="1:2" x14ac:dyDescent="0.25">
      <c r="A3576" s="5">
        <v>38765</v>
      </c>
      <c r="B3576">
        <v>32.926430000000003</v>
      </c>
    </row>
    <row r="3577" spans="1:2" x14ac:dyDescent="0.25">
      <c r="A3577" s="5">
        <v>38769</v>
      </c>
      <c r="B3577">
        <v>31.992678000000002</v>
      </c>
    </row>
    <row r="3578" spans="1:2" x14ac:dyDescent="0.25">
      <c r="A3578" s="5">
        <v>38770</v>
      </c>
      <c r="B3578">
        <v>32.627758</v>
      </c>
    </row>
    <row r="3579" spans="1:2" x14ac:dyDescent="0.25">
      <c r="A3579" s="5">
        <v>38771</v>
      </c>
      <c r="B3579">
        <v>32.047317999999997</v>
      </c>
    </row>
    <row r="3580" spans="1:2" x14ac:dyDescent="0.25">
      <c r="A3580" s="5">
        <v>38772</v>
      </c>
      <c r="B3580">
        <v>32.224854000000001</v>
      </c>
    </row>
    <row r="3581" spans="1:2" x14ac:dyDescent="0.25">
      <c r="A3581" s="5">
        <v>38775</v>
      </c>
      <c r="B3581">
        <v>33.016990999999997</v>
      </c>
    </row>
    <row r="3582" spans="1:2" x14ac:dyDescent="0.25">
      <c r="A3582" s="5">
        <v>38776</v>
      </c>
      <c r="B3582">
        <v>32.204360999999999</v>
      </c>
    </row>
    <row r="3583" spans="1:2" x14ac:dyDescent="0.25">
      <c r="A3583" s="5">
        <v>38777</v>
      </c>
      <c r="B3583">
        <v>32.798473000000001</v>
      </c>
    </row>
    <row r="3584" spans="1:2" x14ac:dyDescent="0.25">
      <c r="A3584" s="5">
        <v>38778</v>
      </c>
      <c r="B3584">
        <v>32.661903000000002</v>
      </c>
    </row>
    <row r="3585" spans="1:2" x14ac:dyDescent="0.25">
      <c r="A3585" s="5">
        <v>38779</v>
      </c>
      <c r="B3585">
        <v>32.525317999999999</v>
      </c>
    </row>
    <row r="3586" spans="1:2" x14ac:dyDescent="0.25">
      <c r="A3586" s="5">
        <v>38782</v>
      </c>
      <c r="B3586">
        <v>32.259003</v>
      </c>
    </row>
    <row r="3587" spans="1:2" x14ac:dyDescent="0.25">
      <c r="A3587" s="5">
        <v>38783</v>
      </c>
      <c r="B3587">
        <v>32.682369000000001</v>
      </c>
    </row>
    <row r="3588" spans="1:2" x14ac:dyDescent="0.25">
      <c r="A3588" s="5">
        <v>38784</v>
      </c>
      <c r="B3588">
        <v>33.822769000000001</v>
      </c>
    </row>
    <row r="3589" spans="1:2" x14ac:dyDescent="0.25">
      <c r="A3589" s="5">
        <v>38785</v>
      </c>
      <c r="B3589">
        <v>32.846271999999999</v>
      </c>
    </row>
    <row r="3590" spans="1:2" x14ac:dyDescent="0.25">
      <c r="A3590" s="5">
        <v>38786</v>
      </c>
      <c r="B3590">
        <v>32.777996000000002</v>
      </c>
    </row>
    <row r="3591" spans="1:2" x14ac:dyDescent="0.25">
      <c r="A3591" s="5">
        <v>38789</v>
      </c>
      <c r="B3591">
        <v>32.921398000000003</v>
      </c>
    </row>
    <row r="3592" spans="1:2" x14ac:dyDescent="0.25">
      <c r="A3592" s="5">
        <v>38790</v>
      </c>
      <c r="B3592">
        <v>33.631577</v>
      </c>
    </row>
    <row r="3593" spans="1:2" x14ac:dyDescent="0.25">
      <c r="A3593" s="5">
        <v>38791</v>
      </c>
      <c r="B3593">
        <v>34.013995999999999</v>
      </c>
    </row>
    <row r="3594" spans="1:2" x14ac:dyDescent="0.25">
      <c r="A3594" s="5">
        <v>38792</v>
      </c>
      <c r="B3594">
        <v>34.054957999999999</v>
      </c>
    </row>
    <row r="3595" spans="1:2" x14ac:dyDescent="0.25">
      <c r="A3595" s="5">
        <v>38793</v>
      </c>
      <c r="B3595">
        <v>34.669547999999999</v>
      </c>
    </row>
    <row r="3596" spans="1:2" x14ac:dyDescent="0.25">
      <c r="A3596" s="5">
        <v>38796</v>
      </c>
      <c r="B3596">
        <v>34.355423000000002</v>
      </c>
    </row>
    <row r="3597" spans="1:2" x14ac:dyDescent="0.25">
      <c r="A3597" s="5">
        <v>38797</v>
      </c>
      <c r="B3597">
        <v>33.863757999999997</v>
      </c>
    </row>
    <row r="3598" spans="1:2" x14ac:dyDescent="0.25">
      <c r="A3598" s="5">
        <v>38798</v>
      </c>
      <c r="B3598">
        <v>33.973022</v>
      </c>
    </row>
    <row r="3599" spans="1:2" x14ac:dyDescent="0.25">
      <c r="A3599" s="5">
        <v>38799</v>
      </c>
      <c r="B3599">
        <v>33.856929999999998</v>
      </c>
    </row>
    <row r="3600" spans="1:2" x14ac:dyDescent="0.25">
      <c r="A3600" s="5">
        <v>38800</v>
      </c>
      <c r="B3600">
        <v>33.699863000000001</v>
      </c>
    </row>
    <row r="3601" spans="1:2" x14ac:dyDescent="0.25">
      <c r="A3601" s="5">
        <v>38803</v>
      </c>
      <c r="B3601">
        <v>33.945701999999997</v>
      </c>
    </row>
    <row r="3602" spans="1:2" x14ac:dyDescent="0.25">
      <c r="A3602" s="5">
        <v>38804</v>
      </c>
      <c r="B3602">
        <v>33.706699</v>
      </c>
    </row>
    <row r="3603" spans="1:2" x14ac:dyDescent="0.25">
      <c r="A3603" s="5">
        <v>38805</v>
      </c>
      <c r="B3603">
        <v>34.635413999999997</v>
      </c>
    </row>
    <row r="3604" spans="1:2" x14ac:dyDescent="0.25">
      <c r="A3604" s="5">
        <v>38806</v>
      </c>
      <c r="B3604">
        <v>34.724178000000002</v>
      </c>
    </row>
    <row r="3605" spans="1:2" x14ac:dyDescent="0.25">
      <c r="A3605" s="5">
        <v>38807</v>
      </c>
      <c r="B3605">
        <v>34.560284000000003</v>
      </c>
    </row>
    <row r="3606" spans="1:2" x14ac:dyDescent="0.25">
      <c r="A3606" s="5">
        <v>38810</v>
      </c>
      <c r="B3606">
        <v>34.949516000000003</v>
      </c>
    </row>
    <row r="3607" spans="1:2" x14ac:dyDescent="0.25">
      <c r="A3607" s="5">
        <v>38811</v>
      </c>
      <c r="B3607">
        <v>35.379745</v>
      </c>
    </row>
    <row r="3608" spans="1:2" x14ac:dyDescent="0.25">
      <c r="A3608" s="5">
        <v>38812</v>
      </c>
      <c r="B3608">
        <v>35.284142000000003</v>
      </c>
    </row>
    <row r="3609" spans="1:2" x14ac:dyDescent="0.25">
      <c r="A3609" s="5">
        <v>38813</v>
      </c>
      <c r="B3609">
        <v>35.345592000000003</v>
      </c>
    </row>
    <row r="3610" spans="1:2" x14ac:dyDescent="0.25">
      <c r="A3610" s="5">
        <v>38814</v>
      </c>
      <c r="B3610">
        <v>35.482170000000004</v>
      </c>
    </row>
    <row r="3611" spans="1:2" x14ac:dyDescent="0.25">
      <c r="A3611" s="5">
        <v>38817</v>
      </c>
      <c r="B3611">
        <v>35.222678999999999</v>
      </c>
    </row>
    <row r="3612" spans="1:2" x14ac:dyDescent="0.25">
      <c r="A3612" s="5">
        <v>38818</v>
      </c>
      <c r="B3612">
        <v>35.092917999999997</v>
      </c>
    </row>
    <row r="3613" spans="1:2" x14ac:dyDescent="0.25">
      <c r="A3613" s="5">
        <v>38819</v>
      </c>
      <c r="B3613">
        <v>34.806122000000002</v>
      </c>
    </row>
    <row r="3614" spans="1:2" x14ac:dyDescent="0.25">
      <c r="A3614" s="5">
        <v>38820</v>
      </c>
      <c r="B3614">
        <v>35.154392000000001</v>
      </c>
    </row>
    <row r="3615" spans="1:2" x14ac:dyDescent="0.25">
      <c r="A3615" s="5">
        <v>38824</v>
      </c>
      <c r="B3615">
        <v>34.840266999999997</v>
      </c>
    </row>
    <row r="3616" spans="1:2" x14ac:dyDescent="0.25">
      <c r="A3616" s="5">
        <v>38825</v>
      </c>
      <c r="B3616">
        <v>35.529964</v>
      </c>
    </row>
    <row r="3617" spans="1:2" x14ac:dyDescent="0.25">
      <c r="A3617" s="5">
        <v>38826</v>
      </c>
      <c r="B3617">
        <v>35.850918</v>
      </c>
    </row>
    <row r="3618" spans="1:2" x14ac:dyDescent="0.25">
      <c r="A3618" s="5">
        <v>38827</v>
      </c>
      <c r="B3618">
        <v>35.400233999999998</v>
      </c>
    </row>
    <row r="3619" spans="1:2" x14ac:dyDescent="0.25">
      <c r="A3619" s="5">
        <v>38828</v>
      </c>
      <c r="B3619">
        <v>35.092917999999997</v>
      </c>
    </row>
    <row r="3620" spans="1:2" x14ac:dyDescent="0.25">
      <c r="A3620" s="5">
        <v>38831</v>
      </c>
      <c r="B3620">
        <v>35.714351999999998</v>
      </c>
    </row>
    <row r="3621" spans="1:2" x14ac:dyDescent="0.25">
      <c r="A3621" s="5">
        <v>38832</v>
      </c>
      <c r="B3621">
        <v>35.168049000000003</v>
      </c>
    </row>
    <row r="3622" spans="1:2" x14ac:dyDescent="0.25">
      <c r="A3622" s="5">
        <v>38833</v>
      </c>
      <c r="B3622">
        <v>34.881241000000003</v>
      </c>
    </row>
    <row r="3623" spans="1:2" x14ac:dyDescent="0.25">
      <c r="A3623" s="5">
        <v>38834</v>
      </c>
      <c r="B3623">
        <v>35.529964</v>
      </c>
    </row>
    <row r="3624" spans="1:2" x14ac:dyDescent="0.25">
      <c r="A3624" s="5">
        <v>38835</v>
      </c>
      <c r="B3624">
        <v>35.058791999999997</v>
      </c>
    </row>
    <row r="3625" spans="1:2" x14ac:dyDescent="0.25">
      <c r="A3625" s="5">
        <v>38838</v>
      </c>
      <c r="B3625">
        <v>34.587612</v>
      </c>
    </row>
    <row r="3626" spans="1:2" x14ac:dyDescent="0.25">
      <c r="A3626" s="5">
        <v>38839</v>
      </c>
      <c r="B3626">
        <v>34.867579999999997</v>
      </c>
    </row>
    <row r="3627" spans="1:2" x14ac:dyDescent="0.25">
      <c r="A3627" s="5">
        <v>38840</v>
      </c>
      <c r="B3627">
        <v>35.338757000000001</v>
      </c>
    </row>
    <row r="3628" spans="1:2" x14ac:dyDescent="0.25">
      <c r="A3628" s="5">
        <v>38841</v>
      </c>
      <c r="B3628">
        <v>35.741675999999998</v>
      </c>
    </row>
    <row r="3629" spans="1:2" x14ac:dyDescent="0.25">
      <c r="A3629" s="5">
        <v>38842</v>
      </c>
      <c r="B3629">
        <v>35.891902999999999</v>
      </c>
    </row>
    <row r="3630" spans="1:2" x14ac:dyDescent="0.25">
      <c r="A3630" s="5">
        <v>38845</v>
      </c>
      <c r="B3630">
        <v>35.960182000000003</v>
      </c>
    </row>
    <row r="3631" spans="1:2" x14ac:dyDescent="0.25">
      <c r="A3631" s="5">
        <v>38846</v>
      </c>
      <c r="B3631">
        <v>36.014809</v>
      </c>
    </row>
    <row r="3632" spans="1:2" x14ac:dyDescent="0.25">
      <c r="A3632" s="5">
        <v>38847</v>
      </c>
      <c r="B3632">
        <v>35.277309000000002</v>
      </c>
    </row>
    <row r="3633" spans="1:2" x14ac:dyDescent="0.25">
      <c r="A3633" s="5">
        <v>38848</v>
      </c>
      <c r="B3633">
        <v>33.734000999999999</v>
      </c>
    </row>
    <row r="3634" spans="1:2" x14ac:dyDescent="0.25">
      <c r="A3634" s="5">
        <v>38849</v>
      </c>
      <c r="B3634">
        <v>33.454037</v>
      </c>
    </row>
    <row r="3635" spans="1:2" x14ac:dyDescent="0.25">
      <c r="A3635" s="5">
        <v>38852</v>
      </c>
      <c r="B3635">
        <v>33.208202</v>
      </c>
    </row>
    <row r="3636" spans="1:2" x14ac:dyDescent="0.25">
      <c r="A3636" s="5">
        <v>38853</v>
      </c>
      <c r="B3636">
        <v>32.907725999999997</v>
      </c>
    </row>
    <row r="3637" spans="1:2" x14ac:dyDescent="0.25">
      <c r="A3637" s="5">
        <v>38854</v>
      </c>
      <c r="B3637">
        <v>32.026825000000002</v>
      </c>
    </row>
    <row r="3638" spans="1:2" x14ac:dyDescent="0.25">
      <c r="A3638" s="5">
        <v>38855</v>
      </c>
      <c r="B3638">
        <v>31.651228</v>
      </c>
    </row>
    <row r="3639" spans="1:2" x14ac:dyDescent="0.25">
      <c r="A3639" s="5">
        <v>38856</v>
      </c>
      <c r="B3639">
        <v>32.142901999999999</v>
      </c>
    </row>
    <row r="3640" spans="1:2" x14ac:dyDescent="0.25">
      <c r="A3640" s="5">
        <v>38859</v>
      </c>
      <c r="B3640">
        <v>31.842455000000001</v>
      </c>
    </row>
    <row r="3641" spans="1:2" x14ac:dyDescent="0.25">
      <c r="A3641" s="5">
        <v>38860</v>
      </c>
      <c r="B3641">
        <v>30.988852000000001</v>
      </c>
    </row>
    <row r="3642" spans="1:2" x14ac:dyDescent="0.25">
      <c r="A3642" s="5">
        <v>38861</v>
      </c>
      <c r="B3642">
        <v>31.214787000000001</v>
      </c>
    </row>
    <row r="3643" spans="1:2" x14ac:dyDescent="0.25">
      <c r="A3643" s="5">
        <v>38862</v>
      </c>
      <c r="B3643">
        <v>31.536612999999999</v>
      </c>
    </row>
    <row r="3644" spans="1:2" x14ac:dyDescent="0.25">
      <c r="A3644" s="5">
        <v>38863</v>
      </c>
      <c r="B3644">
        <v>31.51605</v>
      </c>
    </row>
    <row r="3645" spans="1:2" x14ac:dyDescent="0.25">
      <c r="A3645" s="5">
        <v>38867</v>
      </c>
      <c r="B3645">
        <v>30.619126999999999</v>
      </c>
    </row>
    <row r="3646" spans="1:2" x14ac:dyDescent="0.25">
      <c r="A3646" s="5">
        <v>38868</v>
      </c>
      <c r="B3646">
        <v>30.954615</v>
      </c>
    </row>
    <row r="3647" spans="1:2" x14ac:dyDescent="0.25">
      <c r="A3647" s="5">
        <v>38869</v>
      </c>
      <c r="B3647">
        <v>32.214427999999998</v>
      </c>
    </row>
    <row r="3648" spans="1:2" x14ac:dyDescent="0.25">
      <c r="A3648" s="5">
        <v>38870</v>
      </c>
      <c r="B3648">
        <v>32.180205999999998</v>
      </c>
    </row>
    <row r="3649" spans="1:2" x14ac:dyDescent="0.25">
      <c r="A3649" s="5">
        <v>38873</v>
      </c>
      <c r="B3649">
        <v>31.276423000000001</v>
      </c>
    </row>
    <row r="3650" spans="1:2" x14ac:dyDescent="0.25">
      <c r="A3650" s="5">
        <v>38874</v>
      </c>
      <c r="B3650">
        <v>31.611916999999998</v>
      </c>
    </row>
    <row r="3651" spans="1:2" x14ac:dyDescent="0.25">
      <c r="A3651" s="5">
        <v>38875</v>
      </c>
      <c r="B3651">
        <v>31.139489999999999</v>
      </c>
    </row>
    <row r="3652" spans="1:2" x14ac:dyDescent="0.25">
      <c r="A3652" s="5">
        <v>38876</v>
      </c>
      <c r="B3652">
        <v>30.434248</v>
      </c>
    </row>
    <row r="3653" spans="1:2" x14ac:dyDescent="0.25">
      <c r="A3653" s="5">
        <v>38877</v>
      </c>
      <c r="B3653">
        <v>29.742718</v>
      </c>
    </row>
    <row r="3654" spans="1:2" x14ac:dyDescent="0.25">
      <c r="A3654" s="5">
        <v>38880</v>
      </c>
      <c r="B3654">
        <v>28.202179000000001</v>
      </c>
    </row>
    <row r="3655" spans="1:2" x14ac:dyDescent="0.25">
      <c r="A3655" s="5">
        <v>38881</v>
      </c>
      <c r="B3655">
        <v>28.647224000000001</v>
      </c>
    </row>
    <row r="3656" spans="1:2" x14ac:dyDescent="0.25">
      <c r="A3656" s="5">
        <v>38882</v>
      </c>
      <c r="B3656">
        <v>29.612628999999998</v>
      </c>
    </row>
    <row r="3657" spans="1:2" x14ac:dyDescent="0.25">
      <c r="A3657" s="5">
        <v>38883</v>
      </c>
      <c r="B3657">
        <v>30.735519</v>
      </c>
    </row>
    <row r="3658" spans="1:2" x14ac:dyDescent="0.25">
      <c r="A3658" s="5">
        <v>38884</v>
      </c>
      <c r="B3658">
        <v>30.091919000000001</v>
      </c>
    </row>
    <row r="3659" spans="1:2" x14ac:dyDescent="0.25">
      <c r="A3659" s="5">
        <v>38887</v>
      </c>
      <c r="B3659">
        <v>29.708506</v>
      </c>
    </row>
    <row r="3660" spans="1:2" x14ac:dyDescent="0.25">
      <c r="A3660" s="5">
        <v>38888</v>
      </c>
      <c r="B3660">
        <v>30.064529</v>
      </c>
    </row>
    <row r="3661" spans="1:2" x14ac:dyDescent="0.25">
      <c r="A3661" s="5">
        <v>38889</v>
      </c>
      <c r="B3661">
        <v>30.263088</v>
      </c>
    </row>
    <row r="3662" spans="1:2" x14ac:dyDescent="0.25">
      <c r="A3662" s="5">
        <v>38890</v>
      </c>
      <c r="B3662">
        <v>28.332280999999998</v>
      </c>
    </row>
    <row r="3663" spans="1:2" x14ac:dyDescent="0.25">
      <c r="A3663" s="5">
        <v>38891</v>
      </c>
      <c r="B3663">
        <v>27.045067</v>
      </c>
    </row>
    <row r="3664" spans="1:2" x14ac:dyDescent="0.25">
      <c r="A3664" s="5">
        <v>38894</v>
      </c>
      <c r="B3664">
        <v>27.449031999999999</v>
      </c>
    </row>
    <row r="3665" spans="1:2" x14ac:dyDescent="0.25">
      <c r="A3665" s="5">
        <v>38895</v>
      </c>
      <c r="B3665">
        <v>26.490479000000001</v>
      </c>
    </row>
    <row r="3666" spans="1:2" x14ac:dyDescent="0.25">
      <c r="A3666" s="5">
        <v>38896</v>
      </c>
      <c r="B3666">
        <v>27.024529000000001</v>
      </c>
    </row>
    <row r="3667" spans="1:2" x14ac:dyDescent="0.25">
      <c r="A3667" s="5">
        <v>38897</v>
      </c>
      <c r="B3667">
        <v>27.757138999999999</v>
      </c>
    </row>
    <row r="3668" spans="1:2" x14ac:dyDescent="0.25">
      <c r="A3668" s="5">
        <v>38898</v>
      </c>
      <c r="B3668">
        <v>27.435338999999999</v>
      </c>
    </row>
    <row r="3669" spans="1:2" x14ac:dyDescent="0.25">
      <c r="A3669" s="5">
        <v>38901</v>
      </c>
      <c r="B3669">
        <v>27.017679000000001</v>
      </c>
    </row>
    <row r="3670" spans="1:2" x14ac:dyDescent="0.25">
      <c r="A3670" s="5">
        <v>38903</v>
      </c>
      <c r="B3670">
        <v>26.134436000000001</v>
      </c>
    </row>
    <row r="3671" spans="1:2" x14ac:dyDescent="0.25">
      <c r="A3671" s="5">
        <v>38904</v>
      </c>
      <c r="B3671">
        <v>26.339846000000001</v>
      </c>
    </row>
    <row r="3672" spans="1:2" x14ac:dyDescent="0.25">
      <c r="A3672" s="5">
        <v>38905</v>
      </c>
      <c r="B3672">
        <v>26.018035999999999</v>
      </c>
    </row>
    <row r="3673" spans="1:2" x14ac:dyDescent="0.25">
      <c r="A3673" s="5">
        <v>38908</v>
      </c>
      <c r="B3673">
        <v>25.881105000000002</v>
      </c>
    </row>
    <row r="3674" spans="1:2" x14ac:dyDescent="0.25">
      <c r="A3674" s="5">
        <v>38909</v>
      </c>
      <c r="B3674">
        <v>26.613721999999999</v>
      </c>
    </row>
    <row r="3675" spans="1:2" x14ac:dyDescent="0.25">
      <c r="A3675" s="5">
        <v>38910</v>
      </c>
      <c r="B3675">
        <v>25.709935999999999</v>
      </c>
    </row>
    <row r="3676" spans="1:2" x14ac:dyDescent="0.25">
      <c r="A3676" s="5">
        <v>38911</v>
      </c>
      <c r="B3676">
        <v>25.032095000000002</v>
      </c>
    </row>
    <row r="3677" spans="1:2" x14ac:dyDescent="0.25">
      <c r="A3677" s="5">
        <v>38912</v>
      </c>
      <c r="B3677">
        <v>24.902000000000001</v>
      </c>
    </row>
    <row r="3678" spans="1:2" x14ac:dyDescent="0.25">
      <c r="A3678" s="5">
        <v>38915</v>
      </c>
      <c r="B3678">
        <v>25.032095000000002</v>
      </c>
    </row>
    <row r="3679" spans="1:2" x14ac:dyDescent="0.25">
      <c r="A3679" s="5">
        <v>38916</v>
      </c>
      <c r="B3679">
        <v>25.607233000000001</v>
      </c>
    </row>
    <row r="3680" spans="1:2" x14ac:dyDescent="0.25">
      <c r="A3680" s="5">
        <v>38917</v>
      </c>
      <c r="B3680">
        <v>25.148478000000001</v>
      </c>
    </row>
    <row r="3681" spans="1:2" x14ac:dyDescent="0.25">
      <c r="A3681" s="5">
        <v>38918</v>
      </c>
      <c r="B3681">
        <v>24.545967000000001</v>
      </c>
    </row>
    <row r="3682" spans="1:2" x14ac:dyDescent="0.25">
      <c r="A3682" s="5">
        <v>38919</v>
      </c>
      <c r="B3682">
        <v>23.580563999999999</v>
      </c>
    </row>
    <row r="3683" spans="1:2" x14ac:dyDescent="0.25">
      <c r="A3683" s="5">
        <v>38922</v>
      </c>
      <c r="B3683">
        <v>24.224169</v>
      </c>
    </row>
    <row r="3684" spans="1:2" x14ac:dyDescent="0.25">
      <c r="A3684" s="5">
        <v>38923</v>
      </c>
      <c r="B3684">
        <v>23.471008000000001</v>
      </c>
    </row>
    <row r="3685" spans="1:2" x14ac:dyDescent="0.25">
      <c r="A3685" s="5">
        <v>38924</v>
      </c>
      <c r="B3685">
        <v>23.950296000000002</v>
      </c>
    </row>
    <row r="3686" spans="1:2" x14ac:dyDescent="0.25">
      <c r="A3686" s="5">
        <v>38925</v>
      </c>
      <c r="B3686">
        <v>23.635335999999999</v>
      </c>
    </row>
    <row r="3687" spans="1:2" x14ac:dyDescent="0.25">
      <c r="A3687" s="5">
        <v>38926</v>
      </c>
      <c r="B3687">
        <v>24.504878999999999</v>
      </c>
    </row>
    <row r="3688" spans="1:2" x14ac:dyDescent="0.25">
      <c r="A3688" s="5">
        <v>38929</v>
      </c>
      <c r="B3688">
        <v>24.141995999999999</v>
      </c>
    </row>
    <row r="3689" spans="1:2" x14ac:dyDescent="0.25">
      <c r="A3689" s="5">
        <v>38930</v>
      </c>
      <c r="B3689">
        <v>23.607948</v>
      </c>
    </row>
    <row r="3690" spans="1:2" x14ac:dyDescent="0.25">
      <c r="A3690" s="5">
        <v>38931</v>
      </c>
      <c r="B3690">
        <v>23.532634999999999</v>
      </c>
    </row>
    <row r="3691" spans="1:2" x14ac:dyDescent="0.25">
      <c r="A3691" s="5">
        <v>38932</v>
      </c>
      <c r="B3691">
        <v>23.868126</v>
      </c>
    </row>
    <row r="3692" spans="1:2" x14ac:dyDescent="0.25">
      <c r="A3692" s="5">
        <v>38933</v>
      </c>
      <c r="B3692">
        <v>24.176237</v>
      </c>
    </row>
    <row r="3693" spans="1:2" x14ac:dyDescent="0.25">
      <c r="A3693" s="5">
        <v>38936</v>
      </c>
      <c r="B3693">
        <v>23.690104999999999</v>
      </c>
    </row>
    <row r="3694" spans="1:2" x14ac:dyDescent="0.25">
      <c r="A3694" s="5">
        <v>38937</v>
      </c>
      <c r="B3694">
        <v>23.183439</v>
      </c>
    </row>
    <row r="3695" spans="1:2" x14ac:dyDescent="0.25">
      <c r="A3695" s="5">
        <v>38938</v>
      </c>
      <c r="B3695">
        <v>22.957492999999999</v>
      </c>
    </row>
    <row r="3696" spans="1:2" x14ac:dyDescent="0.25">
      <c r="A3696" s="5">
        <v>38939</v>
      </c>
      <c r="B3696">
        <v>23.210823000000001</v>
      </c>
    </row>
    <row r="3697" spans="1:2" x14ac:dyDescent="0.25">
      <c r="A3697" s="5">
        <v>38940</v>
      </c>
      <c r="B3697">
        <v>22.806865999999999</v>
      </c>
    </row>
    <row r="3698" spans="1:2" x14ac:dyDescent="0.25">
      <c r="A3698" s="5">
        <v>38943</v>
      </c>
      <c r="B3698">
        <v>22.998577000000001</v>
      </c>
    </row>
    <row r="3699" spans="1:2" x14ac:dyDescent="0.25">
      <c r="A3699" s="5">
        <v>38944</v>
      </c>
      <c r="B3699">
        <v>24.272085000000001</v>
      </c>
    </row>
    <row r="3700" spans="1:2" x14ac:dyDescent="0.25">
      <c r="A3700" s="5">
        <v>38945</v>
      </c>
      <c r="B3700">
        <v>25.901646</v>
      </c>
    </row>
    <row r="3701" spans="1:2" x14ac:dyDescent="0.25">
      <c r="A3701" s="5">
        <v>38946</v>
      </c>
      <c r="B3701">
        <v>25.470285000000001</v>
      </c>
    </row>
    <row r="3702" spans="1:2" x14ac:dyDescent="0.25">
      <c r="A3702" s="5">
        <v>38947</v>
      </c>
      <c r="B3702">
        <v>25.552451999999999</v>
      </c>
    </row>
    <row r="3703" spans="1:2" x14ac:dyDescent="0.25">
      <c r="A3703" s="5">
        <v>38950</v>
      </c>
      <c r="B3703">
        <v>25.401823</v>
      </c>
    </row>
    <row r="3704" spans="1:2" x14ac:dyDescent="0.25">
      <c r="A3704" s="5">
        <v>38951</v>
      </c>
      <c r="B3704">
        <v>25.682538999999998</v>
      </c>
    </row>
    <row r="3705" spans="1:2" x14ac:dyDescent="0.25">
      <c r="A3705" s="5">
        <v>38952</v>
      </c>
      <c r="B3705">
        <v>25.174253</v>
      </c>
    </row>
    <row r="3706" spans="1:2" x14ac:dyDescent="0.25">
      <c r="A3706" s="5">
        <v>38953</v>
      </c>
      <c r="B3706">
        <v>25.600121000000001</v>
      </c>
    </row>
    <row r="3707" spans="1:2" x14ac:dyDescent="0.25">
      <c r="A3707" s="5">
        <v>38954</v>
      </c>
      <c r="B3707">
        <v>25.675684</v>
      </c>
    </row>
    <row r="3708" spans="1:2" x14ac:dyDescent="0.25">
      <c r="A3708" s="5">
        <v>38957</v>
      </c>
      <c r="B3708">
        <v>25.538295999999999</v>
      </c>
    </row>
    <row r="3709" spans="1:2" x14ac:dyDescent="0.25">
      <c r="A3709" s="5">
        <v>38958</v>
      </c>
      <c r="B3709">
        <v>25.819915999999999</v>
      </c>
    </row>
    <row r="3710" spans="1:2" x14ac:dyDescent="0.25">
      <c r="A3710" s="5">
        <v>38959</v>
      </c>
      <c r="B3710">
        <v>26.039726000000002</v>
      </c>
    </row>
    <row r="3711" spans="1:2" x14ac:dyDescent="0.25">
      <c r="A3711" s="5">
        <v>38960</v>
      </c>
      <c r="B3711">
        <v>25.874863000000001</v>
      </c>
    </row>
    <row r="3712" spans="1:2" x14ac:dyDescent="0.25">
      <c r="A3712" s="5">
        <v>38961</v>
      </c>
      <c r="B3712">
        <v>26.341949</v>
      </c>
    </row>
    <row r="3713" spans="1:2" x14ac:dyDescent="0.25">
      <c r="A3713" s="5">
        <v>38965</v>
      </c>
      <c r="B3713">
        <v>26.918921999999998</v>
      </c>
    </row>
    <row r="3714" spans="1:2" x14ac:dyDescent="0.25">
      <c r="A3714" s="5">
        <v>38966</v>
      </c>
      <c r="B3714">
        <v>26.129009</v>
      </c>
    </row>
    <row r="3715" spans="1:2" x14ac:dyDescent="0.25">
      <c r="A3715" s="5">
        <v>38967</v>
      </c>
      <c r="B3715">
        <v>25.394053</v>
      </c>
    </row>
    <row r="3716" spans="1:2" x14ac:dyDescent="0.25">
      <c r="A3716" s="5">
        <v>38968</v>
      </c>
      <c r="B3716">
        <v>25.098686000000001</v>
      </c>
    </row>
    <row r="3717" spans="1:2" x14ac:dyDescent="0.25">
      <c r="A3717" s="5">
        <v>38971</v>
      </c>
      <c r="B3717">
        <v>25.284153</v>
      </c>
    </row>
    <row r="3718" spans="1:2" x14ac:dyDescent="0.25">
      <c r="A3718" s="5">
        <v>38972</v>
      </c>
      <c r="B3718">
        <v>25.861136999999999</v>
      </c>
    </row>
    <row r="3719" spans="1:2" x14ac:dyDescent="0.25">
      <c r="A3719" s="5">
        <v>38973</v>
      </c>
      <c r="B3719">
        <v>25.620726000000001</v>
      </c>
    </row>
    <row r="3720" spans="1:2" x14ac:dyDescent="0.25">
      <c r="A3720" s="5">
        <v>38974</v>
      </c>
      <c r="B3720">
        <v>25.552030999999999</v>
      </c>
    </row>
    <row r="3721" spans="1:2" x14ac:dyDescent="0.25">
      <c r="A3721" s="5">
        <v>38975</v>
      </c>
      <c r="B3721">
        <v>25.284153</v>
      </c>
    </row>
    <row r="3722" spans="1:2" x14ac:dyDescent="0.25">
      <c r="A3722" s="5">
        <v>38978</v>
      </c>
      <c r="B3722">
        <v>25.139906</v>
      </c>
    </row>
    <row r="3723" spans="1:2" x14ac:dyDescent="0.25">
      <c r="A3723" s="5">
        <v>38979</v>
      </c>
      <c r="B3723">
        <v>25.483345</v>
      </c>
    </row>
    <row r="3724" spans="1:2" x14ac:dyDescent="0.25">
      <c r="A3724" s="5">
        <v>38980</v>
      </c>
      <c r="B3724">
        <v>26.177091999999998</v>
      </c>
    </row>
    <row r="3725" spans="1:2" x14ac:dyDescent="0.25">
      <c r="A3725" s="5">
        <v>38981</v>
      </c>
      <c r="B3725">
        <v>26.431244</v>
      </c>
    </row>
    <row r="3726" spans="1:2" x14ac:dyDescent="0.25">
      <c r="A3726" s="5">
        <v>38982</v>
      </c>
      <c r="B3726">
        <v>26.005375000000001</v>
      </c>
    </row>
    <row r="3727" spans="1:2" x14ac:dyDescent="0.25">
      <c r="A3727" s="5">
        <v>38985</v>
      </c>
      <c r="B3727">
        <v>26.561744999999998</v>
      </c>
    </row>
    <row r="3728" spans="1:2" x14ac:dyDescent="0.25">
      <c r="A3728" s="5">
        <v>38986</v>
      </c>
      <c r="B3728">
        <v>26.396902000000001</v>
      </c>
    </row>
    <row r="3729" spans="1:2" x14ac:dyDescent="0.25">
      <c r="A3729" s="5">
        <v>38987</v>
      </c>
      <c r="B3729">
        <v>26.190844999999999</v>
      </c>
    </row>
    <row r="3730" spans="1:2" x14ac:dyDescent="0.25">
      <c r="A3730" s="5">
        <v>38988</v>
      </c>
      <c r="B3730">
        <v>25.428395999999999</v>
      </c>
    </row>
    <row r="3731" spans="1:2" x14ac:dyDescent="0.25">
      <c r="A3731" s="5">
        <v>38989</v>
      </c>
      <c r="B3731">
        <v>24.968170000000001</v>
      </c>
    </row>
    <row r="3732" spans="1:2" x14ac:dyDescent="0.25">
      <c r="A3732" s="5">
        <v>38992</v>
      </c>
      <c r="B3732">
        <v>23.807352000000002</v>
      </c>
    </row>
    <row r="3733" spans="1:2" x14ac:dyDescent="0.25">
      <c r="A3733" s="5">
        <v>38993</v>
      </c>
      <c r="B3733">
        <v>24.315646999999998</v>
      </c>
    </row>
    <row r="3734" spans="1:2" x14ac:dyDescent="0.25">
      <c r="A3734" s="5">
        <v>38994</v>
      </c>
      <c r="B3734">
        <v>24.604140999999998</v>
      </c>
    </row>
    <row r="3735" spans="1:2" x14ac:dyDescent="0.25">
      <c r="A3735" s="5">
        <v>38995</v>
      </c>
      <c r="B3735">
        <v>24.906361</v>
      </c>
    </row>
    <row r="3736" spans="1:2" x14ac:dyDescent="0.25">
      <c r="A3736" s="5">
        <v>38996</v>
      </c>
      <c r="B3736">
        <v>24.981919999999999</v>
      </c>
    </row>
    <row r="3737" spans="1:2" x14ac:dyDescent="0.25">
      <c r="A3737" s="5">
        <v>38999</v>
      </c>
      <c r="B3737">
        <v>24.892641000000001</v>
      </c>
    </row>
    <row r="3738" spans="1:2" x14ac:dyDescent="0.25">
      <c r="A3738" s="5">
        <v>39000</v>
      </c>
      <c r="B3738">
        <v>25.462736</v>
      </c>
    </row>
    <row r="3739" spans="1:2" x14ac:dyDescent="0.25">
      <c r="A3739" s="5">
        <v>39001</v>
      </c>
      <c r="B3739">
        <v>25.936703000000001</v>
      </c>
    </row>
    <row r="3740" spans="1:2" x14ac:dyDescent="0.25">
      <c r="A3740" s="5">
        <v>39002</v>
      </c>
      <c r="B3740">
        <v>26.747211</v>
      </c>
    </row>
    <row r="3741" spans="1:2" x14ac:dyDescent="0.25">
      <c r="A3741" s="5">
        <v>39003</v>
      </c>
      <c r="B3741">
        <v>27.365411999999999</v>
      </c>
    </row>
    <row r="3742" spans="1:2" x14ac:dyDescent="0.25">
      <c r="A3742" s="5">
        <v>39006</v>
      </c>
      <c r="B3742">
        <v>27.351671</v>
      </c>
    </row>
    <row r="3743" spans="1:2" x14ac:dyDescent="0.25">
      <c r="A3743" s="5">
        <v>39007</v>
      </c>
      <c r="B3743">
        <v>26.747211</v>
      </c>
    </row>
    <row r="3744" spans="1:2" x14ac:dyDescent="0.25">
      <c r="A3744" s="5">
        <v>39008</v>
      </c>
      <c r="B3744">
        <v>26.183958000000001</v>
      </c>
    </row>
    <row r="3745" spans="1:2" x14ac:dyDescent="0.25">
      <c r="A3745" s="5">
        <v>39009</v>
      </c>
      <c r="B3745">
        <v>26.225185</v>
      </c>
    </row>
    <row r="3746" spans="1:2" x14ac:dyDescent="0.25">
      <c r="A3746" s="5">
        <v>39010</v>
      </c>
      <c r="B3746">
        <v>26.046595</v>
      </c>
    </row>
    <row r="3747" spans="1:2" x14ac:dyDescent="0.25">
      <c r="A3747" s="5">
        <v>39013</v>
      </c>
      <c r="B3747">
        <v>26.156493999999999</v>
      </c>
    </row>
    <row r="3748" spans="1:2" x14ac:dyDescent="0.25">
      <c r="A3748" s="5">
        <v>39014</v>
      </c>
      <c r="B3748">
        <v>25.215454000000001</v>
      </c>
    </row>
    <row r="3749" spans="1:2" x14ac:dyDescent="0.25">
      <c r="A3749" s="5">
        <v>39015</v>
      </c>
      <c r="B3749">
        <v>25.764959000000001</v>
      </c>
    </row>
    <row r="3750" spans="1:2" x14ac:dyDescent="0.25">
      <c r="A3750" s="5">
        <v>39016</v>
      </c>
      <c r="B3750">
        <v>26.094671000000002</v>
      </c>
    </row>
    <row r="3751" spans="1:2" x14ac:dyDescent="0.25">
      <c r="A3751" s="5">
        <v>39017</v>
      </c>
      <c r="B3751">
        <v>25.510824</v>
      </c>
    </row>
    <row r="3752" spans="1:2" x14ac:dyDescent="0.25">
      <c r="A3752" s="5">
        <v>39020</v>
      </c>
      <c r="B3752">
        <v>25.236063000000001</v>
      </c>
    </row>
    <row r="3753" spans="1:2" x14ac:dyDescent="0.25">
      <c r="A3753" s="5">
        <v>39021</v>
      </c>
      <c r="B3753">
        <v>24.995660999999998</v>
      </c>
    </row>
    <row r="3754" spans="1:2" x14ac:dyDescent="0.25">
      <c r="A3754" s="5">
        <v>39022</v>
      </c>
      <c r="B3754">
        <v>24.542318000000002</v>
      </c>
    </row>
    <row r="3755" spans="1:2" x14ac:dyDescent="0.25">
      <c r="A3755" s="5">
        <v>39023</v>
      </c>
      <c r="B3755">
        <v>24.975045999999999</v>
      </c>
    </row>
    <row r="3756" spans="1:2" x14ac:dyDescent="0.25">
      <c r="A3756" s="5">
        <v>39024</v>
      </c>
      <c r="B3756">
        <v>25.050605999999998</v>
      </c>
    </row>
    <row r="3757" spans="1:2" x14ac:dyDescent="0.25">
      <c r="A3757" s="5">
        <v>39027</v>
      </c>
      <c r="B3757">
        <v>24.823937999999998</v>
      </c>
    </row>
    <row r="3758" spans="1:2" x14ac:dyDescent="0.25">
      <c r="A3758" s="5">
        <v>39028</v>
      </c>
      <c r="B3758">
        <v>24.995660999999998</v>
      </c>
    </row>
    <row r="3759" spans="1:2" x14ac:dyDescent="0.25">
      <c r="A3759" s="5">
        <v>39029</v>
      </c>
      <c r="B3759">
        <v>24.920099</v>
      </c>
    </row>
    <row r="3760" spans="1:2" x14ac:dyDescent="0.25">
      <c r="A3760" s="5">
        <v>39030</v>
      </c>
      <c r="B3760">
        <v>23.924123999999999</v>
      </c>
    </row>
    <row r="3761" spans="1:2" x14ac:dyDescent="0.25">
      <c r="A3761" s="5">
        <v>39031</v>
      </c>
      <c r="B3761">
        <v>24.205749999999998</v>
      </c>
    </row>
    <row r="3762" spans="1:2" x14ac:dyDescent="0.25">
      <c r="A3762" s="5">
        <v>39034</v>
      </c>
      <c r="B3762">
        <v>24.865147</v>
      </c>
    </row>
    <row r="3763" spans="1:2" x14ac:dyDescent="0.25">
      <c r="A3763" s="5">
        <v>39035</v>
      </c>
      <c r="B3763">
        <v>25.799305</v>
      </c>
    </row>
    <row r="3764" spans="1:2" x14ac:dyDescent="0.25">
      <c r="A3764" s="5">
        <v>39036</v>
      </c>
      <c r="B3764">
        <v>25.895477</v>
      </c>
    </row>
    <row r="3765" spans="1:2" x14ac:dyDescent="0.25">
      <c r="A3765" s="5">
        <v>39037</v>
      </c>
      <c r="B3765">
        <v>25.964172000000001</v>
      </c>
    </row>
    <row r="3766" spans="1:2" x14ac:dyDescent="0.25">
      <c r="A3766" s="5">
        <v>39038</v>
      </c>
      <c r="B3766">
        <v>25.847397000000001</v>
      </c>
    </row>
    <row r="3767" spans="1:2" x14ac:dyDescent="0.25">
      <c r="A3767" s="5">
        <v>39041</v>
      </c>
      <c r="B3767">
        <v>25.517685</v>
      </c>
    </row>
    <row r="3768" spans="1:2" x14ac:dyDescent="0.25">
      <c r="A3768" s="5">
        <v>39042</v>
      </c>
      <c r="B3768">
        <v>25.833658</v>
      </c>
    </row>
    <row r="3769" spans="1:2" x14ac:dyDescent="0.25">
      <c r="A3769" s="5">
        <v>39043</v>
      </c>
      <c r="B3769">
        <v>25.655069000000001</v>
      </c>
    </row>
    <row r="3770" spans="1:2" x14ac:dyDescent="0.25">
      <c r="A3770" s="5">
        <v>39045</v>
      </c>
      <c r="B3770">
        <v>25.813044000000001</v>
      </c>
    </row>
    <row r="3771" spans="1:2" x14ac:dyDescent="0.25">
      <c r="A3771" s="5">
        <v>39048</v>
      </c>
      <c r="B3771">
        <v>25.036878999999999</v>
      </c>
    </row>
    <row r="3772" spans="1:2" x14ac:dyDescent="0.25">
      <c r="A3772" s="5">
        <v>39049</v>
      </c>
      <c r="B3772">
        <v>24.624744</v>
      </c>
    </row>
    <row r="3773" spans="1:2" x14ac:dyDescent="0.25">
      <c r="A3773" s="5">
        <v>39050</v>
      </c>
      <c r="B3773">
        <v>25.174253</v>
      </c>
    </row>
    <row r="3774" spans="1:2" x14ac:dyDescent="0.25">
      <c r="A3774" s="5">
        <v>39051</v>
      </c>
      <c r="B3774">
        <v>25.133039</v>
      </c>
    </row>
    <row r="3775" spans="1:2" x14ac:dyDescent="0.25">
      <c r="A3775" s="5">
        <v>39052</v>
      </c>
      <c r="B3775">
        <v>24.968170000000001</v>
      </c>
    </row>
    <row r="3776" spans="1:2" x14ac:dyDescent="0.25">
      <c r="A3776" s="5">
        <v>39055</v>
      </c>
      <c r="B3776">
        <v>25.758099000000001</v>
      </c>
    </row>
    <row r="3777" spans="1:2" x14ac:dyDescent="0.25">
      <c r="A3777" s="5">
        <v>39056</v>
      </c>
      <c r="B3777">
        <v>26.695263000000001</v>
      </c>
    </row>
    <row r="3778" spans="1:2" x14ac:dyDescent="0.25">
      <c r="A3778" s="5">
        <v>39057</v>
      </c>
      <c r="B3778">
        <v>26.998449000000001</v>
      </c>
    </row>
    <row r="3779" spans="1:2" x14ac:dyDescent="0.25">
      <c r="A3779" s="5">
        <v>39058</v>
      </c>
      <c r="B3779">
        <v>26.9709</v>
      </c>
    </row>
    <row r="3780" spans="1:2" x14ac:dyDescent="0.25">
      <c r="A3780" s="5">
        <v>39059</v>
      </c>
      <c r="B3780">
        <v>27.246524999999998</v>
      </c>
    </row>
    <row r="3781" spans="1:2" x14ac:dyDescent="0.25">
      <c r="A3781" s="5">
        <v>39062</v>
      </c>
      <c r="B3781">
        <v>26.826187000000001</v>
      </c>
    </row>
    <row r="3782" spans="1:2" x14ac:dyDescent="0.25">
      <c r="A3782" s="5">
        <v>39063</v>
      </c>
      <c r="B3782">
        <v>26.784849000000001</v>
      </c>
    </row>
    <row r="3783" spans="1:2" x14ac:dyDescent="0.25">
      <c r="A3783" s="5">
        <v>39064</v>
      </c>
      <c r="B3783">
        <v>26.481643999999999</v>
      </c>
    </row>
    <row r="3784" spans="1:2" x14ac:dyDescent="0.25">
      <c r="A3784" s="5">
        <v>39065</v>
      </c>
      <c r="B3784">
        <v>27.156949999999998</v>
      </c>
    </row>
    <row r="3785" spans="1:2" x14ac:dyDescent="0.25">
      <c r="A3785" s="5">
        <v>39066</v>
      </c>
      <c r="B3785">
        <v>27.218972999999998</v>
      </c>
    </row>
    <row r="3786" spans="1:2" x14ac:dyDescent="0.25">
      <c r="A3786" s="5">
        <v>39069</v>
      </c>
      <c r="B3786">
        <v>26.922661000000002</v>
      </c>
    </row>
    <row r="3787" spans="1:2" x14ac:dyDescent="0.25">
      <c r="A3787" s="5">
        <v>39070</v>
      </c>
      <c r="B3787">
        <v>26.522988999999999</v>
      </c>
    </row>
    <row r="3788" spans="1:2" x14ac:dyDescent="0.25">
      <c r="A3788" s="5">
        <v>39071</v>
      </c>
      <c r="B3788">
        <v>26.398947</v>
      </c>
    </row>
    <row r="3789" spans="1:2" x14ac:dyDescent="0.25">
      <c r="A3789" s="5">
        <v>39072</v>
      </c>
      <c r="B3789">
        <v>26.557445999999999</v>
      </c>
    </row>
    <row r="3790" spans="1:2" x14ac:dyDescent="0.25">
      <c r="A3790" s="5">
        <v>39073</v>
      </c>
      <c r="B3790">
        <v>26.054407000000001</v>
      </c>
    </row>
    <row r="3791" spans="1:2" x14ac:dyDescent="0.25">
      <c r="A3791" s="5">
        <v>39077</v>
      </c>
      <c r="B3791">
        <v>25.923483000000001</v>
      </c>
    </row>
    <row r="3792" spans="1:2" x14ac:dyDescent="0.25">
      <c r="A3792" s="5">
        <v>39078</v>
      </c>
      <c r="B3792">
        <v>25.889036000000001</v>
      </c>
    </row>
    <row r="3793" spans="1:2" x14ac:dyDescent="0.25">
      <c r="A3793" s="5">
        <v>39079</v>
      </c>
      <c r="B3793">
        <v>25.971708</v>
      </c>
    </row>
    <row r="3794" spans="1:2" x14ac:dyDescent="0.25">
      <c r="A3794" s="5">
        <v>39080</v>
      </c>
      <c r="B3794">
        <v>26.040628000000002</v>
      </c>
    </row>
    <row r="3795" spans="1:2" x14ac:dyDescent="0.25">
      <c r="A3795" s="5">
        <v>39085</v>
      </c>
      <c r="B3795">
        <v>25.813229</v>
      </c>
    </row>
    <row r="3796" spans="1:2" x14ac:dyDescent="0.25">
      <c r="A3796" s="5">
        <v>39086</v>
      </c>
      <c r="B3796">
        <v>26.977789000000001</v>
      </c>
    </row>
    <row r="3797" spans="1:2" x14ac:dyDescent="0.25">
      <c r="A3797" s="5">
        <v>39087</v>
      </c>
      <c r="B3797">
        <v>26.660800999999999</v>
      </c>
    </row>
    <row r="3798" spans="1:2" x14ac:dyDescent="0.25">
      <c r="A3798" s="5">
        <v>39090</v>
      </c>
      <c r="B3798">
        <v>26.364502000000002</v>
      </c>
    </row>
    <row r="3799" spans="1:2" x14ac:dyDescent="0.25">
      <c r="A3799" s="5">
        <v>39091</v>
      </c>
      <c r="B3799">
        <v>26.075087</v>
      </c>
    </row>
    <row r="3800" spans="1:2" x14ac:dyDescent="0.25">
      <c r="A3800" s="5">
        <v>39092</v>
      </c>
      <c r="B3800">
        <v>26.564330999999999</v>
      </c>
    </row>
    <row r="3801" spans="1:2" x14ac:dyDescent="0.25">
      <c r="A3801" s="5">
        <v>39093</v>
      </c>
      <c r="B3801">
        <v>27.205193000000001</v>
      </c>
    </row>
    <row r="3802" spans="1:2" x14ac:dyDescent="0.25">
      <c r="A3802" s="5">
        <v>39094</v>
      </c>
      <c r="B3802">
        <v>27.301656999999999</v>
      </c>
    </row>
    <row r="3803" spans="1:2" x14ac:dyDescent="0.25">
      <c r="A3803" s="5">
        <v>39098</v>
      </c>
      <c r="B3803">
        <v>27.19828</v>
      </c>
    </row>
    <row r="3804" spans="1:2" x14ac:dyDescent="0.25">
      <c r="A3804" s="5">
        <v>39099</v>
      </c>
      <c r="B3804">
        <v>27.005345999999999</v>
      </c>
    </row>
    <row r="3805" spans="1:2" x14ac:dyDescent="0.25">
      <c r="A3805" s="5">
        <v>39100</v>
      </c>
      <c r="B3805">
        <v>26.522988999999999</v>
      </c>
    </row>
    <row r="3806" spans="1:2" x14ac:dyDescent="0.25">
      <c r="A3806" s="5">
        <v>39101</v>
      </c>
      <c r="B3806">
        <v>26.784849000000001</v>
      </c>
    </row>
    <row r="3807" spans="1:2" x14ac:dyDescent="0.25">
      <c r="A3807" s="5">
        <v>39104</v>
      </c>
      <c r="B3807">
        <v>26.536766</v>
      </c>
    </row>
    <row r="3808" spans="1:2" x14ac:dyDescent="0.25">
      <c r="A3808" s="5">
        <v>39105</v>
      </c>
      <c r="B3808">
        <v>26.274912</v>
      </c>
    </row>
    <row r="3809" spans="1:2" x14ac:dyDescent="0.25">
      <c r="A3809" s="5">
        <v>39106</v>
      </c>
      <c r="B3809">
        <v>26.612579</v>
      </c>
    </row>
    <row r="3810" spans="1:2" x14ac:dyDescent="0.25">
      <c r="A3810" s="5">
        <v>39107</v>
      </c>
      <c r="B3810">
        <v>26.295582</v>
      </c>
    </row>
    <row r="3811" spans="1:2" x14ac:dyDescent="0.25">
      <c r="A3811" s="5">
        <v>39108</v>
      </c>
      <c r="B3811">
        <v>25.847674999999999</v>
      </c>
    </row>
    <row r="3812" spans="1:2" x14ac:dyDescent="0.25">
      <c r="A3812" s="5">
        <v>39111</v>
      </c>
      <c r="B3812">
        <v>25.599610999999999</v>
      </c>
    </row>
    <row r="3813" spans="1:2" x14ac:dyDescent="0.25">
      <c r="A3813" s="5">
        <v>39112</v>
      </c>
      <c r="B3813">
        <v>25.613401</v>
      </c>
    </row>
    <row r="3814" spans="1:2" x14ac:dyDescent="0.25">
      <c r="A3814" s="5">
        <v>39113</v>
      </c>
      <c r="B3814">
        <v>25.951048</v>
      </c>
    </row>
    <row r="3815" spans="1:2" x14ac:dyDescent="0.25">
      <c r="A3815" s="5">
        <v>39114</v>
      </c>
      <c r="B3815">
        <v>25.778772</v>
      </c>
    </row>
    <row r="3816" spans="1:2" x14ac:dyDescent="0.25">
      <c r="A3816" s="5">
        <v>39115</v>
      </c>
      <c r="B3816">
        <v>25.627174</v>
      </c>
    </row>
    <row r="3817" spans="1:2" x14ac:dyDescent="0.25">
      <c r="A3817" s="5">
        <v>39118</v>
      </c>
      <c r="B3817">
        <v>26.123327</v>
      </c>
    </row>
    <row r="3818" spans="1:2" x14ac:dyDescent="0.25">
      <c r="A3818" s="5">
        <v>39119</v>
      </c>
      <c r="B3818">
        <v>25.964834</v>
      </c>
    </row>
    <row r="3819" spans="1:2" x14ac:dyDescent="0.25">
      <c r="A3819" s="5">
        <v>39120</v>
      </c>
      <c r="B3819">
        <v>25.89592</v>
      </c>
    </row>
    <row r="3820" spans="1:2" x14ac:dyDescent="0.25">
      <c r="A3820" s="5">
        <v>39121</v>
      </c>
      <c r="B3820">
        <v>26.364502000000002</v>
      </c>
    </row>
    <row r="3821" spans="1:2" x14ac:dyDescent="0.25">
      <c r="A3821" s="5">
        <v>39122</v>
      </c>
      <c r="B3821">
        <v>26.398947</v>
      </c>
    </row>
    <row r="3822" spans="1:2" x14ac:dyDescent="0.25">
      <c r="A3822" s="5">
        <v>39125</v>
      </c>
      <c r="B3822">
        <v>26.219788000000001</v>
      </c>
    </row>
    <row r="3823" spans="1:2" x14ac:dyDescent="0.25">
      <c r="A3823" s="5">
        <v>39126</v>
      </c>
      <c r="B3823">
        <v>26.233568000000002</v>
      </c>
    </row>
    <row r="3824" spans="1:2" x14ac:dyDescent="0.25">
      <c r="A3824" s="5">
        <v>39127</v>
      </c>
      <c r="B3824">
        <v>27.329229000000002</v>
      </c>
    </row>
    <row r="3825" spans="1:2" x14ac:dyDescent="0.25">
      <c r="A3825" s="5">
        <v>39128</v>
      </c>
      <c r="B3825">
        <v>28.466217</v>
      </c>
    </row>
    <row r="3826" spans="1:2" x14ac:dyDescent="0.25">
      <c r="A3826" s="5">
        <v>39129</v>
      </c>
      <c r="B3826">
        <v>29.293125</v>
      </c>
    </row>
    <row r="3827" spans="1:2" x14ac:dyDescent="0.25">
      <c r="A3827" s="5">
        <v>39133</v>
      </c>
      <c r="B3827">
        <v>29.424036000000001</v>
      </c>
    </row>
    <row r="3828" spans="1:2" x14ac:dyDescent="0.25">
      <c r="A3828" s="5">
        <v>39134</v>
      </c>
      <c r="B3828">
        <v>28.976139</v>
      </c>
    </row>
    <row r="3829" spans="1:2" x14ac:dyDescent="0.25">
      <c r="A3829" s="5">
        <v>39135</v>
      </c>
      <c r="B3829">
        <v>29.486066999999998</v>
      </c>
    </row>
    <row r="3830" spans="1:2" x14ac:dyDescent="0.25">
      <c r="A3830" s="5">
        <v>39136</v>
      </c>
      <c r="B3830">
        <v>29.878830000000001</v>
      </c>
    </row>
    <row r="3831" spans="1:2" x14ac:dyDescent="0.25">
      <c r="A3831" s="5">
        <v>39139</v>
      </c>
      <c r="B3831">
        <v>29.389586999999999</v>
      </c>
    </row>
    <row r="3832" spans="1:2" x14ac:dyDescent="0.25">
      <c r="A3832" s="5">
        <v>39140</v>
      </c>
      <c r="B3832">
        <v>27.735765000000001</v>
      </c>
    </row>
    <row r="3833" spans="1:2" x14ac:dyDescent="0.25">
      <c r="A3833" s="5">
        <v>39141</v>
      </c>
      <c r="B3833">
        <v>27.853287000000002</v>
      </c>
    </row>
    <row r="3834" spans="1:2" x14ac:dyDescent="0.25">
      <c r="A3834" s="5">
        <v>39142</v>
      </c>
      <c r="B3834">
        <v>27.715039999999998</v>
      </c>
    </row>
    <row r="3835" spans="1:2" x14ac:dyDescent="0.25">
      <c r="A3835" s="5">
        <v>39143</v>
      </c>
      <c r="B3835">
        <v>27.286545</v>
      </c>
    </row>
    <row r="3836" spans="1:2" x14ac:dyDescent="0.25">
      <c r="A3836" s="5">
        <v>39146</v>
      </c>
      <c r="B3836">
        <v>27.051549999999999</v>
      </c>
    </row>
    <row r="3837" spans="1:2" x14ac:dyDescent="0.25">
      <c r="A3837" s="5">
        <v>39147</v>
      </c>
      <c r="B3837">
        <v>27.334917000000001</v>
      </c>
    </row>
    <row r="3838" spans="1:2" x14ac:dyDescent="0.25">
      <c r="A3838" s="5">
        <v>39148</v>
      </c>
      <c r="B3838">
        <v>27.431674999999998</v>
      </c>
    </row>
    <row r="3839" spans="1:2" x14ac:dyDescent="0.25">
      <c r="A3839" s="5">
        <v>39149</v>
      </c>
      <c r="B3839">
        <v>27.811810000000001</v>
      </c>
    </row>
    <row r="3840" spans="1:2" x14ac:dyDescent="0.25">
      <c r="A3840" s="5">
        <v>39150</v>
      </c>
      <c r="B3840">
        <v>27.749609</v>
      </c>
    </row>
    <row r="3841" spans="1:2" x14ac:dyDescent="0.25">
      <c r="A3841" s="5">
        <v>39153</v>
      </c>
      <c r="B3841">
        <v>27.728874000000001</v>
      </c>
    </row>
    <row r="3842" spans="1:2" x14ac:dyDescent="0.25">
      <c r="A3842" s="5">
        <v>39154</v>
      </c>
      <c r="B3842">
        <v>28.910723000000001</v>
      </c>
    </row>
    <row r="3843" spans="1:2" x14ac:dyDescent="0.25">
      <c r="A3843" s="5">
        <v>39155</v>
      </c>
      <c r="B3843">
        <v>29.864519000000001</v>
      </c>
    </row>
    <row r="3844" spans="1:2" x14ac:dyDescent="0.25">
      <c r="A3844" s="5">
        <v>39156</v>
      </c>
      <c r="B3844">
        <v>30.203175999999999</v>
      </c>
    </row>
    <row r="3845" spans="1:2" x14ac:dyDescent="0.25">
      <c r="A3845" s="5">
        <v>39157</v>
      </c>
      <c r="B3845">
        <v>30.189356</v>
      </c>
    </row>
    <row r="3846" spans="1:2" x14ac:dyDescent="0.25">
      <c r="A3846" s="5">
        <v>39160</v>
      </c>
      <c r="B3846">
        <v>29.657171000000002</v>
      </c>
    </row>
    <row r="3847" spans="1:2" x14ac:dyDescent="0.25">
      <c r="A3847" s="5">
        <v>39161</v>
      </c>
      <c r="B3847">
        <v>29.747019000000002</v>
      </c>
    </row>
    <row r="3848" spans="1:2" x14ac:dyDescent="0.25">
      <c r="A3848" s="5">
        <v>39162</v>
      </c>
      <c r="B3848">
        <v>30.223913</v>
      </c>
    </row>
    <row r="3849" spans="1:2" x14ac:dyDescent="0.25">
      <c r="A3849" s="5">
        <v>39163</v>
      </c>
      <c r="B3849">
        <v>29.961271</v>
      </c>
    </row>
    <row r="3850" spans="1:2" x14ac:dyDescent="0.25">
      <c r="A3850" s="5">
        <v>39164</v>
      </c>
      <c r="B3850">
        <v>29.422181999999999</v>
      </c>
    </row>
    <row r="3851" spans="1:2" x14ac:dyDescent="0.25">
      <c r="A3851" s="5">
        <v>39167</v>
      </c>
      <c r="B3851">
        <v>29.318505999999999</v>
      </c>
    </row>
    <row r="3852" spans="1:2" x14ac:dyDescent="0.25">
      <c r="A3852" s="5">
        <v>39168</v>
      </c>
      <c r="B3852">
        <v>29.463650000000001</v>
      </c>
    </row>
    <row r="3853" spans="1:2" x14ac:dyDescent="0.25">
      <c r="A3853" s="5">
        <v>39169</v>
      </c>
      <c r="B3853">
        <v>29.373805999999998</v>
      </c>
    </row>
    <row r="3854" spans="1:2" x14ac:dyDescent="0.25">
      <c r="A3854" s="5">
        <v>39170</v>
      </c>
      <c r="B3854">
        <v>29.201011999999999</v>
      </c>
    </row>
    <row r="3855" spans="1:2" x14ac:dyDescent="0.25">
      <c r="A3855" s="5">
        <v>39171</v>
      </c>
      <c r="B3855">
        <v>29.484390000000001</v>
      </c>
    </row>
    <row r="3856" spans="1:2" x14ac:dyDescent="0.25">
      <c r="A3856" s="5">
        <v>39174</v>
      </c>
      <c r="B3856">
        <v>29.774673</v>
      </c>
    </row>
    <row r="3857" spans="1:2" x14ac:dyDescent="0.25">
      <c r="A3857" s="5">
        <v>39175</v>
      </c>
      <c r="B3857">
        <v>30.210089</v>
      </c>
    </row>
    <row r="3858" spans="1:2" x14ac:dyDescent="0.25">
      <c r="A3858" s="5">
        <v>39176</v>
      </c>
      <c r="B3858">
        <v>30.168628999999999</v>
      </c>
    </row>
    <row r="3859" spans="1:2" x14ac:dyDescent="0.25">
      <c r="A3859" s="5">
        <v>39177</v>
      </c>
      <c r="B3859">
        <v>29.92672</v>
      </c>
    </row>
    <row r="3860" spans="1:2" x14ac:dyDescent="0.25">
      <c r="A3860" s="5">
        <v>39181</v>
      </c>
      <c r="B3860">
        <v>29.498211000000001</v>
      </c>
    </row>
    <row r="3861" spans="1:2" x14ac:dyDescent="0.25">
      <c r="A3861" s="5">
        <v>39182</v>
      </c>
      <c r="B3861">
        <v>29.719376</v>
      </c>
    </row>
    <row r="3862" spans="1:2" x14ac:dyDescent="0.25">
      <c r="A3862" s="5">
        <v>39183</v>
      </c>
      <c r="B3862">
        <v>29.097338000000001</v>
      </c>
    </row>
    <row r="3863" spans="1:2" x14ac:dyDescent="0.25">
      <c r="A3863" s="5">
        <v>39184</v>
      </c>
      <c r="B3863">
        <v>29.442914999999999</v>
      </c>
    </row>
    <row r="3864" spans="1:2" x14ac:dyDescent="0.25">
      <c r="A3864" s="5">
        <v>39185</v>
      </c>
      <c r="B3864">
        <v>29.408360999999999</v>
      </c>
    </row>
    <row r="3865" spans="1:2" x14ac:dyDescent="0.25">
      <c r="A3865" s="5">
        <v>39188</v>
      </c>
      <c r="B3865">
        <v>29.988924000000001</v>
      </c>
    </row>
    <row r="3866" spans="1:2" x14ac:dyDescent="0.25">
      <c r="A3866" s="5">
        <v>39189</v>
      </c>
      <c r="B3866">
        <v>29.975110999999998</v>
      </c>
    </row>
    <row r="3867" spans="1:2" x14ac:dyDescent="0.25">
      <c r="A3867" s="5">
        <v>39190</v>
      </c>
      <c r="B3867">
        <v>29.698644999999999</v>
      </c>
    </row>
    <row r="3868" spans="1:2" x14ac:dyDescent="0.25">
      <c r="A3868" s="5">
        <v>39191</v>
      </c>
      <c r="B3868">
        <v>29.968178000000002</v>
      </c>
    </row>
    <row r="3869" spans="1:2" x14ac:dyDescent="0.25">
      <c r="A3869" s="5">
        <v>39192</v>
      </c>
      <c r="B3869">
        <v>30.023475999999999</v>
      </c>
    </row>
    <row r="3870" spans="1:2" x14ac:dyDescent="0.25">
      <c r="A3870" s="5">
        <v>39195</v>
      </c>
      <c r="B3870">
        <v>29.643350999999999</v>
      </c>
    </row>
    <row r="3871" spans="1:2" x14ac:dyDescent="0.25">
      <c r="A3871" s="5">
        <v>39196</v>
      </c>
      <c r="B3871">
        <v>30.659344000000001</v>
      </c>
    </row>
    <row r="3872" spans="1:2" x14ac:dyDescent="0.25">
      <c r="A3872" s="5">
        <v>39197</v>
      </c>
      <c r="B3872">
        <v>31.336666000000001</v>
      </c>
    </row>
    <row r="3873" spans="1:2" x14ac:dyDescent="0.25">
      <c r="A3873" s="5">
        <v>39198</v>
      </c>
      <c r="B3873">
        <v>31.309013</v>
      </c>
    </row>
    <row r="3874" spans="1:2" x14ac:dyDescent="0.25">
      <c r="A3874" s="5">
        <v>39199</v>
      </c>
      <c r="B3874">
        <v>30.845934</v>
      </c>
    </row>
    <row r="3875" spans="1:2" x14ac:dyDescent="0.25">
      <c r="A3875" s="5">
        <v>39202</v>
      </c>
      <c r="B3875">
        <v>30.272307999999999</v>
      </c>
    </row>
    <row r="3876" spans="1:2" x14ac:dyDescent="0.25">
      <c r="A3876" s="5">
        <v>39203</v>
      </c>
      <c r="B3876">
        <v>30.251553999999999</v>
      </c>
    </row>
    <row r="3877" spans="1:2" x14ac:dyDescent="0.25">
      <c r="A3877" s="5">
        <v>39204</v>
      </c>
      <c r="B3877">
        <v>30.597137</v>
      </c>
    </row>
    <row r="3878" spans="1:2" x14ac:dyDescent="0.25">
      <c r="A3878" s="5">
        <v>39205</v>
      </c>
      <c r="B3878">
        <v>30.604042</v>
      </c>
    </row>
    <row r="3879" spans="1:2" x14ac:dyDescent="0.25">
      <c r="A3879" s="5">
        <v>39206</v>
      </c>
      <c r="B3879">
        <v>30.47963</v>
      </c>
    </row>
    <row r="3880" spans="1:2" x14ac:dyDescent="0.25">
      <c r="A3880" s="5">
        <v>39209</v>
      </c>
      <c r="B3880">
        <v>30.375982</v>
      </c>
    </row>
    <row r="3881" spans="1:2" x14ac:dyDescent="0.25">
      <c r="A3881" s="5">
        <v>39210</v>
      </c>
      <c r="B3881">
        <v>30.528019</v>
      </c>
    </row>
    <row r="3882" spans="1:2" x14ac:dyDescent="0.25">
      <c r="A3882" s="5">
        <v>39211</v>
      </c>
      <c r="B3882">
        <v>30.597137</v>
      </c>
    </row>
    <row r="3883" spans="1:2" x14ac:dyDescent="0.25">
      <c r="A3883" s="5">
        <v>39212</v>
      </c>
      <c r="B3883">
        <v>30.348331000000002</v>
      </c>
    </row>
    <row r="3884" spans="1:2" x14ac:dyDescent="0.25">
      <c r="A3884" s="5">
        <v>39213</v>
      </c>
      <c r="B3884">
        <v>31.004908</v>
      </c>
    </row>
    <row r="3885" spans="1:2" x14ac:dyDescent="0.25">
      <c r="A3885" s="5">
        <v>39216</v>
      </c>
      <c r="B3885">
        <v>30.583307000000001</v>
      </c>
    </row>
    <row r="3886" spans="1:2" x14ac:dyDescent="0.25">
      <c r="A3886" s="5">
        <v>39217</v>
      </c>
      <c r="B3886">
        <v>30.528019</v>
      </c>
    </row>
    <row r="3887" spans="1:2" x14ac:dyDescent="0.25">
      <c r="A3887" s="5">
        <v>39218</v>
      </c>
      <c r="B3887">
        <v>31.136240000000001</v>
      </c>
    </row>
    <row r="3888" spans="1:2" x14ac:dyDescent="0.25">
      <c r="A3888" s="5">
        <v>39219</v>
      </c>
      <c r="B3888">
        <v>30.977264000000002</v>
      </c>
    </row>
    <row r="3889" spans="1:2" x14ac:dyDescent="0.25">
      <c r="A3889" s="5">
        <v>39220</v>
      </c>
      <c r="B3889">
        <v>31.246824</v>
      </c>
    </row>
    <row r="3890" spans="1:2" x14ac:dyDescent="0.25">
      <c r="A3890" s="5">
        <v>39223</v>
      </c>
      <c r="B3890">
        <v>31.882677000000001</v>
      </c>
    </row>
    <row r="3891" spans="1:2" x14ac:dyDescent="0.25">
      <c r="A3891" s="5">
        <v>39224</v>
      </c>
      <c r="B3891">
        <v>32.055458000000002</v>
      </c>
    </row>
    <row r="3892" spans="1:2" x14ac:dyDescent="0.25">
      <c r="A3892" s="5">
        <v>39225</v>
      </c>
      <c r="B3892">
        <v>30.991091000000001</v>
      </c>
    </row>
    <row r="3893" spans="1:2" x14ac:dyDescent="0.25">
      <c r="A3893" s="5">
        <v>39226</v>
      </c>
      <c r="B3893">
        <v>30.12715</v>
      </c>
    </row>
    <row r="3894" spans="1:2" x14ac:dyDescent="0.25">
      <c r="A3894" s="5">
        <v>39227</v>
      </c>
      <c r="B3894">
        <v>29.961271</v>
      </c>
    </row>
    <row r="3895" spans="1:2" x14ac:dyDescent="0.25">
      <c r="A3895" s="5">
        <v>39231</v>
      </c>
      <c r="B3895">
        <v>30.604042</v>
      </c>
    </row>
    <row r="3896" spans="1:2" x14ac:dyDescent="0.25">
      <c r="A3896" s="5">
        <v>39232</v>
      </c>
      <c r="B3896">
        <v>29.688831</v>
      </c>
    </row>
    <row r="3897" spans="1:2" x14ac:dyDescent="0.25">
      <c r="A3897" s="5">
        <v>39233</v>
      </c>
      <c r="B3897">
        <v>29.778976</v>
      </c>
    </row>
    <row r="3898" spans="1:2" x14ac:dyDescent="0.25">
      <c r="A3898" s="5">
        <v>39234</v>
      </c>
      <c r="B3898">
        <v>29.654163</v>
      </c>
    </row>
    <row r="3899" spans="1:2" x14ac:dyDescent="0.25">
      <c r="A3899" s="5">
        <v>39237</v>
      </c>
      <c r="B3899">
        <v>29.245085</v>
      </c>
    </row>
    <row r="3900" spans="1:2" x14ac:dyDescent="0.25">
      <c r="A3900" s="5">
        <v>39238</v>
      </c>
      <c r="B3900">
        <v>29.460028000000001</v>
      </c>
    </row>
    <row r="3901" spans="1:2" x14ac:dyDescent="0.25">
      <c r="A3901" s="5">
        <v>39239</v>
      </c>
      <c r="B3901">
        <v>29.27976</v>
      </c>
    </row>
    <row r="3902" spans="1:2" x14ac:dyDescent="0.25">
      <c r="A3902" s="5">
        <v>39240</v>
      </c>
      <c r="B3902">
        <v>28.440816999999999</v>
      </c>
    </row>
    <row r="3903" spans="1:2" x14ac:dyDescent="0.25">
      <c r="A3903" s="5">
        <v>39241</v>
      </c>
      <c r="B3903">
        <v>29.030161</v>
      </c>
    </row>
    <row r="3904" spans="1:2" x14ac:dyDescent="0.25">
      <c r="A3904" s="5">
        <v>39244</v>
      </c>
      <c r="B3904">
        <v>28.697357</v>
      </c>
    </row>
    <row r="3905" spans="1:2" x14ac:dyDescent="0.25">
      <c r="A3905" s="5">
        <v>39245</v>
      </c>
      <c r="B3905">
        <v>28.988565000000001</v>
      </c>
    </row>
    <row r="3906" spans="1:2" x14ac:dyDescent="0.25">
      <c r="A3906" s="5">
        <v>39246</v>
      </c>
      <c r="B3906">
        <v>29.536301000000002</v>
      </c>
    </row>
    <row r="3907" spans="1:2" x14ac:dyDescent="0.25">
      <c r="A3907" s="5">
        <v>39247</v>
      </c>
      <c r="B3907">
        <v>29.550166999999998</v>
      </c>
    </row>
    <row r="3908" spans="1:2" x14ac:dyDescent="0.25">
      <c r="A3908" s="5">
        <v>39248</v>
      </c>
      <c r="B3908">
        <v>29.557110000000002</v>
      </c>
    </row>
    <row r="3909" spans="1:2" x14ac:dyDescent="0.25">
      <c r="A3909" s="5">
        <v>39251</v>
      </c>
      <c r="B3909">
        <v>29.349115000000001</v>
      </c>
    </row>
    <row r="3910" spans="1:2" x14ac:dyDescent="0.25">
      <c r="A3910" s="5">
        <v>39252</v>
      </c>
      <c r="B3910">
        <v>29.598692</v>
      </c>
    </row>
    <row r="3911" spans="1:2" x14ac:dyDescent="0.25">
      <c r="A3911" s="5">
        <v>39253</v>
      </c>
      <c r="B3911">
        <v>29.862179000000001</v>
      </c>
    </row>
    <row r="3912" spans="1:2" x14ac:dyDescent="0.25">
      <c r="A3912" s="5">
        <v>39254</v>
      </c>
      <c r="B3912">
        <v>30.201906000000001</v>
      </c>
    </row>
    <row r="3913" spans="1:2" x14ac:dyDescent="0.25">
      <c r="A3913" s="5">
        <v>39255</v>
      </c>
      <c r="B3913">
        <v>29.806715000000001</v>
      </c>
    </row>
    <row r="3914" spans="1:2" x14ac:dyDescent="0.25">
      <c r="A3914" s="5">
        <v>39258</v>
      </c>
      <c r="B3914">
        <v>29.487774000000002</v>
      </c>
    </row>
    <row r="3915" spans="1:2" x14ac:dyDescent="0.25">
      <c r="A3915" s="5">
        <v>39259</v>
      </c>
      <c r="B3915">
        <v>29.702701999999999</v>
      </c>
    </row>
    <row r="3916" spans="1:2" x14ac:dyDescent="0.25">
      <c r="A3916" s="5">
        <v>39260</v>
      </c>
      <c r="B3916">
        <v>30.104837</v>
      </c>
    </row>
    <row r="3917" spans="1:2" x14ac:dyDescent="0.25">
      <c r="A3917" s="5">
        <v>39261</v>
      </c>
      <c r="B3917">
        <v>30.132577999999999</v>
      </c>
    </row>
    <row r="3918" spans="1:2" x14ac:dyDescent="0.25">
      <c r="A3918" s="5">
        <v>39262</v>
      </c>
      <c r="B3918">
        <v>30.084029999999998</v>
      </c>
    </row>
    <row r="3919" spans="1:2" x14ac:dyDescent="0.25">
      <c r="A3919" s="5">
        <v>39265</v>
      </c>
      <c r="B3919">
        <v>30.458458</v>
      </c>
    </row>
    <row r="3920" spans="1:2" x14ac:dyDescent="0.25">
      <c r="A3920" s="5">
        <v>39266</v>
      </c>
      <c r="B3920">
        <v>30.409908000000001</v>
      </c>
    </row>
    <row r="3921" spans="1:2" x14ac:dyDescent="0.25">
      <c r="A3921" s="5">
        <v>39268</v>
      </c>
      <c r="B3921">
        <v>30.188037999999999</v>
      </c>
    </row>
    <row r="3922" spans="1:2" x14ac:dyDescent="0.25">
      <c r="A3922" s="5">
        <v>39269</v>
      </c>
      <c r="B3922">
        <v>30.215771</v>
      </c>
    </row>
    <row r="3923" spans="1:2" x14ac:dyDescent="0.25">
      <c r="A3923" s="5">
        <v>39272</v>
      </c>
      <c r="B3923">
        <v>30.222708000000001</v>
      </c>
    </row>
    <row r="3924" spans="1:2" x14ac:dyDescent="0.25">
      <c r="A3924" s="5">
        <v>39273</v>
      </c>
      <c r="B3924">
        <v>29.959233999999999</v>
      </c>
    </row>
    <row r="3925" spans="1:2" x14ac:dyDescent="0.25">
      <c r="A3925" s="5">
        <v>39274</v>
      </c>
      <c r="B3925">
        <v>30.396045999999998</v>
      </c>
    </row>
    <row r="3926" spans="1:2" x14ac:dyDescent="0.25">
      <c r="A3926" s="5">
        <v>39275</v>
      </c>
      <c r="B3926">
        <v>31.373659</v>
      </c>
    </row>
    <row r="3927" spans="1:2" x14ac:dyDescent="0.25">
      <c r="A3927" s="5">
        <v>39276</v>
      </c>
      <c r="B3927">
        <v>31.442979999999999</v>
      </c>
    </row>
    <row r="3928" spans="1:2" x14ac:dyDescent="0.25">
      <c r="A3928" s="5">
        <v>39279</v>
      </c>
      <c r="B3928">
        <v>31.221126999999999</v>
      </c>
    </row>
    <row r="3929" spans="1:2" x14ac:dyDescent="0.25">
      <c r="A3929" s="5">
        <v>39280</v>
      </c>
      <c r="B3929">
        <v>31.221126999999999</v>
      </c>
    </row>
    <row r="3930" spans="1:2" x14ac:dyDescent="0.25">
      <c r="A3930" s="5">
        <v>39281</v>
      </c>
      <c r="B3930">
        <v>31.269659000000001</v>
      </c>
    </row>
    <row r="3931" spans="1:2" x14ac:dyDescent="0.25">
      <c r="A3931" s="5">
        <v>39282</v>
      </c>
      <c r="B3931">
        <v>30.056304999999998</v>
      </c>
    </row>
    <row r="3932" spans="1:2" x14ac:dyDescent="0.25">
      <c r="A3932" s="5">
        <v>39283</v>
      </c>
      <c r="B3932">
        <v>29.813641000000001</v>
      </c>
    </row>
    <row r="3933" spans="1:2" x14ac:dyDescent="0.25">
      <c r="A3933" s="5">
        <v>39286</v>
      </c>
      <c r="B3933">
        <v>29.640305000000001</v>
      </c>
    </row>
    <row r="3934" spans="1:2" x14ac:dyDescent="0.25">
      <c r="A3934" s="5">
        <v>39287</v>
      </c>
      <c r="B3934">
        <v>29.869102000000002</v>
      </c>
    </row>
    <row r="3935" spans="1:2" x14ac:dyDescent="0.25">
      <c r="A3935" s="5">
        <v>39288</v>
      </c>
      <c r="B3935">
        <v>29.432293000000001</v>
      </c>
    </row>
    <row r="3936" spans="1:2" x14ac:dyDescent="0.25">
      <c r="A3936" s="5">
        <v>39289</v>
      </c>
      <c r="B3936">
        <v>29.175765999999999</v>
      </c>
    </row>
    <row r="3937" spans="1:2" x14ac:dyDescent="0.25">
      <c r="A3937" s="5">
        <v>39290</v>
      </c>
      <c r="B3937">
        <v>28.891490999999998</v>
      </c>
    </row>
    <row r="3938" spans="1:2" x14ac:dyDescent="0.25">
      <c r="A3938" s="5">
        <v>39293</v>
      </c>
      <c r="B3938">
        <v>29.487774000000002</v>
      </c>
    </row>
    <row r="3939" spans="1:2" x14ac:dyDescent="0.25">
      <c r="A3939" s="5">
        <v>39294</v>
      </c>
      <c r="B3939">
        <v>28.877623</v>
      </c>
    </row>
    <row r="3940" spans="1:2" x14ac:dyDescent="0.25">
      <c r="A3940" s="5">
        <v>39295</v>
      </c>
      <c r="B3940">
        <v>28.697357</v>
      </c>
    </row>
    <row r="3941" spans="1:2" x14ac:dyDescent="0.25">
      <c r="A3941" s="5">
        <v>39296</v>
      </c>
      <c r="B3941">
        <v>29.148035</v>
      </c>
    </row>
    <row r="3942" spans="1:2" x14ac:dyDescent="0.25">
      <c r="A3942" s="5">
        <v>39297</v>
      </c>
      <c r="B3942">
        <v>28.267489999999999</v>
      </c>
    </row>
    <row r="3943" spans="1:2" x14ac:dyDescent="0.25">
      <c r="A3943" s="5">
        <v>39300</v>
      </c>
      <c r="B3943">
        <v>28.967749000000001</v>
      </c>
    </row>
    <row r="3944" spans="1:2" x14ac:dyDescent="0.25">
      <c r="A3944" s="5">
        <v>39301</v>
      </c>
      <c r="B3944">
        <v>28.080290000000002</v>
      </c>
    </row>
    <row r="3945" spans="1:2" x14ac:dyDescent="0.25">
      <c r="A3945" s="5">
        <v>39302</v>
      </c>
      <c r="B3945">
        <v>27.837633</v>
      </c>
    </row>
    <row r="3946" spans="1:2" x14ac:dyDescent="0.25">
      <c r="A3946" s="5">
        <v>39303</v>
      </c>
      <c r="B3946">
        <v>26.499480999999999</v>
      </c>
    </row>
    <row r="3947" spans="1:2" x14ac:dyDescent="0.25">
      <c r="A3947" s="5">
        <v>39304</v>
      </c>
      <c r="B3947">
        <v>26.270668000000001</v>
      </c>
    </row>
    <row r="3948" spans="1:2" x14ac:dyDescent="0.25">
      <c r="A3948" s="5">
        <v>39307</v>
      </c>
      <c r="B3948">
        <v>26.984798000000001</v>
      </c>
    </row>
    <row r="3949" spans="1:2" x14ac:dyDescent="0.25">
      <c r="A3949" s="5">
        <v>39308</v>
      </c>
      <c r="B3949">
        <v>26.194399000000001</v>
      </c>
    </row>
    <row r="3950" spans="1:2" x14ac:dyDescent="0.25">
      <c r="A3950" s="5">
        <v>39309</v>
      </c>
      <c r="B3950">
        <v>25.022656999999999</v>
      </c>
    </row>
    <row r="3951" spans="1:2" x14ac:dyDescent="0.25">
      <c r="A3951" s="5">
        <v>39310</v>
      </c>
      <c r="B3951">
        <v>25.605060999999999</v>
      </c>
    </row>
    <row r="3952" spans="1:2" x14ac:dyDescent="0.25">
      <c r="A3952" s="5">
        <v>39311</v>
      </c>
      <c r="B3952">
        <v>26.027989999999999</v>
      </c>
    </row>
    <row r="3953" spans="1:2" x14ac:dyDescent="0.25">
      <c r="A3953" s="5">
        <v>39314</v>
      </c>
      <c r="B3953">
        <v>25.944800999999998</v>
      </c>
    </row>
    <row r="3954" spans="1:2" x14ac:dyDescent="0.25">
      <c r="A3954" s="5">
        <v>39315</v>
      </c>
      <c r="B3954">
        <v>25.584267000000001</v>
      </c>
    </row>
    <row r="3955" spans="1:2" x14ac:dyDescent="0.25">
      <c r="A3955" s="5">
        <v>39316</v>
      </c>
      <c r="B3955">
        <v>25.840796000000001</v>
      </c>
    </row>
    <row r="3956" spans="1:2" x14ac:dyDescent="0.25">
      <c r="A3956" s="5">
        <v>39317</v>
      </c>
      <c r="B3956">
        <v>26.249873999999998</v>
      </c>
    </row>
    <row r="3957" spans="1:2" x14ac:dyDescent="0.25">
      <c r="A3957" s="5">
        <v>39318</v>
      </c>
      <c r="B3957">
        <v>26.506397</v>
      </c>
    </row>
    <row r="3958" spans="1:2" x14ac:dyDescent="0.25">
      <c r="A3958" s="5">
        <v>39321</v>
      </c>
      <c r="B3958">
        <v>26.749068999999999</v>
      </c>
    </row>
    <row r="3959" spans="1:2" x14ac:dyDescent="0.25">
      <c r="A3959" s="5">
        <v>39322</v>
      </c>
      <c r="B3959">
        <v>26.256803999999999</v>
      </c>
    </row>
    <row r="3960" spans="1:2" x14ac:dyDescent="0.25">
      <c r="A3960" s="5">
        <v>39323</v>
      </c>
      <c r="B3960">
        <v>27.08494</v>
      </c>
    </row>
    <row r="3961" spans="1:2" x14ac:dyDescent="0.25">
      <c r="A3961" s="5">
        <v>39324</v>
      </c>
      <c r="B3961">
        <v>27.196283000000001</v>
      </c>
    </row>
    <row r="3962" spans="1:2" x14ac:dyDescent="0.25">
      <c r="A3962" s="5">
        <v>39325</v>
      </c>
      <c r="B3962">
        <v>27.759976999999999</v>
      </c>
    </row>
    <row r="3963" spans="1:2" x14ac:dyDescent="0.25">
      <c r="A3963" s="5">
        <v>39329</v>
      </c>
      <c r="B3963">
        <v>27.843481000000001</v>
      </c>
    </row>
    <row r="3964" spans="1:2" x14ac:dyDescent="0.25">
      <c r="A3964" s="5">
        <v>39330</v>
      </c>
      <c r="B3964">
        <v>27.091902000000001</v>
      </c>
    </row>
    <row r="3965" spans="1:2" x14ac:dyDescent="0.25">
      <c r="A3965" s="5">
        <v>39331</v>
      </c>
      <c r="B3965">
        <v>27.015335</v>
      </c>
    </row>
    <row r="3966" spans="1:2" x14ac:dyDescent="0.25">
      <c r="A3966" s="5">
        <v>39332</v>
      </c>
      <c r="B3966">
        <v>26.368148999999999</v>
      </c>
    </row>
    <row r="3967" spans="1:2" x14ac:dyDescent="0.25">
      <c r="A3967" s="5">
        <v>39335</v>
      </c>
      <c r="B3967">
        <v>25.588728</v>
      </c>
    </row>
    <row r="3968" spans="1:2" x14ac:dyDescent="0.25">
      <c r="A3968" s="5">
        <v>39336</v>
      </c>
      <c r="B3968">
        <v>26.451657999999998</v>
      </c>
    </row>
    <row r="3969" spans="1:2" x14ac:dyDescent="0.25">
      <c r="A3969" s="5">
        <v>39337</v>
      </c>
      <c r="B3969">
        <v>26.354234999999999</v>
      </c>
    </row>
    <row r="3970" spans="1:2" x14ac:dyDescent="0.25">
      <c r="A3970" s="5">
        <v>39338</v>
      </c>
      <c r="B3970">
        <v>27.258908999999999</v>
      </c>
    </row>
    <row r="3971" spans="1:2" x14ac:dyDescent="0.25">
      <c r="A3971" s="5">
        <v>39339</v>
      </c>
      <c r="B3971">
        <v>27.439857</v>
      </c>
    </row>
    <row r="3972" spans="1:2" x14ac:dyDescent="0.25">
      <c r="A3972" s="5">
        <v>39342</v>
      </c>
      <c r="B3972">
        <v>27.140608</v>
      </c>
    </row>
    <row r="3973" spans="1:2" x14ac:dyDescent="0.25">
      <c r="A3973" s="5">
        <v>39343</v>
      </c>
      <c r="B3973">
        <v>27.697331999999999</v>
      </c>
    </row>
    <row r="3974" spans="1:2" x14ac:dyDescent="0.25">
      <c r="A3974" s="5">
        <v>39344</v>
      </c>
      <c r="B3974">
        <v>27.864355</v>
      </c>
    </row>
    <row r="3975" spans="1:2" x14ac:dyDescent="0.25">
      <c r="A3975" s="5">
        <v>39345</v>
      </c>
      <c r="B3975">
        <v>28.212322</v>
      </c>
    </row>
    <row r="3976" spans="1:2" x14ac:dyDescent="0.25">
      <c r="A3976" s="5">
        <v>39346</v>
      </c>
      <c r="B3976">
        <v>28.414133</v>
      </c>
    </row>
    <row r="3977" spans="1:2" x14ac:dyDescent="0.25">
      <c r="A3977" s="5">
        <v>39349</v>
      </c>
      <c r="B3977">
        <v>28.977824999999999</v>
      </c>
    </row>
    <row r="3978" spans="1:2" x14ac:dyDescent="0.25">
      <c r="A3978" s="5">
        <v>39350</v>
      </c>
      <c r="B3978">
        <v>28.915185999999999</v>
      </c>
    </row>
    <row r="3979" spans="1:2" x14ac:dyDescent="0.25">
      <c r="A3979" s="5">
        <v>39351</v>
      </c>
      <c r="B3979">
        <v>29.395367</v>
      </c>
    </row>
    <row r="3980" spans="1:2" x14ac:dyDescent="0.25">
      <c r="A3980" s="5">
        <v>39352</v>
      </c>
      <c r="B3980">
        <v>29.388390000000001</v>
      </c>
    </row>
    <row r="3981" spans="1:2" x14ac:dyDescent="0.25">
      <c r="A3981" s="5">
        <v>39353</v>
      </c>
      <c r="B3981">
        <v>29.409296000000001</v>
      </c>
    </row>
    <row r="3982" spans="1:2" x14ac:dyDescent="0.25">
      <c r="A3982" s="5">
        <v>39356</v>
      </c>
      <c r="B3982">
        <v>29.290977000000002</v>
      </c>
    </row>
    <row r="3983" spans="1:2" x14ac:dyDescent="0.25">
      <c r="A3983" s="5">
        <v>39357</v>
      </c>
      <c r="B3983">
        <v>29.214431999999999</v>
      </c>
    </row>
    <row r="3984" spans="1:2" x14ac:dyDescent="0.25">
      <c r="A3984" s="5">
        <v>39358</v>
      </c>
      <c r="B3984">
        <v>29.416252</v>
      </c>
    </row>
    <row r="3985" spans="1:2" x14ac:dyDescent="0.25">
      <c r="A3985" s="5">
        <v>39359</v>
      </c>
      <c r="B3985">
        <v>29.771158</v>
      </c>
    </row>
    <row r="3986" spans="1:2" x14ac:dyDescent="0.25">
      <c r="A3986" s="5">
        <v>39360</v>
      </c>
      <c r="B3986">
        <v>30.174773999999999</v>
      </c>
    </row>
    <row r="3987" spans="1:2" x14ac:dyDescent="0.25">
      <c r="A3987" s="5">
        <v>39363</v>
      </c>
      <c r="B3987">
        <v>29.764206000000001</v>
      </c>
    </row>
    <row r="3988" spans="1:2" x14ac:dyDescent="0.25">
      <c r="A3988" s="5">
        <v>39364</v>
      </c>
      <c r="B3988">
        <v>29.680707999999999</v>
      </c>
    </row>
    <row r="3989" spans="1:2" x14ac:dyDescent="0.25">
      <c r="A3989" s="5">
        <v>39365</v>
      </c>
      <c r="B3989">
        <v>29.437125999999999</v>
      </c>
    </row>
    <row r="3990" spans="1:2" x14ac:dyDescent="0.25">
      <c r="A3990" s="5">
        <v>39366</v>
      </c>
      <c r="B3990">
        <v>28.859531</v>
      </c>
    </row>
    <row r="3991" spans="1:2" x14ac:dyDescent="0.25">
      <c r="A3991" s="5">
        <v>39367</v>
      </c>
      <c r="B3991">
        <v>29.339706</v>
      </c>
    </row>
    <row r="3992" spans="1:2" x14ac:dyDescent="0.25">
      <c r="A3992" s="5">
        <v>39370</v>
      </c>
      <c r="B3992">
        <v>28.734256999999999</v>
      </c>
    </row>
    <row r="3993" spans="1:2" x14ac:dyDescent="0.25">
      <c r="A3993" s="5">
        <v>39371</v>
      </c>
      <c r="B3993">
        <v>28.421085000000001</v>
      </c>
    </row>
    <row r="3994" spans="1:2" x14ac:dyDescent="0.25">
      <c r="A3994" s="5">
        <v>39372</v>
      </c>
      <c r="B3994">
        <v>28.81776</v>
      </c>
    </row>
    <row r="3995" spans="1:2" x14ac:dyDescent="0.25">
      <c r="A3995" s="5">
        <v>39373</v>
      </c>
      <c r="B3995">
        <v>28.796894000000002</v>
      </c>
    </row>
    <row r="3996" spans="1:2" x14ac:dyDescent="0.25">
      <c r="A3996" s="5">
        <v>39374</v>
      </c>
      <c r="B3996">
        <v>28.052257999999998</v>
      </c>
    </row>
    <row r="3997" spans="1:2" x14ac:dyDescent="0.25">
      <c r="A3997" s="5">
        <v>39377</v>
      </c>
      <c r="B3997">
        <v>28.441960999999999</v>
      </c>
    </row>
    <row r="3998" spans="1:2" x14ac:dyDescent="0.25">
      <c r="A3998" s="5">
        <v>39378</v>
      </c>
      <c r="B3998">
        <v>28.622923</v>
      </c>
    </row>
    <row r="3999" spans="1:2" x14ac:dyDescent="0.25">
      <c r="A3999" s="5">
        <v>39379</v>
      </c>
      <c r="B3999">
        <v>28.657699999999998</v>
      </c>
    </row>
    <row r="4000" spans="1:2" x14ac:dyDescent="0.25">
      <c r="A4000" s="5">
        <v>39380</v>
      </c>
      <c r="B4000">
        <v>28.386295</v>
      </c>
    </row>
    <row r="4001" spans="1:2" x14ac:dyDescent="0.25">
      <c r="A4001" s="5">
        <v>39381</v>
      </c>
      <c r="B4001">
        <v>28.762096</v>
      </c>
    </row>
    <row r="4002" spans="1:2" x14ac:dyDescent="0.25">
      <c r="A4002" s="5">
        <v>39384</v>
      </c>
      <c r="B4002">
        <v>28.970866999999998</v>
      </c>
    </row>
    <row r="4003" spans="1:2" x14ac:dyDescent="0.25">
      <c r="A4003" s="5">
        <v>39385</v>
      </c>
      <c r="B4003">
        <v>29.075251000000002</v>
      </c>
    </row>
    <row r="4004" spans="1:2" x14ac:dyDescent="0.25">
      <c r="A4004" s="5">
        <v>39386</v>
      </c>
      <c r="B4004">
        <v>29.736383</v>
      </c>
    </row>
    <row r="4005" spans="1:2" x14ac:dyDescent="0.25">
      <c r="A4005" s="5">
        <v>39387</v>
      </c>
      <c r="B4005">
        <v>28.734256999999999</v>
      </c>
    </row>
    <row r="4006" spans="1:2" x14ac:dyDescent="0.25">
      <c r="A4006" s="5">
        <v>39388</v>
      </c>
      <c r="B4006">
        <v>28.769047</v>
      </c>
    </row>
    <row r="4007" spans="1:2" x14ac:dyDescent="0.25">
      <c r="A4007" s="5">
        <v>39391</v>
      </c>
      <c r="B4007">
        <v>28.428051</v>
      </c>
    </row>
    <row r="4008" spans="1:2" x14ac:dyDescent="0.25">
      <c r="A4008" s="5">
        <v>39392</v>
      </c>
      <c r="B4008">
        <v>28.922146000000001</v>
      </c>
    </row>
    <row r="4009" spans="1:2" x14ac:dyDescent="0.25">
      <c r="A4009" s="5">
        <v>39393</v>
      </c>
      <c r="B4009">
        <v>28.664663000000001</v>
      </c>
    </row>
    <row r="4010" spans="1:2" x14ac:dyDescent="0.25">
      <c r="A4010" s="5">
        <v>39394</v>
      </c>
      <c r="B4010">
        <v>27.669512000000001</v>
      </c>
    </row>
    <row r="4011" spans="1:2" x14ac:dyDescent="0.25">
      <c r="A4011" s="5">
        <v>39395</v>
      </c>
      <c r="B4011">
        <v>26.514288000000001</v>
      </c>
    </row>
    <row r="4012" spans="1:2" x14ac:dyDescent="0.25">
      <c r="A4012" s="5">
        <v>39398</v>
      </c>
      <c r="B4012">
        <v>25.950603000000001</v>
      </c>
    </row>
    <row r="4013" spans="1:2" x14ac:dyDescent="0.25">
      <c r="A4013" s="5">
        <v>39399</v>
      </c>
      <c r="B4013">
        <v>27.25197</v>
      </c>
    </row>
    <row r="4014" spans="1:2" x14ac:dyDescent="0.25">
      <c r="A4014" s="5">
        <v>39400</v>
      </c>
      <c r="B4014">
        <v>27.864355</v>
      </c>
    </row>
    <row r="4015" spans="1:2" x14ac:dyDescent="0.25">
      <c r="A4015" s="5">
        <v>39401</v>
      </c>
      <c r="B4015">
        <v>28.400210999999999</v>
      </c>
    </row>
    <row r="4016" spans="1:2" x14ac:dyDescent="0.25">
      <c r="A4016" s="5">
        <v>39402</v>
      </c>
      <c r="B4016">
        <v>28.782976000000001</v>
      </c>
    </row>
    <row r="4017" spans="1:2" x14ac:dyDescent="0.25">
      <c r="A4017" s="5">
        <v>39405</v>
      </c>
      <c r="B4017">
        <v>29.054379000000001</v>
      </c>
    </row>
    <row r="4018" spans="1:2" x14ac:dyDescent="0.25">
      <c r="A4018" s="5">
        <v>39406</v>
      </c>
      <c r="B4018">
        <v>28.769047</v>
      </c>
    </row>
    <row r="4019" spans="1:2" x14ac:dyDescent="0.25">
      <c r="A4019" s="5">
        <v>39407</v>
      </c>
      <c r="B4019">
        <v>28.156651</v>
      </c>
    </row>
    <row r="4020" spans="1:2" x14ac:dyDescent="0.25">
      <c r="A4020" s="5">
        <v>39409</v>
      </c>
      <c r="B4020">
        <v>28.205347</v>
      </c>
    </row>
    <row r="4021" spans="1:2" x14ac:dyDescent="0.25">
      <c r="A4021" s="5">
        <v>39412</v>
      </c>
      <c r="B4021">
        <v>27.265879000000002</v>
      </c>
    </row>
    <row r="4022" spans="1:2" x14ac:dyDescent="0.25">
      <c r="A4022" s="5">
        <v>39413</v>
      </c>
      <c r="B4022">
        <v>27.711264</v>
      </c>
    </row>
    <row r="4023" spans="1:2" x14ac:dyDescent="0.25">
      <c r="A4023" s="5">
        <v>39414</v>
      </c>
      <c r="B4023">
        <v>28.873443999999999</v>
      </c>
    </row>
    <row r="4024" spans="1:2" x14ac:dyDescent="0.25">
      <c r="A4024" s="5">
        <v>39415</v>
      </c>
      <c r="B4024">
        <v>28.824722000000001</v>
      </c>
    </row>
    <row r="4025" spans="1:2" x14ac:dyDescent="0.25">
      <c r="A4025" s="5">
        <v>39416</v>
      </c>
      <c r="B4025">
        <v>28.379337</v>
      </c>
    </row>
    <row r="4026" spans="1:2" x14ac:dyDescent="0.25">
      <c r="A4026" s="5">
        <v>39419</v>
      </c>
      <c r="B4026">
        <v>27.808695</v>
      </c>
    </row>
    <row r="4027" spans="1:2" x14ac:dyDescent="0.25">
      <c r="A4027" s="5">
        <v>39420</v>
      </c>
      <c r="B4027">
        <v>27.391144000000001</v>
      </c>
    </row>
    <row r="4028" spans="1:2" x14ac:dyDescent="0.25">
      <c r="A4028" s="5">
        <v>39421</v>
      </c>
      <c r="B4028">
        <v>28.194292000000001</v>
      </c>
    </row>
    <row r="4029" spans="1:2" x14ac:dyDescent="0.25">
      <c r="A4029" s="5">
        <v>39422</v>
      </c>
      <c r="B4029">
        <v>28.222228999999999</v>
      </c>
    </row>
    <row r="4030" spans="1:2" x14ac:dyDescent="0.25">
      <c r="A4030" s="5">
        <v>39423</v>
      </c>
      <c r="B4030">
        <v>28.019693</v>
      </c>
    </row>
    <row r="4031" spans="1:2" x14ac:dyDescent="0.25">
      <c r="A4031" s="5">
        <v>39426</v>
      </c>
      <c r="B4031">
        <v>28.333974999999999</v>
      </c>
    </row>
    <row r="4032" spans="1:2" x14ac:dyDescent="0.25">
      <c r="A4032" s="5">
        <v>39427</v>
      </c>
      <c r="B4032">
        <v>28.061602000000001</v>
      </c>
    </row>
    <row r="4033" spans="1:2" x14ac:dyDescent="0.25">
      <c r="A4033" s="5">
        <v>39428</v>
      </c>
      <c r="B4033">
        <v>28.641276999999999</v>
      </c>
    </row>
    <row r="4034" spans="1:2" x14ac:dyDescent="0.25">
      <c r="A4034" s="5">
        <v>39429</v>
      </c>
      <c r="B4034">
        <v>27.838115999999999</v>
      </c>
    </row>
    <row r="4035" spans="1:2" x14ac:dyDescent="0.25">
      <c r="A4035" s="5">
        <v>39430</v>
      </c>
      <c r="B4035">
        <v>27.502886</v>
      </c>
    </row>
    <row r="4036" spans="1:2" x14ac:dyDescent="0.25">
      <c r="A4036" s="5">
        <v>39433</v>
      </c>
      <c r="B4036">
        <v>27.321290999999999</v>
      </c>
    </row>
    <row r="4037" spans="1:2" x14ac:dyDescent="0.25">
      <c r="A4037" s="5">
        <v>39434</v>
      </c>
      <c r="B4037">
        <v>27.041941000000001</v>
      </c>
    </row>
    <row r="4038" spans="1:2" x14ac:dyDescent="0.25">
      <c r="A4038" s="5">
        <v>39435</v>
      </c>
      <c r="B4038">
        <v>26.734652000000001</v>
      </c>
    </row>
    <row r="4039" spans="1:2" x14ac:dyDescent="0.25">
      <c r="A4039" s="5">
        <v>39436</v>
      </c>
      <c r="B4039">
        <v>27.321290999999999</v>
      </c>
    </row>
    <row r="4040" spans="1:2" x14ac:dyDescent="0.25">
      <c r="A4040" s="5">
        <v>39437</v>
      </c>
      <c r="B4040">
        <v>27.907959000000002</v>
      </c>
    </row>
    <row r="4041" spans="1:2" x14ac:dyDescent="0.25">
      <c r="A4041" s="5">
        <v>39440</v>
      </c>
      <c r="B4041">
        <v>28.152397000000001</v>
      </c>
    </row>
    <row r="4042" spans="1:2" x14ac:dyDescent="0.25">
      <c r="A4042" s="5">
        <v>39442</v>
      </c>
      <c r="B4042">
        <v>28.131439</v>
      </c>
    </row>
    <row r="4043" spans="1:2" x14ac:dyDescent="0.25">
      <c r="A4043" s="5">
        <v>39443</v>
      </c>
      <c r="B4043">
        <v>27.712406000000001</v>
      </c>
    </row>
    <row r="4044" spans="1:2" x14ac:dyDescent="0.25">
      <c r="A4044" s="5">
        <v>39444</v>
      </c>
      <c r="B4044">
        <v>27.635587999999998</v>
      </c>
    </row>
    <row r="4045" spans="1:2" x14ac:dyDescent="0.25">
      <c r="A4045" s="5">
        <v>39447</v>
      </c>
      <c r="B4045">
        <v>27.481929999999998</v>
      </c>
    </row>
    <row r="4046" spans="1:2" x14ac:dyDescent="0.25">
      <c r="A4046" s="5">
        <v>39449</v>
      </c>
      <c r="B4046">
        <v>26.811474</v>
      </c>
    </row>
    <row r="4047" spans="1:2" x14ac:dyDescent="0.25">
      <c r="A4047" s="5">
        <v>39450</v>
      </c>
      <c r="B4047">
        <v>26.469263000000002</v>
      </c>
    </row>
    <row r="4048" spans="1:2" x14ac:dyDescent="0.25">
      <c r="A4048" s="5">
        <v>39451</v>
      </c>
      <c r="B4048">
        <v>25.861649</v>
      </c>
    </row>
    <row r="4049" spans="1:2" x14ac:dyDescent="0.25">
      <c r="A4049" s="5">
        <v>39454</v>
      </c>
      <c r="B4049">
        <v>25.456581</v>
      </c>
    </row>
    <row r="4050" spans="1:2" x14ac:dyDescent="0.25">
      <c r="A4050" s="5">
        <v>39455</v>
      </c>
      <c r="B4050">
        <v>25.135321000000001</v>
      </c>
    </row>
    <row r="4051" spans="1:2" x14ac:dyDescent="0.25">
      <c r="A4051" s="5">
        <v>39456</v>
      </c>
      <c r="B4051">
        <v>26.392437000000001</v>
      </c>
    </row>
    <row r="4052" spans="1:2" x14ac:dyDescent="0.25">
      <c r="A4052" s="5">
        <v>39457</v>
      </c>
      <c r="B4052">
        <v>26.532109999999999</v>
      </c>
    </row>
    <row r="4053" spans="1:2" x14ac:dyDescent="0.25">
      <c r="A4053" s="5">
        <v>39458</v>
      </c>
      <c r="B4053">
        <v>26.979084</v>
      </c>
    </row>
    <row r="4054" spans="1:2" x14ac:dyDescent="0.25">
      <c r="A4054" s="5">
        <v>39461</v>
      </c>
      <c r="B4054">
        <v>27.935896</v>
      </c>
    </row>
    <row r="4055" spans="1:2" x14ac:dyDescent="0.25">
      <c r="A4055" s="5">
        <v>39462</v>
      </c>
      <c r="B4055">
        <v>27.481929999999998</v>
      </c>
    </row>
    <row r="4056" spans="1:2" x14ac:dyDescent="0.25">
      <c r="A4056" s="5">
        <v>39463</v>
      </c>
      <c r="B4056">
        <v>27.907959000000002</v>
      </c>
    </row>
    <row r="4057" spans="1:2" x14ac:dyDescent="0.25">
      <c r="A4057" s="5">
        <v>39464</v>
      </c>
      <c r="B4057">
        <v>27.279392000000001</v>
      </c>
    </row>
    <row r="4058" spans="1:2" x14ac:dyDescent="0.25">
      <c r="A4058" s="5">
        <v>39465</v>
      </c>
      <c r="B4058">
        <v>26.783529000000001</v>
      </c>
    </row>
    <row r="4059" spans="1:2" x14ac:dyDescent="0.25">
      <c r="A4059" s="5">
        <v>39469</v>
      </c>
      <c r="B4059">
        <v>25.791805</v>
      </c>
    </row>
    <row r="4060" spans="1:2" x14ac:dyDescent="0.25">
      <c r="A4060" s="5">
        <v>39470</v>
      </c>
      <c r="B4060">
        <v>25.582287000000001</v>
      </c>
    </row>
    <row r="4061" spans="1:2" x14ac:dyDescent="0.25">
      <c r="A4061" s="5">
        <v>39471</v>
      </c>
      <c r="B4061">
        <v>28.222228999999999</v>
      </c>
    </row>
    <row r="4062" spans="1:2" x14ac:dyDescent="0.25">
      <c r="A4062" s="5">
        <v>39472</v>
      </c>
      <c r="B4062">
        <v>27.935896</v>
      </c>
    </row>
    <row r="4063" spans="1:2" x14ac:dyDescent="0.25">
      <c r="A4063" s="5">
        <v>39475</v>
      </c>
      <c r="B4063">
        <v>28.285086</v>
      </c>
    </row>
    <row r="4064" spans="1:2" x14ac:dyDescent="0.25">
      <c r="A4064" s="5">
        <v>39476</v>
      </c>
      <c r="B4064">
        <v>28.145406999999999</v>
      </c>
    </row>
    <row r="4065" spans="1:2" x14ac:dyDescent="0.25">
      <c r="A4065" s="5">
        <v>39477</v>
      </c>
      <c r="B4065">
        <v>28.131439</v>
      </c>
    </row>
    <row r="4066" spans="1:2" x14ac:dyDescent="0.25">
      <c r="A4066" s="5">
        <v>39478</v>
      </c>
      <c r="B4066">
        <v>29.626007000000001</v>
      </c>
    </row>
    <row r="4067" spans="1:2" x14ac:dyDescent="0.25">
      <c r="A4067" s="5">
        <v>39479</v>
      </c>
      <c r="B4067">
        <v>29.472367999999999</v>
      </c>
    </row>
    <row r="4068" spans="1:2" x14ac:dyDescent="0.25">
      <c r="A4068" s="5">
        <v>39482</v>
      </c>
      <c r="B4068">
        <v>29.227920999999998</v>
      </c>
    </row>
    <row r="4069" spans="1:2" x14ac:dyDescent="0.25">
      <c r="A4069" s="5">
        <v>39483</v>
      </c>
      <c r="B4069">
        <v>28.438734</v>
      </c>
    </row>
    <row r="4070" spans="1:2" x14ac:dyDescent="0.25">
      <c r="A4070" s="5">
        <v>39484</v>
      </c>
      <c r="B4070">
        <v>27.691445999999999</v>
      </c>
    </row>
    <row r="4071" spans="1:2" x14ac:dyDescent="0.25">
      <c r="A4071" s="5">
        <v>39485</v>
      </c>
      <c r="B4071">
        <v>28.592372999999998</v>
      </c>
    </row>
    <row r="4072" spans="1:2" x14ac:dyDescent="0.25">
      <c r="A4072" s="5">
        <v>39486</v>
      </c>
      <c r="B4072">
        <v>29.276834000000001</v>
      </c>
    </row>
    <row r="4073" spans="1:2" x14ac:dyDescent="0.25">
      <c r="A4073" s="5">
        <v>39489</v>
      </c>
      <c r="B4073">
        <v>29.234902999999999</v>
      </c>
    </row>
    <row r="4074" spans="1:2" x14ac:dyDescent="0.25">
      <c r="A4074" s="5">
        <v>39490</v>
      </c>
      <c r="B4074">
        <v>28.592372999999998</v>
      </c>
    </row>
    <row r="4075" spans="1:2" x14ac:dyDescent="0.25">
      <c r="A4075" s="5">
        <v>39491</v>
      </c>
      <c r="B4075">
        <v>29.339668</v>
      </c>
    </row>
    <row r="4076" spans="1:2" x14ac:dyDescent="0.25">
      <c r="A4076" s="5">
        <v>39492</v>
      </c>
      <c r="B4076">
        <v>28.543488</v>
      </c>
    </row>
    <row r="4077" spans="1:2" x14ac:dyDescent="0.25">
      <c r="A4077" s="5">
        <v>39493</v>
      </c>
      <c r="B4077">
        <v>29.472367999999999</v>
      </c>
    </row>
    <row r="4078" spans="1:2" x14ac:dyDescent="0.25">
      <c r="A4078" s="5">
        <v>39497</v>
      </c>
      <c r="B4078">
        <v>29.297768000000001</v>
      </c>
    </row>
    <row r="4079" spans="1:2" x14ac:dyDescent="0.25">
      <c r="A4079" s="5">
        <v>39498</v>
      </c>
      <c r="B4079">
        <v>30.289490000000001</v>
      </c>
    </row>
    <row r="4080" spans="1:2" x14ac:dyDescent="0.25">
      <c r="A4080" s="5">
        <v>39499</v>
      </c>
      <c r="B4080">
        <v>29.626007000000001</v>
      </c>
    </row>
    <row r="4081" spans="1:2" x14ac:dyDescent="0.25">
      <c r="A4081" s="5">
        <v>39500</v>
      </c>
      <c r="B4081">
        <v>30.359328999999999</v>
      </c>
    </row>
    <row r="4082" spans="1:2" x14ac:dyDescent="0.25">
      <c r="A4082" s="5">
        <v>39503</v>
      </c>
      <c r="B4082">
        <v>30.533932</v>
      </c>
    </row>
    <row r="4083" spans="1:2" x14ac:dyDescent="0.25">
      <c r="A4083" s="5">
        <v>39504</v>
      </c>
      <c r="B4083">
        <v>30.478055999999999</v>
      </c>
    </row>
    <row r="4084" spans="1:2" x14ac:dyDescent="0.25">
      <c r="A4084" s="5">
        <v>39505</v>
      </c>
      <c r="B4084">
        <v>30.681244</v>
      </c>
    </row>
    <row r="4085" spans="1:2" x14ac:dyDescent="0.25">
      <c r="A4085" s="5">
        <v>39506</v>
      </c>
      <c r="B4085">
        <v>30.351960999999999</v>
      </c>
    </row>
    <row r="4086" spans="1:2" x14ac:dyDescent="0.25">
      <c r="A4086" s="5">
        <v>39507</v>
      </c>
      <c r="B4086">
        <v>29.700333000000001</v>
      </c>
    </row>
    <row r="4087" spans="1:2" x14ac:dyDescent="0.25">
      <c r="A4087" s="5">
        <v>39510</v>
      </c>
      <c r="B4087">
        <v>28.810528000000001</v>
      </c>
    </row>
    <row r="4088" spans="1:2" x14ac:dyDescent="0.25">
      <c r="A4088" s="5">
        <v>39511</v>
      </c>
      <c r="B4088">
        <v>28.873578999999999</v>
      </c>
    </row>
    <row r="4089" spans="1:2" x14ac:dyDescent="0.25">
      <c r="A4089" s="5">
        <v>39512</v>
      </c>
      <c r="B4089">
        <v>29.076765000000002</v>
      </c>
    </row>
    <row r="4090" spans="1:2" x14ac:dyDescent="0.25">
      <c r="A4090" s="5">
        <v>39513</v>
      </c>
      <c r="B4090">
        <v>28.327076000000002</v>
      </c>
    </row>
    <row r="4091" spans="1:2" x14ac:dyDescent="0.25">
      <c r="A4091" s="5">
        <v>39514</v>
      </c>
      <c r="B4091">
        <v>28.193956</v>
      </c>
    </row>
    <row r="4092" spans="1:2" x14ac:dyDescent="0.25">
      <c r="A4092" s="5">
        <v>39517</v>
      </c>
      <c r="B4092">
        <v>27.444251999999999</v>
      </c>
    </row>
    <row r="4093" spans="1:2" x14ac:dyDescent="0.25">
      <c r="A4093" s="5">
        <v>39518</v>
      </c>
      <c r="B4093">
        <v>27.619416999999999</v>
      </c>
    </row>
    <row r="4094" spans="1:2" x14ac:dyDescent="0.25">
      <c r="A4094" s="5">
        <v>39519</v>
      </c>
      <c r="B4094">
        <v>27.850639000000001</v>
      </c>
    </row>
    <row r="4095" spans="1:2" x14ac:dyDescent="0.25">
      <c r="A4095" s="5">
        <v>39520</v>
      </c>
      <c r="B4095">
        <v>28.200959999999998</v>
      </c>
    </row>
    <row r="4096" spans="1:2" x14ac:dyDescent="0.25">
      <c r="A4096" s="5">
        <v>39521</v>
      </c>
      <c r="B4096">
        <v>27.486298000000001</v>
      </c>
    </row>
    <row r="4097" spans="1:2" x14ac:dyDescent="0.25">
      <c r="A4097" s="5">
        <v>39524</v>
      </c>
      <c r="B4097">
        <v>26.974836</v>
      </c>
    </row>
    <row r="4098" spans="1:2" x14ac:dyDescent="0.25">
      <c r="A4098" s="5">
        <v>39525</v>
      </c>
      <c r="B4098">
        <v>28.116882</v>
      </c>
    </row>
    <row r="4099" spans="1:2" x14ac:dyDescent="0.25">
      <c r="A4099" s="5">
        <v>39526</v>
      </c>
      <c r="B4099">
        <v>26.519413</v>
      </c>
    </row>
    <row r="4100" spans="1:2" x14ac:dyDescent="0.25">
      <c r="A4100" s="5">
        <v>39527</v>
      </c>
      <c r="B4100">
        <v>26.813686000000001</v>
      </c>
    </row>
    <row r="4101" spans="1:2" x14ac:dyDescent="0.25">
      <c r="A4101" s="5">
        <v>39531</v>
      </c>
      <c r="B4101">
        <v>27.948730000000001</v>
      </c>
    </row>
    <row r="4102" spans="1:2" x14ac:dyDescent="0.25">
      <c r="A4102" s="5">
        <v>39532</v>
      </c>
      <c r="B4102">
        <v>28.586307999999999</v>
      </c>
    </row>
    <row r="4103" spans="1:2" x14ac:dyDescent="0.25">
      <c r="A4103" s="5">
        <v>39533</v>
      </c>
      <c r="B4103">
        <v>28.369105999999999</v>
      </c>
    </row>
    <row r="4104" spans="1:2" x14ac:dyDescent="0.25">
      <c r="A4104" s="5">
        <v>39534</v>
      </c>
      <c r="B4104">
        <v>27.829622000000001</v>
      </c>
    </row>
    <row r="4105" spans="1:2" x14ac:dyDescent="0.25">
      <c r="A4105" s="5">
        <v>39535</v>
      </c>
      <c r="B4105">
        <v>28.12388</v>
      </c>
    </row>
    <row r="4106" spans="1:2" x14ac:dyDescent="0.25">
      <c r="A4106" s="5">
        <v>39538</v>
      </c>
      <c r="B4106">
        <v>28.726448000000001</v>
      </c>
    </row>
    <row r="4107" spans="1:2" x14ac:dyDescent="0.25">
      <c r="A4107" s="5">
        <v>39539</v>
      </c>
      <c r="B4107">
        <v>29.581223999999999</v>
      </c>
    </row>
    <row r="4108" spans="1:2" x14ac:dyDescent="0.25">
      <c r="A4108" s="5">
        <v>39540</v>
      </c>
      <c r="B4108">
        <v>29.392059</v>
      </c>
    </row>
    <row r="4109" spans="1:2" x14ac:dyDescent="0.25">
      <c r="A4109" s="5">
        <v>39541</v>
      </c>
      <c r="B4109">
        <v>29.350014000000002</v>
      </c>
    </row>
    <row r="4110" spans="1:2" x14ac:dyDescent="0.25">
      <c r="A4110" s="5">
        <v>39542</v>
      </c>
      <c r="B4110">
        <v>29.462116000000002</v>
      </c>
    </row>
    <row r="4111" spans="1:2" x14ac:dyDescent="0.25">
      <c r="A4111" s="5">
        <v>39545</v>
      </c>
      <c r="B4111">
        <v>29.195871</v>
      </c>
    </row>
    <row r="4112" spans="1:2" x14ac:dyDescent="0.25">
      <c r="A4112" s="5">
        <v>39546</v>
      </c>
      <c r="B4112">
        <v>29.483132999999999</v>
      </c>
    </row>
    <row r="4113" spans="1:2" x14ac:dyDescent="0.25">
      <c r="A4113" s="5">
        <v>39547</v>
      </c>
      <c r="B4113">
        <v>29.083767000000002</v>
      </c>
    </row>
    <row r="4114" spans="1:2" x14ac:dyDescent="0.25">
      <c r="A4114" s="5">
        <v>39548</v>
      </c>
      <c r="B4114">
        <v>29.833466000000001</v>
      </c>
    </row>
    <row r="4115" spans="1:2" x14ac:dyDescent="0.25">
      <c r="A4115" s="5">
        <v>39549</v>
      </c>
      <c r="B4115">
        <v>29.006702000000001</v>
      </c>
    </row>
    <row r="4116" spans="1:2" x14ac:dyDescent="0.25">
      <c r="A4116" s="5">
        <v>39552</v>
      </c>
      <c r="B4116">
        <v>28.978674000000002</v>
      </c>
    </row>
    <row r="4117" spans="1:2" x14ac:dyDescent="0.25">
      <c r="A4117" s="5">
        <v>39553</v>
      </c>
      <c r="B4117">
        <v>28.859567999999999</v>
      </c>
    </row>
    <row r="4118" spans="1:2" x14ac:dyDescent="0.25">
      <c r="A4118" s="5">
        <v>39554</v>
      </c>
      <c r="B4118">
        <v>29.609259000000002</v>
      </c>
    </row>
    <row r="4119" spans="1:2" x14ac:dyDescent="0.25">
      <c r="A4119" s="5">
        <v>39555</v>
      </c>
      <c r="B4119">
        <v>29.476133000000001</v>
      </c>
    </row>
    <row r="4120" spans="1:2" x14ac:dyDescent="0.25">
      <c r="A4120" s="5">
        <v>39556</v>
      </c>
      <c r="B4120">
        <v>29.812436999999999</v>
      </c>
    </row>
    <row r="4121" spans="1:2" x14ac:dyDescent="0.25">
      <c r="A4121" s="5">
        <v>39559</v>
      </c>
      <c r="B4121">
        <v>29.861491999999998</v>
      </c>
    </row>
    <row r="4122" spans="1:2" x14ac:dyDescent="0.25">
      <c r="A4122" s="5">
        <v>39560</v>
      </c>
      <c r="B4122">
        <v>29.111794</v>
      </c>
    </row>
    <row r="4123" spans="1:2" x14ac:dyDescent="0.25">
      <c r="A4123" s="5">
        <v>39561</v>
      </c>
      <c r="B4123">
        <v>29.350014000000002</v>
      </c>
    </row>
    <row r="4124" spans="1:2" x14ac:dyDescent="0.25">
      <c r="A4124" s="5">
        <v>39562</v>
      </c>
      <c r="B4124">
        <v>30.239836</v>
      </c>
    </row>
    <row r="4125" spans="1:2" x14ac:dyDescent="0.25">
      <c r="A4125" s="5">
        <v>39563</v>
      </c>
      <c r="B4125">
        <v>30.2959</v>
      </c>
    </row>
    <row r="4126" spans="1:2" x14ac:dyDescent="0.25">
      <c r="A4126" s="5">
        <v>39566</v>
      </c>
      <c r="B4126">
        <v>30.330914</v>
      </c>
    </row>
    <row r="4127" spans="1:2" x14ac:dyDescent="0.25">
      <c r="A4127" s="5">
        <v>39567</v>
      </c>
      <c r="B4127">
        <v>30.660229000000001</v>
      </c>
    </row>
    <row r="4128" spans="1:2" x14ac:dyDescent="0.25">
      <c r="A4128" s="5">
        <v>39568</v>
      </c>
      <c r="B4128">
        <v>30.260854999999999</v>
      </c>
    </row>
    <row r="4129" spans="1:2" x14ac:dyDescent="0.25">
      <c r="A4129" s="5">
        <v>39569</v>
      </c>
      <c r="B4129">
        <v>31.080606</v>
      </c>
    </row>
    <row r="4130" spans="1:2" x14ac:dyDescent="0.25">
      <c r="A4130" s="5">
        <v>39570</v>
      </c>
      <c r="B4130">
        <v>31.059588999999999</v>
      </c>
    </row>
    <row r="4131" spans="1:2" x14ac:dyDescent="0.25">
      <c r="A4131" s="5">
        <v>39573</v>
      </c>
      <c r="B4131">
        <v>30.779329000000001</v>
      </c>
    </row>
    <row r="4132" spans="1:2" x14ac:dyDescent="0.25">
      <c r="A4132" s="5">
        <v>39574</v>
      </c>
      <c r="B4132">
        <v>31.213739</v>
      </c>
    </row>
    <row r="4133" spans="1:2" x14ac:dyDescent="0.25">
      <c r="A4133" s="5">
        <v>39575</v>
      </c>
      <c r="B4133">
        <v>30.506084000000001</v>
      </c>
    </row>
    <row r="4134" spans="1:2" x14ac:dyDescent="0.25">
      <c r="A4134" s="5">
        <v>39576</v>
      </c>
      <c r="B4134">
        <v>30.898440999999998</v>
      </c>
    </row>
    <row r="4135" spans="1:2" x14ac:dyDescent="0.25">
      <c r="A4135" s="5">
        <v>39577</v>
      </c>
      <c r="B4135">
        <v>30.632196</v>
      </c>
    </row>
    <row r="4136" spans="1:2" x14ac:dyDescent="0.25">
      <c r="A4136" s="5">
        <v>39580</v>
      </c>
      <c r="B4136">
        <v>31.269774999999999</v>
      </c>
    </row>
    <row r="4137" spans="1:2" x14ac:dyDescent="0.25">
      <c r="A4137" s="5">
        <v>39581</v>
      </c>
      <c r="B4137">
        <v>31.227747000000001</v>
      </c>
    </row>
    <row r="4138" spans="1:2" x14ac:dyDescent="0.25">
      <c r="A4138" s="5">
        <v>39582</v>
      </c>
      <c r="B4138">
        <v>30.919464000000001</v>
      </c>
    </row>
    <row r="4139" spans="1:2" x14ac:dyDescent="0.25">
      <c r="A4139" s="5">
        <v>39583</v>
      </c>
      <c r="B4139">
        <v>31.529011000000001</v>
      </c>
    </row>
    <row r="4140" spans="1:2" x14ac:dyDescent="0.25">
      <c r="A4140" s="5">
        <v>39584</v>
      </c>
      <c r="B4140">
        <v>32.860244999999999</v>
      </c>
    </row>
    <row r="4141" spans="1:2" x14ac:dyDescent="0.25">
      <c r="A4141" s="5">
        <v>39587</v>
      </c>
      <c r="B4141">
        <v>33.175545</v>
      </c>
    </row>
    <row r="4142" spans="1:2" x14ac:dyDescent="0.25">
      <c r="A4142" s="5">
        <v>39588</v>
      </c>
      <c r="B4142">
        <v>32.271712999999998</v>
      </c>
    </row>
    <row r="4143" spans="1:2" x14ac:dyDescent="0.25">
      <c r="A4143" s="5">
        <v>39589</v>
      </c>
      <c r="B4143">
        <v>32.355784999999997</v>
      </c>
    </row>
    <row r="4144" spans="1:2" x14ac:dyDescent="0.25">
      <c r="A4144" s="5">
        <v>39590</v>
      </c>
      <c r="B4144">
        <v>32.138587999999999</v>
      </c>
    </row>
    <row r="4145" spans="1:2" x14ac:dyDescent="0.25">
      <c r="A4145" s="5">
        <v>39591</v>
      </c>
      <c r="B4145">
        <v>33.462806999999998</v>
      </c>
    </row>
    <row r="4146" spans="1:2" x14ac:dyDescent="0.25">
      <c r="A4146" s="5">
        <v>39595</v>
      </c>
      <c r="B4146">
        <v>34.226500999999999</v>
      </c>
    </row>
    <row r="4147" spans="1:2" x14ac:dyDescent="0.25">
      <c r="A4147" s="5">
        <v>39596</v>
      </c>
      <c r="B4147">
        <v>33.966422999999999</v>
      </c>
    </row>
    <row r="4148" spans="1:2" x14ac:dyDescent="0.25">
      <c r="A4148" s="5">
        <v>39597</v>
      </c>
      <c r="B4148">
        <v>34.599068000000003</v>
      </c>
    </row>
    <row r="4149" spans="1:2" x14ac:dyDescent="0.25">
      <c r="A4149" s="5">
        <v>39598</v>
      </c>
      <c r="B4149">
        <v>34.121074999999998</v>
      </c>
    </row>
    <row r="4150" spans="1:2" x14ac:dyDescent="0.25">
      <c r="A4150" s="5">
        <v>39601</v>
      </c>
      <c r="B4150">
        <v>33.530597999999998</v>
      </c>
    </row>
    <row r="4151" spans="1:2" x14ac:dyDescent="0.25">
      <c r="A4151" s="5">
        <v>39602</v>
      </c>
      <c r="B4151">
        <v>33.031497999999999</v>
      </c>
    </row>
    <row r="4152" spans="1:2" x14ac:dyDescent="0.25">
      <c r="A4152" s="5">
        <v>39603</v>
      </c>
      <c r="B4152">
        <v>34.057803999999997</v>
      </c>
    </row>
    <row r="4153" spans="1:2" x14ac:dyDescent="0.25">
      <c r="A4153" s="5">
        <v>39604</v>
      </c>
      <c r="B4153">
        <v>34.718563000000003</v>
      </c>
    </row>
    <row r="4154" spans="1:2" x14ac:dyDescent="0.25">
      <c r="A4154" s="5">
        <v>39605</v>
      </c>
      <c r="B4154">
        <v>33.136935999999999</v>
      </c>
    </row>
    <row r="4155" spans="1:2" x14ac:dyDescent="0.25">
      <c r="A4155" s="5">
        <v>39608</v>
      </c>
      <c r="B4155">
        <v>33.115851999999997</v>
      </c>
    </row>
    <row r="4156" spans="1:2" x14ac:dyDescent="0.25">
      <c r="A4156" s="5">
        <v>39609</v>
      </c>
      <c r="B4156">
        <v>33.333767000000002</v>
      </c>
    </row>
    <row r="4157" spans="1:2" x14ac:dyDescent="0.25">
      <c r="A4157" s="5">
        <v>39610</v>
      </c>
      <c r="B4157">
        <v>32.553482000000002</v>
      </c>
    </row>
    <row r="4158" spans="1:2" x14ac:dyDescent="0.25">
      <c r="A4158" s="5">
        <v>39611</v>
      </c>
      <c r="B4158">
        <v>34.430351000000002</v>
      </c>
    </row>
    <row r="4159" spans="1:2" x14ac:dyDescent="0.25">
      <c r="A4159" s="5">
        <v>39612</v>
      </c>
      <c r="B4159">
        <v>35.140335</v>
      </c>
    </row>
    <row r="4160" spans="1:2" x14ac:dyDescent="0.25">
      <c r="A4160" s="5">
        <v>39615</v>
      </c>
      <c r="B4160">
        <v>34.824016999999998</v>
      </c>
    </row>
    <row r="4161" spans="1:2" x14ac:dyDescent="0.25">
      <c r="A4161" s="5">
        <v>39616</v>
      </c>
      <c r="B4161">
        <v>34.184319000000002</v>
      </c>
    </row>
    <row r="4162" spans="1:2" x14ac:dyDescent="0.25">
      <c r="A4162" s="5">
        <v>39617</v>
      </c>
      <c r="B4162">
        <v>34.514721000000002</v>
      </c>
    </row>
    <row r="4163" spans="1:2" x14ac:dyDescent="0.25">
      <c r="A4163" s="5">
        <v>39618</v>
      </c>
      <c r="B4163">
        <v>35.400444</v>
      </c>
    </row>
    <row r="4164" spans="1:2" x14ac:dyDescent="0.25">
      <c r="A4164" s="5">
        <v>39619</v>
      </c>
      <c r="B4164">
        <v>34.114024999999998</v>
      </c>
    </row>
    <row r="4165" spans="1:2" x14ac:dyDescent="0.25">
      <c r="A4165" s="5">
        <v>39622</v>
      </c>
      <c r="B4165">
        <v>33.607909999999997</v>
      </c>
    </row>
    <row r="4166" spans="1:2" x14ac:dyDescent="0.25">
      <c r="A4166" s="5">
        <v>39623</v>
      </c>
      <c r="B4166">
        <v>32.525371999999997</v>
      </c>
    </row>
    <row r="4167" spans="1:2" x14ac:dyDescent="0.25">
      <c r="A4167" s="5">
        <v>39624</v>
      </c>
      <c r="B4167">
        <v>33.151001000000001</v>
      </c>
    </row>
    <row r="4168" spans="1:2" x14ac:dyDescent="0.25">
      <c r="A4168" s="5">
        <v>39625</v>
      </c>
      <c r="B4168">
        <v>31.709935999999999</v>
      </c>
    </row>
    <row r="4169" spans="1:2" x14ac:dyDescent="0.25">
      <c r="A4169" s="5">
        <v>39626</v>
      </c>
      <c r="B4169">
        <v>32.089545999999999</v>
      </c>
    </row>
    <row r="4170" spans="1:2" x14ac:dyDescent="0.25">
      <c r="A4170" s="5">
        <v>39629</v>
      </c>
      <c r="B4170">
        <v>31.189772000000001</v>
      </c>
    </row>
    <row r="4171" spans="1:2" x14ac:dyDescent="0.25">
      <c r="A4171" s="5">
        <v>39630</v>
      </c>
      <c r="B4171">
        <v>32.209045000000003</v>
      </c>
    </row>
    <row r="4172" spans="1:2" x14ac:dyDescent="0.25">
      <c r="A4172" s="5">
        <v>39631</v>
      </c>
      <c r="B4172">
        <v>31.667786</v>
      </c>
    </row>
    <row r="4173" spans="1:2" x14ac:dyDescent="0.25">
      <c r="A4173" s="5">
        <v>39632</v>
      </c>
      <c r="B4173">
        <v>31.667786</v>
      </c>
    </row>
    <row r="4174" spans="1:2" x14ac:dyDescent="0.25">
      <c r="A4174" s="5">
        <v>39636</v>
      </c>
      <c r="B4174">
        <v>31.885693</v>
      </c>
    </row>
    <row r="4175" spans="1:2" x14ac:dyDescent="0.25">
      <c r="A4175" s="5">
        <v>39637</v>
      </c>
      <c r="B4175">
        <v>33.425139999999999</v>
      </c>
    </row>
    <row r="4176" spans="1:2" x14ac:dyDescent="0.25">
      <c r="A4176" s="5">
        <v>39638</v>
      </c>
      <c r="B4176">
        <v>32.743282000000001</v>
      </c>
    </row>
    <row r="4177" spans="1:2" x14ac:dyDescent="0.25">
      <c r="A4177" s="5">
        <v>39639</v>
      </c>
      <c r="B4177">
        <v>33.860973000000001</v>
      </c>
    </row>
    <row r="4178" spans="1:2" x14ac:dyDescent="0.25">
      <c r="A4178" s="5">
        <v>39640</v>
      </c>
      <c r="B4178">
        <v>33.973433999999997</v>
      </c>
    </row>
    <row r="4179" spans="1:2" x14ac:dyDescent="0.25">
      <c r="A4179" s="5">
        <v>39643</v>
      </c>
      <c r="B4179">
        <v>33.628990000000002</v>
      </c>
    </row>
    <row r="4180" spans="1:2" x14ac:dyDescent="0.25">
      <c r="A4180" s="5">
        <v>39644</v>
      </c>
      <c r="B4180">
        <v>32.968238999999997</v>
      </c>
    </row>
    <row r="4181" spans="1:2" x14ac:dyDescent="0.25">
      <c r="A4181" s="5">
        <v>39645</v>
      </c>
      <c r="B4181">
        <v>33.024464000000002</v>
      </c>
    </row>
    <row r="4182" spans="1:2" x14ac:dyDescent="0.25">
      <c r="A4182" s="5">
        <v>39646</v>
      </c>
      <c r="B4182">
        <v>32.026282999999999</v>
      </c>
    </row>
    <row r="4183" spans="1:2" x14ac:dyDescent="0.25">
      <c r="A4183" s="5">
        <v>39647</v>
      </c>
      <c r="B4183">
        <v>31.766190999999999</v>
      </c>
    </row>
    <row r="4184" spans="1:2" x14ac:dyDescent="0.25">
      <c r="A4184" s="5">
        <v>39650</v>
      </c>
      <c r="B4184">
        <v>31.829457999999999</v>
      </c>
    </row>
    <row r="4185" spans="1:2" x14ac:dyDescent="0.25">
      <c r="A4185" s="5">
        <v>39651</v>
      </c>
      <c r="B4185">
        <v>30.999980999999998</v>
      </c>
    </row>
    <row r="4186" spans="1:2" x14ac:dyDescent="0.25">
      <c r="A4186" s="5">
        <v>39652</v>
      </c>
      <c r="B4186">
        <v>31.506094000000001</v>
      </c>
    </row>
    <row r="4187" spans="1:2" x14ac:dyDescent="0.25">
      <c r="A4187" s="5">
        <v>39653</v>
      </c>
      <c r="B4187">
        <v>36.855530000000002</v>
      </c>
    </row>
    <row r="4188" spans="1:2" x14ac:dyDescent="0.25">
      <c r="A4188" s="5">
        <v>39654</v>
      </c>
      <c r="B4188">
        <v>38.275471000000003</v>
      </c>
    </row>
    <row r="4189" spans="1:2" x14ac:dyDescent="0.25">
      <c r="A4189" s="5">
        <v>39657</v>
      </c>
      <c r="B4189">
        <v>37.551453000000002</v>
      </c>
    </row>
    <row r="4190" spans="1:2" x14ac:dyDescent="0.25">
      <c r="A4190" s="5">
        <v>39658</v>
      </c>
      <c r="B4190">
        <v>38.605857999999998</v>
      </c>
    </row>
    <row r="4191" spans="1:2" x14ac:dyDescent="0.25">
      <c r="A4191" s="5">
        <v>39659</v>
      </c>
      <c r="B4191">
        <v>39.111995999999998</v>
      </c>
    </row>
    <row r="4192" spans="1:2" x14ac:dyDescent="0.25">
      <c r="A4192" s="5">
        <v>39660</v>
      </c>
      <c r="B4192">
        <v>38.901127000000002</v>
      </c>
    </row>
    <row r="4193" spans="1:2" x14ac:dyDescent="0.25">
      <c r="A4193" s="5">
        <v>39661</v>
      </c>
      <c r="B4193">
        <v>38.992485000000002</v>
      </c>
    </row>
    <row r="4194" spans="1:2" x14ac:dyDescent="0.25">
      <c r="A4194" s="5">
        <v>39664</v>
      </c>
      <c r="B4194">
        <v>37.164817999999997</v>
      </c>
    </row>
    <row r="4195" spans="1:2" x14ac:dyDescent="0.25">
      <c r="A4195" s="5">
        <v>39665</v>
      </c>
      <c r="B4195">
        <v>39.175261999999996</v>
      </c>
    </row>
    <row r="4196" spans="1:2" x14ac:dyDescent="0.25">
      <c r="A4196" s="5">
        <v>39666</v>
      </c>
      <c r="B4196">
        <v>39.055751999999998</v>
      </c>
    </row>
    <row r="4197" spans="1:2" x14ac:dyDescent="0.25">
      <c r="A4197" s="5">
        <v>39667</v>
      </c>
      <c r="B4197">
        <v>38.929229999999997</v>
      </c>
    </row>
    <row r="4198" spans="1:2" x14ac:dyDescent="0.25">
      <c r="A4198" s="5">
        <v>39668</v>
      </c>
      <c r="B4198">
        <v>39.266646999999999</v>
      </c>
    </row>
    <row r="4199" spans="1:2" x14ac:dyDescent="0.25">
      <c r="A4199" s="5">
        <v>39671</v>
      </c>
      <c r="B4199">
        <v>38.254398000000002</v>
      </c>
    </row>
    <row r="4200" spans="1:2" x14ac:dyDescent="0.25">
      <c r="A4200" s="5">
        <v>39672</v>
      </c>
      <c r="B4200">
        <v>38.106780999999998</v>
      </c>
    </row>
    <row r="4201" spans="1:2" x14ac:dyDescent="0.25">
      <c r="A4201" s="5">
        <v>39673</v>
      </c>
      <c r="B4201">
        <v>38.936248999999997</v>
      </c>
    </row>
    <row r="4202" spans="1:2" x14ac:dyDescent="0.25">
      <c r="A4202" s="5">
        <v>39674</v>
      </c>
      <c r="B4202">
        <v>39.611072999999998</v>
      </c>
    </row>
    <row r="4203" spans="1:2" x14ac:dyDescent="0.25">
      <c r="A4203" s="5">
        <v>39675</v>
      </c>
      <c r="B4203">
        <v>39.625140999999999</v>
      </c>
    </row>
    <row r="4204" spans="1:2" x14ac:dyDescent="0.25">
      <c r="A4204" s="5">
        <v>39678</v>
      </c>
      <c r="B4204">
        <v>38.901127000000002</v>
      </c>
    </row>
    <row r="4205" spans="1:2" x14ac:dyDescent="0.25">
      <c r="A4205" s="5">
        <v>39679</v>
      </c>
      <c r="B4205">
        <v>38.514488</v>
      </c>
    </row>
    <row r="4206" spans="1:2" x14ac:dyDescent="0.25">
      <c r="A4206" s="5">
        <v>39680</v>
      </c>
      <c r="B4206">
        <v>38.626956999999997</v>
      </c>
    </row>
    <row r="4207" spans="1:2" x14ac:dyDescent="0.25">
      <c r="A4207" s="5">
        <v>39681</v>
      </c>
      <c r="B4207">
        <v>38.458263000000002</v>
      </c>
    </row>
    <row r="4208" spans="1:2" x14ac:dyDescent="0.25">
      <c r="A4208" s="5">
        <v>39682</v>
      </c>
      <c r="B4208">
        <v>38.950310000000002</v>
      </c>
    </row>
    <row r="4209" spans="1:2" x14ac:dyDescent="0.25">
      <c r="A4209" s="5">
        <v>39685</v>
      </c>
      <c r="B4209">
        <v>37.874802000000003</v>
      </c>
    </row>
    <row r="4210" spans="1:2" x14ac:dyDescent="0.25">
      <c r="A4210" s="5">
        <v>39686</v>
      </c>
      <c r="B4210">
        <v>37.607689000000001</v>
      </c>
    </row>
    <row r="4211" spans="1:2" x14ac:dyDescent="0.25">
      <c r="A4211" s="5">
        <v>39687</v>
      </c>
      <c r="B4211">
        <v>38.129424999999998</v>
      </c>
    </row>
    <row r="4212" spans="1:2" x14ac:dyDescent="0.25">
      <c r="A4212" s="5">
        <v>39688</v>
      </c>
      <c r="B4212">
        <v>38.051872000000003</v>
      </c>
    </row>
    <row r="4213" spans="1:2" x14ac:dyDescent="0.25">
      <c r="A4213" s="5">
        <v>39689</v>
      </c>
      <c r="B4213">
        <v>37.121197000000002</v>
      </c>
    </row>
    <row r="4214" spans="1:2" x14ac:dyDescent="0.25">
      <c r="A4214" s="5">
        <v>39693</v>
      </c>
      <c r="B4214">
        <v>36.077717</v>
      </c>
    </row>
    <row r="4215" spans="1:2" x14ac:dyDescent="0.25">
      <c r="A4215" s="5">
        <v>39694</v>
      </c>
      <c r="B4215">
        <v>34.731064000000003</v>
      </c>
    </row>
    <row r="4216" spans="1:2" x14ac:dyDescent="0.25">
      <c r="A4216" s="5">
        <v>39695</v>
      </c>
      <c r="B4216">
        <v>34.223415000000003</v>
      </c>
    </row>
    <row r="4217" spans="1:2" x14ac:dyDescent="0.25">
      <c r="A4217" s="5">
        <v>39696</v>
      </c>
      <c r="B4217">
        <v>33.610022999999998</v>
      </c>
    </row>
    <row r="4218" spans="1:2" x14ac:dyDescent="0.25">
      <c r="A4218" s="5">
        <v>39699</v>
      </c>
      <c r="B4218">
        <v>32.630001</v>
      </c>
    </row>
    <row r="4219" spans="1:2" x14ac:dyDescent="0.25">
      <c r="A4219" s="5">
        <v>39700</v>
      </c>
      <c r="B4219">
        <v>32.157603999999999</v>
      </c>
    </row>
    <row r="4220" spans="1:2" x14ac:dyDescent="0.25">
      <c r="A4220" s="5">
        <v>39701</v>
      </c>
      <c r="B4220">
        <v>32.947285000000001</v>
      </c>
    </row>
    <row r="4221" spans="1:2" x14ac:dyDescent="0.25">
      <c r="A4221" s="5">
        <v>39702</v>
      </c>
      <c r="B4221">
        <v>34.611190999999998</v>
      </c>
    </row>
    <row r="4222" spans="1:2" x14ac:dyDescent="0.25">
      <c r="A4222" s="5">
        <v>39703</v>
      </c>
      <c r="B4222">
        <v>33.786270000000002</v>
      </c>
    </row>
    <row r="4223" spans="1:2" x14ac:dyDescent="0.25">
      <c r="A4223" s="5">
        <v>39706</v>
      </c>
      <c r="B4223">
        <v>33.010722999999999</v>
      </c>
    </row>
    <row r="4224" spans="1:2" x14ac:dyDescent="0.25">
      <c r="A4224" s="5">
        <v>39707</v>
      </c>
      <c r="B4224">
        <v>33.786270000000002</v>
      </c>
    </row>
    <row r="4225" spans="1:2" x14ac:dyDescent="0.25">
      <c r="A4225" s="5">
        <v>39708</v>
      </c>
      <c r="B4225">
        <v>31.685214999999999</v>
      </c>
    </row>
    <row r="4226" spans="1:2" x14ac:dyDescent="0.25">
      <c r="A4226" s="5">
        <v>39709</v>
      </c>
      <c r="B4226">
        <v>32.926108999999997</v>
      </c>
    </row>
    <row r="4227" spans="1:2" x14ac:dyDescent="0.25">
      <c r="A4227" s="5">
        <v>39710</v>
      </c>
      <c r="B4227">
        <v>34.364421999999998</v>
      </c>
    </row>
    <row r="4228" spans="1:2" x14ac:dyDescent="0.25">
      <c r="A4228" s="5">
        <v>39713</v>
      </c>
      <c r="B4228">
        <v>32.404366000000003</v>
      </c>
    </row>
    <row r="4229" spans="1:2" x14ac:dyDescent="0.25">
      <c r="A4229" s="5">
        <v>39714</v>
      </c>
      <c r="B4229">
        <v>32.369109999999999</v>
      </c>
    </row>
    <row r="4230" spans="1:2" x14ac:dyDescent="0.25">
      <c r="A4230" s="5">
        <v>39715</v>
      </c>
      <c r="B4230">
        <v>31.931972999999999</v>
      </c>
    </row>
    <row r="4231" spans="1:2" x14ac:dyDescent="0.25">
      <c r="A4231" s="5">
        <v>39716</v>
      </c>
      <c r="B4231">
        <v>32.813313000000001</v>
      </c>
    </row>
    <row r="4232" spans="1:2" x14ac:dyDescent="0.25">
      <c r="A4232" s="5">
        <v>39717</v>
      </c>
      <c r="B4232">
        <v>32.319777999999999</v>
      </c>
    </row>
    <row r="4233" spans="1:2" x14ac:dyDescent="0.25">
      <c r="A4233" s="5">
        <v>39720</v>
      </c>
      <c r="B4233">
        <v>28.117626000000001</v>
      </c>
    </row>
    <row r="4234" spans="1:2" x14ac:dyDescent="0.25">
      <c r="A4234" s="5">
        <v>39721</v>
      </c>
      <c r="B4234">
        <v>30.296264999999998</v>
      </c>
    </row>
    <row r="4235" spans="1:2" x14ac:dyDescent="0.25">
      <c r="A4235" s="5">
        <v>39722</v>
      </c>
      <c r="B4235">
        <v>29.273925999999999</v>
      </c>
    </row>
    <row r="4236" spans="1:2" x14ac:dyDescent="0.25">
      <c r="A4236" s="5">
        <v>39723</v>
      </c>
      <c r="B4236">
        <v>28.604116000000001</v>
      </c>
    </row>
    <row r="4237" spans="1:2" x14ac:dyDescent="0.25">
      <c r="A4237" s="5">
        <v>39724</v>
      </c>
      <c r="B4237">
        <v>28.815633999999999</v>
      </c>
    </row>
    <row r="4238" spans="1:2" x14ac:dyDescent="0.25">
      <c r="A4238" s="5">
        <v>39727</v>
      </c>
      <c r="B4238">
        <v>28.364402999999999</v>
      </c>
    </row>
    <row r="4239" spans="1:2" x14ac:dyDescent="0.25">
      <c r="A4239" s="5">
        <v>39728</v>
      </c>
      <c r="B4239">
        <v>27.624089999999999</v>
      </c>
    </row>
    <row r="4240" spans="1:2" x14ac:dyDescent="0.25">
      <c r="A4240" s="5">
        <v>39729</v>
      </c>
      <c r="B4240">
        <v>28.956644000000001</v>
      </c>
    </row>
    <row r="4241" spans="1:2" x14ac:dyDescent="0.25">
      <c r="A4241" s="5">
        <v>39730</v>
      </c>
      <c r="B4241">
        <v>27.976610000000001</v>
      </c>
    </row>
    <row r="4242" spans="1:2" x14ac:dyDescent="0.25">
      <c r="A4242" s="5">
        <v>39731</v>
      </c>
      <c r="B4242">
        <v>27.483070000000001</v>
      </c>
    </row>
    <row r="4243" spans="1:2" x14ac:dyDescent="0.25">
      <c r="A4243" s="5">
        <v>39734</v>
      </c>
      <c r="B4243">
        <v>29.82386</v>
      </c>
    </row>
    <row r="4244" spans="1:2" x14ac:dyDescent="0.25">
      <c r="A4244" s="5">
        <v>39735</v>
      </c>
      <c r="B4244">
        <v>28.427845000000001</v>
      </c>
    </row>
    <row r="4245" spans="1:2" x14ac:dyDescent="0.25">
      <c r="A4245" s="5">
        <v>39736</v>
      </c>
      <c r="B4245">
        <v>25.600584000000001</v>
      </c>
    </row>
    <row r="4246" spans="1:2" x14ac:dyDescent="0.25">
      <c r="A4246" s="5">
        <v>39737</v>
      </c>
      <c r="B4246">
        <v>27.419620999999999</v>
      </c>
    </row>
    <row r="4247" spans="1:2" x14ac:dyDescent="0.25">
      <c r="A4247" s="5">
        <v>39738</v>
      </c>
      <c r="B4247">
        <v>28.025969</v>
      </c>
    </row>
    <row r="4248" spans="1:2" x14ac:dyDescent="0.25">
      <c r="A4248" s="5">
        <v>39741</v>
      </c>
      <c r="B4248">
        <v>28.406690999999999</v>
      </c>
    </row>
    <row r="4249" spans="1:2" x14ac:dyDescent="0.25">
      <c r="A4249" s="5">
        <v>39742</v>
      </c>
      <c r="B4249">
        <v>25.826198999999999</v>
      </c>
    </row>
    <row r="4250" spans="1:2" x14ac:dyDescent="0.25">
      <c r="A4250" s="5">
        <v>39743</v>
      </c>
      <c r="B4250">
        <v>25.128195000000002</v>
      </c>
    </row>
    <row r="4251" spans="1:2" x14ac:dyDescent="0.25">
      <c r="A4251" s="5">
        <v>39744</v>
      </c>
      <c r="B4251">
        <v>24.86731</v>
      </c>
    </row>
    <row r="4252" spans="1:2" x14ac:dyDescent="0.25">
      <c r="A4252" s="5">
        <v>39745</v>
      </c>
      <c r="B4252">
        <v>24.669896999999999</v>
      </c>
    </row>
    <row r="4253" spans="1:2" x14ac:dyDescent="0.25">
      <c r="A4253" s="5">
        <v>39748</v>
      </c>
      <c r="B4253">
        <v>23.957802000000001</v>
      </c>
    </row>
    <row r="4254" spans="1:2" x14ac:dyDescent="0.25">
      <c r="A4254" s="5">
        <v>39749</v>
      </c>
      <c r="B4254">
        <v>27.433721999999999</v>
      </c>
    </row>
    <row r="4255" spans="1:2" x14ac:dyDescent="0.25">
      <c r="A4255" s="5">
        <v>39750</v>
      </c>
      <c r="B4255">
        <v>26.735717999999999</v>
      </c>
    </row>
    <row r="4256" spans="1:2" x14ac:dyDescent="0.25">
      <c r="A4256" s="5">
        <v>39751</v>
      </c>
      <c r="B4256">
        <v>28.004814</v>
      </c>
    </row>
    <row r="4257" spans="1:2" x14ac:dyDescent="0.25">
      <c r="A4257" s="5">
        <v>39752</v>
      </c>
      <c r="B4257">
        <v>26.975435000000001</v>
      </c>
    </row>
    <row r="4258" spans="1:2" x14ac:dyDescent="0.25">
      <c r="A4258" s="5">
        <v>39755</v>
      </c>
      <c r="B4258">
        <v>26.228081</v>
      </c>
    </row>
    <row r="4259" spans="1:2" x14ac:dyDescent="0.25">
      <c r="A4259" s="5">
        <v>39756</v>
      </c>
      <c r="B4259">
        <v>26.763918</v>
      </c>
    </row>
    <row r="4260" spans="1:2" x14ac:dyDescent="0.25">
      <c r="A4260" s="5">
        <v>39757</v>
      </c>
      <c r="B4260">
        <v>24.796817999999998</v>
      </c>
    </row>
    <row r="4261" spans="1:2" x14ac:dyDescent="0.25">
      <c r="A4261" s="5">
        <v>39758</v>
      </c>
      <c r="B4261">
        <v>23.302101</v>
      </c>
    </row>
    <row r="4262" spans="1:2" x14ac:dyDescent="0.25">
      <c r="A4262" s="5">
        <v>39759</v>
      </c>
      <c r="B4262">
        <v>25.142294</v>
      </c>
    </row>
    <row r="4263" spans="1:2" x14ac:dyDescent="0.25">
      <c r="A4263" s="5">
        <v>39762</v>
      </c>
      <c r="B4263">
        <v>24.895524999999999</v>
      </c>
    </row>
    <row r="4264" spans="1:2" x14ac:dyDescent="0.25">
      <c r="A4264" s="5">
        <v>39763</v>
      </c>
      <c r="B4264">
        <v>24.726309000000001</v>
      </c>
    </row>
    <row r="4265" spans="1:2" x14ac:dyDescent="0.25">
      <c r="A4265" s="5">
        <v>39764</v>
      </c>
      <c r="B4265">
        <v>22.963671000000001</v>
      </c>
    </row>
    <row r="4266" spans="1:2" x14ac:dyDescent="0.25">
      <c r="A4266" s="5">
        <v>39765</v>
      </c>
      <c r="B4266">
        <v>24.550034</v>
      </c>
    </row>
    <row r="4267" spans="1:2" x14ac:dyDescent="0.25">
      <c r="A4267" s="5">
        <v>39766</v>
      </c>
      <c r="B4267">
        <v>23.224546</v>
      </c>
    </row>
    <row r="4268" spans="1:2" x14ac:dyDescent="0.25">
      <c r="A4268" s="5">
        <v>39769</v>
      </c>
      <c r="B4268">
        <v>22.315016</v>
      </c>
    </row>
    <row r="4269" spans="1:2" x14ac:dyDescent="0.25">
      <c r="A4269" s="5">
        <v>39770</v>
      </c>
      <c r="B4269">
        <v>22.427828000000002</v>
      </c>
    </row>
    <row r="4270" spans="1:2" x14ac:dyDescent="0.25">
      <c r="A4270" s="5">
        <v>39771</v>
      </c>
      <c r="B4270">
        <v>21.158728</v>
      </c>
    </row>
    <row r="4271" spans="1:2" x14ac:dyDescent="0.25">
      <c r="A4271" s="5">
        <v>39772</v>
      </c>
      <c r="B4271">
        <v>20.594677000000001</v>
      </c>
    </row>
    <row r="4272" spans="1:2" x14ac:dyDescent="0.25">
      <c r="A4272" s="5">
        <v>39773</v>
      </c>
      <c r="B4272">
        <v>21.271536000000001</v>
      </c>
    </row>
    <row r="4273" spans="1:2" x14ac:dyDescent="0.25">
      <c r="A4273" s="5">
        <v>39776</v>
      </c>
      <c r="B4273">
        <v>23.139939999999999</v>
      </c>
    </row>
    <row r="4274" spans="1:2" x14ac:dyDescent="0.25">
      <c r="A4274" s="5">
        <v>39777</v>
      </c>
      <c r="B4274">
        <v>23.048280999999999</v>
      </c>
    </row>
    <row r="4275" spans="1:2" x14ac:dyDescent="0.25">
      <c r="A4275" s="5">
        <v>39778</v>
      </c>
      <c r="B4275">
        <v>23.584122000000001</v>
      </c>
    </row>
    <row r="4276" spans="1:2" x14ac:dyDescent="0.25">
      <c r="A4276" s="5">
        <v>39780</v>
      </c>
      <c r="B4276">
        <v>23.668728000000002</v>
      </c>
    </row>
    <row r="4277" spans="1:2" x14ac:dyDescent="0.25">
      <c r="A4277" s="5">
        <v>39783</v>
      </c>
      <c r="B4277">
        <v>21.123472</v>
      </c>
    </row>
    <row r="4278" spans="1:2" x14ac:dyDescent="0.25">
      <c r="A4278" s="5">
        <v>39784</v>
      </c>
      <c r="B4278">
        <v>21.532412000000001</v>
      </c>
    </row>
    <row r="4279" spans="1:2" x14ac:dyDescent="0.25">
      <c r="A4279" s="5">
        <v>39785</v>
      </c>
      <c r="B4279">
        <v>21.363194</v>
      </c>
    </row>
    <row r="4280" spans="1:2" x14ac:dyDescent="0.25">
      <c r="A4280" s="5">
        <v>39786</v>
      </c>
      <c r="B4280">
        <v>21.208082000000001</v>
      </c>
    </row>
    <row r="4281" spans="1:2" x14ac:dyDescent="0.25">
      <c r="A4281" s="5">
        <v>39787</v>
      </c>
      <c r="B4281">
        <v>22.491275999999999</v>
      </c>
    </row>
    <row r="4282" spans="1:2" x14ac:dyDescent="0.25">
      <c r="A4282" s="5">
        <v>39790</v>
      </c>
      <c r="B4282">
        <v>23.640529999999998</v>
      </c>
    </row>
    <row r="4283" spans="1:2" x14ac:dyDescent="0.25">
      <c r="A4283" s="5">
        <v>39791</v>
      </c>
      <c r="B4283">
        <v>23.718449</v>
      </c>
    </row>
    <row r="4284" spans="1:2" x14ac:dyDescent="0.25">
      <c r="A4284" s="5">
        <v>39792</v>
      </c>
      <c r="B4284">
        <v>24.419806000000001</v>
      </c>
    </row>
    <row r="4285" spans="1:2" x14ac:dyDescent="0.25">
      <c r="A4285" s="5">
        <v>39793</v>
      </c>
      <c r="B4285">
        <v>23.087944</v>
      </c>
    </row>
    <row r="4286" spans="1:2" x14ac:dyDescent="0.25">
      <c r="A4286" s="5">
        <v>39794</v>
      </c>
      <c r="B4286">
        <v>24.030163000000002</v>
      </c>
    </row>
    <row r="4287" spans="1:2" x14ac:dyDescent="0.25">
      <c r="A4287" s="5">
        <v>39797</v>
      </c>
      <c r="B4287">
        <v>23.952238000000001</v>
      </c>
    </row>
    <row r="4288" spans="1:2" x14ac:dyDescent="0.25">
      <c r="A4288" s="5">
        <v>39798</v>
      </c>
      <c r="B4288">
        <v>25.546223000000001</v>
      </c>
    </row>
    <row r="4289" spans="1:2" x14ac:dyDescent="0.25">
      <c r="A4289" s="5">
        <v>39799</v>
      </c>
      <c r="B4289">
        <v>24.866116999999999</v>
      </c>
    </row>
    <row r="4290" spans="1:2" x14ac:dyDescent="0.25">
      <c r="A4290" s="5">
        <v>39800</v>
      </c>
      <c r="B4290">
        <v>24.171852000000001</v>
      </c>
    </row>
    <row r="4291" spans="1:2" x14ac:dyDescent="0.25">
      <c r="A4291" s="5">
        <v>39801</v>
      </c>
      <c r="B4291">
        <v>24.81653</v>
      </c>
    </row>
    <row r="4292" spans="1:2" x14ac:dyDescent="0.25">
      <c r="A4292" s="5">
        <v>39804</v>
      </c>
      <c r="B4292">
        <v>24.660675000000001</v>
      </c>
    </row>
    <row r="4293" spans="1:2" x14ac:dyDescent="0.25">
      <c r="A4293" s="5">
        <v>39805</v>
      </c>
      <c r="B4293">
        <v>24.214357</v>
      </c>
    </row>
    <row r="4294" spans="1:2" x14ac:dyDescent="0.25">
      <c r="A4294" s="5">
        <v>39806</v>
      </c>
      <c r="B4294">
        <v>24.200191</v>
      </c>
    </row>
    <row r="4295" spans="1:2" x14ac:dyDescent="0.25">
      <c r="A4295" s="5">
        <v>39808</v>
      </c>
      <c r="B4295">
        <v>24.391470000000002</v>
      </c>
    </row>
    <row r="4296" spans="1:2" x14ac:dyDescent="0.25">
      <c r="A4296" s="5">
        <v>39811</v>
      </c>
      <c r="B4296">
        <v>24.157681</v>
      </c>
    </row>
    <row r="4297" spans="1:2" x14ac:dyDescent="0.25">
      <c r="A4297" s="5">
        <v>39812</v>
      </c>
      <c r="B4297">
        <v>24.752768</v>
      </c>
    </row>
    <row r="4298" spans="1:2" x14ac:dyDescent="0.25">
      <c r="A4298" s="5">
        <v>39813</v>
      </c>
      <c r="B4298">
        <v>25.383274</v>
      </c>
    </row>
    <row r="4299" spans="1:2" x14ac:dyDescent="0.25">
      <c r="A4299" s="5">
        <v>39815</v>
      </c>
      <c r="B4299">
        <v>26.247574</v>
      </c>
    </row>
    <row r="4300" spans="1:2" x14ac:dyDescent="0.25">
      <c r="A4300" s="5">
        <v>39818</v>
      </c>
      <c r="B4300">
        <v>25.822507999999999</v>
      </c>
    </row>
    <row r="4301" spans="1:2" x14ac:dyDescent="0.25">
      <c r="A4301" s="5">
        <v>39819</v>
      </c>
      <c r="B4301">
        <v>26.318407000000001</v>
      </c>
    </row>
    <row r="4302" spans="1:2" x14ac:dyDescent="0.25">
      <c r="A4302" s="5">
        <v>39820</v>
      </c>
      <c r="B4302">
        <v>25.184908</v>
      </c>
    </row>
    <row r="4303" spans="1:2" x14ac:dyDescent="0.25">
      <c r="A4303" s="5">
        <v>39821</v>
      </c>
      <c r="B4303">
        <v>24.993628999999999</v>
      </c>
    </row>
    <row r="4304" spans="1:2" x14ac:dyDescent="0.25">
      <c r="A4304" s="5">
        <v>39822</v>
      </c>
      <c r="B4304">
        <v>24.795275</v>
      </c>
    </row>
    <row r="4305" spans="1:2" x14ac:dyDescent="0.25">
      <c r="A4305" s="5">
        <v>39825</v>
      </c>
      <c r="B4305">
        <v>24.696096000000001</v>
      </c>
    </row>
    <row r="4306" spans="1:2" x14ac:dyDescent="0.25">
      <c r="A4306" s="5">
        <v>39826</v>
      </c>
      <c r="B4306">
        <v>24.894455000000001</v>
      </c>
    </row>
    <row r="4307" spans="1:2" x14ac:dyDescent="0.25">
      <c r="A4307" s="5">
        <v>39827</v>
      </c>
      <c r="B4307">
        <v>23.916819</v>
      </c>
    </row>
    <row r="4308" spans="1:2" x14ac:dyDescent="0.25">
      <c r="A4308" s="5">
        <v>39828</v>
      </c>
      <c r="B4308">
        <v>24.653593000000001</v>
      </c>
    </row>
    <row r="4309" spans="1:2" x14ac:dyDescent="0.25">
      <c r="A4309" s="5">
        <v>39829</v>
      </c>
      <c r="B4309">
        <v>25.517887000000002</v>
      </c>
    </row>
    <row r="4310" spans="1:2" x14ac:dyDescent="0.25">
      <c r="A4310" s="5">
        <v>39833</v>
      </c>
      <c r="B4310">
        <v>24.186019999999999</v>
      </c>
    </row>
    <row r="4311" spans="1:2" x14ac:dyDescent="0.25">
      <c r="A4311" s="5">
        <v>39834</v>
      </c>
      <c r="B4311">
        <v>25.411617</v>
      </c>
    </row>
    <row r="4312" spans="1:2" x14ac:dyDescent="0.25">
      <c r="A4312" s="5">
        <v>39835</v>
      </c>
      <c r="B4312">
        <v>25.546223000000001</v>
      </c>
    </row>
    <row r="4313" spans="1:2" x14ac:dyDescent="0.25">
      <c r="A4313" s="5">
        <v>39836</v>
      </c>
      <c r="B4313">
        <v>25.907522</v>
      </c>
    </row>
    <row r="4314" spans="1:2" x14ac:dyDescent="0.25">
      <c r="A4314" s="5">
        <v>39839</v>
      </c>
      <c r="B4314">
        <v>25.914604000000001</v>
      </c>
    </row>
    <row r="4315" spans="1:2" x14ac:dyDescent="0.25">
      <c r="A4315" s="5">
        <v>39840</v>
      </c>
      <c r="B4315">
        <v>25.241592000000001</v>
      </c>
    </row>
    <row r="4316" spans="1:2" x14ac:dyDescent="0.25">
      <c r="A4316" s="5">
        <v>39841</v>
      </c>
      <c r="B4316">
        <v>26.084634999999999</v>
      </c>
    </row>
    <row r="4317" spans="1:2" x14ac:dyDescent="0.25">
      <c r="A4317" s="5">
        <v>39842</v>
      </c>
      <c r="B4317">
        <v>24.887377000000001</v>
      </c>
    </row>
    <row r="4318" spans="1:2" x14ac:dyDescent="0.25">
      <c r="A4318" s="5">
        <v>39843</v>
      </c>
      <c r="B4318">
        <v>24.476476999999999</v>
      </c>
    </row>
    <row r="4319" spans="1:2" x14ac:dyDescent="0.25">
      <c r="A4319" s="5">
        <v>39846</v>
      </c>
      <c r="B4319">
        <v>25.000727000000001</v>
      </c>
    </row>
    <row r="4320" spans="1:2" x14ac:dyDescent="0.25">
      <c r="A4320" s="5">
        <v>39847</v>
      </c>
      <c r="B4320">
        <v>24.242691000000001</v>
      </c>
    </row>
    <row r="4321" spans="1:2" x14ac:dyDescent="0.25">
      <c r="A4321" s="5">
        <v>39848</v>
      </c>
      <c r="B4321">
        <v>23.966405999999999</v>
      </c>
    </row>
    <row r="4322" spans="1:2" x14ac:dyDescent="0.25">
      <c r="A4322" s="5">
        <v>39849</v>
      </c>
      <c r="B4322">
        <v>24.823612000000001</v>
      </c>
    </row>
    <row r="4323" spans="1:2" x14ac:dyDescent="0.25">
      <c r="A4323" s="5">
        <v>39850</v>
      </c>
      <c r="B4323">
        <v>25.730415000000001</v>
      </c>
    </row>
    <row r="4324" spans="1:2" x14ac:dyDescent="0.25">
      <c r="A4324" s="5">
        <v>39853</v>
      </c>
      <c r="B4324">
        <v>25.964195</v>
      </c>
    </row>
    <row r="4325" spans="1:2" x14ac:dyDescent="0.25">
      <c r="A4325" s="5">
        <v>39854</v>
      </c>
      <c r="B4325">
        <v>24.809448</v>
      </c>
    </row>
    <row r="4326" spans="1:2" x14ac:dyDescent="0.25">
      <c r="A4326" s="5">
        <v>39855</v>
      </c>
      <c r="B4326">
        <v>24.518979999999999</v>
      </c>
    </row>
    <row r="4327" spans="1:2" x14ac:dyDescent="0.25">
      <c r="A4327" s="5">
        <v>39856</v>
      </c>
      <c r="B4327">
        <v>25.177826</v>
      </c>
    </row>
    <row r="4328" spans="1:2" x14ac:dyDescent="0.25">
      <c r="A4328" s="5">
        <v>39857</v>
      </c>
      <c r="B4328">
        <v>25.277006</v>
      </c>
    </row>
    <row r="4329" spans="1:2" x14ac:dyDescent="0.25">
      <c r="A4329" s="5">
        <v>39861</v>
      </c>
      <c r="B4329">
        <v>24.596916</v>
      </c>
    </row>
    <row r="4330" spans="1:2" x14ac:dyDescent="0.25">
      <c r="A4330" s="5">
        <v>39862</v>
      </c>
      <c r="B4330">
        <v>24.313542999999999</v>
      </c>
    </row>
    <row r="4331" spans="1:2" x14ac:dyDescent="0.25">
      <c r="A4331" s="5">
        <v>39863</v>
      </c>
      <c r="B4331">
        <v>23.973493999999999</v>
      </c>
    </row>
    <row r="4332" spans="1:2" x14ac:dyDescent="0.25">
      <c r="A4332" s="5">
        <v>39864</v>
      </c>
      <c r="B4332">
        <v>24.136434999999999</v>
      </c>
    </row>
    <row r="4333" spans="1:2" x14ac:dyDescent="0.25">
      <c r="A4333" s="5">
        <v>39867</v>
      </c>
      <c r="B4333">
        <v>23.222549000000001</v>
      </c>
    </row>
    <row r="4334" spans="1:2" x14ac:dyDescent="0.25">
      <c r="A4334" s="5">
        <v>39868</v>
      </c>
      <c r="B4334">
        <v>24.433973000000002</v>
      </c>
    </row>
    <row r="4335" spans="1:2" x14ac:dyDescent="0.25">
      <c r="A4335" s="5">
        <v>39869</v>
      </c>
      <c r="B4335">
        <v>24.149277000000001</v>
      </c>
    </row>
    <row r="4336" spans="1:2" x14ac:dyDescent="0.25">
      <c r="A4336" s="5">
        <v>39870</v>
      </c>
      <c r="B4336">
        <v>23.957108999999999</v>
      </c>
    </row>
    <row r="4337" spans="1:2" x14ac:dyDescent="0.25">
      <c r="A4337" s="5">
        <v>39871</v>
      </c>
      <c r="B4337">
        <v>23.793406999999998</v>
      </c>
    </row>
    <row r="4338" spans="1:2" x14ac:dyDescent="0.25">
      <c r="A4338" s="5">
        <v>39874</v>
      </c>
      <c r="B4338">
        <v>23.337896000000001</v>
      </c>
    </row>
    <row r="4339" spans="1:2" x14ac:dyDescent="0.25">
      <c r="A4339" s="5">
        <v>39875</v>
      </c>
      <c r="B4339">
        <v>23.807649999999999</v>
      </c>
    </row>
    <row r="4340" spans="1:2" x14ac:dyDescent="0.25">
      <c r="A4340" s="5">
        <v>39876</v>
      </c>
      <c r="B4340">
        <v>24.725784000000001</v>
      </c>
    </row>
    <row r="4341" spans="1:2" x14ac:dyDescent="0.25">
      <c r="A4341" s="5">
        <v>39877</v>
      </c>
      <c r="B4341">
        <v>24.647497000000001</v>
      </c>
    </row>
    <row r="4342" spans="1:2" x14ac:dyDescent="0.25">
      <c r="A4342" s="5">
        <v>39878</v>
      </c>
      <c r="B4342">
        <v>23.935759000000001</v>
      </c>
    </row>
    <row r="4343" spans="1:2" x14ac:dyDescent="0.25">
      <c r="A4343" s="5">
        <v>39881</v>
      </c>
      <c r="B4343">
        <v>23.487362000000001</v>
      </c>
    </row>
    <row r="4344" spans="1:2" x14ac:dyDescent="0.25">
      <c r="A4344" s="5">
        <v>39882</v>
      </c>
      <c r="B4344">
        <v>25.167066999999999</v>
      </c>
    </row>
    <row r="4345" spans="1:2" x14ac:dyDescent="0.25">
      <c r="A4345" s="5">
        <v>39883</v>
      </c>
      <c r="B4345">
        <v>25.159942999999998</v>
      </c>
    </row>
    <row r="4346" spans="1:2" x14ac:dyDescent="0.25">
      <c r="A4346" s="5">
        <v>39884</v>
      </c>
      <c r="B4346">
        <v>26.184849</v>
      </c>
    </row>
    <row r="4347" spans="1:2" x14ac:dyDescent="0.25">
      <c r="A4347" s="5">
        <v>39885</v>
      </c>
      <c r="B4347">
        <v>26.156385</v>
      </c>
    </row>
    <row r="4348" spans="1:2" x14ac:dyDescent="0.25">
      <c r="A4348" s="5">
        <v>39888</v>
      </c>
      <c r="B4348">
        <v>25.508696</v>
      </c>
    </row>
    <row r="4349" spans="1:2" x14ac:dyDescent="0.25">
      <c r="A4349" s="5">
        <v>39889</v>
      </c>
      <c r="B4349">
        <v>26.554963999999998</v>
      </c>
    </row>
    <row r="4350" spans="1:2" x14ac:dyDescent="0.25">
      <c r="A4350" s="5">
        <v>39890</v>
      </c>
      <c r="B4350">
        <v>27.010475</v>
      </c>
    </row>
    <row r="4351" spans="1:2" x14ac:dyDescent="0.25">
      <c r="A4351" s="5">
        <v>39891</v>
      </c>
      <c r="B4351">
        <v>26.789819999999999</v>
      </c>
    </row>
    <row r="4352" spans="1:2" x14ac:dyDescent="0.25">
      <c r="A4352" s="5">
        <v>39892</v>
      </c>
      <c r="B4352">
        <v>26.377016000000001</v>
      </c>
    </row>
    <row r="4353" spans="1:2" x14ac:dyDescent="0.25">
      <c r="A4353" s="5">
        <v>39895</v>
      </c>
      <c r="B4353">
        <v>27.629681000000001</v>
      </c>
    </row>
    <row r="4354" spans="1:2" x14ac:dyDescent="0.25">
      <c r="A4354" s="5">
        <v>39896</v>
      </c>
      <c r="B4354">
        <v>27.067404</v>
      </c>
    </row>
    <row r="4355" spans="1:2" x14ac:dyDescent="0.25">
      <c r="A4355" s="5">
        <v>39897</v>
      </c>
      <c r="B4355">
        <v>27.401926</v>
      </c>
    </row>
    <row r="4356" spans="1:2" x14ac:dyDescent="0.25">
      <c r="A4356" s="5">
        <v>39898</v>
      </c>
      <c r="B4356">
        <v>28.142118</v>
      </c>
    </row>
    <row r="4357" spans="1:2" x14ac:dyDescent="0.25">
      <c r="A4357" s="5">
        <v>39899</v>
      </c>
      <c r="B4357">
        <v>27.715091999999999</v>
      </c>
    </row>
    <row r="4358" spans="1:2" x14ac:dyDescent="0.25">
      <c r="A4358" s="5">
        <v>39902</v>
      </c>
      <c r="B4358">
        <v>26.953527000000001</v>
      </c>
    </row>
    <row r="4359" spans="1:2" x14ac:dyDescent="0.25">
      <c r="A4359" s="5">
        <v>39903</v>
      </c>
      <c r="B4359">
        <v>27.693750000000001</v>
      </c>
    </row>
    <row r="4360" spans="1:2" x14ac:dyDescent="0.25">
      <c r="A4360" s="5">
        <v>39904</v>
      </c>
      <c r="B4360">
        <v>28.241772000000001</v>
      </c>
    </row>
    <row r="4361" spans="1:2" x14ac:dyDescent="0.25">
      <c r="A4361" s="5">
        <v>39905</v>
      </c>
      <c r="B4361">
        <v>29.401904999999999</v>
      </c>
    </row>
    <row r="4362" spans="1:2" x14ac:dyDescent="0.25">
      <c r="A4362" s="5">
        <v>39906</v>
      </c>
      <c r="B4362">
        <v>29.316496000000001</v>
      </c>
    </row>
    <row r="4363" spans="1:2" x14ac:dyDescent="0.25">
      <c r="A4363" s="5">
        <v>39909</v>
      </c>
      <c r="B4363">
        <v>28.93928</v>
      </c>
    </row>
    <row r="4364" spans="1:2" x14ac:dyDescent="0.25">
      <c r="A4364" s="5">
        <v>39910</v>
      </c>
      <c r="B4364">
        <v>28.014023000000002</v>
      </c>
    </row>
    <row r="4365" spans="1:2" x14ac:dyDescent="0.25">
      <c r="A4365" s="5">
        <v>39911</v>
      </c>
      <c r="B4365">
        <v>28.626106</v>
      </c>
    </row>
    <row r="4366" spans="1:2" x14ac:dyDescent="0.25">
      <c r="A4366" s="5">
        <v>39912</v>
      </c>
      <c r="B4366">
        <v>29.643899999999999</v>
      </c>
    </row>
    <row r="4367" spans="1:2" x14ac:dyDescent="0.25">
      <c r="A4367" s="5">
        <v>39916</v>
      </c>
      <c r="B4367">
        <v>29.095865</v>
      </c>
    </row>
    <row r="4368" spans="1:2" x14ac:dyDescent="0.25">
      <c r="A4368" s="5">
        <v>39917</v>
      </c>
      <c r="B4368">
        <v>29.038910000000001</v>
      </c>
    </row>
    <row r="4369" spans="1:2" x14ac:dyDescent="0.25">
      <c r="A4369" s="5">
        <v>39918</v>
      </c>
      <c r="B4369">
        <v>29.110092000000002</v>
      </c>
    </row>
    <row r="4370" spans="1:2" x14ac:dyDescent="0.25">
      <c r="A4370" s="5">
        <v>39919</v>
      </c>
      <c r="B4370">
        <v>29.636786000000001</v>
      </c>
    </row>
    <row r="4371" spans="1:2" x14ac:dyDescent="0.25">
      <c r="A4371" s="5">
        <v>39920</v>
      </c>
      <c r="B4371">
        <v>29.167027000000001</v>
      </c>
    </row>
    <row r="4372" spans="1:2" x14ac:dyDescent="0.25">
      <c r="A4372" s="5">
        <v>39923</v>
      </c>
      <c r="B4372">
        <v>28.206181999999998</v>
      </c>
    </row>
    <row r="4373" spans="1:2" x14ac:dyDescent="0.25">
      <c r="A4373" s="5">
        <v>39924</v>
      </c>
      <c r="B4373">
        <v>28.661707</v>
      </c>
    </row>
    <row r="4374" spans="1:2" x14ac:dyDescent="0.25">
      <c r="A4374" s="5">
        <v>39925</v>
      </c>
      <c r="B4374">
        <v>28.554932000000001</v>
      </c>
    </row>
    <row r="4375" spans="1:2" x14ac:dyDescent="0.25">
      <c r="A4375" s="5">
        <v>39926</v>
      </c>
      <c r="B4375">
        <v>28.989091999999999</v>
      </c>
    </row>
    <row r="4376" spans="1:2" x14ac:dyDescent="0.25">
      <c r="A4376" s="5">
        <v>39927</v>
      </c>
      <c r="B4376">
        <v>29.43749</v>
      </c>
    </row>
    <row r="4377" spans="1:2" x14ac:dyDescent="0.25">
      <c r="A4377" s="5">
        <v>39930</v>
      </c>
      <c r="B4377">
        <v>30.725742</v>
      </c>
    </row>
    <row r="4378" spans="1:2" x14ac:dyDescent="0.25">
      <c r="A4378" s="5">
        <v>39931</v>
      </c>
      <c r="B4378">
        <v>30.063828999999998</v>
      </c>
    </row>
    <row r="4379" spans="1:2" x14ac:dyDescent="0.25">
      <c r="A4379" s="5">
        <v>39932</v>
      </c>
      <c r="B4379">
        <v>30.66168</v>
      </c>
    </row>
    <row r="4380" spans="1:2" x14ac:dyDescent="0.25">
      <c r="A4380" s="5">
        <v>39933</v>
      </c>
      <c r="B4380">
        <v>30.120768000000002</v>
      </c>
    </row>
    <row r="4381" spans="1:2" x14ac:dyDescent="0.25">
      <c r="A4381" s="5">
        <v>39934</v>
      </c>
      <c r="B4381">
        <v>30.362749000000001</v>
      </c>
    </row>
    <row r="4382" spans="1:2" x14ac:dyDescent="0.25">
      <c r="A4382" s="5">
        <v>39937</v>
      </c>
      <c r="B4382">
        <v>30.853853000000001</v>
      </c>
    </row>
    <row r="4383" spans="1:2" x14ac:dyDescent="0.25">
      <c r="A4383" s="5">
        <v>39938</v>
      </c>
      <c r="B4383">
        <v>30.953486999999999</v>
      </c>
    </row>
    <row r="4384" spans="1:2" x14ac:dyDescent="0.25">
      <c r="A4384" s="5">
        <v>39939</v>
      </c>
      <c r="B4384">
        <v>31.124319</v>
      </c>
    </row>
    <row r="4385" spans="1:2" x14ac:dyDescent="0.25">
      <c r="A4385" s="5">
        <v>39940</v>
      </c>
      <c r="B4385">
        <v>30.135002</v>
      </c>
    </row>
    <row r="4386" spans="1:2" x14ac:dyDescent="0.25">
      <c r="A4386" s="5">
        <v>39941</v>
      </c>
      <c r="B4386">
        <v>29.743535999999999</v>
      </c>
    </row>
    <row r="4387" spans="1:2" x14ac:dyDescent="0.25">
      <c r="A4387" s="5">
        <v>39944</v>
      </c>
      <c r="B4387">
        <v>29.836072999999999</v>
      </c>
    </row>
    <row r="4388" spans="1:2" x14ac:dyDescent="0.25">
      <c r="A4388" s="5">
        <v>39945</v>
      </c>
      <c r="B4388">
        <v>29.131439</v>
      </c>
    </row>
    <row r="4389" spans="1:2" x14ac:dyDescent="0.25">
      <c r="A4389" s="5">
        <v>39946</v>
      </c>
      <c r="B4389">
        <v>28.412590000000002</v>
      </c>
    </row>
    <row r="4390" spans="1:2" x14ac:dyDescent="0.25">
      <c r="A4390" s="5">
        <v>39947</v>
      </c>
      <c r="B4390">
        <v>28.846748000000002</v>
      </c>
    </row>
    <row r="4391" spans="1:2" x14ac:dyDescent="0.25">
      <c r="A4391" s="5">
        <v>39948</v>
      </c>
      <c r="B4391">
        <v>28.981981000000001</v>
      </c>
    </row>
    <row r="4392" spans="1:2" x14ac:dyDescent="0.25">
      <c r="A4392" s="5">
        <v>39951</v>
      </c>
      <c r="B4392">
        <v>29.885888999999999</v>
      </c>
    </row>
    <row r="4393" spans="1:2" x14ac:dyDescent="0.25">
      <c r="A4393" s="5">
        <v>39952</v>
      </c>
      <c r="B4393">
        <v>30.135002</v>
      </c>
    </row>
    <row r="4394" spans="1:2" x14ac:dyDescent="0.25">
      <c r="A4394" s="5">
        <v>39953</v>
      </c>
      <c r="B4394">
        <v>30.298694999999999</v>
      </c>
    </row>
    <row r="4395" spans="1:2" x14ac:dyDescent="0.25">
      <c r="A4395" s="5">
        <v>39954</v>
      </c>
      <c r="B4395">
        <v>29.672363000000001</v>
      </c>
    </row>
    <row r="4396" spans="1:2" x14ac:dyDescent="0.25">
      <c r="A4396" s="5">
        <v>39955</v>
      </c>
      <c r="B4396">
        <v>29.401904999999999</v>
      </c>
    </row>
    <row r="4397" spans="1:2" x14ac:dyDescent="0.25">
      <c r="A4397" s="5">
        <v>39959</v>
      </c>
      <c r="B4397">
        <v>30.811154999999999</v>
      </c>
    </row>
    <row r="4398" spans="1:2" x14ac:dyDescent="0.25">
      <c r="A4398" s="5">
        <v>39960</v>
      </c>
      <c r="B4398">
        <v>30.318113</v>
      </c>
    </row>
    <row r="4399" spans="1:2" x14ac:dyDescent="0.25">
      <c r="A4399" s="5">
        <v>39961</v>
      </c>
      <c r="B4399">
        <v>30.689682000000001</v>
      </c>
    </row>
    <row r="4400" spans="1:2" x14ac:dyDescent="0.25">
      <c r="A4400" s="5">
        <v>39962</v>
      </c>
      <c r="B4400">
        <v>31.146985999999998</v>
      </c>
    </row>
    <row r="4401" spans="1:2" x14ac:dyDescent="0.25">
      <c r="A4401" s="5">
        <v>39965</v>
      </c>
      <c r="B4401">
        <v>31.725763000000001</v>
      </c>
    </row>
    <row r="4402" spans="1:2" x14ac:dyDescent="0.25">
      <c r="A4402" s="5">
        <v>39966</v>
      </c>
      <c r="B4402">
        <v>31.375637000000001</v>
      </c>
    </row>
    <row r="4403" spans="1:2" x14ac:dyDescent="0.25">
      <c r="A4403" s="5">
        <v>39967</v>
      </c>
      <c r="B4403">
        <v>31.139831999999998</v>
      </c>
    </row>
    <row r="4404" spans="1:2" x14ac:dyDescent="0.25">
      <c r="A4404" s="5">
        <v>39968</v>
      </c>
      <c r="B4404">
        <v>32.361691</v>
      </c>
    </row>
    <row r="4405" spans="1:2" x14ac:dyDescent="0.25">
      <c r="A4405" s="5">
        <v>39969</v>
      </c>
      <c r="B4405">
        <v>32.440314999999998</v>
      </c>
    </row>
    <row r="4406" spans="1:2" x14ac:dyDescent="0.25">
      <c r="A4406" s="5">
        <v>39972</v>
      </c>
      <c r="B4406">
        <v>32.418861</v>
      </c>
    </row>
    <row r="4407" spans="1:2" x14ac:dyDescent="0.25">
      <c r="A4407" s="5">
        <v>39973</v>
      </c>
      <c r="B4407">
        <v>32.890479999999997</v>
      </c>
    </row>
    <row r="4408" spans="1:2" x14ac:dyDescent="0.25">
      <c r="A4408" s="5">
        <v>39974</v>
      </c>
      <c r="B4408">
        <v>32.919052000000001</v>
      </c>
    </row>
    <row r="4409" spans="1:2" x14ac:dyDescent="0.25">
      <c r="A4409" s="5">
        <v>39975</v>
      </c>
      <c r="B4409">
        <v>32.854754999999997</v>
      </c>
    </row>
    <row r="4410" spans="1:2" x14ac:dyDescent="0.25">
      <c r="A4410" s="5">
        <v>39976</v>
      </c>
      <c r="B4410">
        <v>32.904766000000002</v>
      </c>
    </row>
    <row r="4411" spans="1:2" x14ac:dyDescent="0.25">
      <c r="A4411" s="5">
        <v>39979</v>
      </c>
      <c r="B4411">
        <v>31.661459000000001</v>
      </c>
    </row>
    <row r="4412" spans="1:2" x14ac:dyDescent="0.25">
      <c r="A4412" s="5">
        <v>39980</v>
      </c>
      <c r="B4412">
        <v>31.046951</v>
      </c>
    </row>
    <row r="4413" spans="1:2" x14ac:dyDescent="0.25">
      <c r="A4413" s="5">
        <v>39981</v>
      </c>
      <c r="B4413">
        <v>32.218800000000002</v>
      </c>
    </row>
    <row r="4414" spans="1:2" x14ac:dyDescent="0.25">
      <c r="A4414" s="5">
        <v>39982</v>
      </c>
      <c r="B4414">
        <v>32.354557</v>
      </c>
    </row>
    <row r="4415" spans="1:2" x14ac:dyDescent="0.25">
      <c r="A4415" s="5">
        <v>39983</v>
      </c>
      <c r="B4415">
        <v>32.869025999999998</v>
      </c>
    </row>
    <row r="4416" spans="1:2" x14ac:dyDescent="0.25">
      <c r="A4416" s="5">
        <v>39986</v>
      </c>
      <c r="B4416">
        <v>31.725763000000001</v>
      </c>
    </row>
    <row r="4417" spans="1:2" x14ac:dyDescent="0.25">
      <c r="A4417" s="5">
        <v>39987</v>
      </c>
      <c r="B4417">
        <v>31.790081000000001</v>
      </c>
    </row>
    <row r="4418" spans="1:2" x14ac:dyDescent="0.25">
      <c r="A4418" s="5">
        <v>39988</v>
      </c>
      <c r="B4418">
        <v>32.347408000000001</v>
      </c>
    </row>
    <row r="4419" spans="1:2" x14ac:dyDescent="0.25">
      <c r="A4419" s="5">
        <v>39989</v>
      </c>
      <c r="B4419">
        <v>33.111969000000002</v>
      </c>
    </row>
    <row r="4420" spans="1:2" x14ac:dyDescent="0.25">
      <c r="A4420" s="5">
        <v>39990</v>
      </c>
      <c r="B4420">
        <v>33.004809999999999</v>
      </c>
    </row>
    <row r="4421" spans="1:2" x14ac:dyDescent="0.25">
      <c r="A4421" s="5">
        <v>39993</v>
      </c>
      <c r="B4421">
        <v>32.933346</v>
      </c>
    </row>
    <row r="4422" spans="1:2" x14ac:dyDescent="0.25">
      <c r="A4422" s="5">
        <v>39994</v>
      </c>
      <c r="B4422">
        <v>32.297393999999997</v>
      </c>
    </row>
    <row r="4423" spans="1:2" x14ac:dyDescent="0.25">
      <c r="A4423" s="5">
        <v>39995</v>
      </c>
      <c r="B4423">
        <v>32.268818000000003</v>
      </c>
    </row>
    <row r="4424" spans="1:2" x14ac:dyDescent="0.25">
      <c r="A4424" s="5">
        <v>39996</v>
      </c>
      <c r="B4424">
        <v>31.925837999999999</v>
      </c>
    </row>
    <row r="4425" spans="1:2" x14ac:dyDescent="0.25">
      <c r="A4425" s="5">
        <v>40000</v>
      </c>
      <c r="B4425">
        <v>32.297393999999997</v>
      </c>
    </row>
    <row r="4426" spans="1:2" x14ac:dyDescent="0.25">
      <c r="A4426" s="5">
        <v>40001</v>
      </c>
      <c r="B4426">
        <v>31.211290000000002</v>
      </c>
    </row>
    <row r="4427" spans="1:2" x14ac:dyDescent="0.25">
      <c r="A4427" s="5">
        <v>40002</v>
      </c>
      <c r="B4427">
        <v>31.118406</v>
      </c>
    </row>
    <row r="4428" spans="1:2" x14ac:dyDescent="0.25">
      <c r="A4428" s="5">
        <v>40003</v>
      </c>
      <c r="B4428">
        <v>30.768274000000002</v>
      </c>
    </row>
    <row r="4429" spans="1:2" x14ac:dyDescent="0.25">
      <c r="A4429" s="5">
        <v>40004</v>
      </c>
      <c r="B4429">
        <v>31.039788999999999</v>
      </c>
    </row>
    <row r="4430" spans="1:2" x14ac:dyDescent="0.25">
      <c r="A4430" s="5">
        <v>40007</v>
      </c>
      <c r="B4430">
        <v>31.661459000000001</v>
      </c>
    </row>
    <row r="4431" spans="1:2" x14ac:dyDescent="0.25">
      <c r="A4431" s="5">
        <v>40008</v>
      </c>
      <c r="B4431">
        <v>31.904399999999999</v>
      </c>
    </row>
    <row r="4432" spans="1:2" x14ac:dyDescent="0.25">
      <c r="A4432" s="5">
        <v>40009</v>
      </c>
      <c r="B4432">
        <v>32.911915</v>
      </c>
    </row>
    <row r="4433" spans="1:2" x14ac:dyDescent="0.25">
      <c r="A4433" s="5">
        <v>40010</v>
      </c>
      <c r="B4433">
        <v>33.383502999999997</v>
      </c>
    </row>
    <row r="4434" spans="1:2" x14ac:dyDescent="0.25">
      <c r="A4434" s="5">
        <v>40011</v>
      </c>
      <c r="B4434">
        <v>33.869399999999999</v>
      </c>
    </row>
    <row r="4435" spans="1:2" x14ac:dyDescent="0.25">
      <c r="A4435" s="5">
        <v>40014</v>
      </c>
      <c r="B4435">
        <v>33.605018999999999</v>
      </c>
    </row>
    <row r="4436" spans="1:2" x14ac:dyDescent="0.25">
      <c r="A4436" s="5">
        <v>40015</v>
      </c>
      <c r="B4436">
        <v>34.283821000000003</v>
      </c>
    </row>
    <row r="4437" spans="1:2" x14ac:dyDescent="0.25">
      <c r="A4437" s="5">
        <v>40016</v>
      </c>
      <c r="B4437">
        <v>34.619678</v>
      </c>
    </row>
    <row r="4438" spans="1:2" x14ac:dyDescent="0.25">
      <c r="A4438" s="5">
        <v>40017</v>
      </c>
      <c r="B4438">
        <v>33.869399999999999</v>
      </c>
    </row>
    <row r="4439" spans="1:2" x14ac:dyDescent="0.25">
      <c r="A4439" s="5">
        <v>40018</v>
      </c>
      <c r="B4439">
        <v>33.833672</v>
      </c>
    </row>
    <row r="4440" spans="1:2" x14ac:dyDescent="0.25">
      <c r="A4440" s="5">
        <v>40021</v>
      </c>
      <c r="B4440">
        <v>33.212012999999999</v>
      </c>
    </row>
    <row r="4441" spans="1:2" x14ac:dyDescent="0.25">
      <c r="A4441" s="5">
        <v>40022</v>
      </c>
      <c r="B4441">
        <v>33.126263000000002</v>
      </c>
    </row>
    <row r="4442" spans="1:2" x14ac:dyDescent="0.25">
      <c r="A4442" s="5">
        <v>40023</v>
      </c>
      <c r="B4442">
        <v>33.047671999999999</v>
      </c>
    </row>
    <row r="4443" spans="1:2" x14ac:dyDescent="0.25">
      <c r="A4443" s="5">
        <v>40024</v>
      </c>
      <c r="B4443">
        <v>33.240589</v>
      </c>
    </row>
    <row r="4444" spans="1:2" x14ac:dyDescent="0.25">
      <c r="A4444" s="5">
        <v>40025</v>
      </c>
      <c r="B4444">
        <v>33.019089000000001</v>
      </c>
    </row>
    <row r="4445" spans="1:2" x14ac:dyDescent="0.25">
      <c r="A4445" s="5">
        <v>40028</v>
      </c>
      <c r="B4445">
        <v>33.562156999999999</v>
      </c>
    </row>
    <row r="4446" spans="1:2" x14ac:dyDescent="0.25">
      <c r="A4446" s="5">
        <v>40029</v>
      </c>
      <c r="B4446">
        <v>33.090546000000003</v>
      </c>
    </row>
    <row r="4447" spans="1:2" x14ac:dyDescent="0.25">
      <c r="A4447" s="5">
        <v>40030</v>
      </c>
      <c r="B4447">
        <v>32.733269</v>
      </c>
    </row>
    <row r="4448" spans="1:2" x14ac:dyDescent="0.25">
      <c r="A4448" s="5">
        <v>40031</v>
      </c>
      <c r="B4448">
        <v>32.583213999999998</v>
      </c>
    </row>
    <row r="4449" spans="1:2" x14ac:dyDescent="0.25">
      <c r="A4449" s="5">
        <v>40032</v>
      </c>
      <c r="B4449">
        <v>32.847602999999999</v>
      </c>
    </row>
    <row r="4450" spans="1:2" x14ac:dyDescent="0.25">
      <c r="A4450" s="5">
        <v>40035</v>
      </c>
      <c r="B4450">
        <v>32.683250000000001</v>
      </c>
    </row>
    <row r="4451" spans="1:2" x14ac:dyDescent="0.25">
      <c r="A4451" s="5">
        <v>40036</v>
      </c>
      <c r="B4451">
        <v>32.440314999999998</v>
      </c>
    </row>
    <row r="4452" spans="1:2" x14ac:dyDescent="0.25">
      <c r="A4452" s="5">
        <v>40037</v>
      </c>
      <c r="B4452">
        <v>33.133414999999999</v>
      </c>
    </row>
    <row r="4453" spans="1:2" x14ac:dyDescent="0.25">
      <c r="A4453" s="5">
        <v>40038</v>
      </c>
      <c r="B4453">
        <v>33.283465999999997</v>
      </c>
    </row>
    <row r="4454" spans="1:2" x14ac:dyDescent="0.25">
      <c r="A4454" s="5">
        <v>40039</v>
      </c>
      <c r="B4454">
        <v>32.961933000000002</v>
      </c>
    </row>
    <row r="4455" spans="1:2" x14ac:dyDescent="0.25">
      <c r="A4455" s="5">
        <v>40042</v>
      </c>
      <c r="B4455">
        <v>32.118758999999997</v>
      </c>
    </row>
    <row r="4456" spans="1:2" x14ac:dyDescent="0.25">
      <c r="A4456" s="5">
        <v>40043</v>
      </c>
      <c r="B4456">
        <v>32.261673000000002</v>
      </c>
    </row>
    <row r="4457" spans="1:2" x14ac:dyDescent="0.25">
      <c r="A4457" s="5">
        <v>40044</v>
      </c>
      <c r="B4457">
        <v>32.668961000000003</v>
      </c>
    </row>
    <row r="4458" spans="1:2" x14ac:dyDescent="0.25">
      <c r="A4458" s="5">
        <v>40045</v>
      </c>
      <c r="B4458">
        <v>33.647891999999999</v>
      </c>
    </row>
    <row r="4459" spans="1:2" x14ac:dyDescent="0.25">
      <c r="A4459" s="5">
        <v>40046</v>
      </c>
      <c r="B4459">
        <v>33.790793999999998</v>
      </c>
    </row>
    <row r="4460" spans="1:2" x14ac:dyDescent="0.25">
      <c r="A4460" s="5">
        <v>40049</v>
      </c>
      <c r="B4460">
        <v>33.876548999999997</v>
      </c>
    </row>
    <row r="4461" spans="1:2" x14ac:dyDescent="0.25">
      <c r="A4461" s="5">
        <v>40050</v>
      </c>
      <c r="B4461">
        <v>33.576430999999999</v>
      </c>
    </row>
    <row r="4462" spans="1:2" x14ac:dyDescent="0.25">
      <c r="A4462" s="5">
        <v>40051</v>
      </c>
      <c r="B4462">
        <v>34.085608999999998</v>
      </c>
    </row>
    <row r="4463" spans="1:2" x14ac:dyDescent="0.25">
      <c r="A4463" s="5">
        <v>40052</v>
      </c>
      <c r="B4463">
        <v>33.884804000000003</v>
      </c>
    </row>
    <row r="4464" spans="1:2" x14ac:dyDescent="0.25">
      <c r="A4464" s="5">
        <v>40053</v>
      </c>
      <c r="B4464">
        <v>33.863292999999999</v>
      </c>
    </row>
    <row r="4465" spans="1:2" x14ac:dyDescent="0.25">
      <c r="A4465" s="5">
        <v>40056</v>
      </c>
      <c r="B4465">
        <v>33.289569999999998</v>
      </c>
    </row>
    <row r="4466" spans="1:2" x14ac:dyDescent="0.25">
      <c r="A4466" s="5">
        <v>40057</v>
      </c>
      <c r="B4466">
        <v>32.522243000000003</v>
      </c>
    </row>
    <row r="4467" spans="1:2" x14ac:dyDescent="0.25">
      <c r="A4467" s="5">
        <v>40058</v>
      </c>
      <c r="B4467">
        <v>32.572445000000002</v>
      </c>
    </row>
    <row r="4468" spans="1:2" x14ac:dyDescent="0.25">
      <c r="A4468" s="5">
        <v>40059</v>
      </c>
      <c r="B4468">
        <v>32.285583000000003</v>
      </c>
    </row>
    <row r="4469" spans="1:2" x14ac:dyDescent="0.25">
      <c r="A4469" s="5">
        <v>40060</v>
      </c>
      <c r="B4469">
        <v>32.787574999999997</v>
      </c>
    </row>
    <row r="4470" spans="1:2" x14ac:dyDescent="0.25">
      <c r="A4470" s="5">
        <v>40064</v>
      </c>
      <c r="B4470">
        <v>33.002730999999997</v>
      </c>
    </row>
    <row r="4471" spans="1:2" x14ac:dyDescent="0.25">
      <c r="A4471" s="5">
        <v>40065</v>
      </c>
      <c r="B4471">
        <v>33.146137000000003</v>
      </c>
    </row>
    <row r="4472" spans="1:2" x14ac:dyDescent="0.25">
      <c r="A4472" s="5">
        <v>40066</v>
      </c>
      <c r="B4472">
        <v>33.454532999999998</v>
      </c>
    </row>
    <row r="4473" spans="1:2" x14ac:dyDescent="0.25">
      <c r="A4473" s="5">
        <v>40067</v>
      </c>
      <c r="B4473">
        <v>33.425846</v>
      </c>
    </row>
    <row r="4474" spans="1:2" x14ac:dyDescent="0.25">
      <c r="A4474" s="5">
        <v>40070</v>
      </c>
      <c r="B4474">
        <v>33.153323999999998</v>
      </c>
    </row>
    <row r="4475" spans="1:2" x14ac:dyDescent="0.25">
      <c r="A4475" s="5">
        <v>40071</v>
      </c>
      <c r="B4475">
        <v>32.809089999999998</v>
      </c>
    </row>
    <row r="4476" spans="1:2" x14ac:dyDescent="0.25">
      <c r="A4476" s="5">
        <v>40072</v>
      </c>
      <c r="B4476">
        <v>32.780422000000002</v>
      </c>
    </row>
    <row r="4477" spans="1:2" x14ac:dyDescent="0.25">
      <c r="A4477" s="5">
        <v>40073</v>
      </c>
      <c r="B4477">
        <v>32.285583000000003</v>
      </c>
    </row>
    <row r="4478" spans="1:2" x14ac:dyDescent="0.25">
      <c r="A4478" s="5">
        <v>40074</v>
      </c>
      <c r="B4478">
        <v>31.883987000000001</v>
      </c>
    </row>
    <row r="4479" spans="1:2" x14ac:dyDescent="0.25">
      <c r="A4479" s="5">
        <v>40077</v>
      </c>
      <c r="B4479">
        <v>32.178009000000003</v>
      </c>
    </row>
    <row r="4480" spans="1:2" x14ac:dyDescent="0.25">
      <c r="A4480" s="5">
        <v>40078</v>
      </c>
      <c r="B4480">
        <v>31.977205000000001</v>
      </c>
    </row>
    <row r="4481" spans="1:2" x14ac:dyDescent="0.25">
      <c r="A4481" s="5">
        <v>40079</v>
      </c>
      <c r="B4481">
        <v>31.719045999999999</v>
      </c>
    </row>
    <row r="4482" spans="1:2" x14ac:dyDescent="0.25">
      <c r="A4482" s="5">
        <v>40080</v>
      </c>
      <c r="B4482">
        <v>32.027416000000002</v>
      </c>
    </row>
    <row r="4483" spans="1:2" x14ac:dyDescent="0.25">
      <c r="A4483" s="5">
        <v>40081</v>
      </c>
      <c r="B4483">
        <v>32.056106999999997</v>
      </c>
    </row>
    <row r="4484" spans="1:2" x14ac:dyDescent="0.25">
      <c r="A4484" s="5">
        <v>40084</v>
      </c>
      <c r="B4484">
        <v>32.966858000000002</v>
      </c>
    </row>
    <row r="4485" spans="1:2" x14ac:dyDescent="0.25">
      <c r="A4485" s="5">
        <v>40085</v>
      </c>
      <c r="B4485">
        <v>32.629798999999998</v>
      </c>
    </row>
    <row r="4486" spans="1:2" x14ac:dyDescent="0.25">
      <c r="A4486" s="5">
        <v>40086</v>
      </c>
      <c r="B4486">
        <v>32.256897000000002</v>
      </c>
    </row>
    <row r="4487" spans="1:2" x14ac:dyDescent="0.25">
      <c r="A4487" s="5">
        <v>40087</v>
      </c>
      <c r="B4487">
        <v>30.621822000000002</v>
      </c>
    </row>
    <row r="4488" spans="1:2" x14ac:dyDescent="0.25">
      <c r="A4488" s="5">
        <v>40088</v>
      </c>
      <c r="B4488">
        <v>29.718223999999999</v>
      </c>
    </row>
    <row r="4489" spans="1:2" x14ac:dyDescent="0.25">
      <c r="A4489" s="5">
        <v>40091</v>
      </c>
      <c r="B4489">
        <v>30.076788000000001</v>
      </c>
    </row>
    <row r="4490" spans="1:2" x14ac:dyDescent="0.25">
      <c r="A4490" s="5">
        <v>40092</v>
      </c>
      <c r="B4490">
        <v>30.564454999999999</v>
      </c>
    </row>
    <row r="4491" spans="1:2" x14ac:dyDescent="0.25">
      <c r="A4491" s="5">
        <v>40093</v>
      </c>
      <c r="B4491">
        <v>30.248899000000002</v>
      </c>
    </row>
    <row r="4492" spans="1:2" x14ac:dyDescent="0.25">
      <c r="A4492" s="5">
        <v>40094</v>
      </c>
      <c r="B4492">
        <v>29.725394999999999</v>
      </c>
    </row>
    <row r="4493" spans="1:2" x14ac:dyDescent="0.25">
      <c r="A4493" s="5">
        <v>40095</v>
      </c>
      <c r="B4493">
        <v>29.904679999999999</v>
      </c>
    </row>
    <row r="4494" spans="1:2" x14ac:dyDescent="0.25">
      <c r="A4494" s="5">
        <v>40098</v>
      </c>
      <c r="B4494">
        <v>29.789943999999998</v>
      </c>
    </row>
    <row r="4495" spans="1:2" x14ac:dyDescent="0.25">
      <c r="A4495" s="5">
        <v>40099</v>
      </c>
      <c r="B4495">
        <v>29.610647</v>
      </c>
    </row>
    <row r="4496" spans="1:2" x14ac:dyDescent="0.25">
      <c r="A4496" s="5">
        <v>40100</v>
      </c>
      <c r="B4496">
        <v>30.284776999999998</v>
      </c>
    </row>
    <row r="4497" spans="1:2" x14ac:dyDescent="0.25">
      <c r="A4497" s="5">
        <v>40101</v>
      </c>
      <c r="B4497">
        <v>30.442522</v>
      </c>
    </row>
    <row r="4498" spans="1:2" x14ac:dyDescent="0.25">
      <c r="A4498" s="5">
        <v>40102</v>
      </c>
      <c r="B4498">
        <v>30.091138999999998</v>
      </c>
    </row>
    <row r="4499" spans="1:2" x14ac:dyDescent="0.25">
      <c r="A4499" s="5">
        <v>40105</v>
      </c>
      <c r="B4499">
        <v>30.162856999999999</v>
      </c>
    </row>
    <row r="4500" spans="1:2" x14ac:dyDescent="0.25">
      <c r="A4500" s="5">
        <v>40106</v>
      </c>
      <c r="B4500">
        <v>29.624995999999999</v>
      </c>
    </row>
    <row r="4501" spans="1:2" x14ac:dyDescent="0.25">
      <c r="A4501" s="5">
        <v>40107</v>
      </c>
      <c r="B4501">
        <v>29.696707</v>
      </c>
    </row>
    <row r="4502" spans="1:2" x14ac:dyDescent="0.25">
      <c r="A4502" s="5">
        <v>40108</v>
      </c>
      <c r="B4502">
        <v>29.460056000000002</v>
      </c>
    </row>
    <row r="4503" spans="1:2" x14ac:dyDescent="0.25">
      <c r="A4503" s="5">
        <v>40109</v>
      </c>
      <c r="B4503">
        <v>29.187538</v>
      </c>
    </row>
    <row r="4504" spans="1:2" x14ac:dyDescent="0.25">
      <c r="A4504" s="5">
        <v>40112</v>
      </c>
      <c r="B4504">
        <v>29.173216</v>
      </c>
    </row>
    <row r="4505" spans="1:2" x14ac:dyDescent="0.25">
      <c r="A4505" s="5">
        <v>40113</v>
      </c>
      <c r="B4505">
        <v>29.402685000000002</v>
      </c>
    </row>
    <row r="4506" spans="1:2" x14ac:dyDescent="0.25">
      <c r="A4506" s="5">
        <v>40114</v>
      </c>
      <c r="B4506">
        <v>29.854489999999998</v>
      </c>
    </row>
    <row r="4507" spans="1:2" x14ac:dyDescent="0.25">
      <c r="A4507" s="5">
        <v>40115</v>
      </c>
      <c r="B4507">
        <v>30.313457</v>
      </c>
    </row>
    <row r="4508" spans="1:2" x14ac:dyDescent="0.25">
      <c r="A4508" s="5">
        <v>40116</v>
      </c>
      <c r="B4508">
        <v>29.639351000000001</v>
      </c>
    </row>
    <row r="4509" spans="1:2" x14ac:dyDescent="0.25">
      <c r="A4509" s="5">
        <v>40119</v>
      </c>
      <c r="B4509">
        <v>29.983568000000002</v>
      </c>
    </row>
    <row r="4510" spans="1:2" x14ac:dyDescent="0.25">
      <c r="A4510" s="5">
        <v>40120</v>
      </c>
      <c r="B4510">
        <v>30.277597</v>
      </c>
    </row>
    <row r="4511" spans="1:2" x14ac:dyDescent="0.25">
      <c r="A4511" s="5">
        <v>40121</v>
      </c>
      <c r="B4511">
        <v>29.832964</v>
      </c>
    </row>
    <row r="4512" spans="1:2" x14ac:dyDescent="0.25">
      <c r="A4512" s="5">
        <v>40122</v>
      </c>
      <c r="B4512">
        <v>31.446515999999999</v>
      </c>
    </row>
    <row r="4513" spans="1:2" x14ac:dyDescent="0.25">
      <c r="A4513" s="5">
        <v>40123</v>
      </c>
      <c r="B4513">
        <v>31.482384</v>
      </c>
    </row>
    <row r="4514" spans="1:2" x14ac:dyDescent="0.25">
      <c r="A4514" s="5">
        <v>40126</v>
      </c>
      <c r="B4514">
        <v>32.091952999999997</v>
      </c>
    </row>
    <row r="4515" spans="1:2" x14ac:dyDescent="0.25">
      <c r="A4515" s="5">
        <v>40127</v>
      </c>
      <c r="B4515">
        <v>31.805081999999999</v>
      </c>
    </row>
    <row r="4516" spans="1:2" x14ac:dyDescent="0.25">
      <c r="A4516" s="5">
        <v>40128</v>
      </c>
      <c r="B4516">
        <v>32.027416000000002</v>
      </c>
    </row>
    <row r="4517" spans="1:2" x14ac:dyDescent="0.25">
      <c r="A4517" s="5">
        <v>40129</v>
      </c>
      <c r="B4517">
        <v>32.163677</v>
      </c>
    </row>
    <row r="4518" spans="1:2" x14ac:dyDescent="0.25">
      <c r="A4518" s="5">
        <v>40130</v>
      </c>
      <c r="B4518">
        <v>32.823433000000001</v>
      </c>
    </row>
    <row r="4519" spans="1:2" x14ac:dyDescent="0.25">
      <c r="A4519" s="5">
        <v>40133</v>
      </c>
      <c r="B4519">
        <v>32.636977999999999</v>
      </c>
    </row>
    <row r="4520" spans="1:2" x14ac:dyDescent="0.25">
      <c r="A4520" s="5">
        <v>40134</v>
      </c>
      <c r="B4520">
        <v>32.981212999999997</v>
      </c>
    </row>
    <row r="4521" spans="1:2" x14ac:dyDescent="0.25">
      <c r="A4521" s="5">
        <v>40135</v>
      </c>
      <c r="B4521">
        <v>32.622646000000003</v>
      </c>
    </row>
    <row r="4522" spans="1:2" x14ac:dyDescent="0.25">
      <c r="A4522" s="5">
        <v>40136</v>
      </c>
      <c r="B4522">
        <v>32.335785000000001</v>
      </c>
    </row>
    <row r="4523" spans="1:2" x14ac:dyDescent="0.25">
      <c r="A4523" s="5">
        <v>40137</v>
      </c>
      <c r="B4523">
        <v>32.342948999999997</v>
      </c>
    </row>
    <row r="4524" spans="1:2" x14ac:dyDescent="0.25">
      <c r="A4524" s="5">
        <v>40140</v>
      </c>
      <c r="B4524">
        <v>32.789256999999999</v>
      </c>
    </row>
    <row r="4525" spans="1:2" x14ac:dyDescent="0.25">
      <c r="A4525" s="5">
        <v>40141</v>
      </c>
      <c r="B4525">
        <v>32.796463000000003</v>
      </c>
    </row>
    <row r="4526" spans="1:2" x14ac:dyDescent="0.25">
      <c r="A4526" s="5">
        <v>40142</v>
      </c>
      <c r="B4526">
        <v>32.710079</v>
      </c>
    </row>
    <row r="4527" spans="1:2" x14ac:dyDescent="0.25">
      <c r="A4527" s="5">
        <v>40144</v>
      </c>
      <c r="B4527">
        <v>32.386142999999997</v>
      </c>
    </row>
    <row r="4528" spans="1:2" x14ac:dyDescent="0.25">
      <c r="A4528" s="5">
        <v>40147</v>
      </c>
      <c r="B4528">
        <v>32.393344999999997</v>
      </c>
    </row>
    <row r="4529" spans="1:2" x14ac:dyDescent="0.25">
      <c r="A4529" s="5">
        <v>40148</v>
      </c>
      <c r="B4529">
        <v>32.436526999999998</v>
      </c>
    </row>
    <row r="4530" spans="1:2" x14ac:dyDescent="0.25">
      <c r="A4530" s="5">
        <v>40149</v>
      </c>
      <c r="B4530">
        <v>32.436526999999998</v>
      </c>
    </row>
    <row r="4531" spans="1:2" x14ac:dyDescent="0.25">
      <c r="A4531" s="5">
        <v>40150</v>
      </c>
      <c r="B4531">
        <v>32.126998999999998</v>
      </c>
    </row>
    <row r="4532" spans="1:2" x14ac:dyDescent="0.25">
      <c r="A4532" s="5">
        <v>40151</v>
      </c>
      <c r="B4532">
        <v>32.508526000000003</v>
      </c>
    </row>
    <row r="4533" spans="1:2" x14ac:dyDescent="0.25">
      <c r="A4533" s="5">
        <v>40154</v>
      </c>
      <c r="B4533">
        <v>32.314155999999997</v>
      </c>
    </row>
    <row r="4534" spans="1:2" x14ac:dyDescent="0.25">
      <c r="A4534" s="5">
        <v>40155</v>
      </c>
      <c r="B4534">
        <v>32.098202000000001</v>
      </c>
    </row>
    <row r="4535" spans="1:2" x14ac:dyDescent="0.25">
      <c r="A4535" s="5">
        <v>40156</v>
      </c>
      <c r="B4535">
        <v>32.227775999999999</v>
      </c>
    </row>
    <row r="4536" spans="1:2" x14ac:dyDescent="0.25">
      <c r="A4536" s="5">
        <v>40157</v>
      </c>
      <c r="B4536">
        <v>32.796463000000003</v>
      </c>
    </row>
    <row r="4537" spans="1:2" x14ac:dyDescent="0.25">
      <c r="A4537" s="5">
        <v>40158</v>
      </c>
      <c r="B4537">
        <v>32.321368999999997</v>
      </c>
    </row>
    <row r="4538" spans="1:2" x14ac:dyDescent="0.25">
      <c r="A4538" s="5">
        <v>40161</v>
      </c>
      <c r="B4538">
        <v>32.155791999999998</v>
      </c>
    </row>
    <row r="4539" spans="1:2" x14ac:dyDescent="0.25">
      <c r="A4539" s="5">
        <v>40162</v>
      </c>
      <c r="B4539">
        <v>32.306961000000001</v>
      </c>
    </row>
    <row r="4540" spans="1:2" x14ac:dyDescent="0.25">
      <c r="A4540" s="5">
        <v>40163</v>
      </c>
      <c r="B4540">
        <v>32.170180999999999</v>
      </c>
    </row>
    <row r="4541" spans="1:2" x14ac:dyDescent="0.25">
      <c r="A4541" s="5">
        <v>40164</v>
      </c>
      <c r="B4541">
        <v>31.896644999999999</v>
      </c>
    </row>
    <row r="4542" spans="1:2" x14ac:dyDescent="0.25">
      <c r="A4542" s="5">
        <v>40165</v>
      </c>
      <c r="B4542">
        <v>32.083809000000002</v>
      </c>
    </row>
    <row r="4543" spans="1:2" x14ac:dyDescent="0.25">
      <c r="A4543" s="5">
        <v>40168</v>
      </c>
      <c r="B4543">
        <v>32.688479999999998</v>
      </c>
    </row>
    <row r="4544" spans="1:2" x14ac:dyDescent="0.25">
      <c r="A4544" s="5">
        <v>40169</v>
      </c>
      <c r="B4544">
        <v>32.998027999999998</v>
      </c>
    </row>
    <row r="4545" spans="1:2" x14ac:dyDescent="0.25">
      <c r="A4545" s="5">
        <v>40170</v>
      </c>
      <c r="B4545">
        <v>33.077209000000003</v>
      </c>
    </row>
    <row r="4546" spans="1:2" x14ac:dyDescent="0.25">
      <c r="A4546" s="5">
        <v>40171</v>
      </c>
      <c r="B4546">
        <v>33.185181</v>
      </c>
    </row>
    <row r="4547" spans="1:2" x14ac:dyDescent="0.25">
      <c r="A4547" s="5">
        <v>40175</v>
      </c>
      <c r="B4547">
        <v>33.300350000000002</v>
      </c>
    </row>
    <row r="4548" spans="1:2" x14ac:dyDescent="0.25">
      <c r="A4548" s="5">
        <v>40176</v>
      </c>
      <c r="B4548">
        <v>33.581108</v>
      </c>
    </row>
    <row r="4549" spans="1:2" x14ac:dyDescent="0.25">
      <c r="A4549" s="5">
        <v>40177</v>
      </c>
      <c r="B4549">
        <v>33.732272999999999</v>
      </c>
    </row>
    <row r="4550" spans="1:2" x14ac:dyDescent="0.25">
      <c r="A4550" s="5">
        <v>40178</v>
      </c>
      <c r="B4550">
        <v>33.300350000000002</v>
      </c>
    </row>
    <row r="4551" spans="1:2" x14ac:dyDescent="0.25">
      <c r="A4551" s="5">
        <v>40182</v>
      </c>
      <c r="B4551">
        <v>33.789864000000001</v>
      </c>
    </row>
    <row r="4552" spans="1:2" x14ac:dyDescent="0.25">
      <c r="A4552" s="5">
        <v>40183</v>
      </c>
      <c r="B4552">
        <v>34.603287000000002</v>
      </c>
    </row>
    <row r="4553" spans="1:2" x14ac:dyDescent="0.25">
      <c r="A4553" s="5">
        <v>40184</v>
      </c>
      <c r="B4553">
        <v>34.264972999999998</v>
      </c>
    </row>
    <row r="4554" spans="1:2" x14ac:dyDescent="0.25">
      <c r="A4554" s="5">
        <v>40185</v>
      </c>
      <c r="B4554">
        <v>35.258358000000001</v>
      </c>
    </row>
    <row r="4555" spans="1:2" x14ac:dyDescent="0.25">
      <c r="A4555" s="5">
        <v>40186</v>
      </c>
      <c r="B4555">
        <v>35.611080000000001</v>
      </c>
    </row>
    <row r="4556" spans="1:2" x14ac:dyDescent="0.25">
      <c r="A4556" s="5">
        <v>40189</v>
      </c>
      <c r="B4556">
        <v>35.48151</v>
      </c>
    </row>
    <row r="4557" spans="1:2" x14ac:dyDescent="0.25">
      <c r="A4557" s="5">
        <v>40190</v>
      </c>
      <c r="B4557">
        <v>34.905624000000003</v>
      </c>
    </row>
    <row r="4558" spans="1:2" x14ac:dyDescent="0.25">
      <c r="A4558" s="5">
        <v>40191</v>
      </c>
      <c r="B4558">
        <v>35.056797000000003</v>
      </c>
    </row>
    <row r="4559" spans="1:2" x14ac:dyDescent="0.25">
      <c r="A4559" s="5">
        <v>40192</v>
      </c>
      <c r="B4559">
        <v>34.819243999999998</v>
      </c>
    </row>
    <row r="4560" spans="1:2" x14ac:dyDescent="0.25">
      <c r="A4560" s="5">
        <v>40193</v>
      </c>
      <c r="B4560">
        <v>34.934418000000001</v>
      </c>
    </row>
    <row r="4561" spans="1:2" x14ac:dyDescent="0.25">
      <c r="A4561" s="5">
        <v>40197</v>
      </c>
      <c r="B4561">
        <v>35.503104999999998</v>
      </c>
    </row>
    <row r="4562" spans="1:2" x14ac:dyDescent="0.25">
      <c r="A4562" s="5">
        <v>40198</v>
      </c>
      <c r="B4562">
        <v>34.804839999999999</v>
      </c>
    </row>
    <row r="4563" spans="1:2" x14ac:dyDescent="0.25">
      <c r="A4563" s="5">
        <v>40199</v>
      </c>
      <c r="B4563">
        <v>34.617676000000003</v>
      </c>
    </row>
    <row r="4564" spans="1:2" x14ac:dyDescent="0.25">
      <c r="A4564" s="5">
        <v>40200</v>
      </c>
      <c r="B4564">
        <v>33.674675000000001</v>
      </c>
    </row>
    <row r="4565" spans="1:2" x14ac:dyDescent="0.25">
      <c r="A4565" s="5">
        <v>40203</v>
      </c>
      <c r="B4565">
        <v>33.768256999999998</v>
      </c>
    </row>
    <row r="4566" spans="1:2" x14ac:dyDescent="0.25">
      <c r="A4566" s="5">
        <v>40204</v>
      </c>
      <c r="B4566">
        <v>33.753872000000001</v>
      </c>
    </row>
    <row r="4567" spans="1:2" x14ac:dyDescent="0.25">
      <c r="A4567" s="5">
        <v>40205</v>
      </c>
      <c r="B4567">
        <v>33.977020000000003</v>
      </c>
    </row>
    <row r="4568" spans="1:2" x14ac:dyDescent="0.25">
      <c r="A4568" s="5">
        <v>40206</v>
      </c>
      <c r="B4568">
        <v>29.139614000000002</v>
      </c>
    </row>
    <row r="4569" spans="1:2" x14ac:dyDescent="0.25">
      <c r="A4569" s="5">
        <v>40207</v>
      </c>
      <c r="B4569">
        <v>28.211008</v>
      </c>
    </row>
    <row r="4570" spans="1:2" x14ac:dyDescent="0.25">
      <c r="A4570" s="5">
        <v>40210</v>
      </c>
      <c r="B4570">
        <v>28.628519000000001</v>
      </c>
    </row>
    <row r="4571" spans="1:2" x14ac:dyDescent="0.25">
      <c r="A4571" s="5">
        <v>40211</v>
      </c>
      <c r="B4571">
        <v>28.261398</v>
      </c>
    </row>
    <row r="4572" spans="1:2" x14ac:dyDescent="0.25">
      <c r="A4572" s="5">
        <v>40212</v>
      </c>
      <c r="B4572">
        <v>28.527743999999998</v>
      </c>
    </row>
    <row r="4573" spans="1:2" x14ac:dyDescent="0.25">
      <c r="A4573" s="5">
        <v>40213</v>
      </c>
      <c r="B4573">
        <v>27.476755000000001</v>
      </c>
    </row>
    <row r="4574" spans="1:2" x14ac:dyDescent="0.25">
      <c r="A4574" s="5">
        <v>40214</v>
      </c>
      <c r="B4574">
        <v>27.383167</v>
      </c>
    </row>
    <row r="4575" spans="1:2" x14ac:dyDescent="0.25">
      <c r="A4575" s="5">
        <v>40217</v>
      </c>
      <c r="B4575">
        <v>27.001650000000001</v>
      </c>
    </row>
    <row r="4576" spans="1:2" x14ac:dyDescent="0.25">
      <c r="A4576" s="5">
        <v>40218</v>
      </c>
      <c r="B4576">
        <v>27.289588999999999</v>
      </c>
    </row>
    <row r="4577" spans="1:2" x14ac:dyDescent="0.25">
      <c r="A4577" s="5">
        <v>40219</v>
      </c>
      <c r="B4577">
        <v>26.944063</v>
      </c>
    </row>
    <row r="4578" spans="1:2" x14ac:dyDescent="0.25">
      <c r="A4578" s="5">
        <v>40220</v>
      </c>
      <c r="B4578">
        <v>27.361574000000001</v>
      </c>
    </row>
    <row r="4579" spans="1:2" x14ac:dyDescent="0.25">
      <c r="A4579" s="5">
        <v>40221</v>
      </c>
      <c r="B4579">
        <v>27.959057000000001</v>
      </c>
    </row>
    <row r="4580" spans="1:2" x14ac:dyDescent="0.25">
      <c r="A4580" s="5">
        <v>40225</v>
      </c>
      <c r="B4580">
        <v>28.088633000000002</v>
      </c>
    </row>
    <row r="4581" spans="1:2" x14ac:dyDescent="0.25">
      <c r="A4581" s="5">
        <v>40226</v>
      </c>
      <c r="B4581">
        <v>28.383769999999998</v>
      </c>
    </row>
    <row r="4582" spans="1:2" x14ac:dyDescent="0.25">
      <c r="A4582" s="5">
        <v>40227</v>
      </c>
      <c r="B4582">
        <v>28.657309000000001</v>
      </c>
    </row>
    <row r="4583" spans="1:2" x14ac:dyDescent="0.25">
      <c r="A4583" s="5">
        <v>40228</v>
      </c>
      <c r="B4583">
        <v>28.498951000000002</v>
      </c>
    </row>
    <row r="4584" spans="1:2" x14ac:dyDescent="0.25">
      <c r="A4584" s="5">
        <v>40231</v>
      </c>
      <c r="B4584">
        <v>28.081436</v>
      </c>
    </row>
    <row r="4585" spans="1:2" x14ac:dyDescent="0.25">
      <c r="A4585" s="5">
        <v>40232</v>
      </c>
      <c r="B4585">
        <v>27.743100999999999</v>
      </c>
    </row>
    <row r="4586" spans="1:2" x14ac:dyDescent="0.25">
      <c r="A4586" s="5">
        <v>40233</v>
      </c>
      <c r="B4586">
        <v>27.381578000000001</v>
      </c>
    </row>
    <row r="4587" spans="1:2" x14ac:dyDescent="0.25">
      <c r="A4587" s="5">
        <v>40234</v>
      </c>
      <c r="B4587">
        <v>26.882673</v>
      </c>
    </row>
    <row r="4588" spans="1:2" x14ac:dyDescent="0.25">
      <c r="A4588" s="5">
        <v>40235</v>
      </c>
      <c r="B4588">
        <v>26.521158</v>
      </c>
    </row>
    <row r="4589" spans="1:2" x14ac:dyDescent="0.25">
      <c r="A4589" s="5">
        <v>40238</v>
      </c>
      <c r="B4589">
        <v>25.711355000000001</v>
      </c>
    </row>
    <row r="4590" spans="1:2" x14ac:dyDescent="0.25">
      <c r="A4590" s="5">
        <v>40239</v>
      </c>
      <c r="B4590">
        <v>27.424965</v>
      </c>
    </row>
    <row r="4591" spans="1:2" x14ac:dyDescent="0.25">
      <c r="A4591" s="5">
        <v>40240</v>
      </c>
      <c r="B4591">
        <v>27.97447</v>
      </c>
    </row>
    <row r="4592" spans="1:2" x14ac:dyDescent="0.25">
      <c r="A4592" s="5">
        <v>40241</v>
      </c>
      <c r="B4592">
        <v>28.379379</v>
      </c>
    </row>
    <row r="4593" spans="1:2" x14ac:dyDescent="0.25">
      <c r="A4593" s="5">
        <v>40242</v>
      </c>
      <c r="B4593">
        <v>28.025075999999999</v>
      </c>
    </row>
    <row r="4594" spans="1:2" x14ac:dyDescent="0.25">
      <c r="A4594" s="5">
        <v>40245</v>
      </c>
      <c r="B4594">
        <v>28.046776000000001</v>
      </c>
    </row>
    <row r="4595" spans="1:2" x14ac:dyDescent="0.25">
      <c r="A4595" s="5">
        <v>40246</v>
      </c>
      <c r="B4595">
        <v>27.967236</v>
      </c>
    </row>
    <row r="4596" spans="1:2" x14ac:dyDescent="0.25">
      <c r="A4596" s="5">
        <v>40247</v>
      </c>
      <c r="B4596">
        <v>28.111847000000001</v>
      </c>
    </row>
    <row r="4597" spans="1:2" x14ac:dyDescent="0.25">
      <c r="A4597" s="5">
        <v>40248</v>
      </c>
      <c r="B4597">
        <v>28.270914000000001</v>
      </c>
    </row>
    <row r="4598" spans="1:2" x14ac:dyDescent="0.25">
      <c r="A4598" s="5">
        <v>40249</v>
      </c>
      <c r="B4598">
        <v>28.162459999999999</v>
      </c>
    </row>
    <row r="4599" spans="1:2" x14ac:dyDescent="0.25">
      <c r="A4599" s="5">
        <v>40252</v>
      </c>
      <c r="B4599">
        <v>28.104621999999999</v>
      </c>
    </row>
    <row r="4600" spans="1:2" x14ac:dyDescent="0.25">
      <c r="A4600" s="5">
        <v>40253</v>
      </c>
      <c r="B4600">
        <v>28.205853000000001</v>
      </c>
    </row>
    <row r="4601" spans="1:2" x14ac:dyDescent="0.25">
      <c r="A4601" s="5">
        <v>40254</v>
      </c>
      <c r="B4601">
        <v>28.126318000000001</v>
      </c>
    </row>
    <row r="4602" spans="1:2" x14ac:dyDescent="0.25">
      <c r="A4602" s="5">
        <v>40255</v>
      </c>
      <c r="B4602">
        <v>29.232565000000001</v>
      </c>
    </row>
    <row r="4603" spans="1:2" x14ac:dyDescent="0.25">
      <c r="A4603" s="5">
        <v>40256</v>
      </c>
      <c r="B4603">
        <v>28.957806000000001</v>
      </c>
    </row>
    <row r="4604" spans="1:2" x14ac:dyDescent="0.25">
      <c r="A4604" s="5">
        <v>40259</v>
      </c>
      <c r="B4604">
        <v>29.124105</v>
      </c>
    </row>
    <row r="4605" spans="1:2" x14ac:dyDescent="0.25">
      <c r="A4605" s="5">
        <v>40260</v>
      </c>
      <c r="B4605">
        <v>29.297642</v>
      </c>
    </row>
    <row r="4606" spans="1:2" x14ac:dyDescent="0.25">
      <c r="A4606" s="5">
        <v>40261</v>
      </c>
      <c r="B4606">
        <v>29.059031000000001</v>
      </c>
    </row>
    <row r="4607" spans="1:2" x14ac:dyDescent="0.25">
      <c r="A4607" s="5">
        <v>40262</v>
      </c>
      <c r="B4607">
        <v>30.505116000000001</v>
      </c>
    </row>
    <row r="4608" spans="1:2" x14ac:dyDescent="0.25">
      <c r="A4608" s="5">
        <v>40263</v>
      </c>
      <c r="B4608">
        <v>30.244820000000001</v>
      </c>
    </row>
    <row r="4609" spans="1:2" x14ac:dyDescent="0.25">
      <c r="A4609" s="5">
        <v>40266</v>
      </c>
      <c r="B4609">
        <v>30.194210000000002</v>
      </c>
    </row>
    <row r="4610" spans="1:2" x14ac:dyDescent="0.25">
      <c r="A4610" s="5">
        <v>40267</v>
      </c>
      <c r="B4610">
        <v>30.461739999999999</v>
      </c>
    </row>
    <row r="4611" spans="1:2" x14ac:dyDescent="0.25">
      <c r="A4611" s="5">
        <v>40268</v>
      </c>
      <c r="B4611">
        <v>30.338820999999999</v>
      </c>
    </row>
    <row r="4612" spans="1:2" x14ac:dyDescent="0.25">
      <c r="A4612" s="5">
        <v>40269</v>
      </c>
      <c r="B4612">
        <v>30.562954000000001</v>
      </c>
    </row>
    <row r="4613" spans="1:2" x14ac:dyDescent="0.25">
      <c r="A4613" s="5">
        <v>40273</v>
      </c>
      <c r="B4613">
        <v>30.750959000000002</v>
      </c>
    </row>
    <row r="4614" spans="1:2" x14ac:dyDescent="0.25">
      <c r="A4614" s="5">
        <v>40274</v>
      </c>
      <c r="B4614">
        <v>30.678656</v>
      </c>
    </row>
    <row r="4615" spans="1:2" x14ac:dyDescent="0.25">
      <c r="A4615" s="5">
        <v>40275</v>
      </c>
      <c r="B4615">
        <v>30.924477</v>
      </c>
    </row>
    <row r="4616" spans="1:2" x14ac:dyDescent="0.25">
      <c r="A4616" s="5">
        <v>40276</v>
      </c>
      <c r="B4616">
        <v>30.656960000000002</v>
      </c>
    </row>
    <row r="4617" spans="1:2" x14ac:dyDescent="0.25">
      <c r="A4617" s="5">
        <v>40277</v>
      </c>
      <c r="B4617">
        <v>30.490658</v>
      </c>
    </row>
    <row r="4618" spans="1:2" x14ac:dyDescent="0.25">
      <c r="A4618" s="5">
        <v>40280</v>
      </c>
      <c r="B4618">
        <v>30.534044000000002</v>
      </c>
    </row>
    <row r="4619" spans="1:2" x14ac:dyDescent="0.25">
      <c r="A4619" s="5">
        <v>40281</v>
      </c>
      <c r="B4619">
        <v>30.584661000000001</v>
      </c>
    </row>
    <row r="4620" spans="1:2" x14ac:dyDescent="0.25">
      <c r="A4620" s="5">
        <v>40282</v>
      </c>
      <c r="B4620">
        <v>30.801575</v>
      </c>
    </row>
    <row r="4621" spans="1:2" x14ac:dyDescent="0.25">
      <c r="A4621" s="5">
        <v>40283</v>
      </c>
      <c r="B4621">
        <v>30.873868999999999</v>
      </c>
    </row>
    <row r="4622" spans="1:2" x14ac:dyDescent="0.25">
      <c r="A4622" s="5">
        <v>40284</v>
      </c>
      <c r="B4622">
        <v>30.902794</v>
      </c>
    </row>
    <row r="4623" spans="1:2" x14ac:dyDescent="0.25">
      <c r="A4623" s="5">
        <v>40287</v>
      </c>
      <c r="B4623">
        <v>30.910021</v>
      </c>
    </row>
    <row r="4624" spans="1:2" x14ac:dyDescent="0.25">
      <c r="A4624" s="5">
        <v>40288</v>
      </c>
      <c r="B4624">
        <v>31.300464999999999</v>
      </c>
    </row>
    <row r="4625" spans="1:2" x14ac:dyDescent="0.25">
      <c r="A4625" s="5">
        <v>40289</v>
      </c>
      <c r="B4625">
        <v>30.823256000000001</v>
      </c>
    </row>
    <row r="4626" spans="1:2" x14ac:dyDescent="0.25">
      <c r="A4626" s="5">
        <v>40290</v>
      </c>
      <c r="B4626">
        <v>28.437214000000001</v>
      </c>
    </row>
    <row r="4627" spans="1:2" x14ac:dyDescent="0.25">
      <c r="A4627" s="5">
        <v>40291</v>
      </c>
      <c r="B4627">
        <v>27.656338000000002</v>
      </c>
    </row>
    <row r="4628" spans="1:2" x14ac:dyDescent="0.25">
      <c r="A4628" s="5">
        <v>40294</v>
      </c>
      <c r="B4628">
        <v>27.555119000000001</v>
      </c>
    </row>
    <row r="4629" spans="1:2" x14ac:dyDescent="0.25">
      <c r="A4629" s="5">
        <v>40295</v>
      </c>
      <c r="B4629">
        <v>27.417726999999999</v>
      </c>
    </row>
    <row r="4630" spans="1:2" x14ac:dyDescent="0.25">
      <c r="A4630" s="5">
        <v>40296</v>
      </c>
      <c r="B4630">
        <v>28.068470000000001</v>
      </c>
    </row>
    <row r="4631" spans="1:2" x14ac:dyDescent="0.25">
      <c r="A4631" s="5">
        <v>40297</v>
      </c>
      <c r="B4631">
        <v>28.184158</v>
      </c>
    </row>
    <row r="4632" spans="1:2" x14ac:dyDescent="0.25">
      <c r="A4632" s="5">
        <v>40298</v>
      </c>
      <c r="B4632">
        <v>27.967236</v>
      </c>
    </row>
    <row r="4633" spans="1:2" x14ac:dyDescent="0.25">
      <c r="A4633" s="5">
        <v>40301</v>
      </c>
      <c r="B4633">
        <v>27.938313999999998</v>
      </c>
    </row>
    <row r="4634" spans="1:2" x14ac:dyDescent="0.25">
      <c r="A4634" s="5">
        <v>40302</v>
      </c>
      <c r="B4634">
        <v>27.186357000000001</v>
      </c>
    </row>
    <row r="4635" spans="1:2" x14ac:dyDescent="0.25">
      <c r="A4635" s="5">
        <v>40303</v>
      </c>
      <c r="B4635">
        <v>27.208041999999999</v>
      </c>
    </row>
    <row r="4636" spans="1:2" x14ac:dyDescent="0.25">
      <c r="A4636" s="5">
        <v>40304</v>
      </c>
      <c r="B4636">
        <v>26.513926999999999</v>
      </c>
    </row>
    <row r="4637" spans="1:2" x14ac:dyDescent="0.25">
      <c r="A4637" s="5">
        <v>40305</v>
      </c>
      <c r="B4637">
        <v>26.391012</v>
      </c>
    </row>
    <row r="4638" spans="1:2" x14ac:dyDescent="0.25">
      <c r="A4638" s="5">
        <v>40308</v>
      </c>
      <c r="B4638">
        <v>27.020053999999998</v>
      </c>
    </row>
    <row r="4639" spans="1:2" x14ac:dyDescent="0.25">
      <c r="A4639" s="5">
        <v>40309</v>
      </c>
      <c r="B4639">
        <v>27.099595999999998</v>
      </c>
    </row>
    <row r="4640" spans="1:2" x14ac:dyDescent="0.25">
      <c r="A4640" s="5">
        <v>40310</v>
      </c>
      <c r="B4640">
        <v>27.591263000000001</v>
      </c>
    </row>
    <row r="4641" spans="1:2" x14ac:dyDescent="0.25">
      <c r="A4641" s="5">
        <v>40311</v>
      </c>
      <c r="B4641">
        <v>27.446650999999999</v>
      </c>
    </row>
    <row r="4642" spans="1:2" x14ac:dyDescent="0.25">
      <c r="A4642" s="5">
        <v>40312</v>
      </c>
      <c r="B4642">
        <v>26.969446000000001</v>
      </c>
    </row>
    <row r="4643" spans="1:2" x14ac:dyDescent="0.25">
      <c r="A4643" s="5">
        <v>40315</v>
      </c>
      <c r="B4643">
        <v>27.020053999999998</v>
      </c>
    </row>
    <row r="4644" spans="1:2" x14ac:dyDescent="0.25">
      <c r="A4644" s="5">
        <v>40316</v>
      </c>
      <c r="B4644">
        <v>26.542850000000001</v>
      </c>
    </row>
    <row r="4645" spans="1:2" x14ac:dyDescent="0.25">
      <c r="A4645" s="5">
        <v>40317</v>
      </c>
      <c r="B4645">
        <v>26.354872</v>
      </c>
    </row>
    <row r="4646" spans="1:2" x14ac:dyDescent="0.25">
      <c r="A4646" s="5">
        <v>40318</v>
      </c>
      <c r="B4646">
        <v>25.733039999999999</v>
      </c>
    </row>
    <row r="4647" spans="1:2" x14ac:dyDescent="0.25">
      <c r="A4647" s="5">
        <v>40319</v>
      </c>
      <c r="B4647">
        <v>25.949957000000001</v>
      </c>
    </row>
    <row r="4648" spans="1:2" x14ac:dyDescent="0.25">
      <c r="A4648" s="5">
        <v>40322</v>
      </c>
      <c r="B4648">
        <v>25.790880000000001</v>
      </c>
    </row>
    <row r="4649" spans="1:2" x14ac:dyDescent="0.25">
      <c r="A4649" s="5">
        <v>40323</v>
      </c>
      <c r="B4649">
        <v>25.747502999999998</v>
      </c>
    </row>
    <row r="4650" spans="1:2" x14ac:dyDescent="0.25">
      <c r="A4650" s="5">
        <v>40324</v>
      </c>
      <c r="B4650">
        <v>25.354966999999998</v>
      </c>
    </row>
    <row r="4651" spans="1:2" x14ac:dyDescent="0.25">
      <c r="A4651" s="5">
        <v>40325</v>
      </c>
      <c r="B4651">
        <v>25.849277000000001</v>
      </c>
    </row>
    <row r="4652" spans="1:2" x14ac:dyDescent="0.25">
      <c r="A4652" s="5">
        <v>40326</v>
      </c>
      <c r="B4652">
        <v>25.849277000000001</v>
      </c>
    </row>
    <row r="4653" spans="1:2" x14ac:dyDescent="0.25">
      <c r="A4653" s="5">
        <v>40330</v>
      </c>
      <c r="B4653">
        <v>25.493075999999999</v>
      </c>
    </row>
    <row r="4654" spans="1:2" x14ac:dyDescent="0.25">
      <c r="A4654" s="5">
        <v>40331</v>
      </c>
      <c r="B4654">
        <v>26.183658999999999</v>
      </c>
    </row>
    <row r="4655" spans="1:2" x14ac:dyDescent="0.25">
      <c r="A4655" s="5">
        <v>40332</v>
      </c>
      <c r="B4655">
        <v>26.510769</v>
      </c>
    </row>
    <row r="4656" spans="1:2" x14ac:dyDescent="0.25">
      <c r="A4656" s="5">
        <v>40333</v>
      </c>
      <c r="B4656">
        <v>25.660276</v>
      </c>
    </row>
    <row r="4657" spans="1:2" x14ac:dyDescent="0.25">
      <c r="A4657" s="5">
        <v>40336</v>
      </c>
      <c r="B4657">
        <v>25.449470999999999</v>
      </c>
    </row>
    <row r="4658" spans="1:2" x14ac:dyDescent="0.25">
      <c r="A4658" s="5">
        <v>40337</v>
      </c>
      <c r="B4658">
        <v>25.638468</v>
      </c>
    </row>
    <row r="4659" spans="1:2" x14ac:dyDescent="0.25">
      <c r="A4659" s="5">
        <v>40338</v>
      </c>
      <c r="B4659">
        <v>25.238657</v>
      </c>
    </row>
    <row r="4660" spans="1:2" x14ac:dyDescent="0.25">
      <c r="A4660" s="5">
        <v>40339</v>
      </c>
      <c r="B4660">
        <v>25.464009999999998</v>
      </c>
    </row>
    <row r="4661" spans="1:2" x14ac:dyDescent="0.25">
      <c r="A4661" s="5">
        <v>40340</v>
      </c>
      <c r="B4661">
        <v>25.703896</v>
      </c>
    </row>
    <row r="4662" spans="1:2" x14ac:dyDescent="0.25">
      <c r="A4662" s="5">
        <v>40343</v>
      </c>
      <c r="B4662">
        <v>25.289541</v>
      </c>
    </row>
    <row r="4663" spans="1:2" x14ac:dyDescent="0.25">
      <c r="A4663" s="5">
        <v>40344</v>
      </c>
      <c r="B4663">
        <v>25.863807999999999</v>
      </c>
    </row>
    <row r="4664" spans="1:2" x14ac:dyDescent="0.25">
      <c r="A4664" s="5">
        <v>40345</v>
      </c>
      <c r="B4664">
        <v>25.500353</v>
      </c>
    </row>
    <row r="4665" spans="1:2" x14ac:dyDescent="0.25">
      <c r="A4665" s="5">
        <v>40346</v>
      </c>
      <c r="B4665">
        <v>25.958310999999998</v>
      </c>
    </row>
    <row r="4666" spans="1:2" x14ac:dyDescent="0.25">
      <c r="A4666" s="5">
        <v>40347</v>
      </c>
      <c r="B4666">
        <v>25.943771000000002</v>
      </c>
    </row>
    <row r="4667" spans="1:2" x14ac:dyDescent="0.25">
      <c r="A4667" s="5">
        <v>40350</v>
      </c>
      <c r="B4667">
        <v>25.907425</v>
      </c>
    </row>
    <row r="4668" spans="1:2" x14ac:dyDescent="0.25">
      <c r="A4668" s="5">
        <v>40351</v>
      </c>
      <c r="B4668">
        <v>25.856544</v>
      </c>
    </row>
    <row r="4669" spans="1:2" x14ac:dyDescent="0.25">
      <c r="A4669" s="5">
        <v>40352</v>
      </c>
      <c r="B4669">
        <v>25.747499000000001</v>
      </c>
    </row>
    <row r="4670" spans="1:2" x14ac:dyDescent="0.25">
      <c r="A4670" s="5">
        <v>40353</v>
      </c>
      <c r="B4670">
        <v>25.289541</v>
      </c>
    </row>
    <row r="4671" spans="1:2" x14ac:dyDescent="0.25">
      <c r="A4671" s="5">
        <v>40354</v>
      </c>
      <c r="B4671">
        <v>25.129625000000001</v>
      </c>
    </row>
    <row r="4672" spans="1:2" x14ac:dyDescent="0.25">
      <c r="A4672" s="5">
        <v>40357</v>
      </c>
      <c r="B4672">
        <v>24.744364000000001</v>
      </c>
    </row>
    <row r="4673" spans="1:2" x14ac:dyDescent="0.25">
      <c r="A4673" s="5">
        <v>40358</v>
      </c>
      <c r="B4673">
        <v>24.090123999999999</v>
      </c>
    </row>
    <row r="4674" spans="1:2" x14ac:dyDescent="0.25">
      <c r="A4674" s="5">
        <v>40359</v>
      </c>
      <c r="B4674">
        <v>23.872053000000001</v>
      </c>
    </row>
    <row r="4675" spans="1:2" x14ac:dyDescent="0.25">
      <c r="A4675" s="5">
        <v>40360</v>
      </c>
      <c r="B4675">
        <v>23.232351000000001</v>
      </c>
    </row>
    <row r="4676" spans="1:2" x14ac:dyDescent="0.25">
      <c r="A4676" s="5">
        <v>40361</v>
      </c>
      <c r="B4676">
        <v>23.530398999999999</v>
      </c>
    </row>
    <row r="4677" spans="1:2" x14ac:dyDescent="0.25">
      <c r="A4677" s="5">
        <v>40365</v>
      </c>
      <c r="B4677">
        <v>23.733937999999998</v>
      </c>
    </row>
    <row r="4678" spans="1:2" x14ac:dyDescent="0.25">
      <c r="A4678" s="5">
        <v>40366</v>
      </c>
      <c r="B4678">
        <v>24.264583999999999</v>
      </c>
    </row>
    <row r="4679" spans="1:2" x14ac:dyDescent="0.25">
      <c r="A4679" s="5">
        <v>40367</v>
      </c>
      <c r="B4679">
        <v>24.664396</v>
      </c>
    </row>
    <row r="4680" spans="1:2" x14ac:dyDescent="0.25">
      <c r="A4680" s="5">
        <v>40368</v>
      </c>
      <c r="B4680">
        <v>24.649854999999999</v>
      </c>
    </row>
    <row r="4681" spans="1:2" x14ac:dyDescent="0.25">
      <c r="A4681" s="5">
        <v>40371</v>
      </c>
      <c r="B4681">
        <v>25.514894000000002</v>
      </c>
    </row>
    <row r="4682" spans="1:2" x14ac:dyDescent="0.25">
      <c r="A4682" s="5">
        <v>40372</v>
      </c>
      <c r="B4682">
        <v>26.132771000000002</v>
      </c>
    </row>
    <row r="4683" spans="1:2" x14ac:dyDescent="0.25">
      <c r="A4683" s="5">
        <v>40373</v>
      </c>
      <c r="B4683">
        <v>26.823346999999998</v>
      </c>
    </row>
    <row r="4684" spans="1:2" x14ac:dyDescent="0.25">
      <c r="A4684" s="5">
        <v>40374</v>
      </c>
      <c r="B4684">
        <v>26.808810999999999</v>
      </c>
    </row>
    <row r="4685" spans="1:2" x14ac:dyDescent="0.25">
      <c r="A4685" s="5">
        <v>40375</v>
      </c>
      <c r="B4685">
        <v>26.140042999999999</v>
      </c>
    </row>
    <row r="4686" spans="1:2" x14ac:dyDescent="0.25">
      <c r="A4686" s="5">
        <v>40378</v>
      </c>
      <c r="B4686">
        <v>26.728843999999999</v>
      </c>
    </row>
    <row r="4687" spans="1:2" x14ac:dyDescent="0.25">
      <c r="A4687" s="5">
        <v>40379</v>
      </c>
      <c r="B4687">
        <v>26.714317000000001</v>
      </c>
    </row>
    <row r="4688" spans="1:2" x14ac:dyDescent="0.25">
      <c r="A4688" s="5">
        <v>40380</v>
      </c>
      <c r="B4688">
        <v>26.285426999999999</v>
      </c>
    </row>
    <row r="4689" spans="1:2" x14ac:dyDescent="0.25">
      <c r="A4689" s="5">
        <v>40381</v>
      </c>
      <c r="B4689">
        <v>28.429843999999999</v>
      </c>
    </row>
    <row r="4690" spans="1:2" x14ac:dyDescent="0.25">
      <c r="A4690" s="5">
        <v>40382</v>
      </c>
      <c r="B4690">
        <v>28.40803</v>
      </c>
    </row>
    <row r="4691" spans="1:2" x14ac:dyDescent="0.25">
      <c r="A4691" s="5">
        <v>40385</v>
      </c>
      <c r="B4691">
        <v>28.524336000000002</v>
      </c>
    </row>
    <row r="4692" spans="1:2" x14ac:dyDescent="0.25">
      <c r="A4692" s="5">
        <v>40386</v>
      </c>
      <c r="B4692">
        <v>28.509793999999999</v>
      </c>
    </row>
    <row r="4693" spans="1:2" x14ac:dyDescent="0.25">
      <c r="A4693" s="5">
        <v>40387</v>
      </c>
      <c r="B4693">
        <v>28.175405999999999</v>
      </c>
    </row>
    <row r="4694" spans="1:2" x14ac:dyDescent="0.25">
      <c r="A4694" s="5">
        <v>40388</v>
      </c>
      <c r="B4694">
        <v>28.189957</v>
      </c>
    </row>
    <row r="4695" spans="1:2" x14ac:dyDescent="0.25">
      <c r="A4695" s="5">
        <v>40389</v>
      </c>
      <c r="B4695">
        <v>27.68111</v>
      </c>
    </row>
    <row r="4696" spans="1:2" x14ac:dyDescent="0.25">
      <c r="A4696" s="5">
        <v>40392</v>
      </c>
      <c r="B4696">
        <v>28.175405999999999</v>
      </c>
    </row>
    <row r="4697" spans="1:2" x14ac:dyDescent="0.25">
      <c r="A4697" s="5">
        <v>40393</v>
      </c>
      <c r="B4697">
        <v>27.957346000000001</v>
      </c>
    </row>
    <row r="4698" spans="1:2" x14ac:dyDescent="0.25">
      <c r="A4698" s="5">
        <v>40394</v>
      </c>
      <c r="B4698">
        <v>27.935534000000001</v>
      </c>
    </row>
    <row r="4699" spans="1:2" x14ac:dyDescent="0.25">
      <c r="A4699" s="5">
        <v>40395</v>
      </c>
      <c r="B4699">
        <v>27.986422000000001</v>
      </c>
    </row>
    <row r="4700" spans="1:2" x14ac:dyDescent="0.25">
      <c r="A4700" s="5">
        <v>40396</v>
      </c>
      <c r="B4700">
        <v>28.095465000000001</v>
      </c>
    </row>
    <row r="4701" spans="1:2" x14ac:dyDescent="0.25">
      <c r="A4701" s="5">
        <v>40399</v>
      </c>
      <c r="B4701">
        <v>28.895064999999999</v>
      </c>
    </row>
    <row r="4702" spans="1:2" x14ac:dyDescent="0.25">
      <c r="A4702" s="5">
        <v>40400</v>
      </c>
      <c r="B4702">
        <v>28.916869999999999</v>
      </c>
    </row>
    <row r="4703" spans="1:2" x14ac:dyDescent="0.25">
      <c r="A4703" s="5">
        <v>40401</v>
      </c>
      <c r="B4703">
        <v>28.611567000000001</v>
      </c>
    </row>
    <row r="4704" spans="1:2" x14ac:dyDescent="0.25">
      <c r="A4704" s="5">
        <v>40402</v>
      </c>
      <c r="B4704">
        <v>27.797423999999999</v>
      </c>
    </row>
    <row r="4705" spans="1:2" x14ac:dyDescent="0.25">
      <c r="A4705" s="5">
        <v>40403</v>
      </c>
      <c r="B4705">
        <v>27.586617</v>
      </c>
    </row>
    <row r="4706" spans="1:2" x14ac:dyDescent="0.25">
      <c r="A4706" s="5">
        <v>40406</v>
      </c>
      <c r="B4706">
        <v>28.088180999999999</v>
      </c>
    </row>
    <row r="4707" spans="1:2" x14ac:dyDescent="0.25">
      <c r="A4707" s="5">
        <v>40407</v>
      </c>
      <c r="B4707">
        <v>28.451643000000001</v>
      </c>
    </row>
    <row r="4708" spans="1:2" x14ac:dyDescent="0.25">
      <c r="A4708" s="5">
        <v>40408</v>
      </c>
      <c r="B4708">
        <v>28.378944000000001</v>
      </c>
    </row>
    <row r="4709" spans="1:2" x14ac:dyDescent="0.25">
      <c r="A4709" s="5">
        <v>40409</v>
      </c>
      <c r="B4709">
        <v>27.702926999999999</v>
      </c>
    </row>
    <row r="4710" spans="1:2" x14ac:dyDescent="0.25">
      <c r="A4710" s="5">
        <v>40410</v>
      </c>
      <c r="B4710">
        <v>28.284458000000001</v>
      </c>
    </row>
    <row r="4711" spans="1:2" x14ac:dyDescent="0.25">
      <c r="A4711" s="5">
        <v>40413</v>
      </c>
      <c r="B4711">
        <v>28.015501</v>
      </c>
    </row>
    <row r="4712" spans="1:2" x14ac:dyDescent="0.25">
      <c r="A4712" s="5">
        <v>40414</v>
      </c>
      <c r="B4712">
        <v>27.652031000000001</v>
      </c>
    </row>
    <row r="4713" spans="1:2" x14ac:dyDescent="0.25">
      <c r="A4713" s="5">
        <v>40415</v>
      </c>
      <c r="B4713">
        <v>28.097688999999999</v>
      </c>
    </row>
    <row r="4714" spans="1:2" x14ac:dyDescent="0.25">
      <c r="A4714" s="5">
        <v>40416</v>
      </c>
      <c r="B4714">
        <v>27.966176999999998</v>
      </c>
    </row>
    <row r="4715" spans="1:2" x14ac:dyDescent="0.25">
      <c r="A4715" s="5">
        <v>40417</v>
      </c>
      <c r="B4715">
        <v>28.229177</v>
      </c>
    </row>
    <row r="4716" spans="1:2" x14ac:dyDescent="0.25">
      <c r="A4716" s="5">
        <v>40420</v>
      </c>
      <c r="B4716">
        <v>27.973475000000001</v>
      </c>
    </row>
    <row r="4717" spans="1:2" x14ac:dyDescent="0.25">
      <c r="A4717" s="5">
        <v>40421</v>
      </c>
      <c r="B4717">
        <v>27.980808</v>
      </c>
    </row>
    <row r="4718" spans="1:2" x14ac:dyDescent="0.25">
      <c r="A4718" s="5">
        <v>40422</v>
      </c>
      <c r="B4718">
        <v>28.930527000000001</v>
      </c>
    </row>
    <row r="4719" spans="1:2" x14ac:dyDescent="0.25">
      <c r="A4719" s="5">
        <v>40423</v>
      </c>
      <c r="B4719">
        <v>29.237369999999999</v>
      </c>
    </row>
    <row r="4720" spans="1:2" x14ac:dyDescent="0.25">
      <c r="A4720" s="5">
        <v>40424</v>
      </c>
      <c r="B4720">
        <v>29.50037</v>
      </c>
    </row>
    <row r="4721" spans="1:2" x14ac:dyDescent="0.25">
      <c r="A4721" s="5">
        <v>40428</v>
      </c>
      <c r="B4721">
        <v>29.639185000000001</v>
      </c>
    </row>
    <row r="4722" spans="1:2" x14ac:dyDescent="0.25">
      <c r="A4722" s="5">
        <v>40429</v>
      </c>
      <c r="B4722">
        <v>29.894884000000001</v>
      </c>
    </row>
    <row r="4723" spans="1:2" x14ac:dyDescent="0.25">
      <c r="A4723" s="5">
        <v>40430</v>
      </c>
      <c r="B4723">
        <v>29.880279999999999</v>
      </c>
    </row>
    <row r="4724" spans="1:2" x14ac:dyDescent="0.25">
      <c r="A4724" s="5">
        <v>40431</v>
      </c>
      <c r="B4724">
        <v>29.529585000000001</v>
      </c>
    </row>
    <row r="4725" spans="1:2" x14ac:dyDescent="0.25">
      <c r="A4725" s="5">
        <v>40434</v>
      </c>
      <c r="B4725">
        <v>29.953327000000002</v>
      </c>
    </row>
    <row r="4726" spans="1:2" x14ac:dyDescent="0.25">
      <c r="A4726" s="5">
        <v>40435</v>
      </c>
      <c r="B4726">
        <v>30.033688000000001</v>
      </c>
    </row>
    <row r="4727" spans="1:2" x14ac:dyDescent="0.25">
      <c r="A4727" s="5">
        <v>40436</v>
      </c>
      <c r="B4727">
        <v>30.669287000000001</v>
      </c>
    </row>
    <row r="4728" spans="1:2" x14ac:dyDescent="0.25">
      <c r="A4728" s="5">
        <v>40437</v>
      </c>
      <c r="B4728">
        <v>30.661966</v>
      </c>
    </row>
    <row r="4729" spans="1:2" x14ac:dyDescent="0.25">
      <c r="A4729" s="5">
        <v>40438</v>
      </c>
      <c r="B4729">
        <v>31.071102</v>
      </c>
    </row>
    <row r="4730" spans="1:2" x14ac:dyDescent="0.25">
      <c r="A4730" s="5">
        <v>40441</v>
      </c>
      <c r="B4730">
        <v>31.421766000000002</v>
      </c>
    </row>
    <row r="4731" spans="1:2" x14ac:dyDescent="0.25">
      <c r="A4731" s="5">
        <v>40442</v>
      </c>
      <c r="B4731">
        <v>31.787046</v>
      </c>
    </row>
    <row r="4732" spans="1:2" x14ac:dyDescent="0.25">
      <c r="A4732" s="5">
        <v>40443</v>
      </c>
      <c r="B4732">
        <v>31.633631000000001</v>
      </c>
    </row>
    <row r="4733" spans="1:2" x14ac:dyDescent="0.25">
      <c r="A4733" s="5">
        <v>40444</v>
      </c>
      <c r="B4733">
        <v>31.889337999999999</v>
      </c>
    </row>
    <row r="4734" spans="1:2" x14ac:dyDescent="0.25">
      <c r="A4734" s="5">
        <v>40445</v>
      </c>
      <c r="B4734">
        <v>32.546844</v>
      </c>
    </row>
    <row r="4735" spans="1:2" x14ac:dyDescent="0.25">
      <c r="A4735" s="5">
        <v>40448</v>
      </c>
      <c r="B4735">
        <v>32.576061000000003</v>
      </c>
    </row>
    <row r="4736" spans="1:2" x14ac:dyDescent="0.25">
      <c r="A4736" s="5">
        <v>40449</v>
      </c>
      <c r="B4736">
        <v>32.196178000000003</v>
      </c>
    </row>
    <row r="4737" spans="1:2" x14ac:dyDescent="0.25">
      <c r="A4737" s="5">
        <v>40450</v>
      </c>
      <c r="B4737">
        <v>32.371521000000001</v>
      </c>
    </row>
    <row r="4738" spans="1:2" x14ac:dyDescent="0.25">
      <c r="A4738" s="5">
        <v>40451</v>
      </c>
      <c r="B4738">
        <v>32.970576999999999</v>
      </c>
    </row>
    <row r="4739" spans="1:2" x14ac:dyDescent="0.25">
      <c r="A4739" s="5">
        <v>40452</v>
      </c>
      <c r="B4739">
        <v>32.334983999999999</v>
      </c>
    </row>
    <row r="4740" spans="1:2" x14ac:dyDescent="0.25">
      <c r="A4740" s="5">
        <v>40455</v>
      </c>
      <c r="B4740">
        <v>32.064667</v>
      </c>
    </row>
    <row r="4741" spans="1:2" x14ac:dyDescent="0.25">
      <c r="A4741" s="5">
        <v>40456</v>
      </c>
      <c r="B4741">
        <v>32.334983999999999</v>
      </c>
    </row>
    <row r="4742" spans="1:2" x14ac:dyDescent="0.25">
      <c r="A4742" s="5">
        <v>40457</v>
      </c>
      <c r="B4742">
        <v>32.619900000000001</v>
      </c>
    </row>
    <row r="4743" spans="1:2" x14ac:dyDescent="0.25">
      <c r="A4743" s="5">
        <v>40458</v>
      </c>
      <c r="B4743">
        <v>32.546844</v>
      </c>
    </row>
    <row r="4744" spans="1:2" x14ac:dyDescent="0.25">
      <c r="A4744" s="5">
        <v>40459</v>
      </c>
      <c r="B4744">
        <v>32.70026</v>
      </c>
    </row>
    <row r="4745" spans="1:2" x14ac:dyDescent="0.25">
      <c r="A4745" s="5">
        <v>40462</v>
      </c>
      <c r="B4745">
        <v>32.276539</v>
      </c>
    </row>
    <row r="4746" spans="1:2" x14ac:dyDescent="0.25">
      <c r="A4746" s="5">
        <v>40463</v>
      </c>
      <c r="B4746">
        <v>32.722178999999997</v>
      </c>
    </row>
    <row r="4747" spans="1:2" x14ac:dyDescent="0.25">
      <c r="A4747" s="5">
        <v>40464</v>
      </c>
      <c r="B4747">
        <v>33.109389999999998</v>
      </c>
    </row>
    <row r="4748" spans="1:2" x14ac:dyDescent="0.25">
      <c r="A4748" s="5">
        <v>40465</v>
      </c>
      <c r="B4748">
        <v>32.904819000000003</v>
      </c>
    </row>
    <row r="4749" spans="1:2" x14ac:dyDescent="0.25">
      <c r="A4749" s="5">
        <v>40466</v>
      </c>
      <c r="B4749">
        <v>32.722178999999997</v>
      </c>
    </row>
    <row r="4750" spans="1:2" x14ac:dyDescent="0.25">
      <c r="A4750" s="5">
        <v>40469</v>
      </c>
      <c r="B4750">
        <v>32.503020999999997</v>
      </c>
    </row>
    <row r="4751" spans="1:2" x14ac:dyDescent="0.25">
      <c r="A4751" s="5">
        <v>40470</v>
      </c>
      <c r="B4751">
        <v>32.305759000000002</v>
      </c>
    </row>
    <row r="4752" spans="1:2" x14ac:dyDescent="0.25">
      <c r="A4752" s="5">
        <v>40471</v>
      </c>
      <c r="B4752">
        <v>32.422652999999997</v>
      </c>
    </row>
    <row r="4753" spans="1:2" x14ac:dyDescent="0.25">
      <c r="A4753" s="5">
        <v>40472</v>
      </c>
      <c r="B4753">
        <v>32.130417000000001</v>
      </c>
    </row>
    <row r="4754" spans="1:2" x14ac:dyDescent="0.25">
      <c r="A4754" s="5">
        <v>40473</v>
      </c>
      <c r="B4754">
        <v>32.276539</v>
      </c>
    </row>
    <row r="4755" spans="1:2" x14ac:dyDescent="0.25">
      <c r="A4755" s="5">
        <v>40476</v>
      </c>
      <c r="B4755">
        <v>32.386116000000001</v>
      </c>
    </row>
    <row r="4756" spans="1:2" x14ac:dyDescent="0.25">
      <c r="A4756" s="5">
        <v>40477</v>
      </c>
      <c r="B4756">
        <v>32.101199999999999</v>
      </c>
    </row>
    <row r="4757" spans="1:2" x14ac:dyDescent="0.25">
      <c r="A4757" s="5">
        <v>40478</v>
      </c>
      <c r="B4757">
        <v>32.495708</v>
      </c>
    </row>
    <row r="4758" spans="1:2" x14ac:dyDescent="0.25">
      <c r="A4758" s="5">
        <v>40479</v>
      </c>
      <c r="B4758">
        <v>32.45187</v>
      </c>
    </row>
    <row r="4759" spans="1:2" x14ac:dyDescent="0.25">
      <c r="A4759" s="5">
        <v>40480</v>
      </c>
      <c r="B4759">
        <v>32.9925</v>
      </c>
    </row>
    <row r="4760" spans="1:2" x14ac:dyDescent="0.25">
      <c r="A4760" s="5">
        <v>40483</v>
      </c>
      <c r="B4760">
        <v>33.116688000000003</v>
      </c>
    </row>
    <row r="4761" spans="1:2" x14ac:dyDescent="0.25">
      <c r="A4761" s="5">
        <v>40484</v>
      </c>
      <c r="B4761">
        <v>33.153216999999998</v>
      </c>
    </row>
    <row r="4762" spans="1:2" x14ac:dyDescent="0.25">
      <c r="A4762" s="5">
        <v>40485</v>
      </c>
      <c r="B4762">
        <v>33.379696000000003</v>
      </c>
    </row>
    <row r="4763" spans="1:2" x14ac:dyDescent="0.25">
      <c r="A4763" s="5">
        <v>40486</v>
      </c>
      <c r="B4763">
        <v>35.315708000000001</v>
      </c>
    </row>
    <row r="4764" spans="1:2" x14ac:dyDescent="0.25">
      <c r="A4764" s="5">
        <v>40487</v>
      </c>
      <c r="B4764">
        <v>35.308383999999997</v>
      </c>
    </row>
    <row r="4765" spans="1:2" x14ac:dyDescent="0.25">
      <c r="A4765" s="5">
        <v>40490</v>
      </c>
      <c r="B4765">
        <v>34.921191999999998</v>
      </c>
    </row>
    <row r="4766" spans="1:2" x14ac:dyDescent="0.25">
      <c r="A4766" s="5">
        <v>40491</v>
      </c>
      <c r="B4766">
        <v>35.008865</v>
      </c>
    </row>
    <row r="4767" spans="1:2" x14ac:dyDescent="0.25">
      <c r="A4767" s="5">
        <v>40492</v>
      </c>
      <c r="B4767">
        <v>34.833526999999997</v>
      </c>
    </row>
    <row r="4768" spans="1:2" x14ac:dyDescent="0.25">
      <c r="A4768" s="5">
        <v>40493</v>
      </c>
      <c r="B4768">
        <v>35.008865</v>
      </c>
    </row>
    <row r="4769" spans="1:2" x14ac:dyDescent="0.25">
      <c r="A4769" s="5">
        <v>40494</v>
      </c>
      <c r="B4769">
        <v>34.680121999999997</v>
      </c>
    </row>
    <row r="4770" spans="1:2" x14ac:dyDescent="0.25">
      <c r="A4770" s="5">
        <v>40497</v>
      </c>
      <c r="B4770">
        <v>34.241768</v>
      </c>
    </row>
    <row r="4771" spans="1:2" x14ac:dyDescent="0.25">
      <c r="A4771" s="5">
        <v>40498</v>
      </c>
      <c r="B4771">
        <v>33.883792999999997</v>
      </c>
    </row>
    <row r="4772" spans="1:2" x14ac:dyDescent="0.25">
      <c r="A4772" s="5">
        <v>40499</v>
      </c>
      <c r="B4772">
        <v>35.052700000000002</v>
      </c>
    </row>
    <row r="4773" spans="1:2" x14ac:dyDescent="0.25">
      <c r="A4773" s="5">
        <v>40500</v>
      </c>
      <c r="B4773">
        <v>34.862755</v>
      </c>
    </row>
    <row r="4774" spans="1:2" x14ac:dyDescent="0.25">
      <c r="A4774" s="5">
        <v>40501</v>
      </c>
      <c r="B4774">
        <v>35.038089999999997</v>
      </c>
    </row>
    <row r="4775" spans="1:2" x14ac:dyDescent="0.25">
      <c r="A4775" s="5">
        <v>40504</v>
      </c>
      <c r="B4775">
        <v>34.928061999999997</v>
      </c>
    </row>
    <row r="4776" spans="1:2" x14ac:dyDescent="0.25">
      <c r="A4776" s="5">
        <v>40505</v>
      </c>
      <c r="B4776">
        <v>34.546653999999997</v>
      </c>
    </row>
    <row r="4777" spans="1:2" x14ac:dyDescent="0.25">
      <c r="A4777" s="5">
        <v>40506</v>
      </c>
      <c r="B4777">
        <v>35.258118000000003</v>
      </c>
    </row>
    <row r="4778" spans="1:2" x14ac:dyDescent="0.25">
      <c r="A4778" s="5">
        <v>40508</v>
      </c>
      <c r="B4778">
        <v>34.986744000000002</v>
      </c>
    </row>
    <row r="4779" spans="1:2" x14ac:dyDescent="0.25">
      <c r="A4779" s="5">
        <v>40511</v>
      </c>
      <c r="B4779">
        <v>34.678683999999997</v>
      </c>
    </row>
    <row r="4780" spans="1:2" x14ac:dyDescent="0.25">
      <c r="A4780" s="5">
        <v>40512</v>
      </c>
      <c r="B4780">
        <v>34.341293</v>
      </c>
    </row>
    <row r="4781" spans="1:2" x14ac:dyDescent="0.25">
      <c r="A4781" s="5">
        <v>40513</v>
      </c>
      <c r="B4781">
        <v>35.126102000000003</v>
      </c>
    </row>
    <row r="4782" spans="1:2" x14ac:dyDescent="0.25">
      <c r="A4782" s="5">
        <v>40514</v>
      </c>
      <c r="B4782">
        <v>35.566192999999998</v>
      </c>
    </row>
    <row r="4783" spans="1:2" x14ac:dyDescent="0.25">
      <c r="A4783" s="5">
        <v>40515</v>
      </c>
      <c r="B4783">
        <v>35.808235000000003</v>
      </c>
    </row>
    <row r="4784" spans="1:2" x14ac:dyDescent="0.25">
      <c r="A4784" s="5">
        <v>40518</v>
      </c>
      <c r="B4784">
        <v>35.441490000000002</v>
      </c>
    </row>
    <row r="4785" spans="1:2" x14ac:dyDescent="0.25">
      <c r="A4785" s="5">
        <v>40519</v>
      </c>
      <c r="B4785">
        <v>35.551516999999997</v>
      </c>
    </row>
    <row r="4786" spans="1:2" x14ac:dyDescent="0.25">
      <c r="A4786" s="5">
        <v>40520</v>
      </c>
      <c r="B4786">
        <v>35.852252999999997</v>
      </c>
    </row>
    <row r="4787" spans="1:2" x14ac:dyDescent="0.25">
      <c r="A4787" s="5">
        <v>40521</v>
      </c>
      <c r="B4787">
        <v>35.998932000000003</v>
      </c>
    </row>
    <row r="4788" spans="1:2" x14ac:dyDescent="0.25">
      <c r="A4788" s="5">
        <v>40522</v>
      </c>
      <c r="B4788">
        <v>36.292338999999998</v>
      </c>
    </row>
    <row r="4789" spans="1:2" x14ac:dyDescent="0.25">
      <c r="A4789" s="5">
        <v>40525</v>
      </c>
      <c r="B4789">
        <v>36.028278</v>
      </c>
    </row>
    <row r="4790" spans="1:2" x14ac:dyDescent="0.25">
      <c r="A4790" s="5">
        <v>40526</v>
      </c>
      <c r="B4790">
        <v>36.072280999999997</v>
      </c>
    </row>
    <row r="4791" spans="1:2" x14ac:dyDescent="0.25">
      <c r="A4791" s="5">
        <v>40527</v>
      </c>
      <c r="B4791">
        <v>36.006270999999998</v>
      </c>
    </row>
    <row r="4792" spans="1:2" x14ac:dyDescent="0.25">
      <c r="A4792" s="5">
        <v>40528</v>
      </c>
      <c r="B4792">
        <v>36.417019000000003</v>
      </c>
    </row>
    <row r="4793" spans="1:2" x14ac:dyDescent="0.25">
      <c r="A4793" s="5">
        <v>40529</v>
      </c>
      <c r="B4793">
        <v>36.277659999999997</v>
      </c>
    </row>
    <row r="4794" spans="1:2" x14ac:dyDescent="0.25">
      <c r="A4794" s="5">
        <v>40532</v>
      </c>
      <c r="B4794">
        <v>36.262985</v>
      </c>
    </row>
    <row r="4795" spans="1:2" x14ac:dyDescent="0.25">
      <c r="A4795" s="5">
        <v>40533</v>
      </c>
      <c r="B4795">
        <v>36.666397000000003</v>
      </c>
    </row>
    <row r="4796" spans="1:2" x14ac:dyDescent="0.25">
      <c r="A4796" s="5">
        <v>40534</v>
      </c>
      <c r="B4796">
        <v>36.666397000000003</v>
      </c>
    </row>
    <row r="4797" spans="1:2" x14ac:dyDescent="0.25">
      <c r="A4797" s="5">
        <v>40535</v>
      </c>
      <c r="B4797">
        <v>36.262985</v>
      </c>
    </row>
    <row r="4798" spans="1:2" x14ac:dyDescent="0.25">
      <c r="A4798" s="5">
        <v>40539</v>
      </c>
      <c r="B4798">
        <v>36.387680000000003</v>
      </c>
    </row>
    <row r="4799" spans="1:2" x14ac:dyDescent="0.25">
      <c r="A4799" s="5">
        <v>40540</v>
      </c>
      <c r="B4799">
        <v>36.571049000000002</v>
      </c>
    </row>
    <row r="4800" spans="1:2" x14ac:dyDescent="0.25">
      <c r="A4800" s="5">
        <v>40541</v>
      </c>
      <c r="B4800">
        <v>36.666397000000003</v>
      </c>
    </row>
    <row r="4801" spans="1:2" x14ac:dyDescent="0.25">
      <c r="A4801" s="5">
        <v>40542</v>
      </c>
      <c r="B4801">
        <v>36.475693</v>
      </c>
    </row>
    <row r="4802" spans="1:2" x14ac:dyDescent="0.25">
      <c r="A4802" s="5">
        <v>40543</v>
      </c>
      <c r="B4802">
        <v>36.299666999999999</v>
      </c>
    </row>
    <row r="4803" spans="1:2" x14ac:dyDescent="0.25">
      <c r="A4803" s="5">
        <v>40546</v>
      </c>
      <c r="B4803">
        <v>36.805762999999999</v>
      </c>
    </row>
    <row r="4804" spans="1:2" x14ac:dyDescent="0.25">
      <c r="A4804" s="5">
        <v>40547</v>
      </c>
      <c r="B4804">
        <v>37.385207999999999</v>
      </c>
    </row>
    <row r="4805" spans="1:2" x14ac:dyDescent="0.25">
      <c r="A4805" s="5">
        <v>40548</v>
      </c>
      <c r="B4805">
        <v>38.162681999999997</v>
      </c>
    </row>
    <row r="4806" spans="1:2" x14ac:dyDescent="0.25">
      <c r="A4806" s="5">
        <v>40549</v>
      </c>
      <c r="B4806">
        <v>38.632114000000001</v>
      </c>
    </row>
    <row r="4807" spans="1:2" x14ac:dyDescent="0.25">
      <c r="A4807" s="5">
        <v>40550</v>
      </c>
      <c r="B4807">
        <v>37.942638000000002</v>
      </c>
    </row>
    <row r="4808" spans="1:2" x14ac:dyDescent="0.25">
      <c r="A4808" s="5">
        <v>40553</v>
      </c>
      <c r="B4808">
        <v>37.913311</v>
      </c>
    </row>
    <row r="4809" spans="1:2" x14ac:dyDescent="0.25">
      <c r="A4809" s="5">
        <v>40554</v>
      </c>
      <c r="B4809">
        <v>38.192031999999998</v>
      </c>
    </row>
    <row r="4810" spans="1:2" x14ac:dyDescent="0.25">
      <c r="A4810" s="5">
        <v>40555</v>
      </c>
      <c r="B4810">
        <v>38.390076000000001</v>
      </c>
    </row>
    <row r="4811" spans="1:2" x14ac:dyDescent="0.25">
      <c r="A4811" s="5">
        <v>40556</v>
      </c>
      <c r="B4811">
        <v>38.045344999999998</v>
      </c>
    </row>
    <row r="4812" spans="1:2" x14ac:dyDescent="0.25">
      <c r="A4812" s="5">
        <v>40557</v>
      </c>
      <c r="B4812">
        <v>38.170020999999998</v>
      </c>
    </row>
    <row r="4813" spans="1:2" x14ac:dyDescent="0.25">
      <c r="A4813" s="5">
        <v>40561</v>
      </c>
      <c r="B4813">
        <v>38.896160000000002</v>
      </c>
    </row>
    <row r="4814" spans="1:2" x14ac:dyDescent="0.25">
      <c r="A4814" s="5">
        <v>40562</v>
      </c>
      <c r="B4814">
        <v>38.243378</v>
      </c>
    </row>
    <row r="4815" spans="1:2" x14ac:dyDescent="0.25">
      <c r="A4815" s="5">
        <v>40563</v>
      </c>
      <c r="B4815">
        <v>37.649258000000003</v>
      </c>
    </row>
    <row r="4816" spans="1:2" x14ac:dyDescent="0.25">
      <c r="A4816" s="5">
        <v>40564</v>
      </c>
      <c r="B4816">
        <v>37.583244000000001</v>
      </c>
    </row>
    <row r="4817" spans="1:2" x14ac:dyDescent="0.25">
      <c r="A4817" s="5">
        <v>40567</v>
      </c>
      <c r="B4817">
        <v>37.766624</v>
      </c>
    </row>
    <row r="4818" spans="1:2" x14ac:dyDescent="0.25">
      <c r="A4818" s="5">
        <v>40568</v>
      </c>
      <c r="B4818">
        <v>37.788612000000001</v>
      </c>
    </row>
    <row r="4819" spans="1:2" x14ac:dyDescent="0.25">
      <c r="A4819" s="5">
        <v>40569</v>
      </c>
      <c r="B4819">
        <v>38.037998000000002</v>
      </c>
    </row>
    <row r="4820" spans="1:2" x14ac:dyDescent="0.25">
      <c r="A4820" s="5">
        <v>40570</v>
      </c>
      <c r="B4820">
        <v>40.267764999999997</v>
      </c>
    </row>
    <row r="4821" spans="1:2" x14ac:dyDescent="0.25">
      <c r="A4821" s="5">
        <v>40571</v>
      </c>
      <c r="B4821">
        <v>39.416943000000003</v>
      </c>
    </row>
    <row r="4822" spans="1:2" x14ac:dyDescent="0.25">
      <c r="A4822" s="5">
        <v>40574</v>
      </c>
      <c r="B4822">
        <v>39.702987999999998</v>
      </c>
    </row>
    <row r="4823" spans="1:2" x14ac:dyDescent="0.25">
      <c r="A4823" s="5">
        <v>40575</v>
      </c>
      <c r="B4823">
        <v>40.399796000000002</v>
      </c>
    </row>
    <row r="4824" spans="1:2" x14ac:dyDescent="0.25">
      <c r="A4824" s="5">
        <v>40576</v>
      </c>
      <c r="B4824">
        <v>39.600304000000001</v>
      </c>
    </row>
    <row r="4825" spans="1:2" x14ac:dyDescent="0.25">
      <c r="A4825" s="5">
        <v>40577</v>
      </c>
      <c r="B4825">
        <v>40.326430999999999</v>
      </c>
    </row>
    <row r="4826" spans="1:2" x14ac:dyDescent="0.25">
      <c r="A4826" s="5">
        <v>40578</v>
      </c>
      <c r="B4826">
        <v>40.509808</v>
      </c>
    </row>
    <row r="4827" spans="1:2" x14ac:dyDescent="0.25">
      <c r="A4827" s="5">
        <v>40581</v>
      </c>
      <c r="B4827">
        <v>40.39246</v>
      </c>
    </row>
    <row r="4828" spans="1:2" x14ac:dyDescent="0.25">
      <c r="A4828" s="5">
        <v>40582</v>
      </c>
      <c r="B4828">
        <v>41.147919000000002</v>
      </c>
    </row>
    <row r="4829" spans="1:2" x14ac:dyDescent="0.25">
      <c r="A4829" s="5">
        <v>40583</v>
      </c>
      <c r="B4829">
        <v>41.228603</v>
      </c>
    </row>
    <row r="4830" spans="1:2" x14ac:dyDescent="0.25">
      <c r="A4830" s="5">
        <v>40584</v>
      </c>
      <c r="B4830">
        <v>41.808059999999998</v>
      </c>
    </row>
    <row r="4831" spans="1:2" x14ac:dyDescent="0.25">
      <c r="A4831" s="5">
        <v>40585</v>
      </c>
      <c r="B4831">
        <v>42.248150000000003</v>
      </c>
    </row>
    <row r="4832" spans="1:2" x14ac:dyDescent="0.25">
      <c r="A4832" s="5">
        <v>40588</v>
      </c>
      <c r="B4832">
        <v>42.66621</v>
      </c>
    </row>
    <row r="4833" spans="1:2" x14ac:dyDescent="0.25">
      <c r="A4833" s="5">
        <v>40589</v>
      </c>
      <c r="B4833">
        <v>43.010956</v>
      </c>
    </row>
    <row r="4834" spans="1:2" x14ac:dyDescent="0.25">
      <c r="A4834" s="5">
        <v>40590</v>
      </c>
      <c r="B4834">
        <v>42.937618000000001</v>
      </c>
    </row>
    <row r="4835" spans="1:2" x14ac:dyDescent="0.25">
      <c r="A4835" s="5">
        <v>40591</v>
      </c>
      <c r="B4835">
        <v>43.275002000000001</v>
      </c>
    </row>
    <row r="4836" spans="1:2" x14ac:dyDescent="0.25">
      <c r="A4836" s="5">
        <v>40592</v>
      </c>
      <c r="B4836">
        <v>43.414368000000003</v>
      </c>
    </row>
    <row r="4837" spans="1:2" x14ac:dyDescent="0.25">
      <c r="A4837" s="5">
        <v>40596</v>
      </c>
      <c r="B4837">
        <v>42.717564000000003</v>
      </c>
    </row>
    <row r="4838" spans="1:2" x14ac:dyDescent="0.25">
      <c r="A4838" s="5">
        <v>40597</v>
      </c>
      <c r="B4838">
        <v>41.952247999999997</v>
      </c>
    </row>
    <row r="4839" spans="1:2" x14ac:dyDescent="0.25">
      <c r="A4839" s="5">
        <v>40598</v>
      </c>
      <c r="B4839">
        <v>42.5336</v>
      </c>
    </row>
    <row r="4840" spans="1:2" x14ac:dyDescent="0.25">
      <c r="A4840" s="5">
        <v>40599</v>
      </c>
      <c r="B4840">
        <v>43.431365999999997</v>
      </c>
    </row>
    <row r="4841" spans="1:2" x14ac:dyDescent="0.25">
      <c r="A4841" s="5">
        <v>40602</v>
      </c>
      <c r="B4841">
        <v>43.843451999999999</v>
      </c>
    </row>
    <row r="4842" spans="1:2" x14ac:dyDescent="0.25">
      <c r="A4842" s="5">
        <v>40603</v>
      </c>
      <c r="B4842">
        <v>42.710197000000001</v>
      </c>
    </row>
    <row r="4843" spans="1:2" x14ac:dyDescent="0.25">
      <c r="A4843" s="5">
        <v>40604</v>
      </c>
      <c r="B4843">
        <v>42.018481999999999</v>
      </c>
    </row>
    <row r="4844" spans="1:2" x14ac:dyDescent="0.25">
      <c r="A4844" s="5">
        <v>40605</v>
      </c>
      <c r="B4844">
        <v>43.298904</v>
      </c>
    </row>
    <row r="4845" spans="1:2" x14ac:dyDescent="0.25">
      <c r="A4845" s="5">
        <v>40606</v>
      </c>
      <c r="B4845">
        <v>42.791153000000001</v>
      </c>
    </row>
    <row r="4846" spans="1:2" x14ac:dyDescent="0.25">
      <c r="A4846" s="5">
        <v>40609</v>
      </c>
      <c r="B4846">
        <v>42.371707999999998</v>
      </c>
    </row>
    <row r="4847" spans="1:2" x14ac:dyDescent="0.25">
      <c r="A4847" s="5">
        <v>40610</v>
      </c>
      <c r="B4847">
        <v>42.055286000000002</v>
      </c>
    </row>
    <row r="4848" spans="1:2" x14ac:dyDescent="0.25">
      <c r="A4848" s="5">
        <v>40611</v>
      </c>
      <c r="B4848">
        <v>40.473145000000002</v>
      </c>
    </row>
    <row r="4849" spans="1:2" x14ac:dyDescent="0.25">
      <c r="A4849" s="5">
        <v>40612</v>
      </c>
      <c r="B4849">
        <v>39.766708000000001</v>
      </c>
    </row>
    <row r="4850" spans="1:2" x14ac:dyDescent="0.25">
      <c r="A4850" s="5">
        <v>40613</v>
      </c>
      <c r="B4850">
        <v>39.450279000000002</v>
      </c>
    </row>
    <row r="4851" spans="1:2" x14ac:dyDescent="0.25">
      <c r="A4851" s="5">
        <v>40616</v>
      </c>
      <c r="B4851">
        <v>39.354599</v>
      </c>
    </row>
    <row r="4852" spans="1:2" x14ac:dyDescent="0.25">
      <c r="A4852" s="5">
        <v>40617</v>
      </c>
      <c r="B4852">
        <v>39.001396</v>
      </c>
    </row>
    <row r="4853" spans="1:2" x14ac:dyDescent="0.25">
      <c r="A4853" s="5">
        <v>40618</v>
      </c>
      <c r="B4853">
        <v>37.161704999999998</v>
      </c>
    </row>
    <row r="4854" spans="1:2" x14ac:dyDescent="0.25">
      <c r="A4854" s="5">
        <v>40619</v>
      </c>
      <c r="B4854">
        <v>38.500991999999997</v>
      </c>
    </row>
    <row r="4855" spans="1:2" x14ac:dyDescent="0.25">
      <c r="A4855" s="5">
        <v>40620</v>
      </c>
      <c r="B4855">
        <v>38.052115999999998</v>
      </c>
    </row>
    <row r="4856" spans="1:2" x14ac:dyDescent="0.25">
      <c r="A4856" s="5">
        <v>40623</v>
      </c>
      <c r="B4856">
        <v>39.464995999999999</v>
      </c>
    </row>
    <row r="4857" spans="1:2" x14ac:dyDescent="0.25">
      <c r="A4857" s="5">
        <v>40624</v>
      </c>
      <c r="B4857">
        <v>38.626099000000004</v>
      </c>
    </row>
    <row r="4858" spans="1:2" x14ac:dyDescent="0.25">
      <c r="A4858" s="5">
        <v>40625</v>
      </c>
      <c r="B4858">
        <v>38.596663999999997</v>
      </c>
    </row>
    <row r="4859" spans="1:2" x14ac:dyDescent="0.25">
      <c r="A4859" s="5">
        <v>40626</v>
      </c>
      <c r="B4859">
        <v>39.531235000000002</v>
      </c>
    </row>
    <row r="4860" spans="1:2" x14ac:dyDescent="0.25">
      <c r="A4860" s="5">
        <v>40627</v>
      </c>
      <c r="B4860">
        <v>38.817421000000003</v>
      </c>
    </row>
    <row r="4861" spans="1:2" x14ac:dyDescent="0.25">
      <c r="A4861" s="5">
        <v>40630</v>
      </c>
      <c r="B4861">
        <v>38.397976</v>
      </c>
    </row>
    <row r="4862" spans="1:2" x14ac:dyDescent="0.25">
      <c r="A4862" s="5">
        <v>40631</v>
      </c>
      <c r="B4862">
        <v>39.671050999999999</v>
      </c>
    </row>
    <row r="4863" spans="1:2" x14ac:dyDescent="0.25">
      <c r="A4863" s="5">
        <v>40632</v>
      </c>
      <c r="B4863">
        <v>40.112568000000003</v>
      </c>
    </row>
    <row r="4864" spans="1:2" x14ac:dyDescent="0.25">
      <c r="A4864" s="5">
        <v>40633</v>
      </c>
      <c r="B4864">
        <v>40.348056999999997</v>
      </c>
    </row>
    <row r="4865" spans="1:2" x14ac:dyDescent="0.25">
      <c r="A4865" s="5">
        <v>40634</v>
      </c>
      <c r="B4865">
        <v>40.083137999999998</v>
      </c>
    </row>
    <row r="4866" spans="1:2" x14ac:dyDescent="0.25">
      <c r="A4866" s="5">
        <v>40637</v>
      </c>
      <c r="B4866">
        <v>39.082343999999999</v>
      </c>
    </row>
    <row r="4867" spans="1:2" x14ac:dyDescent="0.25">
      <c r="A4867" s="5">
        <v>40638</v>
      </c>
      <c r="B4867">
        <v>38.692340999999999</v>
      </c>
    </row>
    <row r="4868" spans="1:2" x14ac:dyDescent="0.25">
      <c r="A4868" s="5">
        <v>40639</v>
      </c>
      <c r="B4868">
        <v>39.398761999999998</v>
      </c>
    </row>
    <row r="4869" spans="1:2" x14ac:dyDescent="0.25">
      <c r="A4869" s="5">
        <v>40640</v>
      </c>
      <c r="B4869">
        <v>39.170634999999997</v>
      </c>
    </row>
    <row r="4870" spans="1:2" x14ac:dyDescent="0.25">
      <c r="A4870" s="5">
        <v>40641</v>
      </c>
      <c r="B4870">
        <v>39.464995999999999</v>
      </c>
    </row>
    <row r="4871" spans="1:2" x14ac:dyDescent="0.25">
      <c r="A4871" s="5">
        <v>40644</v>
      </c>
      <c r="B4871">
        <v>39.295752999999998</v>
      </c>
    </row>
    <row r="4872" spans="1:2" x14ac:dyDescent="0.25">
      <c r="A4872" s="5">
        <v>40645</v>
      </c>
      <c r="B4872">
        <v>38.449489999999997</v>
      </c>
    </row>
    <row r="4873" spans="1:2" x14ac:dyDescent="0.25">
      <c r="A4873" s="5">
        <v>40646</v>
      </c>
      <c r="B4873">
        <v>38.765906999999999</v>
      </c>
    </row>
    <row r="4874" spans="1:2" x14ac:dyDescent="0.25">
      <c r="A4874" s="5">
        <v>40647</v>
      </c>
      <c r="B4874">
        <v>38.707042999999999</v>
      </c>
    </row>
    <row r="4875" spans="1:2" x14ac:dyDescent="0.25">
      <c r="A4875" s="5">
        <v>40648</v>
      </c>
      <c r="B4875">
        <v>39.104416000000001</v>
      </c>
    </row>
    <row r="4876" spans="1:2" x14ac:dyDescent="0.25">
      <c r="A4876" s="5">
        <v>40651</v>
      </c>
      <c r="B4876">
        <v>39.214801999999999</v>
      </c>
    </row>
    <row r="4877" spans="1:2" x14ac:dyDescent="0.25">
      <c r="A4877" s="5">
        <v>40652</v>
      </c>
      <c r="B4877">
        <v>39.310459000000002</v>
      </c>
    </row>
    <row r="4878" spans="1:2" x14ac:dyDescent="0.25">
      <c r="A4878" s="5">
        <v>40653</v>
      </c>
      <c r="B4878">
        <v>40.671844</v>
      </c>
    </row>
    <row r="4879" spans="1:2" x14ac:dyDescent="0.25">
      <c r="A4879" s="5">
        <v>40654</v>
      </c>
      <c r="B4879">
        <v>41.900742000000001</v>
      </c>
    </row>
    <row r="4880" spans="1:2" x14ac:dyDescent="0.25">
      <c r="A4880" s="5">
        <v>40658</v>
      </c>
      <c r="B4880">
        <v>41.812435000000001</v>
      </c>
    </row>
    <row r="4881" spans="1:2" x14ac:dyDescent="0.25">
      <c r="A4881" s="5">
        <v>40659</v>
      </c>
      <c r="B4881">
        <v>42.106796000000003</v>
      </c>
    </row>
    <row r="4882" spans="1:2" x14ac:dyDescent="0.25">
      <c r="A4882" s="5">
        <v>40660</v>
      </c>
      <c r="B4882">
        <v>42.813231999999999</v>
      </c>
    </row>
    <row r="4883" spans="1:2" x14ac:dyDescent="0.25">
      <c r="A4883" s="5">
        <v>40661</v>
      </c>
      <c r="B4883">
        <v>42.371707999999998</v>
      </c>
    </row>
    <row r="4884" spans="1:2" x14ac:dyDescent="0.25">
      <c r="A4884" s="5">
        <v>40662</v>
      </c>
      <c r="B4884">
        <v>42.011127000000002</v>
      </c>
    </row>
    <row r="4885" spans="1:2" x14ac:dyDescent="0.25">
      <c r="A4885" s="5">
        <v>40665</v>
      </c>
      <c r="B4885">
        <v>42.121498000000003</v>
      </c>
    </row>
    <row r="4886" spans="1:2" x14ac:dyDescent="0.25">
      <c r="A4886" s="5">
        <v>40666</v>
      </c>
      <c r="B4886">
        <v>41.569611000000002</v>
      </c>
    </row>
    <row r="4887" spans="1:2" x14ac:dyDescent="0.25">
      <c r="A4887" s="5">
        <v>40667</v>
      </c>
      <c r="B4887">
        <v>41.267901999999999</v>
      </c>
    </row>
    <row r="4888" spans="1:2" x14ac:dyDescent="0.25">
      <c r="A4888" s="5">
        <v>40668</v>
      </c>
      <c r="B4888">
        <v>41.304690999999998</v>
      </c>
    </row>
    <row r="4889" spans="1:2" x14ac:dyDescent="0.25">
      <c r="A4889" s="5">
        <v>40669</v>
      </c>
      <c r="B4889">
        <v>41.628459999999997</v>
      </c>
    </row>
    <row r="4890" spans="1:2" x14ac:dyDescent="0.25">
      <c r="A4890" s="5">
        <v>40672</v>
      </c>
      <c r="B4890">
        <v>41.694701999999999</v>
      </c>
    </row>
    <row r="4891" spans="1:2" x14ac:dyDescent="0.25">
      <c r="A4891" s="5">
        <v>40673</v>
      </c>
      <c r="B4891">
        <v>41.878666000000003</v>
      </c>
    </row>
    <row r="4892" spans="1:2" x14ac:dyDescent="0.25">
      <c r="A4892" s="5">
        <v>40674</v>
      </c>
      <c r="B4892">
        <v>41.643196000000003</v>
      </c>
    </row>
    <row r="4893" spans="1:2" x14ac:dyDescent="0.25">
      <c r="A4893" s="5">
        <v>40675</v>
      </c>
      <c r="B4893">
        <v>42.195103000000003</v>
      </c>
    </row>
    <row r="4894" spans="1:2" x14ac:dyDescent="0.25">
      <c r="A4894" s="5">
        <v>40676</v>
      </c>
      <c r="B4894">
        <v>42.033192</v>
      </c>
    </row>
    <row r="4895" spans="1:2" x14ac:dyDescent="0.25">
      <c r="A4895" s="5">
        <v>40679</v>
      </c>
      <c r="B4895">
        <v>41.724128999999998</v>
      </c>
    </row>
    <row r="4896" spans="1:2" x14ac:dyDescent="0.25">
      <c r="A4896" s="5">
        <v>40680</v>
      </c>
      <c r="B4896">
        <v>41.466583</v>
      </c>
    </row>
    <row r="4897" spans="1:2" x14ac:dyDescent="0.25">
      <c r="A4897" s="5">
        <v>40681</v>
      </c>
      <c r="B4897">
        <v>41.540173000000003</v>
      </c>
    </row>
    <row r="4898" spans="1:2" x14ac:dyDescent="0.25">
      <c r="A4898" s="5">
        <v>40682</v>
      </c>
      <c r="B4898">
        <v>42.165657000000003</v>
      </c>
    </row>
    <row r="4899" spans="1:2" x14ac:dyDescent="0.25">
      <c r="A4899" s="5">
        <v>40683</v>
      </c>
      <c r="B4899">
        <v>42.224533000000001</v>
      </c>
    </row>
    <row r="4900" spans="1:2" x14ac:dyDescent="0.25">
      <c r="A4900" s="5">
        <v>40686</v>
      </c>
      <c r="B4900">
        <v>41.488655000000001</v>
      </c>
    </row>
    <row r="4901" spans="1:2" x14ac:dyDescent="0.25">
      <c r="A4901" s="5">
        <v>40687</v>
      </c>
      <c r="B4901">
        <v>41.437140999999997</v>
      </c>
    </row>
    <row r="4902" spans="1:2" x14ac:dyDescent="0.25">
      <c r="A4902" s="5">
        <v>40688</v>
      </c>
      <c r="B4902">
        <v>42.098281999999998</v>
      </c>
    </row>
    <row r="4903" spans="1:2" x14ac:dyDescent="0.25">
      <c r="A4903" s="5">
        <v>40689</v>
      </c>
      <c r="B4903">
        <v>42.231239000000002</v>
      </c>
    </row>
    <row r="4904" spans="1:2" x14ac:dyDescent="0.25">
      <c r="A4904" s="5">
        <v>40690</v>
      </c>
      <c r="B4904">
        <v>42.364201000000001</v>
      </c>
    </row>
    <row r="4905" spans="1:2" x14ac:dyDescent="0.25">
      <c r="A4905" s="5">
        <v>40694</v>
      </c>
      <c r="B4905">
        <v>43.280192999999997</v>
      </c>
    </row>
    <row r="4906" spans="1:2" x14ac:dyDescent="0.25">
      <c r="A4906" s="5">
        <v>40695</v>
      </c>
      <c r="B4906">
        <v>42.216473000000001</v>
      </c>
    </row>
    <row r="4907" spans="1:2" x14ac:dyDescent="0.25">
      <c r="A4907" s="5">
        <v>40696</v>
      </c>
      <c r="B4907">
        <v>42.696621</v>
      </c>
    </row>
    <row r="4908" spans="1:2" x14ac:dyDescent="0.25">
      <c r="A4908" s="5">
        <v>40697</v>
      </c>
      <c r="B4908">
        <v>42.135207999999999</v>
      </c>
    </row>
    <row r="4909" spans="1:2" x14ac:dyDescent="0.25">
      <c r="A4909" s="5">
        <v>40700</v>
      </c>
      <c r="B4909">
        <v>41.721530999999999</v>
      </c>
    </row>
    <row r="4910" spans="1:2" x14ac:dyDescent="0.25">
      <c r="A4910" s="5">
        <v>40701</v>
      </c>
      <c r="B4910">
        <v>41.743693999999998</v>
      </c>
    </row>
    <row r="4911" spans="1:2" x14ac:dyDescent="0.25">
      <c r="A4911" s="5">
        <v>40702</v>
      </c>
      <c r="B4911">
        <v>41.588585000000002</v>
      </c>
    </row>
    <row r="4912" spans="1:2" x14ac:dyDescent="0.25">
      <c r="A4912" s="5">
        <v>40703</v>
      </c>
      <c r="B4912">
        <v>41.270927</v>
      </c>
    </row>
    <row r="4913" spans="1:2" x14ac:dyDescent="0.25">
      <c r="A4913" s="5">
        <v>40704</v>
      </c>
      <c r="B4913">
        <v>40.332790000000003</v>
      </c>
    </row>
    <row r="4914" spans="1:2" x14ac:dyDescent="0.25">
      <c r="A4914" s="5">
        <v>40707</v>
      </c>
      <c r="B4914">
        <v>40.185051000000001</v>
      </c>
    </row>
    <row r="4915" spans="1:2" x14ac:dyDescent="0.25">
      <c r="A4915" s="5">
        <v>40708</v>
      </c>
      <c r="B4915">
        <v>41.056721000000003</v>
      </c>
    </row>
    <row r="4916" spans="1:2" x14ac:dyDescent="0.25">
      <c r="A4916" s="5">
        <v>40709</v>
      </c>
      <c r="B4916">
        <v>39.963450999999999</v>
      </c>
    </row>
    <row r="4917" spans="1:2" x14ac:dyDescent="0.25">
      <c r="A4917" s="5">
        <v>40710</v>
      </c>
      <c r="B4917">
        <v>39.143497000000004</v>
      </c>
    </row>
    <row r="4918" spans="1:2" x14ac:dyDescent="0.25">
      <c r="A4918" s="5">
        <v>40711</v>
      </c>
      <c r="B4918">
        <v>38.921883000000001</v>
      </c>
    </row>
    <row r="4919" spans="1:2" x14ac:dyDescent="0.25">
      <c r="A4919" s="5">
        <v>40714</v>
      </c>
      <c r="B4919">
        <v>39.50544</v>
      </c>
    </row>
    <row r="4920" spans="1:2" x14ac:dyDescent="0.25">
      <c r="A4920" s="5">
        <v>40715</v>
      </c>
      <c r="B4920">
        <v>40.207222000000002</v>
      </c>
    </row>
    <row r="4921" spans="1:2" x14ac:dyDescent="0.25">
      <c r="A4921" s="5">
        <v>40716</v>
      </c>
      <c r="B4921">
        <v>39.882195000000003</v>
      </c>
    </row>
    <row r="4922" spans="1:2" x14ac:dyDescent="0.25">
      <c r="A4922" s="5">
        <v>40717</v>
      </c>
      <c r="B4922">
        <v>40.598720999999998</v>
      </c>
    </row>
    <row r="4923" spans="1:2" x14ac:dyDescent="0.25">
      <c r="A4923" s="5">
        <v>40718</v>
      </c>
      <c r="B4923">
        <v>40.02993</v>
      </c>
    </row>
    <row r="4924" spans="1:2" x14ac:dyDescent="0.25">
      <c r="A4924" s="5">
        <v>40721</v>
      </c>
      <c r="B4924">
        <v>40.443595999999999</v>
      </c>
    </row>
    <row r="4925" spans="1:2" x14ac:dyDescent="0.25">
      <c r="A4925" s="5">
        <v>40722</v>
      </c>
      <c r="B4925">
        <v>40.960678000000001</v>
      </c>
    </row>
    <row r="4926" spans="1:2" x14ac:dyDescent="0.25">
      <c r="A4926" s="5">
        <v>40723</v>
      </c>
      <c r="B4926">
        <v>40.945908000000003</v>
      </c>
    </row>
    <row r="4927" spans="1:2" x14ac:dyDescent="0.25">
      <c r="A4927" s="5">
        <v>40724</v>
      </c>
      <c r="B4927">
        <v>41.950538999999999</v>
      </c>
    </row>
    <row r="4928" spans="1:2" x14ac:dyDescent="0.25">
      <c r="A4928" s="5">
        <v>40725</v>
      </c>
      <c r="B4928">
        <v>42.755713999999998</v>
      </c>
    </row>
    <row r="4929" spans="1:2" x14ac:dyDescent="0.25">
      <c r="A4929" s="5">
        <v>40729</v>
      </c>
      <c r="B4929">
        <v>42.947777000000002</v>
      </c>
    </row>
    <row r="4930" spans="1:2" x14ac:dyDescent="0.25">
      <c r="A4930" s="5">
        <v>40730</v>
      </c>
      <c r="B4930">
        <v>43.361443000000001</v>
      </c>
    </row>
    <row r="4931" spans="1:2" x14ac:dyDescent="0.25">
      <c r="A4931" s="5">
        <v>40731</v>
      </c>
      <c r="B4931">
        <v>43.775115999999997</v>
      </c>
    </row>
    <row r="4932" spans="1:2" x14ac:dyDescent="0.25">
      <c r="A4932" s="5">
        <v>40732</v>
      </c>
      <c r="B4932">
        <v>43.848987999999999</v>
      </c>
    </row>
    <row r="4933" spans="1:2" x14ac:dyDescent="0.25">
      <c r="A4933" s="5">
        <v>40735</v>
      </c>
      <c r="B4933">
        <v>43.021647999999999</v>
      </c>
    </row>
    <row r="4934" spans="1:2" x14ac:dyDescent="0.25">
      <c r="A4934" s="5">
        <v>40736</v>
      </c>
      <c r="B4934">
        <v>41.751072000000001</v>
      </c>
    </row>
    <row r="4935" spans="1:2" x14ac:dyDescent="0.25">
      <c r="A4935" s="5">
        <v>40737</v>
      </c>
      <c r="B4935">
        <v>41.433449000000003</v>
      </c>
    </row>
    <row r="4936" spans="1:2" x14ac:dyDescent="0.25">
      <c r="A4936" s="5">
        <v>40738</v>
      </c>
      <c r="B4936">
        <v>40.569183000000002</v>
      </c>
    </row>
    <row r="4937" spans="1:2" x14ac:dyDescent="0.25">
      <c r="A4937" s="5">
        <v>40739</v>
      </c>
      <c r="B4937">
        <v>40.598720999999998</v>
      </c>
    </row>
    <row r="4938" spans="1:2" x14ac:dyDescent="0.25">
      <c r="A4938" s="5">
        <v>40742</v>
      </c>
      <c r="B4938">
        <v>40.835101999999999</v>
      </c>
    </row>
    <row r="4939" spans="1:2" x14ac:dyDescent="0.25">
      <c r="A4939" s="5">
        <v>40743</v>
      </c>
      <c r="B4939">
        <v>42.090888999999997</v>
      </c>
    </row>
    <row r="4940" spans="1:2" x14ac:dyDescent="0.25">
      <c r="A4940" s="5">
        <v>40744</v>
      </c>
      <c r="B4940">
        <v>42.327266999999999</v>
      </c>
    </row>
    <row r="4941" spans="1:2" x14ac:dyDescent="0.25">
      <c r="A4941" s="5">
        <v>40745</v>
      </c>
      <c r="B4941">
        <v>42.061348000000002</v>
      </c>
    </row>
    <row r="4942" spans="1:2" x14ac:dyDescent="0.25">
      <c r="A4942" s="5">
        <v>40746</v>
      </c>
      <c r="B4942">
        <v>42.445464999999999</v>
      </c>
    </row>
    <row r="4943" spans="1:2" x14ac:dyDescent="0.25">
      <c r="A4943" s="5">
        <v>40749</v>
      </c>
      <c r="B4943">
        <v>41.965316999999999</v>
      </c>
    </row>
    <row r="4944" spans="1:2" x14ac:dyDescent="0.25">
      <c r="A4944" s="5">
        <v>40750</v>
      </c>
      <c r="B4944">
        <v>41.765858000000001</v>
      </c>
    </row>
    <row r="4945" spans="1:2" x14ac:dyDescent="0.25">
      <c r="A4945" s="5">
        <v>40751</v>
      </c>
      <c r="B4945">
        <v>40.325405000000003</v>
      </c>
    </row>
    <row r="4946" spans="1:2" x14ac:dyDescent="0.25">
      <c r="A4946" s="5">
        <v>40752</v>
      </c>
      <c r="B4946">
        <v>40.620883999999997</v>
      </c>
    </row>
    <row r="4947" spans="1:2" x14ac:dyDescent="0.25">
      <c r="A4947" s="5">
        <v>40753</v>
      </c>
      <c r="B4947">
        <v>40.465763000000003</v>
      </c>
    </row>
    <row r="4948" spans="1:2" x14ac:dyDescent="0.25">
      <c r="A4948" s="5">
        <v>40756</v>
      </c>
      <c r="B4948">
        <v>39.978222000000002</v>
      </c>
    </row>
    <row r="4949" spans="1:2" x14ac:dyDescent="0.25">
      <c r="A4949" s="5">
        <v>40757</v>
      </c>
      <c r="B4949">
        <v>39.158279</v>
      </c>
    </row>
    <row r="4950" spans="1:2" x14ac:dyDescent="0.25">
      <c r="A4950" s="5">
        <v>40758</v>
      </c>
      <c r="B4950">
        <v>39.690120999999998</v>
      </c>
    </row>
    <row r="4951" spans="1:2" x14ac:dyDescent="0.25">
      <c r="A4951" s="5">
        <v>40759</v>
      </c>
      <c r="B4951">
        <v>37.858153999999999</v>
      </c>
    </row>
    <row r="4952" spans="1:2" x14ac:dyDescent="0.25">
      <c r="A4952" s="5">
        <v>40760</v>
      </c>
      <c r="B4952">
        <v>37.688254999999998</v>
      </c>
    </row>
    <row r="4953" spans="1:2" x14ac:dyDescent="0.25">
      <c r="A4953" s="5">
        <v>40763</v>
      </c>
      <c r="B4953">
        <v>34.932921999999998</v>
      </c>
    </row>
    <row r="4954" spans="1:2" x14ac:dyDescent="0.25">
      <c r="A4954" s="5">
        <v>40764</v>
      </c>
      <c r="B4954">
        <v>36.853530999999997</v>
      </c>
    </row>
    <row r="4955" spans="1:2" x14ac:dyDescent="0.25">
      <c r="A4955" s="5">
        <v>40765</v>
      </c>
      <c r="B4955">
        <v>34.910755000000002</v>
      </c>
    </row>
    <row r="4956" spans="1:2" x14ac:dyDescent="0.25">
      <c r="A4956" s="5">
        <v>40766</v>
      </c>
      <c r="B4956">
        <v>36.602378999999999</v>
      </c>
    </row>
    <row r="4957" spans="1:2" x14ac:dyDescent="0.25">
      <c r="A4957" s="5">
        <v>40767</v>
      </c>
      <c r="B4957">
        <v>37.304127000000001</v>
      </c>
    </row>
    <row r="4958" spans="1:2" x14ac:dyDescent="0.25">
      <c r="A4958" s="5">
        <v>40770</v>
      </c>
      <c r="B4958">
        <v>37.865551000000004</v>
      </c>
    </row>
    <row r="4959" spans="1:2" x14ac:dyDescent="0.25">
      <c r="A4959" s="5">
        <v>40771</v>
      </c>
      <c r="B4959">
        <v>37.725197000000001</v>
      </c>
    </row>
    <row r="4960" spans="1:2" x14ac:dyDescent="0.25">
      <c r="A4960" s="5">
        <v>40772</v>
      </c>
      <c r="B4960">
        <v>37.680889000000001</v>
      </c>
    </row>
    <row r="4961" spans="1:2" x14ac:dyDescent="0.25">
      <c r="A4961" s="5">
        <v>40773</v>
      </c>
      <c r="B4961">
        <v>35.420470999999999</v>
      </c>
    </row>
    <row r="4962" spans="1:2" x14ac:dyDescent="0.25">
      <c r="A4962" s="5">
        <v>40774</v>
      </c>
      <c r="B4962">
        <v>34.364131999999998</v>
      </c>
    </row>
    <row r="4963" spans="1:2" x14ac:dyDescent="0.25">
      <c r="A4963" s="5">
        <v>40777</v>
      </c>
      <c r="B4963">
        <v>34.275489999999998</v>
      </c>
    </row>
    <row r="4964" spans="1:2" x14ac:dyDescent="0.25">
      <c r="A4964" s="5">
        <v>40778</v>
      </c>
      <c r="B4964">
        <v>35.501716999999999</v>
      </c>
    </row>
    <row r="4965" spans="1:2" x14ac:dyDescent="0.25">
      <c r="A4965" s="5">
        <v>40779</v>
      </c>
      <c r="B4965">
        <v>35.564788999999998</v>
      </c>
    </row>
    <row r="4966" spans="1:2" x14ac:dyDescent="0.25">
      <c r="A4966" s="5">
        <v>40780</v>
      </c>
      <c r="B4966">
        <v>34.837615999999997</v>
      </c>
    </row>
    <row r="4967" spans="1:2" x14ac:dyDescent="0.25">
      <c r="A4967" s="5">
        <v>40781</v>
      </c>
      <c r="B4967">
        <v>36.314219999999999</v>
      </c>
    </row>
    <row r="4968" spans="1:2" x14ac:dyDescent="0.25">
      <c r="A4968" s="5">
        <v>40784</v>
      </c>
      <c r="B4968">
        <v>37.783420999999997</v>
      </c>
    </row>
    <row r="4969" spans="1:2" x14ac:dyDescent="0.25">
      <c r="A4969" s="5">
        <v>40785</v>
      </c>
      <c r="B4969">
        <v>38.020878000000003</v>
      </c>
    </row>
    <row r="4970" spans="1:2" x14ac:dyDescent="0.25">
      <c r="A4970" s="5">
        <v>40786</v>
      </c>
      <c r="B4970">
        <v>38.184113000000004</v>
      </c>
    </row>
    <row r="4971" spans="1:2" x14ac:dyDescent="0.25">
      <c r="A4971" s="5">
        <v>40787</v>
      </c>
      <c r="B4971">
        <v>37.887309999999999</v>
      </c>
    </row>
    <row r="4972" spans="1:2" x14ac:dyDescent="0.25">
      <c r="A4972" s="5">
        <v>40788</v>
      </c>
      <c r="B4972">
        <v>36.863318999999997</v>
      </c>
    </row>
    <row r="4973" spans="1:2" x14ac:dyDescent="0.25">
      <c r="A4973" s="5">
        <v>40792</v>
      </c>
      <c r="B4973">
        <v>36.69265</v>
      </c>
    </row>
    <row r="4974" spans="1:2" x14ac:dyDescent="0.25">
      <c r="A4974" s="5">
        <v>40793</v>
      </c>
      <c r="B4974">
        <v>38.354771</v>
      </c>
    </row>
    <row r="4975" spans="1:2" x14ac:dyDescent="0.25">
      <c r="A4975" s="5">
        <v>40794</v>
      </c>
      <c r="B4975">
        <v>38.250889000000001</v>
      </c>
    </row>
    <row r="4976" spans="1:2" x14ac:dyDescent="0.25">
      <c r="A4976" s="5">
        <v>40795</v>
      </c>
      <c r="B4976">
        <v>37.397559999999999</v>
      </c>
    </row>
    <row r="4977" spans="1:2" x14ac:dyDescent="0.25">
      <c r="A4977" s="5">
        <v>40798</v>
      </c>
      <c r="B4977">
        <v>38.132168</v>
      </c>
    </row>
    <row r="4978" spans="1:2" x14ac:dyDescent="0.25">
      <c r="A4978" s="5">
        <v>40799</v>
      </c>
      <c r="B4978">
        <v>38.822231000000002</v>
      </c>
    </row>
    <row r="4979" spans="1:2" x14ac:dyDescent="0.25">
      <c r="A4979" s="5">
        <v>40800</v>
      </c>
      <c r="B4979">
        <v>39.378737999999998</v>
      </c>
    </row>
    <row r="4980" spans="1:2" x14ac:dyDescent="0.25">
      <c r="A4980" s="5">
        <v>40801</v>
      </c>
      <c r="B4980">
        <v>39.794280999999998</v>
      </c>
    </row>
    <row r="4981" spans="1:2" x14ac:dyDescent="0.25">
      <c r="A4981" s="5">
        <v>40802</v>
      </c>
      <c r="B4981">
        <v>39.972366000000001</v>
      </c>
    </row>
    <row r="4982" spans="1:2" x14ac:dyDescent="0.25">
      <c r="A4982" s="5">
        <v>40805</v>
      </c>
      <c r="B4982">
        <v>39.823956000000003</v>
      </c>
    </row>
    <row r="4983" spans="1:2" x14ac:dyDescent="0.25">
      <c r="A4983" s="5">
        <v>40806</v>
      </c>
      <c r="B4983">
        <v>39.408423999999997</v>
      </c>
    </row>
    <row r="4984" spans="1:2" x14ac:dyDescent="0.25">
      <c r="A4984" s="5">
        <v>40807</v>
      </c>
      <c r="B4984">
        <v>38.332504</v>
      </c>
    </row>
    <row r="4985" spans="1:2" x14ac:dyDescent="0.25">
      <c r="A4985" s="5">
        <v>40808</v>
      </c>
      <c r="B4985">
        <v>37.123027999999998</v>
      </c>
    </row>
    <row r="4986" spans="1:2" x14ac:dyDescent="0.25">
      <c r="A4986" s="5">
        <v>40809</v>
      </c>
      <c r="B4986">
        <v>37.315952000000003</v>
      </c>
    </row>
    <row r="4987" spans="1:2" x14ac:dyDescent="0.25">
      <c r="A4987" s="5">
        <v>40812</v>
      </c>
      <c r="B4987">
        <v>37.531139000000003</v>
      </c>
    </row>
    <row r="4988" spans="1:2" x14ac:dyDescent="0.25">
      <c r="A4988" s="5">
        <v>40813</v>
      </c>
      <c r="B4988">
        <v>38.421543</v>
      </c>
    </row>
    <row r="4989" spans="1:2" x14ac:dyDescent="0.25">
      <c r="A4989" s="5">
        <v>40814</v>
      </c>
      <c r="B4989">
        <v>37.887309999999999</v>
      </c>
    </row>
    <row r="4990" spans="1:2" x14ac:dyDescent="0.25">
      <c r="A4990" s="5">
        <v>40815</v>
      </c>
      <c r="B4990">
        <v>37.197220000000002</v>
      </c>
    </row>
    <row r="4991" spans="1:2" x14ac:dyDescent="0.25">
      <c r="A4991" s="5">
        <v>40816</v>
      </c>
      <c r="B4991">
        <v>36.084206000000002</v>
      </c>
    </row>
    <row r="4992" spans="1:2" x14ac:dyDescent="0.25">
      <c r="A4992" s="5">
        <v>40819</v>
      </c>
      <c r="B4992">
        <v>35.357021000000003</v>
      </c>
    </row>
    <row r="4993" spans="1:2" x14ac:dyDescent="0.25">
      <c r="A4993" s="5">
        <v>40820</v>
      </c>
      <c r="B4993">
        <v>36.677807000000001</v>
      </c>
    </row>
    <row r="4994" spans="1:2" x14ac:dyDescent="0.25">
      <c r="A4994" s="5">
        <v>40821</v>
      </c>
      <c r="B4994">
        <v>37.672114999999998</v>
      </c>
    </row>
    <row r="4995" spans="1:2" x14ac:dyDescent="0.25">
      <c r="A4995" s="5">
        <v>40822</v>
      </c>
      <c r="B4995">
        <v>37.746322999999997</v>
      </c>
    </row>
    <row r="4996" spans="1:2" x14ac:dyDescent="0.25">
      <c r="A4996" s="5">
        <v>40823</v>
      </c>
      <c r="B4996">
        <v>37.271431</v>
      </c>
    </row>
    <row r="4997" spans="1:2" x14ac:dyDescent="0.25">
      <c r="A4997" s="5">
        <v>40826</v>
      </c>
      <c r="B4997">
        <v>38.651569000000002</v>
      </c>
    </row>
    <row r="4998" spans="1:2" x14ac:dyDescent="0.25">
      <c r="A4998" s="5">
        <v>40827</v>
      </c>
      <c r="B4998">
        <v>38.325104000000003</v>
      </c>
    </row>
    <row r="4999" spans="1:2" x14ac:dyDescent="0.25">
      <c r="A4999" s="5">
        <v>40828</v>
      </c>
      <c r="B4999">
        <v>38.614471000000002</v>
      </c>
    </row>
    <row r="5000" spans="1:2" x14ac:dyDescent="0.25">
      <c r="A5000" s="5">
        <v>40829</v>
      </c>
      <c r="B5000">
        <v>39.556828000000003</v>
      </c>
    </row>
    <row r="5001" spans="1:2" x14ac:dyDescent="0.25">
      <c r="A5001" s="5">
        <v>40830</v>
      </c>
      <c r="B5001">
        <v>40.795997999999997</v>
      </c>
    </row>
    <row r="5002" spans="1:2" x14ac:dyDescent="0.25">
      <c r="A5002" s="5">
        <v>40833</v>
      </c>
      <c r="B5002">
        <v>39.801693</v>
      </c>
    </row>
    <row r="5003" spans="1:2" x14ac:dyDescent="0.25">
      <c r="A5003" s="5">
        <v>40834</v>
      </c>
      <c r="B5003">
        <v>40.484347999999997</v>
      </c>
    </row>
    <row r="5004" spans="1:2" x14ac:dyDescent="0.25">
      <c r="A5004" s="5">
        <v>40835</v>
      </c>
      <c r="B5004">
        <v>39.030009999999997</v>
      </c>
    </row>
    <row r="5005" spans="1:2" x14ac:dyDescent="0.25">
      <c r="A5005" s="5">
        <v>40836</v>
      </c>
      <c r="B5005">
        <v>38.592205</v>
      </c>
    </row>
    <row r="5006" spans="1:2" x14ac:dyDescent="0.25">
      <c r="A5006" s="5">
        <v>40837</v>
      </c>
      <c r="B5006">
        <v>38.599643999999998</v>
      </c>
    </row>
    <row r="5007" spans="1:2" x14ac:dyDescent="0.25">
      <c r="A5007" s="5">
        <v>40840</v>
      </c>
      <c r="B5007">
        <v>39.779437999999999</v>
      </c>
    </row>
    <row r="5008" spans="1:2" x14ac:dyDescent="0.25">
      <c r="A5008" s="5">
        <v>40841</v>
      </c>
      <c r="B5008">
        <v>38.822231000000002</v>
      </c>
    </row>
    <row r="5009" spans="1:2" x14ac:dyDescent="0.25">
      <c r="A5009" s="5">
        <v>40842</v>
      </c>
      <c r="B5009">
        <v>38.287982999999997</v>
      </c>
    </row>
    <row r="5010" spans="1:2" x14ac:dyDescent="0.25">
      <c r="A5010" s="5">
        <v>40843</v>
      </c>
      <c r="B5010">
        <v>39.712654000000001</v>
      </c>
    </row>
    <row r="5011" spans="1:2" x14ac:dyDescent="0.25">
      <c r="A5011" s="5">
        <v>40844</v>
      </c>
      <c r="B5011">
        <v>39.497467</v>
      </c>
    </row>
    <row r="5012" spans="1:2" x14ac:dyDescent="0.25">
      <c r="A5012" s="5">
        <v>40847</v>
      </c>
      <c r="B5012">
        <v>38.287982999999997</v>
      </c>
    </row>
    <row r="5013" spans="1:2" x14ac:dyDescent="0.25">
      <c r="A5013" s="5">
        <v>40848</v>
      </c>
      <c r="B5013">
        <v>37.204647000000001</v>
      </c>
    </row>
    <row r="5014" spans="1:2" x14ac:dyDescent="0.25">
      <c r="A5014" s="5">
        <v>40849</v>
      </c>
      <c r="B5014">
        <v>38.718356999999997</v>
      </c>
    </row>
    <row r="5015" spans="1:2" x14ac:dyDescent="0.25">
      <c r="A5015" s="5">
        <v>40850</v>
      </c>
      <c r="B5015">
        <v>41.634483000000003</v>
      </c>
    </row>
    <row r="5016" spans="1:2" x14ac:dyDescent="0.25">
      <c r="A5016" s="5">
        <v>40851</v>
      </c>
      <c r="B5016">
        <v>41.923865999999997</v>
      </c>
    </row>
    <row r="5017" spans="1:2" x14ac:dyDescent="0.25">
      <c r="A5017" s="5">
        <v>40854</v>
      </c>
      <c r="B5017">
        <v>42.235503999999999</v>
      </c>
    </row>
    <row r="5018" spans="1:2" x14ac:dyDescent="0.25">
      <c r="A5018" s="5">
        <v>40855</v>
      </c>
      <c r="B5018">
        <v>42.317126999999999</v>
      </c>
    </row>
    <row r="5019" spans="1:2" x14ac:dyDescent="0.25">
      <c r="A5019" s="5">
        <v>40856</v>
      </c>
      <c r="B5019">
        <v>41.115067000000003</v>
      </c>
    </row>
    <row r="5020" spans="1:2" x14ac:dyDescent="0.25">
      <c r="A5020" s="5">
        <v>40857</v>
      </c>
      <c r="B5020">
        <v>40.966652000000003</v>
      </c>
    </row>
    <row r="5021" spans="1:2" x14ac:dyDescent="0.25">
      <c r="A5021" s="5">
        <v>40858</v>
      </c>
      <c r="B5021">
        <v>42.012909000000001</v>
      </c>
    </row>
    <row r="5022" spans="1:2" x14ac:dyDescent="0.25">
      <c r="A5022" s="5">
        <v>40861</v>
      </c>
      <c r="B5022">
        <v>42.369067999999999</v>
      </c>
    </row>
    <row r="5023" spans="1:2" x14ac:dyDescent="0.25">
      <c r="A5023" s="5">
        <v>40862</v>
      </c>
      <c r="B5023">
        <v>42.591670999999998</v>
      </c>
    </row>
    <row r="5024" spans="1:2" x14ac:dyDescent="0.25">
      <c r="A5024" s="5">
        <v>40863</v>
      </c>
      <c r="B5024">
        <v>42.205840999999999</v>
      </c>
    </row>
    <row r="5025" spans="1:2" x14ac:dyDescent="0.25">
      <c r="A5025" s="5">
        <v>40864</v>
      </c>
      <c r="B5025">
        <v>41.834820000000001</v>
      </c>
    </row>
    <row r="5026" spans="1:2" x14ac:dyDescent="0.25">
      <c r="A5026" s="5">
        <v>40865</v>
      </c>
      <c r="B5026">
        <v>41.307980000000001</v>
      </c>
    </row>
    <row r="5027" spans="1:2" x14ac:dyDescent="0.25">
      <c r="A5027" s="5">
        <v>40868</v>
      </c>
      <c r="B5027">
        <v>40.425297</v>
      </c>
    </row>
    <row r="5028" spans="1:2" x14ac:dyDescent="0.25">
      <c r="A5028" s="5">
        <v>40869</v>
      </c>
      <c r="B5028">
        <v>40.581710999999999</v>
      </c>
    </row>
    <row r="5029" spans="1:2" x14ac:dyDescent="0.25">
      <c r="A5029" s="5">
        <v>40870</v>
      </c>
      <c r="B5029">
        <v>38.756737000000001</v>
      </c>
    </row>
    <row r="5030" spans="1:2" x14ac:dyDescent="0.25">
      <c r="A5030" s="5">
        <v>40872</v>
      </c>
      <c r="B5030">
        <v>38.630099999999999</v>
      </c>
    </row>
    <row r="5031" spans="1:2" x14ac:dyDescent="0.25">
      <c r="A5031" s="5">
        <v>40875</v>
      </c>
      <c r="B5031">
        <v>40.179482</v>
      </c>
    </row>
    <row r="5032" spans="1:2" x14ac:dyDescent="0.25">
      <c r="A5032" s="5">
        <v>40876</v>
      </c>
      <c r="B5032">
        <v>39.561214</v>
      </c>
    </row>
    <row r="5033" spans="1:2" x14ac:dyDescent="0.25">
      <c r="A5033" s="5">
        <v>40877</v>
      </c>
      <c r="B5033">
        <v>40.820087000000001</v>
      </c>
    </row>
    <row r="5034" spans="1:2" x14ac:dyDescent="0.25">
      <c r="A5034" s="5">
        <v>40878</v>
      </c>
      <c r="B5034">
        <v>40.767932999999999</v>
      </c>
    </row>
    <row r="5035" spans="1:2" x14ac:dyDescent="0.25">
      <c r="A5035" s="5">
        <v>40879</v>
      </c>
      <c r="B5035">
        <v>40.477432</v>
      </c>
    </row>
    <row r="5036" spans="1:2" x14ac:dyDescent="0.25">
      <c r="A5036" s="5">
        <v>40882</v>
      </c>
      <c r="B5036">
        <v>40.589165000000001</v>
      </c>
    </row>
    <row r="5037" spans="1:2" x14ac:dyDescent="0.25">
      <c r="A5037" s="5">
        <v>40883</v>
      </c>
      <c r="B5037">
        <v>40.842438000000001</v>
      </c>
    </row>
    <row r="5038" spans="1:2" x14ac:dyDescent="0.25">
      <c r="A5038" s="5">
        <v>40884</v>
      </c>
      <c r="B5038">
        <v>40.559372000000003</v>
      </c>
    </row>
    <row r="5039" spans="1:2" x14ac:dyDescent="0.25">
      <c r="A5039" s="5">
        <v>40885</v>
      </c>
      <c r="B5039">
        <v>40.276318000000003</v>
      </c>
    </row>
    <row r="5040" spans="1:2" x14ac:dyDescent="0.25">
      <c r="A5040" s="5">
        <v>40886</v>
      </c>
      <c r="B5040">
        <v>41.103152999999999</v>
      </c>
    </row>
    <row r="5041" spans="1:2" x14ac:dyDescent="0.25">
      <c r="A5041" s="5">
        <v>40889</v>
      </c>
      <c r="B5041">
        <v>40.80518</v>
      </c>
    </row>
    <row r="5042" spans="1:2" x14ac:dyDescent="0.25">
      <c r="A5042" s="5">
        <v>40890</v>
      </c>
      <c r="B5042">
        <v>40.365704000000001</v>
      </c>
    </row>
    <row r="5043" spans="1:2" x14ac:dyDescent="0.25">
      <c r="A5043" s="5">
        <v>40891</v>
      </c>
      <c r="B5043">
        <v>39.553761000000002</v>
      </c>
    </row>
    <row r="5044" spans="1:2" x14ac:dyDescent="0.25">
      <c r="A5044" s="5">
        <v>40892</v>
      </c>
      <c r="B5044">
        <v>39.144066000000002</v>
      </c>
    </row>
    <row r="5045" spans="1:2" x14ac:dyDescent="0.25">
      <c r="A5045" s="5">
        <v>40893</v>
      </c>
      <c r="B5045">
        <v>39.188777999999999</v>
      </c>
    </row>
    <row r="5046" spans="1:2" x14ac:dyDescent="0.25">
      <c r="A5046" s="5">
        <v>40896</v>
      </c>
      <c r="B5046">
        <v>38.674801000000002</v>
      </c>
    </row>
    <row r="5047" spans="1:2" x14ac:dyDescent="0.25">
      <c r="A5047" s="5">
        <v>40897</v>
      </c>
      <c r="B5047">
        <v>40.306099000000003</v>
      </c>
    </row>
    <row r="5048" spans="1:2" x14ac:dyDescent="0.25">
      <c r="A5048" s="5">
        <v>40898</v>
      </c>
      <c r="B5048">
        <v>39.844276000000001</v>
      </c>
    </row>
    <row r="5049" spans="1:2" x14ac:dyDescent="0.25">
      <c r="A5049" s="5">
        <v>40899</v>
      </c>
      <c r="B5049">
        <v>40.507232999999999</v>
      </c>
    </row>
    <row r="5050" spans="1:2" x14ac:dyDescent="0.25">
      <c r="A5050" s="5">
        <v>40900</v>
      </c>
      <c r="B5050">
        <v>40.693458999999997</v>
      </c>
    </row>
    <row r="5051" spans="1:2" x14ac:dyDescent="0.25">
      <c r="A5051" s="5">
        <v>40904</v>
      </c>
      <c r="B5051">
        <v>40.872219000000001</v>
      </c>
    </row>
    <row r="5052" spans="1:2" x14ac:dyDescent="0.25">
      <c r="A5052" s="5">
        <v>40905</v>
      </c>
      <c r="B5052">
        <v>40.477432</v>
      </c>
    </row>
    <row r="5053" spans="1:2" x14ac:dyDescent="0.25">
      <c r="A5053" s="5">
        <v>40906</v>
      </c>
      <c r="B5053">
        <v>40.857334000000002</v>
      </c>
    </row>
    <row r="5054" spans="1:2" x14ac:dyDescent="0.25">
      <c r="A5054" s="5">
        <v>40907</v>
      </c>
      <c r="B5054">
        <v>40.745593999999997</v>
      </c>
    </row>
    <row r="5055" spans="1:2" x14ac:dyDescent="0.25">
      <c r="A5055" s="5">
        <v>40911</v>
      </c>
      <c r="B5055">
        <v>41.170184999999996</v>
      </c>
    </row>
    <row r="5056" spans="1:2" x14ac:dyDescent="0.25">
      <c r="A5056" s="5">
        <v>40912</v>
      </c>
      <c r="B5056">
        <v>41.587330000000001</v>
      </c>
    </row>
    <row r="5057" spans="1:2" x14ac:dyDescent="0.25">
      <c r="A5057" s="5">
        <v>40913</v>
      </c>
      <c r="B5057">
        <v>41.758659000000002</v>
      </c>
    </row>
    <row r="5058" spans="1:2" x14ac:dyDescent="0.25">
      <c r="A5058" s="5">
        <v>40914</v>
      </c>
      <c r="B5058">
        <v>41.833145000000002</v>
      </c>
    </row>
    <row r="5059" spans="1:2" x14ac:dyDescent="0.25">
      <c r="A5059" s="5">
        <v>40917</v>
      </c>
      <c r="B5059">
        <v>41.646908000000003</v>
      </c>
    </row>
    <row r="5060" spans="1:2" x14ac:dyDescent="0.25">
      <c r="A5060" s="5">
        <v>40918</v>
      </c>
      <c r="B5060">
        <v>41.527729000000001</v>
      </c>
    </row>
    <row r="5061" spans="1:2" x14ac:dyDescent="0.25">
      <c r="A5061" s="5">
        <v>40919</v>
      </c>
      <c r="B5061">
        <v>41.430892999999998</v>
      </c>
    </row>
    <row r="5062" spans="1:2" x14ac:dyDescent="0.25">
      <c r="A5062" s="5">
        <v>40920</v>
      </c>
      <c r="B5062">
        <v>41.959781999999997</v>
      </c>
    </row>
    <row r="5063" spans="1:2" x14ac:dyDescent="0.25">
      <c r="A5063" s="5">
        <v>40921</v>
      </c>
      <c r="B5063">
        <v>42.116202999999999</v>
      </c>
    </row>
    <row r="5064" spans="1:2" x14ac:dyDescent="0.25">
      <c r="A5064" s="5">
        <v>40925</v>
      </c>
      <c r="B5064">
        <v>42.563122</v>
      </c>
    </row>
    <row r="5065" spans="1:2" x14ac:dyDescent="0.25">
      <c r="A5065" s="5">
        <v>40926</v>
      </c>
      <c r="B5065">
        <v>42.898327000000002</v>
      </c>
    </row>
    <row r="5066" spans="1:2" x14ac:dyDescent="0.25">
      <c r="A5066" s="5">
        <v>40927</v>
      </c>
      <c r="B5066">
        <v>43.203732000000002</v>
      </c>
    </row>
    <row r="5067" spans="1:2" x14ac:dyDescent="0.25">
      <c r="A5067" s="5">
        <v>40928</v>
      </c>
      <c r="B5067">
        <v>43.002625000000002</v>
      </c>
    </row>
    <row r="5068" spans="1:2" x14ac:dyDescent="0.25">
      <c r="A5068" s="5">
        <v>40931</v>
      </c>
      <c r="B5068">
        <v>43.315479000000003</v>
      </c>
    </row>
    <row r="5069" spans="1:2" x14ac:dyDescent="0.25">
      <c r="A5069" s="5">
        <v>40932</v>
      </c>
      <c r="B5069">
        <v>43.710265999999997</v>
      </c>
    </row>
    <row r="5070" spans="1:2" x14ac:dyDescent="0.25">
      <c r="A5070" s="5">
        <v>40933</v>
      </c>
      <c r="B5070">
        <v>43.941184999999997</v>
      </c>
    </row>
    <row r="5071" spans="1:2" x14ac:dyDescent="0.25">
      <c r="A5071" s="5">
        <v>40934</v>
      </c>
      <c r="B5071">
        <v>43.06221</v>
      </c>
    </row>
    <row r="5072" spans="1:2" x14ac:dyDescent="0.25">
      <c r="A5072" s="5">
        <v>40935</v>
      </c>
      <c r="B5072">
        <v>43.047302000000002</v>
      </c>
    </row>
    <row r="5073" spans="1:2" x14ac:dyDescent="0.25">
      <c r="A5073" s="5">
        <v>40938</v>
      </c>
      <c r="B5073">
        <v>43.673026999999998</v>
      </c>
    </row>
    <row r="5074" spans="1:2" x14ac:dyDescent="0.25">
      <c r="A5074" s="5">
        <v>40939</v>
      </c>
      <c r="B5074">
        <v>43.814551999999999</v>
      </c>
    </row>
    <row r="5075" spans="1:2" x14ac:dyDescent="0.25">
      <c r="A5075" s="5">
        <v>40940</v>
      </c>
      <c r="B5075">
        <v>44.365775999999997</v>
      </c>
    </row>
    <row r="5076" spans="1:2" x14ac:dyDescent="0.25">
      <c r="A5076" s="5">
        <v>40941</v>
      </c>
      <c r="B5076">
        <v>45.237296999999998</v>
      </c>
    </row>
    <row r="5077" spans="1:2" x14ac:dyDescent="0.25">
      <c r="A5077" s="5">
        <v>40942</v>
      </c>
      <c r="B5077">
        <v>45.483111999999998</v>
      </c>
    </row>
    <row r="5078" spans="1:2" x14ac:dyDescent="0.25">
      <c r="A5078" s="5">
        <v>40945</v>
      </c>
      <c r="B5078">
        <v>45.490561999999997</v>
      </c>
    </row>
    <row r="5079" spans="1:2" x14ac:dyDescent="0.25">
      <c r="A5079" s="5">
        <v>40946</v>
      </c>
      <c r="B5079">
        <v>45.848103000000002</v>
      </c>
    </row>
    <row r="5080" spans="1:2" x14ac:dyDescent="0.25">
      <c r="A5080" s="5">
        <v>40947</v>
      </c>
      <c r="B5080">
        <v>45.788513000000002</v>
      </c>
    </row>
    <row r="5081" spans="1:2" x14ac:dyDescent="0.25">
      <c r="A5081" s="5">
        <v>40948</v>
      </c>
      <c r="B5081">
        <v>46.138610999999997</v>
      </c>
    </row>
    <row r="5082" spans="1:2" x14ac:dyDescent="0.25">
      <c r="A5082" s="5">
        <v>40949</v>
      </c>
      <c r="B5082">
        <v>45.982182000000002</v>
      </c>
    </row>
    <row r="5083" spans="1:2" x14ac:dyDescent="0.25">
      <c r="A5083" s="5">
        <v>40952</v>
      </c>
      <c r="B5083">
        <v>45.989638999999997</v>
      </c>
    </row>
    <row r="5084" spans="1:2" x14ac:dyDescent="0.25">
      <c r="A5084" s="5">
        <v>40953</v>
      </c>
      <c r="B5084">
        <v>45.967284999999997</v>
      </c>
    </row>
    <row r="5085" spans="1:2" x14ac:dyDescent="0.25">
      <c r="A5085" s="5">
        <v>40954</v>
      </c>
      <c r="B5085">
        <v>45.870444999999997</v>
      </c>
    </row>
    <row r="5086" spans="1:2" x14ac:dyDescent="0.25">
      <c r="A5086" s="5">
        <v>40955</v>
      </c>
      <c r="B5086">
        <v>46.384425999999998</v>
      </c>
    </row>
    <row r="5087" spans="1:2" x14ac:dyDescent="0.25">
      <c r="A5087" s="5">
        <v>40956</v>
      </c>
      <c r="B5087">
        <v>46.570652000000003</v>
      </c>
    </row>
    <row r="5088" spans="1:2" x14ac:dyDescent="0.25">
      <c r="A5088" s="5">
        <v>40960</v>
      </c>
      <c r="B5088">
        <v>46.764327999999999</v>
      </c>
    </row>
    <row r="5089" spans="1:2" x14ac:dyDescent="0.25">
      <c r="A5089" s="5">
        <v>40961</v>
      </c>
      <c r="B5089">
        <v>46.592998999999999</v>
      </c>
    </row>
    <row r="5090" spans="1:2" x14ac:dyDescent="0.25">
      <c r="A5090" s="5">
        <v>40962</v>
      </c>
      <c r="B5090">
        <v>47.308101999999998</v>
      </c>
    </row>
    <row r="5091" spans="1:2" x14ac:dyDescent="0.25">
      <c r="A5091" s="5">
        <v>40963</v>
      </c>
      <c r="B5091">
        <v>47.255958999999997</v>
      </c>
    </row>
    <row r="5092" spans="1:2" x14ac:dyDescent="0.25">
      <c r="A5092" s="5">
        <v>40966</v>
      </c>
      <c r="B5092">
        <v>47.159129999999998</v>
      </c>
    </row>
    <row r="5093" spans="1:2" x14ac:dyDescent="0.25">
      <c r="A5093" s="5">
        <v>40967</v>
      </c>
      <c r="B5093">
        <v>46.689846000000003</v>
      </c>
    </row>
    <row r="5094" spans="1:2" x14ac:dyDescent="0.25">
      <c r="A5094" s="5">
        <v>40968</v>
      </c>
      <c r="B5094">
        <v>46.476802999999997</v>
      </c>
    </row>
    <row r="5095" spans="1:2" x14ac:dyDescent="0.25">
      <c r="A5095" s="5">
        <v>40969</v>
      </c>
      <c r="B5095">
        <v>46.798206</v>
      </c>
    </row>
    <row r="5096" spans="1:2" x14ac:dyDescent="0.25">
      <c r="A5096" s="5">
        <v>40970</v>
      </c>
      <c r="B5096">
        <v>46.663677</v>
      </c>
    </row>
    <row r="5097" spans="1:2" x14ac:dyDescent="0.25">
      <c r="A5097" s="5">
        <v>40973</v>
      </c>
      <c r="B5097">
        <v>46.424487999999997</v>
      </c>
    </row>
    <row r="5098" spans="1:2" x14ac:dyDescent="0.25">
      <c r="A5098" s="5">
        <v>40974</v>
      </c>
      <c r="B5098">
        <v>46.013396999999998</v>
      </c>
    </row>
    <row r="5099" spans="1:2" x14ac:dyDescent="0.25">
      <c r="A5099" s="5">
        <v>40975</v>
      </c>
      <c r="B5099">
        <v>46.88044</v>
      </c>
    </row>
    <row r="5100" spans="1:2" x14ac:dyDescent="0.25">
      <c r="A5100" s="5">
        <v>40976</v>
      </c>
      <c r="B5100">
        <v>47.328910999999998</v>
      </c>
    </row>
    <row r="5101" spans="1:2" x14ac:dyDescent="0.25">
      <c r="A5101" s="5">
        <v>40977</v>
      </c>
      <c r="B5101">
        <v>47.784858999999997</v>
      </c>
    </row>
    <row r="5102" spans="1:2" x14ac:dyDescent="0.25">
      <c r="A5102" s="5">
        <v>40980</v>
      </c>
      <c r="B5102">
        <v>47.725062999999999</v>
      </c>
    </row>
    <row r="5103" spans="1:2" x14ac:dyDescent="0.25">
      <c r="A5103" s="5">
        <v>40981</v>
      </c>
      <c r="B5103">
        <v>48.472515000000001</v>
      </c>
    </row>
    <row r="5104" spans="1:2" x14ac:dyDescent="0.25">
      <c r="A5104" s="5">
        <v>40982</v>
      </c>
      <c r="B5104">
        <v>48.666846999999997</v>
      </c>
    </row>
    <row r="5105" spans="1:2" x14ac:dyDescent="0.25">
      <c r="A5105" s="5">
        <v>40983</v>
      </c>
      <c r="B5105">
        <v>48.741604000000002</v>
      </c>
    </row>
    <row r="5106" spans="1:2" x14ac:dyDescent="0.25">
      <c r="A5106" s="5">
        <v>40984</v>
      </c>
      <c r="B5106">
        <v>48.891094000000002</v>
      </c>
    </row>
    <row r="5107" spans="1:2" x14ac:dyDescent="0.25">
      <c r="A5107" s="5">
        <v>40987</v>
      </c>
      <c r="B5107">
        <v>49.892676999999999</v>
      </c>
    </row>
    <row r="5108" spans="1:2" x14ac:dyDescent="0.25">
      <c r="A5108" s="5">
        <v>40988</v>
      </c>
      <c r="B5108">
        <v>49.892676999999999</v>
      </c>
    </row>
    <row r="5109" spans="1:2" x14ac:dyDescent="0.25">
      <c r="A5109" s="5">
        <v>40989</v>
      </c>
      <c r="B5109">
        <v>49.653483999999999</v>
      </c>
    </row>
    <row r="5110" spans="1:2" x14ac:dyDescent="0.25">
      <c r="A5110" s="5">
        <v>40990</v>
      </c>
      <c r="B5110">
        <v>49.548855000000003</v>
      </c>
    </row>
    <row r="5111" spans="1:2" x14ac:dyDescent="0.25">
      <c r="A5111" s="5">
        <v>40991</v>
      </c>
      <c r="B5111">
        <v>49.840366000000003</v>
      </c>
    </row>
    <row r="5112" spans="1:2" x14ac:dyDescent="0.25">
      <c r="A5112" s="5">
        <v>40994</v>
      </c>
      <c r="B5112">
        <v>51.267997999999999</v>
      </c>
    </row>
    <row r="5113" spans="1:2" x14ac:dyDescent="0.25">
      <c r="A5113" s="5">
        <v>40995</v>
      </c>
      <c r="B5113">
        <v>51.193268000000003</v>
      </c>
    </row>
    <row r="5114" spans="1:2" x14ac:dyDescent="0.25">
      <c r="A5114" s="5">
        <v>40996</v>
      </c>
      <c r="B5114">
        <v>50.916694999999997</v>
      </c>
    </row>
    <row r="5115" spans="1:2" x14ac:dyDescent="0.25">
      <c r="A5115" s="5">
        <v>40997</v>
      </c>
      <c r="B5115">
        <v>50.774676999999997</v>
      </c>
    </row>
    <row r="5116" spans="1:2" x14ac:dyDescent="0.25">
      <c r="A5116" s="5">
        <v>40998</v>
      </c>
      <c r="B5116">
        <v>50.871864000000002</v>
      </c>
    </row>
    <row r="5117" spans="1:2" x14ac:dyDescent="0.25">
      <c r="A5117" s="5">
        <v>41001</v>
      </c>
      <c r="B5117">
        <v>51.066195999999998</v>
      </c>
    </row>
    <row r="5118" spans="1:2" x14ac:dyDescent="0.25">
      <c r="A5118" s="5">
        <v>41002</v>
      </c>
      <c r="B5118">
        <v>50.924171000000001</v>
      </c>
    </row>
    <row r="5119" spans="1:2" x14ac:dyDescent="0.25">
      <c r="A5119" s="5">
        <v>41003</v>
      </c>
      <c r="B5119">
        <v>50.371048000000002</v>
      </c>
    </row>
    <row r="5120" spans="1:2" x14ac:dyDescent="0.25">
      <c r="A5120" s="5">
        <v>41004</v>
      </c>
      <c r="B5120">
        <v>50.221581</v>
      </c>
    </row>
    <row r="5121" spans="1:2" x14ac:dyDescent="0.25">
      <c r="A5121" s="5">
        <v>41008</v>
      </c>
      <c r="B5121">
        <v>49.705826000000002</v>
      </c>
    </row>
    <row r="5122" spans="1:2" x14ac:dyDescent="0.25">
      <c r="A5122" s="5">
        <v>41009</v>
      </c>
      <c r="B5122">
        <v>49.496540000000003</v>
      </c>
    </row>
    <row r="5123" spans="1:2" x14ac:dyDescent="0.25">
      <c r="A5123" s="5">
        <v>41010</v>
      </c>
      <c r="B5123">
        <v>49.496540000000003</v>
      </c>
    </row>
    <row r="5124" spans="1:2" x14ac:dyDescent="0.25">
      <c r="A5124" s="5">
        <v>41011</v>
      </c>
      <c r="B5124">
        <v>51.073669000000002</v>
      </c>
    </row>
    <row r="5125" spans="1:2" x14ac:dyDescent="0.25">
      <c r="A5125" s="5">
        <v>41012</v>
      </c>
      <c r="B5125">
        <v>49.832886000000002</v>
      </c>
    </row>
    <row r="5126" spans="1:2" x14ac:dyDescent="0.25">
      <c r="A5126" s="5">
        <v>41015</v>
      </c>
      <c r="B5126">
        <v>49.518970000000003</v>
      </c>
    </row>
    <row r="5127" spans="1:2" x14ac:dyDescent="0.25">
      <c r="A5127" s="5">
        <v>41016</v>
      </c>
      <c r="B5127">
        <v>50.251457000000002</v>
      </c>
    </row>
    <row r="5128" spans="1:2" x14ac:dyDescent="0.25">
      <c r="A5128" s="5">
        <v>41017</v>
      </c>
      <c r="B5128">
        <v>50.072074999999998</v>
      </c>
    </row>
    <row r="5129" spans="1:2" x14ac:dyDescent="0.25">
      <c r="A5129" s="5">
        <v>41018</v>
      </c>
      <c r="B5129">
        <v>46.760838</v>
      </c>
    </row>
    <row r="5130" spans="1:2" x14ac:dyDescent="0.25">
      <c r="A5130" s="5">
        <v>41019</v>
      </c>
      <c r="B5130">
        <v>46.529133000000002</v>
      </c>
    </row>
    <row r="5131" spans="1:2" x14ac:dyDescent="0.25">
      <c r="A5131" s="5">
        <v>41022</v>
      </c>
      <c r="B5131">
        <v>46.013396999999998</v>
      </c>
    </row>
    <row r="5132" spans="1:2" x14ac:dyDescent="0.25">
      <c r="A5132" s="5">
        <v>41023</v>
      </c>
      <c r="B5132">
        <v>46.237617</v>
      </c>
    </row>
    <row r="5133" spans="1:2" x14ac:dyDescent="0.25">
      <c r="A5133" s="5">
        <v>41024</v>
      </c>
      <c r="B5133">
        <v>47.284072999999999</v>
      </c>
    </row>
    <row r="5134" spans="1:2" x14ac:dyDescent="0.25">
      <c r="A5134" s="5">
        <v>41025</v>
      </c>
      <c r="B5134">
        <v>47.769908999999998</v>
      </c>
    </row>
    <row r="5135" spans="1:2" x14ac:dyDescent="0.25">
      <c r="A5135" s="5">
        <v>41026</v>
      </c>
      <c r="B5135">
        <v>47.971710000000002</v>
      </c>
    </row>
    <row r="5136" spans="1:2" x14ac:dyDescent="0.25">
      <c r="A5136" s="5">
        <v>41029</v>
      </c>
      <c r="B5136">
        <v>47.710121000000001</v>
      </c>
    </row>
    <row r="5137" spans="1:2" x14ac:dyDescent="0.25">
      <c r="A5137" s="5">
        <v>41030</v>
      </c>
      <c r="B5137">
        <v>47.568092</v>
      </c>
    </row>
    <row r="5138" spans="1:2" x14ac:dyDescent="0.25">
      <c r="A5138" s="5">
        <v>41031</v>
      </c>
      <c r="B5138">
        <v>48.016567000000002</v>
      </c>
    </row>
    <row r="5139" spans="1:2" x14ac:dyDescent="0.25">
      <c r="A5139" s="5">
        <v>41032</v>
      </c>
      <c r="B5139">
        <v>47.500819999999997</v>
      </c>
    </row>
    <row r="5140" spans="1:2" x14ac:dyDescent="0.25">
      <c r="A5140" s="5">
        <v>41033</v>
      </c>
      <c r="B5140">
        <v>46.275002000000001</v>
      </c>
    </row>
    <row r="5141" spans="1:2" x14ac:dyDescent="0.25">
      <c r="A5141" s="5">
        <v>41036</v>
      </c>
      <c r="B5141">
        <v>46.282474999999998</v>
      </c>
    </row>
    <row r="5142" spans="1:2" x14ac:dyDescent="0.25">
      <c r="A5142" s="5">
        <v>41037</v>
      </c>
      <c r="B5142">
        <v>46.843060000000001</v>
      </c>
    </row>
    <row r="5143" spans="1:2" x14ac:dyDescent="0.25">
      <c r="A5143" s="5">
        <v>41038</v>
      </c>
      <c r="B5143">
        <v>46.349750999999998</v>
      </c>
    </row>
    <row r="5144" spans="1:2" x14ac:dyDescent="0.25">
      <c r="A5144" s="5">
        <v>41039</v>
      </c>
      <c r="B5144">
        <v>46.701045999999998</v>
      </c>
    </row>
    <row r="5145" spans="1:2" x14ac:dyDescent="0.25">
      <c r="A5145" s="5">
        <v>41040</v>
      </c>
      <c r="B5145">
        <v>46.237617</v>
      </c>
    </row>
    <row r="5146" spans="1:2" x14ac:dyDescent="0.25">
      <c r="A5146" s="5">
        <v>41043</v>
      </c>
      <c r="B5146">
        <v>45.938656000000002</v>
      </c>
    </row>
    <row r="5147" spans="1:2" x14ac:dyDescent="0.25">
      <c r="A5147" s="5">
        <v>41044</v>
      </c>
      <c r="B5147">
        <v>45.923698000000002</v>
      </c>
    </row>
    <row r="5148" spans="1:2" x14ac:dyDescent="0.25">
      <c r="A5148" s="5">
        <v>41045</v>
      </c>
      <c r="B5148">
        <v>44.182121000000002</v>
      </c>
    </row>
    <row r="5149" spans="1:2" x14ac:dyDescent="0.25">
      <c r="A5149" s="5">
        <v>41046</v>
      </c>
      <c r="B5149">
        <v>42.724589999999999</v>
      </c>
    </row>
    <row r="5150" spans="1:2" x14ac:dyDescent="0.25">
      <c r="A5150" s="5">
        <v>41047</v>
      </c>
      <c r="B5150">
        <v>41.842574999999997</v>
      </c>
    </row>
    <row r="5151" spans="1:2" x14ac:dyDescent="0.25">
      <c r="A5151" s="5">
        <v>41050</v>
      </c>
      <c r="B5151">
        <v>42.769427999999998</v>
      </c>
    </row>
    <row r="5152" spans="1:2" x14ac:dyDescent="0.25">
      <c r="A5152" s="5">
        <v>41051</v>
      </c>
      <c r="B5152">
        <v>43.300117</v>
      </c>
    </row>
    <row r="5153" spans="1:2" x14ac:dyDescent="0.25">
      <c r="A5153" s="5">
        <v>41052</v>
      </c>
      <c r="B5153">
        <v>43.457096</v>
      </c>
    </row>
    <row r="5154" spans="1:2" x14ac:dyDescent="0.25">
      <c r="A5154" s="5">
        <v>41053</v>
      </c>
      <c r="B5154">
        <v>42.717117000000002</v>
      </c>
    </row>
    <row r="5155" spans="1:2" x14ac:dyDescent="0.25">
      <c r="A5155" s="5">
        <v>41054</v>
      </c>
      <c r="B5155">
        <v>42.844172999999998</v>
      </c>
    </row>
    <row r="5156" spans="1:2" x14ac:dyDescent="0.25">
      <c r="A5156" s="5">
        <v>41058</v>
      </c>
      <c r="B5156">
        <v>43.643948000000002</v>
      </c>
    </row>
    <row r="5157" spans="1:2" x14ac:dyDescent="0.25">
      <c r="A5157" s="5">
        <v>41059</v>
      </c>
      <c r="B5157">
        <v>43.125991999999997</v>
      </c>
    </row>
    <row r="5158" spans="1:2" x14ac:dyDescent="0.25">
      <c r="A5158" s="5">
        <v>41060</v>
      </c>
      <c r="B5158">
        <v>43.020893000000001</v>
      </c>
    </row>
    <row r="5159" spans="1:2" x14ac:dyDescent="0.25">
      <c r="A5159" s="5">
        <v>41061</v>
      </c>
      <c r="B5159">
        <v>41.376933999999999</v>
      </c>
    </row>
    <row r="5160" spans="1:2" x14ac:dyDescent="0.25">
      <c r="A5160" s="5">
        <v>41064</v>
      </c>
      <c r="B5160">
        <v>41.924911000000002</v>
      </c>
    </row>
    <row r="5161" spans="1:2" x14ac:dyDescent="0.25">
      <c r="A5161" s="5">
        <v>41065</v>
      </c>
      <c r="B5161">
        <v>42.923309000000003</v>
      </c>
    </row>
    <row r="5162" spans="1:2" x14ac:dyDescent="0.25">
      <c r="A5162" s="5">
        <v>41066</v>
      </c>
      <c r="B5162">
        <v>43.839123000000001</v>
      </c>
    </row>
    <row r="5163" spans="1:2" x14ac:dyDescent="0.25">
      <c r="A5163" s="5">
        <v>41067</v>
      </c>
      <c r="B5163">
        <v>43.53886</v>
      </c>
    </row>
    <row r="5164" spans="1:2" x14ac:dyDescent="0.25">
      <c r="A5164" s="5">
        <v>41068</v>
      </c>
      <c r="B5164">
        <v>44.109363999999999</v>
      </c>
    </row>
    <row r="5165" spans="1:2" x14ac:dyDescent="0.25">
      <c r="A5165" s="5">
        <v>41071</v>
      </c>
      <c r="B5165">
        <v>43.381222000000001</v>
      </c>
    </row>
    <row r="5166" spans="1:2" x14ac:dyDescent="0.25">
      <c r="A5166" s="5">
        <v>41072</v>
      </c>
      <c r="B5166">
        <v>44.589793999999998</v>
      </c>
    </row>
    <row r="5167" spans="1:2" x14ac:dyDescent="0.25">
      <c r="A5167" s="5">
        <v>41073</v>
      </c>
      <c r="B5167">
        <v>44.244492000000001</v>
      </c>
    </row>
    <row r="5168" spans="1:2" x14ac:dyDescent="0.25">
      <c r="A5168" s="5">
        <v>41074</v>
      </c>
      <c r="B5168">
        <v>42.630547</v>
      </c>
    </row>
    <row r="5169" spans="1:2" x14ac:dyDescent="0.25">
      <c r="A5169" s="5">
        <v>41075</v>
      </c>
      <c r="B5169">
        <v>42.412860999999999</v>
      </c>
    </row>
    <row r="5170" spans="1:2" x14ac:dyDescent="0.25">
      <c r="A5170" s="5">
        <v>41078</v>
      </c>
      <c r="B5170">
        <v>42.615543000000002</v>
      </c>
    </row>
    <row r="5171" spans="1:2" x14ac:dyDescent="0.25">
      <c r="A5171" s="5">
        <v>41079</v>
      </c>
      <c r="B5171">
        <v>42.803196</v>
      </c>
    </row>
    <row r="5172" spans="1:2" x14ac:dyDescent="0.25">
      <c r="A5172" s="5">
        <v>41080</v>
      </c>
      <c r="B5172">
        <v>42.788189000000003</v>
      </c>
    </row>
    <row r="5173" spans="1:2" x14ac:dyDescent="0.25">
      <c r="A5173" s="5">
        <v>41081</v>
      </c>
      <c r="B5173">
        <v>41.384438000000003</v>
      </c>
    </row>
    <row r="5174" spans="1:2" x14ac:dyDescent="0.25">
      <c r="A5174" s="5">
        <v>41082</v>
      </c>
      <c r="B5174">
        <v>41.767268999999999</v>
      </c>
    </row>
    <row r="5175" spans="1:2" x14ac:dyDescent="0.25">
      <c r="A5175" s="5">
        <v>41085</v>
      </c>
      <c r="B5175">
        <v>40.205891000000001</v>
      </c>
    </row>
    <row r="5176" spans="1:2" x14ac:dyDescent="0.25">
      <c r="A5176" s="5">
        <v>41086</v>
      </c>
      <c r="B5176">
        <v>40.476123999999999</v>
      </c>
    </row>
    <row r="5177" spans="1:2" x14ac:dyDescent="0.25">
      <c r="A5177" s="5">
        <v>41087</v>
      </c>
      <c r="B5177">
        <v>41.219284000000002</v>
      </c>
    </row>
    <row r="5178" spans="1:2" x14ac:dyDescent="0.25">
      <c r="A5178" s="5">
        <v>41088</v>
      </c>
      <c r="B5178">
        <v>40.761378999999998</v>
      </c>
    </row>
    <row r="5179" spans="1:2" x14ac:dyDescent="0.25">
      <c r="A5179" s="5">
        <v>41089</v>
      </c>
      <c r="B5179">
        <v>41.797302000000002</v>
      </c>
    </row>
    <row r="5180" spans="1:2" x14ac:dyDescent="0.25">
      <c r="A5180" s="5">
        <v>41092</v>
      </c>
      <c r="B5180">
        <v>41.789791000000001</v>
      </c>
    </row>
    <row r="5181" spans="1:2" x14ac:dyDescent="0.25">
      <c r="A5181" s="5">
        <v>41093</v>
      </c>
      <c r="B5181">
        <v>42.232692999999998</v>
      </c>
    </row>
    <row r="5182" spans="1:2" x14ac:dyDescent="0.25">
      <c r="A5182" s="5">
        <v>41095</v>
      </c>
      <c r="B5182">
        <v>42.225178</v>
      </c>
    </row>
    <row r="5183" spans="1:2" x14ac:dyDescent="0.25">
      <c r="A5183" s="5">
        <v>41096</v>
      </c>
      <c r="B5183">
        <v>41.519562000000001</v>
      </c>
    </row>
    <row r="5184" spans="1:2" x14ac:dyDescent="0.25">
      <c r="A5184" s="5">
        <v>41099</v>
      </c>
      <c r="B5184">
        <v>41.527065</v>
      </c>
    </row>
    <row r="5185" spans="1:2" x14ac:dyDescent="0.25">
      <c r="A5185" s="5">
        <v>41100</v>
      </c>
      <c r="B5185">
        <v>41.414462999999998</v>
      </c>
    </row>
    <row r="5186" spans="1:2" x14ac:dyDescent="0.25">
      <c r="A5186" s="5">
        <v>41101</v>
      </c>
      <c r="B5186">
        <v>40.813923000000003</v>
      </c>
    </row>
    <row r="5187" spans="1:2" x14ac:dyDescent="0.25">
      <c r="A5187" s="5">
        <v>41102</v>
      </c>
      <c r="B5187">
        <v>40.333503999999998</v>
      </c>
    </row>
    <row r="5188" spans="1:2" x14ac:dyDescent="0.25">
      <c r="A5188" s="5">
        <v>41103</v>
      </c>
      <c r="B5188">
        <v>41.271839</v>
      </c>
    </row>
    <row r="5189" spans="1:2" x14ac:dyDescent="0.25">
      <c r="A5189" s="5">
        <v>41106</v>
      </c>
      <c r="B5189">
        <v>40.806418999999998</v>
      </c>
    </row>
    <row r="5190" spans="1:2" x14ac:dyDescent="0.25">
      <c r="A5190" s="5">
        <v>41107</v>
      </c>
      <c r="B5190">
        <v>40.881481000000001</v>
      </c>
    </row>
    <row r="5191" spans="1:2" x14ac:dyDescent="0.25">
      <c r="A5191" s="5">
        <v>41108</v>
      </c>
      <c r="B5191">
        <v>42.075062000000003</v>
      </c>
    </row>
    <row r="5192" spans="1:2" x14ac:dyDescent="0.25">
      <c r="A5192" s="5">
        <v>41109</v>
      </c>
      <c r="B5192">
        <v>43.869160000000001</v>
      </c>
    </row>
    <row r="5193" spans="1:2" x14ac:dyDescent="0.25">
      <c r="A5193" s="5">
        <v>41110</v>
      </c>
      <c r="B5193">
        <v>43.298645</v>
      </c>
    </row>
    <row r="5194" spans="1:2" x14ac:dyDescent="0.25">
      <c r="A5194" s="5">
        <v>41113</v>
      </c>
      <c r="B5194">
        <v>43.028393000000001</v>
      </c>
    </row>
    <row r="5195" spans="1:2" x14ac:dyDescent="0.25">
      <c r="A5195" s="5">
        <v>41114</v>
      </c>
      <c r="B5195">
        <v>42.630547</v>
      </c>
    </row>
    <row r="5196" spans="1:2" x14ac:dyDescent="0.25">
      <c r="A5196" s="5">
        <v>41115</v>
      </c>
      <c r="B5196">
        <v>42.998367000000002</v>
      </c>
    </row>
    <row r="5197" spans="1:2" x14ac:dyDescent="0.25">
      <c r="A5197" s="5">
        <v>41116</v>
      </c>
      <c r="B5197">
        <v>43.696503</v>
      </c>
    </row>
    <row r="5198" spans="1:2" x14ac:dyDescent="0.25">
      <c r="A5198" s="5">
        <v>41117</v>
      </c>
      <c r="B5198">
        <v>44.544750000000001</v>
      </c>
    </row>
    <row r="5199" spans="1:2" x14ac:dyDescent="0.25">
      <c r="A5199" s="5">
        <v>41120</v>
      </c>
      <c r="B5199">
        <v>44.402121999999999</v>
      </c>
    </row>
    <row r="5200" spans="1:2" x14ac:dyDescent="0.25">
      <c r="A5200" s="5">
        <v>41121</v>
      </c>
      <c r="B5200">
        <v>44.799987999999999</v>
      </c>
    </row>
    <row r="5201" spans="1:2" x14ac:dyDescent="0.25">
      <c r="A5201" s="5">
        <v>41122</v>
      </c>
      <c r="B5201">
        <v>44.679881999999999</v>
      </c>
    </row>
    <row r="5202" spans="1:2" x14ac:dyDescent="0.25">
      <c r="A5202" s="5">
        <v>41123</v>
      </c>
      <c r="B5202">
        <v>44.199447999999997</v>
      </c>
    </row>
    <row r="5203" spans="1:2" x14ac:dyDescent="0.25">
      <c r="A5203" s="5">
        <v>41124</v>
      </c>
      <c r="B5203">
        <v>45.220363999999996</v>
      </c>
    </row>
    <row r="5204" spans="1:2" x14ac:dyDescent="0.25">
      <c r="A5204" s="5">
        <v>41127</v>
      </c>
      <c r="B5204">
        <v>45.137787000000003</v>
      </c>
    </row>
    <row r="5205" spans="1:2" x14ac:dyDescent="0.25">
      <c r="A5205" s="5">
        <v>41128</v>
      </c>
      <c r="B5205">
        <v>46.046097000000003</v>
      </c>
    </row>
    <row r="5206" spans="1:2" x14ac:dyDescent="0.25">
      <c r="A5206" s="5">
        <v>41129</v>
      </c>
      <c r="B5206">
        <v>46.12867</v>
      </c>
    </row>
    <row r="5207" spans="1:2" x14ac:dyDescent="0.25">
      <c r="A5207" s="5">
        <v>41130</v>
      </c>
      <c r="B5207">
        <v>46.541545999999997</v>
      </c>
    </row>
    <row r="5208" spans="1:2" x14ac:dyDescent="0.25">
      <c r="A5208" s="5">
        <v>41131</v>
      </c>
      <c r="B5208">
        <v>46.526527000000002</v>
      </c>
    </row>
    <row r="5209" spans="1:2" x14ac:dyDescent="0.25">
      <c r="A5209" s="5">
        <v>41134</v>
      </c>
      <c r="B5209">
        <v>46.616604000000002</v>
      </c>
    </row>
    <row r="5210" spans="1:2" x14ac:dyDescent="0.25">
      <c r="A5210" s="5">
        <v>41135</v>
      </c>
      <c r="B5210">
        <v>46.834296999999999</v>
      </c>
    </row>
    <row r="5211" spans="1:2" x14ac:dyDescent="0.25">
      <c r="A5211" s="5">
        <v>41136</v>
      </c>
      <c r="B5211">
        <v>46.931899999999999</v>
      </c>
    </row>
    <row r="5212" spans="1:2" x14ac:dyDescent="0.25">
      <c r="A5212" s="5">
        <v>41137</v>
      </c>
      <c r="B5212">
        <v>46.969425000000001</v>
      </c>
    </row>
    <row r="5213" spans="1:2" x14ac:dyDescent="0.25">
      <c r="A5213" s="5">
        <v>41138</v>
      </c>
      <c r="B5213">
        <v>47.509906999999998</v>
      </c>
    </row>
    <row r="5214" spans="1:2" x14ac:dyDescent="0.25">
      <c r="A5214" s="5">
        <v>41141</v>
      </c>
      <c r="B5214">
        <v>47.142077999999998</v>
      </c>
    </row>
    <row r="5215" spans="1:2" x14ac:dyDescent="0.25">
      <c r="A5215" s="5">
        <v>41142</v>
      </c>
      <c r="B5215">
        <v>46.601596999999998</v>
      </c>
    </row>
    <row r="5216" spans="1:2" x14ac:dyDescent="0.25">
      <c r="A5216" s="5">
        <v>41143</v>
      </c>
      <c r="B5216">
        <v>46.669159000000001</v>
      </c>
    </row>
    <row r="5217" spans="1:2" x14ac:dyDescent="0.25">
      <c r="A5217" s="5">
        <v>41144</v>
      </c>
      <c r="B5217">
        <v>46.571559999999998</v>
      </c>
    </row>
    <row r="5218" spans="1:2" x14ac:dyDescent="0.25">
      <c r="A5218" s="5">
        <v>41145</v>
      </c>
      <c r="B5218">
        <v>46.864333999999999</v>
      </c>
    </row>
    <row r="5219" spans="1:2" x14ac:dyDescent="0.25">
      <c r="A5219" s="5">
        <v>41148</v>
      </c>
      <c r="B5219">
        <v>46.819285999999998</v>
      </c>
    </row>
    <row r="5220" spans="1:2" x14ac:dyDescent="0.25">
      <c r="A5220" s="5">
        <v>41149</v>
      </c>
      <c r="B5220">
        <v>46.549053000000001</v>
      </c>
    </row>
    <row r="5221" spans="1:2" x14ac:dyDescent="0.25">
      <c r="A5221" s="5">
        <v>41150</v>
      </c>
      <c r="B5221">
        <v>46.624110999999999</v>
      </c>
    </row>
    <row r="5222" spans="1:2" x14ac:dyDescent="0.25">
      <c r="A5222" s="5">
        <v>41151</v>
      </c>
      <c r="B5222">
        <v>45.941006000000002</v>
      </c>
    </row>
    <row r="5223" spans="1:2" x14ac:dyDescent="0.25">
      <c r="A5223" s="5">
        <v>41152</v>
      </c>
      <c r="B5223">
        <v>46.136172999999999</v>
      </c>
    </row>
    <row r="5224" spans="1:2" x14ac:dyDescent="0.25">
      <c r="A5224" s="5">
        <v>41156</v>
      </c>
      <c r="B5224">
        <v>45.648243000000001</v>
      </c>
    </row>
    <row r="5225" spans="1:2" x14ac:dyDescent="0.25">
      <c r="A5225" s="5">
        <v>41157</v>
      </c>
      <c r="B5225">
        <v>45.738697000000002</v>
      </c>
    </row>
    <row r="5226" spans="1:2" x14ac:dyDescent="0.25">
      <c r="A5226" s="5">
        <v>41158</v>
      </c>
      <c r="B5226">
        <v>47.201000000000001</v>
      </c>
    </row>
    <row r="5227" spans="1:2" x14ac:dyDescent="0.25">
      <c r="A5227" s="5">
        <v>41159</v>
      </c>
      <c r="B5227">
        <v>46.680897000000002</v>
      </c>
    </row>
    <row r="5228" spans="1:2" x14ac:dyDescent="0.25">
      <c r="A5228" s="5">
        <v>41162</v>
      </c>
      <c r="B5228">
        <v>46.198498000000001</v>
      </c>
    </row>
    <row r="5229" spans="1:2" x14ac:dyDescent="0.25">
      <c r="A5229" s="5">
        <v>41163</v>
      </c>
      <c r="B5229">
        <v>46.620593999999997</v>
      </c>
    </row>
    <row r="5230" spans="1:2" x14ac:dyDescent="0.25">
      <c r="A5230" s="5">
        <v>41164</v>
      </c>
      <c r="B5230">
        <v>47.065334</v>
      </c>
    </row>
    <row r="5231" spans="1:2" x14ac:dyDescent="0.25">
      <c r="A5231" s="5">
        <v>41165</v>
      </c>
      <c r="B5231">
        <v>48.128135999999998</v>
      </c>
    </row>
    <row r="5232" spans="1:2" x14ac:dyDescent="0.25">
      <c r="A5232" s="5">
        <v>41166</v>
      </c>
      <c r="B5232">
        <v>48.904510000000002</v>
      </c>
    </row>
    <row r="5233" spans="1:2" x14ac:dyDescent="0.25">
      <c r="A5233" s="5">
        <v>41169</v>
      </c>
      <c r="B5233">
        <v>48.851753000000002</v>
      </c>
    </row>
    <row r="5234" spans="1:2" x14ac:dyDescent="0.25">
      <c r="A5234" s="5">
        <v>41170</v>
      </c>
      <c r="B5234">
        <v>49.055270999999998</v>
      </c>
    </row>
    <row r="5235" spans="1:2" x14ac:dyDescent="0.25">
      <c r="A5235" s="5">
        <v>41171</v>
      </c>
      <c r="B5235">
        <v>49.055270999999998</v>
      </c>
    </row>
    <row r="5236" spans="1:2" x14ac:dyDescent="0.25">
      <c r="A5236" s="5">
        <v>41172</v>
      </c>
      <c r="B5236">
        <v>48.505028000000003</v>
      </c>
    </row>
    <row r="5237" spans="1:2" x14ac:dyDescent="0.25">
      <c r="A5237" s="5">
        <v>41173</v>
      </c>
      <c r="B5237">
        <v>48.444716999999997</v>
      </c>
    </row>
    <row r="5238" spans="1:2" x14ac:dyDescent="0.25">
      <c r="A5238" s="5">
        <v>41176</v>
      </c>
      <c r="B5238">
        <v>47.992462000000003</v>
      </c>
    </row>
    <row r="5239" spans="1:2" x14ac:dyDescent="0.25">
      <c r="A5239" s="5">
        <v>41177</v>
      </c>
      <c r="B5239">
        <v>47.283928000000003</v>
      </c>
    </row>
    <row r="5240" spans="1:2" x14ac:dyDescent="0.25">
      <c r="A5240" s="5">
        <v>41178</v>
      </c>
      <c r="B5240">
        <v>46.974876000000002</v>
      </c>
    </row>
    <row r="5241" spans="1:2" x14ac:dyDescent="0.25">
      <c r="A5241" s="5">
        <v>41179</v>
      </c>
      <c r="B5241">
        <v>47.856785000000002</v>
      </c>
    </row>
    <row r="5242" spans="1:2" x14ac:dyDescent="0.25">
      <c r="A5242" s="5">
        <v>41180</v>
      </c>
      <c r="B5242">
        <v>47.087944</v>
      </c>
    </row>
    <row r="5243" spans="1:2" x14ac:dyDescent="0.25">
      <c r="A5243" s="5">
        <v>41183</v>
      </c>
      <c r="B5243">
        <v>46.665824999999998</v>
      </c>
    </row>
    <row r="5244" spans="1:2" x14ac:dyDescent="0.25">
      <c r="A5244" s="5">
        <v>41184</v>
      </c>
      <c r="B5244">
        <v>46.575389999999999</v>
      </c>
    </row>
    <row r="5245" spans="1:2" x14ac:dyDescent="0.25">
      <c r="A5245" s="5">
        <v>41185</v>
      </c>
      <c r="B5245">
        <v>46.786419000000002</v>
      </c>
    </row>
    <row r="5246" spans="1:2" x14ac:dyDescent="0.25">
      <c r="A5246" s="5">
        <v>41186</v>
      </c>
      <c r="B5246">
        <v>47.223621000000001</v>
      </c>
    </row>
    <row r="5247" spans="1:2" x14ac:dyDescent="0.25">
      <c r="A5247" s="5">
        <v>41187</v>
      </c>
      <c r="B5247">
        <v>47.216076000000001</v>
      </c>
    </row>
    <row r="5248" spans="1:2" x14ac:dyDescent="0.25">
      <c r="A5248" s="5">
        <v>41190</v>
      </c>
      <c r="B5248">
        <v>46.281399</v>
      </c>
    </row>
    <row r="5249" spans="1:2" x14ac:dyDescent="0.25">
      <c r="A5249" s="5">
        <v>41191</v>
      </c>
      <c r="B5249">
        <v>45.520091999999998</v>
      </c>
    </row>
    <row r="5250" spans="1:2" x14ac:dyDescent="0.25">
      <c r="A5250" s="5">
        <v>41192</v>
      </c>
      <c r="B5250">
        <v>45.060302999999998</v>
      </c>
    </row>
    <row r="5251" spans="1:2" x14ac:dyDescent="0.25">
      <c r="A5251" s="5">
        <v>41193</v>
      </c>
      <c r="B5251">
        <v>44.630656999999999</v>
      </c>
    </row>
    <row r="5252" spans="1:2" x14ac:dyDescent="0.25">
      <c r="A5252" s="5">
        <v>41194</v>
      </c>
      <c r="B5252">
        <v>44.389454000000001</v>
      </c>
    </row>
    <row r="5253" spans="1:2" x14ac:dyDescent="0.25">
      <c r="A5253" s="5">
        <v>41197</v>
      </c>
      <c r="B5253">
        <v>44.690964000000001</v>
      </c>
    </row>
    <row r="5254" spans="1:2" x14ac:dyDescent="0.25">
      <c r="A5254" s="5">
        <v>41198</v>
      </c>
      <c r="B5254">
        <v>45.497481999999998</v>
      </c>
    </row>
    <row r="5255" spans="1:2" x14ac:dyDescent="0.25">
      <c r="A5255" s="5">
        <v>41199</v>
      </c>
      <c r="B5255">
        <v>45.964832000000001</v>
      </c>
    </row>
    <row r="5256" spans="1:2" x14ac:dyDescent="0.25">
      <c r="A5256" s="5">
        <v>41200</v>
      </c>
      <c r="B5256">
        <v>45.195984000000003</v>
      </c>
    </row>
    <row r="5257" spans="1:2" x14ac:dyDescent="0.25">
      <c r="A5257" s="5">
        <v>41201</v>
      </c>
      <c r="B5257">
        <v>44.283923999999999</v>
      </c>
    </row>
    <row r="5258" spans="1:2" x14ac:dyDescent="0.25">
      <c r="A5258" s="5">
        <v>41204</v>
      </c>
      <c r="B5258">
        <v>44.231158999999998</v>
      </c>
    </row>
    <row r="5259" spans="1:2" x14ac:dyDescent="0.25">
      <c r="A5259" s="5">
        <v>41205</v>
      </c>
      <c r="B5259">
        <v>43.952258999999998</v>
      </c>
    </row>
    <row r="5260" spans="1:2" x14ac:dyDescent="0.25">
      <c r="A5260" s="5">
        <v>41206</v>
      </c>
      <c r="B5260">
        <v>43.439689999999999</v>
      </c>
    </row>
    <row r="5261" spans="1:2" x14ac:dyDescent="0.25">
      <c r="A5261" s="5">
        <v>41207</v>
      </c>
      <c r="B5261">
        <v>43.288944000000001</v>
      </c>
    </row>
    <row r="5262" spans="1:2" x14ac:dyDescent="0.25">
      <c r="A5262" s="5">
        <v>41208</v>
      </c>
      <c r="B5262">
        <v>44.502521999999999</v>
      </c>
    </row>
    <row r="5263" spans="1:2" x14ac:dyDescent="0.25">
      <c r="A5263" s="5">
        <v>41213</v>
      </c>
      <c r="B5263">
        <v>44.178390999999998</v>
      </c>
    </row>
    <row r="5264" spans="1:2" x14ac:dyDescent="0.25">
      <c r="A5264" s="5">
        <v>41214</v>
      </c>
      <c r="B5264">
        <v>45.022601999999999</v>
      </c>
    </row>
    <row r="5265" spans="1:2" x14ac:dyDescent="0.25">
      <c r="A5265" s="5">
        <v>41215</v>
      </c>
      <c r="B5265">
        <v>44.698501999999998</v>
      </c>
    </row>
    <row r="5266" spans="1:2" x14ac:dyDescent="0.25">
      <c r="A5266" s="5">
        <v>41218</v>
      </c>
      <c r="B5266">
        <v>45.550255</v>
      </c>
    </row>
    <row r="5267" spans="1:2" x14ac:dyDescent="0.25">
      <c r="A5267" s="5">
        <v>41219</v>
      </c>
      <c r="B5267">
        <v>45.505020000000002</v>
      </c>
    </row>
    <row r="5268" spans="1:2" x14ac:dyDescent="0.25">
      <c r="A5268" s="5">
        <v>41220</v>
      </c>
      <c r="B5268">
        <v>43.809055000000001</v>
      </c>
    </row>
    <row r="5269" spans="1:2" x14ac:dyDescent="0.25">
      <c r="A5269" s="5">
        <v>41221</v>
      </c>
      <c r="B5269">
        <v>45.731152000000002</v>
      </c>
    </row>
    <row r="5270" spans="1:2" x14ac:dyDescent="0.25">
      <c r="A5270" s="5">
        <v>41222</v>
      </c>
      <c r="B5270">
        <v>46.447239000000003</v>
      </c>
    </row>
    <row r="5271" spans="1:2" x14ac:dyDescent="0.25">
      <c r="A5271" s="5">
        <v>41225</v>
      </c>
      <c r="B5271">
        <v>46.447239000000003</v>
      </c>
    </row>
    <row r="5272" spans="1:2" x14ac:dyDescent="0.25">
      <c r="A5272" s="5">
        <v>41226</v>
      </c>
      <c r="B5272">
        <v>46.831650000000003</v>
      </c>
    </row>
    <row r="5273" spans="1:2" x14ac:dyDescent="0.25">
      <c r="A5273" s="5">
        <v>41227</v>
      </c>
      <c r="B5273">
        <v>46.530147999999997</v>
      </c>
    </row>
    <row r="5274" spans="1:2" x14ac:dyDescent="0.25">
      <c r="A5274" s="5">
        <v>41228</v>
      </c>
      <c r="B5274">
        <v>46.190959999999997</v>
      </c>
    </row>
    <row r="5275" spans="1:2" x14ac:dyDescent="0.25">
      <c r="A5275" s="5">
        <v>41229</v>
      </c>
      <c r="B5275">
        <v>46.680897000000002</v>
      </c>
    </row>
    <row r="5276" spans="1:2" x14ac:dyDescent="0.25">
      <c r="A5276" s="5">
        <v>41232</v>
      </c>
      <c r="B5276">
        <v>46.801516999999997</v>
      </c>
    </row>
    <row r="5277" spans="1:2" x14ac:dyDescent="0.25">
      <c r="A5277" s="5">
        <v>41233</v>
      </c>
      <c r="B5277">
        <v>46.839202999999998</v>
      </c>
    </row>
    <row r="5278" spans="1:2" x14ac:dyDescent="0.25">
      <c r="A5278" s="5">
        <v>41234</v>
      </c>
      <c r="B5278">
        <v>46.839202999999998</v>
      </c>
    </row>
    <row r="5279" spans="1:2" x14ac:dyDescent="0.25">
      <c r="A5279" s="5">
        <v>41236</v>
      </c>
      <c r="B5279">
        <v>47.585430000000002</v>
      </c>
    </row>
    <row r="5280" spans="1:2" x14ac:dyDescent="0.25">
      <c r="A5280" s="5">
        <v>41239</v>
      </c>
      <c r="B5280">
        <v>47.103012</v>
      </c>
    </row>
    <row r="5281" spans="1:2" x14ac:dyDescent="0.25">
      <c r="A5281" s="5">
        <v>41240</v>
      </c>
      <c r="B5281">
        <v>46.929648999999998</v>
      </c>
    </row>
    <row r="5282" spans="1:2" x14ac:dyDescent="0.25">
      <c r="A5282" s="5">
        <v>41241</v>
      </c>
      <c r="B5282">
        <v>47.223621000000001</v>
      </c>
    </row>
    <row r="5283" spans="1:2" x14ac:dyDescent="0.25">
      <c r="A5283" s="5">
        <v>41242</v>
      </c>
      <c r="B5283">
        <v>47.751266000000001</v>
      </c>
    </row>
    <row r="5284" spans="1:2" x14ac:dyDescent="0.25">
      <c r="A5284" s="5">
        <v>41243</v>
      </c>
      <c r="B5284">
        <v>47.954777</v>
      </c>
    </row>
    <row r="5285" spans="1:2" x14ac:dyDescent="0.25">
      <c r="A5285" s="5">
        <v>41246</v>
      </c>
      <c r="B5285">
        <v>47.766331000000001</v>
      </c>
    </row>
    <row r="5286" spans="1:2" x14ac:dyDescent="0.25">
      <c r="A5286" s="5">
        <v>41247</v>
      </c>
      <c r="B5286">
        <v>47.841721</v>
      </c>
    </row>
    <row r="5287" spans="1:2" x14ac:dyDescent="0.25">
      <c r="A5287" s="5">
        <v>41248</v>
      </c>
      <c r="B5287">
        <v>48.151978</v>
      </c>
    </row>
    <row r="5288" spans="1:2" x14ac:dyDescent="0.25">
      <c r="A5288" s="5">
        <v>41249</v>
      </c>
      <c r="B5288">
        <v>48.583320999999998</v>
      </c>
    </row>
    <row r="5289" spans="1:2" x14ac:dyDescent="0.25">
      <c r="A5289" s="5">
        <v>41250</v>
      </c>
      <c r="B5289">
        <v>48.326014999999998</v>
      </c>
    </row>
    <row r="5290" spans="1:2" x14ac:dyDescent="0.25">
      <c r="A5290" s="5">
        <v>41253</v>
      </c>
      <c r="B5290">
        <v>48.379002</v>
      </c>
    </row>
    <row r="5291" spans="1:2" x14ac:dyDescent="0.25">
      <c r="A5291" s="5">
        <v>41254</v>
      </c>
      <c r="B5291">
        <v>48.696838</v>
      </c>
    </row>
    <row r="5292" spans="1:2" x14ac:dyDescent="0.25">
      <c r="A5292" s="5">
        <v>41255</v>
      </c>
      <c r="B5292">
        <v>48.046031999999997</v>
      </c>
    </row>
    <row r="5293" spans="1:2" x14ac:dyDescent="0.25">
      <c r="A5293" s="5">
        <v>41256</v>
      </c>
      <c r="B5293">
        <v>47.493594999999999</v>
      </c>
    </row>
    <row r="5294" spans="1:2" x14ac:dyDescent="0.25">
      <c r="A5294" s="5">
        <v>41257</v>
      </c>
      <c r="B5294">
        <v>45.276339999999998</v>
      </c>
    </row>
    <row r="5295" spans="1:2" x14ac:dyDescent="0.25">
      <c r="A5295" s="5">
        <v>41260</v>
      </c>
      <c r="B5295">
        <v>46.948737999999999</v>
      </c>
    </row>
    <row r="5296" spans="1:2" x14ac:dyDescent="0.25">
      <c r="A5296" s="5">
        <v>41261</v>
      </c>
      <c r="B5296">
        <v>47.947654999999997</v>
      </c>
    </row>
    <row r="5297" spans="1:2" x14ac:dyDescent="0.25">
      <c r="A5297" s="5">
        <v>41262</v>
      </c>
      <c r="B5297">
        <v>47.334682000000001</v>
      </c>
    </row>
    <row r="5298" spans="1:2" x14ac:dyDescent="0.25">
      <c r="A5298" s="5">
        <v>41263</v>
      </c>
      <c r="B5298">
        <v>47.569274999999998</v>
      </c>
    </row>
    <row r="5299" spans="1:2" x14ac:dyDescent="0.25">
      <c r="A5299" s="5">
        <v>41264</v>
      </c>
      <c r="B5299">
        <v>46.623344000000003</v>
      </c>
    </row>
    <row r="5300" spans="1:2" x14ac:dyDescent="0.25">
      <c r="A5300" s="5">
        <v>41267</v>
      </c>
      <c r="B5300">
        <v>46.842804000000001</v>
      </c>
    </row>
    <row r="5301" spans="1:2" x14ac:dyDescent="0.25">
      <c r="A5301" s="5">
        <v>41269</v>
      </c>
      <c r="B5301">
        <v>46.608207999999998</v>
      </c>
    </row>
    <row r="5302" spans="1:2" x14ac:dyDescent="0.25">
      <c r="A5302" s="5">
        <v>41270</v>
      </c>
      <c r="B5302">
        <v>46.547657000000001</v>
      </c>
    </row>
    <row r="5303" spans="1:2" x14ac:dyDescent="0.25">
      <c r="A5303" s="5">
        <v>41271</v>
      </c>
      <c r="B5303">
        <v>45.889301000000003</v>
      </c>
    </row>
    <row r="5304" spans="1:2" x14ac:dyDescent="0.25">
      <c r="A5304" s="5">
        <v>41274</v>
      </c>
      <c r="B5304">
        <v>46.812527000000003</v>
      </c>
    </row>
    <row r="5305" spans="1:2" x14ac:dyDescent="0.25">
      <c r="A5305" s="5">
        <v>41276</v>
      </c>
      <c r="B5305">
        <v>48.999535000000002</v>
      </c>
    </row>
    <row r="5306" spans="1:2" x14ac:dyDescent="0.25">
      <c r="A5306" s="5">
        <v>41277</v>
      </c>
      <c r="B5306">
        <v>48.772511000000002</v>
      </c>
    </row>
    <row r="5307" spans="1:2" x14ac:dyDescent="0.25">
      <c r="A5307" s="5">
        <v>41278</v>
      </c>
      <c r="B5307">
        <v>48.053604</v>
      </c>
    </row>
    <row r="5308" spans="1:2" x14ac:dyDescent="0.25">
      <c r="A5308" s="5">
        <v>41281</v>
      </c>
      <c r="B5308">
        <v>48.439540999999998</v>
      </c>
    </row>
    <row r="5309" spans="1:2" x14ac:dyDescent="0.25">
      <c r="A5309" s="5">
        <v>41282</v>
      </c>
      <c r="B5309">
        <v>48.363864999999997</v>
      </c>
    </row>
    <row r="5310" spans="1:2" x14ac:dyDescent="0.25">
      <c r="A5310" s="5">
        <v>41283</v>
      </c>
      <c r="B5310">
        <v>49.097907999999997</v>
      </c>
    </row>
    <row r="5311" spans="1:2" x14ac:dyDescent="0.25">
      <c r="A5311" s="5">
        <v>41284</v>
      </c>
      <c r="B5311">
        <v>49.022239999999996</v>
      </c>
    </row>
    <row r="5312" spans="1:2" x14ac:dyDescent="0.25">
      <c r="A5312" s="5">
        <v>41285</v>
      </c>
      <c r="B5312">
        <v>49.113048999999997</v>
      </c>
    </row>
    <row r="5313" spans="1:2" x14ac:dyDescent="0.25">
      <c r="A5313" s="5">
        <v>41288</v>
      </c>
      <c r="B5313">
        <v>48.613593999999999</v>
      </c>
    </row>
    <row r="5314" spans="1:2" x14ac:dyDescent="0.25">
      <c r="A5314" s="5">
        <v>41289</v>
      </c>
      <c r="B5314">
        <v>48.764941999999998</v>
      </c>
    </row>
    <row r="5315" spans="1:2" x14ac:dyDescent="0.25">
      <c r="A5315" s="5">
        <v>41290</v>
      </c>
      <c r="B5315">
        <v>49.029808000000003</v>
      </c>
    </row>
    <row r="5316" spans="1:2" x14ac:dyDescent="0.25">
      <c r="A5316" s="5">
        <v>41291</v>
      </c>
      <c r="B5316">
        <v>49.294682000000002</v>
      </c>
    </row>
    <row r="5317" spans="1:2" x14ac:dyDescent="0.25">
      <c r="A5317" s="5">
        <v>41292</v>
      </c>
      <c r="B5317">
        <v>48.946575000000003</v>
      </c>
    </row>
    <row r="5318" spans="1:2" x14ac:dyDescent="0.25">
      <c r="A5318" s="5">
        <v>41296</v>
      </c>
      <c r="B5318">
        <v>48.946575000000003</v>
      </c>
    </row>
    <row r="5319" spans="1:2" x14ac:dyDescent="0.25">
      <c r="A5319" s="5">
        <v>41297</v>
      </c>
      <c r="B5319">
        <v>49.105473000000003</v>
      </c>
    </row>
    <row r="5320" spans="1:2" x14ac:dyDescent="0.25">
      <c r="A5320" s="5">
        <v>41298</v>
      </c>
      <c r="B5320">
        <v>48.734668999999997</v>
      </c>
    </row>
    <row r="5321" spans="1:2" x14ac:dyDescent="0.25">
      <c r="A5321" s="5">
        <v>41299</v>
      </c>
      <c r="B5321">
        <v>48.174678999999998</v>
      </c>
    </row>
    <row r="5322" spans="1:2" x14ac:dyDescent="0.25">
      <c r="A5322" s="5">
        <v>41302</v>
      </c>
      <c r="B5322">
        <v>48.182259000000002</v>
      </c>
    </row>
    <row r="5323" spans="1:2" x14ac:dyDescent="0.25">
      <c r="A5323" s="5">
        <v>41303</v>
      </c>
      <c r="B5323">
        <v>48.015762000000002</v>
      </c>
    </row>
    <row r="5324" spans="1:2" x14ac:dyDescent="0.25">
      <c r="A5324" s="5">
        <v>41304</v>
      </c>
      <c r="B5324">
        <v>48.076293999999997</v>
      </c>
    </row>
    <row r="5325" spans="1:2" x14ac:dyDescent="0.25">
      <c r="A5325" s="5">
        <v>41305</v>
      </c>
      <c r="B5325">
        <v>49.960616999999999</v>
      </c>
    </row>
    <row r="5326" spans="1:2" x14ac:dyDescent="0.25">
      <c r="A5326" s="5">
        <v>41306</v>
      </c>
      <c r="B5326">
        <v>50.497889999999998</v>
      </c>
    </row>
    <row r="5327" spans="1:2" x14ac:dyDescent="0.25">
      <c r="A5327" s="5">
        <v>41309</v>
      </c>
      <c r="B5327">
        <v>49.673042000000002</v>
      </c>
    </row>
    <row r="5328" spans="1:2" x14ac:dyDescent="0.25">
      <c r="A5328" s="5">
        <v>41310</v>
      </c>
      <c r="B5328">
        <v>50.664386999999998</v>
      </c>
    </row>
    <row r="5329" spans="1:2" x14ac:dyDescent="0.25">
      <c r="A5329" s="5">
        <v>41311</v>
      </c>
      <c r="B5329">
        <v>50.838431999999997</v>
      </c>
    </row>
    <row r="5330" spans="1:2" x14ac:dyDescent="0.25">
      <c r="A5330" s="5">
        <v>41312</v>
      </c>
      <c r="B5330">
        <v>50.354118</v>
      </c>
    </row>
    <row r="5331" spans="1:2" x14ac:dyDescent="0.25">
      <c r="A5331" s="5">
        <v>41313</v>
      </c>
      <c r="B5331">
        <v>50.664386999999998</v>
      </c>
    </row>
    <row r="5332" spans="1:2" x14ac:dyDescent="0.25">
      <c r="A5332" s="5">
        <v>41316</v>
      </c>
      <c r="B5332">
        <v>50.838431999999997</v>
      </c>
    </row>
    <row r="5333" spans="1:2" x14ac:dyDescent="0.25">
      <c r="A5333" s="5">
        <v>41317</v>
      </c>
      <c r="B5333">
        <v>49.862225000000002</v>
      </c>
    </row>
    <row r="5334" spans="1:2" x14ac:dyDescent="0.25">
      <c r="A5334" s="5">
        <v>41318</v>
      </c>
      <c r="B5334">
        <v>49.529259000000003</v>
      </c>
    </row>
    <row r="5335" spans="1:2" x14ac:dyDescent="0.25">
      <c r="A5335" s="5">
        <v>41319</v>
      </c>
      <c r="B5335">
        <v>49.589806000000003</v>
      </c>
    </row>
    <row r="5336" spans="1:2" x14ac:dyDescent="0.25">
      <c r="A5336" s="5">
        <v>41320</v>
      </c>
      <c r="B5336">
        <v>49.514122</v>
      </c>
    </row>
    <row r="5337" spans="1:2" x14ac:dyDescent="0.25">
      <c r="A5337" s="5">
        <v>41324</v>
      </c>
      <c r="B5337">
        <v>49.695740000000001</v>
      </c>
    </row>
    <row r="5338" spans="1:2" x14ac:dyDescent="0.25">
      <c r="A5338" s="5">
        <v>41325</v>
      </c>
      <c r="B5338">
        <v>49.393036000000002</v>
      </c>
    </row>
    <row r="5339" spans="1:2" x14ac:dyDescent="0.25">
      <c r="A5339" s="5">
        <v>41326</v>
      </c>
      <c r="B5339">
        <v>49.052509000000001</v>
      </c>
    </row>
    <row r="5340" spans="1:2" x14ac:dyDescent="0.25">
      <c r="A5340" s="5">
        <v>41327</v>
      </c>
      <c r="B5340">
        <v>49.143332999999998</v>
      </c>
    </row>
    <row r="5341" spans="1:2" x14ac:dyDescent="0.25">
      <c r="A5341" s="5">
        <v>41330</v>
      </c>
      <c r="B5341">
        <v>49.037376000000002</v>
      </c>
    </row>
    <row r="5342" spans="1:2" x14ac:dyDescent="0.25">
      <c r="A5342" s="5">
        <v>41331</v>
      </c>
      <c r="B5342">
        <v>49.393036000000002</v>
      </c>
    </row>
    <row r="5343" spans="1:2" x14ac:dyDescent="0.25">
      <c r="A5343" s="5">
        <v>41332</v>
      </c>
      <c r="B5343">
        <v>49.673042000000002</v>
      </c>
    </row>
    <row r="5344" spans="1:2" x14ac:dyDescent="0.25">
      <c r="A5344" s="5">
        <v>41333</v>
      </c>
      <c r="B5344">
        <v>49.673042000000002</v>
      </c>
    </row>
    <row r="5345" spans="1:2" x14ac:dyDescent="0.25">
      <c r="A5345" s="5">
        <v>41334</v>
      </c>
      <c r="B5345">
        <v>50.172500999999997</v>
      </c>
    </row>
    <row r="5346" spans="1:2" x14ac:dyDescent="0.25">
      <c r="A5346" s="5">
        <v>41337</v>
      </c>
      <c r="B5346">
        <v>50.422215000000001</v>
      </c>
    </row>
    <row r="5347" spans="1:2" x14ac:dyDescent="0.25">
      <c r="A5347" s="5">
        <v>41338</v>
      </c>
      <c r="B5347">
        <v>51.436256</v>
      </c>
    </row>
    <row r="5348" spans="1:2" x14ac:dyDescent="0.25">
      <c r="A5348" s="5">
        <v>41339</v>
      </c>
      <c r="B5348">
        <v>50.638759999999998</v>
      </c>
    </row>
    <row r="5349" spans="1:2" x14ac:dyDescent="0.25">
      <c r="A5349" s="5">
        <v>41340</v>
      </c>
      <c r="B5349">
        <v>50.729889</v>
      </c>
    </row>
    <row r="5350" spans="1:2" x14ac:dyDescent="0.25">
      <c r="A5350" s="5">
        <v>41341</v>
      </c>
      <c r="B5350">
        <v>50.623562</v>
      </c>
    </row>
    <row r="5351" spans="1:2" x14ac:dyDescent="0.25">
      <c r="A5351" s="5">
        <v>41344</v>
      </c>
      <c r="B5351">
        <v>50.661541</v>
      </c>
    </row>
    <row r="5352" spans="1:2" x14ac:dyDescent="0.25">
      <c r="A5352" s="5">
        <v>41345</v>
      </c>
      <c r="B5352">
        <v>50.919784999999997</v>
      </c>
    </row>
    <row r="5353" spans="1:2" x14ac:dyDescent="0.25">
      <c r="A5353" s="5">
        <v>41346</v>
      </c>
      <c r="B5353">
        <v>50.69952</v>
      </c>
    </row>
    <row r="5354" spans="1:2" x14ac:dyDescent="0.25">
      <c r="A5354" s="5">
        <v>41347</v>
      </c>
      <c r="B5354">
        <v>50.562781999999999</v>
      </c>
    </row>
    <row r="5355" spans="1:2" x14ac:dyDescent="0.25">
      <c r="A5355" s="5">
        <v>41348</v>
      </c>
      <c r="B5355">
        <v>49.347526999999999</v>
      </c>
    </row>
    <row r="5356" spans="1:2" x14ac:dyDescent="0.25">
      <c r="A5356" s="5">
        <v>41351</v>
      </c>
      <c r="B5356">
        <v>49.036105999999997</v>
      </c>
    </row>
    <row r="5357" spans="1:2" x14ac:dyDescent="0.25">
      <c r="A5357" s="5">
        <v>41352</v>
      </c>
      <c r="B5357">
        <v>49.157642000000003</v>
      </c>
    </row>
    <row r="5358" spans="1:2" x14ac:dyDescent="0.25">
      <c r="A5358" s="5">
        <v>41353</v>
      </c>
      <c r="B5358">
        <v>49.932358000000001</v>
      </c>
    </row>
    <row r="5359" spans="1:2" x14ac:dyDescent="0.25">
      <c r="A5359" s="5">
        <v>41354</v>
      </c>
      <c r="B5359">
        <v>49.636153999999998</v>
      </c>
    </row>
    <row r="5360" spans="1:2" x14ac:dyDescent="0.25">
      <c r="A5360" s="5">
        <v>41355</v>
      </c>
      <c r="B5360">
        <v>50.069091999999998</v>
      </c>
    </row>
    <row r="5361" spans="1:2" x14ac:dyDescent="0.25">
      <c r="A5361" s="5">
        <v>41358</v>
      </c>
      <c r="B5361">
        <v>49.879210999999998</v>
      </c>
    </row>
    <row r="5362" spans="1:2" x14ac:dyDescent="0.25">
      <c r="A5362" s="5">
        <v>41359</v>
      </c>
      <c r="B5362">
        <v>50.600783999999997</v>
      </c>
    </row>
    <row r="5363" spans="1:2" x14ac:dyDescent="0.25">
      <c r="A5363" s="5">
        <v>41360</v>
      </c>
      <c r="B5363">
        <v>50.646351000000003</v>
      </c>
    </row>
    <row r="5364" spans="1:2" x14ac:dyDescent="0.25">
      <c r="A5364" s="5">
        <v>41361</v>
      </c>
      <c r="B5364">
        <v>50.843834000000001</v>
      </c>
    </row>
    <row r="5365" spans="1:2" x14ac:dyDescent="0.25">
      <c r="A5365" s="5">
        <v>41365</v>
      </c>
      <c r="B5365">
        <v>50.129855999999997</v>
      </c>
    </row>
    <row r="5366" spans="1:2" x14ac:dyDescent="0.25">
      <c r="A5366" s="5">
        <v>41366</v>
      </c>
      <c r="B5366">
        <v>50.319755999999998</v>
      </c>
    </row>
    <row r="5367" spans="1:2" x14ac:dyDescent="0.25">
      <c r="A5367" s="5">
        <v>41367</v>
      </c>
      <c r="B5367">
        <v>50.107059</v>
      </c>
    </row>
    <row r="5368" spans="1:2" x14ac:dyDescent="0.25">
      <c r="A5368" s="5">
        <v>41368</v>
      </c>
      <c r="B5368">
        <v>49.985537999999998</v>
      </c>
    </row>
    <row r="5369" spans="1:2" x14ac:dyDescent="0.25">
      <c r="A5369" s="5">
        <v>41369</v>
      </c>
      <c r="B5369">
        <v>49.491847999999997</v>
      </c>
    </row>
    <row r="5370" spans="1:2" x14ac:dyDescent="0.25">
      <c r="A5370" s="5">
        <v>41372</v>
      </c>
      <c r="B5370">
        <v>50.023518000000003</v>
      </c>
    </row>
    <row r="5371" spans="1:2" x14ac:dyDescent="0.25">
      <c r="A5371" s="5">
        <v>41373</v>
      </c>
      <c r="B5371">
        <v>50.09948</v>
      </c>
    </row>
    <row r="5372" spans="1:2" x14ac:dyDescent="0.25">
      <c r="A5372" s="5">
        <v>41374</v>
      </c>
      <c r="B5372">
        <v>51.109665</v>
      </c>
    </row>
    <row r="5373" spans="1:2" x14ac:dyDescent="0.25">
      <c r="A5373" s="5">
        <v>41375</v>
      </c>
      <c r="B5373">
        <v>50.912182000000001</v>
      </c>
    </row>
    <row r="5374" spans="1:2" x14ac:dyDescent="0.25">
      <c r="A5374" s="5">
        <v>41376</v>
      </c>
      <c r="B5374">
        <v>50.646351000000003</v>
      </c>
    </row>
    <row r="5375" spans="1:2" x14ac:dyDescent="0.25">
      <c r="A5375" s="5">
        <v>41379</v>
      </c>
      <c r="B5375">
        <v>49.742477000000001</v>
      </c>
    </row>
    <row r="5376" spans="1:2" x14ac:dyDescent="0.25">
      <c r="A5376" s="5">
        <v>41380</v>
      </c>
      <c r="B5376">
        <v>49.985537999999998</v>
      </c>
    </row>
    <row r="5377" spans="1:2" x14ac:dyDescent="0.25">
      <c r="A5377" s="5">
        <v>41381</v>
      </c>
      <c r="B5377">
        <v>48.785473000000003</v>
      </c>
    </row>
    <row r="5378" spans="1:2" x14ac:dyDescent="0.25">
      <c r="A5378" s="5">
        <v>41382</v>
      </c>
      <c r="B5378">
        <v>48.337330000000001</v>
      </c>
    </row>
    <row r="5379" spans="1:2" x14ac:dyDescent="0.25">
      <c r="A5379" s="5">
        <v>41383</v>
      </c>
      <c r="B5379">
        <v>48.557606</v>
      </c>
    </row>
    <row r="5380" spans="1:2" x14ac:dyDescent="0.25">
      <c r="A5380" s="5">
        <v>41386</v>
      </c>
      <c r="B5380">
        <v>49.051304000000002</v>
      </c>
    </row>
    <row r="5381" spans="1:2" x14ac:dyDescent="0.25">
      <c r="A5381" s="5">
        <v>41387</v>
      </c>
      <c r="B5381">
        <v>49.636153999999998</v>
      </c>
    </row>
    <row r="5382" spans="1:2" x14ac:dyDescent="0.25">
      <c r="A5382" s="5">
        <v>41388</v>
      </c>
      <c r="B5382">
        <v>50.129855999999997</v>
      </c>
    </row>
    <row r="5383" spans="1:2" x14ac:dyDescent="0.25">
      <c r="A5383" s="5">
        <v>41389</v>
      </c>
      <c r="B5383">
        <v>47.425884000000003</v>
      </c>
    </row>
    <row r="5384" spans="1:2" x14ac:dyDescent="0.25">
      <c r="A5384" s="5">
        <v>41390</v>
      </c>
      <c r="B5384">
        <v>46.7271</v>
      </c>
    </row>
    <row r="5385" spans="1:2" x14ac:dyDescent="0.25">
      <c r="A5385" s="5">
        <v>41393</v>
      </c>
      <c r="B5385">
        <v>46.795470999999999</v>
      </c>
    </row>
    <row r="5386" spans="1:2" x14ac:dyDescent="0.25">
      <c r="A5386" s="5">
        <v>41394</v>
      </c>
      <c r="B5386">
        <v>46.787872</v>
      </c>
    </row>
    <row r="5387" spans="1:2" x14ac:dyDescent="0.25">
      <c r="A5387" s="5">
        <v>41395</v>
      </c>
      <c r="B5387">
        <v>47.030914000000003</v>
      </c>
    </row>
    <row r="5388" spans="1:2" x14ac:dyDescent="0.25">
      <c r="A5388" s="5">
        <v>41396</v>
      </c>
      <c r="B5388">
        <v>47.767670000000003</v>
      </c>
    </row>
    <row r="5389" spans="1:2" x14ac:dyDescent="0.25">
      <c r="A5389" s="5">
        <v>41397</v>
      </c>
      <c r="B5389">
        <v>48.436065999999997</v>
      </c>
    </row>
    <row r="5390" spans="1:2" x14ac:dyDescent="0.25">
      <c r="A5390" s="5">
        <v>41400</v>
      </c>
      <c r="B5390">
        <v>48.504432999999999</v>
      </c>
    </row>
    <row r="5391" spans="1:2" x14ac:dyDescent="0.25">
      <c r="A5391" s="5">
        <v>41401</v>
      </c>
      <c r="B5391">
        <v>48.587975</v>
      </c>
    </row>
    <row r="5392" spans="1:2" x14ac:dyDescent="0.25">
      <c r="A5392" s="5">
        <v>41402</v>
      </c>
      <c r="B5392">
        <v>48.701903999999999</v>
      </c>
    </row>
    <row r="5393" spans="1:2" x14ac:dyDescent="0.25">
      <c r="A5393" s="5">
        <v>41403</v>
      </c>
      <c r="B5393">
        <v>48.694313000000001</v>
      </c>
    </row>
    <row r="5394" spans="1:2" x14ac:dyDescent="0.25">
      <c r="A5394" s="5">
        <v>41404</v>
      </c>
      <c r="B5394">
        <v>49.096870000000003</v>
      </c>
    </row>
    <row r="5395" spans="1:2" x14ac:dyDescent="0.25">
      <c r="A5395" s="5">
        <v>41407</v>
      </c>
      <c r="B5395">
        <v>49.233597000000003</v>
      </c>
    </row>
    <row r="5396" spans="1:2" x14ac:dyDescent="0.25">
      <c r="A5396" s="5">
        <v>41408</v>
      </c>
      <c r="B5396">
        <v>49.613365000000002</v>
      </c>
    </row>
    <row r="5397" spans="1:2" x14ac:dyDescent="0.25">
      <c r="A5397" s="5">
        <v>41409</v>
      </c>
      <c r="B5397">
        <v>49.780459999999998</v>
      </c>
    </row>
    <row r="5398" spans="1:2" x14ac:dyDescent="0.25">
      <c r="A5398" s="5">
        <v>41410</v>
      </c>
      <c r="B5398">
        <v>49.856419000000002</v>
      </c>
    </row>
    <row r="5399" spans="1:2" x14ac:dyDescent="0.25">
      <c r="A5399" s="5">
        <v>41411</v>
      </c>
      <c r="B5399">
        <v>50.593170000000001</v>
      </c>
    </row>
    <row r="5400" spans="1:2" x14ac:dyDescent="0.25">
      <c r="A5400" s="5">
        <v>41414</v>
      </c>
      <c r="B5400">
        <v>50.205810999999997</v>
      </c>
    </row>
    <row r="5401" spans="1:2" x14ac:dyDescent="0.25">
      <c r="A5401" s="5">
        <v>41415</v>
      </c>
      <c r="B5401">
        <v>49.947552000000002</v>
      </c>
    </row>
    <row r="5402" spans="1:2" x14ac:dyDescent="0.25">
      <c r="A5402" s="5">
        <v>41416</v>
      </c>
      <c r="B5402">
        <v>49.545009999999998</v>
      </c>
    </row>
    <row r="5403" spans="1:2" x14ac:dyDescent="0.25">
      <c r="A5403" s="5">
        <v>41417</v>
      </c>
      <c r="B5403">
        <v>48.542411999999999</v>
      </c>
    </row>
    <row r="5404" spans="1:2" x14ac:dyDescent="0.25">
      <c r="A5404" s="5">
        <v>41418</v>
      </c>
      <c r="B5404">
        <v>48.808253999999998</v>
      </c>
    </row>
    <row r="5405" spans="1:2" x14ac:dyDescent="0.25">
      <c r="A5405" s="5">
        <v>41422</v>
      </c>
      <c r="B5405">
        <v>48.663936999999997</v>
      </c>
    </row>
    <row r="5406" spans="1:2" x14ac:dyDescent="0.25">
      <c r="A5406" s="5">
        <v>41423</v>
      </c>
      <c r="B5406">
        <v>48.694313000000001</v>
      </c>
    </row>
    <row r="5407" spans="1:2" x14ac:dyDescent="0.25">
      <c r="A5407" s="5">
        <v>41424</v>
      </c>
      <c r="B5407">
        <v>48.747494000000003</v>
      </c>
    </row>
    <row r="5408" spans="1:2" x14ac:dyDescent="0.25">
      <c r="A5408" s="5">
        <v>41425</v>
      </c>
      <c r="B5408">
        <v>48.215809</v>
      </c>
    </row>
    <row r="5409" spans="1:2" x14ac:dyDescent="0.25">
      <c r="A5409" s="5">
        <v>41428</v>
      </c>
      <c r="B5409">
        <v>48.292186999999998</v>
      </c>
    </row>
    <row r="5410" spans="1:2" x14ac:dyDescent="0.25">
      <c r="A5410" s="5">
        <v>41429</v>
      </c>
      <c r="B5410">
        <v>48.658791000000001</v>
      </c>
    </row>
    <row r="5411" spans="1:2" x14ac:dyDescent="0.25">
      <c r="A5411" s="5">
        <v>41430</v>
      </c>
      <c r="B5411">
        <v>48.231082999999998</v>
      </c>
    </row>
    <row r="5412" spans="1:2" x14ac:dyDescent="0.25">
      <c r="A5412" s="5">
        <v>41431</v>
      </c>
      <c r="B5412">
        <v>48.093612999999998</v>
      </c>
    </row>
    <row r="5413" spans="1:2" x14ac:dyDescent="0.25">
      <c r="A5413" s="5">
        <v>41432</v>
      </c>
      <c r="B5413">
        <v>47.429133999999998</v>
      </c>
    </row>
    <row r="5414" spans="1:2" x14ac:dyDescent="0.25">
      <c r="A5414" s="5">
        <v>41435</v>
      </c>
      <c r="B5414">
        <v>47.375678999999998</v>
      </c>
    </row>
    <row r="5415" spans="1:2" x14ac:dyDescent="0.25">
      <c r="A5415" s="5">
        <v>41436</v>
      </c>
      <c r="B5415">
        <v>47.093097999999998</v>
      </c>
    </row>
    <row r="5416" spans="1:2" x14ac:dyDescent="0.25">
      <c r="A5416" s="5">
        <v>41437</v>
      </c>
      <c r="B5416">
        <v>46.673018999999996</v>
      </c>
    </row>
    <row r="5417" spans="1:2" x14ac:dyDescent="0.25">
      <c r="A5417" s="5">
        <v>41438</v>
      </c>
      <c r="B5417">
        <v>47.322212</v>
      </c>
    </row>
    <row r="5418" spans="1:2" x14ac:dyDescent="0.25">
      <c r="A5418" s="5">
        <v>41439</v>
      </c>
      <c r="B5418">
        <v>46.87923</v>
      </c>
    </row>
    <row r="5419" spans="1:2" x14ac:dyDescent="0.25">
      <c r="A5419" s="5">
        <v>41442</v>
      </c>
      <c r="B5419">
        <v>47.406216000000001</v>
      </c>
    </row>
    <row r="5420" spans="1:2" x14ac:dyDescent="0.25">
      <c r="A5420" s="5">
        <v>41443</v>
      </c>
      <c r="B5420">
        <v>47.642986000000001</v>
      </c>
    </row>
    <row r="5421" spans="1:2" x14ac:dyDescent="0.25">
      <c r="A5421" s="5">
        <v>41444</v>
      </c>
      <c r="B5421">
        <v>47.284030999999999</v>
      </c>
    </row>
    <row r="5422" spans="1:2" x14ac:dyDescent="0.25">
      <c r="A5422" s="5">
        <v>41445</v>
      </c>
      <c r="B5422">
        <v>46.527907999999996</v>
      </c>
    </row>
    <row r="5423" spans="1:2" x14ac:dyDescent="0.25">
      <c r="A5423" s="5">
        <v>41446</v>
      </c>
      <c r="B5423">
        <v>46.336967000000001</v>
      </c>
    </row>
    <row r="5424" spans="1:2" x14ac:dyDescent="0.25">
      <c r="A5424" s="5">
        <v>41449</v>
      </c>
      <c r="B5424">
        <v>45.733607999999997</v>
      </c>
    </row>
    <row r="5425" spans="1:2" x14ac:dyDescent="0.25">
      <c r="A5425" s="5">
        <v>41450</v>
      </c>
      <c r="B5425">
        <v>47.207656999999998</v>
      </c>
    </row>
    <row r="5426" spans="1:2" x14ac:dyDescent="0.25">
      <c r="A5426" s="5">
        <v>41451</v>
      </c>
      <c r="B5426">
        <v>46.795226999999997</v>
      </c>
    </row>
    <row r="5427" spans="1:2" x14ac:dyDescent="0.25">
      <c r="A5427" s="5">
        <v>41452</v>
      </c>
      <c r="B5427">
        <v>46.650108000000003</v>
      </c>
    </row>
    <row r="5428" spans="1:2" x14ac:dyDescent="0.25">
      <c r="A5428" s="5">
        <v>41453</v>
      </c>
      <c r="B5428">
        <v>46.657744999999998</v>
      </c>
    </row>
    <row r="5429" spans="1:2" x14ac:dyDescent="0.25">
      <c r="A5429" s="5">
        <v>41456</v>
      </c>
      <c r="B5429">
        <v>46.558453</v>
      </c>
    </row>
    <row r="5430" spans="1:2" x14ac:dyDescent="0.25">
      <c r="A5430" s="5">
        <v>41457</v>
      </c>
      <c r="B5430">
        <v>46.527907999999996</v>
      </c>
    </row>
    <row r="5431" spans="1:2" x14ac:dyDescent="0.25">
      <c r="A5431" s="5">
        <v>41458</v>
      </c>
      <c r="B5431">
        <v>46.520271000000001</v>
      </c>
    </row>
    <row r="5432" spans="1:2" x14ac:dyDescent="0.25">
      <c r="A5432" s="5">
        <v>41460</v>
      </c>
      <c r="B5432">
        <v>46.550826999999998</v>
      </c>
    </row>
    <row r="5433" spans="1:2" x14ac:dyDescent="0.25">
      <c r="A5433" s="5">
        <v>41463</v>
      </c>
      <c r="B5433">
        <v>45.817619000000001</v>
      </c>
    </row>
    <row r="5434" spans="1:2" x14ac:dyDescent="0.25">
      <c r="A5434" s="5">
        <v>41464</v>
      </c>
      <c r="B5434">
        <v>45.359363999999999</v>
      </c>
    </row>
    <row r="5435" spans="1:2" x14ac:dyDescent="0.25">
      <c r="A5435" s="5">
        <v>41465</v>
      </c>
      <c r="B5435">
        <v>46.161312000000002</v>
      </c>
    </row>
    <row r="5436" spans="1:2" x14ac:dyDescent="0.25">
      <c r="A5436" s="5">
        <v>41466</v>
      </c>
      <c r="B5436">
        <v>46.818142000000002</v>
      </c>
    </row>
    <row r="5437" spans="1:2" x14ac:dyDescent="0.25">
      <c r="A5437" s="5">
        <v>41467</v>
      </c>
      <c r="B5437">
        <v>47.368046</v>
      </c>
    </row>
    <row r="5438" spans="1:2" x14ac:dyDescent="0.25">
      <c r="A5438" s="5">
        <v>41470</v>
      </c>
      <c r="B5438">
        <v>46.802867999999997</v>
      </c>
    </row>
    <row r="5439" spans="1:2" x14ac:dyDescent="0.25">
      <c r="A5439" s="5">
        <v>41471</v>
      </c>
      <c r="B5439">
        <v>47.238197</v>
      </c>
    </row>
    <row r="5440" spans="1:2" x14ac:dyDescent="0.25">
      <c r="A5440" s="5">
        <v>41472</v>
      </c>
      <c r="B5440">
        <v>47.849212999999999</v>
      </c>
    </row>
    <row r="5441" spans="1:2" x14ac:dyDescent="0.25">
      <c r="A5441" s="5">
        <v>41473</v>
      </c>
      <c r="B5441">
        <v>46.680655999999999</v>
      </c>
    </row>
    <row r="5442" spans="1:2" x14ac:dyDescent="0.25">
      <c r="A5442" s="5">
        <v>41474</v>
      </c>
      <c r="B5442">
        <v>46.940334</v>
      </c>
    </row>
    <row r="5443" spans="1:2" x14ac:dyDescent="0.25">
      <c r="A5443" s="5">
        <v>41477</v>
      </c>
      <c r="B5443">
        <v>47.513153000000003</v>
      </c>
    </row>
    <row r="5444" spans="1:2" x14ac:dyDescent="0.25">
      <c r="A5444" s="5">
        <v>41478</v>
      </c>
      <c r="B5444">
        <v>47.581879000000001</v>
      </c>
    </row>
    <row r="5445" spans="1:2" x14ac:dyDescent="0.25">
      <c r="A5445" s="5">
        <v>41479</v>
      </c>
      <c r="B5445">
        <v>46.886879</v>
      </c>
    </row>
    <row r="5446" spans="1:2" x14ac:dyDescent="0.25">
      <c r="A5446" s="5">
        <v>41480</v>
      </c>
      <c r="B5446">
        <v>48.437294000000001</v>
      </c>
    </row>
    <row r="5447" spans="1:2" x14ac:dyDescent="0.25">
      <c r="A5447" s="5">
        <v>41481</v>
      </c>
      <c r="B5447">
        <v>49.346164999999999</v>
      </c>
    </row>
    <row r="5448" spans="1:2" x14ac:dyDescent="0.25">
      <c r="A5448" s="5">
        <v>41484</v>
      </c>
      <c r="B5448">
        <v>49.063572000000001</v>
      </c>
    </row>
    <row r="5449" spans="1:2" x14ac:dyDescent="0.25">
      <c r="A5449" s="5">
        <v>41485</v>
      </c>
      <c r="B5449">
        <v>49.269782999999997</v>
      </c>
    </row>
    <row r="5450" spans="1:2" x14ac:dyDescent="0.25">
      <c r="A5450" s="5">
        <v>41486</v>
      </c>
      <c r="B5450">
        <v>49.307968000000002</v>
      </c>
    </row>
    <row r="5451" spans="1:2" x14ac:dyDescent="0.25">
      <c r="A5451" s="5">
        <v>41487</v>
      </c>
      <c r="B5451">
        <v>49.850245999999999</v>
      </c>
    </row>
    <row r="5452" spans="1:2" x14ac:dyDescent="0.25">
      <c r="A5452" s="5">
        <v>41488</v>
      </c>
      <c r="B5452">
        <v>50.980606000000002</v>
      </c>
    </row>
    <row r="5453" spans="1:2" x14ac:dyDescent="0.25">
      <c r="A5453" s="5">
        <v>41491</v>
      </c>
      <c r="B5453">
        <v>50.598731999999998</v>
      </c>
    </row>
    <row r="5454" spans="1:2" x14ac:dyDescent="0.25">
      <c r="A5454" s="5">
        <v>41492</v>
      </c>
      <c r="B5454">
        <v>50.094631</v>
      </c>
    </row>
    <row r="5455" spans="1:2" x14ac:dyDescent="0.25">
      <c r="A5455" s="5">
        <v>41493</v>
      </c>
      <c r="B5455">
        <v>49.804400999999999</v>
      </c>
    </row>
    <row r="5456" spans="1:2" x14ac:dyDescent="0.25">
      <c r="A5456" s="5">
        <v>41494</v>
      </c>
      <c r="B5456">
        <v>50.675102000000003</v>
      </c>
    </row>
    <row r="5457" spans="1:2" x14ac:dyDescent="0.25">
      <c r="A5457" s="5">
        <v>41495</v>
      </c>
      <c r="B5457">
        <v>50.613990999999999</v>
      </c>
    </row>
    <row r="5458" spans="1:2" x14ac:dyDescent="0.25">
      <c r="A5458" s="5">
        <v>41498</v>
      </c>
      <c r="B5458">
        <v>50.759101999999999</v>
      </c>
    </row>
    <row r="5459" spans="1:2" x14ac:dyDescent="0.25">
      <c r="A5459" s="5">
        <v>41499</v>
      </c>
      <c r="B5459">
        <v>51.362473000000001</v>
      </c>
    </row>
    <row r="5460" spans="1:2" x14ac:dyDescent="0.25">
      <c r="A5460" s="5">
        <v>41500</v>
      </c>
      <c r="B5460">
        <v>51.140984000000003</v>
      </c>
    </row>
    <row r="5461" spans="1:2" x14ac:dyDescent="0.25">
      <c r="A5461" s="5">
        <v>41501</v>
      </c>
      <c r="B5461">
        <v>51.133343000000004</v>
      </c>
    </row>
    <row r="5462" spans="1:2" x14ac:dyDescent="0.25">
      <c r="A5462" s="5">
        <v>41502</v>
      </c>
      <c r="B5462">
        <v>51.095160999999997</v>
      </c>
    </row>
    <row r="5463" spans="1:2" x14ac:dyDescent="0.25">
      <c r="A5463" s="5">
        <v>41505</v>
      </c>
      <c r="B5463">
        <v>50.659824</v>
      </c>
    </row>
    <row r="5464" spans="1:2" x14ac:dyDescent="0.25">
      <c r="A5464" s="5">
        <v>41506</v>
      </c>
      <c r="B5464">
        <v>50.950046999999998</v>
      </c>
    </row>
    <row r="5465" spans="1:2" x14ac:dyDescent="0.25">
      <c r="A5465" s="5">
        <v>41507</v>
      </c>
      <c r="B5465">
        <v>50.843116999999999</v>
      </c>
    </row>
    <row r="5466" spans="1:2" x14ac:dyDescent="0.25">
      <c r="A5466" s="5">
        <v>41508</v>
      </c>
      <c r="B5466">
        <v>51.270817000000001</v>
      </c>
    </row>
    <row r="5467" spans="1:2" x14ac:dyDescent="0.25">
      <c r="A5467" s="5">
        <v>41509</v>
      </c>
      <c r="B5467">
        <v>51.286095000000003</v>
      </c>
    </row>
    <row r="5468" spans="1:2" x14ac:dyDescent="0.25">
      <c r="A5468" s="5">
        <v>41512</v>
      </c>
      <c r="B5468">
        <v>51.133343000000004</v>
      </c>
    </row>
    <row r="5469" spans="1:2" x14ac:dyDescent="0.25">
      <c r="A5469" s="5">
        <v>41513</v>
      </c>
      <c r="B5469">
        <v>50.423060999999997</v>
      </c>
    </row>
    <row r="5470" spans="1:2" x14ac:dyDescent="0.25">
      <c r="A5470" s="5">
        <v>41514</v>
      </c>
      <c r="B5470">
        <v>50.835487000000001</v>
      </c>
    </row>
    <row r="5471" spans="1:2" x14ac:dyDescent="0.25">
      <c r="A5471" s="5">
        <v>41515</v>
      </c>
      <c r="B5471">
        <v>50.950046999999998</v>
      </c>
    </row>
    <row r="5472" spans="1:2" x14ac:dyDescent="0.25">
      <c r="A5472" s="5">
        <v>41516</v>
      </c>
      <c r="B5472">
        <v>50.888618000000001</v>
      </c>
    </row>
    <row r="5473" spans="1:2" x14ac:dyDescent="0.25">
      <c r="A5473" s="5">
        <v>41520</v>
      </c>
      <c r="B5473">
        <v>51.249488999999997</v>
      </c>
    </row>
    <row r="5474" spans="1:2" x14ac:dyDescent="0.25">
      <c r="A5474" s="5">
        <v>41521</v>
      </c>
      <c r="B5474">
        <v>51.656405999999997</v>
      </c>
    </row>
    <row r="5475" spans="1:2" x14ac:dyDescent="0.25">
      <c r="A5475" s="5">
        <v>41522</v>
      </c>
      <c r="B5475">
        <v>52.078693000000001</v>
      </c>
    </row>
    <row r="5476" spans="1:2" x14ac:dyDescent="0.25">
      <c r="A5476" s="5">
        <v>41523</v>
      </c>
      <c r="B5476">
        <v>52.224556</v>
      </c>
    </row>
    <row r="5477" spans="1:2" x14ac:dyDescent="0.25">
      <c r="A5477" s="5">
        <v>41526</v>
      </c>
      <c r="B5477">
        <v>53.207324999999997</v>
      </c>
    </row>
    <row r="5478" spans="1:2" x14ac:dyDescent="0.25">
      <c r="A5478" s="5">
        <v>41527</v>
      </c>
      <c r="B5478">
        <v>53.813862</v>
      </c>
    </row>
    <row r="5479" spans="1:2" x14ac:dyDescent="0.25">
      <c r="A5479" s="5">
        <v>41528</v>
      </c>
      <c r="B5479">
        <v>52.278300999999999</v>
      </c>
    </row>
    <row r="5480" spans="1:2" x14ac:dyDescent="0.25">
      <c r="A5480" s="5">
        <v>41529</v>
      </c>
      <c r="B5480">
        <v>52.831104000000003</v>
      </c>
    </row>
    <row r="5481" spans="1:2" x14ac:dyDescent="0.25">
      <c r="A5481" s="5">
        <v>41530</v>
      </c>
      <c r="B5481">
        <v>52.654518000000003</v>
      </c>
    </row>
    <row r="5482" spans="1:2" x14ac:dyDescent="0.25">
      <c r="A5482" s="5">
        <v>41533</v>
      </c>
      <c r="B5482">
        <v>52.278300999999999</v>
      </c>
    </row>
    <row r="5483" spans="1:2" x14ac:dyDescent="0.25">
      <c r="A5483" s="5">
        <v>41534</v>
      </c>
      <c r="B5483">
        <v>53.299469000000002</v>
      </c>
    </row>
    <row r="5484" spans="1:2" x14ac:dyDescent="0.25">
      <c r="A5484" s="5">
        <v>41535</v>
      </c>
      <c r="B5484">
        <v>53.468384</v>
      </c>
    </row>
    <row r="5485" spans="1:2" x14ac:dyDescent="0.25">
      <c r="A5485" s="5">
        <v>41536</v>
      </c>
      <c r="B5485">
        <v>53.330173000000002</v>
      </c>
    </row>
    <row r="5486" spans="1:2" x14ac:dyDescent="0.25">
      <c r="A5486" s="5">
        <v>41537</v>
      </c>
      <c r="B5486">
        <v>53.023055999999997</v>
      </c>
    </row>
    <row r="5487" spans="1:2" x14ac:dyDescent="0.25">
      <c r="A5487" s="5">
        <v>41540</v>
      </c>
      <c r="B5487">
        <v>52.961635999999999</v>
      </c>
    </row>
    <row r="5488" spans="1:2" x14ac:dyDescent="0.25">
      <c r="A5488" s="5">
        <v>41541</v>
      </c>
      <c r="B5488">
        <v>52.60078</v>
      </c>
    </row>
    <row r="5489" spans="1:2" x14ac:dyDescent="0.25">
      <c r="A5489" s="5">
        <v>41542</v>
      </c>
      <c r="B5489">
        <v>52.785049000000001</v>
      </c>
    </row>
    <row r="5490" spans="1:2" x14ac:dyDescent="0.25">
      <c r="A5490" s="5">
        <v>41543</v>
      </c>
      <c r="B5490">
        <v>52.877173999999997</v>
      </c>
    </row>
    <row r="5491" spans="1:2" x14ac:dyDescent="0.25">
      <c r="A5491" s="5">
        <v>41544</v>
      </c>
      <c r="B5491">
        <v>51.733199999999997</v>
      </c>
    </row>
    <row r="5492" spans="1:2" x14ac:dyDescent="0.25">
      <c r="A5492" s="5">
        <v>41547</v>
      </c>
      <c r="B5492">
        <v>51.687114999999999</v>
      </c>
    </row>
    <row r="5493" spans="1:2" x14ac:dyDescent="0.25">
      <c r="A5493" s="5">
        <v>41548</v>
      </c>
      <c r="B5493">
        <v>51.817641999999999</v>
      </c>
    </row>
    <row r="5494" spans="1:2" x14ac:dyDescent="0.25">
      <c r="A5494" s="5">
        <v>41549</v>
      </c>
      <c r="B5494">
        <v>51.963515999999998</v>
      </c>
    </row>
    <row r="5495" spans="1:2" x14ac:dyDescent="0.25">
      <c r="A5495" s="5">
        <v>41550</v>
      </c>
      <c r="B5495">
        <v>51.525889999999997</v>
      </c>
    </row>
    <row r="5496" spans="1:2" x14ac:dyDescent="0.25">
      <c r="A5496" s="5">
        <v>41551</v>
      </c>
      <c r="B5496">
        <v>52.224556</v>
      </c>
    </row>
    <row r="5497" spans="1:2" x14ac:dyDescent="0.25">
      <c r="A5497" s="5">
        <v>41554</v>
      </c>
      <c r="B5497">
        <v>51.587307000000003</v>
      </c>
    </row>
    <row r="5498" spans="1:2" x14ac:dyDescent="0.25">
      <c r="A5498" s="5">
        <v>41555</v>
      </c>
      <c r="B5498">
        <v>50.942371000000001</v>
      </c>
    </row>
    <row r="5499" spans="1:2" x14ac:dyDescent="0.25">
      <c r="A5499" s="5">
        <v>41556</v>
      </c>
      <c r="B5499">
        <v>50.450985000000003</v>
      </c>
    </row>
    <row r="5500" spans="1:2" x14ac:dyDescent="0.25">
      <c r="A5500" s="5">
        <v>41557</v>
      </c>
      <c r="B5500">
        <v>51.318565</v>
      </c>
    </row>
    <row r="5501" spans="1:2" x14ac:dyDescent="0.25">
      <c r="A5501" s="5">
        <v>41558</v>
      </c>
      <c r="B5501">
        <v>51.863712</v>
      </c>
    </row>
    <row r="5502" spans="1:2" x14ac:dyDescent="0.25">
      <c r="A5502" s="5">
        <v>41561</v>
      </c>
      <c r="B5502">
        <v>52.017257999999998</v>
      </c>
    </row>
    <row r="5503" spans="1:2" x14ac:dyDescent="0.25">
      <c r="A5503" s="5">
        <v>41562</v>
      </c>
      <c r="B5503">
        <v>52.339722000000002</v>
      </c>
    </row>
    <row r="5504" spans="1:2" x14ac:dyDescent="0.25">
      <c r="A5504" s="5">
        <v>41563</v>
      </c>
      <c r="B5504">
        <v>52.877173999999997</v>
      </c>
    </row>
    <row r="5505" spans="1:2" x14ac:dyDescent="0.25">
      <c r="A5505" s="5">
        <v>41564</v>
      </c>
      <c r="B5505">
        <v>52.746665999999998</v>
      </c>
    </row>
    <row r="5506" spans="1:2" x14ac:dyDescent="0.25">
      <c r="A5506" s="5">
        <v>41565</v>
      </c>
      <c r="B5506">
        <v>52.516331000000001</v>
      </c>
    </row>
    <row r="5507" spans="1:2" x14ac:dyDescent="0.25">
      <c r="A5507" s="5">
        <v>41568</v>
      </c>
      <c r="B5507">
        <v>52.800392000000002</v>
      </c>
    </row>
    <row r="5508" spans="1:2" x14ac:dyDescent="0.25">
      <c r="A5508" s="5">
        <v>41569</v>
      </c>
      <c r="B5508">
        <v>52.915573000000002</v>
      </c>
    </row>
    <row r="5509" spans="1:2" x14ac:dyDescent="0.25">
      <c r="A5509" s="5">
        <v>41570</v>
      </c>
      <c r="B5509">
        <v>51.472133999999997</v>
      </c>
    </row>
    <row r="5510" spans="1:2" x14ac:dyDescent="0.25">
      <c r="A5510" s="5">
        <v>41571</v>
      </c>
      <c r="B5510">
        <v>51.395363000000003</v>
      </c>
    </row>
    <row r="5511" spans="1:2" x14ac:dyDescent="0.25">
      <c r="A5511" s="5">
        <v>41572</v>
      </c>
      <c r="B5511">
        <v>52.416511999999997</v>
      </c>
    </row>
    <row r="5512" spans="1:2" x14ac:dyDescent="0.25">
      <c r="A5512" s="5">
        <v>41575</v>
      </c>
      <c r="B5512">
        <v>52.623814000000003</v>
      </c>
    </row>
    <row r="5513" spans="1:2" x14ac:dyDescent="0.25">
      <c r="A5513" s="5">
        <v>41576</v>
      </c>
      <c r="B5513">
        <v>52.923248000000001</v>
      </c>
    </row>
    <row r="5514" spans="1:2" x14ac:dyDescent="0.25">
      <c r="A5514" s="5">
        <v>41577</v>
      </c>
      <c r="B5514">
        <v>53.007705999999999</v>
      </c>
    </row>
    <row r="5515" spans="1:2" x14ac:dyDescent="0.25">
      <c r="A5515" s="5">
        <v>41578</v>
      </c>
      <c r="B5515">
        <v>53.353203000000001</v>
      </c>
    </row>
    <row r="5516" spans="1:2" x14ac:dyDescent="0.25">
      <c r="A5516" s="5">
        <v>41579</v>
      </c>
      <c r="B5516">
        <v>53.667988000000001</v>
      </c>
    </row>
    <row r="5517" spans="1:2" x14ac:dyDescent="0.25">
      <c r="A5517" s="5">
        <v>41582</v>
      </c>
      <c r="B5517">
        <v>53.414622999999999</v>
      </c>
    </row>
    <row r="5518" spans="1:2" x14ac:dyDescent="0.25">
      <c r="A5518" s="5">
        <v>41583</v>
      </c>
      <c r="B5518">
        <v>52.984668999999997</v>
      </c>
    </row>
    <row r="5519" spans="1:2" x14ac:dyDescent="0.25">
      <c r="A5519" s="5">
        <v>41584</v>
      </c>
      <c r="B5519">
        <v>53.545150999999997</v>
      </c>
    </row>
    <row r="5520" spans="1:2" x14ac:dyDescent="0.25">
      <c r="A5520" s="5">
        <v>41585</v>
      </c>
      <c r="B5520">
        <v>51.510520999999997</v>
      </c>
    </row>
    <row r="5521" spans="1:2" x14ac:dyDescent="0.25">
      <c r="A5521" s="5">
        <v>41586</v>
      </c>
      <c r="B5521">
        <v>51.786934000000002</v>
      </c>
    </row>
    <row r="5522" spans="1:2" x14ac:dyDescent="0.25">
      <c r="A5522" s="5">
        <v>41589</v>
      </c>
      <c r="B5522">
        <v>51.917450000000002</v>
      </c>
    </row>
    <row r="5523" spans="1:2" x14ac:dyDescent="0.25">
      <c r="A5523" s="5">
        <v>41590</v>
      </c>
      <c r="B5523">
        <v>52.60078</v>
      </c>
    </row>
    <row r="5524" spans="1:2" x14ac:dyDescent="0.25">
      <c r="A5524" s="5">
        <v>41591</v>
      </c>
      <c r="B5524">
        <v>53.767825999999999</v>
      </c>
    </row>
    <row r="5525" spans="1:2" x14ac:dyDescent="0.25">
      <c r="A5525" s="5">
        <v>41592</v>
      </c>
      <c r="B5525">
        <v>54.681477000000001</v>
      </c>
    </row>
    <row r="5526" spans="1:2" x14ac:dyDescent="0.25">
      <c r="A5526" s="5">
        <v>41593</v>
      </c>
      <c r="B5526">
        <v>55.410862000000002</v>
      </c>
    </row>
    <row r="5527" spans="1:2" x14ac:dyDescent="0.25">
      <c r="A5527" s="5">
        <v>41596</v>
      </c>
      <c r="B5527">
        <v>55.234268</v>
      </c>
    </row>
    <row r="5528" spans="1:2" x14ac:dyDescent="0.25">
      <c r="A5528" s="5">
        <v>41597</v>
      </c>
      <c r="B5528">
        <v>55.157490000000003</v>
      </c>
    </row>
    <row r="5529" spans="1:2" x14ac:dyDescent="0.25">
      <c r="A5529" s="5">
        <v>41598</v>
      </c>
      <c r="B5529">
        <v>54.535595000000001</v>
      </c>
    </row>
    <row r="5530" spans="1:2" x14ac:dyDescent="0.25">
      <c r="A5530" s="5">
        <v>41599</v>
      </c>
      <c r="B5530">
        <v>55.057685999999997</v>
      </c>
    </row>
    <row r="5531" spans="1:2" x14ac:dyDescent="0.25">
      <c r="A5531" s="5">
        <v>41600</v>
      </c>
      <c r="B5531">
        <v>56.017409999999998</v>
      </c>
    </row>
    <row r="5532" spans="1:2" x14ac:dyDescent="0.25">
      <c r="A5532" s="5">
        <v>41603</v>
      </c>
      <c r="B5532">
        <v>55.656559000000001</v>
      </c>
    </row>
    <row r="5533" spans="1:2" x14ac:dyDescent="0.25">
      <c r="A5533" s="5">
        <v>41604</v>
      </c>
      <c r="B5533">
        <v>56.547173000000001</v>
      </c>
    </row>
    <row r="5534" spans="1:2" x14ac:dyDescent="0.25">
      <c r="A5534" s="5">
        <v>41605</v>
      </c>
      <c r="B5534">
        <v>56.747757</v>
      </c>
    </row>
    <row r="5535" spans="1:2" x14ac:dyDescent="0.25">
      <c r="A5535" s="5">
        <v>41607</v>
      </c>
      <c r="B5535">
        <v>56.763179999999998</v>
      </c>
    </row>
    <row r="5536" spans="1:2" x14ac:dyDescent="0.25">
      <c r="A5536" s="5">
        <v>41610</v>
      </c>
      <c r="B5536">
        <v>56.655208999999999</v>
      </c>
    </row>
    <row r="5537" spans="1:2" x14ac:dyDescent="0.25">
      <c r="A5537" s="5">
        <v>41611</v>
      </c>
      <c r="B5537">
        <v>56.554901000000001</v>
      </c>
    </row>
    <row r="5538" spans="1:2" x14ac:dyDescent="0.25">
      <c r="A5538" s="5">
        <v>41612</v>
      </c>
      <c r="B5538">
        <v>56.454597</v>
      </c>
    </row>
    <row r="5539" spans="1:2" x14ac:dyDescent="0.25">
      <c r="A5539" s="5">
        <v>41613</v>
      </c>
      <c r="B5539">
        <v>56.493172000000001</v>
      </c>
    </row>
    <row r="5540" spans="1:2" x14ac:dyDescent="0.25">
      <c r="A5540" s="5">
        <v>41614</v>
      </c>
      <c r="B5540">
        <v>56.902050000000003</v>
      </c>
    </row>
    <row r="5541" spans="1:2" x14ac:dyDescent="0.25">
      <c r="A5541" s="5">
        <v>41617</v>
      </c>
      <c r="B5541">
        <v>56.601180999999997</v>
      </c>
    </row>
    <row r="5542" spans="1:2" x14ac:dyDescent="0.25">
      <c r="A5542" s="5">
        <v>41618</v>
      </c>
      <c r="B5542">
        <v>56.608902</v>
      </c>
    </row>
    <row r="5543" spans="1:2" x14ac:dyDescent="0.25">
      <c r="A5543" s="5">
        <v>41619</v>
      </c>
      <c r="B5543">
        <v>56.323462999999997</v>
      </c>
    </row>
    <row r="5544" spans="1:2" x14ac:dyDescent="0.25">
      <c r="A5544" s="5">
        <v>41620</v>
      </c>
      <c r="B5544">
        <v>56.107464</v>
      </c>
    </row>
    <row r="5545" spans="1:2" x14ac:dyDescent="0.25">
      <c r="A5545" s="5">
        <v>41621</v>
      </c>
      <c r="B5545">
        <v>55.991740999999998</v>
      </c>
    </row>
    <row r="5546" spans="1:2" x14ac:dyDescent="0.25">
      <c r="A5546" s="5">
        <v>41624</v>
      </c>
      <c r="B5546">
        <v>56.153731999999998</v>
      </c>
    </row>
    <row r="5547" spans="1:2" x14ac:dyDescent="0.25">
      <c r="A5547" s="5">
        <v>41625</v>
      </c>
      <c r="B5547">
        <v>56.254024999999999</v>
      </c>
    </row>
    <row r="5548" spans="1:2" x14ac:dyDescent="0.25">
      <c r="A5548" s="5">
        <v>41626</v>
      </c>
      <c r="B5548">
        <v>56.454597</v>
      </c>
    </row>
    <row r="5549" spans="1:2" x14ac:dyDescent="0.25">
      <c r="A5549" s="5">
        <v>41627</v>
      </c>
      <c r="B5549">
        <v>55.876018999999999</v>
      </c>
    </row>
    <row r="5550" spans="1:2" x14ac:dyDescent="0.25">
      <c r="A5550" s="5">
        <v>41628</v>
      </c>
      <c r="B5550">
        <v>56.246322999999997</v>
      </c>
    </row>
    <row r="5551" spans="1:2" x14ac:dyDescent="0.25">
      <c r="A5551" s="5">
        <v>41631</v>
      </c>
      <c r="B5551">
        <v>56.192318</v>
      </c>
    </row>
    <row r="5552" spans="1:2" x14ac:dyDescent="0.25">
      <c r="A5552" s="5">
        <v>41632</v>
      </c>
      <c r="B5552">
        <v>56.346592000000001</v>
      </c>
    </row>
    <row r="5553" spans="1:2" x14ac:dyDescent="0.25">
      <c r="A5553" s="5">
        <v>41634</v>
      </c>
      <c r="B5553">
        <v>56.686053999999999</v>
      </c>
    </row>
    <row r="5554" spans="1:2" x14ac:dyDescent="0.25">
      <c r="A5554" s="5">
        <v>41635</v>
      </c>
      <c r="B5554">
        <v>56.932910999999997</v>
      </c>
    </row>
    <row r="5555" spans="1:2" x14ac:dyDescent="0.25">
      <c r="A5555" s="5">
        <v>41638</v>
      </c>
      <c r="B5555">
        <v>56.755462999999999</v>
      </c>
    </row>
    <row r="5556" spans="1:2" x14ac:dyDescent="0.25">
      <c r="A5556" s="5">
        <v>41639</v>
      </c>
      <c r="B5556">
        <v>57.280059999999999</v>
      </c>
    </row>
    <row r="5557" spans="1:2" x14ac:dyDescent="0.25">
      <c r="A5557" s="5">
        <v>41641</v>
      </c>
      <c r="B5557">
        <v>56.562607</v>
      </c>
    </row>
    <row r="5558" spans="1:2" x14ac:dyDescent="0.25">
      <c r="A5558" s="5">
        <v>41642</v>
      </c>
      <c r="B5558">
        <v>56.230888</v>
      </c>
    </row>
    <row r="5559" spans="1:2" x14ac:dyDescent="0.25">
      <c r="A5559" s="5">
        <v>41645</v>
      </c>
      <c r="B5559">
        <v>56.084316000000001</v>
      </c>
    </row>
    <row r="5560" spans="1:2" x14ac:dyDescent="0.25">
      <c r="A5560" s="5">
        <v>41646</v>
      </c>
      <c r="B5560">
        <v>56.500881</v>
      </c>
    </row>
    <row r="5561" spans="1:2" x14ac:dyDescent="0.25">
      <c r="A5561" s="5">
        <v>41647</v>
      </c>
      <c r="B5561">
        <v>56.840339999999998</v>
      </c>
    </row>
    <row r="5562" spans="1:2" x14ac:dyDescent="0.25">
      <c r="A5562" s="5">
        <v>41648</v>
      </c>
      <c r="B5562">
        <v>57.017761</v>
      </c>
    </row>
    <row r="5563" spans="1:2" x14ac:dyDescent="0.25">
      <c r="A5563" s="5">
        <v>41649</v>
      </c>
      <c r="B5563">
        <v>56.986916000000001</v>
      </c>
    </row>
    <row r="5564" spans="1:2" x14ac:dyDescent="0.25">
      <c r="A5564" s="5">
        <v>41652</v>
      </c>
      <c r="B5564">
        <v>56.485461999999998</v>
      </c>
    </row>
    <row r="5565" spans="1:2" x14ac:dyDescent="0.25">
      <c r="A5565" s="5">
        <v>41653</v>
      </c>
      <c r="B5565">
        <v>56.616622999999997</v>
      </c>
    </row>
    <row r="5566" spans="1:2" x14ac:dyDescent="0.25">
      <c r="A5566" s="5">
        <v>41654</v>
      </c>
      <c r="B5566">
        <v>57.480643999999998</v>
      </c>
    </row>
    <row r="5567" spans="1:2" x14ac:dyDescent="0.25">
      <c r="A5567" s="5">
        <v>41655</v>
      </c>
      <c r="B5567">
        <v>57.642628000000002</v>
      </c>
    </row>
    <row r="5568" spans="1:2" x14ac:dyDescent="0.25">
      <c r="A5568" s="5">
        <v>41656</v>
      </c>
      <c r="B5568">
        <v>57.650364000000003</v>
      </c>
    </row>
    <row r="5569" spans="1:2" x14ac:dyDescent="0.25">
      <c r="A5569" s="5">
        <v>41660</v>
      </c>
      <c r="B5569">
        <v>58.213509000000002</v>
      </c>
    </row>
    <row r="5570" spans="1:2" x14ac:dyDescent="0.25">
      <c r="A5570" s="5">
        <v>41661</v>
      </c>
      <c r="B5570">
        <v>58.460369</v>
      </c>
    </row>
    <row r="5571" spans="1:2" x14ac:dyDescent="0.25">
      <c r="A5571" s="5">
        <v>41662</v>
      </c>
      <c r="B5571">
        <v>58.529823</v>
      </c>
    </row>
    <row r="5572" spans="1:2" x14ac:dyDescent="0.25">
      <c r="A5572" s="5">
        <v>41663</v>
      </c>
      <c r="B5572">
        <v>57.148918000000002</v>
      </c>
    </row>
    <row r="5573" spans="1:2" x14ac:dyDescent="0.25">
      <c r="A5573" s="5">
        <v>41666</v>
      </c>
      <c r="B5573">
        <v>56.470016000000001</v>
      </c>
    </row>
    <row r="5574" spans="1:2" x14ac:dyDescent="0.25">
      <c r="A5574" s="5">
        <v>41667</v>
      </c>
      <c r="B5574">
        <v>55.536591000000001</v>
      </c>
    </row>
    <row r="5575" spans="1:2" x14ac:dyDescent="0.25">
      <c r="A5575" s="5">
        <v>41668</v>
      </c>
      <c r="B5575">
        <v>54.865417000000001</v>
      </c>
    </row>
    <row r="5576" spans="1:2" x14ac:dyDescent="0.25">
      <c r="A5576" s="5">
        <v>41669</v>
      </c>
      <c r="B5576">
        <v>56.516314999999999</v>
      </c>
    </row>
    <row r="5577" spans="1:2" x14ac:dyDescent="0.25">
      <c r="A5577" s="5">
        <v>41670</v>
      </c>
      <c r="B5577">
        <v>57.256908000000003</v>
      </c>
    </row>
    <row r="5578" spans="1:2" x14ac:dyDescent="0.25">
      <c r="A5578" s="5">
        <v>41673</v>
      </c>
      <c r="B5578">
        <v>56.562607</v>
      </c>
    </row>
    <row r="5579" spans="1:2" x14ac:dyDescent="0.25">
      <c r="A5579" s="5">
        <v>41674</v>
      </c>
      <c r="B5579">
        <v>55.937756</v>
      </c>
    </row>
    <row r="5580" spans="1:2" x14ac:dyDescent="0.25">
      <c r="A5580" s="5">
        <v>41675</v>
      </c>
      <c r="B5580">
        <v>55.829742000000003</v>
      </c>
    </row>
    <row r="5581" spans="1:2" x14ac:dyDescent="0.25">
      <c r="A5581" s="5">
        <v>41676</v>
      </c>
      <c r="B5581">
        <v>56.500881</v>
      </c>
    </row>
    <row r="5582" spans="1:2" x14ac:dyDescent="0.25">
      <c r="A5582" s="5">
        <v>41677</v>
      </c>
      <c r="B5582">
        <v>57.403488000000003</v>
      </c>
    </row>
    <row r="5583" spans="1:2" x14ac:dyDescent="0.25">
      <c r="A5583" s="5">
        <v>41680</v>
      </c>
      <c r="B5583">
        <v>57.619506999999999</v>
      </c>
    </row>
    <row r="5584" spans="1:2" x14ac:dyDescent="0.25">
      <c r="A5584" s="5">
        <v>41681</v>
      </c>
      <c r="B5584">
        <v>58.336925999999998</v>
      </c>
    </row>
    <row r="5585" spans="1:2" x14ac:dyDescent="0.25">
      <c r="A5585" s="5">
        <v>41682</v>
      </c>
      <c r="B5585">
        <v>58.954098000000002</v>
      </c>
    </row>
    <row r="5586" spans="1:2" x14ac:dyDescent="0.25">
      <c r="A5586" s="5">
        <v>41683</v>
      </c>
      <c r="B5586">
        <v>58.969521</v>
      </c>
    </row>
    <row r="5587" spans="1:2" x14ac:dyDescent="0.25">
      <c r="A5587" s="5">
        <v>41684</v>
      </c>
      <c r="B5587">
        <v>58.846085000000002</v>
      </c>
    </row>
    <row r="5588" spans="1:2" x14ac:dyDescent="0.25">
      <c r="A5588" s="5">
        <v>41688</v>
      </c>
      <c r="B5588">
        <v>58.321517999999998</v>
      </c>
    </row>
    <row r="5589" spans="1:2" x14ac:dyDescent="0.25">
      <c r="A5589" s="5">
        <v>41689</v>
      </c>
      <c r="B5589">
        <v>58.452652</v>
      </c>
    </row>
    <row r="5590" spans="1:2" x14ac:dyDescent="0.25">
      <c r="A5590" s="5">
        <v>41690</v>
      </c>
      <c r="B5590">
        <v>58.591510999999997</v>
      </c>
    </row>
    <row r="5591" spans="1:2" x14ac:dyDescent="0.25">
      <c r="A5591" s="5">
        <v>41691</v>
      </c>
      <c r="B5591">
        <v>58.329227000000003</v>
      </c>
    </row>
    <row r="5592" spans="1:2" x14ac:dyDescent="0.25">
      <c r="A5592" s="5">
        <v>41694</v>
      </c>
      <c r="B5592">
        <v>58.190356999999999</v>
      </c>
    </row>
    <row r="5593" spans="1:2" x14ac:dyDescent="0.25">
      <c r="A5593" s="5">
        <v>41695</v>
      </c>
      <c r="B5593">
        <v>57.789234</v>
      </c>
    </row>
    <row r="5594" spans="1:2" x14ac:dyDescent="0.25">
      <c r="A5594" s="5">
        <v>41696</v>
      </c>
      <c r="B5594">
        <v>57.897221000000002</v>
      </c>
    </row>
    <row r="5595" spans="1:2" x14ac:dyDescent="0.25">
      <c r="A5595" s="5">
        <v>41697</v>
      </c>
      <c r="B5595">
        <v>58.005237999999999</v>
      </c>
    </row>
    <row r="5596" spans="1:2" x14ac:dyDescent="0.25">
      <c r="A5596" s="5">
        <v>41698</v>
      </c>
      <c r="B5596">
        <v>58.082343999999999</v>
      </c>
    </row>
    <row r="5597" spans="1:2" x14ac:dyDescent="0.25">
      <c r="A5597" s="5">
        <v>41701</v>
      </c>
      <c r="B5597">
        <v>57.067036000000002</v>
      </c>
    </row>
    <row r="5598" spans="1:2" x14ac:dyDescent="0.25">
      <c r="A5598" s="5">
        <v>41702</v>
      </c>
      <c r="B5598">
        <v>58.989184999999999</v>
      </c>
    </row>
    <row r="5599" spans="1:2" x14ac:dyDescent="0.25">
      <c r="A5599" s="5">
        <v>41703</v>
      </c>
      <c r="B5599">
        <v>59.423203000000001</v>
      </c>
    </row>
    <row r="5600" spans="1:2" x14ac:dyDescent="0.25">
      <c r="A5600" s="5">
        <v>41704</v>
      </c>
      <c r="B5600">
        <v>59.678950999999998</v>
      </c>
    </row>
    <row r="5601" spans="1:2" x14ac:dyDescent="0.25">
      <c r="A5601" s="5">
        <v>41705</v>
      </c>
      <c r="B5601">
        <v>59.516219999999997</v>
      </c>
    </row>
    <row r="5602" spans="1:2" x14ac:dyDescent="0.25">
      <c r="A5602" s="5">
        <v>41708</v>
      </c>
      <c r="B5602">
        <v>59.733226999999999</v>
      </c>
    </row>
    <row r="5603" spans="1:2" x14ac:dyDescent="0.25">
      <c r="A5603" s="5">
        <v>41709</v>
      </c>
      <c r="B5603">
        <v>59.454211999999998</v>
      </c>
    </row>
    <row r="5604" spans="1:2" x14ac:dyDescent="0.25">
      <c r="A5604" s="5">
        <v>41710</v>
      </c>
      <c r="B5604">
        <v>59.655720000000002</v>
      </c>
    </row>
    <row r="5605" spans="1:2" x14ac:dyDescent="0.25">
      <c r="A5605" s="5">
        <v>41711</v>
      </c>
      <c r="B5605">
        <v>58.617134</v>
      </c>
    </row>
    <row r="5606" spans="1:2" x14ac:dyDescent="0.25">
      <c r="A5606" s="5">
        <v>41712</v>
      </c>
      <c r="B5606">
        <v>57.927360999999998</v>
      </c>
    </row>
    <row r="5607" spans="1:2" x14ac:dyDescent="0.25">
      <c r="A5607" s="5">
        <v>41715</v>
      </c>
      <c r="B5607">
        <v>59.694488999999997</v>
      </c>
    </row>
    <row r="5608" spans="1:2" x14ac:dyDescent="0.25">
      <c r="A5608" s="5">
        <v>41716</v>
      </c>
      <c r="B5608">
        <v>60.027748000000003</v>
      </c>
    </row>
    <row r="5609" spans="1:2" x14ac:dyDescent="0.25">
      <c r="A5609" s="5">
        <v>41717</v>
      </c>
      <c r="B5609">
        <v>59.531692999999997</v>
      </c>
    </row>
    <row r="5610" spans="1:2" x14ac:dyDescent="0.25">
      <c r="A5610" s="5">
        <v>41718</v>
      </c>
      <c r="B5610">
        <v>60.531512999999997</v>
      </c>
    </row>
    <row r="5611" spans="1:2" x14ac:dyDescent="0.25">
      <c r="A5611" s="5">
        <v>41719</v>
      </c>
      <c r="B5611">
        <v>60.601298999999997</v>
      </c>
    </row>
    <row r="5612" spans="1:2" x14ac:dyDescent="0.25">
      <c r="A5612" s="5">
        <v>41722</v>
      </c>
      <c r="B5612">
        <v>60.252502</v>
      </c>
    </row>
    <row r="5613" spans="1:2" x14ac:dyDescent="0.25">
      <c r="A5613" s="5">
        <v>41723</v>
      </c>
      <c r="B5613">
        <v>60.88805</v>
      </c>
    </row>
    <row r="5614" spans="1:2" x14ac:dyDescent="0.25">
      <c r="A5614" s="5">
        <v>41724</v>
      </c>
      <c r="B5614">
        <v>60.694290000000002</v>
      </c>
    </row>
    <row r="5615" spans="1:2" x14ac:dyDescent="0.25">
      <c r="A5615" s="5">
        <v>41725</v>
      </c>
      <c r="B5615">
        <v>61.267817999999998</v>
      </c>
    </row>
    <row r="5616" spans="1:2" x14ac:dyDescent="0.25">
      <c r="A5616" s="5">
        <v>41726</v>
      </c>
      <c r="B5616">
        <v>61.446095</v>
      </c>
    </row>
    <row r="5617" spans="1:2" x14ac:dyDescent="0.25">
      <c r="A5617" s="5">
        <v>41729</v>
      </c>
      <c r="B5617">
        <v>61.120567000000001</v>
      </c>
    </row>
    <row r="5618" spans="1:2" x14ac:dyDescent="0.25">
      <c r="A5618" s="5">
        <v>41730</v>
      </c>
      <c r="B5618">
        <v>62.081608000000003</v>
      </c>
    </row>
    <row r="5619" spans="1:2" x14ac:dyDescent="0.25">
      <c r="A5619" s="5">
        <v>41731</v>
      </c>
      <c r="B5619">
        <v>62.112625000000001</v>
      </c>
    </row>
    <row r="5620" spans="1:2" x14ac:dyDescent="0.25">
      <c r="A5620" s="5">
        <v>41732</v>
      </c>
      <c r="B5620">
        <v>62.430393000000002</v>
      </c>
    </row>
    <row r="5621" spans="1:2" x14ac:dyDescent="0.25">
      <c r="A5621" s="5">
        <v>41733</v>
      </c>
      <c r="B5621">
        <v>60.864806999999999</v>
      </c>
    </row>
    <row r="5622" spans="1:2" x14ac:dyDescent="0.25">
      <c r="A5622" s="5">
        <v>41736</v>
      </c>
      <c r="B5622">
        <v>60.516025999999997</v>
      </c>
    </row>
    <row r="5623" spans="1:2" x14ac:dyDescent="0.25">
      <c r="A5623" s="5">
        <v>41737</v>
      </c>
      <c r="B5623">
        <v>61.143810000000002</v>
      </c>
    </row>
    <row r="5624" spans="1:2" x14ac:dyDescent="0.25">
      <c r="A5624" s="5">
        <v>41738</v>
      </c>
      <c r="B5624">
        <v>61.949874999999999</v>
      </c>
    </row>
    <row r="5625" spans="1:2" x14ac:dyDescent="0.25">
      <c r="A5625" s="5">
        <v>41739</v>
      </c>
      <c r="B5625">
        <v>60.508293000000002</v>
      </c>
    </row>
    <row r="5626" spans="1:2" x14ac:dyDescent="0.25">
      <c r="A5626" s="5">
        <v>41740</v>
      </c>
      <c r="B5626">
        <v>60.461761000000003</v>
      </c>
    </row>
    <row r="5627" spans="1:2" x14ac:dyDescent="0.25">
      <c r="A5627" s="5">
        <v>41743</v>
      </c>
      <c r="B5627">
        <v>61.337584999999997</v>
      </c>
    </row>
    <row r="5628" spans="1:2" x14ac:dyDescent="0.25">
      <c r="A5628" s="5">
        <v>41744</v>
      </c>
      <c r="B5628">
        <v>61.60886</v>
      </c>
    </row>
    <row r="5629" spans="1:2" x14ac:dyDescent="0.25">
      <c r="A5629" s="5">
        <v>41745</v>
      </c>
      <c r="B5629">
        <v>62.143642</v>
      </c>
    </row>
    <row r="5630" spans="1:2" x14ac:dyDescent="0.25">
      <c r="A5630" s="5">
        <v>41746</v>
      </c>
      <c r="B5630">
        <v>63.027191000000002</v>
      </c>
    </row>
    <row r="5631" spans="1:2" x14ac:dyDescent="0.25">
      <c r="A5631" s="5">
        <v>41750</v>
      </c>
      <c r="B5631">
        <v>62.724907000000002</v>
      </c>
    </row>
    <row r="5632" spans="1:2" x14ac:dyDescent="0.25">
      <c r="A5632" s="5">
        <v>41751</v>
      </c>
      <c r="B5632">
        <v>62.476906</v>
      </c>
    </row>
    <row r="5633" spans="1:2" x14ac:dyDescent="0.25">
      <c r="A5633" s="5">
        <v>41752</v>
      </c>
      <c r="B5633">
        <v>62.55442</v>
      </c>
    </row>
    <row r="5634" spans="1:2" x14ac:dyDescent="0.25">
      <c r="A5634" s="5">
        <v>41753</v>
      </c>
      <c r="B5634">
        <v>60.353259999999999</v>
      </c>
    </row>
    <row r="5635" spans="1:2" x14ac:dyDescent="0.25">
      <c r="A5635" s="5">
        <v>41754</v>
      </c>
      <c r="B5635">
        <v>60.151736999999997</v>
      </c>
    </row>
    <row r="5636" spans="1:2" x14ac:dyDescent="0.25">
      <c r="A5636" s="5">
        <v>41757</v>
      </c>
      <c r="B5636">
        <v>60.492778999999999</v>
      </c>
    </row>
    <row r="5637" spans="1:2" x14ac:dyDescent="0.25">
      <c r="A5637" s="5">
        <v>41758</v>
      </c>
      <c r="B5637">
        <v>60.857059</v>
      </c>
    </row>
    <row r="5638" spans="1:2" x14ac:dyDescent="0.25">
      <c r="A5638" s="5">
        <v>41759</v>
      </c>
      <c r="B5638">
        <v>61.004299000000003</v>
      </c>
    </row>
    <row r="5639" spans="1:2" x14ac:dyDescent="0.25">
      <c r="A5639" s="5">
        <v>41760</v>
      </c>
      <c r="B5639">
        <v>61.221328999999997</v>
      </c>
    </row>
    <row r="5640" spans="1:2" x14ac:dyDescent="0.25">
      <c r="A5640" s="5">
        <v>41761</v>
      </c>
      <c r="B5640">
        <v>61.221328999999997</v>
      </c>
    </row>
    <row r="5641" spans="1:2" x14ac:dyDescent="0.25">
      <c r="A5641" s="5">
        <v>41764</v>
      </c>
      <c r="B5641">
        <v>61.663077999999999</v>
      </c>
    </row>
    <row r="5642" spans="1:2" x14ac:dyDescent="0.25">
      <c r="A5642" s="5">
        <v>41765</v>
      </c>
      <c r="B5642">
        <v>61.469341</v>
      </c>
    </row>
    <row r="5643" spans="1:2" x14ac:dyDescent="0.25">
      <c r="A5643" s="5">
        <v>41766</v>
      </c>
      <c r="B5643">
        <v>61.484856000000001</v>
      </c>
    </row>
    <row r="5644" spans="1:2" x14ac:dyDescent="0.25">
      <c r="A5644" s="5">
        <v>41767</v>
      </c>
      <c r="B5644">
        <v>61.616585000000001</v>
      </c>
    </row>
    <row r="5645" spans="1:2" x14ac:dyDescent="0.25">
      <c r="A5645" s="5">
        <v>41768</v>
      </c>
      <c r="B5645">
        <v>61.616585000000001</v>
      </c>
    </row>
    <row r="5646" spans="1:2" x14ac:dyDescent="0.25">
      <c r="A5646" s="5">
        <v>41771</v>
      </c>
      <c r="B5646">
        <v>61.980877</v>
      </c>
    </row>
    <row r="5647" spans="1:2" x14ac:dyDescent="0.25">
      <c r="A5647" s="5">
        <v>41772</v>
      </c>
      <c r="B5647">
        <v>62.290882000000003</v>
      </c>
    </row>
    <row r="5648" spans="1:2" x14ac:dyDescent="0.25">
      <c r="A5648" s="5">
        <v>41773</v>
      </c>
      <c r="B5648">
        <v>62.321899000000002</v>
      </c>
    </row>
    <row r="5649" spans="1:2" x14ac:dyDescent="0.25">
      <c r="A5649" s="5">
        <v>41774</v>
      </c>
      <c r="B5649">
        <v>61.833610999999998</v>
      </c>
    </row>
    <row r="5650" spans="1:2" x14ac:dyDescent="0.25">
      <c r="A5650" s="5">
        <v>41775</v>
      </c>
      <c r="B5650">
        <v>61.554585000000003</v>
      </c>
    </row>
    <row r="5651" spans="1:2" x14ac:dyDescent="0.25">
      <c r="A5651" s="5">
        <v>41778</v>
      </c>
      <c r="B5651">
        <v>61.856856999999998</v>
      </c>
    </row>
    <row r="5652" spans="1:2" x14ac:dyDescent="0.25">
      <c r="A5652" s="5">
        <v>41779</v>
      </c>
      <c r="B5652">
        <v>61.895617999999999</v>
      </c>
    </row>
    <row r="5653" spans="1:2" x14ac:dyDescent="0.25">
      <c r="A5653" s="5">
        <v>41780</v>
      </c>
      <c r="B5653">
        <v>61.748351999999997</v>
      </c>
    </row>
    <row r="5654" spans="1:2" x14ac:dyDescent="0.25">
      <c r="A5654" s="5">
        <v>41781</v>
      </c>
      <c r="B5654">
        <v>61.663077999999999</v>
      </c>
    </row>
    <row r="5655" spans="1:2" x14ac:dyDescent="0.25">
      <c r="A5655" s="5">
        <v>41782</v>
      </c>
      <c r="B5655">
        <v>61.911121000000001</v>
      </c>
    </row>
    <row r="5656" spans="1:2" x14ac:dyDescent="0.25">
      <c r="A5656" s="5">
        <v>41786</v>
      </c>
      <c r="B5656">
        <v>62.360644999999998</v>
      </c>
    </row>
    <row r="5657" spans="1:2" x14ac:dyDescent="0.25">
      <c r="A5657" s="5">
        <v>41787</v>
      </c>
      <c r="B5657">
        <v>62.174629000000003</v>
      </c>
    </row>
    <row r="5658" spans="1:2" x14ac:dyDescent="0.25">
      <c r="A5658" s="5">
        <v>41788</v>
      </c>
      <c r="B5658">
        <v>62.151386000000002</v>
      </c>
    </row>
    <row r="5659" spans="1:2" x14ac:dyDescent="0.25">
      <c r="A5659" s="5">
        <v>41789</v>
      </c>
      <c r="B5659">
        <v>62.352898000000003</v>
      </c>
    </row>
    <row r="5660" spans="1:2" x14ac:dyDescent="0.25">
      <c r="A5660" s="5">
        <v>41792</v>
      </c>
      <c r="B5660">
        <v>62.703522</v>
      </c>
    </row>
    <row r="5661" spans="1:2" x14ac:dyDescent="0.25">
      <c r="A5661" s="5">
        <v>41793</v>
      </c>
      <c r="B5661">
        <v>62.641196999999998</v>
      </c>
    </row>
    <row r="5662" spans="1:2" x14ac:dyDescent="0.25">
      <c r="A5662" s="5">
        <v>41794</v>
      </c>
      <c r="B5662">
        <v>62.267189000000002</v>
      </c>
    </row>
    <row r="5663" spans="1:2" x14ac:dyDescent="0.25">
      <c r="A5663" s="5">
        <v>41795</v>
      </c>
      <c r="B5663">
        <v>62.064628999999996</v>
      </c>
    </row>
    <row r="5664" spans="1:2" x14ac:dyDescent="0.25">
      <c r="A5664" s="5">
        <v>41796</v>
      </c>
      <c r="B5664">
        <v>62.625594999999997</v>
      </c>
    </row>
    <row r="5665" spans="1:2" x14ac:dyDescent="0.25">
      <c r="A5665" s="5">
        <v>41799</v>
      </c>
      <c r="B5665">
        <v>62.290576999999999</v>
      </c>
    </row>
    <row r="5666" spans="1:2" x14ac:dyDescent="0.25">
      <c r="A5666" s="5">
        <v>41800</v>
      </c>
      <c r="B5666">
        <v>61.690674000000001</v>
      </c>
    </row>
    <row r="5667" spans="1:2" x14ac:dyDescent="0.25">
      <c r="A5667" s="5">
        <v>41801</v>
      </c>
      <c r="B5667">
        <v>61.714027000000002</v>
      </c>
    </row>
    <row r="5668" spans="1:2" x14ac:dyDescent="0.25">
      <c r="A5668" s="5">
        <v>41802</v>
      </c>
      <c r="B5668">
        <v>61.815303999999998</v>
      </c>
    </row>
    <row r="5669" spans="1:2" x14ac:dyDescent="0.25">
      <c r="A5669" s="5">
        <v>41803</v>
      </c>
      <c r="B5669">
        <v>61.636093000000002</v>
      </c>
    </row>
    <row r="5670" spans="1:2" x14ac:dyDescent="0.25">
      <c r="A5670" s="5">
        <v>41806</v>
      </c>
      <c r="B5670">
        <v>61.277732999999998</v>
      </c>
    </row>
    <row r="5671" spans="1:2" x14ac:dyDescent="0.25">
      <c r="A5671" s="5">
        <v>41807</v>
      </c>
      <c r="B5671">
        <v>61.675068000000003</v>
      </c>
    </row>
    <row r="5672" spans="1:2" x14ac:dyDescent="0.25">
      <c r="A5672" s="5">
        <v>41808</v>
      </c>
      <c r="B5672">
        <v>61.698425</v>
      </c>
    </row>
    <row r="5673" spans="1:2" x14ac:dyDescent="0.25">
      <c r="A5673" s="5">
        <v>41809</v>
      </c>
      <c r="B5673">
        <v>62.134749999999997</v>
      </c>
    </row>
    <row r="5674" spans="1:2" x14ac:dyDescent="0.25">
      <c r="A5674" s="5">
        <v>41810</v>
      </c>
      <c r="B5674">
        <v>62.220435999999999</v>
      </c>
    </row>
    <row r="5675" spans="1:2" x14ac:dyDescent="0.25">
      <c r="A5675" s="5">
        <v>41813</v>
      </c>
      <c r="B5675">
        <v>61.885437000000003</v>
      </c>
    </row>
    <row r="5676" spans="1:2" x14ac:dyDescent="0.25">
      <c r="A5676" s="5">
        <v>41814</v>
      </c>
      <c r="B5676">
        <v>61.378985999999998</v>
      </c>
    </row>
    <row r="5677" spans="1:2" x14ac:dyDescent="0.25">
      <c r="A5677" s="5">
        <v>41815</v>
      </c>
      <c r="B5677">
        <v>60.810245999999999</v>
      </c>
    </row>
    <row r="5678" spans="1:2" x14ac:dyDescent="0.25">
      <c r="A5678" s="5">
        <v>41816</v>
      </c>
      <c r="B5678">
        <v>61.371203999999999</v>
      </c>
    </row>
    <row r="5679" spans="1:2" x14ac:dyDescent="0.25">
      <c r="A5679" s="5">
        <v>41817</v>
      </c>
      <c r="B5679">
        <v>61.542610000000003</v>
      </c>
    </row>
    <row r="5680" spans="1:2" x14ac:dyDescent="0.25">
      <c r="A5680" s="5">
        <v>41820</v>
      </c>
      <c r="B5680">
        <v>61.706215</v>
      </c>
    </row>
    <row r="5681" spans="1:2" x14ac:dyDescent="0.25">
      <c r="A5681" s="5">
        <v>41821</v>
      </c>
      <c r="B5681">
        <v>62.119155999999997</v>
      </c>
    </row>
    <row r="5682" spans="1:2" x14ac:dyDescent="0.25">
      <c r="A5682" s="5">
        <v>41822</v>
      </c>
      <c r="B5682">
        <v>62.461967000000001</v>
      </c>
    </row>
    <row r="5683" spans="1:2" x14ac:dyDescent="0.25">
      <c r="A5683" s="5">
        <v>41823</v>
      </c>
      <c r="B5683">
        <v>63.100838000000003</v>
      </c>
    </row>
    <row r="5684" spans="1:2" x14ac:dyDescent="0.25">
      <c r="A5684" s="5">
        <v>41827</v>
      </c>
      <c r="B5684">
        <v>62.968418</v>
      </c>
    </row>
    <row r="5685" spans="1:2" x14ac:dyDescent="0.25">
      <c r="A5685" s="5">
        <v>41828</v>
      </c>
      <c r="B5685">
        <v>62.835953000000003</v>
      </c>
    </row>
    <row r="5686" spans="1:2" x14ac:dyDescent="0.25">
      <c r="A5686" s="5">
        <v>41829</v>
      </c>
      <c r="B5686">
        <v>62.929442999999999</v>
      </c>
    </row>
    <row r="5687" spans="1:2" x14ac:dyDescent="0.25">
      <c r="A5687" s="5">
        <v>41830</v>
      </c>
      <c r="B5687">
        <v>62.664558</v>
      </c>
    </row>
    <row r="5688" spans="1:2" x14ac:dyDescent="0.25">
      <c r="A5688" s="5">
        <v>41831</v>
      </c>
      <c r="B5688">
        <v>62.017887000000002</v>
      </c>
    </row>
    <row r="5689" spans="1:2" x14ac:dyDescent="0.25">
      <c r="A5689" s="5">
        <v>41834</v>
      </c>
      <c r="B5689">
        <v>61.955544000000003</v>
      </c>
    </row>
    <row r="5690" spans="1:2" x14ac:dyDescent="0.25">
      <c r="A5690" s="5">
        <v>41835</v>
      </c>
      <c r="B5690">
        <v>61.893211000000001</v>
      </c>
    </row>
    <row r="5691" spans="1:2" x14ac:dyDescent="0.25">
      <c r="A5691" s="5">
        <v>41836</v>
      </c>
      <c r="B5691">
        <v>62.033465999999997</v>
      </c>
    </row>
    <row r="5692" spans="1:2" x14ac:dyDescent="0.25">
      <c r="A5692" s="5">
        <v>41837</v>
      </c>
      <c r="B5692">
        <v>60.857002000000001</v>
      </c>
    </row>
    <row r="5693" spans="1:2" x14ac:dyDescent="0.25">
      <c r="A5693" s="5">
        <v>41838</v>
      </c>
      <c r="B5693">
        <v>61.854252000000002</v>
      </c>
    </row>
    <row r="5694" spans="1:2" x14ac:dyDescent="0.25">
      <c r="A5694" s="5">
        <v>41841</v>
      </c>
      <c r="B5694">
        <v>62.072417999999999</v>
      </c>
    </row>
    <row r="5695" spans="1:2" x14ac:dyDescent="0.25">
      <c r="A5695" s="5">
        <v>41842</v>
      </c>
      <c r="B5695">
        <v>63.521576000000003</v>
      </c>
    </row>
    <row r="5696" spans="1:2" x14ac:dyDescent="0.25">
      <c r="A5696" s="5">
        <v>41843</v>
      </c>
      <c r="B5696">
        <v>63.576098999999999</v>
      </c>
    </row>
    <row r="5697" spans="1:2" x14ac:dyDescent="0.25">
      <c r="A5697" s="5">
        <v>41844</v>
      </c>
      <c r="B5697">
        <v>59.345505000000003</v>
      </c>
    </row>
    <row r="5698" spans="1:2" x14ac:dyDescent="0.25">
      <c r="A5698" s="5">
        <v>41845</v>
      </c>
      <c r="B5698">
        <v>59.290965999999997</v>
      </c>
    </row>
    <row r="5699" spans="1:2" x14ac:dyDescent="0.25">
      <c r="A5699" s="5">
        <v>41848</v>
      </c>
      <c r="B5699">
        <v>59.080589000000003</v>
      </c>
    </row>
    <row r="5700" spans="1:2" x14ac:dyDescent="0.25">
      <c r="A5700" s="5">
        <v>41849</v>
      </c>
      <c r="B5700">
        <v>58.675446000000001</v>
      </c>
    </row>
    <row r="5701" spans="1:2" x14ac:dyDescent="0.25">
      <c r="A5701" s="5">
        <v>41850</v>
      </c>
      <c r="B5701">
        <v>59.244208999999998</v>
      </c>
    </row>
    <row r="5702" spans="1:2" x14ac:dyDescent="0.25">
      <c r="A5702" s="5">
        <v>41851</v>
      </c>
      <c r="B5702">
        <v>57.436672000000002</v>
      </c>
    </row>
    <row r="5703" spans="1:2" x14ac:dyDescent="0.25">
      <c r="A5703" s="5">
        <v>41852</v>
      </c>
      <c r="B5703">
        <v>56.525092999999998</v>
      </c>
    </row>
    <row r="5704" spans="1:2" x14ac:dyDescent="0.25">
      <c r="A5704" s="5">
        <v>41855</v>
      </c>
      <c r="B5704">
        <v>57.078254999999999</v>
      </c>
    </row>
    <row r="5705" spans="1:2" x14ac:dyDescent="0.25">
      <c r="A5705" s="5">
        <v>41856</v>
      </c>
      <c r="B5705">
        <v>56.680908000000002</v>
      </c>
    </row>
    <row r="5706" spans="1:2" x14ac:dyDescent="0.25">
      <c r="A5706" s="5">
        <v>41857</v>
      </c>
      <c r="B5706">
        <v>56.789977999999998</v>
      </c>
    </row>
    <row r="5707" spans="1:2" x14ac:dyDescent="0.25">
      <c r="A5707" s="5">
        <v>41858</v>
      </c>
      <c r="B5707">
        <v>56.478352000000001</v>
      </c>
    </row>
    <row r="5708" spans="1:2" x14ac:dyDescent="0.25">
      <c r="A5708" s="5">
        <v>41859</v>
      </c>
      <c r="B5708">
        <v>57.561317000000003</v>
      </c>
    </row>
    <row r="5709" spans="1:2" x14ac:dyDescent="0.25">
      <c r="A5709" s="5">
        <v>41862</v>
      </c>
      <c r="B5709">
        <v>58.223579000000001</v>
      </c>
    </row>
    <row r="5710" spans="1:2" x14ac:dyDescent="0.25">
      <c r="A5710" s="5">
        <v>41863</v>
      </c>
      <c r="B5710">
        <v>57.763893000000003</v>
      </c>
    </row>
    <row r="5711" spans="1:2" x14ac:dyDescent="0.25">
      <c r="A5711" s="5">
        <v>41864</v>
      </c>
      <c r="B5711">
        <v>58.044373</v>
      </c>
    </row>
    <row r="5712" spans="1:2" x14ac:dyDescent="0.25">
      <c r="A5712" s="5">
        <v>41865</v>
      </c>
      <c r="B5712">
        <v>58.246941</v>
      </c>
    </row>
    <row r="5713" spans="1:2" x14ac:dyDescent="0.25">
      <c r="A5713" s="5">
        <v>41866</v>
      </c>
      <c r="B5713">
        <v>57.974243000000001</v>
      </c>
    </row>
    <row r="5714" spans="1:2" x14ac:dyDescent="0.25">
      <c r="A5714" s="5">
        <v>41869</v>
      </c>
      <c r="B5714">
        <v>58.457306000000003</v>
      </c>
    </row>
    <row r="5715" spans="1:2" x14ac:dyDescent="0.25">
      <c r="A5715" s="5">
        <v>41870</v>
      </c>
      <c r="B5715">
        <v>58.535209999999999</v>
      </c>
    </row>
    <row r="5716" spans="1:2" x14ac:dyDescent="0.25">
      <c r="A5716" s="5">
        <v>41871</v>
      </c>
      <c r="B5716">
        <v>59.555874000000003</v>
      </c>
    </row>
    <row r="5717" spans="1:2" x14ac:dyDescent="0.25">
      <c r="A5717" s="5">
        <v>41872</v>
      </c>
      <c r="B5717">
        <v>59.812981000000001</v>
      </c>
    </row>
    <row r="5718" spans="1:2" x14ac:dyDescent="0.25">
      <c r="A5718" s="5">
        <v>41873</v>
      </c>
      <c r="B5718">
        <v>59.851917</v>
      </c>
    </row>
    <row r="5719" spans="1:2" x14ac:dyDescent="0.25">
      <c r="A5719" s="5">
        <v>41876</v>
      </c>
      <c r="B5719">
        <v>59.672728999999997</v>
      </c>
    </row>
    <row r="5720" spans="1:2" x14ac:dyDescent="0.25">
      <c r="A5720" s="5">
        <v>41877</v>
      </c>
      <c r="B5720">
        <v>59.999969</v>
      </c>
    </row>
    <row r="5721" spans="1:2" x14ac:dyDescent="0.25">
      <c r="A5721" s="5">
        <v>41878</v>
      </c>
      <c r="B5721">
        <v>59.968788000000004</v>
      </c>
    </row>
    <row r="5722" spans="1:2" x14ac:dyDescent="0.25">
      <c r="A5722" s="5">
        <v>41879</v>
      </c>
      <c r="B5722">
        <v>59.477943000000003</v>
      </c>
    </row>
    <row r="5723" spans="1:2" x14ac:dyDescent="0.25">
      <c r="A5723" s="5">
        <v>41880</v>
      </c>
      <c r="B5723">
        <v>59.618972999999997</v>
      </c>
    </row>
    <row r="5724" spans="1:2" x14ac:dyDescent="0.25">
      <c r="A5724" s="5">
        <v>41884</v>
      </c>
      <c r="B5724">
        <v>58.804195</v>
      </c>
    </row>
    <row r="5725" spans="1:2" x14ac:dyDescent="0.25">
      <c r="A5725" s="5">
        <v>41885</v>
      </c>
      <c r="B5725">
        <v>58.671028</v>
      </c>
    </row>
    <row r="5726" spans="1:2" x14ac:dyDescent="0.25">
      <c r="A5726" s="5">
        <v>41886</v>
      </c>
      <c r="B5726">
        <v>58.843369000000003</v>
      </c>
    </row>
    <row r="5727" spans="1:2" x14ac:dyDescent="0.25">
      <c r="A5727" s="5">
        <v>41887</v>
      </c>
      <c r="B5727">
        <v>59.391773000000001</v>
      </c>
    </row>
    <row r="5728" spans="1:2" x14ac:dyDescent="0.25">
      <c r="A5728" s="5">
        <v>41890</v>
      </c>
      <c r="B5728">
        <v>59.462260999999998</v>
      </c>
    </row>
    <row r="5729" spans="1:2" x14ac:dyDescent="0.25">
      <c r="A5729" s="5">
        <v>41891</v>
      </c>
      <c r="B5729">
        <v>59.415275999999999</v>
      </c>
    </row>
    <row r="5730" spans="1:2" x14ac:dyDescent="0.25">
      <c r="A5730" s="5">
        <v>41892</v>
      </c>
      <c r="B5730">
        <v>59.485782999999998</v>
      </c>
    </row>
    <row r="5731" spans="1:2" x14ac:dyDescent="0.25">
      <c r="A5731" s="5">
        <v>41893</v>
      </c>
      <c r="B5731">
        <v>59.626801</v>
      </c>
    </row>
    <row r="5732" spans="1:2" x14ac:dyDescent="0.25">
      <c r="A5732" s="5">
        <v>41894</v>
      </c>
      <c r="B5732">
        <v>59.015728000000003</v>
      </c>
    </row>
    <row r="5733" spans="1:2" x14ac:dyDescent="0.25">
      <c r="A5733" s="5">
        <v>41897</v>
      </c>
      <c r="B5733">
        <v>58.819865999999998</v>
      </c>
    </row>
    <row r="5734" spans="1:2" x14ac:dyDescent="0.25">
      <c r="A5734" s="5">
        <v>41898</v>
      </c>
      <c r="B5734">
        <v>59.313419000000003</v>
      </c>
    </row>
    <row r="5735" spans="1:2" x14ac:dyDescent="0.25">
      <c r="A5735" s="5">
        <v>41899</v>
      </c>
      <c r="B5735">
        <v>59.407432999999997</v>
      </c>
    </row>
    <row r="5736" spans="1:2" x14ac:dyDescent="0.25">
      <c r="A5736" s="5">
        <v>41900</v>
      </c>
      <c r="B5736">
        <v>59.885325999999999</v>
      </c>
    </row>
    <row r="5737" spans="1:2" x14ac:dyDescent="0.25">
      <c r="A5737" s="5">
        <v>41901</v>
      </c>
      <c r="B5737">
        <v>59.172417000000003</v>
      </c>
    </row>
    <row r="5738" spans="1:2" x14ac:dyDescent="0.25">
      <c r="A5738" s="5">
        <v>41904</v>
      </c>
      <c r="B5738">
        <v>59.767806999999998</v>
      </c>
    </row>
    <row r="5739" spans="1:2" x14ac:dyDescent="0.25">
      <c r="A5739" s="5">
        <v>41905</v>
      </c>
      <c r="B5739">
        <v>59.407432999999997</v>
      </c>
    </row>
    <row r="5740" spans="1:2" x14ac:dyDescent="0.25">
      <c r="A5740" s="5">
        <v>41906</v>
      </c>
      <c r="B5740">
        <v>59.728642000000001</v>
      </c>
    </row>
    <row r="5741" spans="1:2" x14ac:dyDescent="0.25">
      <c r="A5741" s="5">
        <v>41907</v>
      </c>
      <c r="B5741">
        <v>58.608341000000003</v>
      </c>
    </row>
    <row r="5742" spans="1:2" x14ac:dyDescent="0.25">
      <c r="A5742" s="5">
        <v>41908</v>
      </c>
      <c r="B5742">
        <v>58.804195</v>
      </c>
    </row>
    <row r="5743" spans="1:2" x14ac:dyDescent="0.25">
      <c r="A5743" s="5">
        <v>41911</v>
      </c>
      <c r="B5743">
        <v>58.616165000000002</v>
      </c>
    </row>
    <row r="5744" spans="1:2" x14ac:dyDescent="0.25">
      <c r="A5744" s="5">
        <v>41912</v>
      </c>
      <c r="B5744">
        <v>58.577010999999999</v>
      </c>
    </row>
    <row r="5745" spans="1:2" x14ac:dyDescent="0.25">
      <c r="A5745" s="5">
        <v>41913</v>
      </c>
      <c r="B5745">
        <v>57.879756999999998</v>
      </c>
    </row>
    <row r="5746" spans="1:2" x14ac:dyDescent="0.25">
      <c r="A5746" s="5">
        <v>41914</v>
      </c>
      <c r="B5746">
        <v>57.707405000000001</v>
      </c>
    </row>
    <row r="5747" spans="1:2" x14ac:dyDescent="0.25">
      <c r="A5747" s="5">
        <v>41915</v>
      </c>
      <c r="B5747">
        <v>58.647499000000003</v>
      </c>
    </row>
    <row r="5748" spans="1:2" x14ac:dyDescent="0.25">
      <c r="A5748" s="5">
        <v>41918</v>
      </c>
      <c r="B5748">
        <v>58.53783</v>
      </c>
    </row>
    <row r="5749" spans="1:2" x14ac:dyDescent="0.25">
      <c r="A5749" s="5">
        <v>41919</v>
      </c>
      <c r="B5749">
        <v>57.589897000000001</v>
      </c>
    </row>
    <row r="5750" spans="1:2" x14ac:dyDescent="0.25">
      <c r="A5750" s="5">
        <v>41920</v>
      </c>
      <c r="B5750">
        <v>58.906044000000001</v>
      </c>
    </row>
    <row r="5751" spans="1:2" x14ac:dyDescent="0.25">
      <c r="A5751" s="5">
        <v>41921</v>
      </c>
      <c r="B5751">
        <v>58.036437999999997</v>
      </c>
    </row>
    <row r="5752" spans="1:2" x14ac:dyDescent="0.25">
      <c r="A5752" s="5">
        <v>41922</v>
      </c>
      <c r="B5752">
        <v>55.795817999999997</v>
      </c>
    </row>
    <row r="5753" spans="1:2" x14ac:dyDescent="0.25">
      <c r="A5753" s="5">
        <v>41925</v>
      </c>
      <c r="B5753">
        <v>55.396281999999999</v>
      </c>
    </row>
    <row r="5754" spans="1:2" x14ac:dyDescent="0.25">
      <c r="A5754" s="5">
        <v>41926</v>
      </c>
      <c r="B5754">
        <v>56.297221999999998</v>
      </c>
    </row>
    <row r="5755" spans="1:2" x14ac:dyDescent="0.25">
      <c r="A5755" s="5">
        <v>41927</v>
      </c>
      <c r="B5755">
        <v>55.780144</v>
      </c>
    </row>
    <row r="5756" spans="1:2" x14ac:dyDescent="0.25">
      <c r="A5756" s="5">
        <v>41928</v>
      </c>
      <c r="B5756">
        <v>55.733150000000002</v>
      </c>
    </row>
    <row r="5757" spans="1:2" x14ac:dyDescent="0.25">
      <c r="A5757" s="5">
        <v>41929</v>
      </c>
      <c r="B5757">
        <v>56.743786</v>
      </c>
    </row>
    <row r="5758" spans="1:2" x14ac:dyDescent="0.25">
      <c r="A5758" s="5">
        <v>41932</v>
      </c>
      <c r="B5758">
        <v>57.40184</v>
      </c>
    </row>
    <row r="5759" spans="1:2" x14ac:dyDescent="0.25">
      <c r="A5759" s="5">
        <v>41933</v>
      </c>
      <c r="B5759">
        <v>58.757190999999999</v>
      </c>
    </row>
    <row r="5760" spans="1:2" x14ac:dyDescent="0.25">
      <c r="A5760" s="5">
        <v>41934</v>
      </c>
      <c r="B5760">
        <v>58.208804999999998</v>
      </c>
    </row>
    <row r="5761" spans="1:2" x14ac:dyDescent="0.25">
      <c r="A5761" s="5">
        <v>41935</v>
      </c>
      <c r="B5761">
        <v>58.866875</v>
      </c>
    </row>
    <row r="5762" spans="1:2" x14ac:dyDescent="0.25">
      <c r="A5762" s="5">
        <v>41936</v>
      </c>
      <c r="B5762">
        <v>59.540615000000003</v>
      </c>
    </row>
    <row r="5763" spans="1:2" x14ac:dyDescent="0.25">
      <c r="A5763" s="5">
        <v>41939</v>
      </c>
      <c r="B5763">
        <v>59.415275999999999</v>
      </c>
    </row>
    <row r="5764" spans="1:2" x14ac:dyDescent="0.25">
      <c r="A5764" s="5">
        <v>41940</v>
      </c>
      <c r="B5764">
        <v>59.987197999999999</v>
      </c>
    </row>
    <row r="5765" spans="1:2" x14ac:dyDescent="0.25">
      <c r="A5765" s="5">
        <v>41941</v>
      </c>
      <c r="B5765">
        <v>60.237876999999997</v>
      </c>
    </row>
    <row r="5766" spans="1:2" x14ac:dyDescent="0.25">
      <c r="A5766" s="5">
        <v>41942</v>
      </c>
      <c r="B5766">
        <v>60.613930000000003</v>
      </c>
    </row>
    <row r="5767" spans="1:2" x14ac:dyDescent="0.25">
      <c r="A5767" s="5">
        <v>41943</v>
      </c>
      <c r="B5767">
        <v>61.507033999999997</v>
      </c>
    </row>
    <row r="5768" spans="1:2" x14ac:dyDescent="0.25">
      <c r="A5768" s="5">
        <v>41946</v>
      </c>
      <c r="B5768">
        <v>61.295498000000002</v>
      </c>
    </row>
    <row r="5769" spans="1:2" x14ac:dyDescent="0.25">
      <c r="A5769" s="5">
        <v>41947</v>
      </c>
      <c r="B5769">
        <v>60.410240000000002</v>
      </c>
    </row>
    <row r="5770" spans="1:2" x14ac:dyDescent="0.25">
      <c r="A5770" s="5">
        <v>41948</v>
      </c>
      <c r="B5770">
        <v>60.480742999999997</v>
      </c>
    </row>
    <row r="5771" spans="1:2" x14ac:dyDescent="0.25">
      <c r="A5771" s="5">
        <v>41949</v>
      </c>
      <c r="B5771">
        <v>55.294449</v>
      </c>
    </row>
    <row r="5772" spans="1:2" x14ac:dyDescent="0.25">
      <c r="A5772" s="5">
        <v>41950</v>
      </c>
      <c r="B5772">
        <v>54.260306999999997</v>
      </c>
    </row>
    <row r="5773" spans="1:2" x14ac:dyDescent="0.25">
      <c r="A5773" s="5">
        <v>41953</v>
      </c>
      <c r="B5773">
        <v>54.338653999999998</v>
      </c>
    </row>
    <row r="5774" spans="1:2" x14ac:dyDescent="0.25">
      <c r="A5774" s="5">
        <v>41954</v>
      </c>
      <c r="B5774">
        <v>54.557999000000002</v>
      </c>
    </row>
    <row r="5775" spans="1:2" x14ac:dyDescent="0.25">
      <c r="A5775" s="5">
        <v>41955</v>
      </c>
      <c r="B5775">
        <v>55.067230000000002</v>
      </c>
    </row>
    <row r="5776" spans="1:2" x14ac:dyDescent="0.25">
      <c r="A5776" s="5">
        <v>41956</v>
      </c>
      <c r="B5776">
        <v>55.349269999999997</v>
      </c>
    </row>
    <row r="5777" spans="1:2" x14ac:dyDescent="0.25">
      <c r="A5777" s="5">
        <v>41957</v>
      </c>
      <c r="B5777">
        <v>55.505955</v>
      </c>
    </row>
    <row r="5778" spans="1:2" x14ac:dyDescent="0.25">
      <c r="A5778" s="5">
        <v>41960</v>
      </c>
      <c r="B5778">
        <v>55.153419</v>
      </c>
    </row>
    <row r="5779" spans="1:2" x14ac:dyDescent="0.25">
      <c r="A5779" s="5">
        <v>41961</v>
      </c>
      <c r="B5779">
        <v>56.414757000000002</v>
      </c>
    </row>
    <row r="5780" spans="1:2" x14ac:dyDescent="0.25">
      <c r="A5780" s="5">
        <v>41962</v>
      </c>
      <c r="B5780">
        <v>55.208255999999999</v>
      </c>
    </row>
    <row r="5781" spans="1:2" x14ac:dyDescent="0.25">
      <c r="A5781" s="5">
        <v>41963</v>
      </c>
      <c r="B5781">
        <v>55.396281999999999</v>
      </c>
    </row>
    <row r="5782" spans="1:2" x14ac:dyDescent="0.25">
      <c r="A5782" s="5">
        <v>41964</v>
      </c>
      <c r="B5782">
        <v>55.991692</v>
      </c>
    </row>
    <row r="5783" spans="1:2" x14ac:dyDescent="0.25">
      <c r="A5783" s="5">
        <v>41967</v>
      </c>
      <c r="B5783">
        <v>56.164042999999999</v>
      </c>
    </row>
    <row r="5784" spans="1:2" x14ac:dyDescent="0.25">
      <c r="A5784" s="5">
        <v>41968</v>
      </c>
      <c r="B5784">
        <v>56.618426999999997</v>
      </c>
    </row>
    <row r="5785" spans="1:2" x14ac:dyDescent="0.25">
      <c r="A5785" s="5">
        <v>41969</v>
      </c>
      <c r="B5785">
        <v>56.941532000000002</v>
      </c>
    </row>
    <row r="5786" spans="1:2" x14ac:dyDescent="0.25">
      <c r="A5786" s="5">
        <v>41971</v>
      </c>
      <c r="B5786">
        <v>57.445838999999999</v>
      </c>
    </row>
    <row r="5787" spans="1:2" x14ac:dyDescent="0.25">
      <c r="A5787" s="5">
        <v>41974</v>
      </c>
      <c r="B5787">
        <v>56.571159000000002</v>
      </c>
    </row>
    <row r="5788" spans="1:2" x14ac:dyDescent="0.25">
      <c r="A5788" s="5">
        <v>41975</v>
      </c>
      <c r="B5788">
        <v>57.776809999999998</v>
      </c>
    </row>
    <row r="5789" spans="1:2" x14ac:dyDescent="0.25">
      <c r="A5789" s="5">
        <v>41976</v>
      </c>
      <c r="B5789">
        <v>58.604228999999997</v>
      </c>
    </row>
    <row r="5790" spans="1:2" x14ac:dyDescent="0.25">
      <c r="A5790" s="5">
        <v>41977</v>
      </c>
      <c r="B5790">
        <v>57.792560999999999</v>
      </c>
    </row>
    <row r="5791" spans="1:2" x14ac:dyDescent="0.25">
      <c r="A5791" s="5">
        <v>41978</v>
      </c>
      <c r="B5791">
        <v>57.816208000000003</v>
      </c>
    </row>
    <row r="5792" spans="1:2" x14ac:dyDescent="0.25">
      <c r="A5792" s="5">
        <v>41981</v>
      </c>
      <c r="B5792">
        <v>57.217312</v>
      </c>
    </row>
    <row r="5793" spans="1:2" x14ac:dyDescent="0.25">
      <c r="A5793" s="5">
        <v>41982</v>
      </c>
      <c r="B5793">
        <v>57.532524000000002</v>
      </c>
    </row>
    <row r="5794" spans="1:2" x14ac:dyDescent="0.25">
      <c r="A5794" s="5">
        <v>41983</v>
      </c>
      <c r="B5794">
        <v>56.342621000000001</v>
      </c>
    </row>
    <row r="5795" spans="1:2" x14ac:dyDescent="0.25">
      <c r="A5795" s="5">
        <v>41984</v>
      </c>
      <c r="B5795">
        <v>56.728752</v>
      </c>
    </row>
    <row r="5796" spans="1:2" x14ac:dyDescent="0.25">
      <c r="A5796" s="5">
        <v>41985</v>
      </c>
      <c r="B5796">
        <v>55.617660999999998</v>
      </c>
    </row>
    <row r="5797" spans="1:2" x14ac:dyDescent="0.25">
      <c r="A5797" s="5">
        <v>41988</v>
      </c>
      <c r="B5797">
        <v>55.452182999999998</v>
      </c>
    </row>
    <row r="5798" spans="1:2" x14ac:dyDescent="0.25">
      <c r="A5798" s="5">
        <v>41989</v>
      </c>
      <c r="B5798">
        <v>55.404891999999997</v>
      </c>
    </row>
    <row r="5799" spans="1:2" x14ac:dyDescent="0.25">
      <c r="A5799" s="5">
        <v>41990</v>
      </c>
      <c r="B5799">
        <v>56.902110999999998</v>
      </c>
    </row>
    <row r="5800" spans="1:2" x14ac:dyDescent="0.25">
      <c r="A5800" s="5">
        <v>41991</v>
      </c>
      <c r="B5800">
        <v>57.808315</v>
      </c>
    </row>
    <row r="5801" spans="1:2" x14ac:dyDescent="0.25">
      <c r="A5801" s="5">
        <v>41992</v>
      </c>
      <c r="B5801">
        <v>57.863495</v>
      </c>
    </row>
    <row r="5802" spans="1:2" x14ac:dyDescent="0.25">
      <c r="A5802" s="5">
        <v>41995</v>
      </c>
      <c r="B5802">
        <v>58.753925000000002</v>
      </c>
    </row>
    <row r="5803" spans="1:2" x14ac:dyDescent="0.25">
      <c r="A5803" s="5">
        <v>41996</v>
      </c>
      <c r="B5803">
        <v>58.785460999999998</v>
      </c>
    </row>
    <row r="5804" spans="1:2" x14ac:dyDescent="0.25">
      <c r="A5804" s="5">
        <v>41997</v>
      </c>
      <c r="B5804">
        <v>58.832740999999999</v>
      </c>
    </row>
    <row r="5805" spans="1:2" x14ac:dyDescent="0.25">
      <c r="A5805" s="5">
        <v>41999</v>
      </c>
      <c r="B5805">
        <v>59.589218000000002</v>
      </c>
    </row>
    <row r="5806" spans="1:2" x14ac:dyDescent="0.25">
      <c r="A5806" s="5">
        <v>42002</v>
      </c>
      <c r="B5806">
        <v>59.092762</v>
      </c>
    </row>
    <row r="5807" spans="1:2" x14ac:dyDescent="0.25">
      <c r="A5807" s="5">
        <v>42003</v>
      </c>
      <c r="B5807">
        <v>59.116397999999997</v>
      </c>
    </row>
    <row r="5808" spans="1:2" x14ac:dyDescent="0.25">
      <c r="A5808" s="5">
        <v>42004</v>
      </c>
      <c r="B5808">
        <v>58.572693000000001</v>
      </c>
    </row>
    <row r="5809" spans="1:2" x14ac:dyDescent="0.25">
      <c r="A5809" s="5">
        <v>42006</v>
      </c>
      <c r="B5809">
        <v>58.533301999999999</v>
      </c>
    </row>
    <row r="5810" spans="1:2" x14ac:dyDescent="0.25">
      <c r="A5810" s="5">
        <v>42009</v>
      </c>
      <c r="B5810">
        <v>58.257491999999999</v>
      </c>
    </row>
    <row r="5811" spans="1:2" x14ac:dyDescent="0.25">
      <c r="A5811" s="5">
        <v>42010</v>
      </c>
      <c r="B5811">
        <v>57.430084000000001</v>
      </c>
    </row>
    <row r="5812" spans="1:2" x14ac:dyDescent="0.25">
      <c r="A5812" s="5">
        <v>42011</v>
      </c>
      <c r="B5812">
        <v>58.099888</v>
      </c>
    </row>
    <row r="5813" spans="1:2" x14ac:dyDescent="0.25">
      <c r="A5813" s="5">
        <v>42012</v>
      </c>
      <c r="B5813">
        <v>58.714526999999997</v>
      </c>
    </row>
    <row r="5814" spans="1:2" x14ac:dyDescent="0.25">
      <c r="A5814" s="5">
        <v>42013</v>
      </c>
      <c r="B5814">
        <v>58.643604000000003</v>
      </c>
    </row>
    <row r="5815" spans="1:2" x14ac:dyDescent="0.25">
      <c r="A5815" s="5">
        <v>42016</v>
      </c>
      <c r="B5815">
        <v>57.973807999999998</v>
      </c>
    </row>
    <row r="5816" spans="1:2" x14ac:dyDescent="0.25">
      <c r="A5816" s="5">
        <v>42017</v>
      </c>
      <c r="B5816">
        <v>57.501007000000001</v>
      </c>
    </row>
    <row r="5817" spans="1:2" x14ac:dyDescent="0.25">
      <c r="A5817" s="5">
        <v>42018</v>
      </c>
      <c r="B5817">
        <v>56.91</v>
      </c>
    </row>
    <row r="5818" spans="1:2" x14ac:dyDescent="0.25">
      <c r="A5818" s="5">
        <v>42019</v>
      </c>
      <c r="B5818">
        <v>56.248069999999998</v>
      </c>
    </row>
    <row r="5819" spans="1:2" x14ac:dyDescent="0.25">
      <c r="A5819" s="5">
        <v>42020</v>
      </c>
      <c r="B5819">
        <v>56.177146999999998</v>
      </c>
    </row>
    <row r="5820" spans="1:2" x14ac:dyDescent="0.25">
      <c r="A5820" s="5">
        <v>42024</v>
      </c>
      <c r="B5820">
        <v>57.114882999999999</v>
      </c>
    </row>
    <row r="5821" spans="1:2" x14ac:dyDescent="0.25">
      <c r="A5821" s="5">
        <v>42025</v>
      </c>
      <c r="B5821">
        <v>56.413531999999996</v>
      </c>
    </row>
    <row r="5822" spans="1:2" x14ac:dyDescent="0.25">
      <c r="A5822" s="5">
        <v>42026</v>
      </c>
      <c r="B5822">
        <v>56.665740999999997</v>
      </c>
    </row>
    <row r="5823" spans="1:2" x14ac:dyDescent="0.25">
      <c r="A5823" s="5">
        <v>42027</v>
      </c>
      <c r="B5823">
        <v>56.878470999999998</v>
      </c>
    </row>
    <row r="5824" spans="1:2" x14ac:dyDescent="0.25">
      <c r="A5824" s="5">
        <v>42030</v>
      </c>
      <c r="B5824">
        <v>57.217312</v>
      </c>
    </row>
    <row r="5825" spans="1:2" x14ac:dyDescent="0.25">
      <c r="A5825" s="5">
        <v>42031</v>
      </c>
      <c r="B5825">
        <v>56.555382000000002</v>
      </c>
    </row>
    <row r="5826" spans="1:2" x14ac:dyDescent="0.25">
      <c r="A5826" s="5">
        <v>42032</v>
      </c>
      <c r="B5826">
        <v>55.940742</v>
      </c>
    </row>
    <row r="5827" spans="1:2" x14ac:dyDescent="0.25">
      <c r="A5827" s="5">
        <v>42033</v>
      </c>
      <c r="B5827">
        <v>50.188274</v>
      </c>
    </row>
    <row r="5828" spans="1:2" x14ac:dyDescent="0.25">
      <c r="A5828" s="5">
        <v>42034</v>
      </c>
      <c r="B5828">
        <v>49.219028000000002</v>
      </c>
    </row>
    <row r="5829" spans="1:2" x14ac:dyDescent="0.25">
      <c r="A5829" s="5">
        <v>42037</v>
      </c>
      <c r="B5829">
        <v>51.638221999999999</v>
      </c>
    </row>
    <row r="5830" spans="1:2" x14ac:dyDescent="0.25">
      <c r="A5830" s="5">
        <v>42038</v>
      </c>
      <c r="B5830">
        <v>52.765072000000004</v>
      </c>
    </row>
    <row r="5831" spans="1:2" x14ac:dyDescent="0.25">
      <c r="A5831" s="5">
        <v>42039</v>
      </c>
      <c r="B5831">
        <v>52.765072000000004</v>
      </c>
    </row>
    <row r="5832" spans="1:2" x14ac:dyDescent="0.25">
      <c r="A5832" s="5">
        <v>42040</v>
      </c>
      <c r="B5832">
        <v>53.545192999999998</v>
      </c>
    </row>
    <row r="5833" spans="1:2" x14ac:dyDescent="0.25">
      <c r="A5833" s="5">
        <v>42041</v>
      </c>
      <c r="B5833">
        <v>52.284385999999998</v>
      </c>
    </row>
    <row r="5834" spans="1:2" x14ac:dyDescent="0.25">
      <c r="A5834" s="5">
        <v>42044</v>
      </c>
      <c r="B5834">
        <v>52.883270000000003</v>
      </c>
    </row>
    <row r="5835" spans="1:2" x14ac:dyDescent="0.25">
      <c r="A5835" s="5">
        <v>42045</v>
      </c>
      <c r="B5835">
        <v>55.365509000000003</v>
      </c>
    </row>
    <row r="5836" spans="1:2" x14ac:dyDescent="0.25">
      <c r="A5836" s="5">
        <v>42046</v>
      </c>
      <c r="B5836">
        <v>55.326096</v>
      </c>
    </row>
    <row r="5837" spans="1:2" x14ac:dyDescent="0.25">
      <c r="A5837" s="5">
        <v>42047</v>
      </c>
      <c r="B5837">
        <v>55.467945</v>
      </c>
    </row>
    <row r="5838" spans="1:2" x14ac:dyDescent="0.25">
      <c r="A5838" s="5">
        <v>42048</v>
      </c>
      <c r="B5838">
        <v>55.854069000000003</v>
      </c>
    </row>
    <row r="5839" spans="1:2" x14ac:dyDescent="0.25">
      <c r="A5839" s="5">
        <v>42052</v>
      </c>
      <c r="B5839">
        <v>55.791027</v>
      </c>
    </row>
    <row r="5840" spans="1:2" x14ac:dyDescent="0.25">
      <c r="A5840" s="5">
        <v>42053</v>
      </c>
      <c r="B5840">
        <v>55.586136000000003</v>
      </c>
    </row>
    <row r="5841" spans="1:2" x14ac:dyDescent="0.25">
      <c r="A5841" s="5">
        <v>42054</v>
      </c>
      <c r="B5841">
        <v>55.932858000000003</v>
      </c>
    </row>
    <row r="5842" spans="1:2" x14ac:dyDescent="0.25">
      <c r="A5842" s="5">
        <v>42055</v>
      </c>
      <c r="B5842">
        <v>56.358378999999999</v>
      </c>
    </row>
    <row r="5843" spans="1:2" x14ac:dyDescent="0.25">
      <c r="A5843" s="5">
        <v>42058</v>
      </c>
      <c r="B5843">
        <v>55.901339999999998</v>
      </c>
    </row>
    <row r="5844" spans="1:2" x14ac:dyDescent="0.25">
      <c r="A5844" s="5">
        <v>42059</v>
      </c>
      <c r="B5844">
        <v>56.240189000000001</v>
      </c>
    </row>
    <row r="5845" spans="1:2" x14ac:dyDescent="0.25">
      <c r="A5845" s="5">
        <v>42060</v>
      </c>
      <c r="B5845">
        <v>56.484467000000002</v>
      </c>
    </row>
    <row r="5846" spans="1:2" x14ac:dyDescent="0.25">
      <c r="A5846" s="5">
        <v>42061</v>
      </c>
      <c r="B5846">
        <v>56.744517999999999</v>
      </c>
    </row>
    <row r="5847" spans="1:2" x14ac:dyDescent="0.25">
      <c r="A5847" s="5">
        <v>42062</v>
      </c>
      <c r="B5847">
        <v>57.138511999999999</v>
      </c>
    </row>
    <row r="5848" spans="1:2" x14ac:dyDescent="0.25">
      <c r="A5848" s="5">
        <v>42065</v>
      </c>
      <c r="B5848">
        <v>57.590294</v>
      </c>
    </row>
    <row r="5849" spans="1:2" x14ac:dyDescent="0.25">
      <c r="A5849" s="5">
        <v>42066</v>
      </c>
      <c r="B5849">
        <v>56.599559999999997</v>
      </c>
    </row>
    <row r="5850" spans="1:2" x14ac:dyDescent="0.25">
      <c r="A5850" s="5">
        <v>42067</v>
      </c>
      <c r="B5850">
        <v>56.155684999999998</v>
      </c>
    </row>
    <row r="5851" spans="1:2" x14ac:dyDescent="0.25">
      <c r="A5851" s="5">
        <v>42068</v>
      </c>
      <c r="B5851">
        <v>56.219112000000003</v>
      </c>
    </row>
    <row r="5852" spans="1:2" x14ac:dyDescent="0.25">
      <c r="A5852" s="5">
        <v>42069</v>
      </c>
      <c r="B5852">
        <v>56.678809999999999</v>
      </c>
    </row>
    <row r="5853" spans="1:2" x14ac:dyDescent="0.25">
      <c r="A5853" s="5">
        <v>42072</v>
      </c>
      <c r="B5853">
        <v>57.629931999999997</v>
      </c>
    </row>
    <row r="5854" spans="1:2" x14ac:dyDescent="0.25">
      <c r="A5854" s="5">
        <v>42073</v>
      </c>
      <c r="B5854">
        <v>56.979996</v>
      </c>
    </row>
    <row r="5855" spans="1:2" x14ac:dyDescent="0.25">
      <c r="A5855" s="5">
        <v>42074</v>
      </c>
      <c r="B5855">
        <v>55.695995000000003</v>
      </c>
    </row>
    <row r="5856" spans="1:2" x14ac:dyDescent="0.25">
      <c r="A5856" s="5">
        <v>42075</v>
      </c>
      <c r="B5856">
        <v>54.982647</v>
      </c>
    </row>
    <row r="5857" spans="1:2" x14ac:dyDescent="0.25">
      <c r="A5857" s="5">
        <v>42076</v>
      </c>
      <c r="B5857">
        <v>54.404040999999999</v>
      </c>
    </row>
    <row r="5858" spans="1:2" x14ac:dyDescent="0.25">
      <c r="A5858" s="5">
        <v>42079</v>
      </c>
      <c r="B5858">
        <v>55.481976000000003</v>
      </c>
    </row>
    <row r="5859" spans="1:2" x14ac:dyDescent="0.25">
      <c r="A5859" s="5">
        <v>42080</v>
      </c>
      <c r="B5859">
        <v>55.339328999999999</v>
      </c>
    </row>
    <row r="5860" spans="1:2" x14ac:dyDescent="0.25">
      <c r="A5860" s="5">
        <v>42081</v>
      </c>
      <c r="B5860">
        <v>55.664284000000002</v>
      </c>
    </row>
    <row r="5861" spans="1:2" x14ac:dyDescent="0.25">
      <c r="A5861" s="5">
        <v>42082</v>
      </c>
      <c r="B5861">
        <v>55.347251999999997</v>
      </c>
    </row>
    <row r="5862" spans="1:2" x14ac:dyDescent="0.25">
      <c r="A5862" s="5">
        <v>42083</v>
      </c>
      <c r="B5862">
        <v>55.513686999999997</v>
      </c>
    </row>
    <row r="5863" spans="1:2" x14ac:dyDescent="0.25">
      <c r="A5863" s="5">
        <v>42086</v>
      </c>
      <c r="B5863">
        <v>55.537457000000003</v>
      </c>
    </row>
    <row r="5864" spans="1:2" x14ac:dyDescent="0.25">
      <c r="A5864" s="5">
        <v>42087</v>
      </c>
      <c r="B5864">
        <v>54.665591999999997</v>
      </c>
    </row>
    <row r="5865" spans="1:2" x14ac:dyDescent="0.25">
      <c r="A5865" s="5">
        <v>42088</v>
      </c>
      <c r="B5865">
        <v>53.270634000000001</v>
      </c>
    </row>
    <row r="5866" spans="1:2" x14ac:dyDescent="0.25">
      <c r="A5866" s="5">
        <v>42089</v>
      </c>
      <c r="B5866">
        <v>53.231003000000001</v>
      </c>
    </row>
    <row r="5867" spans="1:2" x14ac:dyDescent="0.25">
      <c r="A5867" s="5">
        <v>42090</v>
      </c>
      <c r="B5867">
        <v>53.127963999999999</v>
      </c>
    </row>
    <row r="5868" spans="1:2" x14ac:dyDescent="0.25">
      <c r="A5868" s="5">
        <v>42093</v>
      </c>
      <c r="B5868">
        <v>54.594268999999997</v>
      </c>
    </row>
    <row r="5869" spans="1:2" x14ac:dyDescent="0.25">
      <c r="A5869" s="5">
        <v>42094</v>
      </c>
      <c r="B5869">
        <v>54.958857999999999</v>
      </c>
    </row>
    <row r="5870" spans="1:2" x14ac:dyDescent="0.25">
      <c r="A5870" s="5">
        <v>42095</v>
      </c>
      <c r="B5870">
        <v>55.030192999999997</v>
      </c>
    </row>
    <row r="5871" spans="1:2" x14ac:dyDescent="0.25">
      <c r="A5871" s="5">
        <v>42096</v>
      </c>
      <c r="B5871">
        <v>53.873009000000003</v>
      </c>
    </row>
    <row r="5872" spans="1:2" x14ac:dyDescent="0.25">
      <c r="A5872" s="5">
        <v>42100</v>
      </c>
      <c r="B5872">
        <v>53.706561999999998</v>
      </c>
    </row>
    <row r="5873" spans="1:2" x14ac:dyDescent="0.25">
      <c r="A5873" s="5">
        <v>42101</v>
      </c>
      <c r="B5873">
        <v>53.357826000000003</v>
      </c>
    </row>
    <row r="5874" spans="1:2" x14ac:dyDescent="0.25">
      <c r="A5874" s="5">
        <v>42102</v>
      </c>
      <c r="B5874">
        <v>53.310253000000003</v>
      </c>
    </row>
    <row r="5875" spans="1:2" x14ac:dyDescent="0.25">
      <c r="A5875" s="5">
        <v>42103</v>
      </c>
      <c r="B5875">
        <v>54.538780000000003</v>
      </c>
    </row>
    <row r="5876" spans="1:2" x14ac:dyDescent="0.25">
      <c r="A5876" s="5">
        <v>42104</v>
      </c>
      <c r="B5876">
        <v>54.816215999999997</v>
      </c>
    </row>
    <row r="5877" spans="1:2" x14ac:dyDescent="0.25">
      <c r="A5877" s="5">
        <v>42107</v>
      </c>
      <c r="B5877">
        <v>54.475383999999998</v>
      </c>
    </row>
    <row r="5878" spans="1:2" x14ac:dyDescent="0.25">
      <c r="A5878" s="5">
        <v>42108</v>
      </c>
      <c r="B5878">
        <v>54.665591999999997</v>
      </c>
    </row>
    <row r="5879" spans="1:2" x14ac:dyDescent="0.25">
      <c r="A5879" s="5">
        <v>42109</v>
      </c>
      <c r="B5879">
        <v>54.261378999999998</v>
      </c>
    </row>
    <row r="5880" spans="1:2" x14ac:dyDescent="0.25">
      <c r="A5880" s="5">
        <v>42110</v>
      </c>
      <c r="B5880">
        <v>53.825439000000003</v>
      </c>
    </row>
    <row r="5881" spans="1:2" x14ac:dyDescent="0.25">
      <c r="A5881" s="5">
        <v>42111</v>
      </c>
      <c r="B5881">
        <v>53.191372000000001</v>
      </c>
    </row>
    <row r="5882" spans="1:2" x14ac:dyDescent="0.25">
      <c r="A5882" s="5">
        <v>42114</v>
      </c>
      <c r="B5882">
        <v>54.404040999999999</v>
      </c>
    </row>
    <row r="5883" spans="1:2" x14ac:dyDescent="0.25">
      <c r="A5883" s="5">
        <v>42115</v>
      </c>
      <c r="B5883">
        <v>54.348564000000003</v>
      </c>
    </row>
    <row r="5884" spans="1:2" x14ac:dyDescent="0.25">
      <c r="A5884" s="5">
        <v>42116</v>
      </c>
      <c r="B5884">
        <v>54.641834000000003</v>
      </c>
    </row>
    <row r="5885" spans="1:2" x14ac:dyDescent="0.25">
      <c r="A5885" s="5">
        <v>42117</v>
      </c>
      <c r="B5885">
        <v>54.166263999999998</v>
      </c>
    </row>
    <row r="5886" spans="1:2" x14ac:dyDescent="0.25">
      <c r="A5886" s="5">
        <v>42118</v>
      </c>
      <c r="B5886">
        <v>54.087001999999998</v>
      </c>
    </row>
    <row r="5887" spans="1:2" x14ac:dyDescent="0.25">
      <c r="A5887" s="5">
        <v>42121</v>
      </c>
      <c r="B5887">
        <v>54.871673999999999</v>
      </c>
    </row>
    <row r="5888" spans="1:2" x14ac:dyDescent="0.25">
      <c r="A5888" s="5">
        <v>42122</v>
      </c>
      <c r="B5888">
        <v>55.204574999999998</v>
      </c>
    </row>
    <row r="5889" spans="1:2" x14ac:dyDescent="0.25">
      <c r="A5889" s="5">
        <v>42123</v>
      </c>
      <c r="B5889">
        <v>54.427826000000003</v>
      </c>
    </row>
    <row r="5890" spans="1:2" x14ac:dyDescent="0.25">
      <c r="A5890" s="5">
        <v>42124</v>
      </c>
      <c r="B5890">
        <v>53.896777999999998</v>
      </c>
    </row>
    <row r="5891" spans="1:2" x14ac:dyDescent="0.25">
      <c r="A5891" s="5">
        <v>42125</v>
      </c>
      <c r="B5891">
        <v>54.229675</v>
      </c>
    </row>
    <row r="5892" spans="1:2" x14ac:dyDescent="0.25">
      <c r="A5892" s="5">
        <v>42128</v>
      </c>
      <c r="B5892">
        <v>54.736941999999999</v>
      </c>
    </row>
    <row r="5893" spans="1:2" x14ac:dyDescent="0.25">
      <c r="A5893" s="5">
        <v>42129</v>
      </c>
      <c r="B5893">
        <v>54.190041000000001</v>
      </c>
    </row>
    <row r="5894" spans="1:2" x14ac:dyDescent="0.25">
      <c r="A5894" s="5">
        <v>42130</v>
      </c>
      <c r="B5894">
        <v>53.746181</v>
      </c>
    </row>
    <row r="5895" spans="1:2" x14ac:dyDescent="0.25">
      <c r="A5895" s="5">
        <v>42131</v>
      </c>
      <c r="B5895">
        <v>54.237606</v>
      </c>
    </row>
    <row r="5896" spans="1:2" x14ac:dyDescent="0.25">
      <c r="A5896" s="5">
        <v>42132</v>
      </c>
      <c r="B5896">
        <v>55.014350999999998</v>
      </c>
    </row>
    <row r="5897" spans="1:2" x14ac:dyDescent="0.25">
      <c r="A5897" s="5">
        <v>42135</v>
      </c>
      <c r="B5897">
        <v>54.729011999999997</v>
      </c>
    </row>
    <row r="5898" spans="1:2" x14ac:dyDescent="0.25">
      <c r="A5898" s="5">
        <v>42136</v>
      </c>
      <c r="B5898">
        <v>54.522930000000002</v>
      </c>
    </row>
    <row r="5899" spans="1:2" x14ac:dyDescent="0.25">
      <c r="A5899" s="5">
        <v>42137</v>
      </c>
      <c r="B5899">
        <v>55.267975</v>
      </c>
    </row>
    <row r="5900" spans="1:2" x14ac:dyDescent="0.25">
      <c r="A5900" s="5">
        <v>42138</v>
      </c>
      <c r="B5900">
        <v>55.894137999999998</v>
      </c>
    </row>
    <row r="5901" spans="1:2" x14ac:dyDescent="0.25">
      <c r="A5901" s="5">
        <v>42139</v>
      </c>
      <c r="B5901">
        <v>56.322124000000002</v>
      </c>
    </row>
    <row r="5902" spans="1:2" x14ac:dyDescent="0.25">
      <c r="A5902" s="5">
        <v>42142</v>
      </c>
      <c r="B5902">
        <v>55.814864999999998</v>
      </c>
    </row>
    <row r="5903" spans="1:2" x14ac:dyDescent="0.25">
      <c r="A5903" s="5">
        <v>42143</v>
      </c>
      <c r="B5903">
        <v>55.180804999999999</v>
      </c>
    </row>
    <row r="5904" spans="1:2" x14ac:dyDescent="0.25">
      <c r="A5904" s="5">
        <v>42144</v>
      </c>
      <c r="B5904">
        <v>54.911312000000002</v>
      </c>
    </row>
    <row r="5905" spans="1:2" x14ac:dyDescent="0.25">
      <c r="A5905" s="5">
        <v>42145</v>
      </c>
      <c r="B5905">
        <v>55.553317999999997</v>
      </c>
    </row>
    <row r="5906" spans="1:2" x14ac:dyDescent="0.25">
      <c r="A5906" s="5">
        <v>42146</v>
      </c>
      <c r="B5906">
        <v>55.093604999999997</v>
      </c>
    </row>
    <row r="5907" spans="1:2" x14ac:dyDescent="0.25">
      <c r="A5907" s="5">
        <v>42150</v>
      </c>
      <c r="B5907">
        <v>54.974716000000001</v>
      </c>
    </row>
    <row r="5908" spans="1:2" x14ac:dyDescent="0.25">
      <c r="A5908" s="5">
        <v>42151</v>
      </c>
      <c r="B5908">
        <v>56.290436</v>
      </c>
    </row>
    <row r="5909" spans="1:2" x14ac:dyDescent="0.25">
      <c r="A5909" s="5">
        <v>42152</v>
      </c>
      <c r="B5909">
        <v>55.957541999999997</v>
      </c>
    </row>
    <row r="5910" spans="1:2" x14ac:dyDescent="0.25">
      <c r="A5910" s="5">
        <v>42153</v>
      </c>
      <c r="B5910">
        <v>55.228355000000001</v>
      </c>
    </row>
    <row r="5911" spans="1:2" x14ac:dyDescent="0.25">
      <c r="A5911" s="5">
        <v>42156</v>
      </c>
      <c r="B5911">
        <v>55.403931</v>
      </c>
    </row>
    <row r="5912" spans="1:2" x14ac:dyDescent="0.25">
      <c r="A5912" s="5">
        <v>42157</v>
      </c>
      <c r="B5912">
        <v>55.348064000000001</v>
      </c>
    </row>
    <row r="5913" spans="1:2" x14ac:dyDescent="0.25">
      <c r="A5913" s="5">
        <v>42158</v>
      </c>
      <c r="B5913">
        <v>55.755099999999999</v>
      </c>
    </row>
    <row r="5914" spans="1:2" x14ac:dyDescent="0.25">
      <c r="A5914" s="5">
        <v>42159</v>
      </c>
      <c r="B5914">
        <v>54.988914000000001</v>
      </c>
    </row>
    <row r="5915" spans="1:2" x14ac:dyDescent="0.25">
      <c r="A5915" s="5">
        <v>42160</v>
      </c>
      <c r="B5915">
        <v>54.478141999999998</v>
      </c>
    </row>
    <row r="5916" spans="1:2" x14ac:dyDescent="0.25">
      <c r="A5916" s="5">
        <v>42163</v>
      </c>
      <c r="B5916">
        <v>53.696002999999997</v>
      </c>
    </row>
    <row r="5917" spans="1:2" x14ac:dyDescent="0.25">
      <c r="A5917" s="5">
        <v>42164</v>
      </c>
      <c r="B5917">
        <v>53.344836999999998</v>
      </c>
    </row>
    <row r="5918" spans="1:2" x14ac:dyDescent="0.25">
      <c r="A5918" s="5">
        <v>42165</v>
      </c>
      <c r="B5918">
        <v>53.719948000000002</v>
      </c>
    </row>
    <row r="5919" spans="1:2" x14ac:dyDescent="0.25">
      <c r="A5919" s="5">
        <v>42166</v>
      </c>
      <c r="B5919">
        <v>53.951382000000002</v>
      </c>
    </row>
    <row r="5920" spans="1:2" x14ac:dyDescent="0.25">
      <c r="A5920" s="5">
        <v>42167</v>
      </c>
      <c r="B5920">
        <v>53.496482999999998</v>
      </c>
    </row>
    <row r="5921" spans="1:2" x14ac:dyDescent="0.25">
      <c r="A5921" s="5">
        <v>42170</v>
      </c>
      <c r="B5921">
        <v>53.177238000000003</v>
      </c>
    </row>
    <row r="5922" spans="1:2" x14ac:dyDescent="0.25">
      <c r="A5922" s="5">
        <v>42171</v>
      </c>
      <c r="B5922">
        <v>53.041569000000003</v>
      </c>
    </row>
    <row r="5923" spans="1:2" x14ac:dyDescent="0.25">
      <c r="A5923" s="5">
        <v>42172</v>
      </c>
      <c r="B5923">
        <v>53.113399999999999</v>
      </c>
    </row>
    <row r="5924" spans="1:2" x14ac:dyDescent="0.25">
      <c r="A5924" s="5">
        <v>42173</v>
      </c>
      <c r="B5924">
        <v>53.759856999999997</v>
      </c>
    </row>
    <row r="5925" spans="1:2" x14ac:dyDescent="0.25">
      <c r="A5925" s="5">
        <v>42174</v>
      </c>
      <c r="B5925">
        <v>53.37677</v>
      </c>
    </row>
    <row r="5926" spans="1:2" x14ac:dyDescent="0.25">
      <c r="A5926" s="5">
        <v>42177</v>
      </c>
      <c r="B5926">
        <v>53.759856999999997</v>
      </c>
    </row>
    <row r="5927" spans="1:2" x14ac:dyDescent="0.25">
      <c r="A5927" s="5">
        <v>42178</v>
      </c>
      <c r="B5927">
        <v>53.456581</v>
      </c>
    </row>
    <row r="5928" spans="1:2" x14ac:dyDescent="0.25">
      <c r="A5928" s="5">
        <v>42179</v>
      </c>
      <c r="B5928">
        <v>52.155678000000002</v>
      </c>
    </row>
    <row r="5929" spans="1:2" x14ac:dyDescent="0.25">
      <c r="A5929" s="5">
        <v>42180</v>
      </c>
      <c r="B5929">
        <v>52.083855</v>
      </c>
    </row>
    <row r="5930" spans="1:2" x14ac:dyDescent="0.25">
      <c r="A5930" s="5">
        <v>42181</v>
      </c>
      <c r="B5930">
        <v>51.612965000000003</v>
      </c>
    </row>
    <row r="5931" spans="1:2" x14ac:dyDescent="0.25">
      <c r="A5931" s="5">
        <v>42184</v>
      </c>
      <c r="B5931">
        <v>49.976875</v>
      </c>
    </row>
    <row r="5932" spans="1:2" x14ac:dyDescent="0.25">
      <c r="A5932" s="5">
        <v>42185</v>
      </c>
      <c r="B5932">
        <v>49.984851999999997</v>
      </c>
    </row>
    <row r="5933" spans="1:2" x14ac:dyDescent="0.25">
      <c r="A5933" s="5">
        <v>42186</v>
      </c>
      <c r="B5933">
        <v>50.200344000000001</v>
      </c>
    </row>
    <row r="5934" spans="1:2" x14ac:dyDescent="0.25">
      <c r="A5934" s="5">
        <v>42187</v>
      </c>
      <c r="B5934">
        <v>50.367939</v>
      </c>
    </row>
    <row r="5935" spans="1:2" x14ac:dyDescent="0.25">
      <c r="A5935" s="5">
        <v>42191</v>
      </c>
      <c r="B5935">
        <v>50.367939</v>
      </c>
    </row>
    <row r="5936" spans="1:2" x14ac:dyDescent="0.25">
      <c r="A5936" s="5">
        <v>42192</v>
      </c>
      <c r="B5936">
        <v>50.120533000000002</v>
      </c>
    </row>
    <row r="5937" spans="1:2" x14ac:dyDescent="0.25">
      <c r="A5937" s="5">
        <v>42193</v>
      </c>
      <c r="B5937">
        <v>49.410217000000003</v>
      </c>
    </row>
    <row r="5938" spans="1:2" x14ac:dyDescent="0.25">
      <c r="A5938" s="5">
        <v>42194</v>
      </c>
      <c r="B5938">
        <v>49.370316000000003</v>
      </c>
    </row>
    <row r="5939" spans="1:2" x14ac:dyDescent="0.25">
      <c r="A5939" s="5">
        <v>42195</v>
      </c>
      <c r="B5939">
        <v>50.064658999999999</v>
      </c>
    </row>
    <row r="5940" spans="1:2" x14ac:dyDescent="0.25">
      <c r="A5940" s="5">
        <v>42198</v>
      </c>
      <c r="B5940">
        <v>50.623328999999998</v>
      </c>
    </row>
    <row r="5941" spans="1:2" x14ac:dyDescent="0.25">
      <c r="A5941" s="5">
        <v>42199</v>
      </c>
      <c r="B5941">
        <v>51.030360999999999</v>
      </c>
    </row>
    <row r="5942" spans="1:2" x14ac:dyDescent="0.25">
      <c r="A5942" s="5">
        <v>42200</v>
      </c>
      <c r="B5942">
        <v>50.982478999999998</v>
      </c>
    </row>
    <row r="5943" spans="1:2" x14ac:dyDescent="0.25">
      <c r="A5943" s="5">
        <v>42201</v>
      </c>
      <c r="B5943">
        <v>51.517200000000003</v>
      </c>
    </row>
    <row r="5944" spans="1:2" x14ac:dyDescent="0.25">
      <c r="A5944" s="5">
        <v>42202</v>
      </c>
      <c r="B5944">
        <v>51.349601999999997</v>
      </c>
    </row>
    <row r="5945" spans="1:2" x14ac:dyDescent="0.25">
      <c r="A5945" s="5">
        <v>42205</v>
      </c>
      <c r="B5945">
        <v>50.910645000000002</v>
      </c>
    </row>
    <row r="5946" spans="1:2" x14ac:dyDescent="0.25">
      <c r="A5946" s="5">
        <v>42206</v>
      </c>
      <c r="B5946">
        <v>51.988070999999998</v>
      </c>
    </row>
    <row r="5947" spans="1:2" x14ac:dyDescent="0.25">
      <c r="A5947" s="5">
        <v>42207</v>
      </c>
      <c r="B5947">
        <v>51.229880999999999</v>
      </c>
    </row>
    <row r="5948" spans="1:2" x14ac:dyDescent="0.25">
      <c r="A5948" s="5">
        <v>42208</v>
      </c>
      <c r="B5948">
        <v>49.306460999999999</v>
      </c>
    </row>
    <row r="5949" spans="1:2" x14ac:dyDescent="0.25">
      <c r="A5949" s="5">
        <v>42209</v>
      </c>
      <c r="B5949">
        <v>49.194732999999999</v>
      </c>
    </row>
    <row r="5950" spans="1:2" x14ac:dyDescent="0.25">
      <c r="A5950" s="5">
        <v>42212</v>
      </c>
      <c r="B5950">
        <v>49.466087000000002</v>
      </c>
    </row>
    <row r="5951" spans="1:2" x14ac:dyDescent="0.25">
      <c r="A5951" s="5">
        <v>42213</v>
      </c>
      <c r="B5951">
        <v>50.359935999999998</v>
      </c>
    </row>
    <row r="5952" spans="1:2" x14ac:dyDescent="0.25">
      <c r="A5952" s="5">
        <v>42214</v>
      </c>
      <c r="B5952">
        <v>50.415824999999998</v>
      </c>
    </row>
    <row r="5953" spans="1:2" x14ac:dyDescent="0.25">
      <c r="A5953" s="5">
        <v>42215</v>
      </c>
      <c r="B5953">
        <v>51.405464000000002</v>
      </c>
    </row>
    <row r="5954" spans="1:2" x14ac:dyDescent="0.25">
      <c r="A5954" s="5">
        <v>42216</v>
      </c>
      <c r="B5954">
        <v>51.389496000000001</v>
      </c>
    </row>
    <row r="5955" spans="1:2" x14ac:dyDescent="0.25">
      <c r="A5955" s="5">
        <v>42219</v>
      </c>
      <c r="B5955">
        <v>51.421429000000003</v>
      </c>
    </row>
    <row r="5956" spans="1:2" x14ac:dyDescent="0.25">
      <c r="A5956" s="5">
        <v>42220</v>
      </c>
      <c r="B5956">
        <v>50.639290000000003</v>
      </c>
    </row>
    <row r="5957" spans="1:2" x14ac:dyDescent="0.25">
      <c r="A5957" s="5">
        <v>42221</v>
      </c>
      <c r="B5957">
        <v>50.982478999999998</v>
      </c>
    </row>
    <row r="5958" spans="1:2" x14ac:dyDescent="0.25">
      <c r="A5958" s="5">
        <v>42222</v>
      </c>
      <c r="B5958">
        <v>50.152453999999999</v>
      </c>
    </row>
    <row r="5959" spans="1:2" x14ac:dyDescent="0.25">
      <c r="A5959" s="5">
        <v>42223</v>
      </c>
      <c r="B5959">
        <v>50.296104</v>
      </c>
    </row>
    <row r="5960" spans="1:2" x14ac:dyDescent="0.25">
      <c r="A5960" s="5">
        <v>42226</v>
      </c>
      <c r="B5960">
        <v>50.399859999999997</v>
      </c>
    </row>
    <row r="5961" spans="1:2" x14ac:dyDescent="0.25">
      <c r="A5961" s="5">
        <v>42227</v>
      </c>
      <c r="B5961">
        <v>49.920994</v>
      </c>
    </row>
    <row r="5962" spans="1:2" x14ac:dyDescent="0.25">
      <c r="A5962" s="5">
        <v>42228</v>
      </c>
      <c r="B5962">
        <v>49.944946000000002</v>
      </c>
    </row>
    <row r="5963" spans="1:2" x14ac:dyDescent="0.25">
      <c r="A5963" s="5">
        <v>42229</v>
      </c>
      <c r="B5963">
        <v>49.505997000000001</v>
      </c>
    </row>
    <row r="5964" spans="1:2" x14ac:dyDescent="0.25">
      <c r="A5964" s="5">
        <v>42230</v>
      </c>
      <c r="B5964">
        <v>49.410217000000003</v>
      </c>
    </row>
    <row r="5965" spans="1:2" x14ac:dyDescent="0.25">
      <c r="A5965" s="5">
        <v>42233</v>
      </c>
      <c r="B5965">
        <v>49.537917999999998</v>
      </c>
    </row>
    <row r="5966" spans="1:2" x14ac:dyDescent="0.25">
      <c r="A5966" s="5">
        <v>42234</v>
      </c>
      <c r="B5966">
        <v>48.939346</v>
      </c>
    </row>
    <row r="5967" spans="1:2" x14ac:dyDescent="0.25">
      <c r="A5967" s="5">
        <v>42235</v>
      </c>
      <c r="B5967">
        <v>48.827613999999997</v>
      </c>
    </row>
    <row r="5968" spans="1:2" x14ac:dyDescent="0.25">
      <c r="A5968" s="5">
        <v>42236</v>
      </c>
      <c r="B5968">
        <v>48.005569000000001</v>
      </c>
    </row>
    <row r="5969" spans="1:2" x14ac:dyDescent="0.25">
      <c r="A5969" s="5">
        <v>42237</v>
      </c>
      <c r="B5969">
        <v>45.978397000000001</v>
      </c>
    </row>
    <row r="5970" spans="1:2" x14ac:dyDescent="0.25">
      <c r="A5970" s="5">
        <v>42240</v>
      </c>
      <c r="B5970">
        <v>44.118831999999998</v>
      </c>
    </row>
    <row r="5971" spans="1:2" x14ac:dyDescent="0.25">
      <c r="A5971" s="5">
        <v>42241</v>
      </c>
      <c r="B5971">
        <v>43.001499000000003</v>
      </c>
    </row>
    <row r="5972" spans="1:2" x14ac:dyDescent="0.25">
      <c r="A5972" s="5">
        <v>42242</v>
      </c>
      <c r="B5972">
        <v>45.220215000000003</v>
      </c>
    </row>
    <row r="5973" spans="1:2" x14ac:dyDescent="0.25">
      <c r="A5973" s="5">
        <v>42243</v>
      </c>
      <c r="B5973">
        <v>45.778880999999998</v>
      </c>
    </row>
    <row r="5974" spans="1:2" x14ac:dyDescent="0.25">
      <c r="A5974" s="5">
        <v>42244</v>
      </c>
      <c r="B5974">
        <v>45.850704</v>
      </c>
    </row>
    <row r="5975" spans="1:2" x14ac:dyDescent="0.25">
      <c r="A5975" s="5">
        <v>42247</v>
      </c>
      <c r="B5975">
        <v>45.536816000000002</v>
      </c>
    </row>
    <row r="5976" spans="1:2" x14ac:dyDescent="0.25">
      <c r="A5976" s="5">
        <v>42248</v>
      </c>
      <c r="B5976">
        <v>44.281303000000001</v>
      </c>
    </row>
    <row r="5977" spans="1:2" x14ac:dyDescent="0.25">
      <c r="A5977" s="5">
        <v>42249</v>
      </c>
      <c r="B5977">
        <v>44.957348000000003</v>
      </c>
    </row>
    <row r="5978" spans="1:2" x14ac:dyDescent="0.25">
      <c r="A5978" s="5">
        <v>42250</v>
      </c>
      <c r="B5978">
        <v>44.707858999999999</v>
      </c>
    </row>
    <row r="5979" spans="1:2" x14ac:dyDescent="0.25">
      <c r="A5979" s="5">
        <v>42251</v>
      </c>
      <c r="B5979">
        <v>43.693787</v>
      </c>
    </row>
    <row r="5980" spans="1:2" x14ac:dyDescent="0.25">
      <c r="A5980" s="5">
        <v>42255</v>
      </c>
      <c r="B5980">
        <v>44.426167</v>
      </c>
    </row>
    <row r="5981" spans="1:2" x14ac:dyDescent="0.25">
      <c r="A5981" s="5">
        <v>42256</v>
      </c>
      <c r="B5981">
        <v>43.717917999999997</v>
      </c>
    </row>
    <row r="5982" spans="1:2" x14ac:dyDescent="0.25">
      <c r="A5982" s="5">
        <v>42257</v>
      </c>
      <c r="B5982">
        <v>44.530804000000003</v>
      </c>
    </row>
    <row r="5983" spans="1:2" x14ac:dyDescent="0.25">
      <c r="A5983" s="5">
        <v>42258</v>
      </c>
      <c r="B5983">
        <v>43.991562000000002</v>
      </c>
    </row>
    <row r="5984" spans="1:2" x14ac:dyDescent="0.25">
      <c r="A5984" s="5">
        <v>42261</v>
      </c>
      <c r="B5984">
        <v>43.709887999999999</v>
      </c>
    </row>
    <row r="5985" spans="1:2" x14ac:dyDescent="0.25">
      <c r="A5985" s="5">
        <v>42262</v>
      </c>
      <c r="B5985">
        <v>44.160580000000003</v>
      </c>
    </row>
    <row r="5986" spans="1:2" x14ac:dyDescent="0.25">
      <c r="A5986" s="5">
        <v>42263</v>
      </c>
      <c r="B5986">
        <v>44.426167</v>
      </c>
    </row>
    <row r="5987" spans="1:2" x14ac:dyDescent="0.25">
      <c r="A5987" s="5">
        <v>42264</v>
      </c>
      <c r="B5987">
        <v>44.249110999999999</v>
      </c>
    </row>
    <row r="5988" spans="1:2" x14ac:dyDescent="0.25">
      <c r="A5988" s="5">
        <v>42265</v>
      </c>
      <c r="B5988">
        <v>43.822552000000002</v>
      </c>
    </row>
    <row r="5989" spans="1:2" x14ac:dyDescent="0.25">
      <c r="A5989" s="5">
        <v>42268</v>
      </c>
      <c r="B5989">
        <v>43.774268999999997</v>
      </c>
    </row>
    <row r="5990" spans="1:2" x14ac:dyDescent="0.25">
      <c r="A5990" s="5">
        <v>42269</v>
      </c>
      <c r="B5990">
        <v>43.412094000000003</v>
      </c>
    </row>
    <row r="5991" spans="1:2" x14ac:dyDescent="0.25">
      <c r="A5991" s="5">
        <v>42270</v>
      </c>
      <c r="B5991">
        <v>43.106262000000001</v>
      </c>
    </row>
    <row r="5992" spans="1:2" x14ac:dyDescent="0.25">
      <c r="A5992" s="5">
        <v>42271</v>
      </c>
      <c r="B5992">
        <v>42.872871000000004</v>
      </c>
    </row>
    <row r="5993" spans="1:2" x14ac:dyDescent="0.25">
      <c r="A5993" s="5">
        <v>42272</v>
      </c>
      <c r="B5993">
        <v>42.832625999999998</v>
      </c>
    </row>
    <row r="5994" spans="1:2" x14ac:dyDescent="0.25">
      <c r="A5994" s="5">
        <v>42275</v>
      </c>
      <c r="B5994">
        <v>42.285347000000002</v>
      </c>
    </row>
    <row r="5995" spans="1:2" x14ac:dyDescent="0.25">
      <c r="A5995" s="5">
        <v>42276</v>
      </c>
      <c r="B5995">
        <v>42.196812000000001</v>
      </c>
    </row>
    <row r="5996" spans="1:2" x14ac:dyDescent="0.25">
      <c r="A5996" s="5">
        <v>42277</v>
      </c>
      <c r="B5996">
        <v>43.243076000000002</v>
      </c>
    </row>
    <row r="5997" spans="1:2" x14ac:dyDescent="0.25">
      <c r="A5997" s="5">
        <v>42278</v>
      </c>
      <c r="B5997">
        <v>42.800423000000002</v>
      </c>
    </row>
    <row r="5998" spans="1:2" x14ac:dyDescent="0.25">
      <c r="A5998" s="5">
        <v>42279</v>
      </c>
      <c r="B5998">
        <v>44.321541000000003</v>
      </c>
    </row>
    <row r="5999" spans="1:2" x14ac:dyDescent="0.25">
      <c r="A5999" s="5">
        <v>42282</v>
      </c>
      <c r="B5999">
        <v>45.255138000000002</v>
      </c>
    </row>
    <row r="6000" spans="1:2" x14ac:dyDescent="0.25">
      <c r="A6000" s="5">
        <v>42283</v>
      </c>
      <c r="B6000">
        <v>45.327572000000004</v>
      </c>
    </row>
    <row r="6001" spans="1:2" x14ac:dyDescent="0.25">
      <c r="A6001" s="5">
        <v>42284</v>
      </c>
      <c r="B6001">
        <v>45.560966000000001</v>
      </c>
    </row>
    <row r="6002" spans="1:2" x14ac:dyDescent="0.25">
      <c r="A6002" s="5">
        <v>42285</v>
      </c>
      <c r="B6002">
        <v>46.406025</v>
      </c>
    </row>
    <row r="6003" spans="1:2" x14ac:dyDescent="0.25">
      <c r="A6003" s="5">
        <v>42286</v>
      </c>
      <c r="B6003">
        <v>46.502612999999997</v>
      </c>
    </row>
    <row r="6004" spans="1:2" x14ac:dyDescent="0.25">
      <c r="A6004" s="5">
        <v>42289</v>
      </c>
      <c r="B6004">
        <v>46.510657999999999</v>
      </c>
    </row>
    <row r="6005" spans="1:2" x14ac:dyDescent="0.25">
      <c r="A6005" s="5">
        <v>42290</v>
      </c>
      <c r="B6005">
        <v>46.285308999999998</v>
      </c>
    </row>
    <row r="6006" spans="1:2" x14ac:dyDescent="0.25">
      <c r="A6006" s="5">
        <v>42291</v>
      </c>
      <c r="B6006">
        <v>47.186698999999997</v>
      </c>
    </row>
    <row r="6007" spans="1:2" x14ac:dyDescent="0.25">
      <c r="A6007" s="5">
        <v>42292</v>
      </c>
      <c r="B6007">
        <v>47.693741000000003</v>
      </c>
    </row>
    <row r="6008" spans="1:2" x14ac:dyDescent="0.25">
      <c r="A6008" s="5">
        <v>42293</v>
      </c>
      <c r="B6008">
        <v>48.216884999999998</v>
      </c>
    </row>
    <row r="6009" spans="1:2" x14ac:dyDescent="0.25">
      <c r="A6009" s="5">
        <v>42296</v>
      </c>
      <c r="B6009">
        <v>47.564976000000001</v>
      </c>
    </row>
    <row r="6010" spans="1:2" x14ac:dyDescent="0.25">
      <c r="A6010" s="5">
        <v>42297</v>
      </c>
      <c r="B6010">
        <v>47.484501000000002</v>
      </c>
    </row>
    <row r="6011" spans="1:2" x14ac:dyDescent="0.25">
      <c r="A6011" s="5">
        <v>42298</v>
      </c>
      <c r="B6011">
        <v>47.460346000000001</v>
      </c>
    </row>
    <row r="6012" spans="1:2" x14ac:dyDescent="0.25">
      <c r="A6012" s="5">
        <v>42299</v>
      </c>
      <c r="B6012">
        <v>48.635387000000001</v>
      </c>
    </row>
    <row r="6013" spans="1:2" x14ac:dyDescent="0.25">
      <c r="A6013" s="5">
        <v>42300</v>
      </c>
      <c r="B6013">
        <v>48.876838999999997</v>
      </c>
    </row>
    <row r="6014" spans="1:2" x14ac:dyDescent="0.25">
      <c r="A6014" s="5">
        <v>42303</v>
      </c>
      <c r="B6014">
        <v>47.653506999999998</v>
      </c>
    </row>
    <row r="6015" spans="1:2" x14ac:dyDescent="0.25">
      <c r="A6015" s="5">
        <v>42304</v>
      </c>
      <c r="B6015">
        <v>47.709842999999999</v>
      </c>
    </row>
    <row r="6016" spans="1:2" x14ac:dyDescent="0.25">
      <c r="A6016" s="5">
        <v>42305</v>
      </c>
      <c r="B6016">
        <v>48.506618000000003</v>
      </c>
    </row>
    <row r="6017" spans="1:2" x14ac:dyDescent="0.25">
      <c r="A6017" s="5">
        <v>42306</v>
      </c>
      <c r="B6017">
        <v>48.28931</v>
      </c>
    </row>
    <row r="6018" spans="1:2" x14ac:dyDescent="0.25">
      <c r="A6018" s="5">
        <v>42307</v>
      </c>
      <c r="B6018">
        <v>47.822510000000001</v>
      </c>
    </row>
    <row r="6019" spans="1:2" x14ac:dyDescent="0.25">
      <c r="A6019" s="5">
        <v>42310</v>
      </c>
      <c r="B6019">
        <v>48.804381999999997</v>
      </c>
    </row>
    <row r="6020" spans="1:2" x14ac:dyDescent="0.25">
      <c r="A6020" s="5">
        <v>42311</v>
      </c>
      <c r="B6020">
        <v>48.989513000000002</v>
      </c>
    </row>
    <row r="6021" spans="1:2" x14ac:dyDescent="0.25">
      <c r="A6021" s="5">
        <v>42312</v>
      </c>
      <c r="B6021">
        <v>48.498573</v>
      </c>
    </row>
    <row r="6022" spans="1:2" x14ac:dyDescent="0.25">
      <c r="A6022" s="5">
        <v>42313</v>
      </c>
      <c r="B6022">
        <v>41.102260999999999</v>
      </c>
    </row>
    <row r="6023" spans="1:2" x14ac:dyDescent="0.25">
      <c r="A6023" s="5">
        <v>42314</v>
      </c>
      <c r="B6023">
        <v>42.993586999999998</v>
      </c>
    </row>
    <row r="6024" spans="1:2" x14ac:dyDescent="0.25">
      <c r="A6024" s="5">
        <v>42317</v>
      </c>
      <c r="B6024">
        <v>42.607264999999998</v>
      </c>
    </row>
    <row r="6025" spans="1:2" x14ac:dyDescent="0.25">
      <c r="A6025" s="5">
        <v>42318</v>
      </c>
      <c r="B6025">
        <v>42.068035000000002</v>
      </c>
    </row>
    <row r="6026" spans="1:2" x14ac:dyDescent="0.25">
      <c r="A6026" s="5">
        <v>42319</v>
      </c>
      <c r="B6026">
        <v>42.534843000000002</v>
      </c>
    </row>
    <row r="6027" spans="1:2" x14ac:dyDescent="0.25">
      <c r="A6027" s="5">
        <v>42320</v>
      </c>
      <c r="B6027">
        <v>42.317543000000001</v>
      </c>
    </row>
    <row r="6028" spans="1:2" x14ac:dyDescent="0.25">
      <c r="A6028" s="5">
        <v>42321</v>
      </c>
      <c r="B6028">
        <v>41.802444000000001</v>
      </c>
    </row>
    <row r="6029" spans="1:2" x14ac:dyDescent="0.25">
      <c r="A6029" s="5">
        <v>42324</v>
      </c>
      <c r="B6029">
        <v>42.470450999999997</v>
      </c>
    </row>
    <row r="6030" spans="1:2" x14ac:dyDescent="0.25">
      <c r="A6030" s="5">
        <v>42325</v>
      </c>
      <c r="B6030">
        <v>42.639457999999998</v>
      </c>
    </row>
    <row r="6031" spans="1:2" x14ac:dyDescent="0.25">
      <c r="A6031" s="5">
        <v>42326</v>
      </c>
      <c r="B6031">
        <v>38.631458000000002</v>
      </c>
    </row>
    <row r="6032" spans="1:2" x14ac:dyDescent="0.25">
      <c r="A6032" s="5">
        <v>42327</v>
      </c>
      <c r="B6032">
        <v>38.945328000000003</v>
      </c>
    </row>
    <row r="6033" spans="1:2" x14ac:dyDescent="0.25">
      <c r="A6033" s="5">
        <v>42328</v>
      </c>
      <c r="B6033">
        <v>39.935260999999997</v>
      </c>
    </row>
    <row r="6034" spans="1:2" x14ac:dyDescent="0.25">
      <c r="A6034" s="5">
        <v>42331</v>
      </c>
      <c r="B6034">
        <v>39.412128000000003</v>
      </c>
    </row>
    <row r="6035" spans="1:2" x14ac:dyDescent="0.25">
      <c r="A6035" s="5">
        <v>42332</v>
      </c>
      <c r="B6035">
        <v>39.766254000000004</v>
      </c>
    </row>
    <row r="6036" spans="1:2" x14ac:dyDescent="0.25">
      <c r="A6036" s="5">
        <v>42333</v>
      </c>
      <c r="B6036">
        <v>39.516762</v>
      </c>
    </row>
    <row r="6037" spans="1:2" x14ac:dyDescent="0.25">
      <c r="A6037" s="5">
        <v>42335</v>
      </c>
      <c r="B6037">
        <v>39.451729</v>
      </c>
    </row>
    <row r="6038" spans="1:2" x14ac:dyDescent="0.25">
      <c r="A6038" s="5">
        <v>42338</v>
      </c>
      <c r="B6038">
        <v>39.654921999999999</v>
      </c>
    </row>
    <row r="6039" spans="1:2" x14ac:dyDescent="0.25">
      <c r="A6039" s="5">
        <v>42339</v>
      </c>
      <c r="B6039">
        <v>40.069434999999999</v>
      </c>
    </row>
    <row r="6040" spans="1:2" x14ac:dyDescent="0.25">
      <c r="A6040" s="5">
        <v>42340</v>
      </c>
      <c r="B6040">
        <v>42.141993999999997</v>
      </c>
    </row>
    <row r="6041" spans="1:2" x14ac:dyDescent="0.25">
      <c r="A6041" s="5">
        <v>42341</v>
      </c>
      <c r="B6041">
        <v>41.776257000000001</v>
      </c>
    </row>
    <row r="6042" spans="1:2" x14ac:dyDescent="0.25">
      <c r="A6042" s="5">
        <v>42342</v>
      </c>
      <c r="B6042">
        <v>42.540260000000004</v>
      </c>
    </row>
    <row r="6043" spans="1:2" x14ac:dyDescent="0.25">
      <c r="A6043" s="5">
        <v>42345</v>
      </c>
      <c r="B6043">
        <v>42.613402999999998</v>
      </c>
    </row>
    <row r="6044" spans="1:2" x14ac:dyDescent="0.25">
      <c r="A6044" s="5">
        <v>42346</v>
      </c>
      <c r="B6044">
        <v>40.215739999999997</v>
      </c>
    </row>
    <row r="6045" spans="1:2" x14ac:dyDescent="0.25">
      <c r="A6045" s="5">
        <v>42347</v>
      </c>
      <c r="B6045">
        <v>39.492381999999999</v>
      </c>
    </row>
    <row r="6046" spans="1:2" x14ac:dyDescent="0.25">
      <c r="A6046" s="5">
        <v>42348</v>
      </c>
      <c r="B6046">
        <v>39.476120000000002</v>
      </c>
    </row>
    <row r="6047" spans="1:2" x14ac:dyDescent="0.25">
      <c r="A6047" s="5">
        <v>42349</v>
      </c>
      <c r="B6047">
        <v>38.573943999999997</v>
      </c>
    </row>
    <row r="6048" spans="1:2" x14ac:dyDescent="0.25">
      <c r="A6048" s="5">
        <v>42352</v>
      </c>
      <c r="B6048">
        <v>38.061909</v>
      </c>
    </row>
    <row r="6049" spans="1:2" x14ac:dyDescent="0.25">
      <c r="A6049" s="5">
        <v>42353</v>
      </c>
      <c r="B6049">
        <v>39.029094999999998</v>
      </c>
    </row>
    <row r="6050" spans="1:2" x14ac:dyDescent="0.25">
      <c r="A6050" s="5">
        <v>42354</v>
      </c>
      <c r="B6050">
        <v>39.069732999999999</v>
      </c>
    </row>
    <row r="6051" spans="1:2" x14ac:dyDescent="0.25">
      <c r="A6051" s="5">
        <v>42355</v>
      </c>
      <c r="B6051">
        <v>38.638973</v>
      </c>
    </row>
    <row r="6052" spans="1:2" x14ac:dyDescent="0.25">
      <c r="A6052" s="5">
        <v>42356</v>
      </c>
      <c r="B6052">
        <v>38.549563999999997</v>
      </c>
    </row>
    <row r="6053" spans="1:2" x14ac:dyDescent="0.25">
      <c r="A6053" s="5">
        <v>42359</v>
      </c>
      <c r="B6053">
        <v>39.630549999999999</v>
      </c>
    </row>
    <row r="6054" spans="1:2" x14ac:dyDescent="0.25">
      <c r="A6054" s="5">
        <v>42360</v>
      </c>
      <c r="B6054">
        <v>39.882503999999997</v>
      </c>
    </row>
    <row r="6055" spans="1:2" x14ac:dyDescent="0.25">
      <c r="A6055" s="5">
        <v>42361</v>
      </c>
      <c r="B6055">
        <v>39.858123999999997</v>
      </c>
    </row>
    <row r="6056" spans="1:2" x14ac:dyDescent="0.25">
      <c r="A6056" s="5">
        <v>42362</v>
      </c>
      <c r="B6056">
        <v>40.272635999999999</v>
      </c>
    </row>
    <row r="6057" spans="1:2" x14ac:dyDescent="0.25">
      <c r="A6057" s="5">
        <v>42366</v>
      </c>
      <c r="B6057">
        <v>40.297015999999999</v>
      </c>
    </row>
    <row r="6058" spans="1:2" x14ac:dyDescent="0.25">
      <c r="A6058" s="5">
        <v>42367</v>
      </c>
      <c r="B6058">
        <v>41.353606999999997</v>
      </c>
    </row>
    <row r="6059" spans="1:2" x14ac:dyDescent="0.25">
      <c r="A6059" s="5">
        <v>42368</v>
      </c>
      <c r="B6059">
        <v>40.971611000000003</v>
      </c>
    </row>
    <row r="6060" spans="1:2" x14ac:dyDescent="0.25">
      <c r="A6060" s="5">
        <v>42369</v>
      </c>
      <c r="B6060">
        <v>40.630248999999999</v>
      </c>
    </row>
    <row r="6061" spans="1:2" x14ac:dyDescent="0.25">
      <c r="A6061" s="5">
        <v>42373</v>
      </c>
      <c r="B6061">
        <v>40.735911999999999</v>
      </c>
    </row>
    <row r="6062" spans="1:2" x14ac:dyDescent="0.25">
      <c r="A6062" s="5">
        <v>42374</v>
      </c>
      <c r="B6062">
        <v>39.939396000000002</v>
      </c>
    </row>
    <row r="6063" spans="1:2" x14ac:dyDescent="0.25">
      <c r="A6063" s="5">
        <v>42375</v>
      </c>
      <c r="B6063">
        <v>39.533011999999999</v>
      </c>
    </row>
    <row r="6064" spans="1:2" x14ac:dyDescent="0.25">
      <c r="A6064" s="5">
        <v>42376</v>
      </c>
      <c r="B6064">
        <v>37.501099000000004</v>
      </c>
    </row>
    <row r="6065" spans="1:2" x14ac:dyDescent="0.25">
      <c r="A6065" s="5">
        <v>42377</v>
      </c>
      <c r="B6065">
        <v>37.289771999999999</v>
      </c>
    </row>
    <row r="6066" spans="1:2" x14ac:dyDescent="0.25">
      <c r="A6066" s="5">
        <v>42380</v>
      </c>
      <c r="B6066">
        <v>37.444191000000004</v>
      </c>
    </row>
    <row r="6067" spans="1:2" x14ac:dyDescent="0.25">
      <c r="A6067" s="5">
        <v>42381</v>
      </c>
      <c r="B6067">
        <v>37.809939999999997</v>
      </c>
    </row>
    <row r="6068" spans="1:2" x14ac:dyDescent="0.25">
      <c r="A6068" s="5">
        <v>42382</v>
      </c>
      <c r="B6068">
        <v>37.468581999999998</v>
      </c>
    </row>
    <row r="6069" spans="1:2" x14ac:dyDescent="0.25">
      <c r="A6069" s="5">
        <v>42383</v>
      </c>
      <c r="B6069">
        <v>38.793388</v>
      </c>
    </row>
    <row r="6070" spans="1:2" x14ac:dyDescent="0.25">
      <c r="A6070" s="5">
        <v>42384</v>
      </c>
      <c r="B6070">
        <v>37.241005000000001</v>
      </c>
    </row>
    <row r="6071" spans="1:2" x14ac:dyDescent="0.25">
      <c r="A6071" s="5">
        <v>42388</v>
      </c>
      <c r="B6071">
        <v>37.460461000000002</v>
      </c>
    </row>
    <row r="6072" spans="1:2" x14ac:dyDescent="0.25">
      <c r="A6072" s="5">
        <v>42389</v>
      </c>
      <c r="B6072">
        <v>37.330410000000001</v>
      </c>
    </row>
    <row r="6073" spans="1:2" x14ac:dyDescent="0.25">
      <c r="A6073" s="5">
        <v>42390</v>
      </c>
      <c r="B6073">
        <v>38.240707</v>
      </c>
    </row>
    <row r="6074" spans="1:2" x14ac:dyDescent="0.25">
      <c r="A6074" s="5">
        <v>42391</v>
      </c>
      <c r="B6074">
        <v>39.069732999999999</v>
      </c>
    </row>
    <row r="6075" spans="1:2" x14ac:dyDescent="0.25">
      <c r="A6075" s="5">
        <v>42394</v>
      </c>
      <c r="B6075">
        <v>38.671486000000002</v>
      </c>
    </row>
    <row r="6076" spans="1:2" x14ac:dyDescent="0.25">
      <c r="A6076" s="5">
        <v>42395</v>
      </c>
      <c r="B6076">
        <v>39.435482</v>
      </c>
    </row>
    <row r="6077" spans="1:2" x14ac:dyDescent="0.25">
      <c r="A6077" s="5">
        <v>42396</v>
      </c>
      <c r="B6077">
        <v>38.630839999999999</v>
      </c>
    </row>
    <row r="6078" spans="1:2" x14ac:dyDescent="0.25">
      <c r="A6078" s="5">
        <v>42397</v>
      </c>
      <c r="B6078">
        <v>35.428539000000001</v>
      </c>
    </row>
    <row r="6079" spans="1:2" x14ac:dyDescent="0.25">
      <c r="A6079" s="5">
        <v>42398</v>
      </c>
      <c r="B6079">
        <v>36.850883000000003</v>
      </c>
    </row>
    <row r="6080" spans="1:2" x14ac:dyDescent="0.25">
      <c r="A6080" s="5">
        <v>42401</v>
      </c>
      <c r="B6080">
        <v>37.476706999999998</v>
      </c>
    </row>
    <row r="6081" spans="1:2" x14ac:dyDescent="0.25">
      <c r="A6081" s="5">
        <v>42402</v>
      </c>
      <c r="B6081">
        <v>35.070914999999999</v>
      </c>
    </row>
    <row r="6082" spans="1:2" x14ac:dyDescent="0.25">
      <c r="A6082" s="5">
        <v>42403</v>
      </c>
      <c r="B6082">
        <v>36.355080000000001</v>
      </c>
    </row>
    <row r="6083" spans="1:2" x14ac:dyDescent="0.25">
      <c r="A6083" s="5">
        <v>42404</v>
      </c>
      <c r="B6083">
        <v>37.110970000000002</v>
      </c>
    </row>
    <row r="6084" spans="1:2" x14ac:dyDescent="0.25">
      <c r="A6084" s="5">
        <v>42405</v>
      </c>
      <c r="B6084">
        <v>35.778027000000002</v>
      </c>
    </row>
    <row r="6085" spans="1:2" x14ac:dyDescent="0.25">
      <c r="A6085" s="5">
        <v>42408</v>
      </c>
      <c r="B6085">
        <v>35.672359</v>
      </c>
    </row>
    <row r="6086" spans="1:2" x14ac:dyDescent="0.25">
      <c r="A6086" s="5">
        <v>42409</v>
      </c>
      <c r="B6086">
        <v>35.444786000000001</v>
      </c>
    </row>
    <row r="6087" spans="1:2" x14ac:dyDescent="0.25">
      <c r="A6087" s="5">
        <v>42410</v>
      </c>
      <c r="B6087">
        <v>34.916488999999999</v>
      </c>
    </row>
    <row r="6088" spans="1:2" x14ac:dyDescent="0.25">
      <c r="A6088" s="5">
        <v>42411</v>
      </c>
      <c r="B6088">
        <v>34.949005</v>
      </c>
    </row>
    <row r="6089" spans="1:2" x14ac:dyDescent="0.25">
      <c r="A6089" s="5">
        <v>42412</v>
      </c>
      <c r="B6089">
        <v>36.216918999999997</v>
      </c>
    </row>
    <row r="6090" spans="1:2" x14ac:dyDescent="0.25">
      <c r="A6090" s="5">
        <v>42416</v>
      </c>
      <c r="B6090">
        <v>37.980618</v>
      </c>
    </row>
    <row r="6091" spans="1:2" x14ac:dyDescent="0.25">
      <c r="A6091" s="5">
        <v>42417</v>
      </c>
      <c r="B6091">
        <v>39.346077000000001</v>
      </c>
    </row>
    <row r="6092" spans="1:2" x14ac:dyDescent="0.25">
      <c r="A6092" s="5">
        <v>42418</v>
      </c>
      <c r="B6092">
        <v>39.890636000000001</v>
      </c>
    </row>
    <row r="6093" spans="1:2" x14ac:dyDescent="0.25">
      <c r="A6093" s="5">
        <v>42419</v>
      </c>
      <c r="B6093">
        <v>40.166969000000002</v>
      </c>
    </row>
    <row r="6094" spans="1:2" x14ac:dyDescent="0.25">
      <c r="A6094" s="5">
        <v>42422</v>
      </c>
      <c r="B6094">
        <v>41.678711</v>
      </c>
    </row>
    <row r="6095" spans="1:2" x14ac:dyDescent="0.25">
      <c r="A6095" s="5">
        <v>42423</v>
      </c>
      <c r="B6095">
        <v>40.979728999999999</v>
      </c>
    </row>
    <row r="6096" spans="1:2" x14ac:dyDescent="0.25">
      <c r="A6096" s="5">
        <v>42424</v>
      </c>
      <c r="B6096">
        <v>41.873787</v>
      </c>
    </row>
    <row r="6097" spans="1:2" x14ac:dyDescent="0.25">
      <c r="A6097" s="5">
        <v>42425</v>
      </c>
      <c r="B6097">
        <v>41.971321000000003</v>
      </c>
    </row>
    <row r="6098" spans="1:2" x14ac:dyDescent="0.25">
      <c r="A6098" s="5">
        <v>42426</v>
      </c>
      <c r="B6098">
        <v>41.955055000000002</v>
      </c>
    </row>
    <row r="6099" spans="1:2" x14ac:dyDescent="0.25">
      <c r="A6099" s="5">
        <v>42429</v>
      </c>
      <c r="B6099">
        <v>41.667923000000002</v>
      </c>
    </row>
    <row r="6100" spans="1:2" x14ac:dyDescent="0.25">
      <c r="A6100" s="5">
        <v>42430</v>
      </c>
      <c r="B6100">
        <v>42.750847</v>
      </c>
    </row>
    <row r="6101" spans="1:2" x14ac:dyDescent="0.25">
      <c r="A6101" s="5">
        <v>42431</v>
      </c>
      <c r="B6101">
        <v>43.357937</v>
      </c>
    </row>
    <row r="6102" spans="1:2" x14ac:dyDescent="0.25">
      <c r="A6102" s="5">
        <v>42432</v>
      </c>
      <c r="B6102">
        <v>42.972346999999999</v>
      </c>
    </row>
    <row r="6103" spans="1:2" x14ac:dyDescent="0.25">
      <c r="A6103" s="5">
        <v>42433</v>
      </c>
      <c r="B6103">
        <v>43.202064999999997</v>
      </c>
    </row>
    <row r="6104" spans="1:2" x14ac:dyDescent="0.25">
      <c r="A6104" s="5">
        <v>42436</v>
      </c>
      <c r="B6104">
        <v>43.727111999999998</v>
      </c>
    </row>
    <row r="6105" spans="1:2" x14ac:dyDescent="0.25">
      <c r="A6105" s="5">
        <v>42437</v>
      </c>
      <c r="B6105">
        <v>43.037982999999997</v>
      </c>
    </row>
    <row r="6106" spans="1:2" x14ac:dyDescent="0.25">
      <c r="A6106" s="5">
        <v>42438</v>
      </c>
      <c r="B6106">
        <v>42.619591</v>
      </c>
    </row>
    <row r="6107" spans="1:2" x14ac:dyDescent="0.25">
      <c r="A6107" s="5">
        <v>42439</v>
      </c>
      <c r="B6107">
        <v>42.677005999999999</v>
      </c>
    </row>
    <row r="6108" spans="1:2" x14ac:dyDescent="0.25">
      <c r="A6108" s="5">
        <v>42440</v>
      </c>
      <c r="B6108">
        <v>42.841090999999999</v>
      </c>
    </row>
    <row r="6109" spans="1:2" x14ac:dyDescent="0.25">
      <c r="A6109" s="5">
        <v>42443</v>
      </c>
      <c r="B6109">
        <v>42.734439999999999</v>
      </c>
    </row>
    <row r="6110" spans="1:2" x14ac:dyDescent="0.25">
      <c r="A6110" s="5">
        <v>42444</v>
      </c>
      <c r="B6110">
        <v>42.357056</v>
      </c>
    </row>
    <row r="6111" spans="1:2" x14ac:dyDescent="0.25">
      <c r="A6111" s="5">
        <v>42445</v>
      </c>
      <c r="B6111">
        <v>42.086323</v>
      </c>
    </row>
    <row r="6112" spans="1:2" x14ac:dyDescent="0.25">
      <c r="A6112" s="5">
        <v>42446</v>
      </c>
      <c r="B6112">
        <v>42.151961999999997</v>
      </c>
    </row>
    <row r="6113" spans="1:2" x14ac:dyDescent="0.25">
      <c r="A6113" s="5">
        <v>42447</v>
      </c>
      <c r="B6113">
        <v>42.324241999999998</v>
      </c>
    </row>
    <row r="6114" spans="1:2" x14ac:dyDescent="0.25">
      <c r="A6114" s="5">
        <v>42450</v>
      </c>
      <c r="B6114">
        <v>42.832881999999998</v>
      </c>
    </row>
    <row r="6115" spans="1:2" x14ac:dyDescent="0.25">
      <c r="A6115" s="5">
        <v>42451</v>
      </c>
      <c r="B6115">
        <v>42.677005999999999</v>
      </c>
    </row>
    <row r="6116" spans="1:2" x14ac:dyDescent="0.25">
      <c r="A6116" s="5">
        <v>42452</v>
      </c>
      <c r="B6116">
        <v>41.832008000000002</v>
      </c>
    </row>
    <row r="6117" spans="1:2" x14ac:dyDescent="0.25">
      <c r="A6117" s="5">
        <v>42453</v>
      </c>
      <c r="B6117">
        <v>41.725357000000002</v>
      </c>
    </row>
    <row r="6118" spans="1:2" x14ac:dyDescent="0.25">
      <c r="A6118" s="5">
        <v>42457</v>
      </c>
      <c r="B6118">
        <v>41.175690000000003</v>
      </c>
    </row>
    <row r="6119" spans="1:2" x14ac:dyDescent="0.25">
      <c r="A6119" s="5">
        <v>42458</v>
      </c>
      <c r="B6119">
        <v>41.585875999999999</v>
      </c>
    </row>
    <row r="6120" spans="1:2" x14ac:dyDescent="0.25">
      <c r="A6120" s="5">
        <v>42459</v>
      </c>
      <c r="B6120">
        <v>41.832008000000002</v>
      </c>
    </row>
    <row r="6121" spans="1:2" x14ac:dyDescent="0.25">
      <c r="A6121" s="5">
        <v>42460</v>
      </c>
      <c r="B6121">
        <v>41.955055000000002</v>
      </c>
    </row>
    <row r="6122" spans="1:2" x14ac:dyDescent="0.25">
      <c r="A6122" s="5">
        <v>42461</v>
      </c>
      <c r="B6122">
        <v>41.741759999999999</v>
      </c>
    </row>
    <row r="6123" spans="1:2" x14ac:dyDescent="0.25">
      <c r="A6123" s="5">
        <v>42464</v>
      </c>
      <c r="B6123">
        <v>41.553069999999998</v>
      </c>
    </row>
    <row r="6124" spans="1:2" x14ac:dyDescent="0.25">
      <c r="A6124" s="5">
        <v>42465</v>
      </c>
      <c r="B6124">
        <v>41.077232000000002</v>
      </c>
    </row>
    <row r="6125" spans="1:2" x14ac:dyDescent="0.25">
      <c r="A6125" s="5">
        <v>42466</v>
      </c>
      <c r="B6125">
        <v>41.528464999999997</v>
      </c>
    </row>
    <row r="6126" spans="1:2" x14ac:dyDescent="0.25">
      <c r="A6126" s="5">
        <v>42467</v>
      </c>
      <c r="B6126">
        <v>41.044418</v>
      </c>
    </row>
    <row r="6127" spans="1:2" x14ac:dyDescent="0.25">
      <c r="A6127" s="5">
        <v>42468</v>
      </c>
      <c r="B6127">
        <v>41.479228999999997</v>
      </c>
    </row>
    <row r="6128" spans="1:2" x14ac:dyDescent="0.25">
      <c r="A6128" s="5">
        <v>42471</v>
      </c>
      <c r="B6128">
        <v>41.840201999999998</v>
      </c>
    </row>
    <row r="6129" spans="1:2" x14ac:dyDescent="0.25">
      <c r="A6129" s="5">
        <v>42472</v>
      </c>
      <c r="B6129">
        <v>41.692528000000003</v>
      </c>
    </row>
    <row r="6130" spans="1:2" x14ac:dyDescent="0.25">
      <c r="A6130" s="5">
        <v>42473</v>
      </c>
      <c r="B6130">
        <v>42.594959000000003</v>
      </c>
    </row>
    <row r="6131" spans="1:2" x14ac:dyDescent="0.25">
      <c r="A6131" s="5">
        <v>42474</v>
      </c>
      <c r="B6131">
        <v>42.512931999999999</v>
      </c>
    </row>
    <row r="6132" spans="1:2" x14ac:dyDescent="0.25">
      <c r="A6132" s="5">
        <v>42475</v>
      </c>
      <c r="B6132">
        <v>41.889434999999999</v>
      </c>
    </row>
    <row r="6133" spans="1:2" x14ac:dyDescent="0.25">
      <c r="A6133" s="5">
        <v>42478</v>
      </c>
      <c r="B6133">
        <v>42.291415999999998</v>
      </c>
    </row>
    <row r="6134" spans="1:2" x14ac:dyDescent="0.25">
      <c r="A6134" s="5">
        <v>42479</v>
      </c>
      <c r="B6134">
        <v>42.521132999999999</v>
      </c>
    </row>
    <row r="6135" spans="1:2" x14ac:dyDescent="0.25">
      <c r="A6135" s="5">
        <v>42480</v>
      </c>
      <c r="B6135">
        <v>42.734439999999999</v>
      </c>
    </row>
    <row r="6136" spans="1:2" x14ac:dyDescent="0.25">
      <c r="A6136" s="5">
        <v>42481</v>
      </c>
      <c r="B6136">
        <v>42.389865999999998</v>
      </c>
    </row>
    <row r="6137" spans="1:2" x14ac:dyDescent="0.25">
      <c r="A6137" s="5">
        <v>42482</v>
      </c>
      <c r="B6137">
        <v>43.185657999999997</v>
      </c>
    </row>
    <row r="6138" spans="1:2" x14ac:dyDescent="0.25">
      <c r="A6138" s="5">
        <v>42485</v>
      </c>
      <c r="B6138">
        <v>43.013378000000003</v>
      </c>
    </row>
    <row r="6139" spans="1:2" x14ac:dyDescent="0.25">
      <c r="A6139" s="5">
        <v>42486</v>
      </c>
      <c r="B6139">
        <v>43.407158000000003</v>
      </c>
    </row>
    <row r="6140" spans="1:2" x14ac:dyDescent="0.25">
      <c r="A6140" s="5">
        <v>42487</v>
      </c>
      <c r="B6140">
        <v>43.398960000000002</v>
      </c>
    </row>
    <row r="6141" spans="1:2" x14ac:dyDescent="0.25">
      <c r="A6141" s="5">
        <v>42488</v>
      </c>
      <c r="B6141">
        <v>42.767257999999998</v>
      </c>
    </row>
    <row r="6142" spans="1:2" x14ac:dyDescent="0.25">
      <c r="A6142" s="5">
        <v>42489</v>
      </c>
      <c r="B6142">
        <v>41.446418999999999</v>
      </c>
    </row>
    <row r="6143" spans="1:2" x14ac:dyDescent="0.25">
      <c r="A6143" s="5">
        <v>42492</v>
      </c>
      <c r="B6143">
        <v>41.930453999999997</v>
      </c>
    </row>
    <row r="6144" spans="1:2" x14ac:dyDescent="0.25">
      <c r="A6144" s="5">
        <v>42493</v>
      </c>
      <c r="B6144">
        <v>41.618698000000002</v>
      </c>
    </row>
    <row r="6145" spans="1:2" x14ac:dyDescent="0.25">
      <c r="A6145" s="5">
        <v>42494</v>
      </c>
      <c r="B6145">
        <v>41.421802999999997</v>
      </c>
    </row>
    <row r="6146" spans="1:2" x14ac:dyDescent="0.25">
      <c r="A6146" s="5">
        <v>42495</v>
      </c>
      <c r="B6146">
        <v>41.946854000000002</v>
      </c>
    </row>
    <row r="6147" spans="1:2" x14ac:dyDescent="0.25">
      <c r="A6147" s="5">
        <v>42496</v>
      </c>
      <c r="B6147">
        <v>41.774574000000001</v>
      </c>
    </row>
    <row r="6148" spans="1:2" x14ac:dyDescent="0.25">
      <c r="A6148" s="5">
        <v>42499</v>
      </c>
      <c r="B6148">
        <v>42.004283999999998</v>
      </c>
    </row>
    <row r="6149" spans="1:2" x14ac:dyDescent="0.25">
      <c r="A6149" s="5">
        <v>42500</v>
      </c>
      <c r="B6149">
        <v>42.783669000000003</v>
      </c>
    </row>
    <row r="6150" spans="1:2" x14ac:dyDescent="0.25">
      <c r="A6150" s="5">
        <v>42501</v>
      </c>
      <c r="B6150">
        <v>42.783669000000003</v>
      </c>
    </row>
    <row r="6151" spans="1:2" x14ac:dyDescent="0.25">
      <c r="A6151" s="5">
        <v>42502</v>
      </c>
      <c r="B6151">
        <v>42.258609999999997</v>
      </c>
    </row>
    <row r="6152" spans="1:2" x14ac:dyDescent="0.25">
      <c r="A6152" s="5">
        <v>42503</v>
      </c>
      <c r="B6152">
        <v>42.102744999999999</v>
      </c>
    </row>
    <row r="6153" spans="1:2" x14ac:dyDescent="0.25">
      <c r="A6153" s="5">
        <v>42506</v>
      </c>
      <c r="B6153">
        <v>42.586768999999997</v>
      </c>
    </row>
    <row r="6154" spans="1:2" x14ac:dyDescent="0.25">
      <c r="A6154" s="5">
        <v>42507</v>
      </c>
      <c r="B6154">
        <v>42.652408999999999</v>
      </c>
    </row>
    <row r="6155" spans="1:2" x14ac:dyDescent="0.25">
      <c r="A6155" s="5">
        <v>42508</v>
      </c>
      <c r="B6155">
        <v>43.308712</v>
      </c>
    </row>
    <row r="6156" spans="1:2" x14ac:dyDescent="0.25">
      <c r="A6156" s="5">
        <v>42509</v>
      </c>
      <c r="B6156">
        <v>43.284103000000002</v>
      </c>
    </row>
    <row r="6157" spans="1:2" x14ac:dyDescent="0.25">
      <c r="A6157" s="5">
        <v>42510</v>
      </c>
      <c r="B6157">
        <v>44.727997000000002</v>
      </c>
    </row>
    <row r="6158" spans="1:2" x14ac:dyDescent="0.25">
      <c r="A6158" s="5">
        <v>42513</v>
      </c>
      <c r="B6158">
        <v>44.449061999999998</v>
      </c>
    </row>
    <row r="6159" spans="1:2" x14ac:dyDescent="0.25">
      <c r="A6159" s="5">
        <v>42514</v>
      </c>
      <c r="B6159">
        <v>45.605826999999998</v>
      </c>
    </row>
    <row r="6160" spans="1:2" x14ac:dyDescent="0.25">
      <c r="A6160" s="5">
        <v>42515</v>
      </c>
      <c r="B6160">
        <v>45.925773999999997</v>
      </c>
    </row>
    <row r="6161" spans="1:2" x14ac:dyDescent="0.25">
      <c r="A6161" s="5">
        <v>42516</v>
      </c>
      <c r="B6161">
        <v>45.728889000000002</v>
      </c>
    </row>
    <row r="6162" spans="1:2" x14ac:dyDescent="0.25">
      <c r="A6162" s="5">
        <v>42517</v>
      </c>
      <c r="B6162">
        <v>45.778584000000002</v>
      </c>
    </row>
    <row r="6163" spans="1:2" x14ac:dyDescent="0.25">
      <c r="A6163" s="5">
        <v>42521</v>
      </c>
      <c r="B6163">
        <v>45.488681999999997</v>
      </c>
    </row>
    <row r="6164" spans="1:2" x14ac:dyDescent="0.25">
      <c r="A6164" s="5">
        <v>42522</v>
      </c>
      <c r="B6164">
        <v>45.381016000000002</v>
      </c>
    </row>
    <row r="6165" spans="1:2" x14ac:dyDescent="0.25">
      <c r="A6165" s="5">
        <v>42523</v>
      </c>
      <c r="B6165">
        <v>45.455544000000003</v>
      </c>
    </row>
    <row r="6166" spans="1:2" x14ac:dyDescent="0.25">
      <c r="A6166" s="5">
        <v>42524</v>
      </c>
      <c r="B6166">
        <v>45.505257</v>
      </c>
    </row>
    <row r="6167" spans="1:2" x14ac:dyDescent="0.25">
      <c r="A6167" s="5">
        <v>42527</v>
      </c>
      <c r="B6167">
        <v>45.463836999999998</v>
      </c>
    </row>
    <row r="6168" spans="1:2" x14ac:dyDescent="0.25">
      <c r="A6168" s="5">
        <v>42528</v>
      </c>
      <c r="B6168">
        <v>45.422421</v>
      </c>
    </row>
    <row r="6169" spans="1:2" x14ac:dyDescent="0.25">
      <c r="A6169" s="5">
        <v>42529</v>
      </c>
      <c r="B6169">
        <v>45.505257</v>
      </c>
    </row>
    <row r="6170" spans="1:2" x14ac:dyDescent="0.25">
      <c r="A6170" s="5">
        <v>42530</v>
      </c>
      <c r="B6170">
        <v>45.538383000000003</v>
      </c>
    </row>
    <row r="6171" spans="1:2" x14ac:dyDescent="0.25">
      <c r="A6171" s="5">
        <v>42531</v>
      </c>
      <c r="B6171">
        <v>44.585872999999999</v>
      </c>
    </row>
    <row r="6172" spans="1:2" x14ac:dyDescent="0.25">
      <c r="A6172" s="5">
        <v>42534</v>
      </c>
      <c r="B6172">
        <v>43.757598999999999</v>
      </c>
    </row>
    <row r="6173" spans="1:2" x14ac:dyDescent="0.25">
      <c r="A6173" s="5">
        <v>42535</v>
      </c>
      <c r="B6173">
        <v>43.649914000000003</v>
      </c>
    </row>
    <row r="6174" spans="1:2" x14ac:dyDescent="0.25">
      <c r="A6174" s="5">
        <v>42536</v>
      </c>
      <c r="B6174">
        <v>44.130324999999999</v>
      </c>
    </row>
    <row r="6175" spans="1:2" x14ac:dyDescent="0.25">
      <c r="A6175" s="5">
        <v>42537</v>
      </c>
      <c r="B6175">
        <v>44.246268999999998</v>
      </c>
    </row>
    <row r="6176" spans="1:2" x14ac:dyDescent="0.25">
      <c r="A6176" s="5">
        <v>42538</v>
      </c>
      <c r="B6176">
        <v>44.353946999999998</v>
      </c>
    </row>
    <row r="6177" spans="1:2" x14ac:dyDescent="0.25">
      <c r="A6177" s="5">
        <v>42541</v>
      </c>
      <c r="B6177">
        <v>44.635562999999998</v>
      </c>
    </row>
    <row r="6178" spans="1:2" x14ac:dyDescent="0.25">
      <c r="A6178" s="5">
        <v>42542</v>
      </c>
      <c r="B6178">
        <v>44.627281000000004</v>
      </c>
    </row>
    <row r="6179" spans="1:2" x14ac:dyDescent="0.25">
      <c r="A6179" s="5">
        <v>42543</v>
      </c>
      <c r="B6179">
        <v>44.759810999999999</v>
      </c>
    </row>
    <row r="6180" spans="1:2" x14ac:dyDescent="0.25">
      <c r="A6180" s="5">
        <v>42544</v>
      </c>
      <c r="B6180">
        <v>46.010502000000002</v>
      </c>
    </row>
    <row r="6181" spans="1:2" x14ac:dyDescent="0.25">
      <c r="A6181" s="5">
        <v>42545</v>
      </c>
      <c r="B6181">
        <v>43.169528999999997</v>
      </c>
    </row>
    <row r="6182" spans="1:2" x14ac:dyDescent="0.25">
      <c r="A6182" s="5">
        <v>42548</v>
      </c>
      <c r="B6182">
        <v>42.357815000000002</v>
      </c>
    </row>
    <row r="6183" spans="1:2" x14ac:dyDescent="0.25">
      <c r="A6183" s="5">
        <v>42549</v>
      </c>
      <c r="B6183">
        <v>43.492545999999997</v>
      </c>
    </row>
    <row r="6184" spans="1:2" x14ac:dyDescent="0.25">
      <c r="A6184" s="5">
        <v>42550</v>
      </c>
      <c r="B6184">
        <v>44.353946999999998</v>
      </c>
    </row>
    <row r="6185" spans="1:2" x14ac:dyDescent="0.25">
      <c r="A6185" s="5">
        <v>42551</v>
      </c>
      <c r="B6185">
        <v>44.370505999999999</v>
      </c>
    </row>
    <row r="6186" spans="1:2" x14ac:dyDescent="0.25">
      <c r="A6186" s="5">
        <v>42552</v>
      </c>
      <c r="B6186">
        <v>43.898395999999998</v>
      </c>
    </row>
    <row r="6187" spans="1:2" x14ac:dyDescent="0.25">
      <c r="A6187" s="5">
        <v>42556</v>
      </c>
      <c r="B6187">
        <v>43.020434999999999</v>
      </c>
    </row>
    <row r="6188" spans="1:2" x14ac:dyDescent="0.25">
      <c r="A6188" s="5">
        <v>42557</v>
      </c>
      <c r="B6188">
        <v>43.376587000000001</v>
      </c>
    </row>
    <row r="6189" spans="1:2" x14ac:dyDescent="0.25">
      <c r="A6189" s="5">
        <v>42558</v>
      </c>
      <c r="B6189">
        <v>43.840420000000002</v>
      </c>
    </row>
    <row r="6190" spans="1:2" x14ac:dyDescent="0.25">
      <c r="A6190" s="5">
        <v>42559</v>
      </c>
      <c r="B6190">
        <v>44.884051999999997</v>
      </c>
    </row>
    <row r="6191" spans="1:2" x14ac:dyDescent="0.25">
      <c r="A6191" s="5">
        <v>42562</v>
      </c>
      <c r="B6191">
        <v>44.826056999999999</v>
      </c>
    </row>
    <row r="6192" spans="1:2" x14ac:dyDescent="0.25">
      <c r="A6192" s="5">
        <v>42563</v>
      </c>
      <c r="B6192">
        <v>45.240208000000003</v>
      </c>
    </row>
    <row r="6193" spans="1:2" x14ac:dyDescent="0.25">
      <c r="A6193" s="5">
        <v>42564</v>
      </c>
      <c r="B6193">
        <v>45.414143000000003</v>
      </c>
    </row>
    <row r="6194" spans="1:2" x14ac:dyDescent="0.25">
      <c r="A6194" s="5">
        <v>42565</v>
      </c>
      <c r="B6194">
        <v>45.455544000000003</v>
      </c>
    </row>
    <row r="6195" spans="1:2" x14ac:dyDescent="0.25">
      <c r="A6195" s="5">
        <v>42566</v>
      </c>
      <c r="B6195">
        <v>45.347878000000001</v>
      </c>
    </row>
    <row r="6196" spans="1:2" x14ac:dyDescent="0.25">
      <c r="A6196" s="5">
        <v>42569</v>
      </c>
      <c r="B6196">
        <v>45.844841000000002</v>
      </c>
    </row>
    <row r="6197" spans="1:2" x14ac:dyDescent="0.25">
      <c r="A6197" s="5">
        <v>42570</v>
      </c>
      <c r="B6197">
        <v>45.670909999999999</v>
      </c>
    </row>
    <row r="6198" spans="1:2" x14ac:dyDescent="0.25">
      <c r="A6198" s="5">
        <v>42571</v>
      </c>
      <c r="B6198">
        <v>46.234130999999998</v>
      </c>
    </row>
    <row r="6199" spans="1:2" x14ac:dyDescent="0.25">
      <c r="A6199" s="5">
        <v>42572</v>
      </c>
      <c r="B6199">
        <v>49.638336000000002</v>
      </c>
    </row>
    <row r="6200" spans="1:2" x14ac:dyDescent="0.25">
      <c r="A6200" s="5">
        <v>42573</v>
      </c>
      <c r="B6200">
        <v>50.648819000000003</v>
      </c>
    </row>
    <row r="6201" spans="1:2" x14ac:dyDescent="0.25">
      <c r="A6201" s="5">
        <v>42576</v>
      </c>
      <c r="B6201">
        <v>50.300944999999999</v>
      </c>
    </row>
    <row r="6202" spans="1:2" x14ac:dyDescent="0.25">
      <c r="A6202" s="5">
        <v>42577</v>
      </c>
      <c r="B6202">
        <v>50.814467999999998</v>
      </c>
    </row>
    <row r="6203" spans="1:2" x14ac:dyDescent="0.25">
      <c r="A6203" s="5">
        <v>42578</v>
      </c>
      <c r="B6203">
        <v>51.775269000000002</v>
      </c>
    </row>
    <row r="6204" spans="1:2" x14ac:dyDescent="0.25">
      <c r="A6204" s="5">
        <v>42579</v>
      </c>
      <c r="B6204">
        <v>51.709010999999997</v>
      </c>
    </row>
    <row r="6205" spans="1:2" x14ac:dyDescent="0.25">
      <c r="A6205" s="5">
        <v>42580</v>
      </c>
      <c r="B6205">
        <v>51.833247999999998</v>
      </c>
    </row>
    <row r="6206" spans="1:2" x14ac:dyDescent="0.25">
      <c r="A6206" s="5">
        <v>42583</v>
      </c>
      <c r="B6206">
        <v>51.228611000000001</v>
      </c>
    </row>
    <row r="6207" spans="1:2" x14ac:dyDescent="0.25">
      <c r="A6207" s="5">
        <v>42584</v>
      </c>
      <c r="B6207">
        <v>50.193260000000002</v>
      </c>
    </row>
    <row r="6208" spans="1:2" x14ac:dyDescent="0.25">
      <c r="A6208" s="5">
        <v>42585</v>
      </c>
      <c r="B6208">
        <v>50.532859999999999</v>
      </c>
    </row>
    <row r="6209" spans="1:2" x14ac:dyDescent="0.25">
      <c r="A6209" s="5">
        <v>42586</v>
      </c>
      <c r="B6209">
        <v>50.508003000000002</v>
      </c>
    </row>
    <row r="6210" spans="1:2" x14ac:dyDescent="0.25">
      <c r="A6210" s="5">
        <v>42587</v>
      </c>
      <c r="B6210">
        <v>51.352843999999997</v>
      </c>
    </row>
    <row r="6211" spans="1:2" x14ac:dyDescent="0.25">
      <c r="A6211" s="5">
        <v>42590</v>
      </c>
      <c r="B6211">
        <v>51.004967000000001</v>
      </c>
    </row>
    <row r="6212" spans="1:2" x14ac:dyDescent="0.25">
      <c r="A6212" s="5">
        <v>42591</v>
      </c>
      <c r="B6212">
        <v>51.344566</v>
      </c>
    </row>
    <row r="6213" spans="1:2" x14ac:dyDescent="0.25">
      <c r="A6213" s="5">
        <v>42592</v>
      </c>
      <c r="B6213">
        <v>51.112644000000003</v>
      </c>
    </row>
    <row r="6214" spans="1:2" x14ac:dyDescent="0.25">
      <c r="A6214" s="5">
        <v>42593</v>
      </c>
      <c r="B6214">
        <v>51.137501</v>
      </c>
    </row>
    <row r="6215" spans="1:2" x14ac:dyDescent="0.25">
      <c r="A6215" s="5">
        <v>42594</v>
      </c>
      <c r="B6215">
        <v>51.112644000000003</v>
      </c>
    </row>
    <row r="6216" spans="1:2" x14ac:dyDescent="0.25">
      <c r="A6216" s="5">
        <v>42597</v>
      </c>
      <c r="B6216">
        <v>51.709010999999997</v>
      </c>
    </row>
    <row r="6217" spans="1:2" x14ac:dyDescent="0.25">
      <c r="A6217" s="5">
        <v>42598</v>
      </c>
      <c r="B6217">
        <v>51.410828000000002</v>
      </c>
    </row>
    <row r="6218" spans="1:2" x14ac:dyDescent="0.25">
      <c r="A6218" s="5">
        <v>42599</v>
      </c>
      <c r="B6218">
        <v>51.584766000000002</v>
      </c>
    </row>
    <row r="6219" spans="1:2" x14ac:dyDescent="0.25">
      <c r="A6219" s="5">
        <v>42600</v>
      </c>
      <c r="B6219">
        <v>52.214244999999998</v>
      </c>
    </row>
    <row r="6220" spans="1:2" x14ac:dyDescent="0.25">
      <c r="A6220" s="5">
        <v>42601</v>
      </c>
      <c r="B6220">
        <v>51.982334000000002</v>
      </c>
    </row>
    <row r="6221" spans="1:2" x14ac:dyDescent="0.25">
      <c r="A6221" s="5">
        <v>42604</v>
      </c>
      <c r="B6221">
        <v>52.040309999999998</v>
      </c>
    </row>
    <row r="6222" spans="1:2" x14ac:dyDescent="0.25">
      <c r="A6222" s="5">
        <v>42605</v>
      </c>
      <c r="B6222">
        <v>52.255661000000003</v>
      </c>
    </row>
    <row r="6223" spans="1:2" x14ac:dyDescent="0.25">
      <c r="A6223" s="5">
        <v>42606</v>
      </c>
      <c r="B6223">
        <v>51.858082000000003</v>
      </c>
    </row>
    <row r="6224" spans="1:2" x14ac:dyDescent="0.25">
      <c r="A6224" s="5">
        <v>42607</v>
      </c>
      <c r="B6224">
        <v>51.882945999999997</v>
      </c>
    </row>
    <row r="6225" spans="1:2" x14ac:dyDescent="0.25">
      <c r="A6225" s="5">
        <v>42608</v>
      </c>
      <c r="B6225">
        <v>52.156277000000003</v>
      </c>
    </row>
    <row r="6226" spans="1:2" x14ac:dyDescent="0.25">
      <c r="A6226" s="5">
        <v>42611</v>
      </c>
      <c r="B6226">
        <v>52.607329999999997</v>
      </c>
    </row>
    <row r="6227" spans="1:2" x14ac:dyDescent="0.25">
      <c r="A6227" s="5">
        <v>42612</v>
      </c>
      <c r="B6227">
        <v>52.573917000000002</v>
      </c>
    </row>
    <row r="6228" spans="1:2" x14ac:dyDescent="0.25">
      <c r="A6228" s="5">
        <v>42613</v>
      </c>
      <c r="B6228">
        <v>52.682521999999999</v>
      </c>
    </row>
    <row r="6229" spans="1:2" x14ac:dyDescent="0.25">
      <c r="A6229" s="5">
        <v>42614</v>
      </c>
      <c r="B6229">
        <v>53.016632000000001</v>
      </c>
    </row>
    <row r="6230" spans="1:2" x14ac:dyDescent="0.25">
      <c r="A6230" s="5">
        <v>42615</v>
      </c>
      <c r="B6230">
        <v>52.916386000000003</v>
      </c>
    </row>
    <row r="6231" spans="1:2" x14ac:dyDescent="0.25">
      <c r="A6231" s="5">
        <v>42619</v>
      </c>
      <c r="B6231">
        <v>52.699218999999999</v>
      </c>
    </row>
    <row r="6232" spans="1:2" x14ac:dyDescent="0.25">
      <c r="A6232" s="5">
        <v>42620</v>
      </c>
      <c r="B6232">
        <v>52.147922999999999</v>
      </c>
    </row>
    <row r="6233" spans="1:2" x14ac:dyDescent="0.25">
      <c r="A6233" s="5">
        <v>42621</v>
      </c>
      <c r="B6233">
        <v>52.365093000000002</v>
      </c>
    </row>
    <row r="6234" spans="1:2" x14ac:dyDescent="0.25">
      <c r="A6234" s="5">
        <v>42622</v>
      </c>
      <c r="B6234">
        <v>50.552494000000003</v>
      </c>
    </row>
    <row r="6235" spans="1:2" x14ac:dyDescent="0.25">
      <c r="A6235" s="5">
        <v>42625</v>
      </c>
      <c r="B6235">
        <v>51.997570000000003</v>
      </c>
    </row>
    <row r="6236" spans="1:2" x14ac:dyDescent="0.25">
      <c r="A6236" s="5">
        <v>42626</v>
      </c>
      <c r="B6236">
        <v>51.195675000000001</v>
      </c>
    </row>
    <row r="6237" spans="1:2" x14ac:dyDescent="0.25">
      <c r="A6237" s="5">
        <v>42627</v>
      </c>
      <c r="B6237">
        <v>51.446261999999997</v>
      </c>
    </row>
    <row r="6238" spans="1:2" x14ac:dyDescent="0.25">
      <c r="A6238" s="5">
        <v>42628</v>
      </c>
      <c r="B6238">
        <v>52.239806999999999</v>
      </c>
    </row>
    <row r="6239" spans="1:2" x14ac:dyDescent="0.25">
      <c r="A6239" s="5">
        <v>42629</v>
      </c>
      <c r="B6239">
        <v>52.615684999999999</v>
      </c>
    </row>
    <row r="6240" spans="1:2" x14ac:dyDescent="0.25">
      <c r="A6240" s="5">
        <v>42632</v>
      </c>
      <c r="B6240">
        <v>52.507106999999998</v>
      </c>
    </row>
    <row r="6241" spans="1:2" x14ac:dyDescent="0.25">
      <c r="A6241" s="5">
        <v>42633</v>
      </c>
      <c r="B6241">
        <v>52.373451000000003</v>
      </c>
    </row>
    <row r="6242" spans="1:2" x14ac:dyDescent="0.25">
      <c r="A6242" s="5">
        <v>42634</v>
      </c>
      <c r="B6242">
        <v>53.100166000000002</v>
      </c>
    </row>
    <row r="6243" spans="1:2" x14ac:dyDescent="0.25">
      <c r="A6243" s="5">
        <v>42635</v>
      </c>
      <c r="B6243">
        <v>53.058402999999998</v>
      </c>
    </row>
    <row r="6244" spans="1:2" x14ac:dyDescent="0.25">
      <c r="A6244" s="5">
        <v>42636</v>
      </c>
      <c r="B6244">
        <v>52.415218000000003</v>
      </c>
    </row>
    <row r="6245" spans="1:2" x14ac:dyDescent="0.25">
      <c r="A6245" s="5">
        <v>42639</v>
      </c>
      <c r="B6245">
        <v>52.047688000000001</v>
      </c>
    </row>
    <row r="6246" spans="1:2" x14ac:dyDescent="0.25">
      <c r="A6246" s="5">
        <v>42640</v>
      </c>
      <c r="B6246">
        <v>52.882995999999999</v>
      </c>
    </row>
    <row r="6247" spans="1:2" x14ac:dyDescent="0.25">
      <c r="A6247" s="5">
        <v>42641</v>
      </c>
      <c r="B6247">
        <v>52.999930999999997</v>
      </c>
    </row>
    <row r="6248" spans="1:2" x14ac:dyDescent="0.25">
      <c r="A6248" s="5">
        <v>42642</v>
      </c>
      <c r="B6248">
        <v>56.341137000000003</v>
      </c>
    </row>
    <row r="6249" spans="1:2" x14ac:dyDescent="0.25">
      <c r="A6249" s="5">
        <v>42643</v>
      </c>
      <c r="B6249">
        <v>57.218204</v>
      </c>
    </row>
    <row r="6250" spans="1:2" x14ac:dyDescent="0.25">
      <c r="A6250" s="5">
        <v>42646</v>
      </c>
      <c r="B6250">
        <v>56.057133</v>
      </c>
    </row>
    <row r="6251" spans="1:2" x14ac:dyDescent="0.25">
      <c r="A6251" s="5">
        <v>42647</v>
      </c>
      <c r="B6251">
        <v>55.697952000000001</v>
      </c>
    </row>
    <row r="6252" spans="1:2" x14ac:dyDescent="0.25">
      <c r="A6252" s="5">
        <v>42648</v>
      </c>
      <c r="B6252">
        <v>55.831600000000002</v>
      </c>
    </row>
    <row r="6253" spans="1:2" x14ac:dyDescent="0.25">
      <c r="A6253" s="5">
        <v>42649</v>
      </c>
      <c r="B6253">
        <v>56.416308999999998</v>
      </c>
    </row>
    <row r="6254" spans="1:2" x14ac:dyDescent="0.25">
      <c r="A6254" s="5">
        <v>42650</v>
      </c>
      <c r="B6254">
        <v>56.959251000000002</v>
      </c>
    </row>
    <row r="6255" spans="1:2" x14ac:dyDescent="0.25">
      <c r="A6255" s="5">
        <v>42653</v>
      </c>
      <c r="B6255">
        <v>56.174079999999996</v>
      </c>
    </row>
    <row r="6256" spans="1:2" x14ac:dyDescent="0.25">
      <c r="A6256" s="5">
        <v>42654</v>
      </c>
      <c r="B6256">
        <v>55.205120000000001</v>
      </c>
    </row>
    <row r="6257" spans="1:2" x14ac:dyDescent="0.25">
      <c r="A6257" s="5">
        <v>42655</v>
      </c>
      <c r="B6257">
        <v>55.180069000000003</v>
      </c>
    </row>
    <row r="6258" spans="1:2" x14ac:dyDescent="0.25">
      <c r="A6258" s="5">
        <v>42656</v>
      </c>
      <c r="B6258">
        <v>54.879364000000002</v>
      </c>
    </row>
    <row r="6259" spans="1:2" x14ac:dyDescent="0.25">
      <c r="A6259" s="5">
        <v>42657</v>
      </c>
      <c r="B6259">
        <v>54.879364000000002</v>
      </c>
    </row>
    <row r="6260" spans="1:2" x14ac:dyDescent="0.25">
      <c r="A6260" s="5">
        <v>42660</v>
      </c>
      <c r="B6260">
        <v>54.453358000000001</v>
      </c>
    </row>
    <row r="6261" spans="1:2" x14ac:dyDescent="0.25">
      <c r="A6261" s="5">
        <v>42661</v>
      </c>
      <c r="B6261">
        <v>55.213478000000002</v>
      </c>
    </row>
    <row r="6262" spans="1:2" x14ac:dyDescent="0.25">
      <c r="A6262" s="5">
        <v>42662</v>
      </c>
      <c r="B6262">
        <v>54.954543999999999</v>
      </c>
    </row>
    <row r="6263" spans="1:2" x14ac:dyDescent="0.25">
      <c r="A6263" s="5">
        <v>42663</v>
      </c>
      <c r="B6263">
        <v>56.249251999999998</v>
      </c>
    </row>
    <row r="6264" spans="1:2" x14ac:dyDescent="0.25">
      <c r="A6264" s="5">
        <v>42664</v>
      </c>
      <c r="B6264">
        <v>56.742085000000003</v>
      </c>
    </row>
    <row r="6265" spans="1:2" x14ac:dyDescent="0.25">
      <c r="A6265" s="5">
        <v>42667</v>
      </c>
      <c r="B6265">
        <v>56.850662</v>
      </c>
    </row>
    <row r="6266" spans="1:2" x14ac:dyDescent="0.25">
      <c r="A6266" s="5">
        <v>42668</v>
      </c>
      <c r="B6266">
        <v>56.558318999999997</v>
      </c>
    </row>
    <row r="6267" spans="1:2" x14ac:dyDescent="0.25">
      <c r="A6267" s="5">
        <v>42669</v>
      </c>
      <c r="B6267">
        <v>56.967616999999997</v>
      </c>
    </row>
    <row r="6268" spans="1:2" x14ac:dyDescent="0.25">
      <c r="A6268" s="5">
        <v>42670</v>
      </c>
      <c r="B6268">
        <v>58.546337000000001</v>
      </c>
    </row>
    <row r="6269" spans="1:2" x14ac:dyDescent="0.25">
      <c r="A6269" s="5">
        <v>42671</v>
      </c>
      <c r="B6269">
        <v>57.134678000000001</v>
      </c>
    </row>
    <row r="6270" spans="1:2" x14ac:dyDescent="0.25">
      <c r="A6270" s="5">
        <v>42674</v>
      </c>
      <c r="B6270">
        <v>57.401974000000003</v>
      </c>
    </row>
    <row r="6271" spans="1:2" x14ac:dyDescent="0.25">
      <c r="A6271" s="5">
        <v>42675</v>
      </c>
      <c r="B6271">
        <v>57.084544999999999</v>
      </c>
    </row>
    <row r="6272" spans="1:2" x14ac:dyDescent="0.25">
      <c r="A6272" s="5">
        <v>42676</v>
      </c>
      <c r="B6272">
        <v>56.040424000000002</v>
      </c>
    </row>
    <row r="6273" spans="1:2" x14ac:dyDescent="0.25">
      <c r="A6273" s="5">
        <v>42677</v>
      </c>
      <c r="B6273">
        <v>55.923476999999998</v>
      </c>
    </row>
    <row r="6274" spans="1:2" x14ac:dyDescent="0.25">
      <c r="A6274" s="5">
        <v>42678</v>
      </c>
      <c r="B6274">
        <v>55.739719000000001</v>
      </c>
    </row>
    <row r="6275" spans="1:2" x14ac:dyDescent="0.25">
      <c r="A6275" s="5">
        <v>42681</v>
      </c>
      <c r="B6275">
        <v>57.184798999999998</v>
      </c>
    </row>
    <row r="6276" spans="1:2" x14ac:dyDescent="0.25">
      <c r="A6276" s="5">
        <v>42682</v>
      </c>
      <c r="B6276">
        <v>57.026085000000002</v>
      </c>
    </row>
    <row r="6277" spans="1:2" x14ac:dyDescent="0.25">
      <c r="A6277" s="5">
        <v>42683</v>
      </c>
      <c r="B6277">
        <v>56.700305999999998</v>
      </c>
    </row>
    <row r="6278" spans="1:2" x14ac:dyDescent="0.25">
      <c r="A6278" s="5">
        <v>42684</v>
      </c>
      <c r="B6278">
        <v>55.388888999999999</v>
      </c>
    </row>
    <row r="6279" spans="1:2" x14ac:dyDescent="0.25">
      <c r="A6279" s="5">
        <v>42685</v>
      </c>
      <c r="B6279">
        <v>55.865017000000002</v>
      </c>
    </row>
    <row r="6280" spans="1:2" x14ac:dyDescent="0.25">
      <c r="A6280" s="5">
        <v>42688</v>
      </c>
      <c r="B6280">
        <v>55.071483999999998</v>
      </c>
    </row>
    <row r="6281" spans="1:2" x14ac:dyDescent="0.25">
      <c r="A6281" s="5">
        <v>42689</v>
      </c>
      <c r="B6281">
        <v>55.773125</v>
      </c>
    </row>
    <row r="6282" spans="1:2" x14ac:dyDescent="0.25">
      <c r="A6282" s="5">
        <v>42690</v>
      </c>
      <c r="B6282">
        <v>55.380538999999999</v>
      </c>
    </row>
    <row r="6283" spans="1:2" x14ac:dyDescent="0.25">
      <c r="A6283" s="5">
        <v>42691</v>
      </c>
      <c r="B6283">
        <v>55.689590000000003</v>
      </c>
    </row>
    <row r="6284" spans="1:2" x14ac:dyDescent="0.25">
      <c r="A6284" s="5">
        <v>42692</v>
      </c>
      <c r="B6284">
        <v>56.224193999999997</v>
      </c>
    </row>
    <row r="6285" spans="1:2" x14ac:dyDescent="0.25">
      <c r="A6285" s="5">
        <v>42695</v>
      </c>
      <c r="B6285">
        <v>56.048782000000003</v>
      </c>
    </row>
    <row r="6286" spans="1:2" x14ac:dyDescent="0.25">
      <c r="A6286" s="5">
        <v>42696</v>
      </c>
      <c r="B6286">
        <v>57.059494000000001</v>
      </c>
    </row>
    <row r="6287" spans="1:2" x14ac:dyDescent="0.25">
      <c r="A6287" s="5">
        <v>42697</v>
      </c>
      <c r="B6287">
        <v>56.909126000000001</v>
      </c>
    </row>
    <row r="6288" spans="1:2" x14ac:dyDescent="0.25">
      <c r="A6288" s="5">
        <v>42699</v>
      </c>
      <c r="B6288">
        <v>57.042777999999998</v>
      </c>
    </row>
    <row r="6289" spans="1:2" x14ac:dyDescent="0.25">
      <c r="A6289" s="5">
        <v>42702</v>
      </c>
      <c r="B6289">
        <v>56.487164</v>
      </c>
    </row>
    <row r="6290" spans="1:2" x14ac:dyDescent="0.25">
      <c r="A6290" s="5">
        <v>42703</v>
      </c>
      <c r="B6290">
        <v>56.209372999999999</v>
      </c>
    </row>
    <row r="6291" spans="1:2" x14ac:dyDescent="0.25">
      <c r="A6291" s="5">
        <v>42704</v>
      </c>
      <c r="B6291">
        <v>57.354255999999999</v>
      </c>
    </row>
    <row r="6292" spans="1:2" x14ac:dyDescent="0.25">
      <c r="A6292" s="5">
        <v>42705</v>
      </c>
      <c r="B6292">
        <v>54.012183999999998</v>
      </c>
    </row>
    <row r="6293" spans="1:2" x14ac:dyDescent="0.25">
      <c r="A6293" s="5">
        <v>42706</v>
      </c>
      <c r="B6293">
        <v>55.426456000000002</v>
      </c>
    </row>
    <row r="6294" spans="1:2" x14ac:dyDescent="0.25">
      <c r="A6294" s="5">
        <v>42709</v>
      </c>
      <c r="B6294">
        <v>55.864223000000003</v>
      </c>
    </row>
    <row r="6295" spans="1:2" x14ac:dyDescent="0.25">
      <c r="A6295" s="5">
        <v>42710</v>
      </c>
      <c r="B6295">
        <v>56.781826000000002</v>
      </c>
    </row>
    <row r="6296" spans="1:2" x14ac:dyDescent="0.25">
      <c r="A6296" s="5">
        <v>42711</v>
      </c>
      <c r="B6296">
        <v>57.531039999999997</v>
      </c>
    </row>
    <row r="6297" spans="1:2" x14ac:dyDescent="0.25">
      <c r="A6297" s="5">
        <v>42712</v>
      </c>
      <c r="B6297">
        <v>57.707832000000003</v>
      </c>
    </row>
    <row r="6298" spans="1:2" x14ac:dyDescent="0.25">
      <c r="A6298" s="5">
        <v>42713</v>
      </c>
      <c r="B6298">
        <v>57.682586999999998</v>
      </c>
    </row>
    <row r="6299" spans="1:2" x14ac:dyDescent="0.25">
      <c r="A6299" s="5">
        <v>42716</v>
      </c>
      <c r="B6299">
        <v>57.640495000000001</v>
      </c>
    </row>
    <row r="6300" spans="1:2" x14ac:dyDescent="0.25">
      <c r="A6300" s="5">
        <v>42717</v>
      </c>
      <c r="B6300">
        <v>58.372886999999999</v>
      </c>
    </row>
    <row r="6301" spans="1:2" x14ac:dyDescent="0.25">
      <c r="A6301" s="5">
        <v>42718</v>
      </c>
      <c r="B6301">
        <v>56.874428000000002</v>
      </c>
    </row>
    <row r="6302" spans="1:2" x14ac:dyDescent="0.25">
      <c r="A6302" s="5">
        <v>42719</v>
      </c>
      <c r="B6302">
        <v>57.270083999999997</v>
      </c>
    </row>
    <row r="6303" spans="1:2" x14ac:dyDescent="0.25">
      <c r="A6303" s="5">
        <v>42720</v>
      </c>
      <c r="B6303">
        <v>55.948410000000003</v>
      </c>
    </row>
    <row r="6304" spans="1:2" x14ac:dyDescent="0.25">
      <c r="A6304" s="5">
        <v>42723</v>
      </c>
      <c r="B6304">
        <v>56.419842000000003</v>
      </c>
    </row>
    <row r="6305" spans="1:2" x14ac:dyDescent="0.25">
      <c r="A6305" s="5">
        <v>42724</v>
      </c>
      <c r="B6305">
        <v>56.327229000000003</v>
      </c>
    </row>
    <row r="6306" spans="1:2" x14ac:dyDescent="0.25">
      <c r="A6306" s="5">
        <v>42725</v>
      </c>
      <c r="B6306">
        <v>56.537697000000001</v>
      </c>
    </row>
    <row r="6307" spans="1:2" x14ac:dyDescent="0.25">
      <c r="A6307" s="5">
        <v>42726</v>
      </c>
      <c r="B6307">
        <v>56.200958</v>
      </c>
    </row>
    <row r="6308" spans="1:2" x14ac:dyDescent="0.25">
      <c r="A6308" s="5">
        <v>42727</v>
      </c>
      <c r="B6308">
        <v>56.285136999999999</v>
      </c>
    </row>
    <row r="6309" spans="1:2" x14ac:dyDescent="0.25">
      <c r="A6309" s="5">
        <v>42731</v>
      </c>
      <c r="B6309">
        <v>56.613453</v>
      </c>
    </row>
    <row r="6310" spans="1:2" x14ac:dyDescent="0.25">
      <c r="A6310" s="5">
        <v>42732</v>
      </c>
      <c r="B6310">
        <v>55.350700000000003</v>
      </c>
    </row>
    <row r="6311" spans="1:2" x14ac:dyDescent="0.25">
      <c r="A6311" s="5">
        <v>42733</v>
      </c>
      <c r="B6311">
        <v>55.594830000000002</v>
      </c>
    </row>
    <row r="6312" spans="1:2" x14ac:dyDescent="0.25">
      <c r="A6312" s="5">
        <v>42734</v>
      </c>
      <c r="B6312">
        <v>54.887684</v>
      </c>
    </row>
    <row r="6313" spans="1:2" x14ac:dyDescent="0.25">
      <c r="A6313" s="5">
        <v>42738</v>
      </c>
      <c r="B6313">
        <v>55.056049000000002</v>
      </c>
    </row>
    <row r="6314" spans="1:2" x14ac:dyDescent="0.25">
      <c r="A6314" s="5">
        <v>42739</v>
      </c>
      <c r="B6314">
        <v>55.114989999999999</v>
      </c>
    </row>
    <row r="6315" spans="1:2" x14ac:dyDescent="0.25">
      <c r="A6315" s="5">
        <v>42740</v>
      </c>
      <c r="B6315">
        <v>55.182330999999998</v>
      </c>
    </row>
    <row r="6316" spans="1:2" x14ac:dyDescent="0.25">
      <c r="A6316" s="5">
        <v>42741</v>
      </c>
      <c r="B6316">
        <v>55.165497000000002</v>
      </c>
    </row>
    <row r="6317" spans="1:2" x14ac:dyDescent="0.25">
      <c r="A6317" s="5">
        <v>42744</v>
      </c>
      <c r="B6317">
        <v>55.266517999999998</v>
      </c>
    </row>
    <row r="6318" spans="1:2" x14ac:dyDescent="0.25">
      <c r="A6318" s="5">
        <v>42745</v>
      </c>
      <c r="B6318">
        <v>55.249676000000001</v>
      </c>
    </row>
    <row r="6319" spans="1:2" x14ac:dyDescent="0.25">
      <c r="A6319" s="5">
        <v>42746</v>
      </c>
      <c r="B6319">
        <v>55.645344000000001</v>
      </c>
    </row>
    <row r="6320" spans="1:2" x14ac:dyDescent="0.25">
      <c r="A6320" s="5">
        <v>42747</v>
      </c>
      <c r="B6320">
        <v>55.662177999999997</v>
      </c>
    </row>
    <row r="6321" spans="1:2" x14ac:dyDescent="0.25">
      <c r="A6321" s="5">
        <v>42748</v>
      </c>
      <c r="B6321">
        <v>56.301971000000002</v>
      </c>
    </row>
    <row r="6322" spans="1:2" x14ac:dyDescent="0.25">
      <c r="A6322" s="5">
        <v>42752</v>
      </c>
      <c r="B6322">
        <v>54.037436999999997</v>
      </c>
    </row>
    <row r="6323" spans="1:2" x14ac:dyDescent="0.25">
      <c r="A6323" s="5">
        <v>42753</v>
      </c>
      <c r="B6323">
        <v>54.828766000000002</v>
      </c>
    </row>
    <row r="6324" spans="1:2" x14ac:dyDescent="0.25">
      <c r="A6324" s="5">
        <v>42754</v>
      </c>
      <c r="B6324">
        <v>54.247886999999999</v>
      </c>
    </row>
    <row r="6325" spans="1:2" x14ac:dyDescent="0.25">
      <c r="A6325" s="5">
        <v>42755</v>
      </c>
      <c r="B6325">
        <v>52.934623999999999</v>
      </c>
    </row>
    <row r="6326" spans="1:2" x14ac:dyDescent="0.25">
      <c r="A6326" s="5">
        <v>42758</v>
      </c>
      <c r="B6326">
        <v>46.199947000000002</v>
      </c>
    </row>
    <row r="6327" spans="1:2" x14ac:dyDescent="0.25">
      <c r="A6327" s="5">
        <v>42759</v>
      </c>
      <c r="B6327">
        <v>46.300967999999997</v>
      </c>
    </row>
    <row r="6328" spans="1:2" x14ac:dyDescent="0.25">
      <c r="A6328" s="5">
        <v>42760</v>
      </c>
      <c r="B6328">
        <v>47.900452000000001</v>
      </c>
    </row>
    <row r="6329" spans="1:2" x14ac:dyDescent="0.25">
      <c r="A6329" s="5">
        <v>42761</v>
      </c>
      <c r="B6329">
        <v>45.501213</v>
      </c>
    </row>
    <row r="6330" spans="1:2" x14ac:dyDescent="0.25">
      <c r="A6330" s="5">
        <v>42762</v>
      </c>
      <c r="B6330">
        <v>45.661163000000002</v>
      </c>
    </row>
    <row r="6331" spans="1:2" x14ac:dyDescent="0.25">
      <c r="A6331" s="5">
        <v>42765</v>
      </c>
      <c r="B6331">
        <v>45.130814000000001</v>
      </c>
    </row>
    <row r="6332" spans="1:2" x14ac:dyDescent="0.25">
      <c r="A6332" s="5">
        <v>42766</v>
      </c>
      <c r="B6332">
        <v>44.979286000000002</v>
      </c>
    </row>
    <row r="6333" spans="1:2" x14ac:dyDescent="0.25">
      <c r="A6333" s="5">
        <v>42767</v>
      </c>
      <c r="B6333">
        <v>44.743572</v>
      </c>
    </row>
    <row r="6334" spans="1:2" x14ac:dyDescent="0.25">
      <c r="A6334" s="5">
        <v>42768</v>
      </c>
      <c r="B6334">
        <v>44.331069999999997</v>
      </c>
    </row>
    <row r="6335" spans="1:2" x14ac:dyDescent="0.25">
      <c r="A6335" s="5">
        <v>42769</v>
      </c>
      <c r="B6335">
        <v>44.600456000000001</v>
      </c>
    </row>
    <row r="6336" spans="1:2" x14ac:dyDescent="0.25">
      <c r="A6336" s="5">
        <v>42772</v>
      </c>
      <c r="B6336">
        <v>44.516272999999998</v>
      </c>
    </row>
    <row r="6337" spans="1:2" x14ac:dyDescent="0.25">
      <c r="A6337" s="5">
        <v>42773</v>
      </c>
      <c r="B6337">
        <v>44.844588999999999</v>
      </c>
    </row>
    <row r="6338" spans="1:2" x14ac:dyDescent="0.25">
      <c r="A6338" s="5">
        <v>42774</v>
      </c>
      <c r="B6338">
        <v>44.524692999999999</v>
      </c>
    </row>
    <row r="6339" spans="1:2" x14ac:dyDescent="0.25">
      <c r="A6339" s="5">
        <v>42775</v>
      </c>
      <c r="B6339">
        <v>44.516272999999998</v>
      </c>
    </row>
    <row r="6340" spans="1:2" x14ac:dyDescent="0.25">
      <c r="A6340" s="5">
        <v>42776</v>
      </c>
      <c r="B6340">
        <v>45.459133000000001</v>
      </c>
    </row>
    <row r="6341" spans="1:2" x14ac:dyDescent="0.25">
      <c r="A6341" s="5">
        <v>42779</v>
      </c>
      <c r="B6341">
        <v>46.242043000000002</v>
      </c>
    </row>
    <row r="6342" spans="1:2" x14ac:dyDescent="0.25">
      <c r="A6342" s="5">
        <v>42780</v>
      </c>
      <c r="B6342">
        <v>46.705044000000001</v>
      </c>
    </row>
    <row r="6343" spans="1:2" x14ac:dyDescent="0.25">
      <c r="A6343" s="5">
        <v>42781</v>
      </c>
      <c r="B6343">
        <v>47.555294000000004</v>
      </c>
    </row>
    <row r="6344" spans="1:2" x14ac:dyDescent="0.25">
      <c r="A6344" s="5">
        <v>42782</v>
      </c>
      <c r="B6344">
        <v>47.883620999999998</v>
      </c>
    </row>
    <row r="6345" spans="1:2" x14ac:dyDescent="0.25">
      <c r="A6345" s="5">
        <v>42783</v>
      </c>
      <c r="B6345">
        <v>47.530037</v>
      </c>
    </row>
    <row r="6346" spans="1:2" x14ac:dyDescent="0.25">
      <c r="A6346" s="5">
        <v>42787</v>
      </c>
      <c r="B6346">
        <v>47.774180999999999</v>
      </c>
    </row>
    <row r="6347" spans="1:2" x14ac:dyDescent="0.25">
      <c r="A6347" s="5">
        <v>42788</v>
      </c>
      <c r="B6347">
        <v>48.068817000000003</v>
      </c>
    </row>
    <row r="6348" spans="1:2" x14ac:dyDescent="0.25">
      <c r="A6348" s="5">
        <v>42789</v>
      </c>
      <c r="B6348">
        <v>48.102485999999999</v>
      </c>
    </row>
    <row r="6349" spans="1:2" x14ac:dyDescent="0.25">
      <c r="A6349" s="5">
        <v>42790</v>
      </c>
      <c r="B6349">
        <v>48.169837999999999</v>
      </c>
    </row>
    <row r="6350" spans="1:2" x14ac:dyDescent="0.25">
      <c r="A6350" s="5">
        <v>42793</v>
      </c>
      <c r="B6350">
        <v>48.203834999999998</v>
      </c>
    </row>
    <row r="6351" spans="1:2" x14ac:dyDescent="0.25">
      <c r="A6351" s="5">
        <v>42794</v>
      </c>
      <c r="B6351">
        <v>47.991408999999997</v>
      </c>
    </row>
    <row r="6352" spans="1:2" x14ac:dyDescent="0.25">
      <c r="A6352" s="5">
        <v>42795</v>
      </c>
      <c r="B6352">
        <v>48.441733999999997</v>
      </c>
    </row>
    <row r="6353" spans="1:2" x14ac:dyDescent="0.25">
      <c r="A6353" s="5">
        <v>42796</v>
      </c>
      <c r="B6353">
        <v>47.897930000000002</v>
      </c>
    </row>
    <row r="6354" spans="1:2" x14ac:dyDescent="0.25">
      <c r="A6354" s="5">
        <v>42797</v>
      </c>
      <c r="B6354">
        <v>47.957417</v>
      </c>
    </row>
    <row r="6355" spans="1:2" x14ac:dyDescent="0.25">
      <c r="A6355" s="5">
        <v>42800</v>
      </c>
      <c r="B6355">
        <v>47.965919</v>
      </c>
    </row>
    <row r="6356" spans="1:2" x14ac:dyDescent="0.25">
      <c r="A6356" s="5">
        <v>42801</v>
      </c>
      <c r="B6356">
        <v>48.203834999999998</v>
      </c>
    </row>
    <row r="6357" spans="1:2" x14ac:dyDescent="0.25">
      <c r="A6357" s="5">
        <v>42802</v>
      </c>
      <c r="B6357">
        <v>49.087524000000002</v>
      </c>
    </row>
    <row r="6358" spans="1:2" x14ac:dyDescent="0.25">
      <c r="A6358" s="5">
        <v>42803</v>
      </c>
      <c r="B6358">
        <v>49.257469</v>
      </c>
    </row>
    <row r="6359" spans="1:2" x14ac:dyDescent="0.25">
      <c r="A6359" s="5">
        <v>42804</v>
      </c>
      <c r="B6359">
        <v>49.826763</v>
      </c>
    </row>
    <row r="6360" spans="1:2" x14ac:dyDescent="0.25">
      <c r="A6360" s="5">
        <v>42807</v>
      </c>
      <c r="B6360">
        <v>49.673819999999999</v>
      </c>
    </row>
    <row r="6361" spans="1:2" x14ac:dyDescent="0.25">
      <c r="A6361" s="5">
        <v>42808</v>
      </c>
      <c r="B6361">
        <v>49.469890999999997</v>
      </c>
    </row>
    <row r="6362" spans="1:2" x14ac:dyDescent="0.25">
      <c r="A6362" s="5">
        <v>42809</v>
      </c>
      <c r="B6362">
        <v>49.724795999999998</v>
      </c>
    </row>
    <row r="6363" spans="1:2" x14ac:dyDescent="0.25">
      <c r="A6363" s="5">
        <v>42810</v>
      </c>
      <c r="B6363">
        <v>49.580345000000001</v>
      </c>
    </row>
    <row r="6364" spans="1:2" x14ac:dyDescent="0.25">
      <c r="A6364" s="5">
        <v>42811</v>
      </c>
      <c r="B6364">
        <v>48.900588999999997</v>
      </c>
    </row>
    <row r="6365" spans="1:2" x14ac:dyDescent="0.25">
      <c r="A6365" s="5">
        <v>42814</v>
      </c>
      <c r="B6365">
        <v>49.121521000000001</v>
      </c>
    </row>
    <row r="6366" spans="1:2" x14ac:dyDescent="0.25">
      <c r="A6366" s="5">
        <v>42815</v>
      </c>
      <c r="B6366">
        <v>48.263297999999999</v>
      </c>
    </row>
    <row r="6367" spans="1:2" x14ac:dyDescent="0.25">
      <c r="A6367" s="5">
        <v>42816</v>
      </c>
      <c r="B6367">
        <v>48.467236</v>
      </c>
    </row>
    <row r="6368" spans="1:2" x14ac:dyDescent="0.25">
      <c r="A6368" s="5">
        <v>42817</v>
      </c>
      <c r="B6368">
        <v>48.271808999999998</v>
      </c>
    </row>
    <row r="6369" spans="1:2" x14ac:dyDescent="0.25">
      <c r="A6369" s="5">
        <v>42818</v>
      </c>
      <c r="B6369">
        <v>48.365273000000002</v>
      </c>
    </row>
    <row r="6370" spans="1:2" x14ac:dyDescent="0.25">
      <c r="A6370" s="5">
        <v>42821</v>
      </c>
      <c r="B6370">
        <v>48.144351999999998</v>
      </c>
    </row>
    <row r="6371" spans="1:2" x14ac:dyDescent="0.25">
      <c r="A6371" s="5">
        <v>42822</v>
      </c>
      <c r="B6371">
        <v>48.756129999999999</v>
      </c>
    </row>
    <row r="6372" spans="1:2" x14ac:dyDescent="0.25">
      <c r="A6372" s="5">
        <v>42823</v>
      </c>
      <c r="B6372">
        <v>48.739151</v>
      </c>
    </row>
    <row r="6373" spans="1:2" x14ac:dyDescent="0.25">
      <c r="A6373" s="5">
        <v>42824</v>
      </c>
      <c r="B6373">
        <v>48.603191000000002</v>
      </c>
    </row>
    <row r="6374" spans="1:2" x14ac:dyDescent="0.25">
      <c r="A6374" s="5">
        <v>42825</v>
      </c>
      <c r="B6374">
        <v>48.722152999999999</v>
      </c>
    </row>
    <row r="6375" spans="1:2" x14ac:dyDescent="0.25">
      <c r="A6375" s="5">
        <v>42828</v>
      </c>
      <c r="B6375">
        <v>48.008400000000002</v>
      </c>
    </row>
    <row r="6376" spans="1:2" x14ac:dyDescent="0.25">
      <c r="A6376" s="5">
        <v>42829</v>
      </c>
      <c r="B6376">
        <v>48.161343000000002</v>
      </c>
    </row>
    <row r="6377" spans="1:2" x14ac:dyDescent="0.25">
      <c r="A6377" s="5">
        <v>42830</v>
      </c>
      <c r="B6377">
        <v>47.982906</v>
      </c>
    </row>
    <row r="6378" spans="1:2" x14ac:dyDescent="0.25">
      <c r="A6378" s="5">
        <v>42831</v>
      </c>
      <c r="B6378">
        <v>48.03389</v>
      </c>
    </row>
    <row r="6379" spans="1:2" x14ac:dyDescent="0.25">
      <c r="A6379" s="5">
        <v>42832</v>
      </c>
      <c r="B6379">
        <v>47.855449999999998</v>
      </c>
    </row>
    <row r="6380" spans="1:2" x14ac:dyDescent="0.25">
      <c r="A6380" s="5">
        <v>42835</v>
      </c>
      <c r="B6380">
        <v>48.025393999999999</v>
      </c>
    </row>
    <row r="6381" spans="1:2" x14ac:dyDescent="0.25">
      <c r="A6381" s="5">
        <v>42836</v>
      </c>
      <c r="B6381">
        <v>47.031227000000001</v>
      </c>
    </row>
    <row r="6382" spans="1:2" x14ac:dyDescent="0.25">
      <c r="A6382" s="5">
        <v>42837</v>
      </c>
      <c r="B6382">
        <v>45.365810000000003</v>
      </c>
    </row>
    <row r="6383" spans="1:2" x14ac:dyDescent="0.25">
      <c r="A6383" s="5">
        <v>42838</v>
      </c>
      <c r="B6383">
        <v>44.855988000000004</v>
      </c>
    </row>
    <row r="6384" spans="1:2" x14ac:dyDescent="0.25">
      <c r="A6384" s="5">
        <v>42842</v>
      </c>
      <c r="B6384">
        <v>44.940947999999999</v>
      </c>
    </row>
    <row r="6385" spans="1:2" x14ac:dyDescent="0.25">
      <c r="A6385" s="5">
        <v>42843</v>
      </c>
      <c r="B6385">
        <v>44.754016999999997</v>
      </c>
    </row>
    <row r="6386" spans="1:2" x14ac:dyDescent="0.25">
      <c r="A6386" s="5">
        <v>42844</v>
      </c>
      <c r="B6386">
        <v>44.703037000000002</v>
      </c>
    </row>
    <row r="6387" spans="1:2" x14ac:dyDescent="0.25">
      <c r="A6387" s="5">
        <v>42845</v>
      </c>
      <c r="B6387">
        <v>44.745528999999998</v>
      </c>
    </row>
    <row r="6388" spans="1:2" x14ac:dyDescent="0.25">
      <c r="A6388" s="5">
        <v>42846</v>
      </c>
      <c r="B6388">
        <v>44.609577000000002</v>
      </c>
    </row>
    <row r="6389" spans="1:2" x14ac:dyDescent="0.25">
      <c r="A6389" s="5">
        <v>42849</v>
      </c>
      <c r="B6389">
        <v>44.872973999999999</v>
      </c>
    </row>
    <row r="6390" spans="1:2" x14ac:dyDescent="0.25">
      <c r="A6390" s="5">
        <v>42850</v>
      </c>
      <c r="B6390">
        <v>45.034424000000001</v>
      </c>
    </row>
    <row r="6391" spans="1:2" x14ac:dyDescent="0.25">
      <c r="A6391" s="5">
        <v>42851</v>
      </c>
      <c r="B6391">
        <v>45.068409000000003</v>
      </c>
    </row>
    <row r="6392" spans="1:2" x14ac:dyDescent="0.25">
      <c r="A6392" s="5">
        <v>42852</v>
      </c>
      <c r="B6392">
        <v>45.212864000000003</v>
      </c>
    </row>
    <row r="6393" spans="1:2" x14ac:dyDescent="0.25">
      <c r="A6393" s="5">
        <v>42853</v>
      </c>
      <c r="B6393">
        <v>45.663207999999997</v>
      </c>
    </row>
    <row r="6394" spans="1:2" x14ac:dyDescent="0.25">
      <c r="A6394" s="5">
        <v>42856</v>
      </c>
      <c r="B6394">
        <v>45.544246999999999</v>
      </c>
    </row>
    <row r="6395" spans="1:2" x14ac:dyDescent="0.25">
      <c r="A6395" s="5">
        <v>42857</v>
      </c>
      <c r="B6395">
        <v>45.280842</v>
      </c>
    </row>
    <row r="6396" spans="1:2" x14ac:dyDescent="0.25">
      <c r="A6396" s="5">
        <v>42858</v>
      </c>
      <c r="B6396">
        <v>46.300491000000001</v>
      </c>
    </row>
    <row r="6397" spans="1:2" x14ac:dyDescent="0.25">
      <c r="A6397" s="5">
        <v>42859</v>
      </c>
      <c r="B6397">
        <v>46.657364000000001</v>
      </c>
    </row>
    <row r="6398" spans="1:2" x14ac:dyDescent="0.25">
      <c r="A6398" s="5">
        <v>42860</v>
      </c>
      <c r="B6398">
        <v>46.674357999999998</v>
      </c>
    </row>
    <row r="6399" spans="1:2" x14ac:dyDescent="0.25">
      <c r="A6399" s="5">
        <v>42863</v>
      </c>
      <c r="B6399">
        <v>46.410946000000003</v>
      </c>
    </row>
    <row r="6400" spans="1:2" x14ac:dyDescent="0.25">
      <c r="A6400" s="5">
        <v>42864</v>
      </c>
      <c r="B6400">
        <v>46.861297999999998</v>
      </c>
    </row>
    <row r="6401" spans="1:2" x14ac:dyDescent="0.25">
      <c r="A6401" s="5">
        <v>42865</v>
      </c>
      <c r="B6401">
        <v>47.014240000000001</v>
      </c>
    </row>
    <row r="6402" spans="1:2" x14ac:dyDescent="0.25">
      <c r="A6402" s="5">
        <v>42866</v>
      </c>
      <c r="B6402">
        <v>46.461936999999999</v>
      </c>
    </row>
    <row r="6403" spans="1:2" x14ac:dyDescent="0.25">
      <c r="A6403" s="5">
        <v>42867</v>
      </c>
      <c r="B6403">
        <v>47.005737000000003</v>
      </c>
    </row>
    <row r="6404" spans="1:2" x14ac:dyDescent="0.25">
      <c r="A6404" s="5">
        <v>42870</v>
      </c>
      <c r="B6404">
        <v>47.073726999999998</v>
      </c>
    </row>
    <row r="6405" spans="1:2" x14ac:dyDescent="0.25">
      <c r="A6405" s="5">
        <v>42871</v>
      </c>
      <c r="B6405">
        <v>47.541058</v>
      </c>
    </row>
    <row r="6406" spans="1:2" x14ac:dyDescent="0.25">
      <c r="A6406" s="5">
        <v>42872</v>
      </c>
      <c r="B6406">
        <v>47.039729999999999</v>
      </c>
    </row>
    <row r="6407" spans="1:2" x14ac:dyDescent="0.25">
      <c r="A6407" s="5">
        <v>42873</v>
      </c>
      <c r="B6407">
        <v>47.685504999999999</v>
      </c>
    </row>
    <row r="6408" spans="1:2" x14ac:dyDescent="0.25">
      <c r="A6408" s="5">
        <v>42874</v>
      </c>
      <c r="B6408">
        <v>49.002555999999998</v>
      </c>
    </row>
    <row r="6409" spans="1:2" x14ac:dyDescent="0.25">
      <c r="A6409" s="5">
        <v>42877</v>
      </c>
      <c r="B6409">
        <v>50.370583000000003</v>
      </c>
    </row>
    <row r="6410" spans="1:2" x14ac:dyDescent="0.25">
      <c r="A6410" s="5">
        <v>42878</v>
      </c>
      <c r="B6410">
        <v>50.319592</v>
      </c>
    </row>
    <row r="6411" spans="1:2" x14ac:dyDescent="0.25">
      <c r="A6411" s="5">
        <v>42879</v>
      </c>
      <c r="B6411">
        <v>49.826763</v>
      </c>
    </row>
    <row r="6412" spans="1:2" x14ac:dyDescent="0.25">
      <c r="A6412" s="5">
        <v>42880</v>
      </c>
      <c r="B6412">
        <v>49.665320999999999</v>
      </c>
    </row>
    <row r="6413" spans="1:2" x14ac:dyDescent="0.25">
      <c r="A6413" s="5">
        <v>42881</v>
      </c>
      <c r="B6413">
        <v>49.356414999999998</v>
      </c>
    </row>
    <row r="6414" spans="1:2" x14ac:dyDescent="0.25">
      <c r="A6414" s="5">
        <v>42885</v>
      </c>
      <c r="B6414">
        <v>49.201965000000001</v>
      </c>
    </row>
    <row r="6415" spans="1:2" x14ac:dyDescent="0.25">
      <c r="A6415" s="5">
        <v>42886</v>
      </c>
      <c r="B6415">
        <v>49.141888000000002</v>
      </c>
    </row>
    <row r="6416" spans="1:2" x14ac:dyDescent="0.25">
      <c r="A6416" s="5">
        <v>42887</v>
      </c>
      <c r="B6416">
        <v>50.300303999999997</v>
      </c>
    </row>
    <row r="6417" spans="1:2" x14ac:dyDescent="0.25">
      <c r="A6417" s="5">
        <v>42888</v>
      </c>
      <c r="B6417">
        <v>50.265976000000002</v>
      </c>
    </row>
    <row r="6418" spans="1:2" x14ac:dyDescent="0.25">
      <c r="A6418" s="5">
        <v>42891</v>
      </c>
      <c r="B6418">
        <v>50.506241000000003</v>
      </c>
    </row>
    <row r="6419" spans="1:2" x14ac:dyDescent="0.25">
      <c r="A6419" s="5">
        <v>42892</v>
      </c>
      <c r="B6419">
        <v>49.939906999999998</v>
      </c>
    </row>
    <row r="6420" spans="1:2" x14ac:dyDescent="0.25">
      <c r="A6420" s="5">
        <v>42893</v>
      </c>
      <c r="B6420">
        <v>49.364998</v>
      </c>
    </row>
    <row r="6421" spans="1:2" x14ac:dyDescent="0.25">
      <c r="A6421" s="5">
        <v>42894</v>
      </c>
      <c r="B6421">
        <v>49.871262000000002</v>
      </c>
    </row>
    <row r="6422" spans="1:2" x14ac:dyDescent="0.25">
      <c r="A6422" s="5">
        <v>42895</v>
      </c>
      <c r="B6422">
        <v>48.953125</v>
      </c>
    </row>
    <row r="6423" spans="1:2" x14ac:dyDescent="0.25">
      <c r="A6423" s="5">
        <v>42898</v>
      </c>
      <c r="B6423">
        <v>49.330680999999998</v>
      </c>
    </row>
    <row r="6424" spans="1:2" x14ac:dyDescent="0.25">
      <c r="A6424" s="5">
        <v>42899</v>
      </c>
      <c r="B6424">
        <v>49.373573</v>
      </c>
    </row>
    <row r="6425" spans="1:2" x14ac:dyDescent="0.25">
      <c r="A6425" s="5">
        <v>42900</v>
      </c>
      <c r="B6425">
        <v>48.918785</v>
      </c>
    </row>
    <row r="6426" spans="1:2" x14ac:dyDescent="0.25">
      <c r="A6426" s="5">
        <v>42901</v>
      </c>
      <c r="B6426">
        <v>48.850150999999997</v>
      </c>
    </row>
    <row r="6427" spans="1:2" x14ac:dyDescent="0.25">
      <c r="A6427" s="5">
        <v>42902</v>
      </c>
      <c r="B6427">
        <v>48.755768000000003</v>
      </c>
    </row>
    <row r="6428" spans="1:2" x14ac:dyDescent="0.25">
      <c r="A6428" s="5">
        <v>42905</v>
      </c>
      <c r="B6428">
        <v>49.433636</v>
      </c>
    </row>
    <row r="6429" spans="1:2" x14ac:dyDescent="0.25">
      <c r="A6429" s="5">
        <v>42906</v>
      </c>
      <c r="B6429">
        <v>48.730015000000002</v>
      </c>
    </row>
    <row r="6430" spans="1:2" x14ac:dyDescent="0.25">
      <c r="A6430" s="5">
        <v>42907</v>
      </c>
      <c r="B6430">
        <v>48.335307999999998</v>
      </c>
    </row>
    <row r="6431" spans="1:2" x14ac:dyDescent="0.25">
      <c r="A6431" s="5">
        <v>42908</v>
      </c>
      <c r="B6431">
        <v>48.455441</v>
      </c>
    </row>
    <row r="6432" spans="1:2" x14ac:dyDescent="0.25">
      <c r="A6432" s="5">
        <v>42909</v>
      </c>
      <c r="B6432">
        <v>48.832993000000002</v>
      </c>
    </row>
    <row r="6433" spans="1:2" x14ac:dyDescent="0.25">
      <c r="A6433" s="5">
        <v>42912</v>
      </c>
      <c r="B6433">
        <v>48.532668999999999</v>
      </c>
    </row>
    <row r="6434" spans="1:2" x14ac:dyDescent="0.25">
      <c r="A6434" s="5">
        <v>42913</v>
      </c>
      <c r="B6434">
        <v>47.563042000000003</v>
      </c>
    </row>
    <row r="6435" spans="1:2" x14ac:dyDescent="0.25">
      <c r="A6435" s="5">
        <v>42914</v>
      </c>
      <c r="B6435">
        <v>48.189430000000002</v>
      </c>
    </row>
    <row r="6436" spans="1:2" x14ac:dyDescent="0.25">
      <c r="A6436" s="5">
        <v>42915</v>
      </c>
      <c r="B6436">
        <v>47.262726000000001</v>
      </c>
    </row>
    <row r="6437" spans="1:2" x14ac:dyDescent="0.25">
      <c r="A6437" s="5">
        <v>42916</v>
      </c>
      <c r="B6437">
        <v>47.382846999999998</v>
      </c>
    </row>
    <row r="6438" spans="1:2" x14ac:dyDescent="0.25">
      <c r="A6438" s="5">
        <v>42919</v>
      </c>
      <c r="B6438">
        <v>47.151164999999999</v>
      </c>
    </row>
    <row r="6439" spans="1:2" x14ac:dyDescent="0.25">
      <c r="A6439" s="5">
        <v>42921</v>
      </c>
      <c r="B6439">
        <v>47.580212000000003</v>
      </c>
    </row>
    <row r="6440" spans="1:2" x14ac:dyDescent="0.25">
      <c r="A6440" s="5">
        <v>42922</v>
      </c>
      <c r="B6440">
        <v>47.013874000000001</v>
      </c>
    </row>
    <row r="6441" spans="1:2" x14ac:dyDescent="0.25">
      <c r="A6441" s="5">
        <v>42923</v>
      </c>
      <c r="B6441">
        <v>47.494396000000002</v>
      </c>
    </row>
    <row r="6442" spans="1:2" x14ac:dyDescent="0.25">
      <c r="A6442" s="5">
        <v>42926</v>
      </c>
      <c r="B6442">
        <v>47.743237000000001</v>
      </c>
    </row>
    <row r="6443" spans="1:2" x14ac:dyDescent="0.25">
      <c r="A6443" s="5">
        <v>42927</v>
      </c>
      <c r="B6443">
        <v>47.477238</v>
      </c>
    </row>
    <row r="6444" spans="1:2" x14ac:dyDescent="0.25">
      <c r="A6444" s="5">
        <v>42928</v>
      </c>
      <c r="B6444">
        <v>48.223754999999997</v>
      </c>
    </row>
    <row r="6445" spans="1:2" x14ac:dyDescent="0.25">
      <c r="A6445" s="5">
        <v>42929</v>
      </c>
      <c r="B6445">
        <v>48.249499999999998</v>
      </c>
    </row>
    <row r="6446" spans="1:2" x14ac:dyDescent="0.25">
      <c r="A6446" s="5">
        <v>42930</v>
      </c>
      <c r="B6446">
        <v>48.747191999999998</v>
      </c>
    </row>
    <row r="6447" spans="1:2" x14ac:dyDescent="0.25">
      <c r="A6447" s="5">
        <v>42933</v>
      </c>
      <c r="B6447">
        <v>48.446849999999998</v>
      </c>
    </row>
    <row r="6448" spans="1:2" x14ac:dyDescent="0.25">
      <c r="A6448" s="5">
        <v>42934</v>
      </c>
      <c r="B6448">
        <v>48.300991000000003</v>
      </c>
    </row>
    <row r="6449" spans="1:2" x14ac:dyDescent="0.25">
      <c r="A6449" s="5">
        <v>42935</v>
      </c>
      <c r="B6449">
        <v>48.721432</v>
      </c>
    </row>
    <row r="6450" spans="1:2" x14ac:dyDescent="0.25">
      <c r="A6450" s="5">
        <v>42936</v>
      </c>
      <c r="B6450">
        <v>46.310260999999997</v>
      </c>
    </row>
    <row r="6451" spans="1:2" x14ac:dyDescent="0.25">
      <c r="A6451" s="5">
        <v>42937</v>
      </c>
      <c r="B6451">
        <v>46.198711000000003</v>
      </c>
    </row>
    <row r="6452" spans="1:2" x14ac:dyDescent="0.25">
      <c r="A6452" s="5">
        <v>42940</v>
      </c>
      <c r="B6452">
        <v>45.666694999999997</v>
      </c>
    </row>
    <row r="6453" spans="1:2" x14ac:dyDescent="0.25">
      <c r="A6453" s="5">
        <v>42941</v>
      </c>
      <c r="B6453">
        <v>45.709598999999997</v>
      </c>
    </row>
    <row r="6454" spans="1:2" x14ac:dyDescent="0.25">
      <c r="A6454" s="5">
        <v>42942</v>
      </c>
      <c r="B6454">
        <v>45.598053</v>
      </c>
    </row>
    <row r="6455" spans="1:2" x14ac:dyDescent="0.25">
      <c r="A6455" s="5">
        <v>42943</v>
      </c>
      <c r="B6455">
        <v>45.040298</v>
      </c>
    </row>
    <row r="6456" spans="1:2" x14ac:dyDescent="0.25">
      <c r="A6456" s="5">
        <v>42944</v>
      </c>
      <c r="B6456">
        <v>45.374949999999998</v>
      </c>
    </row>
    <row r="6457" spans="1:2" x14ac:dyDescent="0.25">
      <c r="A6457" s="5">
        <v>42947</v>
      </c>
      <c r="B6457">
        <v>45.640948999999999</v>
      </c>
    </row>
    <row r="6458" spans="1:2" x14ac:dyDescent="0.25">
      <c r="A6458" s="5">
        <v>42948</v>
      </c>
      <c r="B6458">
        <v>45.829731000000002</v>
      </c>
    </row>
    <row r="6459" spans="1:2" x14ac:dyDescent="0.25">
      <c r="A6459" s="5">
        <v>42949</v>
      </c>
      <c r="B6459">
        <v>45.623798000000001</v>
      </c>
    </row>
    <row r="6460" spans="1:2" x14ac:dyDescent="0.25">
      <c r="A6460" s="5">
        <v>42950</v>
      </c>
      <c r="B6460">
        <v>45.435012999999998</v>
      </c>
    </row>
    <row r="6461" spans="1:2" x14ac:dyDescent="0.25">
      <c r="A6461" s="5">
        <v>42951</v>
      </c>
      <c r="B6461">
        <v>45.151854999999998</v>
      </c>
    </row>
    <row r="6462" spans="1:2" x14ac:dyDescent="0.25">
      <c r="A6462" s="5">
        <v>42954</v>
      </c>
      <c r="B6462">
        <v>45.220500999999999</v>
      </c>
    </row>
    <row r="6463" spans="1:2" x14ac:dyDescent="0.25">
      <c r="A6463" s="5">
        <v>42955</v>
      </c>
      <c r="B6463">
        <v>44.868682999999997</v>
      </c>
    </row>
    <row r="6464" spans="1:2" x14ac:dyDescent="0.25">
      <c r="A6464" s="5">
        <v>42956</v>
      </c>
      <c r="B6464">
        <v>45.280566999999998</v>
      </c>
    </row>
    <row r="6465" spans="1:2" x14ac:dyDescent="0.25">
      <c r="A6465" s="5">
        <v>42957</v>
      </c>
      <c r="B6465">
        <v>44.911597999999998</v>
      </c>
    </row>
    <row r="6466" spans="1:2" x14ac:dyDescent="0.25">
      <c r="A6466" s="5">
        <v>42958</v>
      </c>
      <c r="B6466">
        <v>45.237667000000002</v>
      </c>
    </row>
    <row r="6467" spans="1:2" x14ac:dyDescent="0.25">
      <c r="A6467" s="5">
        <v>42961</v>
      </c>
      <c r="B6467">
        <v>45.949871000000002</v>
      </c>
    </row>
    <row r="6468" spans="1:2" x14ac:dyDescent="0.25">
      <c r="A6468" s="5">
        <v>42962</v>
      </c>
      <c r="B6468">
        <v>46.224449</v>
      </c>
    </row>
    <row r="6469" spans="1:2" x14ac:dyDescent="0.25">
      <c r="A6469" s="5">
        <v>42963</v>
      </c>
      <c r="B6469">
        <v>45.743923000000002</v>
      </c>
    </row>
    <row r="6470" spans="1:2" x14ac:dyDescent="0.25">
      <c r="A6470" s="5">
        <v>42964</v>
      </c>
      <c r="B6470">
        <v>44.851528000000002</v>
      </c>
    </row>
    <row r="6471" spans="1:2" x14ac:dyDescent="0.25">
      <c r="A6471" s="5">
        <v>42965</v>
      </c>
      <c r="B6471">
        <v>44.551197000000002</v>
      </c>
    </row>
    <row r="6472" spans="1:2" x14ac:dyDescent="0.25">
      <c r="A6472" s="5">
        <v>42968</v>
      </c>
      <c r="B6472">
        <v>44.602684000000004</v>
      </c>
    </row>
    <row r="6473" spans="1:2" x14ac:dyDescent="0.25">
      <c r="A6473" s="5">
        <v>42969</v>
      </c>
      <c r="B6473">
        <v>44.920177000000002</v>
      </c>
    </row>
    <row r="6474" spans="1:2" x14ac:dyDescent="0.25">
      <c r="A6474" s="5">
        <v>42970</v>
      </c>
      <c r="B6474">
        <v>44.817211</v>
      </c>
    </row>
    <row r="6475" spans="1:2" x14ac:dyDescent="0.25">
      <c r="A6475" s="5">
        <v>42971</v>
      </c>
      <c r="B6475">
        <v>45.040298</v>
      </c>
    </row>
    <row r="6476" spans="1:2" x14ac:dyDescent="0.25">
      <c r="A6476" s="5">
        <v>42972</v>
      </c>
      <c r="B6476">
        <v>44.645587999999996</v>
      </c>
    </row>
    <row r="6477" spans="1:2" x14ac:dyDescent="0.25">
      <c r="A6477" s="5">
        <v>42975</v>
      </c>
      <c r="B6477">
        <v>44.949244999999998</v>
      </c>
    </row>
    <row r="6478" spans="1:2" x14ac:dyDescent="0.25">
      <c r="A6478" s="5">
        <v>42976</v>
      </c>
      <c r="B6478">
        <v>44.949244999999998</v>
      </c>
    </row>
    <row r="6479" spans="1:2" x14ac:dyDescent="0.25">
      <c r="A6479" s="5">
        <v>42977</v>
      </c>
      <c r="B6479">
        <v>45.218197000000004</v>
      </c>
    </row>
    <row r="6480" spans="1:2" x14ac:dyDescent="0.25">
      <c r="A6480" s="5">
        <v>42978</v>
      </c>
      <c r="B6480">
        <v>45.348323999999998</v>
      </c>
    </row>
    <row r="6481" spans="1:2" x14ac:dyDescent="0.25">
      <c r="A6481" s="5">
        <v>42979</v>
      </c>
      <c r="B6481">
        <v>45.157466999999997</v>
      </c>
    </row>
    <row r="6482" spans="1:2" x14ac:dyDescent="0.25">
      <c r="A6482" s="5">
        <v>42983</v>
      </c>
      <c r="B6482">
        <v>43.404952999999999</v>
      </c>
    </row>
    <row r="6483" spans="1:2" x14ac:dyDescent="0.25">
      <c r="A6483" s="5">
        <v>42984</v>
      </c>
      <c r="B6483">
        <v>43.769337</v>
      </c>
    </row>
    <row r="6484" spans="1:2" x14ac:dyDescent="0.25">
      <c r="A6484" s="5">
        <v>42985</v>
      </c>
      <c r="B6484">
        <v>43.708602999999997</v>
      </c>
    </row>
    <row r="6485" spans="1:2" x14ac:dyDescent="0.25">
      <c r="A6485" s="5">
        <v>42986</v>
      </c>
      <c r="B6485">
        <v>43.066597000000002</v>
      </c>
    </row>
    <row r="6486" spans="1:2" x14ac:dyDescent="0.25">
      <c r="A6486" s="5">
        <v>42989</v>
      </c>
      <c r="B6486">
        <v>43.873446999999999</v>
      </c>
    </row>
    <row r="6487" spans="1:2" x14ac:dyDescent="0.25">
      <c r="A6487" s="5">
        <v>42990</v>
      </c>
      <c r="B6487">
        <v>44.159744000000003</v>
      </c>
    </row>
    <row r="6488" spans="1:2" x14ac:dyDescent="0.25">
      <c r="A6488" s="5">
        <v>42991</v>
      </c>
      <c r="B6488">
        <v>44.255169000000002</v>
      </c>
    </row>
    <row r="6489" spans="1:2" x14ac:dyDescent="0.25">
      <c r="A6489" s="5">
        <v>42992</v>
      </c>
      <c r="B6489">
        <v>44.662945000000001</v>
      </c>
    </row>
    <row r="6490" spans="1:2" x14ac:dyDescent="0.25">
      <c r="A6490" s="5">
        <v>42993</v>
      </c>
      <c r="B6490">
        <v>45.278914999999998</v>
      </c>
    </row>
    <row r="6491" spans="1:2" x14ac:dyDescent="0.25">
      <c r="A6491" s="5">
        <v>42996</v>
      </c>
      <c r="B6491">
        <v>45.330978000000002</v>
      </c>
    </row>
    <row r="6492" spans="1:2" x14ac:dyDescent="0.25">
      <c r="A6492" s="5">
        <v>42997</v>
      </c>
      <c r="B6492">
        <v>45.374344000000001</v>
      </c>
    </row>
    <row r="6493" spans="1:2" x14ac:dyDescent="0.25">
      <c r="A6493" s="5">
        <v>42998</v>
      </c>
      <c r="B6493">
        <v>45.096729000000003</v>
      </c>
    </row>
    <row r="6494" spans="1:2" x14ac:dyDescent="0.25">
      <c r="A6494" s="5">
        <v>42999</v>
      </c>
      <c r="B6494">
        <v>45.140101999999999</v>
      </c>
    </row>
    <row r="6495" spans="1:2" x14ac:dyDescent="0.25">
      <c r="A6495" s="5">
        <v>43000</v>
      </c>
      <c r="B6495">
        <v>45.192162000000003</v>
      </c>
    </row>
    <row r="6496" spans="1:2" x14ac:dyDescent="0.25">
      <c r="A6496" s="5">
        <v>43003</v>
      </c>
      <c r="B6496">
        <v>44.784401000000003</v>
      </c>
    </row>
    <row r="6497" spans="1:2" x14ac:dyDescent="0.25">
      <c r="A6497" s="5">
        <v>43004</v>
      </c>
      <c r="B6497">
        <v>44.359290999999999</v>
      </c>
    </row>
    <row r="6498" spans="1:2" x14ac:dyDescent="0.25">
      <c r="A6498" s="5">
        <v>43005</v>
      </c>
      <c r="B6498">
        <v>44.723655999999998</v>
      </c>
    </row>
    <row r="6499" spans="1:2" x14ac:dyDescent="0.25">
      <c r="A6499" s="5">
        <v>43006</v>
      </c>
      <c r="B6499">
        <v>44.897185999999998</v>
      </c>
    </row>
    <row r="6500" spans="1:2" x14ac:dyDescent="0.25">
      <c r="A6500" s="5">
        <v>43007</v>
      </c>
      <c r="B6500">
        <v>44.975265999999998</v>
      </c>
    </row>
    <row r="6501" spans="1:2" x14ac:dyDescent="0.25">
      <c r="A6501" s="5">
        <v>43010</v>
      </c>
      <c r="B6501">
        <v>45.009968000000001</v>
      </c>
    </row>
    <row r="6502" spans="1:2" x14ac:dyDescent="0.25">
      <c r="A6502" s="5">
        <v>43011</v>
      </c>
      <c r="B6502">
        <v>45.131442999999997</v>
      </c>
    </row>
    <row r="6503" spans="1:2" x14ac:dyDescent="0.25">
      <c r="A6503" s="5">
        <v>43012</v>
      </c>
      <c r="B6503">
        <v>45.079388000000002</v>
      </c>
    </row>
    <row r="6504" spans="1:2" x14ac:dyDescent="0.25">
      <c r="A6504" s="5">
        <v>43013</v>
      </c>
      <c r="B6504">
        <v>45.417740000000002</v>
      </c>
    </row>
    <row r="6505" spans="1:2" x14ac:dyDescent="0.25">
      <c r="A6505" s="5">
        <v>43014</v>
      </c>
      <c r="B6505">
        <v>45.539195999999997</v>
      </c>
    </row>
    <row r="6506" spans="1:2" x14ac:dyDescent="0.25">
      <c r="A6506" s="5">
        <v>43017</v>
      </c>
      <c r="B6506">
        <v>45.877555999999998</v>
      </c>
    </row>
    <row r="6507" spans="1:2" x14ac:dyDescent="0.25">
      <c r="A6507" s="5">
        <v>43018</v>
      </c>
      <c r="B6507">
        <v>46.736457999999999</v>
      </c>
    </row>
    <row r="6508" spans="1:2" x14ac:dyDescent="0.25">
      <c r="A6508" s="5">
        <v>43019</v>
      </c>
      <c r="B6508">
        <v>46.953346000000003</v>
      </c>
    </row>
    <row r="6509" spans="1:2" x14ac:dyDescent="0.25">
      <c r="A6509" s="5">
        <v>43020</v>
      </c>
      <c r="B6509">
        <v>45.981667000000002</v>
      </c>
    </row>
    <row r="6510" spans="1:2" x14ac:dyDescent="0.25">
      <c r="A6510" s="5">
        <v>43021</v>
      </c>
      <c r="B6510">
        <v>45.825493000000002</v>
      </c>
    </row>
    <row r="6511" spans="1:2" x14ac:dyDescent="0.25">
      <c r="A6511" s="5">
        <v>43024</v>
      </c>
      <c r="B6511">
        <v>45.443764000000002</v>
      </c>
    </row>
    <row r="6512" spans="1:2" x14ac:dyDescent="0.25">
      <c r="A6512" s="5">
        <v>43025</v>
      </c>
      <c r="B6512">
        <v>45.469788000000001</v>
      </c>
    </row>
    <row r="6513" spans="1:2" x14ac:dyDescent="0.25">
      <c r="A6513" s="5">
        <v>43026</v>
      </c>
      <c r="B6513">
        <v>45.296267999999998</v>
      </c>
    </row>
    <row r="6514" spans="1:2" x14ac:dyDescent="0.25">
      <c r="A6514" s="5">
        <v>43027</v>
      </c>
      <c r="B6514">
        <v>45.365681000000002</v>
      </c>
    </row>
    <row r="6515" spans="1:2" x14ac:dyDescent="0.25">
      <c r="A6515" s="5">
        <v>43028</v>
      </c>
      <c r="B6515">
        <v>45.131442999999997</v>
      </c>
    </row>
    <row r="6516" spans="1:2" x14ac:dyDescent="0.25">
      <c r="A6516" s="5">
        <v>43031</v>
      </c>
      <c r="B6516">
        <v>46.320022999999999</v>
      </c>
    </row>
    <row r="6517" spans="1:2" x14ac:dyDescent="0.25">
      <c r="A6517" s="5">
        <v>43032</v>
      </c>
      <c r="B6517">
        <v>47.066139</v>
      </c>
    </row>
    <row r="6518" spans="1:2" x14ac:dyDescent="0.25">
      <c r="A6518" s="5">
        <v>43033</v>
      </c>
      <c r="B6518">
        <v>46.710425999999998</v>
      </c>
    </row>
    <row r="6519" spans="1:2" x14ac:dyDescent="0.25">
      <c r="A6519" s="5">
        <v>43034</v>
      </c>
      <c r="B6519">
        <v>46.675716000000001</v>
      </c>
    </row>
    <row r="6520" spans="1:2" x14ac:dyDescent="0.25">
      <c r="A6520" s="5">
        <v>43035</v>
      </c>
      <c r="B6520">
        <v>47.343761000000001</v>
      </c>
    </row>
    <row r="6521" spans="1:2" x14ac:dyDescent="0.25">
      <c r="A6521" s="5">
        <v>43038</v>
      </c>
      <c r="B6521">
        <v>47.421836999999996</v>
      </c>
    </row>
    <row r="6522" spans="1:2" x14ac:dyDescent="0.25">
      <c r="A6522" s="5">
        <v>43039</v>
      </c>
      <c r="B6522">
        <v>44.255169000000002</v>
      </c>
    </row>
    <row r="6523" spans="1:2" x14ac:dyDescent="0.25">
      <c r="A6523" s="5">
        <v>43040</v>
      </c>
      <c r="B6523">
        <v>46.380744999999997</v>
      </c>
    </row>
    <row r="6524" spans="1:2" x14ac:dyDescent="0.25">
      <c r="A6524" s="5">
        <v>43041</v>
      </c>
      <c r="B6524">
        <v>47.577998999999998</v>
      </c>
    </row>
    <row r="6525" spans="1:2" x14ac:dyDescent="0.25">
      <c r="A6525" s="5">
        <v>43042</v>
      </c>
      <c r="B6525">
        <v>53.625038000000004</v>
      </c>
    </row>
    <row r="6526" spans="1:2" x14ac:dyDescent="0.25">
      <c r="A6526" s="5">
        <v>43045</v>
      </c>
      <c r="B6526">
        <v>54.241008999999998</v>
      </c>
    </row>
    <row r="6527" spans="1:2" x14ac:dyDescent="0.25">
      <c r="A6527" s="5">
        <v>43046</v>
      </c>
      <c r="B6527">
        <v>55.611778000000001</v>
      </c>
    </row>
    <row r="6528" spans="1:2" x14ac:dyDescent="0.25">
      <c r="A6528" s="5">
        <v>43047</v>
      </c>
      <c r="B6528">
        <v>56.817715</v>
      </c>
    </row>
    <row r="6529" spans="1:2" x14ac:dyDescent="0.25">
      <c r="A6529" s="5">
        <v>43048</v>
      </c>
      <c r="B6529">
        <v>56.045566999999998</v>
      </c>
    </row>
    <row r="6530" spans="1:2" x14ac:dyDescent="0.25">
      <c r="A6530" s="5">
        <v>43049</v>
      </c>
      <c r="B6530">
        <v>56.019542999999999</v>
      </c>
    </row>
    <row r="6531" spans="1:2" x14ac:dyDescent="0.25">
      <c r="A6531" s="5">
        <v>43052</v>
      </c>
      <c r="B6531">
        <v>57.685299000000001</v>
      </c>
    </row>
    <row r="6532" spans="1:2" x14ac:dyDescent="0.25">
      <c r="A6532" s="5">
        <v>43053</v>
      </c>
      <c r="B6532">
        <v>57.260188999999997</v>
      </c>
    </row>
    <row r="6533" spans="1:2" x14ac:dyDescent="0.25">
      <c r="A6533" s="5">
        <v>43054</v>
      </c>
      <c r="B6533">
        <v>56.921824999999998</v>
      </c>
    </row>
    <row r="6534" spans="1:2" x14ac:dyDescent="0.25">
      <c r="A6534" s="5">
        <v>43055</v>
      </c>
      <c r="B6534">
        <v>57.355620999999999</v>
      </c>
    </row>
    <row r="6535" spans="1:2" x14ac:dyDescent="0.25">
      <c r="A6535" s="5">
        <v>43056</v>
      </c>
      <c r="B6535">
        <v>57.884838000000002</v>
      </c>
    </row>
    <row r="6536" spans="1:2" x14ac:dyDescent="0.25">
      <c r="A6536" s="5">
        <v>43059</v>
      </c>
      <c r="B6536">
        <v>57.667952999999997</v>
      </c>
    </row>
    <row r="6537" spans="1:2" x14ac:dyDescent="0.25">
      <c r="A6537" s="5">
        <v>43060</v>
      </c>
      <c r="B6537">
        <v>57.841456999999998</v>
      </c>
    </row>
    <row r="6538" spans="1:2" x14ac:dyDescent="0.25">
      <c r="A6538" s="5">
        <v>43061</v>
      </c>
      <c r="B6538">
        <v>59.108108999999999</v>
      </c>
    </row>
    <row r="6539" spans="1:2" x14ac:dyDescent="0.25">
      <c r="A6539" s="5">
        <v>43063</v>
      </c>
      <c r="B6539">
        <v>59.784843000000002</v>
      </c>
    </row>
    <row r="6540" spans="1:2" x14ac:dyDescent="0.25">
      <c r="A6540" s="5">
        <v>43066</v>
      </c>
      <c r="B6540">
        <v>59.116798000000003</v>
      </c>
    </row>
    <row r="6541" spans="1:2" x14ac:dyDescent="0.25">
      <c r="A6541" s="5">
        <v>43067</v>
      </c>
      <c r="B6541">
        <v>59.825462000000002</v>
      </c>
    </row>
    <row r="6542" spans="1:2" x14ac:dyDescent="0.25">
      <c r="A6542" s="5">
        <v>43068</v>
      </c>
      <c r="B6542">
        <v>58.198157999999999</v>
      </c>
    </row>
    <row r="6543" spans="1:2" x14ac:dyDescent="0.25">
      <c r="A6543" s="5">
        <v>43069</v>
      </c>
      <c r="B6543">
        <v>58.040680000000002</v>
      </c>
    </row>
    <row r="6544" spans="1:2" x14ac:dyDescent="0.25">
      <c r="A6544" s="5">
        <v>43070</v>
      </c>
      <c r="B6544">
        <v>57.297012000000002</v>
      </c>
    </row>
    <row r="6545" spans="1:2" x14ac:dyDescent="0.25">
      <c r="A6545" s="5">
        <v>43073</v>
      </c>
      <c r="B6545">
        <v>56.483353000000001</v>
      </c>
    </row>
    <row r="6546" spans="1:2" x14ac:dyDescent="0.25">
      <c r="A6546" s="5">
        <v>43074</v>
      </c>
      <c r="B6546">
        <v>56.597092000000004</v>
      </c>
    </row>
    <row r="6547" spans="1:2" x14ac:dyDescent="0.25">
      <c r="A6547" s="5">
        <v>43075</v>
      </c>
      <c r="B6547">
        <v>56.850811</v>
      </c>
    </row>
    <row r="6548" spans="1:2" x14ac:dyDescent="0.25">
      <c r="A6548" s="5">
        <v>43076</v>
      </c>
      <c r="B6548">
        <v>57.069541999999998</v>
      </c>
    </row>
    <row r="6549" spans="1:2" x14ac:dyDescent="0.25">
      <c r="A6549" s="5">
        <v>43077</v>
      </c>
      <c r="B6549">
        <v>56.203392000000001</v>
      </c>
    </row>
    <row r="6550" spans="1:2" x14ac:dyDescent="0.25">
      <c r="A6550" s="5">
        <v>43080</v>
      </c>
      <c r="B6550">
        <v>57.025795000000002</v>
      </c>
    </row>
    <row r="6551" spans="1:2" x14ac:dyDescent="0.25">
      <c r="A6551" s="5">
        <v>43081</v>
      </c>
      <c r="B6551">
        <v>56.745826999999998</v>
      </c>
    </row>
    <row r="6552" spans="1:2" x14ac:dyDescent="0.25">
      <c r="A6552" s="5">
        <v>43082</v>
      </c>
      <c r="B6552">
        <v>56.780822999999998</v>
      </c>
    </row>
    <row r="6553" spans="1:2" x14ac:dyDescent="0.25">
      <c r="A6553" s="5">
        <v>43083</v>
      </c>
      <c r="B6553">
        <v>56.605846</v>
      </c>
    </row>
    <row r="6554" spans="1:2" x14ac:dyDescent="0.25">
      <c r="A6554" s="5">
        <v>43084</v>
      </c>
      <c r="B6554">
        <v>56.658352000000001</v>
      </c>
    </row>
    <row r="6555" spans="1:2" x14ac:dyDescent="0.25">
      <c r="A6555" s="5">
        <v>43087</v>
      </c>
      <c r="B6555">
        <v>57.200778999999997</v>
      </c>
    </row>
    <row r="6556" spans="1:2" x14ac:dyDescent="0.25">
      <c r="A6556" s="5">
        <v>43088</v>
      </c>
      <c r="B6556">
        <v>56.430861999999998</v>
      </c>
    </row>
    <row r="6557" spans="1:2" x14ac:dyDescent="0.25">
      <c r="A6557" s="5">
        <v>43089</v>
      </c>
      <c r="B6557">
        <v>56.518352999999998</v>
      </c>
    </row>
    <row r="6558" spans="1:2" x14ac:dyDescent="0.25">
      <c r="A6558" s="5">
        <v>43090</v>
      </c>
      <c r="B6558">
        <v>56.334629</v>
      </c>
    </row>
    <row r="6559" spans="1:2" x14ac:dyDescent="0.25">
      <c r="A6559" s="5">
        <v>43091</v>
      </c>
      <c r="B6559">
        <v>56.632095</v>
      </c>
    </row>
    <row r="6560" spans="1:2" x14ac:dyDescent="0.25">
      <c r="A6560" s="5">
        <v>43095</v>
      </c>
      <c r="B6560">
        <v>56.255885999999997</v>
      </c>
    </row>
    <row r="6561" spans="1:2" x14ac:dyDescent="0.25">
      <c r="A6561" s="5">
        <v>43096</v>
      </c>
      <c r="B6561">
        <v>56.465865999999998</v>
      </c>
    </row>
    <row r="6562" spans="1:2" x14ac:dyDescent="0.25">
      <c r="A6562" s="5">
        <v>43097</v>
      </c>
      <c r="B6562">
        <v>56.325885999999997</v>
      </c>
    </row>
    <row r="6563" spans="1:2" x14ac:dyDescent="0.25">
      <c r="A6563" s="5">
        <v>43098</v>
      </c>
      <c r="B6563">
        <v>56.010917999999997</v>
      </c>
    </row>
    <row r="6564" spans="1:2" x14ac:dyDescent="0.25">
      <c r="A6564" s="5">
        <v>43102</v>
      </c>
      <c r="B6564">
        <v>57.043284999999997</v>
      </c>
    </row>
    <row r="6565" spans="1:2" x14ac:dyDescent="0.25">
      <c r="A6565" s="5">
        <v>43103</v>
      </c>
      <c r="B6565">
        <v>57.690719999999999</v>
      </c>
    </row>
    <row r="6566" spans="1:2" x14ac:dyDescent="0.25">
      <c r="A6566" s="5">
        <v>43104</v>
      </c>
      <c r="B6566">
        <v>57.769463000000002</v>
      </c>
    </row>
    <row r="6567" spans="1:2" x14ac:dyDescent="0.25">
      <c r="A6567" s="5">
        <v>43105</v>
      </c>
      <c r="B6567">
        <v>58.154423000000001</v>
      </c>
    </row>
    <row r="6568" spans="1:2" x14ac:dyDescent="0.25">
      <c r="A6568" s="5">
        <v>43108</v>
      </c>
      <c r="B6568">
        <v>57.979427000000001</v>
      </c>
    </row>
    <row r="6569" spans="1:2" x14ac:dyDescent="0.25">
      <c r="A6569" s="5">
        <v>43109</v>
      </c>
      <c r="B6569">
        <v>57.104534000000001</v>
      </c>
    </row>
    <row r="6570" spans="1:2" x14ac:dyDescent="0.25">
      <c r="A6570" s="5">
        <v>43110</v>
      </c>
      <c r="B6570">
        <v>57.095790999999998</v>
      </c>
    </row>
    <row r="6571" spans="1:2" x14ac:dyDescent="0.25">
      <c r="A6571" s="5">
        <v>43111</v>
      </c>
      <c r="B6571">
        <v>57.244517999999999</v>
      </c>
    </row>
    <row r="6572" spans="1:2" x14ac:dyDescent="0.25">
      <c r="A6572" s="5">
        <v>43112</v>
      </c>
      <c r="B6572">
        <v>57.200778999999997</v>
      </c>
    </row>
    <row r="6573" spans="1:2" x14ac:dyDescent="0.25">
      <c r="A6573" s="5">
        <v>43116</v>
      </c>
      <c r="B6573">
        <v>59.711727000000003</v>
      </c>
    </row>
    <row r="6574" spans="1:2" x14ac:dyDescent="0.25">
      <c r="A6574" s="5">
        <v>43117</v>
      </c>
      <c r="B6574">
        <v>59.510497999999998</v>
      </c>
    </row>
    <row r="6575" spans="1:2" x14ac:dyDescent="0.25">
      <c r="A6575" s="5">
        <v>43118</v>
      </c>
      <c r="B6575">
        <v>59.536746999999998</v>
      </c>
    </row>
    <row r="6576" spans="1:2" x14ac:dyDescent="0.25">
      <c r="A6576" s="5">
        <v>43119</v>
      </c>
      <c r="B6576">
        <v>59.527991999999998</v>
      </c>
    </row>
    <row r="6577" spans="1:2" x14ac:dyDescent="0.25">
      <c r="A6577" s="5">
        <v>43122</v>
      </c>
      <c r="B6577">
        <v>60.079182000000003</v>
      </c>
    </row>
    <row r="6578" spans="1:2" x14ac:dyDescent="0.25">
      <c r="A6578" s="5">
        <v>43123</v>
      </c>
      <c r="B6578">
        <v>59.790474000000003</v>
      </c>
    </row>
    <row r="6579" spans="1:2" x14ac:dyDescent="0.25">
      <c r="A6579" s="5">
        <v>43124</v>
      </c>
      <c r="B6579">
        <v>59.475521000000001</v>
      </c>
    </row>
    <row r="6580" spans="1:2" x14ac:dyDescent="0.25">
      <c r="A6580" s="5">
        <v>43125</v>
      </c>
      <c r="B6580">
        <v>58.985573000000002</v>
      </c>
    </row>
    <row r="6581" spans="1:2" x14ac:dyDescent="0.25">
      <c r="A6581" s="5">
        <v>43126</v>
      </c>
      <c r="B6581">
        <v>59.956710999999999</v>
      </c>
    </row>
    <row r="6582" spans="1:2" x14ac:dyDescent="0.25">
      <c r="A6582" s="5">
        <v>43129</v>
      </c>
      <c r="B6582">
        <v>58.898079000000003</v>
      </c>
    </row>
    <row r="6583" spans="1:2" x14ac:dyDescent="0.25">
      <c r="A6583" s="5">
        <v>43130</v>
      </c>
      <c r="B6583">
        <v>58.609360000000002</v>
      </c>
    </row>
    <row r="6584" spans="1:2" x14ac:dyDescent="0.25">
      <c r="A6584" s="5">
        <v>43131</v>
      </c>
      <c r="B6584">
        <v>59.711727000000003</v>
      </c>
    </row>
    <row r="6585" spans="1:2" x14ac:dyDescent="0.25">
      <c r="A6585" s="5">
        <v>43132</v>
      </c>
      <c r="B6585">
        <v>58.443134000000001</v>
      </c>
    </row>
    <row r="6586" spans="1:2" x14ac:dyDescent="0.25">
      <c r="A6586" s="5">
        <v>43133</v>
      </c>
      <c r="B6586">
        <v>57.804451</v>
      </c>
    </row>
    <row r="6587" spans="1:2" x14ac:dyDescent="0.25">
      <c r="A6587" s="5">
        <v>43136</v>
      </c>
      <c r="B6587">
        <v>54.007393</v>
      </c>
    </row>
    <row r="6588" spans="1:2" x14ac:dyDescent="0.25">
      <c r="A6588" s="5">
        <v>43137</v>
      </c>
      <c r="B6588">
        <v>56.343372000000002</v>
      </c>
    </row>
    <row r="6589" spans="1:2" x14ac:dyDescent="0.25">
      <c r="A6589" s="5">
        <v>43138</v>
      </c>
      <c r="B6589">
        <v>56.903312999999997</v>
      </c>
    </row>
    <row r="6590" spans="1:2" x14ac:dyDescent="0.25">
      <c r="A6590" s="5">
        <v>43139</v>
      </c>
      <c r="B6590">
        <v>54.611072999999998</v>
      </c>
    </row>
    <row r="6591" spans="1:2" x14ac:dyDescent="0.25">
      <c r="A6591" s="5">
        <v>43140</v>
      </c>
      <c r="B6591">
        <v>55.984676</v>
      </c>
    </row>
    <row r="6592" spans="1:2" x14ac:dyDescent="0.25">
      <c r="A6592" s="5">
        <v>43143</v>
      </c>
      <c r="B6592">
        <v>57.445754999999998</v>
      </c>
    </row>
    <row r="6593" spans="1:2" x14ac:dyDescent="0.25">
      <c r="A6593" s="5">
        <v>43144</v>
      </c>
      <c r="B6593">
        <v>57.480742999999997</v>
      </c>
    </row>
    <row r="6594" spans="1:2" x14ac:dyDescent="0.25">
      <c r="A6594" s="5">
        <v>43145</v>
      </c>
      <c r="B6594">
        <v>58.259407000000003</v>
      </c>
    </row>
    <row r="6595" spans="1:2" x14ac:dyDescent="0.25">
      <c r="A6595" s="5">
        <v>43146</v>
      </c>
      <c r="B6595">
        <v>57.113292999999999</v>
      </c>
    </row>
    <row r="6596" spans="1:2" x14ac:dyDescent="0.25">
      <c r="A6596" s="5">
        <v>43147</v>
      </c>
      <c r="B6596">
        <v>56.737071999999998</v>
      </c>
    </row>
    <row r="6597" spans="1:2" x14ac:dyDescent="0.25">
      <c r="A6597" s="5">
        <v>43151</v>
      </c>
      <c r="B6597">
        <v>55.984676</v>
      </c>
    </row>
    <row r="6598" spans="1:2" x14ac:dyDescent="0.25">
      <c r="A6598" s="5">
        <v>43152</v>
      </c>
      <c r="B6598">
        <v>55.468487000000003</v>
      </c>
    </row>
    <row r="6599" spans="1:2" x14ac:dyDescent="0.25">
      <c r="A6599" s="5">
        <v>43153</v>
      </c>
      <c r="B6599">
        <v>54.401108000000001</v>
      </c>
    </row>
    <row r="6600" spans="1:2" x14ac:dyDescent="0.25">
      <c r="A6600" s="5">
        <v>43154</v>
      </c>
      <c r="B6600">
        <v>55.398487000000003</v>
      </c>
    </row>
    <row r="6601" spans="1:2" x14ac:dyDescent="0.25">
      <c r="A6601" s="5">
        <v>43157</v>
      </c>
      <c r="B6601">
        <v>58.600624000000003</v>
      </c>
    </row>
    <row r="6602" spans="1:2" x14ac:dyDescent="0.25">
      <c r="A6602" s="5">
        <v>43158</v>
      </c>
      <c r="B6602">
        <v>58.538840999999998</v>
      </c>
    </row>
    <row r="6603" spans="1:2" x14ac:dyDescent="0.25">
      <c r="A6603" s="5">
        <v>43159</v>
      </c>
      <c r="B6603">
        <v>57.356419000000002</v>
      </c>
    </row>
    <row r="6604" spans="1:2" x14ac:dyDescent="0.25">
      <c r="A6604" s="5">
        <v>43160</v>
      </c>
      <c r="B6604">
        <v>57.321120999999998</v>
      </c>
    </row>
    <row r="6605" spans="1:2" x14ac:dyDescent="0.25">
      <c r="A6605" s="5">
        <v>43161</v>
      </c>
      <c r="B6605">
        <v>57.126990999999997</v>
      </c>
    </row>
    <row r="6606" spans="1:2" x14ac:dyDescent="0.25">
      <c r="A6606" s="5">
        <v>43164</v>
      </c>
      <c r="B6606">
        <v>56.482841000000001</v>
      </c>
    </row>
    <row r="6607" spans="1:2" x14ac:dyDescent="0.25">
      <c r="A6607" s="5">
        <v>43165</v>
      </c>
      <c r="B6607">
        <v>54.832740999999999</v>
      </c>
    </row>
    <row r="6608" spans="1:2" x14ac:dyDescent="0.25">
      <c r="A6608" s="5">
        <v>43166</v>
      </c>
      <c r="B6608">
        <v>55.141575000000003</v>
      </c>
    </row>
    <row r="6609" spans="1:2" x14ac:dyDescent="0.25">
      <c r="A6609" s="5">
        <v>43167</v>
      </c>
      <c r="B6609">
        <v>54.550373</v>
      </c>
    </row>
    <row r="6610" spans="1:2" x14ac:dyDescent="0.25">
      <c r="A6610" s="5">
        <v>43168</v>
      </c>
      <c r="B6610">
        <v>55.618076000000002</v>
      </c>
    </row>
    <row r="6611" spans="1:2" x14ac:dyDescent="0.25">
      <c r="A6611" s="5">
        <v>43171</v>
      </c>
      <c r="B6611">
        <v>55.423954000000002</v>
      </c>
    </row>
    <row r="6612" spans="1:2" x14ac:dyDescent="0.25">
      <c r="A6612" s="5">
        <v>43172</v>
      </c>
      <c r="B6612">
        <v>52.679656999999999</v>
      </c>
    </row>
    <row r="6613" spans="1:2" x14ac:dyDescent="0.25">
      <c r="A6613" s="5">
        <v>43173</v>
      </c>
      <c r="B6613">
        <v>53.050274000000002</v>
      </c>
    </row>
    <row r="6614" spans="1:2" x14ac:dyDescent="0.25">
      <c r="A6614" s="5">
        <v>43174</v>
      </c>
      <c r="B6614">
        <v>52.847324</v>
      </c>
    </row>
    <row r="6615" spans="1:2" x14ac:dyDescent="0.25">
      <c r="A6615" s="5">
        <v>43175</v>
      </c>
      <c r="B6615">
        <v>53.491478000000001</v>
      </c>
    </row>
    <row r="6616" spans="1:2" x14ac:dyDescent="0.25">
      <c r="A6616" s="5">
        <v>43178</v>
      </c>
      <c r="B6616">
        <v>51.506062</v>
      </c>
    </row>
    <row r="6617" spans="1:2" x14ac:dyDescent="0.25">
      <c r="A6617" s="5">
        <v>43179</v>
      </c>
      <c r="B6617">
        <v>51.408993000000002</v>
      </c>
    </row>
    <row r="6618" spans="1:2" x14ac:dyDescent="0.25">
      <c r="A6618" s="5">
        <v>43180</v>
      </c>
      <c r="B6618">
        <v>50.129508999999999</v>
      </c>
    </row>
    <row r="6619" spans="1:2" x14ac:dyDescent="0.25">
      <c r="A6619" s="5">
        <v>43181</v>
      </c>
      <c r="B6619">
        <v>49.044155000000003</v>
      </c>
    </row>
    <row r="6620" spans="1:2" x14ac:dyDescent="0.25">
      <c r="A6620" s="5">
        <v>43182</v>
      </c>
      <c r="B6620">
        <v>47.349930000000001</v>
      </c>
    </row>
    <row r="6621" spans="1:2" x14ac:dyDescent="0.25">
      <c r="A6621" s="5">
        <v>43185</v>
      </c>
      <c r="B6621">
        <v>49.52948</v>
      </c>
    </row>
    <row r="6622" spans="1:2" x14ac:dyDescent="0.25">
      <c r="A6622" s="5">
        <v>43186</v>
      </c>
      <c r="B6622">
        <v>48.391167000000003</v>
      </c>
    </row>
    <row r="6623" spans="1:2" x14ac:dyDescent="0.25">
      <c r="A6623" s="5">
        <v>43187</v>
      </c>
      <c r="B6623">
        <v>48.267631999999999</v>
      </c>
    </row>
    <row r="6624" spans="1:2" x14ac:dyDescent="0.25">
      <c r="A6624" s="5">
        <v>43188</v>
      </c>
      <c r="B6624">
        <v>48.894142000000002</v>
      </c>
    </row>
    <row r="6625" spans="1:2" x14ac:dyDescent="0.25">
      <c r="A6625" s="5">
        <v>43192</v>
      </c>
      <c r="B6625">
        <v>47.482295999999998</v>
      </c>
    </row>
    <row r="6626" spans="1:2" x14ac:dyDescent="0.25">
      <c r="A6626" s="5">
        <v>43193</v>
      </c>
      <c r="B6626">
        <v>48.338225999999999</v>
      </c>
    </row>
    <row r="6627" spans="1:2" x14ac:dyDescent="0.25">
      <c r="A6627" s="5">
        <v>43194</v>
      </c>
      <c r="B6627">
        <v>48.523533</v>
      </c>
    </row>
    <row r="6628" spans="1:2" x14ac:dyDescent="0.25">
      <c r="A6628" s="5">
        <v>43195</v>
      </c>
      <c r="B6628">
        <v>48.567653999999997</v>
      </c>
    </row>
    <row r="6629" spans="1:2" x14ac:dyDescent="0.25">
      <c r="A6629" s="5">
        <v>43196</v>
      </c>
      <c r="B6629">
        <v>46.873424999999997</v>
      </c>
    </row>
    <row r="6630" spans="1:2" x14ac:dyDescent="0.25">
      <c r="A6630" s="5">
        <v>43199</v>
      </c>
      <c r="B6630">
        <v>47.146979999999999</v>
      </c>
    </row>
    <row r="6631" spans="1:2" x14ac:dyDescent="0.25">
      <c r="A6631" s="5">
        <v>43200</v>
      </c>
      <c r="B6631">
        <v>48.329407000000003</v>
      </c>
    </row>
    <row r="6632" spans="1:2" x14ac:dyDescent="0.25">
      <c r="A6632" s="5">
        <v>43201</v>
      </c>
      <c r="B6632">
        <v>48.541176</v>
      </c>
    </row>
    <row r="6633" spans="1:2" x14ac:dyDescent="0.25">
      <c r="A6633" s="5">
        <v>43202</v>
      </c>
      <c r="B6633">
        <v>48.708835999999998</v>
      </c>
    </row>
    <row r="6634" spans="1:2" x14ac:dyDescent="0.25">
      <c r="A6634" s="5">
        <v>43203</v>
      </c>
      <c r="B6634">
        <v>49.17651</v>
      </c>
    </row>
    <row r="6635" spans="1:2" x14ac:dyDescent="0.25">
      <c r="A6635" s="5">
        <v>43206</v>
      </c>
      <c r="B6635">
        <v>48.329407000000003</v>
      </c>
    </row>
    <row r="6636" spans="1:2" x14ac:dyDescent="0.25">
      <c r="A6636" s="5">
        <v>43207</v>
      </c>
      <c r="B6636">
        <v>48.841197999999999</v>
      </c>
    </row>
    <row r="6637" spans="1:2" x14ac:dyDescent="0.25">
      <c r="A6637" s="5">
        <v>43208</v>
      </c>
      <c r="B6637">
        <v>48.735301999999997</v>
      </c>
    </row>
    <row r="6638" spans="1:2" x14ac:dyDescent="0.25">
      <c r="A6638" s="5">
        <v>43209</v>
      </c>
      <c r="B6638">
        <v>46.388103000000001</v>
      </c>
    </row>
    <row r="6639" spans="1:2" x14ac:dyDescent="0.25">
      <c r="A6639" s="5">
        <v>43210</v>
      </c>
      <c r="B6639">
        <v>45.390987000000003</v>
      </c>
    </row>
    <row r="6640" spans="1:2" x14ac:dyDescent="0.25">
      <c r="A6640" s="5">
        <v>43213</v>
      </c>
      <c r="B6640">
        <v>44.587997000000001</v>
      </c>
    </row>
    <row r="6641" spans="1:2" x14ac:dyDescent="0.25">
      <c r="A6641" s="5">
        <v>43214</v>
      </c>
      <c r="B6641">
        <v>44.067383</v>
      </c>
    </row>
    <row r="6642" spans="1:2" x14ac:dyDescent="0.25">
      <c r="A6642" s="5">
        <v>43215</v>
      </c>
      <c r="B6642">
        <v>43.899726999999999</v>
      </c>
    </row>
    <row r="6643" spans="1:2" x14ac:dyDescent="0.25">
      <c r="A6643" s="5">
        <v>43216</v>
      </c>
      <c r="B6643">
        <v>44.535049000000001</v>
      </c>
    </row>
    <row r="6644" spans="1:2" x14ac:dyDescent="0.25">
      <c r="A6644" s="5">
        <v>43217</v>
      </c>
      <c r="B6644">
        <v>45.099795999999998</v>
      </c>
    </row>
    <row r="6645" spans="1:2" x14ac:dyDescent="0.25">
      <c r="A6645" s="5">
        <v>43220</v>
      </c>
      <c r="B6645">
        <v>45.011538999999999</v>
      </c>
    </row>
    <row r="6646" spans="1:2" x14ac:dyDescent="0.25">
      <c r="A6646" s="5">
        <v>43221</v>
      </c>
      <c r="B6646">
        <v>44.843899</v>
      </c>
    </row>
    <row r="6647" spans="1:2" x14ac:dyDescent="0.25">
      <c r="A6647" s="5">
        <v>43222</v>
      </c>
      <c r="B6647">
        <v>44.349739</v>
      </c>
    </row>
    <row r="6648" spans="1:2" x14ac:dyDescent="0.25">
      <c r="A6648" s="5">
        <v>43223</v>
      </c>
      <c r="B6648">
        <v>44.393867</v>
      </c>
    </row>
    <row r="6649" spans="1:2" x14ac:dyDescent="0.25">
      <c r="A6649" s="5">
        <v>43224</v>
      </c>
      <c r="B6649">
        <v>46.317515999999998</v>
      </c>
    </row>
    <row r="6650" spans="1:2" x14ac:dyDescent="0.25">
      <c r="A6650" s="5">
        <v>43227</v>
      </c>
      <c r="B6650">
        <v>46.776367</v>
      </c>
    </row>
    <row r="6651" spans="1:2" x14ac:dyDescent="0.25">
      <c r="A6651" s="5">
        <v>43228</v>
      </c>
      <c r="B6651">
        <v>46.644005</v>
      </c>
    </row>
    <row r="6652" spans="1:2" x14ac:dyDescent="0.25">
      <c r="A6652" s="5">
        <v>43229</v>
      </c>
      <c r="B6652">
        <v>46.917557000000002</v>
      </c>
    </row>
    <row r="6653" spans="1:2" x14ac:dyDescent="0.25">
      <c r="A6653" s="5">
        <v>43230</v>
      </c>
      <c r="B6653">
        <v>48.505878000000003</v>
      </c>
    </row>
    <row r="6654" spans="1:2" x14ac:dyDescent="0.25">
      <c r="A6654" s="5">
        <v>43231</v>
      </c>
      <c r="B6654">
        <v>48.735301999999997</v>
      </c>
    </row>
    <row r="6655" spans="1:2" x14ac:dyDescent="0.25">
      <c r="A6655" s="5">
        <v>43234</v>
      </c>
      <c r="B6655">
        <v>50.067745000000002</v>
      </c>
    </row>
    <row r="6656" spans="1:2" x14ac:dyDescent="0.25">
      <c r="A6656" s="5">
        <v>43235</v>
      </c>
      <c r="B6656">
        <v>49.097092000000004</v>
      </c>
    </row>
    <row r="6657" spans="1:2" x14ac:dyDescent="0.25">
      <c r="A6657" s="5">
        <v>43236</v>
      </c>
      <c r="B6657">
        <v>50.032443999999998</v>
      </c>
    </row>
    <row r="6658" spans="1:2" x14ac:dyDescent="0.25">
      <c r="A6658" s="5">
        <v>43237</v>
      </c>
      <c r="B6658">
        <v>50.253048</v>
      </c>
    </row>
    <row r="6659" spans="1:2" x14ac:dyDescent="0.25">
      <c r="A6659" s="5">
        <v>43238</v>
      </c>
      <c r="B6659">
        <v>50.747188999999999</v>
      </c>
    </row>
    <row r="6660" spans="1:2" x14ac:dyDescent="0.25">
      <c r="A6660" s="5">
        <v>43241</v>
      </c>
      <c r="B6660">
        <v>50.923679</v>
      </c>
    </row>
    <row r="6661" spans="1:2" x14ac:dyDescent="0.25">
      <c r="A6661" s="5">
        <v>43242</v>
      </c>
      <c r="B6661">
        <v>50.641303999999998</v>
      </c>
    </row>
    <row r="6662" spans="1:2" x14ac:dyDescent="0.25">
      <c r="A6662" s="5">
        <v>43243</v>
      </c>
      <c r="B6662">
        <v>51.903145000000002</v>
      </c>
    </row>
    <row r="6663" spans="1:2" x14ac:dyDescent="0.25">
      <c r="A6663" s="5">
        <v>43244</v>
      </c>
      <c r="B6663">
        <v>52.132579999999997</v>
      </c>
    </row>
    <row r="6664" spans="1:2" x14ac:dyDescent="0.25">
      <c r="A6664" s="5">
        <v>43245</v>
      </c>
      <c r="B6664">
        <v>52.909092000000001</v>
      </c>
    </row>
    <row r="6665" spans="1:2" x14ac:dyDescent="0.25">
      <c r="A6665" s="5">
        <v>43249</v>
      </c>
      <c r="B6665">
        <v>51.919379999999997</v>
      </c>
    </row>
    <row r="6666" spans="1:2" x14ac:dyDescent="0.25">
      <c r="A6666" s="5">
        <v>43250</v>
      </c>
      <c r="B6666">
        <v>52.062046000000002</v>
      </c>
    </row>
    <row r="6667" spans="1:2" x14ac:dyDescent="0.25">
      <c r="A6667" s="5">
        <v>43251</v>
      </c>
      <c r="B6667">
        <v>51.821308000000002</v>
      </c>
    </row>
    <row r="6668" spans="1:2" x14ac:dyDescent="0.25">
      <c r="A6668" s="5">
        <v>43252</v>
      </c>
      <c r="B6668">
        <v>52.258204999999997</v>
      </c>
    </row>
    <row r="6669" spans="1:2" x14ac:dyDescent="0.25">
      <c r="A6669" s="5">
        <v>43255</v>
      </c>
      <c r="B6669">
        <v>52.347363000000001</v>
      </c>
    </row>
    <row r="6670" spans="1:2" x14ac:dyDescent="0.25">
      <c r="A6670" s="5">
        <v>43256</v>
      </c>
      <c r="B6670">
        <v>52.588107999999998</v>
      </c>
    </row>
    <row r="6671" spans="1:2" x14ac:dyDescent="0.25">
      <c r="A6671" s="5">
        <v>43257</v>
      </c>
      <c r="B6671">
        <v>53.354903999999998</v>
      </c>
    </row>
    <row r="6672" spans="1:2" x14ac:dyDescent="0.25">
      <c r="A6672" s="5">
        <v>43258</v>
      </c>
      <c r="B6672">
        <v>54.068207000000001</v>
      </c>
    </row>
    <row r="6673" spans="1:2" x14ac:dyDescent="0.25">
      <c r="A6673" s="5">
        <v>43259</v>
      </c>
      <c r="B6673">
        <v>53.729385000000001</v>
      </c>
    </row>
    <row r="6674" spans="1:2" x14ac:dyDescent="0.25">
      <c r="A6674" s="5">
        <v>43262</v>
      </c>
      <c r="B6674">
        <v>53.435146000000003</v>
      </c>
    </row>
    <row r="6675" spans="1:2" x14ac:dyDescent="0.25">
      <c r="A6675" s="5">
        <v>43263</v>
      </c>
      <c r="B6675">
        <v>53.310326000000003</v>
      </c>
    </row>
    <row r="6676" spans="1:2" x14ac:dyDescent="0.25">
      <c r="A6676" s="5">
        <v>43264</v>
      </c>
      <c r="B6676">
        <v>52.802101</v>
      </c>
    </row>
    <row r="6677" spans="1:2" x14ac:dyDescent="0.25">
      <c r="A6677" s="5">
        <v>43265</v>
      </c>
      <c r="B6677">
        <v>53.016086999999999</v>
      </c>
    </row>
    <row r="6678" spans="1:2" x14ac:dyDescent="0.25">
      <c r="A6678" s="5">
        <v>43266</v>
      </c>
      <c r="B6678">
        <v>53.372742000000002</v>
      </c>
    </row>
    <row r="6679" spans="1:2" x14ac:dyDescent="0.25">
      <c r="A6679" s="5">
        <v>43269</v>
      </c>
      <c r="B6679">
        <v>52.784264</v>
      </c>
    </row>
    <row r="6680" spans="1:2" x14ac:dyDescent="0.25">
      <c r="A6680" s="5">
        <v>43270</v>
      </c>
      <c r="B6680">
        <v>52.338450999999999</v>
      </c>
    </row>
    <row r="6681" spans="1:2" x14ac:dyDescent="0.25">
      <c r="A6681" s="5">
        <v>43271</v>
      </c>
      <c r="B6681">
        <v>52.418697000000002</v>
      </c>
    </row>
    <row r="6682" spans="1:2" x14ac:dyDescent="0.25">
      <c r="A6682" s="5">
        <v>43272</v>
      </c>
      <c r="B6682">
        <v>52.383021999999997</v>
      </c>
    </row>
    <row r="6683" spans="1:2" x14ac:dyDescent="0.25">
      <c r="A6683" s="5">
        <v>43273</v>
      </c>
      <c r="B6683">
        <v>52.160125999999998</v>
      </c>
    </row>
    <row r="6684" spans="1:2" x14ac:dyDescent="0.25">
      <c r="A6684" s="5">
        <v>43276</v>
      </c>
      <c r="B6684">
        <v>50.867260000000002</v>
      </c>
    </row>
    <row r="6685" spans="1:2" x14ac:dyDescent="0.25">
      <c r="A6685" s="5">
        <v>43277</v>
      </c>
      <c r="B6685">
        <v>50.332287000000001</v>
      </c>
    </row>
    <row r="6686" spans="1:2" x14ac:dyDescent="0.25">
      <c r="A6686" s="5">
        <v>43278</v>
      </c>
      <c r="B6686">
        <v>49.191001999999997</v>
      </c>
    </row>
    <row r="6687" spans="1:2" x14ac:dyDescent="0.25">
      <c r="A6687" s="5">
        <v>43279</v>
      </c>
      <c r="B6687">
        <v>49.841895999999998</v>
      </c>
    </row>
    <row r="6688" spans="1:2" x14ac:dyDescent="0.25">
      <c r="A6688" s="5">
        <v>43280</v>
      </c>
      <c r="B6688">
        <v>50.038055</v>
      </c>
    </row>
    <row r="6689" spans="1:2" x14ac:dyDescent="0.25">
      <c r="A6689" s="5">
        <v>43283</v>
      </c>
      <c r="B6689">
        <v>50.091552999999998</v>
      </c>
    </row>
    <row r="6690" spans="1:2" x14ac:dyDescent="0.25">
      <c r="A6690" s="5">
        <v>43284</v>
      </c>
      <c r="B6690">
        <v>49.333668000000003</v>
      </c>
    </row>
    <row r="6691" spans="1:2" x14ac:dyDescent="0.25">
      <c r="A6691" s="5">
        <v>43286</v>
      </c>
      <c r="B6691">
        <v>51.161495000000002</v>
      </c>
    </row>
    <row r="6692" spans="1:2" x14ac:dyDescent="0.25">
      <c r="A6692" s="5">
        <v>43287</v>
      </c>
      <c r="B6692">
        <v>51.571658999999997</v>
      </c>
    </row>
    <row r="6693" spans="1:2" x14ac:dyDescent="0.25">
      <c r="A6693" s="5">
        <v>43290</v>
      </c>
      <c r="B6693">
        <v>51.749977000000001</v>
      </c>
    </row>
    <row r="6694" spans="1:2" x14ac:dyDescent="0.25">
      <c r="A6694" s="5">
        <v>43291</v>
      </c>
      <c r="B6694">
        <v>52.044212000000002</v>
      </c>
    </row>
    <row r="6695" spans="1:2" x14ac:dyDescent="0.25">
      <c r="A6695" s="5">
        <v>43292</v>
      </c>
      <c r="B6695">
        <v>51.090167999999998</v>
      </c>
    </row>
    <row r="6696" spans="1:2" x14ac:dyDescent="0.25">
      <c r="A6696" s="5">
        <v>43293</v>
      </c>
      <c r="B6696">
        <v>51.999630000000003</v>
      </c>
    </row>
    <row r="6697" spans="1:2" x14ac:dyDescent="0.25">
      <c r="A6697" s="5">
        <v>43294</v>
      </c>
      <c r="B6697">
        <v>52.062046000000002</v>
      </c>
    </row>
    <row r="6698" spans="1:2" x14ac:dyDescent="0.25">
      <c r="A6698" s="5">
        <v>43297</v>
      </c>
      <c r="B6698">
        <v>52.026370999999997</v>
      </c>
    </row>
    <row r="6699" spans="1:2" x14ac:dyDescent="0.25">
      <c r="A6699" s="5">
        <v>43298</v>
      </c>
      <c r="B6699">
        <v>52.525688000000002</v>
      </c>
    </row>
    <row r="6700" spans="1:2" x14ac:dyDescent="0.25">
      <c r="A6700" s="5">
        <v>43299</v>
      </c>
      <c r="B6700">
        <v>52.391948999999997</v>
      </c>
    </row>
    <row r="6701" spans="1:2" x14ac:dyDescent="0.25">
      <c r="A6701" s="5">
        <v>43300</v>
      </c>
      <c r="B6701">
        <v>52.882342999999999</v>
      </c>
    </row>
    <row r="6702" spans="1:2" x14ac:dyDescent="0.25">
      <c r="A6702" s="5">
        <v>43301</v>
      </c>
      <c r="B6702">
        <v>52.258204999999997</v>
      </c>
    </row>
    <row r="6703" spans="1:2" x14ac:dyDescent="0.25">
      <c r="A6703" s="5">
        <v>43304</v>
      </c>
      <c r="B6703">
        <v>52.677269000000003</v>
      </c>
    </row>
    <row r="6704" spans="1:2" x14ac:dyDescent="0.25">
      <c r="A6704" s="5">
        <v>43305</v>
      </c>
      <c r="B6704">
        <v>52.472194999999999</v>
      </c>
    </row>
    <row r="6705" spans="1:2" x14ac:dyDescent="0.25">
      <c r="A6705" s="5">
        <v>43306</v>
      </c>
      <c r="B6705">
        <v>52.980418999999998</v>
      </c>
    </row>
    <row r="6706" spans="1:2" x14ac:dyDescent="0.25">
      <c r="A6706" s="5">
        <v>43307</v>
      </c>
      <c r="B6706">
        <v>56.689582999999999</v>
      </c>
    </row>
    <row r="6707" spans="1:2" x14ac:dyDescent="0.25">
      <c r="A6707" s="5">
        <v>43308</v>
      </c>
      <c r="B6707">
        <v>55.896037999999997</v>
      </c>
    </row>
    <row r="6708" spans="1:2" x14ac:dyDescent="0.25">
      <c r="A6708" s="5">
        <v>43311</v>
      </c>
      <c r="B6708">
        <v>55.316474999999997</v>
      </c>
    </row>
    <row r="6709" spans="1:2" x14ac:dyDescent="0.25">
      <c r="A6709" s="5">
        <v>43312</v>
      </c>
      <c r="B6709">
        <v>57.144302000000003</v>
      </c>
    </row>
    <row r="6710" spans="1:2" x14ac:dyDescent="0.25">
      <c r="A6710" s="5">
        <v>43313</v>
      </c>
      <c r="B6710">
        <v>57.376125000000002</v>
      </c>
    </row>
    <row r="6711" spans="1:2" x14ac:dyDescent="0.25">
      <c r="A6711" s="5">
        <v>43314</v>
      </c>
      <c r="B6711">
        <v>57.750622</v>
      </c>
    </row>
    <row r="6712" spans="1:2" x14ac:dyDescent="0.25">
      <c r="A6712" s="5">
        <v>43315</v>
      </c>
      <c r="B6712">
        <v>58.312336000000002</v>
      </c>
    </row>
    <row r="6713" spans="1:2" x14ac:dyDescent="0.25">
      <c r="A6713" s="5">
        <v>43318</v>
      </c>
      <c r="B6713">
        <v>58.606586</v>
      </c>
    </row>
    <row r="6714" spans="1:2" x14ac:dyDescent="0.25">
      <c r="A6714" s="5">
        <v>43319</v>
      </c>
      <c r="B6714">
        <v>58.348011</v>
      </c>
    </row>
    <row r="6715" spans="1:2" x14ac:dyDescent="0.25">
      <c r="A6715" s="5">
        <v>43320</v>
      </c>
      <c r="B6715">
        <v>58.098354</v>
      </c>
    </row>
    <row r="6716" spans="1:2" x14ac:dyDescent="0.25">
      <c r="A6716" s="5">
        <v>43321</v>
      </c>
      <c r="B6716">
        <v>58.027023</v>
      </c>
    </row>
    <row r="6717" spans="1:2" x14ac:dyDescent="0.25">
      <c r="A6717" s="5">
        <v>43322</v>
      </c>
      <c r="B6717">
        <v>57.795197000000002</v>
      </c>
    </row>
    <row r="6718" spans="1:2" x14ac:dyDescent="0.25">
      <c r="A6718" s="5">
        <v>43325</v>
      </c>
      <c r="B6718">
        <v>57.813029999999998</v>
      </c>
    </row>
    <row r="6719" spans="1:2" x14ac:dyDescent="0.25">
      <c r="A6719" s="5">
        <v>43326</v>
      </c>
      <c r="B6719">
        <v>58.339084999999997</v>
      </c>
    </row>
    <row r="6720" spans="1:2" x14ac:dyDescent="0.25">
      <c r="A6720" s="5">
        <v>43327</v>
      </c>
      <c r="B6720">
        <v>58.561996000000001</v>
      </c>
    </row>
    <row r="6721" spans="1:2" x14ac:dyDescent="0.25">
      <c r="A6721" s="5">
        <v>43328</v>
      </c>
      <c r="B6721">
        <v>58.633327000000001</v>
      </c>
    </row>
    <row r="6722" spans="1:2" x14ac:dyDescent="0.25">
      <c r="A6722" s="5">
        <v>43329</v>
      </c>
      <c r="B6722">
        <v>58.900813999999997</v>
      </c>
    </row>
    <row r="6723" spans="1:2" x14ac:dyDescent="0.25">
      <c r="A6723" s="5">
        <v>43332</v>
      </c>
      <c r="B6723">
        <v>58.989978999999998</v>
      </c>
    </row>
    <row r="6724" spans="1:2" x14ac:dyDescent="0.25">
      <c r="A6724" s="5">
        <v>43333</v>
      </c>
      <c r="B6724">
        <v>59.337704000000002</v>
      </c>
    </row>
    <row r="6725" spans="1:2" x14ac:dyDescent="0.25">
      <c r="A6725" s="5">
        <v>43334</v>
      </c>
      <c r="B6725">
        <v>59.596279000000003</v>
      </c>
    </row>
    <row r="6726" spans="1:2" x14ac:dyDescent="0.25">
      <c r="A6726" s="5">
        <v>43335</v>
      </c>
      <c r="B6726">
        <v>59.61412</v>
      </c>
    </row>
    <row r="6727" spans="1:2" x14ac:dyDescent="0.25">
      <c r="A6727" s="5">
        <v>43336</v>
      </c>
      <c r="B6727">
        <v>59.872684</v>
      </c>
    </row>
    <row r="6728" spans="1:2" x14ac:dyDescent="0.25">
      <c r="A6728" s="5">
        <v>43339</v>
      </c>
      <c r="B6728">
        <v>60.042084000000003</v>
      </c>
    </row>
    <row r="6729" spans="1:2" x14ac:dyDescent="0.25">
      <c r="A6729" s="5">
        <v>43340</v>
      </c>
      <c r="B6729">
        <v>62.217663000000002</v>
      </c>
    </row>
    <row r="6730" spans="1:2" x14ac:dyDescent="0.25">
      <c r="A6730" s="5">
        <v>43341</v>
      </c>
      <c r="B6730">
        <v>61.700522999999997</v>
      </c>
    </row>
    <row r="6731" spans="1:2" x14ac:dyDescent="0.25">
      <c r="A6731" s="5">
        <v>43342</v>
      </c>
      <c r="B6731">
        <v>60.755405000000003</v>
      </c>
    </row>
    <row r="6732" spans="1:2" x14ac:dyDescent="0.25">
      <c r="A6732" s="5">
        <v>43343</v>
      </c>
      <c r="B6732">
        <v>61.263621999999998</v>
      </c>
    </row>
    <row r="6733" spans="1:2" x14ac:dyDescent="0.25">
      <c r="A6733" s="5">
        <v>43347</v>
      </c>
      <c r="B6733">
        <v>62.964148999999999</v>
      </c>
    </row>
    <row r="6734" spans="1:2" x14ac:dyDescent="0.25">
      <c r="A6734" s="5">
        <v>43348</v>
      </c>
      <c r="B6734">
        <v>63.782913000000001</v>
      </c>
    </row>
    <row r="6735" spans="1:2" x14ac:dyDescent="0.25">
      <c r="A6735" s="5">
        <v>43349</v>
      </c>
      <c r="B6735">
        <v>63.306049000000002</v>
      </c>
    </row>
    <row r="6736" spans="1:2" x14ac:dyDescent="0.25">
      <c r="A6736" s="5">
        <v>43350</v>
      </c>
      <c r="B6736">
        <v>63.324032000000003</v>
      </c>
    </row>
    <row r="6737" spans="1:2" x14ac:dyDescent="0.25">
      <c r="A6737" s="5">
        <v>43353</v>
      </c>
      <c r="B6737">
        <v>65.069550000000007</v>
      </c>
    </row>
    <row r="6738" spans="1:2" x14ac:dyDescent="0.25">
      <c r="A6738" s="5">
        <v>43354</v>
      </c>
      <c r="B6738">
        <v>65.240500999999995</v>
      </c>
    </row>
    <row r="6739" spans="1:2" x14ac:dyDescent="0.25">
      <c r="A6739" s="5">
        <v>43355</v>
      </c>
      <c r="B6739">
        <v>64.556702000000001</v>
      </c>
    </row>
    <row r="6740" spans="1:2" x14ac:dyDescent="0.25">
      <c r="A6740" s="5">
        <v>43356</v>
      </c>
      <c r="B6740">
        <v>67.129951000000005</v>
      </c>
    </row>
    <row r="6741" spans="1:2" x14ac:dyDescent="0.25">
      <c r="A6741" s="5">
        <v>43357</v>
      </c>
      <c r="B6741">
        <v>67.561836</v>
      </c>
    </row>
    <row r="6742" spans="1:2" x14ac:dyDescent="0.25">
      <c r="A6742" s="5">
        <v>43360</v>
      </c>
      <c r="B6742">
        <v>65.897316000000004</v>
      </c>
    </row>
    <row r="6743" spans="1:2" x14ac:dyDescent="0.25">
      <c r="A6743" s="5">
        <v>43361</v>
      </c>
      <c r="B6743">
        <v>67.228935000000007</v>
      </c>
    </row>
    <row r="6744" spans="1:2" x14ac:dyDescent="0.25">
      <c r="A6744" s="5">
        <v>43362</v>
      </c>
      <c r="B6744">
        <v>66.635101000000006</v>
      </c>
    </row>
    <row r="6745" spans="1:2" x14ac:dyDescent="0.25">
      <c r="A6745" s="5">
        <v>43363</v>
      </c>
      <c r="B6745">
        <v>67.120971999999995</v>
      </c>
    </row>
    <row r="6746" spans="1:2" x14ac:dyDescent="0.25">
      <c r="A6746" s="5">
        <v>43364</v>
      </c>
      <c r="B6746">
        <v>66.311194999999998</v>
      </c>
    </row>
    <row r="6747" spans="1:2" x14ac:dyDescent="0.25">
      <c r="A6747" s="5">
        <v>43367</v>
      </c>
      <c r="B6747">
        <v>66.203224000000006</v>
      </c>
    </row>
    <row r="6748" spans="1:2" x14ac:dyDescent="0.25">
      <c r="A6748" s="5">
        <v>43368</v>
      </c>
      <c r="B6748">
        <v>65.447440999999998</v>
      </c>
    </row>
    <row r="6749" spans="1:2" x14ac:dyDescent="0.25">
      <c r="A6749" s="5">
        <v>43369</v>
      </c>
      <c r="B6749">
        <v>64.565680999999998</v>
      </c>
    </row>
    <row r="6750" spans="1:2" x14ac:dyDescent="0.25">
      <c r="A6750" s="5">
        <v>43370</v>
      </c>
      <c r="B6750">
        <v>64.520698999999993</v>
      </c>
    </row>
    <row r="6751" spans="1:2" x14ac:dyDescent="0.25">
      <c r="A6751" s="5">
        <v>43371</v>
      </c>
      <c r="B6751">
        <v>64.808632000000003</v>
      </c>
    </row>
    <row r="6752" spans="1:2" x14ac:dyDescent="0.25">
      <c r="A6752" s="5">
        <v>43374</v>
      </c>
      <c r="B6752">
        <v>65.321472</v>
      </c>
    </row>
    <row r="6753" spans="1:2" x14ac:dyDescent="0.25">
      <c r="A6753" s="5">
        <v>43375</v>
      </c>
      <c r="B6753">
        <v>65.996291999999997</v>
      </c>
    </row>
    <row r="6754" spans="1:2" x14ac:dyDescent="0.25">
      <c r="A6754" s="5">
        <v>43376</v>
      </c>
      <c r="B6754">
        <v>65.357467999999997</v>
      </c>
    </row>
    <row r="6755" spans="1:2" x14ac:dyDescent="0.25">
      <c r="A6755" s="5">
        <v>43377</v>
      </c>
      <c r="B6755">
        <v>65.123527999999993</v>
      </c>
    </row>
    <row r="6756" spans="1:2" x14ac:dyDescent="0.25">
      <c r="A6756" s="5">
        <v>43378</v>
      </c>
      <c r="B6756">
        <v>64.070839000000007</v>
      </c>
    </row>
    <row r="6757" spans="1:2" x14ac:dyDescent="0.25">
      <c r="A6757" s="5">
        <v>43381</v>
      </c>
      <c r="B6757">
        <v>63.818913000000002</v>
      </c>
    </row>
    <row r="6758" spans="1:2" x14ac:dyDescent="0.25">
      <c r="A6758" s="5">
        <v>43382</v>
      </c>
      <c r="B6758">
        <v>63.099097999999998</v>
      </c>
    </row>
    <row r="6759" spans="1:2" x14ac:dyDescent="0.25">
      <c r="A6759" s="5">
        <v>43383</v>
      </c>
      <c r="B6759">
        <v>60.039966999999997</v>
      </c>
    </row>
    <row r="6760" spans="1:2" x14ac:dyDescent="0.25">
      <c r="A6760" s="5">
        <v>43384</v>
      </c>
      <c r="B6760">
        <v>57.844600999999997</v>
      </c>
    </row>
    <row r="6761" spans="1:2" x14ac:dyDescent="0.25">
      <c r="A6761" s="5">
        <v>43385</v>
      </c>
      <c r="B6761">
        <v>57.844600999999997</v>
      </c>
    </row>
    <row r="6762" spans="1:2" x14ac:dyDescent="0.25">
      <c r="A6762" s="5">
        <v>43388</v>
      </c>
      <c r="B6762">
        <v>57.736618</v>
      </c>
    </row>
    <row r="6763" spans="1:2" x14ac:dyDescent="0.25">
      <c r="A6763" s="5">
        <v>43389</v>
      </c>
      <c r="B6763">
        <v>59.491126999999999</v>
      </c>
    </row>
    <row r="6764" spans="1:2" x14ac:dyDescent="0.25">
      <c r="A6764" s="5">
        <v>43390</v>
      </c>
      <c r="B6764">
        <v>59.473125000000003</v>
      </c>
    </row>
    <row r="6765" spans="1:2" x14ac:dyDescent="0.25">
      <c r="A6765" s="5">
        <v>43391</v>
      </c>
      <c r="B6765">
        <v>58.618378</v>
      </c>
    </row>
    <row r="6766" spans="1:2" x14ac:dyDescent="0.25">
      <c r="A6766" s="5">
        <v>43392</v>
      </c>
      <c r="B6766">
        <v>58.807316</v>
      </c>
    </row>
    <row r="6767" spans="1:2" x14ac:dyDescent="0.25">
      <c r="A6767" s="5">
        <v>43395</v>
      </c>
      <c r="B6767">
        <v>59.491126999999999</v>
      </c>
    </row>
    <row r="6768" spans="1:2" x14ac:dyDescent="0.25">
      <c r="A6768" s="5">
        <v>43396</v>
      </c>
      <c r="B6768">
        <v>59.725048000000001</v>
      </c>
    </row>
    <row r="6769" spans="1:2" x14ac:dyDescent="0.25">
      <c r="A6769" s="5">
        <v>43397</v>
      </c>
      <c r="B6769">
        <v>56.342025999999997</v>
      </c>
    </row>
    <row r="6770" spans="1:2" x14ac:dyDescent="0.25">
      <c r="A6770" s="5">
        <v>43398</v>
      </c>
      <c r="B6770">
        <v>56.863872999999998</v>
      </c>
    </row>
    <row r="6771" spans="1:2" x14ac:dyDescent="0.25">
      <c r="A6771" s="5">
        <v>43399</v>
      </c>
      <c r="B6771">
        <v>56.216048999999998</v>
      </c>
    </row>
    <row r="6772" spans="1:2" x14ac:dyDescent="0.25">
      <c r="A6772" s="5">
        <v>43402</v>
      </c>
      <c r="B6772">
        <v>55.937134</v>
      </c>
    </row>
    <row r="6773" spans="1:2" x14ac:dyDescent="0.25">
      <c r="A6773" s="5">
        <v>43403</v>
      </c>
      <c r="B6773">
        <v>56.845878999999996</v>
      </c>
    </row>
    <row r="6774" spans="1:2" x14ac:dyDescent="0.25">
      <c r="A6774" s="5">
        <v>43404</v>
      </c>
      <c r="B6774">
        <v>56.584952999999999</v>
      </c>
    </row>
    <row r="6775" spans="1:2" x14ac:dyDescent="0.25">
      <c r="A6775" s="5">
        <v>43405</v>
      </c>
      <c r="B6775">
        <v>57.322749999999999</v>
      </c>
    </row>
    <row r="6776" spans="1:2" x14ac:dyDescent="0.25">
      <c r="A6776" s="5">
        <v>43406</v>
      </c>
      <c r="B6776">
        <v>56.980839000000003</v>
      </c>
    </row>
    <row r="6777" spans="1:2" x14ac:dyDescent="0.25">
      <c r="A6777" s="5">
        <v>43409</v>
      </c>
      <c r="B6777">
        <v>57.1068</v>
      </c>
    </row>
    <row r="6778" spans="1:2" x14ac:dyDescent="0.25">
      <c r="A6778" s="5">
        <v>43410</v>
      </c>
      <c r="B6778">
        <v>57.250771</v>
      </c>
    </row>
    <row r="6779" spans="1:2" x14ac:dyDescent="0.25">
      <c r="A6779" s="5">
        <v>43411</v>
      </c>
      <c r="B6779">
        <v>56.872875000000001</v>
      </c>
    </row>
    <row r="6780" spans="1:2" x14ac:dyDescent="0.25">
      <c r="A6780" s="5">
        <v>43412</v>
      </c>
      <c r="B6780">
        <v>52.230186000000003</v>
      </c>
    </row>
    <row r="6781" spans="1:2" x14ac:dyDescent="0.25">
      <c r="A6781" s="5">
        <v>43413</v>
      </c>
      <c r="B6781">
        <v>51.033535000000001</v>
      </c>
    </row>
    <row r="6782" spans="1:2" x14ac:dyDescent="0.25">
      <c r="A6782" s="5">
        <v>43416</v>
      </c>
      <c r="B6782">
        <v>49.027102999999997</v>
      </c>
    </row>
    <row r="6783" spans="1:2" x14ac:dyDescent="0.25">
      <c r="A6783" s="5">
        <v>43417</v>
      </c>
      <c r="B6783">
        <v>48.730186000000003</v>
      </c>
    </row>
    <row r="6784" spans="1:2" x14ac:dyDescent="0.25">
      <c r="A6784" s="5">
        <v>43418</v>
      </c>
      <c r="B6784">
        <v>48.532229999999998</v>
      </c>
    </row>
    <row r="6785" spans="1:2" x14ac:dyDescent="0.25">
      <c r="A6785" s="5">
        <v>43419</v>
      </c>
      <c r="B6785">
        <v>49.836868000000003</v>
      </c>
    </row>
    <row r="6786" spans="1:2" x14ac:dyDescent="0.25">
      <c r="A6786" s="5">
        <v>43420</v>
      </c>
      <c r="B6786">
        <v>50.277737000000002</v>
      </c>
    </row>
    <row r="6787" spans="1:2" x14ac:dyDescent="0.25">
      <c r="A6787" s="5">
        <v>43423</v>
      </c>
      <c r="B6787">
        <v>49.395995999999997</v>
      </c>
    </row>
    <row r="6788" spans="1:2" x14ac:dyDescent="0.25">
      <c r="A6788" s="5">
        <v>43424</v>
      </c>
      <c r="B6788">
        <v>49.413989999999998</v>
      </c>
    </row>
    <row r="6789" spans="1:2" x14ac:dyDescent="0.25">
      <c r="A6789" s="5">
        <v>43425</v>
      </c>
      <c r="B6789">
        <v>49.728901</v>
      </c>
    </row>
    <row r="6790" spans="1:2" x14ac:dyDescent="0.25">
      <c r="A6790" s="5">
        <v>43427</v>
      </c>
      <c r="B6790">
        <v>49.710903000000002</v>
      </c>
    </row>
    <row r="6791" spans="1:2" x14ac:dyDescent="0.25">
      <c r="A6791" s="5">
        <v>43430</v>
      </c>
      <c r="B6791">
        <v>50.142775999999998</v>
      </c>
    </row>
    <row r="6792" spans="1:2" x14ac:dyDescent="0.25">
      <c r="A6792" s="5">
        <v>43431</v>
      </c>
      <c r="B6792">
        <v>49.998817000000003</v>
      </c>
    </row>
    <row r="6793" spans="1:2" x14ac:dyDescent="0.25">
      <c r="A6793" s="5">
        <v>43432</v>
      </c>
      <c r="B6793">
        <v>50.970547000000003</v>
      </c>
    </row>
    <row r="6794" spans="1:2" x14ac:dyDescent="0.25">
      <c r="A6794" s="5">
        <v>43433</v>
      </c>
      <c r="B6794">
        <v>52.284168000000001</v>
      </c>
    </row>
    <row r="6795" spans="1:2" x14ac:dyDescent="0.25">
      <c r="A6795" s="5">
        <v>43434</v>
      </c>
      <c r="B6795">
        <v>52.419136000000002</v>
      </c>
    </row>
    <row r="6796" spans="1:2" x14ac:dyDescent="0.25">
      <c r="A6796" s="5">
        <v>43437</v>
      </c>
      <c r="B6796">
        <v>53.210906999999999</v>
      </c>
    </row>
    <row r="6797" spans="1:2" x14ac:dyDescent="0.25">
      <c r="A6797" s="5">
        <v>43438</v>
      </c>
      <c r="B6797">
        <v>51.942267999999999</v>
      </c>
    </row>
    <row r="6798" spans="1:2" x14ac:dyDescent="0.25">
      <c r="A6798" s="5">
        <v>43440</v>
      </c>
      <c r="B6798">
        <v>51.942261000000002</v>
      </c>
    </row>
    <row r="6799" spans="1:2" x14ac:dyDescent="0.25">
      <c r="A6799" s="5">
        <v>43441</v>
      </c>
      <c r="B6799">
        <v>50.923617999999998</v>
      </c>
    </row>
    <row r="6800" spans="1:2" x14ac:dyDescent="0.25">
      <c r="A6800" s="5">
        <v>43444</v>
      </c>
      <c r="B6800">
        <v>52.060509000000003</v>
      </c>
    </row>
    <row r="6801" spans="1:2" x14ac:dyDescent="0.25">
      <c r="A6801" s="5">
        <v>43445</v>
      </c>
      <c r="B6801">
        <v>52.160544999999999</v>
      </c>
    </row>
    <row r="6802" spans="1:2" x14ac:dyDescent="0.25">
      <c r="A6802" s="5">
        <v>43446</v>
      </c>
      <c r="B6802">
        <v>52.497073999999998</v>
      </c>
    </row>
    <row r="6803" spans="1:2" x14ac:dyDescent="0.25">
      <c r="A6803" s="5">
        <v>43447</v>
      </c>
      <c r="B6803">
        <v>52.833595000000003</v>
      </c>
    </row>
    <row r="6804" spans="1:2" x14ac:dyDescent="0.25">
      <c r="A6804" s="5">
        <v>43448</v>
      </c>
      <c r="B6804">
        <v>52.406112999999998</v>
      </c>
    </row>
    <row r="6805" spans="1:2" x14ac:dyDescent="0.25">
      <c r="A6805" s="5">
        <v>43451</v>
      </c>
      <c r="B6805">
        <v>51.842216000000001</v>
      </c>
    </row>
    <row r="6806" spans="1:2" x14ac:dyDescent="0.25">
      <c r="A6806" s="5">
        <v>43452</v>
      </c>
      <c r="B6806">
        <v>52.551636000000002</v>
      </c>
    </row>
    <row r="6807" spans="1:2" x14ac:dyDescent="0.25">
      <c r="A6807" s="5">
        <v>43453</v>
      </c>
      <c r="B6807">
        <v>51.560268000000001</v>
      </c>
    </row>
    <row r="6808" spans="1:2" x14ac:dyDescent="0.25">
      <c r="A6808" s="5">
        <v>43454</v>
      </c>
      <c r="B6808">
        <v>51.269221999999999</v>
      </c>
    </row>
    <row r="6809" spans="1:2" x14ac:dyDescent="0.25">
      <c r="A6809" s="5">
        <v>43455</v>
      </c>
      <c r="B6809">
        <v>49.886764999999997</v>
      </c>
    </row>
    <row r="6810" spans="1:2" x14ac:dyDescent="0.25">
      <c r="A6810" s="5">
        <v>43458</v>
      </c>
      <c r="B6810">
        <v>48.795352999999999</v>
      </c>
    </row>
    <row r="6811" spans="1:2" x14ac:dyDescent="0.25">
      <c r="A6811" s="5">
        <v>43460</v>
      </c>
      <c r="B6811">
        <v>50.896324</v>
      </c>
    </row>
    <row r="6812" spans="1:2" x14ac:dyDescent="0.25">
      <c r="A6812" s="5">
        <v>43461</v>
      </c>
      <c r="B6812">
        <v>51.014564999999997</v>
      </c>
    </row>
    <row r="6813" spans="1:2" x14ac:dyDescent="0.25">
      <c r="A6813" s="5">
        <v>43462</v>
      </c>
      <c r="B6813">
        <v>51.669418</v>
      </c>
    </row>
    <row r="6814" spans="1:2" x14ac:dyDescent="0.25">
      <c r="A6814" s="5">
        <v>43465</v>
      </c>
      <c r="B6814">
        <v>51.760371999999997</v>
      </c>
    </row>
    <row r="6815" spans="1:2" x14ac:dyDescent="0.25">
      <c r="A6815" s="5">
        <v>43467</v>
      </c>
      <c r="B6815">
        <v>52.206023999999999</v>
      </c>
    </row>
    <row r="6816" spans="1:2" x14ac:dyDescent="0.25">
      <c r="A6816" s="5">
        <v>43468</v>
      </c>
      <c r="B6816">
        <v>50.659866000000001</v>
      </c>
    </row>
    <row r="6817" spans="1:2" x14ac:dyDescent="0.25">
      <c r="A6817" s="5">
        <v>43469</v>
      </c>
      <c r="B6817">
        <v>51.478416000000003</v>
      </c>
    </row>
    <row r="6818" spans="1:2" x14ac:dyDescent="0.25">
      <c r="A6818" s="5">
        <v>43472</v>
      </c>
      <c r="B6818">
        <v>51.332889999999999</v>
      </c>
    </row>
    <row r="6819" spans="1:2" x14ac:dyDescent="0.25">
      <c r="A6819" s="5">
        <v>43473</v>
      </c>
      <c r="B6819">
        <v>50.887233999999999</v>
      </c>
    </row>
    <row r="6820" spans="1:2" x14ac:dyDescent="0.25">
      <c r="A6820" s="5">
        <v>43474</v>
      </c>
      <c r="B6820">
        <v>51.487507000000001</v>
      </c>
    </row>
    <row r="6821" spans="1:2" x14ac:dyDescent="0.25">
      <c r="A6821" s="5">
        <v>43475</v>
      </c>
      <c r="B6821">
        <v>51.660313000000002</v>
      </c>
    </row>
    <row r="6822" spans="1:2" x14ac:dyDescent="0.25">
      <c r="A6822" s="5">
        <v>43476</v>
      </c>
      <c r="B6822">
        <v>52.296973999999999</v>
      </c>
    </row>
    <row r="6823" spans="1:2" x14ac:dyDescent="0.25">
      <c r="A6823" s="5">
        <v>43479</v>
      </c>
      <c r="B6823">
        <v>52.115067000000003</v>
      </c>
    </row>
    <row r="6824" spans="1:2" x14ac:dyDescent="0.25">
      <c r="A6824" s="5">
        <v>43480</v>
      </c>
      <c r="B6824">
        <v>50.687137999999997</v>
      </c>
    </row>
    <row r="6825" spans="1:2" x14ac:dyDescent="0.25">
      <c r="A6825" s="5">
        <v>43481</v>
      </c>
      <c r="B6825">
        <v>50.268768000000001</v>
      </c>
    </row>
    <row r="6826" spans="1:2" x14ac:dyDescent="0.25">
      <c r="A6826" s="5">
        <v>43482</v>
      </c>
      <c r="B6826">
        <v>49.814006999999997</v>
      </c>
    </row>
    <row r="6827" spans="1:2" x14ac:dyDescent="0.25">
      <c r="A6827" s="5">
        <v>43483</v>
      </c>
      <c r="B6827">
        <v>50.268768000000001</v>
      </c>
    </row>
    <row r="6828" spans="1:2" x14ac:dyDescent="0.25">
      <c r="A6828" s="5">
        <v>43487</v>
      </c>
      <c r="B6828">
        <v>49.377440999999997</v>
      </c>
    </row>
    <row r="6829" spans="1:2" x14ac:dyDescent="0.25">
      <c r="A6829" s="5">
        <v>43488</v>
      </c>
      <c r="B6829">
        <v>47.085467999999999</v>
      </c>
    </row>
    <row r="6830" spans="1:2" x14ac:dyDescent="0.25">
      <c r="A6830" s="5">
        <v>43489</v>
      </c>
      <c r="B6830">
        <v>46.212341000000002</v>
      </c>
    </row>
    <row r="6831" spans="1:2" x14ac:dyDescent="0.25">
      <c r="A6831" s="5">
        <v>43490</v>
      </c>
      <c r="B6831">
        <v>46.657989999999998</v>
      </c>
    </row>
    <row r="6832" spans="1:2" x14ac:dyDescent="0.25">
      <c r="A6832" s="5">
        <v>43493</v>
      </c>
      <c r="B6832">
        <v>46.057715999999999</v>
      </c>
    </row>
    <row r="6833" spans="1:2" x14ac:dyDescent="0.25">
      <c r="A6833" s="5">
        <v>43494</v>
      </c>
      <c r="B6833">
        <v>44.929927999999997</v>
      </c>
    </row>
    <row r="6834" spans="1:2" x14ac:dyDescent="0.25">
      <c r="A6834" s="5">
        <v>43495</v>
      </c>
      <c r="B6834">
        <v>45.630248999999999</v>
      </c>
    </row>
    <row r="6835" spans="1:2" x14ac:dyDescent="0.25">
      <c r="A6835" s="5">
        <v>43496</v>
      </c>
      <c r="B6835">
        <v>45.039062999999999</v>
      </c>
    </row>
    <row r="6836" spans="1:2" x14ac:dyDescent="0.25">
      <c r="A6836" s="5">
        <v>43497</v>
      </c>
      <c r="B6836">
        <v>45.120922</v>
      </c>
    </row>
    <row r="6837" spans="1:2" x14ac:dyDescent="0.25">
      <c r="A6837" s="5">
        <v>43500</v>
      </c>
      <c r="B6837">
        <v>45.193680000000001</v>
      </c>
    </row>
    <row r="6838" spans="1:2" x14ac:dyDescent="0.25">
      <c r="A6838" s="5">
        <v>43501</v>
      </c>
      <c r="B6838">
        <v>46.139575999999998</v>
      </c>
    </row>
    <row r="6839" spans="1:2" x14ac:dyDescent="0.25">
      <c r="A6839" s="5">
        <v>43502</v>
      </c>
      <c r="B6839">
        <v>46.476092999999999</v>
      </c>
    </row>
    <row r="6840" spans="1:2" x14ac:dyDescent="0.25">
      <c r="A6840" s="5">
        <v>43503</v>
      </c>
      <c r="B6840">
        <v>45.975872000000003</v>
      </c>
    </row>
    <row r="6841" spans="1:2" x14ac:dyDescent="0.25">
      <c r="A6841" s="5">
        <v>43504</v>
      </c>
      <c r="B6841">
        <v>45.739387999999998</v>
      </c>
    </row>
    <row r="6842" spans="1:2" x14ac:dyDescent="0.25">
      <c r="A6842" s="5">
        <v>43507</v>
      </c>
      <c r="B6842">
        <v>46.230530000000002</v>
      </c>
    </row>
    <row r="6843" spans="1:2" x14ac:dyDescent="0.25">
      <c r="A6843" s="5">
        <v>43508</v>
      </c>
      <c r="B6843">
        <v>46.985427999999999</v>
      </c>
    </row>
    <row r="6844" spans="1:2" x14ac:dyDescent="0.25">
      <c r="A6844" s="5">
        <v>43509</v>
      </c>
      <c r="B6844">
        <v>46.921756999999999</v>
      </c>
    </row>
    <row r="6845" spans="1:2" x14ac:dyDescent="0.25">
      <c r="A6845" s="5">
        <v>43510</v>
      </c>
      <c r="B6845">
        <v>46.903564000000003</v>
      </c>
    </row>
    <row r="6846" spans="1:2" x14ac:dyDescent="0.25">
      <c r="A6846" s="5">
        <v>43511</v>
      </c>
      <c r="B6846">
        <v>47.276463</v>
      </c>
    </row>
    <row r="6847" spans="1:2" x14ac:dyDescent="0.25">
      <c r="A6847" s="5">
        <v>43515</v>
      </c>
      <c r="B6847">
        <v>47.303753</v>
      </c>
    </row>
    <row r="6848" spans="1:2" x14ac:dyDescent="0.25">
      <c r="A6848" s="5">
        <v>43516</v>
      </c>
      <c r="B6848">
        <v>47.703938000000001</v>
      </c>
    </row>
    <row r="6849" spans="1:2" x14ac:dyDescent="0.25">
      <c r="A6849" s="5">
        <v>43517</v>
      </c>
      <c r="B6849">
        <v>47.612983999999997</v>
      </c>
    </row>
    <row r="6850" spans="1:2" x14ac:dyDescent="0.25">
      <c r="A6850" s="5">
        <v>43518</v>
      </c>
      <c r="B6850">
        <v>48.313308999999997</v>
      </c>
    </row>
    <row r="6851" spans="1:2" x14ac:dyDescent="0.25">
      <c r="A6851" s="5">
        <v>43521</v>
      </c>
      <c r="B6851">
        <v>48.195076</v>
      </c>
    </row>
    <row r="6852" spans="1:2" x14ac:dyDescent="0.25">
      <c r="A6852" s="5">
        <v>43522</v>
      </c>
      <c r="B6852">
        <v>48.231456999999999</v>
      </c>
    </row>
    <row r="6853" spans="1:2" x14ac:dyDescent="0.25">
      <c r="A6853" s="5">
        <v>43523</v>
      </c>
      <c r="B6853">
        <v>48.240558999999998</v>
      </c>
    </row>
    <row r="6854" spans="1:2" x14ac:dyDescent="0.25">
      <c r="A6854" s="5">
        <v>43524</v>
      </c>
      <c r="B6854">
        <v>48.558880000000002</v>
      </c>
    </row>
    <row r="6855" spans="1:2" x14ac:dyDescent="0.25">
      <c r="A6855" s="5">
        <v>43525</v>
      </c>
      <c r="B6855">
        <v>49.295589</v>
      </c>
    </row>
    <row r="6856" spans="1:2" x14ac:dyDescent="0.25">
      <c r="A6856" s="5">
        <v>43528</v>
      </c>
      <c r="B6856">
        <v>48.913586000000002</v>
      </c>
    </row>
    <row r="6857" spans="1:2" x14ac:dyDescent="0.25">
      <c r="A6857" s="5">
        <v>43529</v>
      </c>
      <c r="B6857">
        <v>49.059113000000004</v>
      </c>
    </row>
    <row r="6858" spans="1:2" x14ac:dyDescent="0.25">
      <c r="A6858" s="5">
        <v>43530</v>
      </c>
      <c r="B6858">
        <v>50.420848999999997</v>
      </c>
    </row>
    <row r="6859" spans="1:2" x14ac:dyDescent="0.25">
      <c r="A6859" s="5">
        <v>43531</v>
      </c>
      <c r="B6859">
        <v>49.712383000000003</v>
      </c>
    </row>
    <row r="6860" spans="1:2" x14ac:dyDescent="0.25">
      <c r="A6860" s="5">
        <v>43532</v>
      </c>
      <c r="B6860">
        <v>49.252338000000002</v>
      </c>
    </row>
    <row r="6861" spans="1:2" x14ac:dyDescent="0.25">
      <c r="A6861" s="5">
        <v>43535</v>
      </c>
      <c r="B6861">
        <v>50.006805</v>
      </c>
    </row>
    <row r="6862" spans="1:2" x14ac:dyDescent="0.25">
      <c r="A6862" s="5">
        <v>43536</v>
      </c>
      <c r="B6862">
        <v>50.457649000000004</v>
      </c>
    </row>
    <row r="6863" spans="1:2" x14ac:dyDescent="0.25">
      <c r="A6863" s="5">
        <v>43537</v>
      </c>
      <c r="B6863">
        <v>50.963695999999999</v>
      </c>
    </row>
    <row r="6864" spans="1:2" x14ac:dyDescent="0.25">
      <c r="A6864" s="5">
        <v>43538</v>
      </c>
      <c r="B6864">
        <v>50.972892999999999</v>
      </c>
    </row>
    <row r="6865" spans="1:2" x14ac:dyDescent="0.25">
      <c r="A6865" s="5">
        <v>43539</v>
      </c>
      <c r="B6865">
        <v>52.076996000000001</v>
      </c>
    </row>
    <row r="6866" spans="1:2" x14ac:dyDescent="0.25">
      <c r="A6866" s="5">
        <v>43542</v>
      </c>
      <c r="B6866">
        <v>52.288623999999999</v>
      </c>
    </row>
    <row r="6867" spans="1:2" x14ac:dyDescent="0.25">
      <c r="A6867" s="5">
        <v>43543</v>
      </c>
      <c r="B6867">
        <v>52.417439000000002</v>
      </c>
    </row>
    <row r="6868" spans="1:2" x14ac:dyDescent="0.25">
      <c r="A6868" s="5">
        <v>43544</v>
      </c>
      <c r="B6868">
        <v>52.592255000000002</v>
      </c>
    </row>
    <row r="6869" spans="1:2" x14ac:dyDescent="0.25">
      <c r="A6869" s="5">
        <v>43545</v>
      </c>
      <c r="B6869">
        <v>53.153500000000001</v>
      </c>
    </row>
    <row r="6870" spans="1:2" x14ac:dyDescent="0.25">
      <c r="A6870" s="5">
        <v>43546</v>
      </c>
      <c r="B6870">
        <v>52.279423000000001</v>
      </c>
    </row>
    <row r="6871" spans="1:2" x14ac:dyDescent="0.25">
      <c r="A6871" s="5">
        <v>43549</v>
      </c>
      <c r="B6871">
        <v>52.113810999999998</v>
      </c>
    </row>
    <row r="6872" spans="1:2" x14ac:dyDescent="0.25">
      <c r="A6872" s="5">
        <v>43550</v>
      </c>
      <c r="B6872">
        <v>53.365130999999998</v>
      </c>
    </row>
    <row r="6873" spans="1:2" x14ac:dyDescent="0.25">
      <c r="A6873" s="5">
        <v>43551</v>
      </c>
      <c r="B6873">
        <v>52.362225000000002</v>
      </c>
    </row>
    <row r="6874" spans="1:2" x14ac:dyDescent="0.25">
      <c r="A6874" s="5">
        <v>43552</v>
      </c>
      <c r="B6874">
        <v>52.030997999999997</v>
      </c>
    </row>
    <row r="6875" spans="1:2" x14ac:dyDescent="0.25">
      <c r="A6875" s="5">
        <v>43553</v>
      </c>
      <c r="B6875">
        <v>52.472645</v>
      </c>
    </row>
    <row r="6876" spans="1:2" x14ac:dyDescent="0.25">
      <c r="A6876" s="5">
        <v>43556</v>
      </c>
      <c r="B6876">
        <v>53.190314999999998</v>
      </c>
    </row>
    <row r="6877" spans="1:2" x14ac:dyDescent="0.25">
      <c r="A6877" s="5">
        <v>43557</v>
      </c>
      <c r="B6877">
        <v>53.447937000000003</v>
      </c>
    </row>
    <row r="6878" spans="1:2" x14ac:dyDescent="0.25">
      <c r="A6878" s="5">
        <v>43558</v>
      </c>
      <c r="B6878">
        <v>53.070698</v>
      </c>
    </row>
    <row r="6879" spans="1:2" x14ac:dyDescent="0.25">
      <c r="A6879" s="5">
        <v>43559</v>
      </c>
      <c r="B6879">
        <v>53.236319999999999</v>
      </c>
    </row>
    <row r="6880" spans="1:2" x14ac:dyDescent="0.25">
      <c r="A6880" s="5">
        <v>43560</v>
      </c>
      <c r="B6880">
        <v>53.355927000000001</v>
      </c>
    </row>
    <row r="6881" spans="1:2" x14ac:dyDescent="0.25">
      <c r="A6881" s="5">
        <v>43563</v>
      </c>
      <c r="B6881">
        <v>53.144306</v>
      </c>
    </row>
    <row r="6882" spans="1:2" x14ac:dyDescent="0.25">
      <c r="A6882" s="5">
        <v>43564</v>
      </c>
      <c r="B6882">
        <v>52.849879999999999</v>
      </c>
    </row>
    <row r="6883" spans="1:2" x14ac:dyDescent="0.25">
      <c r="A6883" s="5">
        <v>43565</v>
      </c>
      <c r="B6883">
        <v>51.828578999999998</v>
      </c>
    </row>
    <row r="6884" spans="1:2" x14ac:dyDescent="0.25">
      <c r="A6884" s="5">
        <v>43566</v>
      </c>
      <c r="B6884">
        <v>51.432938</v>
      </c>
    </row>
    <row r="6885" spans="1:2" x14ac:dyDescent="0.25">
      <c r="A6885" s="5">
        <v>43567</v>
      </c>
      <c r="B6885">
        <v>52.399036000000002</v>
      </c>
    </row>
    <row r="6886" spans="1:2" x14ac:dyDescent="0.25">
      <c r="A6886" s="5">
        <v>43570</v>
      </c>
      <c r="B6886">
        <v>52.610652999999999</v>
      </c>
    </row>
    <row r="6887" spans="1:2" x14ac:dyDescent="0.25">
      <c r="A6887" s="5">
        <v>43571</v>
      </c>
      <c r="B6887">
        <v>64.820228999999998</v>
      </c>
    </row>
    <row r="6888" spans="1:2" x14ac:dyDescent="0.25">
      <c r="A6888" s="5">
        <v>43572</v>
      </c>
      <c r="B6888">
        <v>72.760597000000004</v>
      </c>
    </row>
    <row r="6889" spans="1:2" x14ac:dyDescent="0.25">
      <c r="A6889" s="5">
        <v>43573</v>
      </c>
      <c r="B6889">
        <v>73.505852000000004</v>
      </c>
    </row>
    <row r="6890" spans="1:2" x14ac:dyDescent="0.25">
      <c r="A6890" s="5">
        <v>43577</v>
      </c>
      <c r="B6890">
        <v>75.419655000000006</v>
      </c>
    </row>
    <row r="6891" spans="1:2" x14ac:dyDescent="0.25">
      <c r="A6891" s="5">
        <v>43578</v>
      </c>
      <c r="B6891">
        <v>79.79007</v>
      </c>
    </row>
    <row r="6892" spans="1:2" x14ac:dyDescent="0.25">
      <c r="A6892" s="5">
        <v>43579</v>
      </c>
      <c r="B6892">
        <v>79.891272999999998</v>
      </c>
    </row>
    <row r="6893" spans="1:2" x14ac:dyDescent="0.25">
      <c r="A6893" s="5">
        <v>43580</v>
      </c>
      <c r="B6893">
        <v>78.271918999999997</v>
      </c>
    </row>
    <row r="6894" spans="1:2" x14ac:dyDescent="0.25">
      <c r="A6894" s="5">
        <v>43581</v>
      </c>
      <c r="B6894">
        <v>79.716460999999995</v>
      </c>
    </row>
    <row r="6895" spans="1:2" x14ac:dyDescent="0.25">
      <c r="A6895" s="5">
        <v>43584</v>
      </c>
      <c r="B6895">
        <v>80.277717999999993</v>
      </c>
    </row>
    <row r="6896" spans="1:2" x14ac:dyDescent="0.25">
      <c r="A6896" s="5">
        <v>43585</v>
      </c>
      <c r="B6896">
        <v>79.247214999999997</v>
      </c>
    </row>
    <row r="6897" spans="1:2" x14ac:dyDescent="0.25">
      <c r="A6897" s="5">
        <v>43586</v>
      </c>
      <c r="B6897">
        <v>79.468033000000005</v>
      </c>
    </row>
    <row r="6898" spans="1:2" x14ac:dyDescent="0.25">
      <c r="A6898" s="5">
        <v>43587</v>
      </c>
      <c r="B6898">
        <v>80.176497999999995</v>
      </c>
    </row>
    <row r="6899" spans="1:2" x14ac:dyDescent="0.25">
      <c r="A6899" s="5">
        <v>43588</v>
      </c>
      <c r="B6899">
        <v>82.154708999999997</v>
      </c>
    </row>
    <row r="6900" spans="1:2" x14ac:dyDescent="0.25">
      <c r="A6900" s="5">
        <v>43591</v>
      </c>
      <c r="B6900">
        <v>81.197800000000001</v>
      </c>
    </row>
    <row r="6901" spans="1:2" x14ac:dyDescent="0.25">
      <c r="A6901" s="5">
        <v>43592</v>
      </c>
      <c r="B6901">
        <v>78.391525000000001</v>
      </c>
    </row>
    <row r="6902" spans="1:2" x14ac:dyDescent="0.25">
      <c r="A6902" s="5">
        <v>43593</v>
      </c>
      <c r="B6902">
        <v>77.784263999999993</v>
      </c>
    </row>
    <row r="6903" spans="1:2" x14ac:dyDescent="0.25">
      <c r="A6903" s="5">
        <v>43594</v>
      </c>
      <c r="B6903">
        <v>77.084998999999996</v>
      </c>
    </row>
    <row r="6904" spans="1:2" x14ac:dyDescent="0.25">
      <c r="A6904" s="5">
        <v>43595</v>
      </c>
      <c r="B6904">
        <v>78.980384999999998</v>
      </c>
    </row>
    <row r="6905" spans="1:2" x14ac:dyDescent="0.25">
      <c r="A6905" s="5">
        <v>43598</v>
      </c>
      <c r="B6905">
        <v>77.186226000000005</v>
      </c>
    </row>
    <row r="6906" spans="1:2" x14ac:dyDescent="0.25">
      <c r="A6906" s="5">
        <v>43599</v>
      </c>
      <c r="B6906">
        <v>79.247214999999997</v>
      </c>
    </row>
    <row r="6907" spans="1:2" x14ac:dyDescent="0.25">
      <c r="A6907" s="5">
        <v>43600</v>
      </c>
      <c r="B6907">
        <v>79.366828999999996</v>
      </c>
    </row>
    <row r="6908" spans="1:2" x14ac:dyDescent="0.25">
      <c r="A6908" s="5">
        <v>43601</v>
      </c>
      <c r="B6908">
        <v>76.192513000000005</v>
      </c>
    </row>
    <row r="6909" spans="1:2" x14ac:dyDescent="0.25">
      <c r="A6909" s="5">
        <v>43602</v>
      </c>
      <c r="B6909">
        <v>74.987212999999997</v>
      </c>
    </row>
    <row r="6910" spans="1:2" x14ac:dyDescent="0.25">
      <c r="A6910" s="5">
        <v>43605</v>
      </c>
      <c r="B6910">
        <v>70.497169</v>
      </c>
    </row>
    <row r="6911" spans="1:2" x14ac:dyDescent="0.25">
      <c r="A6911" s="5">
        <v>43606</v>
      </c>
      <c r="B6911">
        <v>71.536879999999996</v>
      </c>
    </row>
    <row r="6912" spans="1:2" x14ac:dyDescent="0.25">
      <c r="A6912" s="5">
        <v>43607</v>
      </c>
      <c r="B6912">
        <v>63.771309000000002</v>
      </c>
    </row>
    <row r="6913" spans="1:2" x14ac:dyDescent="0.25">
      <c r="A6913" s="5">
        <v>43608</v>
      </c>
      <c r="B6913">
        <v>62.805225</v>
      </c>
    </row>
    <row r="6914" spans="1:2" x14ac:dyDescent="0.25">
      <c r="A6914" s="5">
        <v>43609</v>
      </c>
      <c r="B6914">
        <v>60.919060000000002</v>
      </c>
    </row>
    <row r="6915" spans="1:2" x14ac:dyDescent="0.25">
      <c r="A6915" s="5">
        <v>43613</v>
      </c>
      <c r="B6915">
        <v>60.146186999999998</v>
      </c>
    </row>
    <row r="6916" spans="1:2" x14ac:dyDescent="0.25">
      <c r="A6916" s="5">
        <v>43614</v>
      </c>
      <c r="B6916">
        <v>60.505015999999998</v>
      </c>
    </row>
    <row r="6917" spans="1:2" x14ac:dyDescent="0.25">
      <c r="A6917" s="5">
        <v>43615</v>
      </c>
      <c r="B6917">
        <v>61.268684</v>
      </c>
    </row>
    <row r="6918" spans="1:2" x14ac:dyDescent="0.25">
      <c r="A6918" s="5">
        <v>43616</v>
      </c>
      <c r="B6918">
        <v>61.480316000000002</v>
      </c>
    </row>
    <row r="6919" spans="1:2" x14ac:dyDescent="0.25">
      <c r="A6919" s="5">
        <v>43619</v>
      </c>
      <c r="B6919">
        <v>61.333103000000001</v>
      </c>
    </row>
    <row r="6920" spans="1:2" x14ac:dyDescent="0.25">
      <c r="A6920" s="5">
        <v>43620</v>
      </c>
      <c r="B6920">
        <v>62.980044999999997</v>
      </c>
    </row>
    <row r="6921" spans="1:2" x14ac:dyDescent="0.25">
      <c r="A6921" s="5">
        <v>43621</v>
      </c>
      <c r="B6921">
        <v>62.227961999999998</v>
      </c>
    </row>
    <row r="6922" spans="1:2" x14ac:dyDescent="0.25">
      <c r="A6922" s="5">
        <v>43622</v>
      </c>
      <c r="B6922">
        <v>62.757201999999999</v>
      </c>
    </row>
    <row r="6923" spans="1:2" x14ac:dyDescent="0.25">
      <c r="A6923" s="5">
        <v>43623</v>
      </c>
      <c r="B6923">
        <v>63.778561000000003</v>
      </c>
    </row>
    <row r="6924" spans="1:2" x14ac:dyDescent="0.25">
      <c r="A6924" s="5">
        <v>43626</v>
      </c>
      <c r="B6924">
        <v>65.496291999999997</v>
      </c>
    </row>
    <row r="6925" spans="1:2" x14ac:dyDescent="0.25">
      <c r="A6925" s="5">
        <v>43627</v>
      </c>
      <c r="B6925">
        <v>66.146232999999995</v>
      </c>
    </row>
    <row r="6926" spans="1:2" x14ac:dyDescent="0.25">
      <c r="A6926" s="5">
        <v>43628</v>
      </c>
      <c r="B6926">
        <v>64.614211999999995</v>
      </c>
    </row>
    <row r="6927" spans="1:2" x14ac:dyDescent="0.25">
      <c r="A6927" s="5">
        <v>43629</v>
      </c>
      <c r="B6927">
        <v>64.929893000000007</v>
      </c>
    </row>
    <row r="6928" spans="1:2" x14ac:dyDescent="0.25">
      <c r="A6928" s="5">
        <v>43630</v>
      </c>
      <c r="B6928">
        <v>63.806423000000002</v>
      </c>
    </row>
    <row r="6929" spans="1:2" x14ac:dyDescent="0.25">
      <c r="A6929" s="5">
        <v>43633</v>
      </c>
      <c r="B6929">
        <v>64.168532999999996</v>
      </c>
    </row>
    <row r="6930" spans="1:2" x14ac:dyDescent="0.25">
      <c r="A6930" s="5">
        <v>43634</v>
      </c>
      <c r="B6930">
        <v>66.814751000000001</v>
      </c>
    </row>
    <row r="6931" spans="1:2" x14ac:dyDescent="0.25">
      <c r="A6931" s="5">
        <v>43635</v>
      </c>
      <c r="B6931">
        <v>66.666206000000003</v>
      </c>
    </row>
    <row r="6932" spans="1:2" x14ac:dyDescent="0.25">
      <c r="A6932" s="5">
        <v>43636</v>
      </c>
      <c r="B6932">
        <v>67.538978999999998</v>
      </c>
    </row>
    <row r="6933" spans="1:2" x14ac:dyDescent="0.25">
      <c r="A6933" s="5">
        <v>43637</v>
      </c>
      <c r="B6933">
        <v>67.520415999999997</v>
      </c>
    </row>
    <row r="6934" spans="1:2" x14ac:dyDescent="0.25">
      <c r="A6934" s="5">
        <v>43640</v>
      </c>
      <c r="B6934">
        <v>67.928946999999994</v>
      </c>
    </row>
    <row r="6935" spans="1:2" x14ac:dyDescent="0.25">
      <c r="A6935" s="5">
        <v>43641</v>
      </c>
      <c r="B6935">
        <v>67.362578999999997</v>
      </c>
    </row>
    <row r="6936" spans="1:2" x14ac:dyDescent="0.25">
      <c r="A6936" s="5">
        <v>43642</v>
      </c>
      <c r="B6936">
        <v>69.590941999999998</v>
      </c>
    </row>
    <row r="6937" spans="1:2" x14ac:dyDescent="0.25">
      <c r="A6937" s="5">
        <v>43643</v>
      </c>
      <c r="B6937">
        <v>70.036629000000005</v>
      </c>
    </row>
    <row r="6938" spans="1:2" x14ac:dyDescent="0.25">
      <c r="A6938" s="5">
        <v>43644</v>
      </c>
      <c r="B6938">
        <v>70.630875000000003</v>
      </c>
    </row>
    <row r="6939" spans="1:2" x14ac:dyDescent="0.25">
      <c r="A6939" s="5">
        <v>43647</v>
      </c>
      <c r="B6939">
        <v>71.977196000000006</v>
      </c>
    </row>
    <row r="6940" spans="1:2" x14ac:dyDescent="0.25">
      <c r="A6940" s="5">
        <v>43648</v>
      </c>
      <c r="B6940">
        <v>71.503662000000006</v>
      </c>
    </row>
    <row r="6941" spans="1:2" x14ac:dyDescent="0.25">
      <c r="A6941" s="5">
        <v>43649</v>
      </c>
      <c r="B6941">
        <v>71.150833000000006</v>
      </c>
    </row>
    <row r="6942" spans="1:2" x14ac:dyDescent="0.25">
      <c r="A6942" s="5">
        <v>43651</v>
      </c>
      <c r="B6942">
        <v>71.178687999999994</v>
      </c>
    </row>
    <row r="6943" spans="1:2" x14ac:dyDescent="0.25">
      <c r="A6943" s="5">
        <v>43654</v>
      </c>
      <c r="B6943">
        <v>71.150833000000006</v>
      </c>
    </row>
    <row r="6944" spans="1:2" x14ac:dyDescent="0.25">
      <c r="A6944" s="5">
        <v>43655</v>
      </c>
      <c r="B6944">
        <v>71.076553000000004</v>
      </c>
    </row>
    <row r="6945" spans="1:2" x14ac:dyDescent="0.25">
      <c r="A6945" s="5">
        <v>43656</v>
      </c>
      <c r="B6945">
        <v>69.043143999999998</v>
      </c>
    </row>
    <row r="6946" spans="1:2" x14ac:dyDescent="0.25">
      <c r="A6946" s="5">
        <v>43657</v>
      </c>
      <c r="B6946">
        <v>68.439612999999994</v>
      </c>
    </row>
    <row r="6947" spans="1:2" x14ac:dyDescent="0.25">
      <c r="A6947" s="5">
        <v>43658</v>
      </c>
      <c r="B6947">
        <v>69.544524999999993</v>
      </c>
    </row>
    <row r="6948" spans="1:2" x14ac:dyDescent="0.25">
      <c r="A6948" s="5">
        <v>43661</v>
      </c>
      <c r="B6948">
        <v>70.036629000000005</v>
      </c>
    </row>
    <row r="6949" spans="1:2" x14ac:dyDescent="0.25">
      <c r="A6949" s="5">
        <v>43662</v>
      </c>
      <c r="B6949">
        <v>70.259467999999998</v>
      </c>
    </row>
    <row r="6950" spans="1:2" x14ac:dyDescent="0.25">
      <c r="A6950" s="5">
        <v>43663</v>
      </c>
      <c r="B6950">
        <v>70.343033000000005</v>
      </c>
    </row>
    <row r="6951" spans="1:2" x14ac:dyDescent="0.25">
      <c r="A6951" s="5">
        <v>43664</v>
      </c>
      <c r="B6951">
        <v>69.052429000000004</v>
      </c>
    </row>
    <row r="6952" spans="1:2" x14ac:dyDescent="0.25">
      <c r="A6952" s="5">
        <v>43665</v>
      </c>
      <c r="B6952">
        <v>69.637383</v>
      </c>
    </row>
    <row r="6953" spans="1:2" x14ac:dyDescent="0.25">
      <c r="A6953" s="5">
        <v>43668</v>
      </c>
      <c r="B6953">
        <v>70.519463000000002</v>
      </c>
    </row>
    <row r="6954" spans="1:2" x14ac:dyDescent="0.25">
      <c r="A6954" s="5">
        <v>43669</v>
      </c>
      <c r="B6954">
        <v>68.820312999999999</v>
      </c>
    </row>
    <row r="6955" spans="1:2" x14ac:dyDescent="0.25">
      <c r="A6955" s="5">
        <v>43670</v>
      </c>
      <c r="B6955">
        <v>70.445189999999997</v>
      </c>
    </row>
    <row r="6956" spans="1:2" x14ac:dyDescent="0.25">
      <c r="A6956" s="5">
        <v>43671</v>
      </c>
      <c r="B6956">
        <v>69.962363999999994</v>
      </c>
    </row>
    <row r="6957" spans="1:2" x14ac:dyDescent="0.25">
      <c r="A6957" s="5">
        <v>43672</v>
      </c>
      <c r="B6957">
        <v>69.841667000000001</v>
      </c>
    </row>
    <row r="6958" spans="1:2" x14ac:dyDescent="0.25">
      <c r="A6958" s="5">
        <v>43675</v>
      </c>
      <c r="B6958">
        <v>69.609527999999997</v>
      </c>
    </row>
    <row r="6959" spans="1:2" x14ac:dyDescent="0.25">
      <c r="A6959" s="5">
        <v>43676</v>
      </c>
      <c r="B6959">
        <v>69.46096</v>
      </c>
    </row>
    <row r="6960" spans="1:2" x14ac:dyDescent="0.25">
      <c r="A6960" s="5">
        <v>43677</v>
      </c>
      <c r="B6960">
        <v>67.928946999999994</v>
      </c>
    </row>
    <row r="6961" spans="1:2" x14ac:dyDescent="0.25">
      <c r="A6961" s="5">
        <v>43678</v>
      </c>
      <c r="B6961">
        <v>66.109076999999999</v>
      </c>
    </row>
    <row r="6962" spans="1:2" x14ac:dyDescent="0.25">
      <c r="A6962" s="5">
        <v>43679</v>
      </c>
      <c r="B6962">
        <v>66.062659999999994</v>
      </c>
    </row>
    <row r="6963" spans="1:2" x14ac:dyDescent="0.25">
      <c r="A6963" s="5">
        <v>43682</v>
      </c>
      <c r="B6963">
        <v>63.880699</v>
      </c>
    </row>
    <row r="6964" spans="1:2" x14ac:dyDescent="0.25">
      <c r="A6964" s="5">
        <v>43683</v>
      </c>
      <c r="B6964">
        <v>63.295746000000001</v>
      </c>
    </row>
    <row r="6965" spans="1:2" x14ac:dyDescent="0.25">
      <c r="A6965" s="5">
        <v>43684</v>
      </c>
      <c r="B6965">
        <v>64.437790000000007</v>
      </c>
    </row>
    <row r="6966" spans="1:2" x14ac:dyDescent="0.25">
      <c r="A6966" s="5">
        <v>43685</v>
      </c>
      <c r="B6966">
        <v>66.164810000000003</v>
      </c>
    </row>
    <row r="6967" spans="1:2" x14ac:dyDescent="0.25">
      <c r="A6967" s="5">
        <v>43686</v>
      </c>
      <c r="B6967">
        <v>66.387634000000006</v>
      </c>
    </row>
    <row r="6968" spans="1:2" x14ac:dyDescent="0.25">
      <c r="A6968" s="5">
        <v>43689</v>
      </c>
      <c r="B6968">
        <v>64.809180999999995</v>
      </c>
    </row>
    <row r="6969" spans="1:2" x14ac:dyDescent="0.25">
      <c r="A6969" s="5">
        <v>43690</v>
      </c>
      <c r="B6969">
        <v>67.019012000000004</v>
      </c>
    </row>
    <row r="6970" spans="1:2" x14ac:dyDescent="0.25">
      <c r="A6970" s="5">
        <v>43691</v>
      </c>
      <c r="B6970">
        <v>65.811974000000006</v>
      </c>
    </row>
    <row r="6971" spans="1:2" x14ac:dyDescent="0.25">
      <c r="A6971" s="5">
        <v>43692</v>
      </c>
      <c r="B6971">
        <v>66.071952999999993</v>
      </c>
    </row>
    <row r="6972" spans="1:2" x14ac:dyDescent="0.25">
      <c r="A6972" s="5">
        <v>43693</v>
      </c>
      <c r="B6972">
        <v>68.040367000000003</v>
      </c>
    </row>
    <row r="6973" spans="1:2" x14ac:dyDescent="0.25">
      <c r="A6973" s="5">
        <v>43696</v>
      </c>
      <c r="B6973">
        <v>69.516677999999999</v>
      </c>
    </row>
    <row r="6974" spans="1:2" x14ac:dyDescent="0.25">
      <c r="A6974" s="5">
        <v>43697</v>
      </c>
      <c r="B6974">
        <v>70.630875000000003</v>
      </c>
    </row>
    <row r="6975" spans="1:2" x14ac:dyDescent="0.25">
      <c r="A6975" s="5">
        <v>43698</v>
      </c>
      <c r="B6975">
        <v>71.215828000000002</v>
      </c>
    </row>
    <row r="6976" spans="1:2" x14ac:dyDescent="0.25">
      <c r="A6976" s="5">
        <v>43699</v>
      </c>
      <c r="B6976">
        <v>71.633651999999998</v>
      </c>
    </row>
    <row r="6977" spans="1:2" x14ac:dyDescent="0.25">
      <c r="A6977" s="5">
        <v>43700</v>
      </c>
      <c r="B6977">
        <v>68.263199</v>
      </c>
    </row>
    <row r="6978" spans="1:2" x14ac:dyDescent="0.25">
      <c r="A6978" s="5">
        <v>43703</v>
      </c>
      <c r="B6978">
        <v>67.696815000000001</v>
      </c>
    </row>
    <row r="6979" spans="1:2" x14ac:dyDescent="0.25">
      <c r="A6979" s="5">
        <v>43704</v>
      </c>
      <c r="B6979">
        <v>68.681038000000001</v>
      </c>
    </row>
    <row r="6980" spans="1:2" x14ac:dyDescent="0.25">
      <c r="A6980" s="5">
        <v>43705</v>
      </c>
      <c r="B6980">
        <v>69.033867000000001</v>
      </c>
    </row>
    <row r="6981" spans="1:2" x14ac:dyDescent="0.25">
      <c r="A6981" s="5">
        <v>43706</v>
      </c>
      <c r="B6981">
        <v>70.983704000000003</v>
      </c>
    </row>
    <row r="6982" spans="1:2" x14ac:dyDescent="0.25">
      <c r="A6982" s="5">
        <v>43707</v>
      </c>
      <c r="B6982">
        <v>72.209311999999997</v>
      </c>
    </row>
    <row r="6983" spans="1:2" x14ac:dyDescent="0.25">
      <c r="A6983" s="5">
        <v>43711</v>
      </c>
      <c r="B6983">
        <v>69.748801999999998</v>
      </c>
    </row>
    <row r="6984" spans="1:2" x14ac:dyDescent="0.25">
      <c r="A6984" s="5">
        <v>43712</v>
      </c>
      <c r="B6984">
        <v>71.577950000000001</v>
      </c>
    </row>
    <row r="6985" spans="1:2" x14ac:dyDescent="0.25">
      <c r="A6985" s="5">
        <v>43713</v>
      </c>
      <c r="B6985">
        <v>73.342094000000003</v>
      </c>
    </row>
    <row r="6986" spans="1:2" x14ac:dyDescent="0.25">
      <c r="A6986" s="5">
        <v>43714</v>
      </c>
      <c r="B6986">
        <v>73.202826999999999</v>
      </c>
    </row>
    <row r="6987" spans="1:2" x14ac:dyDescent="0.25">
      <c r="A6987" s="5">
        <v>43717</v>
      </c>
      <c r="B6987">
        <v>72.617858999999996</v>
      </c>
    </row>
    <row r="6988" spans="1:2" x14ac:dyDescent="0.25">
      <c r="A6988" s="5">
        <v>43718</v>
      </c>
      <c r="B6988">
        <v>73.082108000000005</v>
      </c>
    </row>
    <row r="6989" spans="1:2" x14ac:dyDescent="0.25">
      <c r="A6989" s="5">
        <v>43719</v>
      </c>
      <c r="B6989">
        <v>74.776054000000002</v>
      </c>
    </row>
    <row r="6990" spans="1:2" x14ac:dyDescent="0.25">
      <c r="A6990" s="5">
        <v>43720</v>
      </c>
      <c r="B6990">
        <v>74.008628999999999</v>
      </c>
    </row>
    <row r="6991" spans="1:2" x14ac:dyDescent="0.25">
      <c r="A6991" s="5">
        <v>43721</v>
      </c>
      <c r="B6991">
        <v>73.381591999999998</v>
      </c>
    </row>
    <row r="6992" spans="1:2" x14ac:dyDescent="0.25">
      <c r="A6992" s="5">
        <v>43724</v>
      </c>
      <c r="B6992">
        <v>73.035315999999995</v>
      </c>
    </row>
    <row r="6993" spans="1:2" x14ac:dyDescent="0.25">
      <c r="A6993" s="5">
        <v>43725</v>
      </c>
      <c r="B6993">
        <v>73.643630999999999</v>
      </c>
    </row>
    <row r="6994" spans="1:2" x14ac:dyDescent="0.25">
      <c r="A6994" s="5">
        <v>43726</v>
      </c>
      <c r="B6994">
        <v>73.840171999999995</v>
      </c>
    </row>
    <row r="6995" spans="1:2" x14ac:dyDescent="0.25">
      <c r="A6995" s="5">
        <v>43727</v>
      </c>
      <c r="B6995">
        <v>73.213134999999994</v>
      </c>
    </row>
    <row r="6996" spans="1:2" x14ac:dyDescent="0.25">
      <c r="A6996" s="5">
        <v>43728</v>
      </c>
      <c r="B6996">
        <v>71.537932999999995</v>
      </c>
    </row>
    <row r="6997" spans="1:2" x14ac:dyDescent="0.25">
      <c r="A6997" s="5">
        <v>43731</v>
      </c>
      <c r="B6997">
        <v>72.286643999999995</v>
      </c>
    </row>
    <row r="6998" spans="1:2" x14ac:dyDescent="0.25">
      <c r="A6998" s="5">
        <v>43732</v>
      </c>
      <c r="B6998">
        <v>70.405533000000005</v>
      </c>
    </row>
    <row r="6999" spans="1:2" x14ac:dyDescent="0.25">
      <c r="A6999" s="5">
        <v>43733</v>
      </c>
      <c r="B6999">
        <v>72.305351000000002</v>
      </c>
    </row>
    <row r="7000" spans="1:2" x14ac:dyDescent="0.25">
      <c r="A7000" s="5">
        <v>43734</v>
      </c>
      <c r="B7000">
        <v>72.389565000000005</v>
      </c>
    </row>
    <row r="7001" spans="1:2" x14ac:dyDescent="0.25">
      <c r="A7001" s="5">
        <v>43735</v>
      </c>
      <c r="B7001">
        <v>71.715744000000001</v>
      </c>
    </row>
    <row r="7002" spans="1:2" x14ac:dyDescent="0.25">
      <c r="A7002" s="5">
        <v>43738</v>
      </c>
      <c r="B7002">
        <v>71.388191000000006</v>
      </c>
    </row>
    <row r="7003" spans="1:2" x14ac:dyDescent="0.25">
      <c r="A7003" s="5">
        <v>43739</v>
      </c>
      <c r="B7003">
        <v>70.630134999999996</v>
      </c>
    </row>
    <row r="7004" spans="1:2" x14ac:dyDescent="0.25">
      <c r="A7004" s="5">
        <v>43740</v>
      </c>
      <c r="B7004">
        <v>69.245041000000001</v>
      </c>
    </row>
    <row r="7005" spans="1:2" x14ac:dyDescent="0.25">
      <c r="A7005" s="5">
        <v>43741</v>
      </c>
      <c r="B7005">
        <v>70.873451000000003</v>
      </c>
    </row>
    <row r="7006" spans="1:2" x14ac:dyDescent="0.25">
      <c r="A7006" s="5">
        <v>43742</v>
      </c>
      <c r="B7006">
        <v>72.520591999999994</v>
      </c>
    </row>
    <row r="7007" spans="1:2" x14ac:dyDescent="0.25">
      <c r="A7007" s="5">
        <v>43745</v>
      </c>
      <c r="B7007">
        <v>71.444344000000001</v>
      </c>
    </row>
    <row r="7008" spans="1:2" x14ac:dyDescent="0.25">
      <c r="A7008" s="5">
        <v>43746</v>
      </c>
      <c r="B7008">
        <v>68.178139000000002</v>
      </c>
    </row>
    <row r="7009" spans="1:2" x14ac:dyDescent="0.25">
      <c r="A7009" s="5">
        <v>43747</v>
      </c>
      <c r="B7009">
        <v>69.581954999999994</v>
      </c>
    </row>
    <row r="7010" spans="1:2" x14ac:dyDescent="0.25">
      <c r="A7010" s="5">
        <v>43748</v>
      </c>
      <c r="B7010">
        <v>70.162200999999996</v>
      </c>
    </row>
    <row r="7011" spans="1:2" x14ac:dyDescent="0.25">
      <c r="A7011" s="5">
        <v>43749</v>
      </c>
      <c r="B7011">
        <v>71.781242000000006</v>
      </c>
    </row>
    <row r="7012" spans="1:2" x14ac:dyDescent="0.25">
      <c r="A7012" s="5">
        <v>43752</v>
      </c>
      <c r="B7012">
        <v>71.406914</v>
      </c>
    </row>
    <row r="7013" spans="1:2" x14ac:dyDescent="0.25">
      <c r="A7013" s="5">
        <v>43753</v>
      </c>
      <c r="B7013">
        <v>72.829430000000002</v>
      </c>
    </row>
    <row r="7014" spans="1:2" x14ac:dyDescent="0.25">
      <c r="A7014" s="5">
        <v>43754</v>
      </c>
      <c r="B7014">
        <v>73.213134999999994</v>
      </c>
    </row>
    <row r="7015" spans="1:2" x14ac:dyDescent="0.25">
      <c r="A7015" s="5">
        <v>43755</v>
      </c>
      <c r="B7015">
        <v>73.905685000000005</v>
      </c>
    </row>
    <row r="7016" spans="1:2" x14ac:dyDescent="0.25">
      <c r="A7016" s="5">
        <v>43756</v>
      </c>
      <c r="B7016">
        <v>72.698402000000002</v>
      </c>
    </row>
    <row r="7017" spans="1:2" x14ac:dyDescent="0.25">
      <c r="A7017" s="5">
        <v>43759</v>
      </c>
      <c r="B7017">
        <v>73.915053999999998</v>
      </c>
    </row>
    <row r="7018" spans="1:2" x14ac:dyDescent="0.25">
      <c r="A7018" s="5">
        <v>43760</v>
      </c>
      <c r="B7018">
        <v>73.437736999999998</v>
      </c>
    </row>
    <row r="7019" spans="1:2" x14ac:dyDescent="0.25">
      <c r="A7019" s="5">
        <v>43761</v>
      </c>
      <c r="B7019">
        <v>72.286643999999995</v>
      </c>
    </row>
    <row r="7020" spans="1:2" x14ac:dyDescent="0.25">
      <c r="A7020" s="5">
        <v>43762</v>
      </c>
      <c r="B7020">
        <v>73.924385000000001</v>
      </c>
    </row>
    <row r="7021" spans="1:2" x14ac:dyDescent="0.25">
      <c r="A7021" s="5">
        <v>43763</v>
      </c>
      <c r="B7021">
        <v>75.028732000000005</v>
      </c>
    </row>
    <row r="7022" spans="1:2" x14ac:dyDescent="0.25">
      <c r="A7022" s="5">
        <v>43766</v>
      </c>
      <c r="B7022">
        <v>77.724036999999996</v>
      </c>
    </row>
    <row r="7023" spans="1:2" x14ac:dyDescent="0.25">
      <c r="A7023" s="5">
        <v>43767</v>
      </c>
      <c r="B7023">
        <v>76.423164</v>
      </c>
    </row>
    <row r="7024" spans="1:2" x14ac:dyDescent="0.25">
      <c r="A7024" s="5">
        <v>43768</v>
      </c>
      <c r="B7024">
        <v>76.217277999999993</v>
      </c>
    </row>
    <row r="7025" spans="1:2" x14ac:dyDescent="0.25">
      <c r="A7025" s="5">
        <v>43769</v>
      </c>
      <c r="B7025">
        <v>75.281402999999997</v>
      </c>
    </row>
    <row r="7026" spans="1:2" x14ac:dyDescent="0.25">
      <c r="A7026" s="5">
        <v>43770</v>
      </c>
      <c r="B7026">
        <v>78.220039</v>
      </c>
    </row>
    <row r="7027" spans="1:2" x14ac:dyDescent="0.25">
      <c r="A7027" s="5">
        <v>43773</v>
      </c>
      <c r="B7027">
        <v>79.633178999999998</v>
      </c>
    </row>
    <row r="7028" spans="1:2" x14ac:dyDescent="0.25">
      <c r="A7028" s="5">
        <v>43774</v>
      </c>
      <c r="B7028">
        <v>79.979468999999995</v>
      </c>
    </row>
    <row r="7029" spans="1:2" x14ac:dyDescent="0.25">
      <c r="A7029" s="5">
        <v>43775</v>
      </c>
      <c r="B7029">
        <v>79.202704999999995</v>
      </c>
    </row>
    <row r="7030" spans="1:2" x14ac:dyDescent="0.25">
      <c r="A7030" s="5">
        <v>43776</v>
      </c>
      <c r="B7030">
        <v>84.209594999999993</v>
      </c>
    </row>
    <row r="7031" spans="1:2" x14ac:dyDescent="0.25">
      <c r="A7031" s="5">
        <v>43777</v>
      </c>
      <c r="B7031">
        <v>87.999877999999995</v>
      </c>
    </row>
    <row r="7032" spans="1:2" x14ac:dyDescent="0.25">
      <c r="A7032" s="5">
        <v>43780</v>
      </c>
      <c r="B7032">
        <v>85.950333000000001</v>
      </c>
    </row>
    <row r="7033" spans="1:2" x14ac:dyDescent="0.25">
      <c r="A7033" s="5">
        <v>43781</v>
      </c>
      <c r="B7033">
        <v>85.136131000000006</v>
      </c>
    </row>
    <row r="7034" spans="1:2" x14ac:dyDescent="0.25">
      <c r="A7034" s="5">
        <v>43782</v>
      </c>
      <c r="B7034">
        <v>84.668175000000005</v>
      </c>
    </row>
    <row r="7035" spans="1:2" x14ac:dyDescent="0.25">
      <c r="A7035" s="5">
        <v>43783</v>
      </c>
      <c r="B7035">
        <v>84.677559000000002</v>
      </c>
    </row>
    <row r="7036" spans="1:2" x14ac:dyDescent="0.25">
      <c r="A7036" s="5">
        <v>43784</v>
      </c>
      <c r="B7036">
        <v>84.986382000000006</v>
      </c>
    </row>
    <row r="7037" spans="1:2" x14ac:dyDescent="0.25">
      <c r="A7037" s="5">
        <v>43787</v>
      </c>
      <c r="B7037">
        <v>84.677559000000002</v>
      </c>
    </row>
    <row r="7038" spans="1:2" x14ac:dyDescent="0.25">
      <c r="A7038" s="5">
        <v>43788</v>
      </c>
      <c r="B7038">
        <v>82.319145000000006</v>
      </c>
    </row>
    <row r="7039" spans="1:2" x14ac:dyDescent="0.25">
      <c r="A7039" s="5">
        <v>43789</v>
      </c>
      <c r="B7039">
        <v>80.129219000000006</v>
      </c>
    </row>
    <row r="7040" spans="1:2" x14ac:dyDescent="0.25">
      <c r="A7040" s="5">
        <v>43790</v>
      </c>
      <c r="B7040">
        <v>79.651909000000003</v>
      </c>
    </row>
    <row r="7041" spans="1:2" x14ac:dyDescent="0.25">
      <c r="A7041" s="5">
        <v>43791</v>
      </c>
      <c r="B7041">
        <v>79.446029999999993</v>
      </c>
    </row>
    <row r="7042" spans="1:2" x14ac:dyDescent="0.25">
      <c r="A7042" s="5">
        <v>43794</v>
      </c>
      <c r="B7042">
        <v>79.820389000000006</v>
      </c>
    </row>
    <row r="7043" spans="1:2" x14ac:dyDescent="0.25">
      <c r="A7043" s="5">
        <v>43795</v>
      </c>
      <c r="B7043">
        <v>79.202704999999995</v>
      </c>
    </row>
    <row r="7044" spans="1:2" x14ac:dyDescent="0.25">
      <c r="A7044" s="5">
        <v>43796</v>
      </c>
      <c r="B7044">
        <v>79.361808999999994</v>
      </c>
    </row>
    <row r="7045" spans="1:2" x14ac:dyDescent="0.25">
      <c r="A7045" s="5">
        <v>43798</v>
      </c>
      <c r="B7045">
        <v>78.191978000000006</v>
      </c>
    </row>
    <row r="7046" spans="1:2" x14ac:dyDescent="0.25">
      <c r="A7046" s="5">
        <v>43801</v>
      </c>
      <c r="B7046">
        <v>77.162497999999999</v>
      </c>
    </row>
    <row r="7047" spans="1:2" x14ac:dyDescent="0.25">
      <c r="A7047" s="5">
        <v>43802</v>
      </c>
      <c r="B7047">
        <v>75.412430000000001</v>
      </c>
    </row>
    <row r="7048" spans="1:2" x14ac:dyDescent="0.25">
      <c r="A7048" s="5">
        <v>43803</v>
      </c>
      <c r="B7048">
        <v>77.411873</v>
      </c>
    </row>
    <row r="7049" spans="1:2" x14ac:dyDescent="0.25">
      <c r="A7049" s="5">
        <v>43804</v>
      </c>
      <c r="B7049">
        <v>77.892844999999994</v>
      </c>
    </row>
    <row r="7050" spans="1:2" x14ac:dyDescent="0.25">
      <c r="A7050" s="5">
        <v>43805</v>
      </c>
      <c r="B7050">
        <v>79.052909999999997</v>
      </c>
    </row>
    <row r="7051" spans="1:2" x14ac:dyDescent="0.25">
      <c r="A7051" s="5">
        <v>43808</v>
      </c>
      <c r="B7051">
        <v>80.090332000000004</v>
      </c>
    </row>
    <row r="7052" spans="1:2" x14ac:dyDescent="0.25">
      <c r="A7052" s="5">
        <v>43809</v>
      </c>
      <c r="B7052">
        <v>79.335846000000004</v>
      </c>
    </row>
    <row r="7053" spans="1:2" x14ac:dyDescent="0.25">
      <c r="A7053" s="5">
        <v>43810</v>
      </c>
      <c r="B7053">
        <v>82.042603</v>
      </c>
    </row>
    <row r="7054" spans="1:2" x14ac:dyDescent="0.25">
      <c r="A7054" s="5">
        <v>43811</v>
      </c>
      <c r="B7054">
        <v>83.985450999999998</v>
      </c>
    </row>
    <row r="7055" spans="1:2" x14ac:dyDescent="0.25">
      <c r="A7055" s="5">
        <v>43812</v>
      </c>
      <c r="B7055">
        <v>82.834830999999994</v>
      </c>
    </row>
    <row r="7056" spans="1:2" x14ac:dyDescent="0.25">
      <c r="A7056" s="5">
        <v>43815</v>
      </c>
      <c r="B7056">
        <v>83.400718999999995</v>
      </c>
    </row>
    <row r="7057" spans="1:2" x14ac:dyDescent="0.25">
      <c r="A7057" s="5">
        <v>43816</v>
      </c>
      <c r="B7057">
        <v>83.296974000000006</v>
      </c>
    </row>
    <row r="7058" spans="1:2" x14ac:dyDescent="0.25">
      <c r="A7058" s="5">
        <v>43817</v>
      </c>
      <c r="B7058">
        <v>82.976318000000006</v>
      </c>
    </row>
    <row r="7059" spans="1:2" x14ac:dyDescent="0.25">
      <c r="A7059" s="5">
        <v>43818</v>
      </c>
      <c r="B7059">
        <v>83.457313999999997</v>
      </c>
    </row>
    <row r="7060" spans="1:2" x14ac:dyDescent="0.25">
      <c r="A7060" s="5">
        <v>43819</v>
      </c>
      <c r="B7060">
        <v>83.796836999999996</v>
      </c>
    </row>
    <row r="7061" spans="1:2" x14ac:dyDescent="0.25">
      <c r="A7061" s="5">
        <v>43822</v>
      </c>
      <c r="B7061">
        <v>83.419585999999995</v>
      </c>
    </row>
    <row r="7062" spans="1:2" x14ac:dyDescent="0.25">
      <c r="A7062" s="5">
        <v>43823</v>
      </c>
      <c r="B7062">
        <v>83.721374999999995</v>
      </c>
    </row>
    <row r="7063" spans="1:2" x14ac:dyDescent="0.25">
      <c r="A7063" s="5">
        <v>43825</v>
      </c>
      <c r="B7063">
        <v>83.372414000000006</v>
      </c>
    </row>
    <row r="7064" spans="1:2" x14ac:dyDescent="0.25">
      <c r="A7064" s="5">
        <v>43826</v>
      </c>
      <c r="B7064">
        <v>83.749679999999998</v>
      </c>
    </row>
    <row r="7065" spans="1:2" x14ac:dyDescent="0.25">
      <c r="A7065" s="5">
        <v>43829</v>
      </c>
      <c r="B7065">
        <v>83.400718999999995</v>
      </c>
    </row>
    <row r="7066" spans="1:2" x14ac:dyDescent="0.25">
      <c r="A7066" s="5">
        <v>43830</v>
      </c>
      <c r="B7066">
        <v>83.212097</v>
      </c>
    </row>
    <row r="7067" spans="1:2" x14ac:dyDescent="0.25">
      <c r="A7067" s="5">
        <v>43832</v>
      </c>
      <c r="B7067">
        <v>83.645927</v>
      </c>
    </row>
    <row r="7068" spans="1:2" x14ac:dyDescent="0.25">
      <c r="A7068" s="5">
        <v>43833</v>
      </c>
      <c r="B7068">
        <v>82.070908000000003</v>
      </c>
    </row>
    <row r="7069" spans="1:2" x14ac:dyDescent="0.25">
      <c r="A7069" s="5">
        <v>43836</v>
      </c>
      <c r="B7069">
        <v>81.589920000000006</v>
      </c>
    </row>
    <row r="7070" spans="1:2" x14ac:dyDescent="0.25">
      <c r="A7070" s="5">
        <v>43837</v>
      </c>
      <c r="B7070">
        <v>83.910004000000001</v>
      </c>
    </row>
    <row r="7071" spans="1:2" x14ac:dyDescent="0.25">
      <c r="A7071" s="5">
        <v>43838</v>
      </c>
      <c r="B7071">
        <v>83.664803000000006</v>
      </c>
    </row>
    <row r="7072" spans="1:2" x14ac:dyDescent="0.25">
      <c r="A7072" s="5">
        <v>43839</v>
      </c>
      <c r="B7072">
        <v>84.796554999999998</v>
      </c>
    </row>
    <row r="7073" spans="1:2" x14ac:dyDescent="0.25">
      <c r="A7073" s="5">
        <v>43840</v>
      </c>
      <c r="B7073">
        <v>85.126639999999995</v>
      </c>
    </row>
    <row r="7074" spans="1:2" x14ac:dyDescent="0.25">
      <c r="A7074" s="5">
        <v>43843</v>
      </c>
      <c r="B7074">
        <v>85.796272000000002</v>
      </c>
    </row>
    <row r="7075" spans="1:2" x14ac:dyDescent="0.25">
      <c r="A7075" s="5">
        <v>43844</v>
      </c>
      <c r="B7075">
        <v>85.409569000000005</v>
      </c>
    </row>
    <row r="7076" spans="1:2" x14ac:dyDescent="0.25">
      <c r="A7076" s="5">
        <v>43845</v>
      </c>
      <c r="B7076">
        <v>84.570189999999997</v>
      </c>
    </row>
    <row r="7077" spans="1:2" x14ac:dyDescent="0.25">
      <c r="A7077" s="5">
        <v>43846</v>
      </c>
      <c r="B7077">
        <v>86.569626</v>
      </c>
    </row>
    <row r="7078" spans="1:2" x14ac:dyDescent="0.25">
      <c r="A7078" s="5">
        <v>43847</v>
      </c>
      <c r="B7078">
        <v>90.455314999999999</v>
      </c>
    </row>
    <row r="7079" spans="1:2" x14ac:dyDescent="0.25">
      <c r="A7079" s="5">
        <v>43851</v>
      </c>
      <c r="B7079">
        <v>89.163230999999996</v>
      </c>
    </row>
    <row r="7080" spans="1:2" x14ac:dyDescent="0.25">
      <c r="A7080" s="5">
        <v>43852</v>
      </c>
      <c r="B7080">
        <v>87.682502999999997</v>
      </c>
    </row>
    <row r="7081" spans="1:2" x14ac:dyDescent="0.25">
      <c r="A7081" s="5">
        <v>43853</v>
      </c>
      <c r="B7081">
        <v>86.767685</v>
      </c>
    </row>
    <row r="7082" spans="1:2" x14ac:dyDescent="0.25">
      <c r="A7082" s="5">
        <v>43854</v>
      </c>
      <c r="B7082">
        <v>84.551322999999996</v>
      </c>
    </row>
    <row r="7083" spans="1:2" x14ac:dyDescent="0.25">
      <c r="A7083" s="5">
        <v>43857</v>
      </c>
      <c r="B7083">
        <v>82.099204999999998</v>
      </c>
    </row>
    <row r="7084" spans="1:2" x14ac:dyDescent="0.25">
      <c r="A7084" s="5">
        <v>43858</v>
      </c>
      <c r="B7084">
        <v>84.079780999999997</v>
      </c>
    </row>
    <row r="7085" spans="1:2" x14ac:dyDescent="0.25">
      <c r="A7085" s="5">
        <v>43859</v>
      </c>
      <c r="B7085">
        <v>83.212097</v>
      </c>
    </row>
    <row r="7086" spans="1:2" x14ac:dyDescent="0.25">
      <c r="A7086" s="5">
        <v>43860</v>
      </c>
      <c r="B7086">
        <v>82.787689</v>
      </c>
    </row>
    <row r="7087" spans="1:2" x14ac:dyDescent="0.25">
      <c r="A7087" s="5">
        <v>43861</v>
      </c>
      <c r="B7087">
        <v>80.458152999999996</v>
      </c>
    </row>
    <row r="7088" spans="1:2" x14ac:dyDescent="0.25">
      <c r="A7088" s="5">
        <v>43864</v>
      </c>
      <c r="B7088">
        <v>81.561629999999994</v>
      </c>
    </row>
    <row r="7089" spans="1:2" x14ac:dyDescent="0.25">
      <c r="A7089" s="5">
        <v>43865</v>
      </c>
      <c r="B7089">
        <v>83.872283999999993</v>
      </c>
    </row>
    <row r="7090" spans="1:2" x14ac:dyDescent="0.25">
      <c r="A7090" s="5">
        <v>43866</v>
      </c>
      <c r="B7090">
        <v>85.739677</v>
      </c>
    </row>
    <row r="7091" spans="1:2" x14ac:dyDescent="0.25">
      <c r="A7091" s="5">
        <v>43867</v>
      </c>
      <c r="B7091">
        <v>85.456740999999994</v>
      </c>
    </row>
    <row r="7092" spans="1:2" x14ac:dyDescent="0.25">
      <c r="A7092" s="5">
        <v>43868</v>
      </c>
      <c r="B7092">
        <v>82.448143000000002</v>
      </c>
    </row>
    <row r="7093" spans="1:2" x14ac:dyDescent="0.25">
      <c r="A7093" s="5">
        <v>43871</v>
      </c>
      <c r="B7093">
        <v>83.561035000000004</v>
      </c>
    </row>
    <row r="7094" spans="1:2" x14ac:dyDescent="0.25">
      <c r="A7094" s="5">
        <v>43872</v>
      </c>
      <c r="B7094">
        <v>84.881432000000004</v>
      </c>
    </row>
    <row r="7095" spans="1:2" x14ac:dyDescent="0.25">
      <c r="A7095" s="5">
        <v>43873</v>
      </c>
      <c r="B7095">
        <v>86.503592999999995</v>
      </c>
    </row>
    <row r="7096" spans="1:2" x14ac:dyDescent="0.25">
      <c r="A7096" s="5">
        <v>43874</v>
      </c>
      <c r="B7096">
        <v>84.909721000000005</v>
      </c>
    </row>
    <row r="7097" spans="1:2" x14ac:dyDescent="0.25">
      <c r="A7097" s="5">
        <v>43875</v>
      </c>
      <c r="B7097">
        <v>84.504165999999998</v>
      </c>
    </row>
    <row r="7098" spans="1:2" x14ac:dyDescent="0.25">
      <c r="A7098" s="5">
        <v>43879</v>
      </c>
      <c r="B7098">
        <v>83.023467999999994</v>
      </c>
    </row>
    <row r="7099" spans="1:2" x14ac:dyDescent="0.25">
      <c r="A7099" s="5">
        <v>43880</v>
      </c>
      <c r="B7099">
        <v>85.409569000000005</v>
      </c>
    </row>
    <row r="7100" spans="1:2" x14ac:dyDescent="0.25">
      <c r="A7100" s="5">
        <v>43881</v>
      </c>
      <c r="B7100">
        <v>84.381576999999993</v>
      </c>
    </row>
    <row r="7101" spans="1:2" x14ac:dyDescent="0.25">
      <c r="A7101" s="5">
        <v>43882</v>
      </c>
      <c r="B7101">
        <v>82.080337999999998</v>
      </c>
    </row>
    <row r="7102" spans="1:2" x14ac:dyDescent="0.25">
      <c r="A7102" s="5">
        <v>43885</v>
      </c>
      <c r="B7102">
        <v>78.581344999999999</v>
      </c>
    </row>
    <row r="7103" spans="1:2" x14ac:dyDescent="0.25">
      <c r="A7103" s="5">
        <v>43886</v>
      </c>
      <c r="B7103">
        <v>75.657646</v>
      </c>
    </row>
    <row r="7104" spans="1:2" x14ac:dyDescent="0.25">
      <c r="A7104" s="5">
        <v>43887</v>
      </c>
      <c r="B7104">
        <v>75.129493999999994</v>
      </c>
    </row>
    <row r="7105" spans="1:2" x14ac:dyDescent="0.25">
      <c r="A7105" s="5">
        <v>43888</v>
      </c>
      <c r="B7105">
        <v>71.621063000000007</v>
      </c>
    </row>
    <row r="7106" spans="1:2" x14ac:dyDescent="0.25">
      <c r="A7106" s="5">
        <v>43889</v>
      </c>
      <c r="B7106">
        <v>73.846847999999994</v>
      </c>
    </row>
    <row r="7107" spans="1:2" x14ac:dyDescent="0.25">
      <c r="A7107" s="5">
        <v>43892</v>
      </c>
      <c r="B7107">
        <v>75.978309999999993</v>
      </c>
    </row>
    <row r="7108" spans="1:2" x14ac:dyDescent="0.25">
      <c r="A7108" s="5">
        <v>43893</v>
      </c>
      <c r="B7108">
        <v>74.092040999999995</v>
      </c>
    </row>
    <row r="7109" spans="1:2" x14ac:dyDescent="0.25">
      <c r="A7109" s="5">
        <v>43894</v>
      </c>
      <c r="B7109">
        <v>77.761497000000006</v>
      </c>
    </row>
    <row r="7110" spans="1:2" x14ac:dyDescent="0.25">
      <c r="A7110" s="5">
        <v>43895</v>
      </c>
      <c r="B7110">
        <v>75.261345000000006</v>
      </c>
    </row>
    <row r="7111" spans="1:2" x14ac:dyDescent="0.25">
      <c r="A7111" s="5">
        <v>43896</v>
      </c>
      <c r="B7111">
        <v>73.645256000000003</v>
      </c>
    </row>
    <row r="7112" spans="1:2" x14ac:dyDescent="0.25">
      <c r="A7112" s="5">
        <v>43899</v>
      </c>
      <c r="B7112">
        <v>69.053719000000001</v>
      </c>
    </row>
    <row r="7113" spans="1:2" x14ac:dyDescent="0.25">
      <c r="A7113" s="5">
        <v>43900</v>
      </c>
      <c r="B7113">
        <v>74.995154999999997</v>
      </c>
    </row>
    <row r="7114" spans="1:2" x14ac:dyDescent="0.25">
      <c r="A7114" s="5">
        <v>43901</v>
      </c>
      <c r="B7114">
        <v>70.935965999999993</v>
      </c>
    </row>
    <row r="7115" spans="1:2" x14ac:dyDescent="0.25">
      <c r="A7115" s="5">
        <v>43902</v>
      </c>
      <c r="B7115">
        <v>63.711185</v>
      </c>
    </row>
    <row r="7116" spans="1:2" x14ac:dyDescent="0.25">
      <c r="A7116" s="5">
        <v>43903</v>
      </c>
      <c r="B7116">
        <v>72.067206999999996</v>
      </c>
    </row>
    <row r="7117" spans="1:2" x14ac:dyDescent="0.25">
      <c r="A7117" s="5">
        <v>43906</v>
      </c>
      <c r="B7117">
        <v>61.296585</v>
      </c>
    </row>
    <row r="7118" spans="1:2" x14ac:dyDescent="0.25">
      <c r="A7118" s="5">
        <v>43907</v>
      </c>
      <c r="B7118">
        <v>65.460350000000005</v>
      </c>
    </row>
    <row r="7119" spans="1:2" x14ac:dyDescent="0.25">
      <c r="A7119" s="5">
        <v>43908</v>
      </c>
      <c r="B7119">
        <v>58.16901</v>
      </c>
    </row>
    <row r="7120" spans="1:2" x14ac:dyDescent="0.25">
      <c r="A7120" s="5">
        <v>43909</v>
      </c>
      <c r="B7120">
        <v>61.790916000000003</v>
      </c>
    </row>
    <row r="7121" spans="1:2" x14ac:dyDescent="0.25">
      <c r="A7121" s="5">
        <v>43910</v>
      </c>
      <c r="B7121">
        <v>57.902839999999998</v>
      </c>
    </row>
    <row r="7122" spans="1:2" x14ac:dyDescent="0.25">
      <c r="A7122" s="5">
        <v>43913</v>
      </c>
      <c r="B7122">
        <v>59.442852000000002</v>
      </c>
    </row>
    <row r="7123" spans="1:2" x14ac:dyDescent="0.25">
      <c r="A7123" s="5">
        <v>43914</v>
      </c>
      <c r="B7123">
        <v>62.228198999999996</v>
      </c>
    </row>
    <row r="7124" spans="1:2" x14ac:dyDescent="0.25">
      <c r="A7124" s="5">
        <v>43915</v>
      </c>
      <c r="B7124">
        <v>59.965705999999997</v>
      </c>
    </row>
    <row r="7125" spans="1:2" x14ac:dyDescent="0.25">
      <c r="A7125" s="5">
        <v>43916</v>
      </c>
      <c r="B7125">
        <v>65.574425000000005</v>
      </c>
    </row>
    <row r="7126" spans="1:2" x14ac:dyDescent="0.25">
      <c r="A7126" s="5">
        <v>43917</v>
      </c>
      <c r="B7126">
        <v>63.302418000000003</v>
      </c>
    </row>
    <row r="7127" spans="1:2" x14ac:dyDescent="0.25">
      <c r="A7127" s="5">
        <v>43920</v>
      </c>
      <c r="B7127">
        <v>65.621955999999997</v>
      </c>
    </row>
    <row r="7128" spans="1:2" x14ac:dyDescent="0.25">
      <c r="A7128" s="5">
        <v>43921</v>
      </c>
      <c r="B7128">
        <v>64.310066000000006</v>
      </c>
    </row>
    <row r="7129" spans="1:2" x14ac:dyDescent="0.25">
      <c r="A7129" s="5">
        <v>43922</v>
      </c>
      <c r="B7129">
        <v>62.646469000000003</v>
      </c>
    </row>
    <row r="7130" spans="1:2" x14ac:dyDescent="0.25">
      <c r="A7130" s="5">
        <v>43923</v>
      </c>
      <c r="B7130">
        <v>64.661811999999998</v>
      </c>
    </row>
    <row r="7131" spans="1:2" x14ac:dyDescent="0.25">
      <c r="A7131" s="5">
        <v>43924</v>
      </c>
      <c r="B7131">
        <v>62.00956</v>
      </c>
    </row>
    <row r="7132" spans="1:2" x14ac:dyDescent="0.25">
      <c r="A7132" s="5">
        <v>43927</v>
      </c>
      <c r="B7132">
        <v>67.447151000000005</v>
      </c>
    </row>
    <row r="7133" spans="1:2" x14ac:dyDescent="0.25">
      <c r="A7133" s="5">
        <v>43928</v>
      </c>
      <c r="B7133">
        <v>69.139281999999994</v>
      </c>
    </row>
    <row r="7134" spans="1:2" x14ac:dyDescent="0.25">
      <c r="A7134" s="5">
        <v>43929</v>
      </c>
      <c r="B7134">
        <v>69.709655999999995</v>
      </c>
    </row>
    <row r="7135" spans="1:2" x14ac:dyDescent="0.25">
      <c r="A7135" s="5">
        <v>43930</v>
      </c>
      <c r="B7135">
        <v>68.046059</v>
      </c>
    </row>
    <row r="7136" spans="1:2" x14ac:dyDescent="0.25">
      <c r="A7136" s="5">
        <v>43934</v>
      </c>
      <c r="B7136">
        <v>69.681122000000002</v>
      </c>
    </row>
    <row r="7137" spans="1:2" x14ac:dyDescent="0.25">
      <c r="A7137" s="5">
        <v>43935</v>
      </c>
      <c r="B7137">
        <v>73.721305999999998</v>
      </c>
    </row>
    <row r="7138" spans="1:2" x14ac:dyDescent="0.25">
      <c r="A7138" s="5">
        <v>43936</v>
      </c>
      <c r="B7138">
        <v>72.238335000000006</v>
      </c>
    </row>
    <row r="7139" spans="1:2" x14ac:dyDescent="0.25">
      <c r="A7139" s="5">
        <v>43937</v>
      </c>
      <c r="B7139">
        <v>73.055869999999999</v>
      </c>
    </row>
    <row r="7140" spans="1:2" x14ac:dyDescent="0.25">
      <c r="A7140" s="5">
        <v>43938</v>
      </c>
      <c r="B7140">
        <v>72.409439000000006</v>
      </c>
    </row>
    <row r="7141" spans="1:2" x14ac:dyDescent="0.25">
      <c r="A7141" s="5">
        <v>43941</v>
      </c>
      <c r="B7141">
        <v>70.641281000000006</v>
      </c>
    </row>
    <row r="7142" spans="1:2" x14ac:dyDescent="0.25">
      <c r="A7142" s="5">
        <v>43942</v>
      </c>
      <c r="B7142">
        <v>68.293212999999994</v>
      </c>
    </row>
    <row r="7143" spans="1:2" x14ac:dyDescent="0.25">
      <c r="A7143" s="5">
        <v>43943</v>
      </c>
      <c r="B7143">
        <v>70.993003999999999</v>
      </c>
    </row>
    <row r="7144" spans="1:2" x14ac:dyDescent="0.25">
      <c r="A7144" s="5">
        <v>43944</v>
      </c>
      <c r="B7144">
        <v>70.165947000000003</v>
      </c>
    </row>
    <row r="7145" spans="1:2" x14ac:dyDescent="0.25">
      <c r="A7145" s="5">
        <v>43945</v>
      </c>
      <c r="B7145">
        <v>72.285858000000005</v>
      </c>
    </row>
    <row r="7146" spans="1:2" x14ac:dyDescent="0.25">
      <c r="A7146" s="5">
        <v>43948</v>
      </c>
      <c r="B7146">
        <v>72.228820999999996</v>
      </c>
    </row>
    <row r="7147" spans="1:2" x14ac:dyDescent="0.25">
      <c r="A7147" s="5">
        <v>43949</v>
      </c>
      <c r="B7147">
        <v>71.572884000000002</v>
      </c>
    </row>
    <row r="7148" spans="1:2" x14ac:dyDescent="0.25">
      <c r="A7148" s="5">
        <v>43950</v>
      </c>
      <c r="B7148">
        <v>75.071205000000006</v>
      </c>
    </row>
    <row r="7149" spans="1:2" x14ac:dyDescent="0.25">
      <c r="A7149" s="5">
        <v>43951</v>
      </c>
      <c r="B7149">
        <v>74.786017999999999</v>
      </c>
    </row>
    <row r="7150" spans="1:2" x14ac:dyDescent="0.25">
      <c r="A7150" s="5">
        <v>43952</v>
      </c>
      <c r="B7150">
        <v>71.905593999999994</v>
      </c>
    </row>
    <row r="7151" spans="1:2" x14ac:dyDescent="0.25">
      <c r="A7151" s="5">
        <v>43955</v>
      </c>
      <c r="B7151">
        <v>71.943634000000003</v>
      </c>
    </row>
    <row r="7152" spans="1:2" x14ac:dyDescent="0.25">
      <c r="A7152" s="5">
        <v>43956</v>
      </c>
      <c r="B7152">
        <v>73.797340000000005</v>
      </c>
    </row>
    <row r="7153" spans="1:2" x14ac:dyDescent="0.25">
      <c r="A7153" s="5">
        <v>43957</v>
      </c>
      <c r="B7153">
        <v>74.976134999999999</v>
      </c>
    </row>
    <row r="7154" spans="1:2" x14ac:dyDescent="0.25">
      <c r="A7154" s="5">
        <v>43958</v>
      </c>
      <c r="B7154">
        <v>74.938118000000003</v>
      </c>
    </row>
    <row r="7155" spans="1:2" x14ac:dyDescent="0.25">
      <c r="A7155" s="5">
        <v>43959</v>
      </c>
      <c r="B7155">
        <v>76.582695000000001</v>
      </c>
    </row>
    <row r="7156" spans="1:2" x14ac:dyDescent="0.25">
      <c r="A7156" s="5">
        <v>43962</v>
      </c>
      <c r="B7156">
        <v>76.506659999999997</v>
      </c>
    </row>
    <row r="7157" spans="1:2" x14ac:dyDescent="0.25">
      <c r="A7157" s="5">
        <v>43963</v>
      </c>
      <c r="B7157">
        <v>74.548362999999995</v>
      </c>
    </row>
    <row r="7158" spans="1:2" x14ac:dyDescent="0.25">
      <c r="A7158" s="5">
        <v>43964</v>
      </c>
      <c r="B7158">
        <v>74.149094000000005</v>
      </c>
    </row>
    <row r="7159" spans="1:2" x14ac:dyDescent="0.25">
      <c r="A7159" s="5">
        <v>43965</v>
      </c>
      <c r="B7159">
        <v>75.926772999999997</v>
      </c>
    </row>
    <row r="7160" spans="1:2" x14ac:dyDescent="0.25">
      <c r="A7160" s="5">
        <v>43966</v>
      </c>
      <c r="B7160">
        <v>72.029182000000006</v>
      </c>
    </row>
    <row r="7161" spans="1:2" x14ac:dyDescent="0.25">
      <c r="A7161" s="5">
        <v>43969</v>
      </c>
      <c r="B7161">
        <v>75.993317000000005</v>
      </c>
    </row>
    <row r="7162" spans="1:2" x14ac:dyDescent="0.25">
      <c r="A7162" s="5">
        <v>43970</v>
      </c>
      <c r="B7162">
        <v>74.234641999999994</v>
      </c>
    </row>
    <row r="7163" spans="1:2" x14ac:dyDescent="0.25">
      <c r="A7163" s="5">
        <v>43971</v>
      </c>
      <c r="B7163">
        <v>76.649253999999999</v>
      </c>
    </row>
    <row r="7164" spans="1:2" x14ac:dyDescent="0.25">
      <c r="A7164" s="5">
        <v>43972</v>
      </c>
      <c r="B7164">
        <v>74.149094000000005</v>
      </c>
    </row>
    <row r="7165" spans="1:2" x14ac:dyDescent="0.25">
      <c r="A7165" s="5">
        <v>43973</v>
      </c>
      <c r="B7165">
        <v>74.814528999999993</v>
      </c>
    </row>
    <row r="7166" spans="1:2" x14ac:dyDescent="0.25">
      <c r="A7166" s="5">
        <v>43977</v>
      </c>
      <c r="B7166">
        <v>74.168105999999995</v>
      </c>
    </row>
    <row r="7167" spans="1:2" x14ac:dyDescent="0.25">
      <c r="A7167" s="5">
        <v>43978</v>
      </c>
      <c r="B7167">
        <v>75.375404000000003</v>
      </c>
    </row>
    <row r="7168" spans="1:2" x14ac:dyDescent="0.25">
      <c r="A7168" s="5">
        <v>43979</v>
      </c>
      <c r="B7168">
        <v>74.253653999999997</v>
      </c>
    </row>
    <row r="7169" spans="1:2" x14ac:dyDescent="0.25">
      <c r="A7169" s="5">
        <v>43980</v>
      </c>
      <c r="B7169">
        <v>76.886893999999998</v>
      </c>
    </row>
    <row r="7170" spans="1:2" x14ac:dyDescent="0.25">
      <c r="A7170" s="5">
        <v>43983</v>
      </c>
      <c r="B7170">
        <v>75.793678</v>
      </c>
    </row>
    <row r="7171" spans="1:2" x14ac:dyDescent="0.25">
      <c r="A7171" s="5">
        <v>43984</v>
      </c>
      <c r="B7171">
        <v>80.451767000000004</v>
      </c>
    </row>
    <row r="7172" spans="1:2" x14ac:dyDescent="0.25">
      <c r="A7172" s="5">
        <v>43985</v>
      </c>
      <c r="B7172">
        <v>80.576301999999998</v>
      </c>
    </row>
    <row r="7173" spans="1:2" x14ac:dyDescent="0.25">
      <c r="A7173" s="5">
        <v>43986</v>
      </c>
      <c r="B7173">
        <v>82.425217000000004</v>
      </c>
    </row>
    <row r="7174" spans="1:2" x14ac:dyDescent="0.25">
      <c r="A7174" s="5">
        <v>43987</v>
      </c>
      <c r="B7174">
        <v>84.829757999999998</v>
      </c>
    </row>
    <row r="7175" spans="1:2" x14ac:dyDescent="0.25">
      <c r="A7175" s="5">
        <v>43990</v>
      </c>
      <c r="B7175">
        <v>87.531281000000007</v>
      </c>
    </row>
    <row r="7176" spans="1:2" x14ac:dyDescent="0.25">
      <c r="A7176" s="5">
        <v>43991</v>
      </c>
      <c r="B7176">
        <v>85.979347000000004</v>
      </c>
    </row>
    <row r="7177" spans="1:2" x14ac:dyDescent="0.25">
      <c r="A7177" s="5">
        <v>43992</v>
      </c>
      <c r="B7177">
        <v>87.186424000000002</v>
      </c>
    </row>
    <row r="7178" spans="1:2" x14ac:dyDescent="0.25">
      <c r="A7178" s="5">
        <v>43993</v>
      </c>
      <c r="B7178">
        <v>80.490074000000007</v>
      </c>
    </row>
    <row r="7179" spans="1:2" x14ac:dyDescent="0.25">
      <c r="A7179" s="5">
        <v>43994</v>
      </c>
      <c r="B7179">
        <v>81.658828999999997</v>
      </c>
    </row>
    <row r="7180" spans="1:2" x14ac:dyDescent="0.25">
      <c r="A7180" s="5">
        <v>43997</v>
      </c>
      <c r="B7180">
        <v>82.760529000000005</v>
      </c>
    </row>
    <row r="7181" spans="1:2" x14ac:dyDescent="0.25">
      <c r="A7181" s="5">
        <v>43998</v>
      </c>
      <c r="B7181">
        <v>85.759010000000004</v>
      </c>
    </row>
    <row r="7182" spans="1:2" x14ac:dyDescent="0.25">
      <c r="A7182" s="5">
        <v>43999</v>
      </c>
      <c r="B7182">
        <v>86.161354000000003</v>
      </c>
    </row>
    <row r="7183" spans="1:2" x14ac:dyDescent="0.25">
      <c r="A7183" s="5">
        <v>44000</v>
      </c>
      <c r="B7183">
        <v>86.142196999999996</v>
      </c>
    </row>
    <row r="7184" spans="1:2" x14ac:dyDescent="0.25">
      <c r="A7184" s="5">
        <v>44001</v>
      </c>
      <c r="B7184">
        <v>85.078834999999998</v>
      </c>
    </row>
    <row r="7185" spans="1:2" x14ac:dyDescent="0.25">
      <c r="A7185" s="5">
        <v>44004</v>
      </c>
      <c r="B7185">
        <v>85.385399000000007</v>
      </c>
    </row>
    <row r="7186" spans="1:2" x14ac:dyDescent="0.25">
      <c r="A7186" s="5">
        <v>44005</v>
      </c>
      <c r="B7186">
        <v>85.596153000000001</v>
      </c>
    </row>
    <row r="7187" spans="1:2" x14ac:dyDescent="0.25">
      <c r="A7187" s="5">
        <v>44006</v>
      </c>
      <c r="B7187">
        <v>85.394988999999995</v>
      </c>
    </row>
    <row r="7188" spans="1:2" x14ac:dyDescent="0.25">
      <c r="A7188" s="5">
        <v>44007</v>
      </c>
      <c r="B7188">
        <v>85.222533999999996</v>
      </c>
    </row>
    <row r="7189" spans="1:2" x14ac:dyDescent="0.25">
      <c r="A7189" s="5">
        <v>44008</v>
      </c>
      <c r="B7189">
        <v>84.322021000000007</v>
      </c>
    </row>
    <row r="7190" spans="1:2" x14ac:dyDescent="0.25">
      <c r="A7190" s="5">
        <v>44011</v>
      </c>
      <c r="B7190">
        <v>85.270438999999996</v>
      </c>
    </row>
    <row r="7191" spans="1:2" x14ac:dyDescent="0.25">
      <c r="A7191" s="5">
        <v>44012</v>
      </c>
      <c r="B7191">
        <v>87.378005999999999</v>
      </c>
    </row>
    <row r="7192" spans="1:2" x14ac:dyDescent="0.25">
      <c r="A7192" s="5">
        <v>44013</v>
      </c>
      <c r="B7192">
        <v>86.008087000000003</v>
      </c>
    </row>
    <row r="7193" spans="1:2" x14ac:dyDescent="0.25">
      <c r="A7193" s="5">
        <v>44014</v>
      </c>
      <c r="B7193">
        <v>88.010283999999999</v>
      </c>
    </row>
    <row r="7194" spans="1:2" x14ac:dyDescent="0.25">
      <c r="A7194" s="5">
        <v>44018</v>
      </c>
      <c r="B7194">
        <v>89.016174000000007</v>
      </c>
    </row>
    <row r="7195" spans="1:2" x14ac:dyDescent="0.25">
      <c r="A7195" s="5">
        <v>44019</v>
      </c>
      <c r="B7195">
        <v>88.268935999999997</v>
      </c>
    </row>
    <row r="7196" spans="1:2" x14ac:dyDescent="0.25">
      <c r="A7196" s="5">
        <v>44020</v>
      </c>
      <c r="B7196">
        <v>89.600532999999999</v>
      </c>
    </row>
    <row r="7197" spans="1:2" x14ac:dyDescent="0.25">
      <c r="A7197" s="5">
        <v>44021</v>
      </c>
      <c r="B7197">
        <v>89.332306000000003</v>
      </c>
    </row>
    <row r="7198" spans="1:2" x14ac:dyDescent="0.25">
      <c r="A7198" s="5">
        <v>44022</v>
      </c>
      <c r="B7198">
        <v>88.623390000000001</v>
      </c>
    </row>
    <row r="7199" spans="1:2" x14ac:dyDescent="0.25">
      <c r="A7199" s="5">
        <v>44025</v>
      </c>
      <c r="B7199">
        <v>87.492973000000006</v>
      </c>
    </row>
    <row r="7200" spans="1:2" x14ac:dyDescent="0.25">
      <c r="A7200" s="5">
        <v>44026</v>
      </c>
      <c r="B7200">
        <v>88.498856000000004</v>
      </c>
    </row>
    <row r="7201" spans="1:2" x14ac:dyDescent="0.25">
      <c r="A7201" s="5">
        <v>44027</v>
      </c>
      <c r="B7201">
        <v>88.661713000000006</v>
      </c>
    </row>
    <row r="7202" spans="1:2" x14ac:dyDescent="0.25">
      <c r="A7202" s="5">
        <v>44028</v>
      </c>
      <c r="B7202">
        <v>87.368423000000007</v>
      </c>
    </row>
    <row r="7203" spans="1:2" x14ac:dyDescent="0.25">
      <c r="A7203" s="5">
        <v>44029</v>
      </c>
      <c r="B7203">
        <v>88.355164000000002</v>
      </c>
    </row>
    <row r="7204" spans="1:2" x14ac:dyDescent="0.25">
      <c r="A7204" s="5">
        <v>44032</v>
      </c>
      <c r="B7204">
        <v>89.255675999999994</v>
      </c>
    </row>
    <row r="7205" spans="1:2" x14ac:dyDescent="0.25">
      <c r="A7205" s="5">
        <v>44033</v>
      </c>
      <c r="B7205">
        <v>88.431786000000002</v>
      </c>
    </row>
    <row r="7206" spans="1:2" x14ac:dyDescent="0.25">
      <c r="A7206" s="5">
        <v>44034</v>
      </c>
      <c r="B7206">
        <v>88.709625000000003</v>
      </c>
    </row>
    <row r="7207" spans="1:2" x14ac:dyDescent="0.25">
      <c r="A7207" s="5">
        <v>44035</v>
      </c>
      <c r="B7207">
        <v>85.902702000000005</v>
      </c>
    </row>
    <row r="7208" spans="1:2" x14ac:dyDescent="0.25">
      <c r="A7208" s="5">
        <v>44036</v>
      </c>
      <c r="B7208">
        <v>85.155486999999994</v>
      </c>
    </row>
    <row r="7209" spans="1:2" x14ac:dyDescent="0.25">
      <c r="A7209" s="5">
        <v>44039</v>
      </c>
      <c r="B7209">
        <v>88.805419999999998</v>
      </c>
    </row>
    <row r="7210" spans="1:2" x14ac:dyDescent="0.25">
      <c r="A7210" s="5">
        <v>44040</v>
      </c>
      <c r="B7210">
        <v>87.607933000000003</v>
      </c>
    </row>
    <row r="7211" spans="1:2" x14ac:dyDescent="0.25">
      <c r="A7211" s="5">
        <v>44041</v>
      </c>
      <c r="B7211">
        <v>89.121536000000006</v>
      </c>
    </row>
    <row r="7212" spans="1:2" x14ac:dyDescent="0.25">
      <c r="A7212" s="5">
        <v>44042</v>
      </c>
      <c r="B7212">
        <v>102.686646</v>
      </c>
    </row>
    <row r="7213" spans="1:2" x14ac:dyDescent="0.25">
      <c r="A7213" s="5">
        <v>44043</v>
      </c>
      <c r="B7213">
        <v>101.173012</v>
      </c>
    </row>
    <row r="7214" spans="1:2" x14ac:dyDescent="0.25">
      <c r="A7214" s="5">
        <v>44046</v>
      </c>
      <c r="B7214">
        <v>104.985809</v>
      </c>
    </row>
    <row r="7215" spans="1:2" x14ac:dyDescent="0.25">
      <c r="A7215" s="5">
        <v>44047</v>
      </c>
      <c r="B7215">
        <v>106.288673</v>
      </c>
    </row>
    <row r="7216" spans="1:2" x14ac:dyDescent="0.25">
      <c r="A7216" s="5">
        <v>44048</v>
      </c>
      <c r="B7216">
        <v>106.71019699999999</v>
      </c>
    </row>
    <row r="7217" spans="1:2" x14ac:dyDescent="0.25">
      <c r="A7217" s="5">
        <v>44049</v>
      </c>
      <c r="B7217">
        <v>106.394058</v>
      </c>
    </row>
    <row r="7218" spans="1:2" x14ac:dyDescent="0.25">
      <c r="A7218" s="5">
        <v>44050</v>
      </c>
      <c r="B7218">
        <v>103.70211</v>
      </c>
    </row>
    <row r="7219" spans="1:2" x14ac:dyDescent="0.25">
      <c r="A7219" s="5">
        <v>44053</v>
      </c>
      <c r="B7219">
        <v>101.89151</v>
      </c>
    </row>
    <row r="7220" spans="1:2" x14ac:dyDescent="0.25">
      <c r="A7220" s="5">
        <v>44054</v>
      </c>
      <c r="B7220">
        <v>104.257744</v>
      </c>
    </row>
    <row r="7221" spans="1:2" x14ac:dyDescent="0.25">
      <c r="A7221" s="5">
        <v>44055</v>
      </c>
      <c r="B7221">
        <v>110.92533899999999</v>
      </c>
    </row>
    <row r="7222" spans="1:2" x14ac:dyDescent="0.25">
      <c r="A7222" s="5">
        <v>44056</v>
      </c>
      <c r="B7222">
        <v>108.645325</v>
      </c>
    </row>
    <row r="7223" spans="1:2" x14ac:dyDescent="0.25">
      <c r="A7223" s="5">
        <v>44057</v>
      </c>
      <c r="B7223">
        <v>108.961456</v>
      </c>
    </row>
    <row r="7224" spans="1:2" x14ac:dyDescent="0.25">
      <c r="A7224" s="5">
        <v>44060</v>
      </c>
      <c r="B7224">
        <v>107.46700300000001</v>
      </c>
    </row>
    <row r="7225" spans="1:2" x14ac:dyDescent="0.25">
      <c r="A7225" s="5">
        <v>44061</v>
      </c>
      <c r="B7225">
        <v>107.323296</v>
      </c>
    </row>
    <row r="7226" spans="1:2" x14ac:dyDescent="0.25">
      <c r="A7226" s="5">
        <v>44062</v>
      </c>
      <c r="B7226">
        <v>106.374893</v>
      </c>
    </row>
    <row r="7227" spans="1:2" x14ac:dyDescent="0.25">
      <c r="A7227" s="5">
        <v>44063</v>
      </c>
      <c r="B7227">
        <v>106.010864</v>
      </c>
    </row>
    <row r="7228" spans="1:2" x14ac:dyDescent="0.25">
      <c r="A7228" s="5">
        <v>44064</v>
      </c>
      <c r="B7228">
        <v>108.252548</v>
      </c>
    </row>
    <row r="7229" spans="1:2" x14ac:dyDescent="0.25">
      <c r="A7229" s="5">
        <v>44067</v>
      </c>
      <c r="B7229">
        <v>111.04029800000001</v>
      </c>
    </row>
    <row r="7230" spans="1:2" x14ac:dyDescent="0.25">
      <c r="A7230" s="5">
        <v>44068</v>
      </c>
      <c r="B7230">
        <v>111.078613</v>
      </c>
    </row>
    <row r="7231" spans="1:2" x14ac:dyDescent="0.25">
      <c r="A7231" s="5">
        <v>44069</v>
      </c>
      <c r="B7231">
        <v>111.164833</v>
      </c>
    </row>
    <row r="7232" spans="1:2" x14ac:dyDescent="0.25">
      <c r="A7232" s="5">
        <v>44070</v>
      </c>
      <c r="B7232">
        <v>111.145668</v>
      </c>
    </row>
    <row r="7233" spans="1:2" x14ac:dyDescent="0.25">
      <c r="A7233" s="5">
        <v>44071</v>
      </c>
      <c r="B7233">
        <v>113.234077</v>
      </c>
    </row>
    <row r="7234" spans="1:2" x14ac:dyDescent="0.25">
      <c r="A7234" s="5">
        <v>44074</v>
      </c>
      <c r="B7234">
        <v>114.09626799999999</v>
      </c>
    </row>
    <row r="7235" spans="1:2" x14ac:dyDescent="0.25">
      <c r="A7235" s="5">
        <v>44075</v>
      </c>
      <c r="B7235">
        <v>116.884018</v>
      </c>
    </row>
    <row r="7236" spans="1:2" x14ac:dyDescent="0.25">
      <c r="A7236" s="5">
        <v>44076</v>
      </c>
      <c r="B7236">
        <v>118.63687899999999</v>
      </c>
    </row>
    <row r="7237" spans="1:2" x14ac:dyDescent="0.25">
      <c r="A7237" s="5">
        <v>44077</v>
      </c>
      <c r="B7237">
        <v>112.13584899999999</v>
      </c>
    </row>
    <row r="7238" spans="1:2" x14ac:dyDescent="0.25">
      <c r="A7238" s="5">
        <v>44078</v>
      </c>
      <c r="B7238">
        <v>111.692802</v>
      </c>
    </row>
    <row r="7239" spans="1:2" x14ac:dyDescent="0.25">
      <c r="A7239" s="5">
        <v>44082</v>
      </c>
      <c r="B7239">
        <v>105.72146600000001</v>
      </c>
    </row>
    <row r="7240" spans="1:2" x14ac:dyDescent="0.25">
      <c r="A7240" s="5">
        <v>44083</v>
      </c>
      <c r="B7240">
        <v>109.814728</v>
      </c>
    </row>
    <row r="7241" spans="1:2" x14ac:dyDescent="0.25">
      <c r="A7241" s="5">
        <v>44084</v>
      </c>
      <c r="B7241">
        <v>108.29299899999999</v>
      </c>
    </row>
    <row r="7242" spans="1:2" x14ac:dyDescent="0.25">
      <c r="A7242" s="5">
        <v>44085</v>
      </c>
      <c r="B7242">
        <v>109.236847</v>
      </c>
    </row>
    <row r="7243" spans="1:2" x14ac:dyDescent="0.25">
      <c r="A7243" s="5">
        <v>44088</v>
      </c>
      <c r="B7243">
        <v>109.275375</v>
      </c>
    </row>
    <row r="7244" spans="1:2" x14ac:dyDescent="0.25">
      <c r="A7244" s="5">
        <v>44089</v>
      </c>
      <c r="B7244">
        <v>112.280304</v>
      </c>
    </row>
    <row r="7245" spans="1:2" x14ac:dyDescent="0.25">
      <c r="A7245" s="5">
        <v>44090</v>
      </c>
      <c r="B7245">
        <v>110.334808</v>
      </c>
    </row>
    <row r="7246" spans="1:2" x14ac:dyDescent="0.25">
      <c r="A7246" s="5">
        <v>44091</v>
      </c>
      <c r="B7246">
        <v>110.64299800000001</v>
      </c>
    </row>
    <row r="7247" spans="1:2" x14ac:dyDescent="0.25">
      <c r="A7247" s="5">
        <v>44092</v>
      </c>
      <c r="B7247">
        <v>106.607544</v>
      </c>
    </row>
    <row r="7248" spans="1:2" x14ac:dyDescent="0.25">
      <c r="A7248" s="5">
        <v>44095</v>
      </c>
      <c r="B7248">
        <v>107.792175</v>
      </c>
    </row>
    <row r="7249" spans="1:2" x14ac:dyDescent="0.25">
      <c r="A7249" s="5">
        <v>44096</v>
      </c>
      <c r="B7249">
        <v>109.622101</v>
      </c>
    </row>
    <row r="7250" spans="1:2" x14ac:dyDescent="0.25">
      <c r="A7250" s="5">
        <v>44097</v>
      </c>
      <c r="B7250">
        <v>106.49196600000001</v>
      </c>
    </row>
    <row r="7251" spans="1:2" x14ac:dyDescent="0.25">
      <c r="A7251" s="5">
        <v>44098</v>
      </c>
      <c r="B7251">
        <v>108.052223</v>
      </c>
    </row>
    <row r="7252" spans="1:2" x14ac:dyDescent="0.25">
      <c r="A7252" s="5">
        <v>44099</v>
      </c>
      <c r="B7252">
        <v>110.277023</v>
      </c>
    </row>
    <row r="7253" spans="1:2" x14ac:dyDescent="0.25">
      <c r="A7253" s="5">
        <v>44102</v>
      </c>
      <c r="B7253">
        <v>114.10060900000001</v>
      </c>
    </row>
    <row r="7254" spans="1:2" x14ac:dyDescent="0.25">
      <c r="A7254" s="5">
        <v>44103</v>
      </c>
      <c r="B7254">
        <v>113.050797</v>
      </c>
    </row>
    <row r="7255" spans="1:2" x14ac:dyDescent="0.25">
      <c r="A7255" s="5">
        <v>44104</v>
      </c>
      <c r="B7255">
        <v>113.339737</v>
      </c>
    </row>
    <row r="7256" spans="1:2" x14ac:dyDescent="0.25">
      <c r="A7256" s="5">
        <v>44105</v>
      </c>
      <c r="B7256">
        <v>115.11187</v>
      </c>
    </row>
    <row r="7257" spans="1:2" x14ac:dyDescent="0.25">
      <c r="A7257" s="5">
        <v>44106</v>
      </c>
      <c r="B7257">
        <v>111.21125000000001</v>
      </c>
    </row>
    <row r="7258" spans="1:2" x14ac:dyDescent="0.25">
      <c r="A7258" s="5">
        <v>44109</v>
      </c>
      <c r="B7258">
        <v>116.074997</v>
      </c>
    </row>
    <row r="7259" spans="1:2" x14ac:dyDescent="0.25">
      <c r="A7259" s="5">
        <v>44110</v>
      </c>
      <c r="B7259">
        <v>115.131134</v>
      </c>
    </row>
    <row r="7260" spans="1:2" x14ac:dyDescent="0.25">
      <c r="A7260" s="5">
        <v>44111</v>
      </c>
      <c r="B7260">
        <v>118.49241600000001</v>
      </c>
    </row>
    <row r="7261" spans="1:2" x14ac:dyDescent="0.25">
      <c r="A7261" s="5">
        <v>44112</v>
      </c>
      <c r="B7261">
        <v>117.827866</v>
      </c>
    </row>
    <row r="7262" spans="1:2" x14ac:dyDescent="0.25">
      <c r="A7262" s="5">
        <v>44113</v>
      </c>
      <c r="B7262">
        <v>120.264557</v>
      </c>
    </row>
    <row r="7263" spans="1:2" x14ac:dyDescent="0.25">
      <c r="A7263" s="5">
        <v>44116</v>
      </c>
      <c r="B7263">
        <v>122.017426</v>
      </c>
    </row>
    <row r="7264" spans="1:2" x14ac:dyDescent="0.25">
      <c r="A7264" s="5">
        <v>44117</v>
      </c>
      <c r="B7264">
        <v>122.759033</v>
      </c>
    </row>
    <row r="7265" spans="1:2" x14ac:dyDescent="0.25">
      <c r="A7265" s="5">
        <v>44118</v>
      </c>
      <c r="B7265">
        <v>125.089798</v>
      </c>
    </row>
    <row r="7266" spans="1:2" x14ac:dyDescent="0.25">
      <c r="A7266" s="5">
        <v>44119</v>
      </c>
      <c r="B7266">
        <v>123.83772999999999</v>
      </c>
    </row>
    <row r="7267" spans="1:2" x14ac:dyDescent="0.25">
      <c r="A7267" s="5">
        <v>44120</v>
      </c>
      <c r="B7267">
        <v>124.271111</v>
      </c>
    </row>
    <row r="7268" spans="1:2" x14ac:dyDescent="0.25">
      <c r="A7268" s="5">
        <v>44123</v>
      </c>
      <c r="B7268">
        <v>123.683617</v>
      </c>
    </row>
    <row r="7269" spans="1:2" x14ac:dyDescent="0.25">
      <c r="A7269" s="5">
        <v>44124</v>
      </c>
      <c r="B7269">
        <v>123.56806899999999</v>
      </c>
    </row>
    <row r="7270" spans="1:2" x14ac:dyDescent="0.25">
      <c r="A7270" s="5">
        <v>44125</v>
      </c>
      <c r="B7270">
        <v>123.80883799999999</v>
      </c>
    </row>
    <row r="7271" spans="1:2" x14ac:dyDescent="0.25">
      <c r="A7271" s="5">
        <v>44126</v>
      </c>
      <c r="B7271">
        <v>123.64510300000001</v>
      </c>
    </row>
    <row r="7272" spans="1:2" x14ac:dyDescent="0.25">
      <c r="A7272" s="5">
        <v>44127</v>
      </c>
      <c r="B7272">
        <v>124.12666299999999</v>
      </c>
    </row>
    <row r="7273" spans="1:2" x14ac:dyDescent="0.25">
      <c r="A7273" s="5">
        <v>44130</v>
      </c>
      <c r="B7273">
        <v>121.54549400000001</v>
      </c>
    </row>
    <row r="7274" spans="1:2" x14ac:dyDescent="0.25">
      <c r="A7274" s="5">
        <v>44131</v>
      </c>
      <c r="B7274">
        <v>121.266205</v>
      </c>
    </row>
    <row r="7275" spans="1:2" x14ac:dyDescent="0.25">
      <c r="A7275" s="5">
        <v>44132</v>
      </c>
      <c r="B7275">
        <v>117.095901</v>
      </c>
    </row>
    <row r="7276" spans="1:2" x14ac:dyDescent="0.25">
      <c r="A7276" s="5">
        <v>44133</v>
      </c>
      <c r="B7276">
        <v>121.776657</v>
      </c>
    </row>
    <row r="7277" spans="1:2" x14ac:dyDescent="0.25">
      <c r="A7277" s="5">
        <v>44134</v>
      </c>
      <c r="B7277">
        <v>118.810249</v>
      </c>
    </row>
    <row r="7278" spans="1:2" x14ac:dyDescent="0.25">
      <c r="A7278" s="5">
        <v>44137</v>
      </c>
      <c r="B7278">
        <v>119.397751</v>
      </c>
    </row>
    <row r="7279" spans="1:2" x14ac:dyDescent="0.25">
      <c r="A7279" s="5">
        <v>44138</v>
      </c>
      <c r="B7279">
        <v>120.82315800000001</v>
      </c>
    </row>
    <row r="7280" spans="1:2" x14ac:dyDescent="0.25">
      <c r="A7280" s="5">
        <v>44139</v>
      </c>
      <c r="B7280">
        <v>124.213341</v>
      </c>
    </row>
    <row r="7281" spans="1:2" x14ac:dyDescent="0.25">
      <c r="A7281" s="5">
        <v>44140</v>
      </c>
      <c r="B7281">
        <v>140.046997</v>
      </c>
    </row>
    <row r="7282" spans="1:2" x14ac:dyDescent="0.25">
      <c r="A7282" s="5">
        <v>44141</v>
      </c>
      <c r="B7282">
        <v>139.66175799999999</v>
      </c>
    </row>
    <row r="7283" spans="1:2" x14ac:dyDescent="0.25">
      <c r="A7283" s="5">
        <v>44144</v>
      </c>
      <c r="B7283">
        <v>137.350266</v>
      </c>
    </row>
    <row r="7284" spans="1:2" x14ac:dyDescent="0.25">
      <c r="A7284" s="5">
        <v>44145</v>
      </c>
      <c r="B7284">
        <v>134.94248999999999</v>
      </c>
    </row>
    <row r="7285" spans="1:2" x14ac:dyDescent="0.25">
      <c r="A7285" s="5">
        <v>44146</v>
      </c>
      <c r="B7285">
        <v>142.24292</v>
      </c>
    </row>
    <row r="7286" spans="1:2" x14ac:dyDescent="0.25">
      <c r="A7286" s="5">
        <v>44147</v>
      </c>
      <c r="B7286">
        <v>138.60232500000001</v>
      </c>
    </row>
    <row r="7287" spans="1:2" x14ac:dyDescent="0.25">
      <c r="A7287" s="5">
        <v>44148</v>
      </c>
      <c r="B7287">
        <v>138.93940699999999</v>
      </c>
    </row>
    <row r="7288" spans="1:2" x14ac:dyDescent="0.25">
      <c r="A7288" s="5">
        <v>44151</v>
      </c>
      <c r="B7288">
        <v>143.57202100000001</v>
      </c>
    </row>
    <row r="7289" spans="1:2" x14ac:dyDescent="0.25">
      <c r="A7289" s="5">
        <v>44152</v>
      </c>
      <c r="B7289">
        <v>143.25419600000001</v>
      </c>
    </row>
    <row r="7290" spans="1:2" x14ac:dyDescent="0.25">
      <c r="A7290" s="5">
        <v>44153</v>
      </c>
      <c r="B7290">
        <v>141.62652600000001</v>
      </c>
    </row>
    <row r="7291" spans="1:2" x14ac:dyDescent="0.25">
      <c r="A7291" s="5">
        <v>44154</v>
      </c>
      <c r="B7291">
        <v>142.08880600000001</v>
      </c>
    </row>
    <row r="7292" spans="1:2" x14ac:dyDescent="0.25">
      <c r="A7292" s="5">
        <v>44155</v>
      </c>
      <c r="B7292">
        <v>140.64413500000001</v>
      </c>
    </row>
    <row r="7293" spans="1:2" x14ac:dyDescent="0.25">
      <c r="A7293" s="5">
        <v>44158</v>
      </c>
      <c r="B7293">
        <v>138.51563999999999</v>
      </c>
    </row>
    <row r="7294" spans="1:2" x14ac:dyDescent="0.25">
      <c r="A7294" s="5">
        <v>44159</v>
      </c>
      <c r="B7294">
        <v>140.547821</v>
      </c>
    </row>
    <row r="7295" spans="1:2" x14ac:dyDescent="0.25">
      <c r="A7295" s="5">
        <v>44160</v>
      </c>
      <c r="B7295">
        <v>138.76606799999999</v>
      </c>
    </row>
    <row r="7296" spans="1:2" x14ac:dyDescent="0.25">
      <c r="A7296" s="5">
        <v>44162</v>
      </c>
      <c r="B7296">
        <v>138.525284</v>
      </c>
    </row>
    <row r="7297" spans="1:2" x14ac:dyDescent="0.25">
      <c r="A7297" s="5">
        <v>44165</v>
      </c>
      <c r="B7297">
        <v>141.742096</v>
      </c>
    </row>
    <row r="7298" spans="1:2" x14ac:dyDescent="0.25">
      <c r="A7298" s="5">
        <v>44166</v>
      </c>
      <c r="B7298">
        <v>145.681229</v>
      </c>
    </row>
    <row r="7299" spans="1:2" x14ac:dyDescent="0.25">
      <c r="A7299" s="5">
        <v>44167</v>
      </c>
      <c r="B7299">
        <v>145.071854</v>
      </c>
    </row>
    <row r="7300" spans="1:2" x14ac:dyDescent="0.25">
      <c r="A7300" s="5">
        <v>44168</v>
      </c>
      <c r="B7300">
        <v>145.00415000000001</v>
      </c>
    </row>
    <row r="7301" spans="1:2" x14ac:dyDescent="0.25">
      <c r="A7301" s="5">
        <v>44169</v>
      </c>
      <c r="B7301">
        <v>152.461838</v>
      </c>
    </row>
    <row r="7302" spans="1:2" x14ac:dyDescent="0.25">
      <c r="A7302" s="5">
        <v>44172</v>
      </c>
      <c r="B7302">
        <v>152.848724</v>
      </c>
    </row>
    <row r="7303" spans="1:2" x14ac:dyDescent="0.25">
      <c r="A7303" s="5">
        <v>44173</v>
      </c>
      <c r="B7303">
        <v>153.603241</v>
      </c>
    </row>
    <row r="7304" spans="1:2" x14ac:dyDescent="0.25">
      <c r="A7304" s="5">
        <v>44174</v>
      </c>
      <c r="B7304">
        <v>150.91419999999999</v>
      </c>
    </row>
    <row r="7305" spans="1:2" x14ac:dyDescent="0.25">
      <c r="A7305" s="5">
        <v>44175</v>
      </c>
      <c r="B7305">
        <v>150.65304599999999</v>
      </c>
    </row>
    <row r="7306" spans="1:2" x14ac:dyDescent="0.25">
      <c r="A7306" s="5">
        <v>44176</v>
      </c>
      <c r="B7306">
        <v>139.55841100000001</v>
      </c>
    </row>
    <row r="7307" spans="1:2" x14ac:dyDescent="0.25">
      <c r="A7307" s="5">
        <v>44179</v>
      </c>
      <c r="B7307">
        <v>141.50264000000001</v>
      </c>
    </row>
    <row r="7308" spans="1:2" x14ac:dyDescent="0.25">
      <c r="A7308" s="5">
        <v>44180</v>
      </c>
      <c r="B7308">
        <v>143.50488300000001</v>
      </c>
    </row>
    <row r="7309" spans="1:2" x14ac:dyDescent="0.25">
      <c r="A7309" s="5">
        <v>44181</v>
      </c>
      <c r="B7309">
        <v>144.83972199999999</v>
      </c>
    </row>
    <row r="7310" spans="1:2" x14ac:dyDescent="0.25">
      <c r="A7310" s="5">
        <v>44182</v>
      </c>
      <c r="B7310">
        <v>144.63659699999999</v>
      </c>
    </row>
    <row r="7311" spans="1:2" x14ac:dyDescent="0.25">
      <c r="A7311" s="5">
        <v>44183</v>
      </c>
      <c r="B7311">
        <v>142.59565699999999</v>
      </c>
    </row>
    <row r="7312" spans="1:2" x14ac:dyDescent="0.25">
      <c r="A7312" s="5">
        <v>44186</v>
      </c>
      <c r="B7312">
        <v>141.99594099999999</v>
      </c>
    </row>
    <row r="7313" spans="1:2" x14ac:dyDescent="0.25">
      <c r="A7313" s="5">
        <v>44187</v>
      </c>
      <c r="B7313">
        <v>141.55096399999999</v>
      </c>
    </row>
    <row r="7314" spans="1:2" x14ac:dyDescent="0.25">
      <c r="A7314" s="5">
        <v>44188</v>
      </c>
      <c r="B7314">
        <v>142.150711</v>
      </c>
    </row>
    <row r="7315" spans="1:2" x14ac:dyDescent="0.25">
      <c r="A7315" s="5">
        <v>44189</v>
      </c>
      <c r="B7315">
        <v>143.920807</v>
      </c>
    </row>
    <row r="7316" spans="1:2" x14ac:dyDescent="0.25">
      <c r="A7316" s="5">
        <v>44193</v>
      </c>
      <c r="B7316">
        <v>142.90516700000001</v>
      </c>
    </row>
    <row r="7317" spans="1:2" x14ac:dyDescent="0.25">
      <c r="A7317" s="5">
        <v>44194</v>
      </c>
      <c r="B7317">
        <v>143.63063</v>
      </c>
    </row>
    <row r="7318" spans="1:2" x14ac:dyDescent="0.25">
      <c r="A7318" s="5">
        <v>44195</v>
      </c>
      <c r="B7318">
        <v>145.04284699999999</v>
      </c>
    </row>
    <row r="7319" spans="1:2" x14ac:dyDescent="0.25">
      <c r="A7319" s="5">
        <v>44196</v>
      </c>
      <c r="B7319">
        <v>147.35462999999999</v>
      </c>
    </row>
    <row r="7320" spans="1:2" x14ac:dyDescent="0.25">
      <c r="A7320" s="5">
        <v>44200</v>
      </c>
      <c r="B7320">
        <v>143.640289</v>
      </c>
    </row>
    <row r="7321" spans="1:2" x14ac:dyDescent="0.25">
      <c r="A7321" s="5">
        <v>44201</v>
      </c>
      <c r="B7321">
        <v>147.44168099999999</v>
      </c>
    </row>
    <row r="7322" spans="1:2" x14ac:dyDescent="0.25">
      <c r="A7322" s="5">
        <v>44202</v>
      </c>
      <c r="B7322">
        <v>146.24229399999999</v>
      </c>
    </row>
    <row r="7323" spans="1:2" x14ac:dyDescent="0.25">
      <c r="A7323" s="5">
        <v>44203</v>
      </c>
      <c r="B7323">
        <v>150.60467499999999</v>
      </c>
    </row>
    <row r="7324" spans="1:2" x14ac:dyDescent="0.25">
      <c r="A7324" s="5">
        <v>44204</v>
      </c>
      <c r="B7324">
        <v>151.513901</v>
      </c>
    </row>
    <row r="7325" spans="1:2" x14ac:dyDescent="0.25">
      <c r="A7325" s="5">
        <v>44207</v>
      </c>
      <c r="B7325">
        <v>151.00126599999999</v>
      </c>
    </row>
    <row r="7326" spans="1:2" x14ac:dyDescent="0.25">
      <c r="A7326" s="5">
        <v>44208</v>
      </c>
      <c r="B7326">
        <v>149.39558400000001</v>
      </c>
    </row>
    <row r="7327" spans="1:2" x14ac:dyDescent="0.25">
      <c r="A7327" s="5">
        <v>44209</v>
      </c>
      <c r="B7327">
        <v>152.26838699999999</v>
      </c>
    </row>
    <row r="7328" spans="1:2" x14ac:dyDescent="0.25">
      <c r="A7328" s="5">
        <v>44210</v>
      </c>
      <c r="B7328">
        <v>155.58613600000001</v>
      </c>
    </row>
    <row r="7329" spans="1:2" x14ac:dyDescent="0.25">
      <c r="A7329" s="5">
        <v>44211</v>
      </c>
      <c r="B7329">
        <v>151.94918799999999</v>
      </c>
    </row>
    <row r="7330" spans="1:2" x14ac:dyDescent="0.25">
      <c r="A7330" s="5">
        <v>44215</v>
      </c>
      <c r="B7330">
        <v>158.410583</v>
      </c>
    </row>
    <row r="7331" spans="1:2" x14ac:dyDescent="0.25">
      <c r="A7331" s="5">
        <v>44216</v>
      </c>
      <c r="B7331">
        <v>159.21343999999999</v>
      </c>
    </row>
    <row r="7332" spans="1:2" x14ac:dyDescent="0.25">
      <c r="A7332" s="5">
        <v>44217</v>
      </c>
      <c r="B7332">
        <v>159.358521</v>
      </c>
    </row>
    <row r="7333" spans="1:2" x14ac:dyDescent="0.25">
      <c r="A7333" s="5">
        <v>44218</v>
      </c>
      <c r="B7333">
        <v>157.10476700000001</v>
      </c>
    </row>
    <row r="7334" spans="1:2" x14ac:dyDescent="0.25">
      <c r="A7334" s="5">
        <v>44221</v>
      </c>
      <c r="B7334">
        <v>159.01994300000001</v>
      </c>
    </row>
    <row r="7335" spans="1:2" x14ac:dyDescent="0.25">
      <c r="A7335" s="5">
        <v>44222</v>
      </c>
      <c r="B7335">
        <v>157.23049900000001</v>
      </c>
    </row>
    <row r="7336" spans="1:2" x14ac:dyDescent="0.25">
      <c r="A7336" s="5">
        <v>44223</v>
      </c>
      <c r="B7336">
        <v>148.64111299999999</v>
      </c>
    </row>
    <row r="7337" spans="1:2" x14ac:dyDescent="0.25">
      <c r="A7337" s="5">
        <v>44224</v>
      </c>
      <c r="B7337">
        <v>150.45959500000001</v>
      </c>
    </row>
    <row r="7338" spans="1:2" x14ac:dyDescent="0.25">
      <c r="A7338" s="5">
        <v>44225</v>
      </c>
      <c r="B7338">
        <v>151.165695</v>
      </c>
    </row>
    <row r="7339" spans="1:2" x14ac:dyDescent="0.25">
      <c r="A7339" s="5">
        <v>44228</v>
      </c>
      <c r="B7339">
        <v>156.292236</v>
      </c>
    </row>
    <row r="7340" spans="1:2" x14ac:dyDescent="0.25">
      <c r="A7340" s="5">
        <v>44229</v>
      </c>
      <c r="B7340">
        <v>159.38752700000001</v>
      </c>
    </row>
    <row r="7341" spans="1:2" x14ac:dyDescent="0.25">
      <c r="A7341" s="5">
        <v>44230</v>
      </c>
      <c r="B7341">
        <v>156.988708</v>
      </c>
    </row>
    <row r="7342" spans="1:2" x14ac:dyDescent="0.25">
      <c r="A7342" s="5">
        <v>44231</v>
      </c>
      <c r="B7342">
        <v>143.12762499999999</v>
      </c>
    </row>
    <row r="7343" spans="1:2" x14ac:dyDescent="0.25">
      <c r="A7343" s="5">
        <v>44232</v>
      </c>
      <c r="B7343">
        <v>141.067352</v>
      </c>
    </row>
    <row r="7344" spans="1:2" x14ac:dyDescent="0.25">
      <c r="A7344" s="5">
        <v>44235</v>
      </c>
      <c r="B7344">
        <v>142.556961</v>
      </c>
    </row>
    <row r="7345" spans="1:2" x14ac:dyDescent="0.25">
      <c r="A7345" s="5">
        <v>44236</v>
      </c>
      <c r="B7345">
        <v>141.32849100000001</v>
      </c>
    </row>
    <row r="7346" spans="1:2" x14ac:dyDescent="0.25">
      <c r="A7346" s="5">
        <v>44237</v>
      </c>
      <c r="B7346">
        <v>140.73848000000001</v>
      </c>
    </row>
    <row r="7347" spans="1:2" x14ac:dyDescent="0.25">
      <c r="A7347" s="5">
        <v>44238</v>
      </c>
      <c r="B7347">
        <v>140.79652400000001</v>
      </c>
    </row>
    <row r="7348" spans="1:2" x14ac:dyDescent="0.25">
      <c r="A7348" s="5">
        <v>44239</v>
      </c>
      <c r="B7348">
        <v>143.137314</v>
      </c>
    </row>
    <row r="7349" spans="1:2" x14ac:dyDescent="0.25">
      <c r="A7349" s="5">
        <v>44243</v>
      </c>
      <c r="B7349">
        <v>142.34414699999999</v>
      </c>
    </row>
    <row r="7350" spans="1:2" x14ac:dyDescent="0.25">
      <c r="A7350" s="5">
        <v>44244</v>
      </c>
      <c r="B7350">
        <v>140.01301599999999</v>
      </c>
    </row>
    <row r="7351" spans="1:2" x14ac:dyDescent="0.25">
      <c r="A7351" s="5">
        <v>44245</v>
      </c>
      <c r="B7351">
        <v>139.20050000000001</v>
      </c>
    </row>
    <row r="7352" spans="1:2" x14ac:dyDescent="0.25">
      <c r="A7352" s="5">
        <v>44246</v>
      </c>
      <c r="B7352">
        <v>140.19679300000001</v>
      </c>
    </row>
    <row r="7353" spans="1:2" x14ac:dyDescent="0.25">
      <c r="A7353" s="5">
        <v>44249</v>
      </c>
      <c r="B7353">
        <v>134.89613299999999</v>
      </c>
    </row>
    <row r="7354" spans="1:2" x14ac:dyDescent="0.25">
      <c r="A7354" s="5">
        <v>44250</v>
      </c>
      <c r="B7354">
        <v>132.63270600000001</v>
      </c>
    </row>
    <row r="7355" spans="1:2" x14ac:dyDescent="0.25">
      <c r="A7355" s="5">
        <v>44251</v>
      </c>
      <c r="B7355">
        <v>136.48246800000001</v>
      </c>
    </row>
    <row r="7356" spans="1:2" x14ac:dyDescent="0.25">
      <c r="A7356" s="5">
        <v>44252</v>
      </c>
      <c r="B7356">
        <v>131.094742</v>
      </c>
    </row>
    <row r="7357" spans="1:2" x14ac:dyDescent="0.25">
      <c r="A7357" s="5">
        <v>44253</v>
      </c>
      <c r="B7357">
        <v>131.73313899999999</v>
      </c>
    </row>
    <row r="7358" spans="1:2" x14ac:dyDescent="0.25">
      <c r="A7358" s="5">
        <v>44256</v>
      </c>
      <c r="B7358">
        <v>134.92514</v>
      </c>
    </row>
    <row r="7359" spans="1:2" x14ac:dyDescent="0.25">
      <c r="A7359" s="5">
        <v>44257</v>
      </c>
      <c r="B7359">
        <v>132.55531300000001</v>
      </c>
    </row>
    <row r="7360" spans="1:2" x14ac:dyDescent="0.25">
      <c r="A7360" s="5">
        <v>44258</v>
      </c>
      <c r="B7360">
        <v>127.958336</v>
      </c>
    </row>
    <row r="7361" spans="1:2" x14ac:dyDescent="0.25">
      <c r="A7361" s="5">
        <v>44259</v>
      </c>
      <c r="B7361">
        <v>124.206856</v>
      </c>
    </row>
    <row r="7362" spans="1:2" x14ac:dyDescent="0.25">
      <c r="A7362" s="5">
        <v>44260</v>
      </c>
      <c r="B7362">
        <v>126.10202</v>
      </c>
    </row>
    <row r="7363" spans="1:2" x14ac:dyDescent="0.25">
      <c r="A7363" s="5">
        <v>44263</v>
      </c>
      <c r="B7363">
        <v>119.736176</v>
      </c>
    </row>
    <row r="7364" spans="1:2" x14ac:dyDescent="0.25">
      <c r="A7364" s="5">
        <v>44264</v>
      </c>
      <c r="B7364">
        <v>125.480003</v>
      </c>
    </row>
    <row r="7365" spans="1:2" x14ac:dyDescent="0.25">
      <c r="A7365" s="5">
        <v>44265</v>
      </c>
      <c r="B7365">
        <v>124.274879</v>
      </c>
    </row>
    <row r="7366" spans="1:2" x14ac:dyDescent="0.25">
      <c r="A7366" s="5">
        <v>44266</v>
      </c>
      <c r="B7366">
        <v>128.03608700000001</v>
      </c>
    </row>
    <row r="7367" spans="1:2" x14ac:dyDescent="0.25">
      <c r="A7367" s="5">
        <v>44267</v>
      </c>
      <c r="B7367">
        <v>126.32553900000001</v>
      </c>
    </row>
    <row r="7368" spans="1:2" x14ac:dyDescent="0.25">
      <c r="A7368" s="5">
        <v>44270</v>
      </c>
      <c r="B7368">
        <v>127.93888099999999</v>
      </c>
    </row>
    <row r="7369" spans="1:2" x14ac:dyDescent="0.25">
      <c r="A7369" s="5">
        <v>44271</v>
      </c>
      <c r="B7369">
        <v>129.89236500000001</v>
      </c>
    </row>
    <row r="7370" spans="1:2" x14ac:dyDescent="0.25">
      <c r="A7370" s="5">
        <v>44272</v>
      </c>
      <c r="B7370">
        <v>130.15477000000001</v>
      </c>
    </row>
    <row r="7371" spans="1:2" x14ac:dyDescent="0.25">
      <c r="A7371" s="5">
        <v>44273</v>
      </c>
      <c r="B7371">
        <v>126.10202</v>
      </c>
    </row>
    <row r="7372" spans="1:2" x14ac:dyDescent="0.25">
      <c r="A7372" s="5">
        <v>44274</v>
      </c>
      <c r="B7372">
        <v>127.336319</v>
      </c>
    </row>
    <row r="7373" spans="1:2" x14ac:dyDescent="0.25">
      <c r="A7373" s="5">
        <v>44277</v>
      </c>
      <c r="B7373">
        <v>130.320007</v>
      </c>
    </row>
    <row r="7374" spans="1:2" x14ac:dyDescent="0.25">
      <c r="A7374" s="5">
        <v>44278</v>
      </c>
      <c r="B7374">
        <v>128.79414399999999</v>
      </c>
    </row>
    <row r="7375" spans="1:2" x14ac:dyDescent="0.25">
      <c r="A7375" s="5">
        <v>44279</v>
      </c>
      <c r="B7375">
        <v>123.604271</v>
      </c>
    </row>
    <row r="7376" spans="1:2" x14ac:dyDescent="0.25">
      <c r="A7376" s="5">
        <v>44280</v>
      </c>
      <c r="B7376">
        <v>123.701469</v>
      </c>
    </row>
    <row r="7377" spans="1:2" x14ac:dyDescent="0.25">
      <c r="A7377" s="5">
        <v>44281</v>
      </c>
      <c r="B7377">
        <v>129.250946</v>
      </c>
    </row>
    <row r="7378" spans="1:2" x14ac:dyDescent="0.25">
      <c r="A7378" s="5">
        <v>44284</v>
      </c>
      <c r="B7378">
        <v>127.579292</v>
      </c>
    </row>
    <row r="7379" spans="1:2" x14ac:dyDescent="0.25">
      <c r="A7379" s="5">
        <v>44285</v>
      </c>
      <c r="B7379">
        <v>126.45188899999999</v>
      </c>
    </row>
    <row r="7380" spans="1:2" x14ac:dyDescent="0.25">
      <c r="A7380" s="5">
        <v>44286</v>
      </c>
      <c r="B7380">
        <v>128.862167</v>
      </c>
    </row>
    <row r="7381" spans="1:2" x14ac:dyDescent="0.25">
      <c r="A7381" s="5">
        <v>44287</v>
      </c>
      <c r="B7381">
        <v>133.91596999999999</v>
      </c>
    </row>
    <row r="7382" spans="1:2" x14ac:dyDescent="0.25">
      <c r="A7382" s="5">
        <v>44291</v>
      </c>
      <c r="B7382">
        <v>136.384567</v>
      </c>
    </row>
    <row r="7383" spans="1:2" x14ac:dyDescent="0.25">
      <c r="A7383" s="5">
        <v>44292</v>
      </c>
      <c r="B7383">
        <v>134.17836</v>
      </c>
    </row>
    <row r="7384" spans="1:2" x14ac:dyDescent="0.25">
      <c r="A7384" s="5">
        <v>44293</v>
      </c>
      <c r="B7384">
        <v>135.50985700000001</v>
      </c>
    </row>
    <row r="7385" spans="1:2" x14ac:dyDescent="0.25">
      <c r="A7385" s="5">
        <v>44294</v>
      </c>
      <c r="B7385">
        <v>136.39425700000001</v>
      </c>
    </row>
    <row r="7386" spans="1:2" x14ac:dyDescent="0.25">
      <c r="A7386" s="5">
        <v>44295</v>
      </c>
      <c r="B7386">
        <v>136.61781300000001</v>
      </c>
    </row>
    <row r="7387" spans="1:2" x14ac:dyDescent="0.25">
      <c r="A7387" s="5">
        <v>44298</v>
      </c>
      <c r="B7387">
        <v>133.57583600000001</v>
      </c>
    </row>
    <row r="7388" spans="1:2" x14ac:dyDescent="0.25">
      <c r="A7388" s="5">
        <v>44299</v>
      </c>
      <c r="B7388">
        <v>133.43974299999999</v>
      </c>
    </row>
    <row r="7389" spans="1:2" x14ac:dyDescent="0.25">
      <c r="A7389" s="5">
        <v>44300</v>
      </c>
      <c r="B7389">
        <v>130.961456</v>
      </c>
    </row>
    <row r="7390" spans="1:2" x14ac:dyDescent="0.25">
      <c r="A7390" s="5">
        <v>44301</v>
      </c>
      <c r="B7390">
        <v>133.96455399999999</v>
      </c>
    </row>
    <row r="7391" spans="1:2" x14ac:dyDescent="0.25">
      <c r="A7391" s="5">
        <v>44302</v>
      </c>
      <c r="B7391">
        <v>134.32415800000001</v>
      </c>
    </row>
    <row r="7392" spans="1:2" x14ac:dyDescent="0.25">
      <c r="A7392" s="5">
        <v>44305</v>
      </c>
      <c r="B7392">
        <v>131.44738799999999</v>
      </c>
    </row>
    <row r="7393" spans="1:2" x14ac:dyDescent="0.25">
      <c r="A7393" s="5">
        <v>44306</v>
      </c>
      <c r="B7393">
        <v>129.649384</v>
      </c>
    </row>
    <row r="7394" spans="1:2" x14ac:dyDescent="0.25">
      <c r="A7394" s="5">
        <v>44307</v>
      </c>
      <c r="B7394">
        <v>132.360962</v>
      </c>
    </row>
    <row r="7395" spans="1:2" x14ac:dyDescent="0.25">
      <c r="A7395" s="5">
        <v>44308</v>
      </c>
      <c r="B7395">
        <v>129.23149100000001</v>
      </c>
    </row>
    <row r="7396" spans="1:2" x14ac:dyDescent="0.25">
      <c r="A7396" s="5">
        <v>44309</v>
      </c>
      <c r="B7396">
        <v>131.62233000000001</v>
      </c>
    </row>
    <row r="7397" spans="1:2" x14ac:dyDescent="0.25">
      <c r="A7397" s="5">
        <v>44312</v>
      </c>
      <c r="B7397">
        <v>135.05306999999999</v>
      </c>
    </row>
    <row r="7398" spans="1:2" x14ac:dyDescent="0.25">
      <c r="A7398" s="5">
        <v>44313</v>
      </c>
      <c r="B7398">
        <v>134.129761</v>
      </c>
    </row>
    <row r="7399" spans="1:2" x14ac:dyDescent="0.25">
      <c r="A7399" s="5">
        <v>44314</v>
      </c>
      <c r="B7399">
        <v>132.730255</v>
      </c>
    </row>
    <row r="7400" spans="1:2" x14ac:dyDescent="0.25">
      <c r="A7400" s="5">
        <v>44315</v>
      </c>
      <c r="B7400">
        <v>138.668488</v>
      </c>
    </row>
    <row r="7401" spans="1:2" x14ac:dyDescent="0.25">
      <c r="A7401" s="5">
        <v>44316</v>
      </c>
      <c r="B7401">
        <v>134.897583</v>
      </c>
    </row>
    <row r="7402" spans="1:2" x14ac:dyDescent="0.25">
      <c r="A7402" s="5">
        <v>44319</v>
      </c>
      <c r="B7402">
        <v>133.566101</v>
      </c>
    </row>
    <row r="7403" spans="1:2" x14ac:dyDescent="0.25">
      <c r="A7403" s="5">
        <v>44320</v>
      </c>
      <c r="B7403">
        <v>130.34916699999999</v>
      </c>
    </row>
    <row r="7404" spans="1:2" x14ac:dyDescent="0.25">
      <c r="A7404" s="5">
        <v>44321</v>
      </c>
      <c r="B7404">
        <v>130.864227</v>
      </c>
    </row>
    <row r="7405" spans="1:2" x14ac:dyDescent="0.25">
      <c r="A7405" s="5">
        <v>44322</v>
      </c>
      <c r="B7405">
        <v>132.1763</v>
      </c>
    </row>
    <row r="7406" spans="1:2" x14ac:dyDescent="0.25">
      <c r="A7406" s="5">
        <v>44323</v>
      </c>
      <c r="B7406">
        <v>133.97430399999999</v>
      </c>
    </row>
    <row r="7407" spans="1:2" x14ac:dyDescent="0.25">
      <c r="A7407" s="5">
        <v>44326</v>
      </c>
      <c r="B7407">
        <v>125.314796</v>
      </c>
    </row>
    <row r="7408" spans="1:2" x14ac:dyDescent="0.25">
      <c r="A7408" s="5">
        <v>44327</v>
      </c>
      <c r="B7408">
        <v>124.760811</v>
      </c>
    </row>
    <row r="7409" spans="1:2" x14ac:dyDescent="0.25">
      <c r="A7409" s="5">
        <v>44328</v>
      </c>
      <c r="B7409">
        <v>121.116241</v>
      </c>
    </row>
    <row r="7410" spans="1:2" x14ac:dyDescent="0.25">
      <c r="A7410" s="5">
        <v>44329</v>
      </c>
      <c r="B7410">
        <v>123.53624000000001</v>
      </c>
    </row>
    <row r="7411" spans="1:2" x14ac:dyDescent="0.25">
      <c r="A7411" s="5">
        <v>44330</v>
      </c>
      <c r="B7411">
        <v>126.490776</v>
      </c>
    </row>
    <row r="7412" spans="1:2" x14ac:dyDescent="0.25">
      <c r="A7412" s="5">
        <v>44333</v>
      </c>
      <c r="B7412">
        <v>126.15062</v>
      </c>
    </row>
    <row r="7413" spans="1:2" x14ac:dyDescent="0.25">
      <c r="A7413" s="5">
        <v>44334</v>
      </c>
      <c r="B7413">
        <v>125.285629</v>
      </c>
    </row>
    <row r="7414" spans="1:2" x14ac:dyDescent="0.25">
      <c r="A7414" s="5">
        <v>44335</v>
      </c>
      <c r="B7414">
        <v>126.986435</v>
      </c>
    </row>
    <row r="7415" spans="1:2" x14ac:dyDescent="0.25">
      <c r="A7415" s="5">
        <v>44336</v>
      </c>
      <c r="B7415">
        <v>128.910751</v>
      </c>
    </row>
    <row r="7416" spans="1:2" x14ac:dyDescent="0.25">
      <c r="A7416" s="5">
        <v>44337</v>
      </c>
      <c r="B7416">
        <v>127.763954</v>
      </c>
    </row>
    <row r="7417" spans="1:2" x14ac:dyDescent="0.25">
      <c r="A7417" s="5">
        <v>44340</v>
      </c>
      <c r="B7417">
        <v>129.17317199999999</v>
      </c>
    </row>
    <row r="7418" spans="1:2" x14ac:dyDescent="0.25">
      <c r="A7418" s="5">
        <v>44341</v>
      </c>
      <c r="B7418">
        <v>129.98954800000001</v>
      </c>
    </row>
    <row r="7419" spans="1:2" x14ac:dyDescent="0.25">
      <c r="A7419" s="5">
        <v>44342</v>
      </c>
      <c r="B7419">
        <v>129.34811400000001</v>
      </c>
    </row>
    <row r="7420" spans="1:2" x14ac:dyDescent="0.25">
      <c r="A7420" s="5">
        <v>44343</v>
      </c>
      <c r="B7420">
        <v>129.88265999999999</v>
      </c>
    </row>
    <row r="7421" spans="1:2" x14ac:dyDescent="0.25">
      <c r="A7421" s="5">
        <v>44344</v>
      </c>
      <c r="B7421">
        <v>130.757339</v>
      </c>
    </row>
    <row r="7422" spans="1:2" x14ac:dyDescent="0.25">
      <c r="A7422" s="5">
        <v>44348</v>
      </c>
      <c r="B7422">
        <v>130.17422500000001</v>
      </c>
    </row>
    <row r="7423" spans="1:2" x14ac:dyDescent="0.25">
      <c r="A7423" s="5">
        <v>44349</v>
      </c>
      <c r="B7423">
        <v>130.72125199999999</v>
      </c>
    </row>
    <row r="7424" spans="1:2" x14ac:dyDescent="0.25">
      <c r="A7424" s="5">
        <v>44350</v>
      </c>
      <c r="B7424">
        <v>128.72848500000001</v>
      </c>
    </row>
    <row r="7425" spans="1:2" x14ac:dyDescent="0.25">
      <c r="A7425" s="5">
        <v>44351</v>
      </c>
      <c r="B7425">
        <v>131.22920199999999</v>
      </c>
    </row>
    <row r="7426" spans="1:2" x14ac:dyDescent="0.25">
      <c r="A7426" s="5">
        <v>44354</v>
      </c>
      <c r="B7426">
        <v>130.232834</v>
      </c>
    </row>
    <row r="7427" spans="1:2" x14ac:dyDescent="0.25">
      <c r="A7427" s="5">
        <v>44355</v>
      </c>
      <c r="B7427">
        <v>131.09243799999999</v>
      </c>
    </row>
    <row r="7428" spans="1:2" x14ac:dyDescent="0.25">
      <c r="A7428" s="5">
        <v>44356</v>
      </c>
      <c r="B7428">
        <v>129.81277499999999</v>
      </c>
    </row>
    <row r="7429" spans="1:2" x14ac:dyDescent="0.25">
      <c r="A7429" s="5">
        <v>44357</v>
      </c>
      <c r="B7429">
        <v>131.11196899999999</v>
      </c>
    </row>
    <row r="7430" spans="1:2" x14ac:dyDescent="0.25">
      <c r="A7430" s="5">
        <v>44358</v>
      </c>
      <c r="B7430">
        <v>131.50273100000001</v>
      </c>
    </row>
    <row r="7431" spans="1:2" x14ac:dyDescent="0.25">
      <c r="A7431" s="5">
        <v>44361</v>
      </c>
      <c r="B7431">
        <v>134.13043200000001</v>
      </c>
    </row>
    <row r="7432" spans="1:2" x14ac:dyDescent="0.25">
      <c r="A7432" s="5">
        <v>44362</v>
      </c>
      <c r="B7432">
        <v>132.44049100000001</v>
      </c>
    </row>
    <row r="7433" spans="1:2" x14ac:dyDescent="0.25">
      <c r="A7433" s="5">
        <v>44363</v>
      </c>
      <c r="B7433">
        <v>131.825073</v>
      </c>
    </row>
    <row r="7434" spans="1:2" x14ac:dyDescent="0.25">
      <c r="A7434" s="5">
        <v>44364</v>
      </c>
      <c r="B7434">
        <v>132.21582000000001</v>
      </c>
    </row>
    <row r="7435" spans="1:2" x14ac:dyDescent="0.25">
      <c r="A7435" s="5">
        <v>44365</v>
      </c>
      <c r="B7435">
        <v>129.920242</v>
      </c>
    </row>
    <row r="7436" spans="1:2" x14ac:dyDescent="0.25">
      <c r="A7436" s="5">
        <v>44368</v>
      </c>
      <c r="B7436">
        <v>130.85801699999999</v>
      </c>
    </row>
    <row r="7437" spans="1:2" x14ac:dyDescent="0.25">
      <c r="A7437" s="5">
        <v>44369</v>
      </c>
      <c r="B7437">
        <v>131.95207199999999</v>
      </c>
    </row>
    <row r="7438" spans="1:2" x14ac:dyDescent="0.25">
      <c r="A7438" s="5">
        <v>44370</v>
      </c>
      <c r="B7438">
        <v>132.38189700000001</v>
      </c>
    </row>
    <row r="7439" spans="1:2" x14ac:dyDescent="0.25">
      <c r="A7439" s="5">
        <v>44371</v>
      </c>
      <c r="B7439">
        <v>134.726303</v>
      </c>
    </row>
    <row r="7440" spans="1:2" x14ac:dyDescent="0.25">
      <c r="A7440" s="5">
        <v>44372</v>
      </c>
      <c r="B7440">
        <v>134.46253999999999</v>
      </c>
    </row>
    <row r="7441" spans="1:2" x14ac:dyDescent="0.25">
      <c r="A7441" s="5">
        <v>44375</v>
      </c>
      <c r="B7441">
        <v>136.484634</v>
      </c>
    </row>
    <row r="7442" spans="1:2" x14ac:dyDescent="0.25">
      <c r="A7442" s="5">
        <v>44376</v>
      </c>
      <c r="B7442">
        <v>139.317474</v>
      </c>
    </row>
    <row r="7443" spans="1:2" x14ac:dyDescent="0.25">
      <c r="A7443" s="5">
        <v>44377</v>
      </c>
      <c r="B7443">
        <v>139.620285</v>
      </c>
    </row>
    <row r="7444" spans="1:2" x14ac:dyDescent="0.25">
      <c r="A7444" s="5">
        <v>44378</v>
      </c>
      <c r="B7444">
        <v>137.539627</v>
      </c>
    </row>
    <row r="7445" spans="1:2" x14ac:dyDescent="0.25">
      <c r="A7445" s="5">
        <v>44379</v>
      </c>
      <c r="B7445">
        <v>139.27839700000001</v>
      </c>
    </row>
    <row r="7446" spans="1:2" x14ac:dyDescent="0.25">
      <c r="A7446" s="5">
        <v>44383</v>
      </c>
      <c r="B7446">
        <v>137.92060900000001</v>
      </c>
    </row>
    <row r="7447" spans="1:2" x14ac:dyDescent="0.25">
      <c r="A7447" s="5">
        <v>44384</v>
      </c>
      <c r="B7447">
        <v>136.72885099999999</v>
      </c>
    </row>
    <row r="7448" spans="1:2" x14ac:dyDescent="0.25">
      <c r="A7448" s="5">
        <v>44385</v>
      </c>
      <c r="B7448">
        <v>135.087738</v>
      </c>
    </row>
    <row r="7449" spans="1:2" x14ac:dyDescent="0.25">
      <c r="A7449" s="5">
        <v>44386</v>
      </c>
      <c r="B7449">
        <v>138.15502900000001</v>
      </c>
    </row>
    <row r="7450" spans="1:2" x14ac:dyDescent="0.25">
      <c r="A7450" s="5">
        <v>44389</v>
      </c>
      <c r="B7450">
        <v>139.17094399999999</v>
      </c>
    </row>
    <row r="7451" spans="1:2" x14ac:dyDescent="0.25">
      <c r="A7451" s="5">
        <v>44390</v>
      </c>
      <c r="B7451">
        <v>137.91081199999999</v>
      </c>
    </row>
    <row r="7452" spans="1:2" x14ac:dyDescent="0.25">
      <c r="A7452" s="5">
        <v>44391</v>
      </c>
      <c r="B7452">
        <v>140.42129499999999</v>
      </c>
    </row>
    <row r="7453" spans="1:2" x14ac:dyDescent="0.25">
      <c r="A7453" s="5">
        <v>44392</v>
      </c>
      <c r="B7453">
        <v>138.18435700000001</v>
      </c>
    </row>
    <row r="7454" spans="1:2" x14ac:dyDescent="0.25">
      <c r="A7454" s="5">
        <v>44393</v>
      </c>
      <c r="B7454">
        <v>136.47485399999999</v>
      </c>
    </row>
    <row r="7455" spans="1:2" x14ac:dyDescent="0.25">
      <c r="A7455" s="5">
        <v>44396</v>
      </c>
      <c r="B7455">
        <v>135.57614100000001</v>
      </c>
    </row>
    <row r="7456" spans="1:2" x14ac:dyDescent="0.25">
      <c r="A7456" s="5">
        <v>44397</v>
      </c>
      <c r="B7456">
        <v>136.31854200000001</v>
      </c>
    </row>
    <row r="7457" spans="1:2" x14ac:dyDescent="0.25">
      <c r="A7457" s="5">
        <v>44398</v>
      </c>
      <c r="B7457">
        <v>138.87788399999999</v>
      </c>
    </row>
    <row r="7458" spans="1:2" x14ac:dyDescent="0.25">
      <c r="A7458" s="5">
        <v>44399</v>
      </c>
      <c r="B7458">
        <v>139.141617</v>
      </c>
    </row>
    <row r="7459" spans="1:2" x14ac:dyDescent="0.25">
      <c r="A7459" s="5">
        <v>44400</v>
      </c>
      <c r="B7459">
        <v>141.52513099999999</v>
      </c>
    </row>
    <row r="7460" spans="1:2" x14ac:dyDescent="0.25">
      <c r="A7460" s="5">
        <v>44403</v>
      </c>
      <c r="B7460">
        <v>140.17709400000001</v>
      </c>
    </row>
    <row r="7461" spans="1:2" x14ac:dyDescent="0.25">
      <c r="A7461" s="5">
        <v>44404</v>
      </c>
      <c r="B7461">
        <v>137.666595</v>
      </c>
    </row>
    <row r="7462" spans="1:2" x14ac:dyDescent="0.25">
      <c r="A7462" s="5">
        <v>44405</v>
      </c>
      <c r="B7462">
        <v>139.141617</v>
      </c>
    </row>
    <row r="7463" spans="1:2" x14ac:dyDescent="0.25">
      <c r="A7463" s="5">
        <v>44406</v>
      </c>
      <c r="B7463">
        <v>147.49366800000001</v>
      </c>
    </row>
    <row r="7464" spans="1:2" x14ac:dyDescent="0.25">
      <c r="A7464" s="5">
        <v>44407</v>
      </c>
      <c r="B7464">
        <v>146.33122299999999</v>
      </c>
    </row>
    <row r="7465" spans="1:2" x14ac:dyDescent="0.25">
      <c r="A7465" s="5">
        <v>44410</v>
      </c>
      <c r="B7465">
        <v>145.412994</v>
      </c>
    </row>
    <row r="7466" spans="1:2" x14ac:dyDescent="0.25">
      <c r="A7466" s="5">
        <v>44411</v>
      </c>
      <c r="B7466">
        <v>144.524033</v>
      </c>
    </row>
    <row r="7467" spans="1:2" x14ac:dyDescent="0.25">
      <c r="A7467" s="5">
        <v>44412</v>
      </c>
      <c r="B7467">
        <v>144.78779599999999</v>
      </c>
    </row>
    <row r="7468" spans="1:2" x14ac:dyDescent="0.25">
      <c r="A7468" s="5">
        <v>44413</v>
      </c>
      <c r="B7468">
        <v>143.429993</v>
      </c>
    </row>
    <row r="7469" spans="1:2" x14ac:dyDescent="0.25">
      <c r="A7469" s="5">
        <v>44414</v>
      </c>
      <c r="B7469">
        <v>142.89271500000001</v>
      </c>
    </row>
    <row r="7470" spans="1:2" x14ac:dyDescent="0.25">
      <c r="A7470" s="5">
        <v>44417</v>
      </c>
      <c r="B7470">
        <v>143.51791399999999</v>
      </c>
    </row>
    <row r="7471" spans="1:2" x14ac:dyDescent="0.25">
      <c r="A7471" s="5">
        <v>44418</v>
      </c>
      <c r="B7471">
        <v>142.49220299999999</v>
      </c>
    </row>
    <row r="7472" spans="1:2" x14ac:dyDescent="0.25">
      <c r="A7472" s="5">
        <v>44419</v>
      </c>
      <c r="B7472">
        <v>143.283432</v>
      </c>
    </row>
    <row r="7473" spans="1:2" x14ac:dyDescent="0.25">
      <c r="A7473" s="5">
        <v>44420</v>
      </c>
      <c r="B7473">
        <v>143.742569</v>
      </c>
    </row>
    <row r="7474" spans="1:2" x14ac:dyDescent="0.25">
      <c r="A7474" s="5">
        <v>44421</v>
      </c>
      <c r="B7474">
        <v>145.19807399999999</v>
      </c>
    </row>
    <row r="7475" spans="1:2" x14ac:dyDescent="0.25">
      <c r="A7475" s="5">
        <v>44424</v>
      </c>
      <c r="B7475">
        <v>144.69989000000001</v>
      </c>
    </row>
    <row r="7476" spans="1:2" x14ac:dyDescent="0.25">
      <c r="A7476" s="5">
        <v>44425</v>
      </c>
      <c r="B7476">
        <v>141.066025</v>
      </c>
    </row>
    <row r="7477" spans="1:2" x14ac:dyDescent="0.25">
      <c r="A7477" s="5">
        <v>44426</v>
      </c>
      <c r="B7477">
        <v>138.887665</v>
      </c>
    </row>
    <row r="7478" spans="1:2" x14ac:dyDescent="0.25">
      <c r="A7478" s="5">
        <v>44427</v>
      </c>
      <c r="B7478">
        <v>137.35401899999999</v>
      </c>
    </row>
    <row r="7479" spans="1:2" x14ac:dyDescent="0.25">
      <c r="A7479" s="5">
        <v>44428</v>
      </c>
      <c r="B7479">
        <v>138.79972799999999</v>
      </c>
    </row>
    <row r="7480" spans="1:2" x14ac:dyDescent="0.25">
      <c r="A7480" s="5">
        <v>44431</v>
      </c>
      <c r="B7480">
        <v>140.80226099999999</v>
      </c>
    </row>
    <row r="7481" spans="1:2" x14ac:dyDescent="0.25">
      <c r="A7481" s="5">
        <v>44432</v>
      </c>
      <c r="B7481">
        <v>141.11488299999999</v>
      </c>
    </row>
    <row r="7482" spans="1:2" x14ac:dyDescent="0.25">
      <c r="A7482" s="5">
        <v>44433</v>
      </c>
      <c r="B7482">
        <v>140.53852800000001</v>
      </c>
    </row>
    <row r="7483" spans="1:2" x14ac:dyDescent="0.25">
      <c r="A7483" s="5">
        <v>44434</v>
      </c>
      <c r="B7483">
        <v>139.08303799999999</v>
      </c>
    </row>
    <row r="7484" spans="1:2" x14ac:dyDescent="0.25">
      <c r="A7484" s="5">
        <v>44435</v>
      </c>
      <c r="B7484">
        <v>141.49581900000001</v>
      </c>
    </row>
    <row r="7485" spans="1:2" x14ac:dyDescent="0.25">
      <c r="A7485" s="5">
        <v>44438</v>
      </c>
      <c r="B7485">
        <v>142.560608</v>
      </c>
    </row>
    <row r="7486" spans="1:2" x14ac:dyDescent="0.25">
      <c r="A7486" s="5">
        <v>44439</v>
      </c>
      <c r="B7486">
        <v>143.29321300000001</v>
      </c>
    </row>
    <row r="7487" spans="1:2" x14ac:dyDescent="0.25">
      <c r="A7487" s="5">
        <v>44440</v>
      </c>
      <c r="B7487">
        <v>143.72503699999999</v>
      </c>
    </row>
    <row r="7488" spans="1:2" x14ac:dyDescent="0.25">
      <c r="A7488" s="5">
        <v>44441</v>
      </c>
      <c r="B7488">
        <v>142.419769</v>
      </c>
    </row>
    <row r="7489" spans="1:2" x14ac:dyDescent="0.25">
      <c r="A7489" s="5">
        <v>44442</v>
      </c>
      <c r="B7489">
        <v>141.938919</v>
      </c>
    </row>
    <row r="7490" spans="1:2" x14ac:dyDescent="0.25">
      <c r="A7490" s="5">
        <v>44446</v>
      </c>
      <c r="B7490">
        <v>141.07527200000001</v>
      </c>
    </row>
    <row r="7491" spans="1:2" x14ac:dyDescent="0.25">
      <c r="A7491" s="5">
        <v>44447</v>
      </c>
      <c r="B7491">
        <v>139.868179</v>
      </c>
    </row>
    <row r="7492" spans="1:2" x14ac:dyDescent="0.25">
      <c r="A7492" s="5">
        <v>44448</v>
      </c>
      <c r="B7492">
        <v>138.94564800000001</v>
      </c>
    </row>
    <row r="7493" spans="1:2" x14ac:dyDescent="0.25">
      <c r="A7493" s="5">
        <v>44449</v>
      </c>
      <c r="B7493">
        <v>140.025192</v>
      </c>
    </row>
    <row r="7494" spans="1:2" x14ac:dyDescent="0.25">
      <c r="A7494" s="5">
        <v>44452</v>
      </c>
      <c r="B7494">
        <v>140.74160800000001</v>
      </c>
    </row>
    <row r="7495" spans="1:2" x14ac:dyDescent="0.25">
      <c r="A7495" s="5">
        <v>44453</v>
      </c>
      <c r="B7495">
        <v>138.51383999999999</v>
      </c>
    </row>
    <row r="7496" spans="1:2" x14ac:dyDescent="0.25">
      <c r="A7496" s="5">
        <v>44454</v>
      </c>
      <c r="B7496">
        <v>135.667801</v>
      </c>
    </row>
    <row r="7497" spans="1:2" x14ac:dyDescent="0.25">
      <c r="A7497" s="5">
        <v>44455</v>
      </c>
      <c r="B7497">
        <v>135.82482899999999</v>
      </c>
    </row>
    <row r="7498" spans="1:2" x14ac:dyDescent="0.25">
      <c r="A7498" s="5">
        <v>44456</v>
      </c>
      <c r="B7498">
        <v>131.11415099999999</v>
      </c>
    </row>
    <row r="7499" spans="1:2" x14ac:dyDescent="0.25">
      <c r="A7499" s="5">
        <v>44459</v>
      </c>
      <c r="B7499">
        <v>130.289749</v>
      </c>
    </row>
    <row r="7500" spans="1:2" x14ac:dyDescent="0.25">
      <c r="A7500" s="5">
        <v>44460</v>
      </c>
      <c r="B7500">
        <v>129.29856899999999</v>
      </c>
    </row>
    <row r="7501" spans="1:2" x14ac:dyDescent="0.25">
      <c r="A7501" s="5">
        <v>44461</v>
      </c>
      <c r="B7501">
        <v>130.53512599999999</v>
      </c>
    </row>
    <row r="7502" spans="1:2" x14ac:dyDescent="0.25">
      <c r="A7502" s="5">
        <v>44462</v>
      </c>
      <c r="B7502">
        <v>131.41838100000001</v>
      </c>
    </row>
    <row r="7503" spans="1:2" x14ac:dyDescent="0.25">
      <c r="A7503" s="5">
        <v>44463</v>
      </c>
      <c r="B7503">
        <v>131.38893100000001</v>
      </c>
    </row>
    <row r="7504" spans="1:2" x14ac:dyDescent="0.25">
      <c r="A7504" s="5">
        <v>44466</v>
      </c>
      <c r="B7504">
        <v>130.99636799999999</v>
      </c>
    </row>
    <row r="7505" spans="1:2" x14ac:dyDescent="0.25">
      <c r="A7505" s="5">
        <v>44467</v>
      </c>
      <c r="B7505">
        <v>127.482979</v>
      </c>
    </row>
    <row r="7506" spans="1:2" x14ac:dyDescent="0.25">
      <c r="A7506" s="5">
        <v>44468</v>
      </c>
      <c r="B7506">
        <v>126.874512</v>
      </c>
    </row>
    <row r="7507" spans="1:2" x14ac:dyDescent="0.25">
      <c r="A7507" s="5">
        <v>44469</v>
      </c>
      <c r="B7507">
        <v>126.580101</v>
      </c>
    </row>
    <row r="7508" spans="1:2" x14ac:dyDescent="0.25">
      <c r="A7508" s="5">
        <v>44470</v>
      </c>
      <c r="B7508">
        <v>126.31513200000001</v>
      </c>
    </row>
    <row r="7509" spans="1:2" x14ac:dyDescent="0.25">
      <c r="A7509" s="5">
        <v>44473</v>
      </c>
      <c r="B7509">
        <v>124.32289900000001</v>
      </c>
    </row>
    <row r="7510" spans="1:2" x14ac:dyDescent="0.25">
      <c r="A7510" s="5">
        <v>44474</v>
      </c>
      <c r="B7510">
        <v>125.15707399999999</v>
      </c>
    </row>
    <row r="7511" spans="1:2" x14ac:dyDescent="0.25">
      <c r="A7511" s="5">
        <v>44475</v>
      </c>
      <c r="B7511">
        <v>125.677216</v>
      </c>
    </row>
    <row r="7512" spans="1:2" x14ac:dyDescent="0.25">
      <c r="A7512" s="5">
        <v>44476</v>
      </c>
      <c r="B7512">
        <v>125.461304</v>
      </c>
    </row>
    <row r="7513" spans="1:2" x14ac:dyDescent="0.25">
      <c r="A7513" s="5">
        <v>44477</v>
      </c>
      <c r="B7513">
        <v>124.195313</v>
      </c>
    </row>
    <row r="7514" spans="1:2" x14ac:dyDescent="0.25">
      <c r="A7514" s="5">
        <v>44480</v>
      </c>
      <c r="B7514">
        <v>122.61528</v>
      </c>
    </row>
    <row r="7515" spans="1:2" x14ac:dyDescent="0.25">
      <c r="A7515" s="5">
        <v>44481</v>
      </c>
      <c r="B7515">
        <v>120.662285</v>
      </c>
    </row>
    <row r="7516" spans="1:2" x14ac:dyDescent="0.25">
      <c r="A7516" s="5">
        <v>44482</v>
      </c>
      <c r="B7516">
        <v>122.71341700000001</v>
      </c>
    </row>
    <row r="7517" spans="1:2" x14ac:dyDescent="0.25">
      <c r="A7517" s="5">
        <v>44483</v>
      </c>
      <c r="B7517">
        <v>126.26606</v>
      </c>
    </row>
    <row r="7518" spans="1:2" x14ac:dyDescent="0.25">
      <c r="A7518" s="5">
        <v>44484</v>
      </c>
      <c r="B7518">
        <v>127.77739</v>
      </c>
    </row>
    <row r="7519" spans="1:2" x14ac:dyDescent="0.25">
      <c r="A7519" s="5">
        <v>44487</v>
      </c>
      <c r="B7519">
        <v>127.698883</v>
      </c>
    </row>
    <row r="7520" spans="1:2" x14ac:dyDescent="0.25">
      <c r="A7520" s="5">
        <v>44488</v>
      </c>
      <c r="B7520">
        <v>130.034592</v>
      </c>
    </row>
    <row r="7521" spans="1:2" x14ac:dyDescent="0.25">
      <c r="A7521" s="5">
        <v>44489</v>
      </c>
      <c r="B7521">
        <v>129.700928</v>
      </c>
    </row>
    <row r="7522" spans="1:2" x14ac:dyDescent="0.25">
      <c r="A7522" s="5">
        <v>44490</v>
      </c>
      <c r="B7522">
        <v>130.57437100000001</v>
      </c>
    </row>
    <row r="7523" spans="1:2" x14ac:dyDescent="0.25">
      <c r="A7523" s="5">
        <v>44491</v>
      </c>
      <c r="B7523">
        <v>129.170975</v>
      </c>
    </row>
    <row r="7524" spans="1:2" x14ac:dyDescent="0.25">
      <c r="A7524" s="5">
        <v>44494</v>
      </c>
      <c r="B7524">
        <v>129.47520399999999</v>
      </c>
    </row>
    <row r="7525" spans="1:2" x14ac:dyDescent="0.25">
      <c r="A7525" s="5">
        <v>44495</v>
      </c>
      <c r="B7525">
        <v>129.485016</v>
      </c>
    </row>
    <row r="7526" spans="1:2" x14ac:dyDescent="0.25">
      <c r="A7526" s="5">
        <v>44496</v>
      </c>
      <c r="B7526">
        <v>128.75878900000001</v>
      </c>
    </row>
    <row r="7527" spans="1:2" x14ac:dyDescent="0.25">
      <c r="A7527" s="5">
        <v>44497</v>
      </c>
      <c r="B7527">
        <v>131.20245399999999</v>
      </c>
    </row>
    <row r="7528" spans="1:2" x14ac:dyDescent="0.25">
      <c r="A7528" s="5">
        <v>44498</v>
      </c>
      <c r="B7528">
        <v>130.56454500000001</v>
      </c>
    </row>
    <row r="7529" spans="1:2" x14ac:dyDescent="0.25">
      <c r="A7529" s="5">
        <v>44501</v>
      </c>
      <c r="B7529">
        <v>132.30162000000001</v>
      </c>
    </row>
    <row r="7530" spans="1:2" x14ac:dyDescent="0.25">
      <c r="A7530" s="5">
        <v>44502</v>
      </c>
      <c r="B7530">
        <v>132.71380600000001</v>
      </c>
    </row>
    <row r="7531" spans="1:2" x14ac:dyDescent="0.25">
      <c r="A7531" s="5">
        <v>44503</v>
      </c>
      <c r="B7531">
        <v>135.903336</v>
      </c>
    </row>
    <row r="7532" spans="1:2" x14ac:dyDescent="0.25">
      <c r="A7532" s="5">
        <v>44504</v>
      </c>
      <c r="B7532">
        <v>153.20529199999999</v>
      </c>
    </row>
    <row r="7533" spans="1:2" x14ac:dyDescent="0.25">
      <c r="A7533" s="5">
        <v>44505</v>
      </c>
      <c r="B7533">
        <v>159.99655200000001</v>
      </c>
    </row>
    <row r="7534" spans="1:2" x14ac:dyDescent="0.25">
      <c r="A7534" s="5">
        <v>44508</v>
      </c>
      <c r="B7534">
        <v>162.764084</v>
      </c>
    </row>
    <row r="7535" spans="1:2" x14ac:dyDescent="0.25">
      <c r="A7535" s="5">
        <v>44509</v>
      </c>
      <c r="B7535">
        <v>163.637497</v>
      </c>
    </row>
    <row r="7536" spans="1:2" x14ac:dyDescent="0.25">
      <c r="A7536" s="5">
        <v>44510</v>
      </c>
      <c r="B7536">
        <v>156.82662999999999</v>
      </c>
    </row>
    <row r="7537" spans="1:2" x14ac:dyDescent="0.25">
      <c r="A7537" s="5">
        <v>44511</v>
      </c>
      <c r="B7537">
        <v>161.36068700000001</v>
      </c>
    </row>
    <row r="7538" spans="1:2" x14ac:dyDescent="0.25">
      <c r="A7538" s="5">
        <v>44512</v>
      </c>
      <c r="B7538">
        <v>161.87101699999999</v>
      </c>
    </row>
    <row r="7539" spans="1:2" x14ac:dyDescent="0.25">
      <c r="A7539" s="5">
        <v>44515</v>
      </c>
      <c r="B7539">
        <v>165.374573</v>
      </c>
    </row>
    <row r="7540" spans="1:2" x14ac:dyDescent="0.25">
      <c r="A7540" s="5">
        <v>44516</v>
      </c>
      <c r="B7540">
        <v>178.42709400000001</v>
      </c>
    </row>
    <row r="7541" spans="1:2" x14ac:dyDescent="0.25">
      <c r="A7541" s="5">
        <v>44517</v>
      </c>
      <c r="B7541">
        <v>180.124908</v>
      </c>
    </row>
    <row r="7542" spans="1:2" x14ac:dyDescent="0.25">
      <c r="A7542" s="5">
        <v>44518</v>
      </c>
      <c r="B7542">
        <v>182.85318000000001</v>
      </c>
    </row>
    <row r="7543" spans="1:2" x14ac:dyDescent="0.25">
      <c r="A7543" s="5">
        <v>44519</v>
      </c>
      <c r="B7543">
        <v>181.557739</v>
      </c>
    </row>
    <row r="7544" spans="1:2" x14ac:dyDescent="0.25">
      <c r="A7544" s="5">
        <v>44522</v>
      </c>
      <c r="B7544">
        <v>178.024719</v>
      </c>
    </row>
    <row r="7545" spans="1:2" x14ac:dyDescent="0.25">
      <c r="A7545" s="5">
        <v>44523</v>
      </c>
      <c r="B7545">
        <v>177.57330300000001</v>
      </c>
    </row>
    <row r="7546" spans="1:2" x14ac:dyDescent="0.25">
      <c r="A7546" s="5">
        <v>44524</v>
      </c>
      <c r="B7546">
        <v>177.347565</v>
      </c>
    </row>
    <row r="7547" spans="1:2" x14ac:dyDescent="0.25">
      <c r="A7547" s="5">
        <v>44526</v>
      </c>
      <c r="B7547">
        <v>172.47004699999999</v>
      </c>
    </row>
    <row r="7548" spans="1:2" x14ac:dyDescent="0.25">
      <c r="A7548" s="5">
        <v>44529</v>
      </c>
      <c r="B7548">
        <v>180.321213</v>
      </c>
    </row>
    <row r="7549" spans="1:2" x14ac:dyDescent="0.25">
      <c r="A7549" s="5">
        <v>44530</v>
      </c>
      <c r="B7549">
        <v>177.20034799999999</v>
      </c>
    </row>
    <row r="7550" spans="1:2" x14ac:dyDescent="0.25">
      <c r="A7550" s="5">
        <v>44531</v>
      </c>
      <c r="B7550">
        <v>173.013687</v>
      </c>
    </row>
    <row r="7551" spans="1:2" x14ac:dyDescent="0.25">
      <c r="A7551" s="5">
        <v>44532</v>
      </c>
      <c r="B7551">
        <v>174.392822</v>
      </c>
    </row>
    <row r="7552" spans="1:2" x14ac:dyDescent="0.25">
      <c r="A7552" s="5">
        <v>44533</v>
      </c>
      <c r="B7552">
        <v>173.88056900000001</v>
      </c>
    </row>
    <row r="7553" spans="1:2" x14ac:dyDescent="0.25">
      <c r="A7553" s="5">
        <v>44536</v>
      </c>
      <c r="B7553">
        <v>172.83634900000001</v>
      </c>
    </row>
    <row r="7554" spans="1:2" x14ac:dyDescent="0.25">
      <c r="A7554" s="5">
        <v>44537</v>
      </c>
      <c r="B7554">
        <v>180.98315400000001</v>
      </c>
    </row>
    <row r="7555" spans="1:2" x14ac:dyDescent="0.25">
      <c r="A7555" s="5">
        <v>44538</v>
      </c>
      <c r="B7555">
        <v>179.90939299999999</v>
      </c>
    </row>
    <row r="7556" spans="1:2" x14ac:dyDescent="0.25">
      <c r="A7556" s="5">
        <v>44539</v>
      </c>
      <c r="B7556">
        <v>179.54490699999999</v>
      </c>
    </row>
    <row r="7557" spans="1:2" x14ac:dyDescent="0.25">
      <c r="A7557" s="5">
        <v>44540</v>
      </c>
      <c r="B7557">
        <v>181.14077800000001</v>
      </c>
    </row>
    <row r="7558" spans="1:2" x14ac:dyDescent="0.25">
      <c r="A7558" s="5">
        <v>44543</v>
      </c>
      <c r="B7558">
        <v>180.58912699999999</v>
      </c>
    </row>
    <row r="7559" spans="1:2" x14ac:dyDescent="0.25">
      <c r="A7559" s="5">
        <v>44544</v>
      </c>
      <c r="B7559">
        <v>179.26907299999999</v>
      </c>
    </row>
    <row r="7560" spans="1:2" x14ac:dyDescent="0.25">
      <c r="A7560" s="5">
        <v>44545</v>
      </c>
      <c r="B7560">
        <v>186.460342</v>
      </c>
    </row>
    <row r="7561" spans="1:2" x14ac:dyDescent="0.25">
      <c r="A7561" s="5">
        <v>44546</v>
      </c>
      <c r="B7561">
        <v>175.49612400000001</v>
      </c>
    </row>
    <row r="7562" spans="1:2" x14ac:dyDescent="0.25">
      <c r="A7562" s="5">
        <v>44547</v>
      </c>
      <c r="B7562">
        <v>174.166245</v>
      </c>
    </row>
    <row r="7563" spans="1:2" x14ac:dyDescent="0.25">
      <c r="A7563" s="5">
        <v>44550</v>
      </c>
      <c r="B7563">
        <v>174.03817699999999</v>
      </c>
    </row>
    <row r="7564" spans="1:2" x14ac:dyDescent="0.25">
      <c r="A7564" s="5">
        <v>44551</v>
      </c>
      <c r="B7564">
        <v>176.904831</v>
      </c>
    </row>
    <row r="7565" spans="1:2" x14ac:dyDescent="0.25">
      <c r="A7565" s="5">
        <v>44552</v>
      </c>
      <c r="B7565">
        <v>178.67802399999999</v>
      </c>
    </row>
    <row r="7566" spans="1:2" x14ac:dyDescent="0.25">
      <c r="A7566" s="5">
        <v>44553</v>
      </c>
      <c r="B7566">
        <v>180.01776100000001</v>
      </c>
    </row>
    <row r="7567" spans="1:2" x14ac:dyDescent="0.25">
      <c r="A7567" s="5">
        <v>44557</v>
      </c>
      <c r="B7567">
        <v>183.55427599999999</v>
      </c>
    </row>
    <row r="7568" spans="1:2" x14ac:dyDescent="0.25">
      <c r="A7568" s="5">
        <v>44558</v>
      </c>
      <c r="B7568">
        <v>182.066788</v>
      </c>
    </row>
    <row r="7569" spans="1:2" x14ac:dyDescent="0.25">
      <c r="A7569" s="5">
        <v>44559</v>
      </c>
      <c r="B7569">
        <v>183.426208</v>
      </c>
    </row>
    <row r="7570" spans="1:2" x14ac:dyDescent="0.25">
      <c r="A7570" s="5">
        <v>44560</v>
      </c>
      <c r="B7570">
        <v>180.007904</v>
      </c>
    </row>
    <row r="7571" spans="1:2" x14ac:dyDescent="0.25">
      <c r="A7571" s="5">
        <v>44561</v>
      </c>
      <c r="B7571">
        <v>180.145813</v>
      </c>
    </row>
    <row r="7572" spans="1:2" x14ac:dyDescent="0.25">
      <c r="A7572" s="5">
        <v>44564</v>
      </c>
      <c r="B7572">
        <v>183.43606600000001</v>
      </c>
    </row>
    <row r="7573" spans="1:2" x14ac:dyDescent="0.25">
      <c r="A7573" s="5">
        <v>44565</v>
      </c>
      <c r="B7573">
        <v>184.44085699999999</v>
      </c>
    </row>
    <row r="7574" spans="1:2" x14ac:dyDescent="0.25">
      <c r="A7574" s="5">
        <v>44566</v>
      </c>
      <c r="B7574">
        <v>183.72174100000001</v>
      </c>
    </row>
    <row r="7575" spans="1:2" x14ac:dyDescent="0.25">
      <c r="A7575" s="5">
        <v>44567</v>
      </c>
      <c r="B7575">
        <v>183.17993200000001</v>
      </c>
    </row>
    <row r="7576" spans="1:2" x14ac:dyDescent="0.25">
      <c r="A7576" s="5">
        <v>44568</v>
      </c>
      <c r="B7576">
        <v>177.72245799999999</v>
      </c>
    </row>
    <row r="7577" spans="1:2" x14ac:dyDescent="0.25">
      <c r="A7577" s="5">
        <v>44571</v>
      </c>
      <c r="B7577">
        <v>177.00332599999999</v>
      </c>
    </row>
    <row r="7578" spans="1:2" x14ac:dyDescent="0.25">
      <c r="A7578" s="5">
        <v>44572</v>
      </c>
      <c r="B7578">
        <v>182.63812300000001</v>
      </c>
    </row>
    <row r="7579" spans="1:2" x14ac:dyDescent="0.25">
      <c r="A7579" s="5">
        <v>44573</v>
      </c>
      <c r="B7579">
        <v>183.642944</v>
      </c>
    </row>
    <row r="7580" spans="1:2" x14ac:dyDescent="0.25">
      <c r="A7580" s="5">
        <v>44574</v>
      </c>
      <c r="B7580">
        <v>181.15062</v>
      </c>
    </row>
    <row r="7581" spans="1:2" x14ac:dyDescent="0.25">
      <c r="A7581" s="5">
        <v>44575</v>
      </c>
      <c r="B7581">
        <v>185.87912</v>
      </c>
    </row>
    <row r="7582" spans="1:2" x14ac:dyDescent="0.25">
      <c r="A7582" s="5">
        <v>44579</v>
      </c>
      <c r="B7582">
        <v>176.19555700000001</v>
      </c>
    </row>
    <row r="7583" spans="1:2" x14ac:dyDescent="0.25">
      <c r="A7583" s="5">
        <v>44580</v>
      </c>
      <c r="B7583">
        <v>169.900757</v>
      </c>
    </row>
    <row r="7584" spans="1:2" x14ac:dyDescent="0.25">
      <c r="A7584" s="5">
        <v>44581</v>
      </c>
      <c r="B7584">
        <v>164.01968400000001</v>
      </c>
    </row>
    <row r="7585" spans="1:2" x14ac:dyDescent="0.25">
      <c r="A7585" s="5">
        <v>44582</v>
      </c>
      <c r="B7585">
        <v>162.47305299999999</v>
      </c>
    </row>
    <row r="7586" spans="1:2" x14ac:dyDescent="0.25">
      <c r="A7586" s="5">
        <v>44585</v>
      </c>
      <c r="B7586">
        <v>167.53651400000001</v>
      </c>
    </row>
    <row r="7587" spans="1:2" x14ac:dyDescent="0.25">
      <c r="A7587" s="5">
        <v>44586</v>
      </c>
      <c r="B7587">
        <v>162.985321</v>
      </c>
    </row>
    <row r="7588" spans="1:2" x14ac:dyDescent="0.25">
      <c r="A7588" s="5">
        <v>44587</v>
      </c>
      <c r="B7588">
        <v>164.512238</v>
      </c>
    </row>
    <row r="7589" spans="1:2" x14ac:dyDescent="0.25">
      <c r="A7589" s="5">
        <v>44588</v>
      </c>
      <c r="B7589">
        <v>158.79863</v>
      </c>
    </row>
    <row r="7590" spans="1:2" x14ac:dyDescent="0.25">
      <c r="A7590" s="5">
        <v>44589</v>
      </c>
      <c r="B7590">
        <v>164.32505800000001</v>
      </c>
    </row>
    <row r="7591" spans="1:2" x14ac:dyDescent="0.25">
      <c r="A7591" s="5">
        <v>44592</v>
      </c>
      <c r="B7591">
        <v>173.14172400000001</v>
      </c>
    </row>
    <row r="7592" spans="1:2" x14ac:dyDescent="0.25">
      <c r="A7592" s="5">
        <v>44593</v>
      </c>
      <c r="B7592">
        <v>174.491333</v>
      </c>
    </row>
    <row r="7593" spans="1:2" x14ac:dyDescent="0.25">
      <c r="A7593" s="5">
        <v>44594</v>
      </c>
      <c r="B7593">
        <v>185.396423</v>
      </c>
    </row>
    <row r="7594" spans="1:2" x14ac:dyDescent="0.25">
      <c r="A7594" s="5">
        <v>44595</v>
      </c>
      <c r="B7594">
        <v>176.43197599999999</v>
      </c>
    </row>
    <row r="7595" spans="1:2" x14ac:dyDescent="0.25">
      <c r="A7595" s="5">
        <v>44596</v>
      </c>
      <c r="B7595">
        <v>176.79647800000001</v>
      </c>
    </row>
    <row r="7596" spans="1:2" x14ac:dyDescent="0.25">
      <c r="A7596" s="5">
        <v>44599</v>
      </c>
      <c r="B7596">
        <v>172.48172</v>
      </c>
    </row>
    <row r="7597" spans="1:2" x14ac:dyDescent="0.25">
      <c r="A7597" s="5">
        <v>44600</v>
      </c>
      <c r="B7597">
        <v>175.92958100000001</v>
      </c>
    </row>
    <row r="7598" spans="1:2" x14ac:dyDescent="0.25">
      <c r="A7598" s="5">
        <v>44601</v>
      </c>
      <c r="B7598">
        <v>181.209732</v>
      </c>
    </row>
    <row r="7599" spans="1:2" x14ac:dyDescent="0.25">
      <c r="A7599" s="5">
        <v>44602</v>
      </c>
      <c r="B7599">
        <v>171.47692900000001</v>
      </c>
    </row>
    <row r="7600" spans="1:2" x14ac:dyDescent="0.25">
      <c r="A7600" s="5">
        <v>44603</v>
      </c>
      <c r="B7600">
        <v>162.18739299999999</v>
      </c>
    </row>
    <row r="7601" spans="1:2" x14ac:dyDescent="0.25">
      <c r="A7601" s="5">
        <v>44606</v>
      </c>
      <c r="B7601">
        <v>162.67008999999999</v>
      </c>
    </row>
    <row r="7602" spans="1:2" x14ac:dyDescent="0.25">
      <c r="A7602" s="5">
        <v>44607</v>
      </c>
      <c r="B7602">
        <v>170.42285200000001</v>
      </c>
    </row>
    <row r="7603" spans="1:2" x14ac:dyDescent="0.25">
      <c r="A7603" s="5">
        <v>44608</v>
      </c>
      <c r="B7603">
        <v>170.028809</v>
      </c>
    </row>
    <row r="7604" spans="1:2" x14ac:dyDescent="0.25">
      <c r="A7604" s="5">
        <v>44609</v>
      </c>
      <c r="B7604">
        <v>164.31521599999999</v>
      </c>
    </row>
    <row r="7605" spans="1:2" x14ac:dyDescent="0.25">
      <c r="A7605" s="5">
        <v>44610</v>
      </c>
      <c r="B7605">
        <v>165.14269999999999</v>
      </c>
    </row>
    <row r="7606" spans="1:2" x14ac:dyDescent="0.25">
      <c r="A7606" s="5">
        <v>44614</v>
      </c>
      <c r="B7606">
        <v>163.41876199999999</v>
      </c>
    </row>
    <row r="7607" spans="1:2" x14ac:dyDescent="0.25">
      <c r="A7607" s="5">
        <v>44615</v>
      </c>
      <c r="B7607">
        <v>159.21237199999999</v>
      </c>
    </row>
    <row r="7608" spans="1:2" x14ac:dyDescent="0.25">
      <c r="A7608" s="5">
        <v>44616</v>
      </c>
      <c r="B7608">
        <v>165.47764599999999</v>
      </c>
    </row>
    <row r="7609" spans="1:2" x14ac:dyDescent="0.25">
      <c r="A7609" s="5">
        <v>44617</v>
      </c>
      <c r="B7609">
        <v>168.38368199999999</v>
      </c>
    </row>
    <row r="7610" spans="1:2" x14ac:dyDescent="0.25">
      <c r="A7610" s="5">
        <v>44620</v>
      </c>
      <c r="B7610">
        <v>169.42790199999999</v>
      </c>
    </row>
    <row r="7611" spans="1:2" x14ac:dyDescent="0.25">
      <c r="A7611" s="5">
        <v>44621</v>
      </c>
      <c r="B7611">
        <v>161.25155599999999</v>
      </c>
    </row>
    <row r="7612" spans="1:2" x14ac:dyDescent="0.25">
      <c r="A7612" s="5">
        <v>44622</v>
      </c>
      <c r="B7612">
        <v>167.42422500000001</v>
      </c>
    </row>
    <row r="7613" spans="1:2" x14ac:dyDescent="0.25">
      <c r="A7613" s="5">
        <v>44623</v>
      </c>
      <c r="B7613">
        <v>163.566315</v>
      </c>
    </row>
    <row r="7614" spans="1:2" x14ac:dyDescent="0.25">
      <c r="A7614" s="5">
        <v>44624</v>
      </c>
      <c r="B7614">
        <v>160.50962799999999</v>
      </c>
    </row>
    <row r="7615" spans="1:2" x14ac:dyDescent="0.25">
      <c r="A7615" s="5">
        <v>44627</v>
      </c>
      <c r="B7615">
        <v>148.48080400000001</v>
      </c>
    </row>
    <row r="7616" spans="1:2" x14ac:dyDescent="0.25">
      <c r="A7616" s="5">
        <v>44628</v>
      </c>
      <c r="B7616">
        <v>149.13368199999999</v>
      </c>
    </row>
    <row r="7617" spans="1:2" x14ac:dyDescent="0.25">
      <c r="A7617" s="5">
        <v>44629</v>
      </c>
      <c r="B7617">
        <v>155.41519199999999</v>
      </c>
    </row>
    <row r="7618" spans="1:2" x14ac:dyDescent="0.25">
      <c r="A7618" s="5">
        <v>44630</v>
      </c>
      <c r="B7618">
        <v>153.041077</v>
      </c>
    </row>
    <row r="7619" spans="1:2" x14ac:dyDescent="0.25">
      <c r="A7619" s="5">
        <v>44631</v>
      </c>
      <c r="B7619">
        <v>150.69664</v>
      </c>
    </row>
    <row r="7620" spans="1:2" x14ac:dyDescent="0.25">
      <c r="A7620" s="5">
        <v>44634</v>
      </c>
      <c r="B7620">
        <v>139.765839</v>
      </c>
    </row>
    <row r="7621" spans="1:2" x14ac:dyDescent="0.25">
      <c r="A7621" s="5">
        <v>44635</v>
      </c>
      <c r="B7621">
        <v>142.654358</v>
      </c>
    </row>
    <row r="7622" spans="1:2" x14ac:dyDescent="0.25">
      <c r="A7622" s="5">
        <v>44636</v>
      </c>
      <c r="B7622">
        <v>148.82702599999999</v>
      </c>
    </row>
    <row r="7623" spans="1:2" x14ac:dyDescent="0.25">
      <c r="A7623" s="5">
        <v>44637</v>
      </c>
      <c r="B7623">
        <v>151.181366</v>
      </c>
    </row>
    <row r="7624" spans="1:2" x14ac:dyDescent="0.25">
      <c r="A7624" s="5">
        <v>44638</v>
      </c>
      <c r="B7624">
        <v>152.328857</v>
      </c>
    </row>
    <row r="7625" spans="1:2" x14ac:dyDescent="0.25">
      <c r="A7625" s="5">
        <v>44641</v>
      </c>
      <c r="B7625">
        <v>153.91159099999999</v>
      </c>
    </row>
    <row r="7626" spans="1:2" x14ac:dyDescent="0.25">
      <c r="A7626" s="5">
        <v>44642</v>
      </c>
      <c r="B7626">
        <v>155.90978999999999</v>
      </c>
    </row>
    <row r="7627" spans="1:2" x14ac:dyDescent="0.25">
      <c r="A7627" s="5">
        <v>44643</v>
      </c>
      <c r="B7627">
        <v>151.22091699999999</v>
      </c>
    </row>
    <row r="7628" spans="1:2" x14ac:dyDescent="0.25">
      <c r="A7628" s="5">
        <v>44644</v>
      </c>
      <c r="B7628">
        <v>156.75062600000001</v>
      </c>
    </row>
    <row r="7629" spans="1:2" x14ac:dyDescent="0.25">
      <c r="A7629" s="5">
        <v>44645</v>
      </c>
      <c r="B7629">
        <v>156.26591500000001</v>
      </c>
    </row>
    <row r="7630" spans="1:2" x14ac:dyDescent="0.25">
      <c r="A7630" s="5">
        <v>44648</v>
      </c>
      <c r="B7630">
        <v>156.74073799999999</v>
      </c>
    </row>
    <row r="7631" spans="1:2" x14ac:dyDescent="0.25">
      <c r="A7631" s="5">
        <v>44649</v>
      </c>
      <c r="B7631">
        <v>159.33248900000001</v>
      </c>
    </row>
    <row r="7632" spans="1:2" x14ac:dyDescent="0.25">
      <c r="A7632" s="5">
        <v>44650</v>
      </c>
      <c r="B7632">
        <v>151.08244300000001</v>
      </c>
    </row>
    <row r="7633" spans="1:2" x14ac:dyDescent="0.25">
      <c r="A7633" s="5">
        <v>44651</v>
      </c>
      <c r="B7633">
        <v>151.17147800000001</v>
      </c>
    </row>
    <row r="7634" spans="1:2" x14ac:dyDescent="0.25">
      <c r="A7634" s="5">
        <v>44652</v>
      </c>
      <c r="B7634">
        <v>145.40437299999999</v>
      </c>
    </row>
    <row r="7635" spans="1:2" x14ac:dyDescent="0.25">
      <c r="A7635" s="5">
        <v>44655</v>
      </c>
      <c r="B7635">
        <v>152.15078700000001</v>
      </c>
    </row>
    <row r="7636" spans="1:2" x14ac:dyDescent="0.25">
      <c r="A7636" s="5">
        <v>44656</v>
      </c>
      <c r="B7636">
        <v>143.89086900000001</v>
      </c>
    </row>
    <row r="7637" spans="1:2" x14ac:dyDescent="0.25">
      <c r="A7637" s="5">
        <v>44657</v>
      </c>
      <c r="B7637">
        <v>137.77752699999999</v>
      </c>
    </row>
    <row r="7638" spans="1:2" x14ac:dyDescent="0.25">
      <c r="A7638" s="5">
        <v>44658</v>
      </c>
      <c r="B7638">
        <v>137.71816999999999</v>
      </c>
    </row>
    <row r="7639" spans="1:2" x14ac:dyDescent="0.25">
      <c r="A7639" s="5">
        <v>44659</v>
      </c>
      <c r="B7639">
        <v>135.21546900000001</v>
      </c>
    </row>
    <row r="7640" spans="1:2" x14ac:dyDescent="0.25">
      <c r="A7640" s="5">
        <v>44662</v>
      </c>
      <c r="B7640">
        <v>133.89982599999999</v>
      </c>
    </row>
    <row r="7641" spans="1:2" x14ac:dyDescent="0.25">
      <c r="A7641" s="5">
        <v>44663</v>
      </c>
      <c r="B7641">
        <v>134.621948</v>
      </c>
    </row>
    <row r="7642" spans="1:2" x14ac:dyDescent="0.25">
      <c r="A7642" s="5">
        <v>44664</v>
      </c>
      <c r="B7642">
        <v>138.984375</v>
      </c>
    </row>
    <row r="7643" spans="1:2" x14ac:dyDescent="0.25">
      <c r="A7643" s="5">
        <v>44665</v>
      </c>
      <c r="B7643">
        <v>135.43310500000001</v>
      </c>
    </row>
    <row r="7644" spans="1:2" x14ac:dyDescent="0.25">
      <c r="A7644" s="5">
        <v>44669</v>
      </c>
      <c r="B7644">
        <v>137.817093</v>
      </c>
    </row>
    <row r="7645" spans="1:2" x14ac:dyDescent="0.25">
      <c r="A7645" s="5">
        <v>44670</v>
      </c>
      <c r="B7645">
        <v>139.52844200000001</v>
      </c>
    </row>
    <row r="7646" spans="1:2" x14ac:dyDescent="0.25">
      <c r="A7646" s="5">
        <v>44671</v>
      </c>
      <c r="B7646">
        <v>138.82607999999999</v>
      </c>
    </row>
    <row r="7647" spans="1:2" x14ac:dyDescent="0.25">
      <c r="A7647" s="5">
        <v>44672</v>
      </c>
      <c r="B7647">
        <v>134.64172400000001</v>
      </c>
    </row>
    <row r="7648" spans="1:2" x14ac:dyDescent="0.25">
      <c r="A7648" s="5">
        <v>44673</v>
      </c>
      <c r="B7648">
        <v>131.377319</v>
      </c>
    </row>
    <row r="7649" spans="1:2" x14ac:dyDescent="0.25">
      <c r="A7649" s="5">
        <v>44676</v>
      </c>
      <c r="B7649">
        <v>135.08686800000001</v>
      </c>
    </row>
    <row r="7650" spans="1:2" x14ac:dyDescent="0.25">
      <c r="A7650" s="5">
        <v>44677</v>
      </c>
      <c r="B7650">
        <v>132.05989099999999</v>
      </c>
    </row>
    <row r="7651" spans="1:2" x14ac:dyDescent="0.25">
      <c r="A7651" s="5">
        <v>44678</v>
      </c>
      <c r="B7651">
        <v>133.642639</v>
      </c>
    </row>
    <row r="7652" spans="1:2" x14ac:dyDescent="0.25">
      <c r="A7652" s="5">
        <v>44679</v>
      </c>
      <c r="B7652">
        <v>146.59141500000001</v>
      </c>
    </row>
    <row r="7653" spans="1:2" x14ac:dyDescent="0.25">
      <c r="A7653" s="5">
        <v>44680</v>
      </c>
      <c r="B7653">
        <v>138.18310500000001</v>
      </c>
    </row>
    <row r="7654" spans="1:2" x14ac:dyDescent="0.25">
      <c r="A7654" s="5">
        <v>44683</v>
      </c>
      <c r="B7654">
        <v>143.70292699999999</v>
      </c>
    </row>
    <row r="7655" spans="1:2" x14ac:dyDescent="0.25">
      <c r="A7655" s="5">
        <v>44684</v>
      </c>
      <c r="B7655">
        <v>142.70379600000001</v>
      </c>
    </row>
    <row r="7656" spans="1:2" x14ac:dyDescent="0.25">
      <c r="A7656" s="5">
        <v>44685</v>
      </c>
      <c r="B7656">
        <v>147.442139</v>
      </c>
    </row>
    <row r="7657" spans="1:2" x14ac:dyDescent="0.25">
      <c r="A7657" s="5">
        <v>44686</v>
      </c>
      <c r="B7657">
        <v>140.112076</v>
      </c>
    </row>
    <row r="7658" spans="1:2" x14ac:dyDescent="0.25">
      <c r="A7658" s="5">
        <v>44687</v>
      </c>
      <c r="B7658">
        <v>139.06350699999999</v>
      </c>
    </row>
    <row r="7659" spans="1:2" x14ac:dyDescent="0.25">
      <c r="A7659" s="5">
        <v>44690</v>
      </c>
      <c r="B7659">
        <v>133.46455399999999</v>
      </c>
    </row>
    <row r="7660" spans="1:2" x14ac:dyDescent="0.25">
      <c r="A7660" s="5">
        <v>44691</v>
      </c>
      <c r="B7660">
        <v>135.33416700000001</v>
      </c>
    </row>
    <row r="7661" spans="1:2" x14ac:dyDescent="0.25">
      <c r="A7661" s="5">
        <v>44692</v>
      </c>
      <c r="B7661">
        <v>130.87283300000001</v>
      </c>
    </row>
    <row r="7662" spans="1:2" x14ac:dyDescent="0.25">
      <c r="A7662" s="5">
        <v>44693</v>
      </c>
      <c r="B7662">
        <v>130.34854100000001</v>
      </c>
    </row>
    <row r="7663" spans="1:2" x14ac:dyDescent="0.25">
      <c r="A7663" s="5">
        <v>44694</v>
      </c>
      <c r="B7663">
        <v>133.474457</v>
      </c>
    </row>
    <row r="7664" spans="1:2" x14ac:dyDescent="0.25">
      <c r="A7664" s="5">
        <v>44697</v>
      </c>
      <c r="B7664">
        <v>132.46546900000001</v>
      </c>
    </row>
    <row r="7665" spans="1:2" x14ac:dyDescent="0.25">
      <c r="A7665" s="5">
        <v>44698</v>
      </c>
      <c r="B7665">
        <v>138.18310500000001</v>
      </c>
    </row>
    <row r="7666" spans="1:2" x14ac:dyDescent="0.25">
      <c r="A7666" s="5">
        <v>44699</v>
      </c>
      <c r="B7666">
        <v>129.04276999999999</v>
      </c>
    </row>
    <row r="7667" spans="1:2" x14ac:dyDescent="0.25">
      <c r="A7667" s="5">
        <v>44700</v>
      </c>
      <c r="B7667">
        <v>129.16149899999999</v>
      </c>
    </row>
    <row r="7668" spans="1:2" x14ac:dyDescent="0.25">
      <c r="A7668" s="5">
        <v>44701</v>
      </c>
      <c r="B7668">
        <v>130.18038899999999</v>
      </c>
    </row>
    <row r="7669" spans="1:2" x14ac:dyDescent="0.25">
      <c r="A7669" s="5">
        <v>44704</v>
      </c>
      <c r="B7669">
        <v>130.69476299999999</v>
      </c>
    </row>
    <row r="7670" spans="1:2" x14ac:dyDescent="0.25">
      <c r="A7670" s="5">
        <v>44705</v>
      </c>
      <c r="B7670">
        <v>127.143486</v>
      </c>
    </row>
    <row r="7671" spans="1:2" x14ac:dyDescent="0.25">
      <c r="A7671" s="5">
        <v>44706</v>
      </c>
      <c r="B7671">
        <v>129.81436199999999</v>
      </c>
    </row>
    <row r="7672" spans="1:2" x14ac:dyDescent="0.25">
      <c r="A7672" s="5">
        <v>44707</v>
      </c>
      <c r="B7672">
        <v>133.38542200000001</v>
      </c>
    </row>
    <row r="7673" spans="1:2" x14ac:dyDescent="0.25">
      <c r="A7673" s="5">
        <v>44708</v>
      </c>
      <c r="B7673">
        <v>138.25235000000001</v>
      </c>
    </row>
    <row r="7674" spans="1:2" x14ac:dyDescent="0.25">
      <c r="A7674" s="5">
        <v>44712</v>
      </c>
      <c r="B7674">
        <v>141.67501799999999</v>
      </c>
    </row>
    <row r="7675" spans="1:2" x14ac:dyDescent="0.25">
      <c r="A7675" s="5">
        <v>44713</v>
      </c>
      <c r="B7675">
        <v>139.23869300000001</v>
      </c>
    </row>
    <row r="7676" spans="1:2" x14ac:dyDescent="0.25">
      <c r="A7676" s="5">
        <v>44714</v>
      </c>
      <c r="B7676">
        <v>145.38420099999999</v>
      </c>
    </row>
    <row r="7677" spans="1:2" x14ac:dyDescent="0.25">
      <c r="A7677" s="5">
        <v>44715</v>
      </c>
      <c r="B7677">
        <v>140.432007</v>
      </c>
    </row>
    <row r="7678" spans="1:2" x14ac:dyDescent="0.25">
      <c r="A7678" s="5">
        <v>44718</v>
      </c>
      <c r="B7678">
        <v>139.65635700000001</v>
      </c>
    </row>
    <row r="7679" spans="1:2" x14ac:dyDescent="0.25">
      <c r="A7679" s="5">
        <v>44719</v>
      </c>
      <c r="B7679">
        <v>141.09826699999999</v>
      </c>
    </row>
    <row r="7680" spans="1:2" x14ac:dyDescent="0.25">
      <c r="A7680" s="5">
        <v>44720</v>
      </c>
      <c r="B7680">
        <v>138.18461600000001</v>
      </c>
    </row>
    <row r="7681" spans="1:2" x14ac:dyDescent="0.25">
      <c r="A7681" s="5">
        <v>44721</v>
      </c>
      <c r="B7681">
        <v>135.94717399999999</v>
      </c>
    </row>
    <row r="7682" spans="1:2" x14ac:dyDescent="0.25">
      <c r="A7682" s="5">
        <v>44722</v>
      </c>
      <c r="B7682">
        <v>132.45674099999999</v>
      </c>
    </row>
    <row r="7683" spans="1:2" x14ac:dyDescent="0.25">
      <c r="A7683" s="5">
        <v>44725</v>
      </c>
      <c r="B7683">
        <v>127.94208500000001</v>
      </c>
    </row>
    <row r="7684" spans="1:2" x14ac:dyDescent="0.25">
      <c r="A7684" s="5">
        <v>44726</v>
      </c>
      <c r="B7684">
        <v>129.53315699999999</v>
      </c>
    </row>
    <row r="7685" spans="1:2" x14ac:dyDescent="0.25">
      <c r="A7685" s="5">
        <v>44727</v>
      </c>
      <c r="B7685">
        <v>130.29885899999999</v>
      </c>
    </row>
    <row r="7686" spans="1:2" x14ac:dyDescent="0.25">
      <c r="A7686" s="5">
        <v>44728</v>
      </c>
      <c r="B7686">
        <v>120.14582799999999</v>
      </c>
    </row>
    <row r="7687" spans="1:2" x14ac:dyDescent="0.25">
      <c r="A7687" s="5">
        <v>44729</v>
      </c>
      <c r="B7687">
        <v>120.31488</v>
      </c>
    </row>
    <row r="7688" spans="1:2" x14ac:dyDescent="0.25">
      <c r="A7688" s="5">
        <v>44733</v>
      </c>
      <c r="B7688">
        <v>123.695908</v>
      </c>
    </row>
    <row r="7689" spans="1:2" x14ac:dyDescent="0.25">
      <c r="A7689" s="5">
        <v>44734</v>
      </c>
      <c r="B7689">
        <v>121.47835499999999</v>
      </c>
    </row>
    <row r="7690" spans="1:2" x14ac:dyDescent="0.25">
      <c r="A7690" s="5">
        <v>44735</v>
      </c>
      <c r="B7690">
        <v>119.419899</v>
      </c>
    </row>
    <row r="7691" spans="1:2" x14ac:dyDescent="0.25">
      <c r="A7691" s="5">
        <v>44736</v>
      </c>
      <c r="B7691">
        <v>124.40194700000001</v>
      </c>
    </row>
    <row r="7692" spans="1:2" x14ac:dyDescent="0.25">
      <c r="A7692" s="5">
        <v>44739</v>
      </c>
      <c r="B7692">
        <v>126.47034499999999</v>
      </c>
    </row>
    <row r="7693" spans="1:2" x14ac:dyDescent="0.25">
      <c r="A7693" s="5">
        <v>44740</v>
      </c>
      <c r="B7693">
        <v>130.865692</v>
      </c>
    </row>
    <row r="7694" spans="1:2" x14ac:dyDescent="0.25">
      <c r="A7694" s="5">
        <v>44741</v>
      </c>
      <c r="B7694">
        <v>129.50332599999999</v>
      </c>
    </row>
    <row r="7695" spans="1:2" x14ac:dyDescent="0.25">
      <c r="A7695" s="5">
        <v>44742</v>
      </c>
      <c r="B7695">
        <v>127.027214</v>
      </c>
    </row>
    <row r="7696" spans="1:2" x14ac:dyDescent="0.25">
      <c r="A7696" s="5">
        <v>44743</v>
      </c>
      <c r="B7696">
        <v>122.840706</v>
      </c>
    </row>
    <row r="7697" spans="1:2" x14ac:dyDescent="0.25">
      <c r="A7697" s="5">
        <v>44747</v>
      </c>
      <c r="B7697">
        <v>125.127876</v>
      </c>
    </row>
    <row r="7698" spans="1:2" x14ac:dyDescent="0.25">
      <c r="A7698" s="5">
        <v>44748</v>
      </c>
      <c r="B7698">
        <v>126.351006</v>
      </c>
    </row>
    <row r="7699" spans="1:2" x14ac:dyDescent="0.25">
      <c r="A7699" s="5">
        <v>44749</v>
      </c>
      <c r="B7699">
        <v>133.65005500000001</v>
      </c>
    </row>
    <row r="7700" spans="1:2" x14ac:dyDescent="0.25">
      <c r="A7700" s="5">
        <v>44750</v>
      </c>
      <c r="B7700">
        <v>135.251068</v>
      </c>
    </row>
    <row r="7701" spans="1:2" x14ac:dyDescent="0.25">
      <c r="A7701" s="5">
        <v>44753</v>
      </c>
      <c r="B7701">
        <v>131.502106</v>
      </c>
    </row>
    <row r="7702" spans="1:2" x14ac:dyDescent="0.25">
      <c r="A7702" s="5">
        <v>44754</v>
      </c>
      <c r="B7702">
        <v>132.208145</v>
      </c>
    </row>
    <row r="7703" spans="1:2" x14ac:dyDescent="0.25">
      <c r="A7703" s="5">
        <v>44755</v>
      </c>
      <c r="B7703">
        <v>134.88313299999999</v>
      </c>
    </row>
    <row r="7704" spans="1:2" x14ac:dyDescent="0.25">
      <c r="A7704" s="5">
        <v>44756</v>
      </c>
      <c r="B7704">
        <v>141.10820000000001</v>
      </c>
    </row>
    <row r="7705" spans="1:2" x14ac:dyDescent="0.25">
      <c r="A7705" s="5">
        <v>44757</v>
      </c>
      <c r="B7705">
        <v>143.56442300000001</v>
      </c>
    </row>
    <row r="7706" spans="1:2" x14ac:dyDescent="0.25">
      <c r="A7706" s="5">
        <v>44760</v>
      </c>
      <c r="B7706">
        <v>140.899384</v>
      </c>
    </row>
    <row r="7707" spans="1:2" x14ac:dyDescent="0.25">
      <c r="A7707" s="5">
        <v>44761</v>
      </c>
      <c r="B7707">
        <v>146.547684</v>
      </c>
    </row>
    <row r="7708" spans="1:2" x14ac:dyDescent="0.25">
      <c r="A7708" s="5">
        <v>44762</v>
      </c>
      <c r="B7708">
        <v>150.86348000000001</v>
      </c>
    </row>
    <row r="7709" spans="1:2" x14ac:dyDescent="0.25">
      <c r="A7709" s="5">
        <v>44763</v>
      </c>
      <c r="B7709">
        <v>154.99031099999999</v>
      </c>
    </row>
    <row r="7710" spans="1:2" x14ac:dyDescent="0.25">
      <c r="A7710" s="5">
        <v>44764</v>
      </c>
      <c r="B7710">
        <v>152.84236100000001</v>
      </c>
    </row>
    <row r="7711" spans="1:2" x14ac:dyDescent="0.25">
      <c r="A7711" s="5">
        <v>44767</v>
      </c>
      <c r="B7711">
        <v>152.394867</v>
      </c>
    </row>
    <row r="7712" spans="1:2" x14ac:dyDescent="0.25">
      <c r="A7712" s="5">
        <v>44768</v>
      </c>
      <c r="B7712">
        <v>149.13317900000001</v>
      </c>
    </row>
    <row r="7713" spans="1:2" x14ac:dyDescent="0.25">
      <c r="A7713" s="5">
        <v>44769</v>
      </c>
      <c r="B7713">
        <v>152.563919</v>
      </c>
    </row>
    <row r="7714" spans="1:2" x14ac:dyDescent="0.25">
      <c r="A7714" s="5">
        <v>44770</v>
      </c>
      <c r="B7714">
        <v>145.632813</v>
      </c>
    </row>
    <row r="7715" spans="1:2" x14ac:dyDescent="0.25">
      <c r="A7715" s="5">
        <v>44771</v>
      </c>
      <c r="B7715">
        <v>144.25056499999999</v>
      </c>
    </row>
    <row r="7716" spans="1:2" x14ac:dyDescent="0.25">
      <c r="A7716" s="5">
        <v>44774</v>
      </c>
      <c r="B7716">
        <v>146.60734600000001</v>
      </c>
    </row>
    <row r="7717" spans="1:2" x14ac:dyDescent="0.25">
      <c r="A7717" s="5">
        <v>44775</v>
      </c>
      <c r="B7717">
        <v>146.20957899999999</v>
      </c>
    </row>
    <row r="7718" spans="1:2" x14ac:dyDescent="0.25">
      <c r="A7718" s="5">
        <v>44776</v>
      </c>
      <c r="B7718">
        <v>148.327698</v>
      </c>
    </row>
    <row r="7719" spans="1:2" x14ac:dyDescent="0.25">
      <c r="A7719" s="5">
        <v>44777</v>
      </c>
      <c r="B7719">
        <v>150.167374</v>
      </c>
    </row>
    <row r="7720" spans="1:2" x14ac:dyDescent="0.25">
      <c r="A7720" s="5">
        <v>44778</v>
      </c>
      <c r="B7720">
        <v>149.37184099999999</v>
      </c>
    </row>
    <row r="7721" spans="1:2" x14ac:dyDescent="0.25">
      <c r="A7721" s="5">
        <v>44781</v>
      </c>
      <c r="B7721">
        <v>146.985229</v>
      </c>
    </row>
    <row r="7722" spans="1:2" x14ac:dyDescent="0.25">
      <c r="A7722" s="5">
        <v>44782</v>
      </c>
      <c r="B7722">
        <v>141.714798</v>
      </c>
    </row>
    <row r="7723" spans="1:2" x14ac:dyDescent="0.25">
      <c r="A7723" s="5">
        <v>44783</v>
      </c>
      <c r="B7723">
        <v>146.169815</v>
      </c>
    </row>
    <row r="7724" spans="1:2" x14ac:dyDescent="0.25">
      <c r="A7724" s="5">
        <v>44784</v>
      </c>
      <c r="B7724">
        <v>147.005112</v>
      </c>
    </row>
    <row r="7725" spans="1:2" x14ac:dyDescent="0.25">
      <c r="A7725" s="5">
        <v>44785</v>
      </c>
      <c r="B7725">
        <v>150.44580099999999</v>
      </c>
    </row>
    <row r="7726" spans="1:2" x14ac:dyDescent="0.25">
      <c r="A7726" s="5">
        <v>44788</v>
      </c>
      <c r="B7726">
        <v>151.281128</v>
      </c>
    </row>
    <row r="7727" spans="1:2" x14ac:dyDescent="0.25">
      <c r="A7727" s="5">
        <v>44789</v>
      </c>
      <c r="B7727">
        <v>149.19284099999999</v>
      </c>
    </row>
    <row r="7728" spans="1:2" x14ac:dyDescent="0.25">
      <c r="A7728" s="5">
        <v>44790</v>
      </c>
      <c r="B7728">
        <v>147.70120199999999</v>
      </c>
    </row>
    <row r="7729" spans="1:2" x14ac:dyDescent="0.25">
      <c r="A7729" s="5">
        <v>44791</v>
      </c>
      <c r="B7729">
        <v>150.53530900000001</v>
      </c>
    </row>
    <row r="7730" spans="1:2" x14ac:dyDescent="0.25">
      <c r="A7730" s="5">
        <v>44792</v>
      </c>
      <c r="B7730">
        <v>146.77641299999999</v>
      </c>
    </row>
    <row r="7731" spans="1:2" x14ac:dyDescent="0.25">
      <c r="A7731" s="5">
        <v>44795</v>
      </c>
      <c r="B7731">
        <v>140.81982400000001</v>
      </c>
    </row>
    <row r="7732" spans="1:2" x14ac:dyDescent="0.25">
      <c r="A7732" s="5">
        <v>44796</v>
      </c>
      <c r="B7732">
        <v>139.93478400000001</v>
      </c>
    </row>
    <row r="7733" spans="1:2" x14ac:dyDescent="0.25">
      <c r="A7733" s="5">
        <v>44797</v>
      </c>
      <c r="B7733">
        <v>140.5215</v>
      </c>
    </row>
    <row r="7734" spans="1:2" x14ac:dyDescent="0.25">
      <c r="A7734" s="5">
        <v>44798</v>
      </c>
      <c r="B7734">
        <v>145.43392900000001</v>
      </c>
    </row>
    <row r="7735" spans="1:2" x14ac:dyDescent="0.25">
      <c r="A7735" s="5">
        <v>44799</v>
      </c>
      <c r="B7735">
        <v>137.60784899999999</v>
      </c>
    </row>
    <row r="7736" spans="1:2" x14ac:dyDescent="0.25">
      <c r="A7736" s="5">
        <v>44802</v>
      </c>
      <c r="B7736">
        <v>136.31510900000001</v>
      </c>
    </row>
    <row r="7737" spans="1:2" x14ac:dyDescent="0.25">
      <c r="A7737" s="5">
        <v>44803</v>
      </c>
      <c r="B7737">
        <v>133.66000399999999</v>
      </c>
    </row>
    <row r="7738" spans="1:2" x14ac:dyDescent="0.25">
      <c r="A7738" s="5">
        <v>44804</v>
      </c>
      <c r="B7738">
        <v>132.270004</v>
      </c>
    </row>
    <row r="7739" spans="1:2" x14ac:dyDescent="0.25">
      <c r="A7739" s="5">
        <v>44805</v>
      </c>
      <c r="B7739">
        <v>129.91999799999999</v>
      </c>
    </row>
    <row r="7740" spans="1:2" x14ac:dyDescent="0.25">
      <c r="A7740" s="5">
        <v>44806</v>
      </c>
      <c r="B7740">
        <v>128.479996</v>
      </c>
    </row>
    <row r="7741" spans="1:2" x14ac:dyDescent="0.25">
      <c r="A7741" s="5">
        <v>44810</v>
      </c>
      <c r="B7741">
        <v>126.66999800000001</v>
      </c>
    </row>
    <row r="7742" spans="1:2" x14ac:dyDescent="0.25">
      <c r="A7742" s="5">
        <v>44811</v>
      </c>
      <c r="B7742">
        <v>128.60000600000001</v>
      </c>
    </row>
    <row r="7743" spans="1:2" x14ac:dyDescent="0.25">
      <c r="A7743" s="5">
        <v>44812</v>
      </c>
      <c r="B7743">
        <v>128.85000600000001</v>
      </c>
    </row>
    <row r="7744" spans="1:2" x14ac:dyDescent="0.25">
      <c r="A7744" s="5">
        <v>44813</v>
      </c>
      <c r="B7744">
        <v>132.050003</v>
      </c>
    </row>
    <row r="7745" spans="1:2" x14ac:dyDescent="0.25">
      <c r="A7745" s="5">
        <v>44816</v>
      </c>
      <c r="B7745">
        <v>133</v>
      </c>
    </row>
    <row r="7746" spans="1:2" x14ac:dyDescent="0.25">
      <c r="A7746" s="5">
        <v>44817</v>
      </c>
      <c r="B7746">
        <v>124.93</v>
      </c>
    </row>
    <row r="7747" spans="1:2" x14ac:dyDescent="0.25">
      <c r="A7747" s="5">
        <v>44818</v>
      </c>
      <c r="B7747">
        <v>127.529999</v>
      </c>
    </row>
    <row r="7748" spans="1:2" x14ac:dyDescent="0.25">
      <c r="A7748" s="5">
        <v>44819</v>
      </c>
      <c r="B7748">
        <v>124.980003</v>
      </c>
    </row>
    <row r="7749" spans="1:2" x14ac:dyDescent="0.25">
      <c r="A7749" s="5">
        <v>44820</v>
      </c>
      <c r="B7749">
        <v>124.949997</v>
      </c>
    </row>
    <row r="7750" spans="1:2" x14ac:dyDescent="0.25">
      <c r="A7750" s="5">
        <v>44823</v>
      </c>
      <c r="B7750">
        <v>126.650002</v>
      </c>
    </row>
    <row r="7751" spans="1:2" x14ac:dyDescent="0.25">
      <c r="A7751" s="5">
        <v>44824</v>
      </c>
      <c r="B7751">
        <v>124.769997</v>
      </c>
    </row>
    <row r="7752" spans="1:2" x14ac:dyDescent="0.25">
      <c r="A7752" s="5">
        <v>44825</v>
      </c>
      <c r="B7752">
        <v>124.620003</v>
      </c>
    </row>
    <row r="7753" spans="1:2" x14ac:dyDescent="0.25">
      <c r="A7753" s="5">
        <v>44826</v>
      </c>
      <c r="B7753">
        <v>123.68</v>
      </c>
    </row>
    <row r="7754" spans="1:2" x14ac:dyDescent="0.25">
      <c r="A7754" s="5">
        <v>44827</v>
      </c>
      <c r="B7754">
        <v>121.19000200000001</v>
      </c>
    </row>
    <row r="7755" spans="1:2" x14ac:dyDescent="0.25">
      <c r="A7755" s="5">
        <v>44830</v>
      </c>
      <c r="B7755">
        <v>119.739998</v>
      </c>
    </row>
    <row r="7756" spans="1:2" x14ac:dyDescent="0.25">
      <c r="A7756" s="5">
        <v>44831</v>
      </c>
      <c r="B7756">
        <v>120.339996</v>
      </c>
    </row>
    <row r="7757" spans="1:2" x14ac:dyDescent="0.25">
      <c r="A7757" s="5">
        <v>44832</v>
      </c>
      <c r="B7757">
        <v>118.93</v>
      </c>
    </row>
    <row r="7758" spans="1:2" x14ac:dyDescent="0.25">
      <c r="A7758" s="5">
        <v>44833</v>
      </c>
      <c r="B7758">
        <v>114.839996</v>
      </c>
    </row>
    <row r="7759" spans="1:2" x14ac:dyDescent="0.25">
      <c r="A7759" s="5">
        <v>44834</v>
      </c>
      <c r="B7759">
        <v>112.980003</v>
      </c>
    </row>
    <row r="7760" spans="1:2" x14ac:dyDescent="0.25">
      <c r="A7760" s="5">
        <v>44837</v>
      </c>
      <c r="B7760">
        <v>117.220001</v>
      </c>
    </row>
    <row r="7761" spans="1:2" x14ac:dyDescent="0.25">
      <c r="A7761" s="5">
        <v>44838</v>
      </c>
      <c r="B7761">
        <v>122.370003</v>
      </c>
    </row>
    <row r="7762" spans="1:2" x14ac:dyDescent="0.25">
      <c r="A7762" s="5">
        <v>44839</v>
      </c>
      <c r="B7762">
        <v>124.889999</v>
      </c>
    </row>
    <row r="7763" spans="1:2" x14ac:dyDescent="0.25">
      <c r="A7763" s="5">
        <v>44840</v>
      </c>
      <c r="B7763">
        <v>125.279999</v>
      </c>
    </row>
    <row r="7764" spans="1:2" x14ac:dyDescent="0.25">
      <c r="A7764" s="5">
        <v>44841</v>
      </c>
      <c r="B7764">
        <v>120.910004</v>
      </c>
    </row>
    <row r="7765" spans="1:2" x14ac:dyDescent="0.25">
      <c r="A7765" s="5">
        <v>44844</v>
      </c>
      <c r="B7765">
        <v>114.599998</v>
      </c>
    </row>
    <row r="7766" spans="1:2" x14ac:dyDescent="0.25">
      <c r="A7766" s="5">
        <v>44845</v>
      </c>
      <c r="B7766">
        <v>110.029999</v>
      </c>
    </row>
    <row r="7767" spans="1:2" x14ac:dyDescent="0.25">
      <c r="A7767" s="5">
        <v>44846</v>
      </c>
      <c r="B7767">
        <v>108.639999</v>
      </c>
    </row>
    <row r="7768" spans="1:2" x14ac:dyDescent="0.25">
      <c r="A7768" s="5">
        <v>44847</v>
      </c>
      <c r="B7768">
        <v>112.860001</v>
      </c>
    </row>
    <row r="7769" spans="1:2" x14ac:dyDescent="0.25">
      <c r="A7769" s="5">
        <v>44848</v>
      </c>
      <c r="B7769">
        <v>109.949997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QCOM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2022-10-14T16:33:27Z</dcterms:created>
  <dcterms:modified xsi:type="dcterms:W3CDTF">2022-11-04T13:01:39Z</dcterms:modified>
</cp:coreProperties>
</file>