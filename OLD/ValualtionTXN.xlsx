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52" documentId="11_F25DC773A252ABDACC104830195C761C5ADE58EE" xr6:coauthVersionLast="47" xr6:coauthVersionMax="47" xr10:uidLastSave="{B607B5E1-2581-4F6D-9DBD-84A73C1E608D}"/>
  <bookViews>
    <workbookView xWindow="-108" yWindow="-108" windowWidth="23256" windowHeight="13176" xr2:uid="{00000000-000D-0000-FFFF-FFFF00000000}"/>
  </bookViews>
  <sheets>
    <sheet name="Valuation" sheetId="1" r:id="rId1"/>
    <sheet name="Sheet2" sheetId="3" r:id="rId2"/>
    <sheet name="TXN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" i="1" l="1"/>
  <c r="Z26" i="1"/>
  <c r="AA25" i="1"/>
  <c r="Z25" i="1"/>
  <c r="AA24" i="1"/>
  <c r="AA23" i="1"/>
  <c r="Z24" i="1"/>
  <c r="Z23" i="1"/>
  <c r="AA22" i="1"/>
  <c r="Z22" i="1"/>
  <c r="AA18" i="1"/>
  <c r="Z18" i="1"/>
  <c r="AA16" i="1"/>
  <c r="Z16" i="1"/>
  <c r="AA15" i="1"/>
  <c r="Z15" i="1"/>
  <c r="AA12" i="1"/>
  <c r="Z12" i="1"/>
  <c r="Z11" i="1"/>
  <c r="AA10" i="1"/>
  <c r="Z10" i="1"/>
  <c r="Z8" i="1"/>
  <c r="Z9" i="1"/>
  <c r="AA7" i="1"/>
  <c r="Z7" i="1"/>
  <c r="AA5" i="1"/>
  <c r="Z5" i="1"/>
  <c r="N37" i="1"/>
  <c r="O37" i="1" s="1"/>
  <c r="P37" i="1" s="1"/>
  <c r="Q37" i="1" s="1"/>
  <c r="R37" i="1" s="1"/>
  <c r="S37" i="1" s="1"/>
  <c r="T37" i="1" s="1"/>
  <c r="U37" i="1" s="1"/>
  <c r="V37" i="1" s="1"/>
  <c r="W37" i="1" s="1"/>
  <c r="N8" i="1"/>
  <c r="O8" i="1" s="1"/>
  <c r="P8" i="1" s="1"/>
  <c r="Q8" i="1" s="1"/>
  <c r="R8" i="1" s="1"/>
  <c r="S8" i="1" s="1"/>
  <c r="T8" i="1" s="1"/>
  <c r="U8" i="1" s="1"/>
  <c r="V8" i="1" s="1"/>
  <c r="W8" i="1" s="1"/>
  <c r="P3" i="1"/>
  <c r="Q3" i="1" s="1"/>
  <c r="R3" i="1" s="1"/>
  <c r="S3" i="1" s="1"/>
  <c r="T3" i="1" s="1"/>
  <c r="U3" i="1" s="1"/>
  <c r="V3" i="1" s="1"/>
  <c r="W3" i="1" s="1"/>
  <c r="O3" i="1"/>
  <c r="M35" i="1"/>
  <c r="M41" i="1"/>
  <c r="M39" i="1"/>
  <c r="M37" i="1"/>
  <c r="M29" i="1"/>
  <c r="M27" i="1"/>
  <c r="M25" i="1"/>
  <c r="M23" i="1"/>
  <c r="M21" i="1"/>
  <c r="M11" i="1"/>
  <c r="M9" i="1"/>
  <c r="M4" i="1"/>
  <c r="K27" i="1"/>
  <c r="J27" i="1"/>
  <c r="I27" i="1"/>
  <c r="H27" i="1"/>
  <c r="G27" i="1"/>
  <c r="F27" i="1"/>
  <c r="E27" i="1"/>
  <c r="D27" i="1"/>
  <c r="C27" i="1"/>
  <c r="L27" i="1"/>
  <c r="F23" i="1"/>
  <c r="F25" i="1" s="1"/>
  <c r="E23" i="1"/>
  <c r="E25" i="1" s="1"/>
  <c r="J19" i="1"/>
  <c r="I19" i="1"/>
  <c r="H19" i="1"/>
  <c r="F19" i="1"/>
  <c r="L17" i="1"/>
  <c r="L19" i="1" s="1"/>
  <c r="K17" i="1"/>
  <c r="K19" i="1" s="1"/>
  <c r="J17" i="1"/>
  <c r="I17" i="1"/>
  <c r="H17" i="1"/>
  <c r="G17" i="1"/>
  <c r="G19" i="1" s="1"/>
  <c r="F17" i="1"/>
  <c r="E17" i="1"/>
  <c r="E19" i="1" s="1"/>
  <c r="D17" i="1"/>
  <c r="D19" i="1" s="1"/>
  <c r="C17" i="1"/>
  <c r="C19" i="1" s="1"/>
  <c r="C15" i="1"/>
  <c r="D15" i="1"/>
  <c r="E15" i="1"/>
  <c r="F15" i="1"/>
  <c r="G15" i="1"/>
  <c r="H15" i="1"/>
  <c r="I15" i="1"/>
  <c r="J15" i="1"/>
  <c r="K15" i="1"/>
  <c r="L15" i="1"/>
  <c r="L13" i="1"/>
  <c r="C18" i="1"/>
  <c r="D18" i="1"/>
  <c r="E18" i="1"/>
  <c r="F18" i="1"/>
  <c r="G18" i="1"/>
  <c r="H18" i="1"/>
  <c r="I18" i="1"/>
  <c r="J18" i="1"/>
  <c r="K18" i="1"/>
  <c r="L18" i="1"/>
  <c r="L21" i="1"/>
  <c r="L23" i="1" s="1"/>
  <c r="L25" i="1" s="1"/>
  <c r="K21" i="1"/>
  <c r="K23" i="1" s="1"/>
  <c r="K25" i="1" s="1"/>
  <c r="J21" i="1"/>
  <c r="J23" i="1" s="1"/>
  <c r="J25" i="1" s="1"/>
  <c r="I21" i="1"/>
  <c r="I23" i="1" s="1"/>
  <c r="I25" i="1" s="1"/>
  <c r="H21" i="1"/>
  <c r="H23" i="1" s="1"/>
  <c r="H25" i="1" s="1"/>
  <c r="G21" i="1"/>
  <c r="G23" i="1" s="1"/>
  <c r="G25" i="1" s="1"/>
  <c r="F21" i="1"/>
  <c r="E21" i="1"/>
  <c r="D21" i="1"/>
  <c r="D23" i="1" s="1"/>
  <c r="D25" i="1" s="1"/>
  <c r="C21" i="1"/>
  <c r="C23" i="1" s="1"/>
  <c r="C25" i="1" s="1"/>
  <c r="D30" i="3" a="1"/>
  <c r="D30" i="3" s="1"/>
  <c r="L9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C8" i="1"/>
  <c r="L8" i="1"/>
  <c r="J37" i="1"/>
  <c r="J41" i="1" s="1"/>
  <c r="I37" i="1"/>
  <c r="I41" i="1" s="1"/>
  <c r="G37" i="1"/>
  <c r="G41" i="1" s="1"/>
  <c r="F37" i="1"/>
  <c r="F41" i="1" s="1"/>
  <c r="K35" i="1"/>
  <c r="K37" i="1" s="1"/>
  <c r="K41" i="1" s="1"/>
  <c r="J35" i="1"/>
  <c r="I35" i="1"/>
  <c r="H35" i="1"/>
  <c r="H37" i="1" s="1"/>
  <c r="H41" i="1" s="1"/>
  <c r="G35" i="1"/>
  <c r="F35" i="1"/>
  <c r="E35" i="1"/>
  <c r="E37" i="1" s="1"/>
  <c r="E41" i="1" s="1"/>
  <c r="D35" i="1"/>
  <c r="D37" i="1" s="1"/>
  <c r="D41" i="1" s="1"/>
  <c r="C35" i="1"/>
  <c r="C37" i="1" s="1"/>
  <c r="C41" i="1" s="1"/>
  <c r="L35" i="1"/>
  <c r="L37" i="1" s="1"/>
  <c r="L41" i="1" s="1"/>
  <c r="L2" i="1"/>
  <c r="K2" i="1" s="1"/>
  <c r="J2" i="1" s="1"/>
  <c r="I2" i="1" s="1"/>
  <c r="H2" i="1" s="1"/>
  <c r="D3" i="1"/>
  <c r="E3" i="1" s="1"/>
  <c r="F3" i="1" s="1"/>
  <c r="G3" i="1" s="1"/>
  <c r="H3" i="1" s="1"/>
  <c r="I3" i="1" s="1"/>
  <c r="J3" i="1" s="1"/>
  <c r="K3" i="1" s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<sst xmlns="http://schemas.openxmlformats.org/spreadsheetml/2006/main" count="93" uniqueCount="83">
  <si>
    <t>Ticker</t>
  </si>
  <si>
    <t xml:space="preserve">Date </t>
  </si>
  <si>
    <t>22/12/2022</t>
  </si>
  <si>
    <t>TXN</t>
  </si>
  <si>
    <t>Revenue</t>
  </si>
  <si>
    <t>EBIT</t>
  </si>
  <si>
    <t>D&amp;A</t>
  </si>
  <si>
    <t>EBITDA</t>
  </si>
  <si>
    <t>CS Oustanding</t>
  </si>
  <si>
    <t>Excess Cash</t>
  </si>
  <si>
    <t>ST + LT Debt</t>
  </si>
  <si>
    <t>Working Capital</t>
  </si>
  <si>
    <t>Market Cap</t>
  </si>
  <si>
    <t>EV</t>
  </si>
  <si>
    <t>EV/EBITDA</t>
  </si>
  <si>
    <t>Net Debt/EBITDA</t>
  </si>
  <si>
    <t>Current Liabilities - Debt</t>
  </si>
  <si>
    <t>Current Assets - Cash</t>
  </si>
  <si>
    <t>CFO</t>
  </si>
  <si>
    <t>CapEx</t>
  </si>
  <si>
    <t>% growth</t>
  </si>
  <si>
    <t>Debt Issuance</t>
  </si>
  <si>
    <t>FCFE</t>
  </si>
  <si>
    <t>FCFE/SHR</t>
  </si>
  <si>
    <t>$/SHR</t>
  </si>
  <si>
    <t>FCFE Yield</t>
  </si>
  <si>
    <t>Adj Close</t>
  </si>
  <si>
    <t>Date</t>
  </si>
  <si>
    <t>Row Labels</t>
  </si>
  <si>
    <t>Grand Total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</si>
  <si>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</si>
  <si>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</si>
  <si>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</si>
  <si>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</si>
  <si>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</si>
  <si>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</si>
  <si>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</si>
  <si>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</si>
  <si>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</si>
  <si>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</si>
  <si>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</si>
  <si>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</si>
  <si>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</si>
  <si>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</si>
  <si>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</si>
  <si>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</si>
  <si>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</si>
  <si>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</si>
  <si>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</si>
  <si>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</si>
  <si>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</si>
  <si>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</si>
  <si>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</si>
  <si>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</si>
  <si>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</si>
  <si>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</si>
  <si>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</si>
  <si>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</si>
  <si>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</si>
  <si>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</si>
  <si>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</si>
  <si>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</si>
  <si>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</si>
  <si>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</si>
  <si>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</si>
  <si>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</si>
  <si>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</si>
  <si>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</si>
  <si>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</si>
  <si>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AVG/CAGR</t>
  </si>
  <si>
    <t>EBITDA Mulitple Method</t>
  </si>
  <si>
    <t>Year</t>
  </si>
  <si>
    <t>Multiple</t>
  </si>
  <si>
    <t>(-) Debt</t>
  </si>
  <si>
    <t>(+) Cash</t>
  </si>
  <si>
    <t>FCFE Yield Method</t>
  </si>
  <si>
    <t>Average Return Calculation</t>
  </si>
  <si>
    <t>Current Price</t>
  </si>
  <si>
    <t>13/01/2023</t>
  </si>
  <si>
    <t>EBITDA $/SHR</t>
  </si>
  <si>
    <t>FCFE $/SHR</t>
  </si>
  <si>
    <t>Average $/SHR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</si>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</sst>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_);_(@_)"/>
    <numFmt numFmtId="165" formatCode="0.0%"/>
    <numFmt numFmtId="166" formatCode="0.0\x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indent="1"/>
    </xf>
    <xf numFmtId="0" fontId="2" fillId="2" borderId="0" xfId="0" applyFont="1" applyFill="1" applyAlignment="1">
      <alignment horizontal="center"/>
    </xf>
    <xf numFmtId="42" fontId="0" fillId="0" borderId="0" xfId="0" applyNumberFormat="1"/>
    <xf numFmtId="44" fontId="0" fillId="0" borderId="0" xfId="0" applyNumberFormat="1"/>
    <xf numFmtId="9" fontId="6" fillId="0" borderId="0" xfId="1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6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/>
    <xf numFmtId="42" fontId="0" fillId="0" borderId="0" xfId="0" applyNumberFormat="1" applyFont="1"/>
    <xf numFmtId="3" fontId="0" fillId="0" borderId="0" xfId="0" applyNumberFormat="1" applyFont="1"/>
    <xf numFmtId="0" fontId="0" fillId="0" borderId="0" xfId="0" applyFont="1"/>
    <xf numFmtId="0" fontId="0" fillId="0" borderId="0" xfId="0" applyAlignment="1">
      <alignment horizontal="center"/>
    </xf>
    <xf numFmtId="165" fontId="7" fillId="0" borderId="0" xfId="0" applyNumberFormat="1" applyFont="1" applyAlignment="1">
      <alignment horizontal="center"/>
    </xf>
    <xf numFmtId="9" fontId="7" fillId="0" borderId="0" xfId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42" fontId="0" fillId="5" borderId="0" xfId="0" applyNumberFormat="1" applyFill="1"/>
    <xf numFmtId="166" fontId="0" fillId="5" borderId="0" xfId="0" applyNumberFormat="1" applyFill="1" applyAlignment="1">
      <alignment horizontal="center"/>
    </xf>
    <xf numFmtId="42" fontId="0" fillId="5" borderId="0" xfId="0" applyNumberFormat="1" applyFill="1" applyAlignment="1">
      <alignment horizontal="center"/>
    </xf>
    <xf numFmtId="44" fontId="0" fillId="5" borderId="0" xfId="0" applyNumberFormat="1" applyFill="1"/>
    <xf numFmtId="1" fontId="0" fillId="5" borderId="0" xfId="0" applyNumberFormat="1" applyFill="1" applyAlignment="1">
      <alignment horizontal="center"/>
    </xf>
    <xf numFmtId="164" fontId="0" fillId="5" borderId="0" xfId="0" applyNumberFormat="1" applyFill="1"/>
    <xf numFmtId="44" fontId="0" fillId="5" borderId="1" xfId="0" applyNumberFormat="1" applyFill="1" applyBorder="1"/>
    <xf numFmtId="44" fontId="0" fillId="5" borderId="2" xfId="0" applyNumberFormat="1" applyFill="1" applyBorder="1"/>
    <xf numFmtId="44" fontId="3" fillId="5" borderId="0" xfId="0" applyNumberFormat="1" applyFont="1" applyFill="1"/>
    <xf numFmtId="9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0" xfId="0" applyFont="1" applyFill="1"/>
    <xf numFmtId="9" fontId="9" fillId="5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4917.960527777781" createdVersion="8" refreshedVersion="8" minRefreshableVersion="3" recordCount="456" xr:uid="{47B1414A-F6D6-442A-ADEC-BE80F25EDB0F}">
  <cacheSource type="worksheet">
    <worksheetSource ref="A1:B457" sheet="TXN"/>
  </cacheSource>
  <cacheFields count="4">
    <cacheField name="Date" numFmtId="14">
      <sharedItems containsSemiMixedTypes="0" containsNonDate="0" containsDate="1" containsString="0" minDate="1985-01-01T00:00:00" maxDate="2022-12-02T00:00:00" count="456"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3" base="0">
        <rangePr groupBy="months" startDate="1985-01-01T00:00:00" endDate="2022-12-02T00:00:00"/>
        <groupItems count="14">
          <s v="&lt;1/1/198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Adj Close" numFmtId="0">
      <sharedItems containsSemiMixedTypes="0" containsString="0" containsNumber="1" minValue="0.90444000000000002" maxValue="187.08017000000001"/>
    </cacheField>
    <cacheField name="Quarters" numFmtId="0" databaseField="0">
      <fieldGroup base="0">
        <rangePr groupBy="quarters" startDate="1985-01-01T00:00:00" endDate="2022-12-02T00:00:00"/>
        <groupItems count="6">
          <s v="&lt;1/1/1985"/>
          <s v="Qtr1"/>
          <s v="Qtr2"/>
          <s v="Qtr3"/>
          <s v="Qtr4"/>
          <s v="&gt;12/2/2022"/>
        </groupItems>
      </fieldGroup>
    </cacheField>
    <cacheField name="Years" numFmtId="0" databaseField="0">
      <fieldGroup base="0">
        <rangePr groupBy="years" startDate="1985-01-01T00:00:00" endDate="2022-12-02T00:00:00"/>
        <groupItems count="40">
          <s v="&lt;1/1/1985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1.472971"/>
  </r>
  <r>
    <x v="1"/>
    <n v="1.2668109999999999"/>
  </r>
  <r>
    <x v="2"/>
    <n v="1.2653890000000001"/>
  </r>
  <r>
    <x v="3"/>
    <n v="1.0698030000000001"/>
  </r>
  <r>
    <x v="4"/>
    <n v="1.009814"/>
  </r>
  <r>
    <x v="5"/>
    <n v="1.0926560000000001"/>
  </r>
  <r>
    <x v="6"/>
    <n v="1.203052"/>
  </r>
  <r>
    <x v="7"/>
    <n v="1.096816"/>
  </r>
  <r>
    <x v="8"/>
    <n v="1.0508770000000001"/>
  </r>
  <r>
    <x v="9"/>
    <n v="1.0379560000000001"/>
  </r>
  <r>
    <x v="10"/>
    <n v="1.1836789999999999"/>
  </r>
  <r>
    <x v="11"/>
    <n v="1.218324"/>
  </r>
  <r>
    <x v="12"/>
    <n v="1.273496"/>
  </r>
  <r>
    <x v="13"/>
    <n v="1.4794609999999999"/>
  </r>
  <r>
    <x v="14"/>
    <n v="1.373578"/>
  </r>
  <r>
    <x v="15"/>
    <n v="1.612903"/>
  </r>
  <r>
    <x v="16"/>
    <n v="1.614104"/>
  </r>
  <r>
    <x v="17"/>
    <n v="1.3912169999999999"/>
  </r>
  <r>
    <x v="18"/>
    <n v="1.2790459999999999"/>
  </r>
  <r>
    <x v="19"/>
    <n v="1.4219200000000001"/>
  </r>
  <r>
    <x v="20"/>
    <n v="1.2902610000000001"/>
  </r>
  <r>
    <x v="21"/>
    <n v="1.2946489999999999"/>
  </r>
  <r>
    <x v="22"/>
    <n v="1.4048849999999999"/>
  </r>
  <r>
    <x v="23"/>
    <n v="1.3887210000000001"/>
  </r>
  <r>
    <x v="24"/>
    <n v="1.674971"/>
  </r>
  <r>
    <x v="25"/>
    <n v="1.9361790000000001"/>
  </r>
  <r>
    <x v="26"/>
    <n v="2.1900059999999999"/>
  </r>
  <r>
    <x v="27"/>
    <n v="2.2773840000000001"/>
  </r>
  <r>
    <x v="28"/>
    <n v="2.0790929999999999"/>
  </r>
  <r>
    <x v="29"/>
    <n v="2.1619609999999998"/>
  </r>
  <r>
    <x v="30"/>
    <n v="2.2261600000000001"/>
  </r>
  <r>
    <x v="31"/>
    <n v="2.6224180000000001"/>
  </r>
  <r>
    <x v="32"/>
    <n v="2.6624889999999999"/>
  </r>
  <r>
    <x v="33"/>
    <n v="1.7361059999999999"/>
  </r>
  <r>
    <x v="34"/>
    <n v="1.499568"/>
  </r>
  <r>
    <x v="35"/>
    <n v="1.990497"/>
  </r>
  <r>
    <x v="36"/>
    <n v="1.69693"/>
  </r>
  <r>
    <x v="37"/>
    <n v="1.858117"/>
  </r>
  <r>
    <x v="38"/>
    <n v="1.6700660000000001"/>
  </r>
  <r>
    <x v="39"/>
    <n v="1.6893750000000001"/>
  </r>
  <r>
    <x v="40"/>
    <n v="1.6129929999999999"/>
  </r>
  <r>
    <x v="41"/>
    <n v="1.747784"/>
  </r>
  <r>
    <x v="42"/>
    <n v="1.5693060000000001"/>
  </r>
  <r>
    <x v="43"/>
    <n v="1.4700960000000001"/>
  </r>
  <r>
    <x v="44"/>
    <n v="1.492645"/>
  </r>
  <r>
    <x v="45"/>
    <n v="1.390636"/>
  </r>
  <r>
    <x v="46"/>
    <n v="1.2819210000000001"/>
  </r>
  <r>
    <x v="47"/>
    <n v="1.4857590000000001"/>
  </r>
  <r>
    <x v="48"/>
    <n v="1.5971310000000001"/>
  </r>
  <r>
    <x v="49"/>
    <n v="1.456075"/>
  </r>
  <r>
    <x v="50"/>
    <n v="1.4424250000000001"/>
  </r>
  <r>
    <x v="51"/>
    <n v="1.4584330000000001"/>
  </r>
  <r>
    <x v="52"/>
    <n v="1.6275919999999999"/>
  </r>
  <r>
    <x v="53"/>
    <n v="1.4310020000000001"/>
  </r>
  <r>
    <x v="54"/>
    <n v="1.4462699999999999"/>
  </r>
  <r>
    <x v="55"/>
    <n v="1.4692270000000001"/>
  </r>
  <r>
    <x v="56"/>
    <n v="1.414131"/>
  </r>
  <r>
    <x v="57"/>
    <n v="1.176083"/>
  </r>
  <r>
    <x v="58"/>
    <n v="1.3375049999999999"/>
  </r>
  <r>
    <x v="59"/>
    <n v="1.323669"/>
  </r>
  <r>
    <x v="60"/>
    <n v="1.237771"/>
  </r>
  <r>
    <x v="61"/>
    <n v="1.3073079999999999"/>
  </r>
  <r>
    <x v="62"/>
    <n v="1.344395"/>
  </r>
  <r>
    <x v="63"/>
    <n v="1.266991"/>
  </r>
  <r>
    <x v="64"/>
    <n v="1.565107"/>
  </r>
  <r>
    <x v="65"/>
    <n v="1.4766030000000001"/>
  </r>
  <r>
    <x v="66"/>
    <n v="1.198027"/>
  </r>
  <r>
    <x v="67"/>
    <n v="1.0389139999999999"/>
  </r>
  <r>
    <x v="68"/>
    <n v="1.0529539999999999"/>
  </r>
  <r>
    <x v="69"/>
    <n v="0.90444000000000002"/>
  </r>
  <r>
    <x v="70"/>
    <n v="1.191789"/>
  </r>
  <r>
    <x v="71"/>
    <n v="1.4320310000000001"/>
  </r>
  <r>
    <x v="72"/>
    <n v="1.4150720000000001"/>
  </r>
  <r>
    <x v="73"/>
    <n v="1.571251"/>
  </r>
  <r>
    <x v="74"/>
    <n v="1.5097259999999999"/>
  </r>
  <r>
    <x v="75"/>
    <n v="1.530834"/>
  </r>
  <r>
    <x v="76"/>
    <n v="1.4880469999999999"/>
  </r>
  <r>
    <x v="77"/>
    <n v="1.264602"/>
  </r>
  <r>
    <x v="78"/>
    <n v="1.2427539999999999"/>
  </r>
  <r>
    <x v="79"/>
    <n v="1.2092959999999999"/>
  </r>
  <r>
    <x v="80"/>
    <n v="1.080241"/>
  </r>
  <r>
    <x v="81"/>
    <n v="1.2167520000000001"/>
  </r>
  <r>
    <x v="82"/>
    <n v="1.072473"/>
  </r>
  <r>
    <x v="83"/>
    <n v="1.1830860000000001"/>
  </r>
  <r>
    <x v="84"/>
    <n v="1.3849100000000001"/>
  </r>
  <r>
    <x v="85"/>
    <n v="1.4527030000000001"/>
  </r>
  <r>
    <x v="86"/>
    <n v="1.2638510000000001"/>
  </r>
  <r>
    <x v="87"/>
    <n v="1.34839"/>
  </r>
  <r>
    <x v="88"/>
    <n v="1.4652179999999999"/>
  </r>
  <r>
    <x v="89"/>
    <n v="1.367861"/>
  </r>
  <r>
    <x v="90"/>
    <n v="1.639246"/>
  </r>
  <r>
    <x v="91"/>
    <n v="1.5120199999999999"/>
  </r>
  <r>
    <x v="92"/>
    <n v="1.6979649999999999"/>
  </r>
  <r>
    <x v="93"/>
    <n v="1.9309099999999999"/>
  </r>
  <r>
    <x v="94"/>
    <n v="1.9309099999999999"/>
  </r>
  <r>
    <x v="95"/>
    <n v="1.8326450000000001"/>
  </r>
  <r>
    <x v="96"/>
    <n v="2.1307079999999998"/>
  </r>
  <r>
    <x v="97"/>
    <n v="2.229352"/>
  </r>
  <r>
    <x v="98"/>
    <n v="2.2984040000000001"/>
  </r>
  <r>
    <x v="99"/>
    <n v="2.2560820000000001"/>
  </r>
  <r>
    <x v="100"/>
    <n v="2.5628310000000001"/>
  </r>
  <r>
    <x v="101"/>
    <n v="2.7656809999999998"/>
  </r>
  <r>
    <x v="102"/>
    <n v="2.8077450000000002"/>
  </r>
  <r>
    <x v="103"/>
    <n v="3.1996389999999999"/>
  </r>
  <r>
    <x v="104"/>
    <n v="2.996251"/>
  </r>
  <r>
    <x v="105"/>
    <n v="2.6103999999999998"/>
  </r>
  <r>
    <x v="106"/>
    <n v="2.555707"/>
  </r>
  <r>
    <x v="107"/>
    <n v="2.5258750000000001"/>
  </r>
  <r>
    <x v="108"/>
    <n v="2.7928069999999998"/>
  </r>
  <r>
    <x v="109"/>
    <n v="3.2316760000000002"/>
  </r>
  <r>
    <x v="110"/>
    <n v="3.0820609999999999"/>
  </r>
  <r>
    <x v="111"/>
    <n v="3.0594929999999998"/>
  </r>
  <r>
    <x v="112"/>
    <n v="3.20947"/>
  </r>
  <r>
    <x v="113"/>
    <n v="3.1794709999999999"/>
  </r>
  <r>
    <x v="114"/>
    <n v="3.1547890000000001"/>
  </r>
  <r>
    <x v="115"/>
    <n v="3.124695"/>
  </r>
  <r>
    <x v="116"/>
    <n v="2.7284670000000002"/>
  </r>
  <r>
    <x v="117"/>
    <n v="3.0154920000000001"/>
  </r>
  <r>
    <x v="118"/>
    <n v="3.0406610000000001"/>
  </r>
  <r>
    <x v="119"/>
    <n v="3.0154920000000001"/>
  </r>
  <r>
    <x v="120"/>
    <n v="2.7885840000000002"/>
  </r>
  <r>
    <x v="121"/>
    <n v="3.1826219999999998"/>
  </r>
  <r>
    <x v="122"/>
    <n v="3.57666"/>
  </r>
  <r>
    <x v="123"/>
    <n v="4.2953039999999998"/>
  </r>
  <r>
    <x v="124"/>
    <n v="4.6853239999999996"/>
  </r>
  <r>
    <x v="125"/>
    <n v="5.4248469999999998"/>
  </r>
  <r>
    <x v="126"/>
    <n v="6.3468369999999998"/>
  </r>
  <r>
    <x v="127"/>
    <n v="6.0624969999999996"/>
  </r>
  <r>
    <x v="128"/>
    <n v="6.4890040000000004"/>
  </r>
  <r>
    <x v="129"/>
    <n v="5.5649100000000002"/>
  </r>
  <r>
    <x v="130"/>
    <n v="4.7117649999999998"/>
  </r>
  <r>
    <x v="131"/>
    <n v="4.1927589999999997"/>
  </r>
  <r>
    <x v="132"/>
    <n v="3.7875519999999998"/>
  </r>
  <r>
    <x v="133"/>
    <n v="4.0734079999999997"/>
  </r>
  <r>
    <x v="134"/>
    <n v="4.1550779999999996"/>
  </r>
  <r>
    <x v="135"/>
    <n v="4.6144850000000002"/>
  </r>
  <r>
    <x v="136"/>
    <n v="4.6094679999999997"/>
  </r>
  <r>
    <x v="137"/>
    <n v="4.0870639999999998"/>
  </r>
  <r>
    <x v="138"/>
    <n v="3.5441699999999998"/>
  </r>
  <r>
    <x v="139"/>
    <n v="3.8440840000000001"/>
  </r>
  <r>
    <x v="140"/>
    <n v="4.5327330000000003"/>
  </r>
  <r>
    <x v="141"/>
    <n v="3.9688029999999999"/>
  </r>
  <r>
    <x v="142"/>
    <n v="5.2573749999999997"/>
  </r>
  <r>
    <x v="143"/>
    <n v="5.2573749999999997"/>
  </r>
  <r>
    <x v="144"/>
    <n v="6.4806270000000001"/>
  </r>
  <r>
    <x v="145"/>
    <n v="6.3772690000000001"/>
  </r>
  <r>
    <x v="146"/>
    <n v="6.1912200000000004"/>
  </r>
  <r>
    <x v="147"/>
    <n v="7.3961319999999997"/>
  </r>
  <r>
    <x v="148"/>
    <n v="7.4375660000000003"/>
  </r>
  <r>
    <x v="149"/>
    <n v="6.9662410000000001"/>
  </r>
  <r>
    <x v="150"/>
    <n v="9.5485240000000005"/>
  </r>
  <r>
    <x v="151"/>
    <n v="9.4343610000000009"/>
  </r>
  <r>
    <x v="152"/>
    <n v="11.126108"/>
  </r>
  <r>
    <x v="153"/>
    <n v="8.8697090000000003"/>
  </r>
  <r>
    <x v="154"/>
    <n v="8.2513769999999997"/>
  </r>
  <r>
    <x v="155"/>
    <n v="7.4823550000000001"/>
  </r>
  <r>
    <x v="156"/>
    <n v="9.1000069999999997"/>
  </r>
  <r>
    <x v="157"/>
    <n v="9.6622500000000002"/>
  </r>
  <r>
    <x v="158"/>
    <n v="9.0167099999999998"/>
  </r>
  <r>
    <x v="159"/>
    <n v="10.682622"/>
  </r>
  <r>
    <x v="160"/>
    <n v="8.581061"/>
  </r>
  <r>
    <x v="161"/>
    <n v="9.7279719999999994"/>
  </r>
  <r>
    <x v="162"/>
    <n v="9.9052310000000006"/>
  </r>
  <r>
    <x v="163"/>
    <n v="7.9147309999999997"/>
  </r>
  <r>
    <x v="164"/>
    <n v="8.8544789999999995"/>
  </r>
  <r>
    <x v="165"/>
    <n v="10.681760000000001"/>
  </r>
  <r>
    <x v="166"/>
    <n v="12.777596000000001"/>
  </r>
  <r>
    <x v="167"/>
    <n v="14.325111"/>
  </r>
  <r>
    <x v="168"/>
    <n v="16.541847000000001"/>
  </r>
  <r>
    <x v="169"/>
    <n v="14.934443"/>
  </r>
  <r>
    <x v="170"/>
    <n v="16.619409999999998"/>
  </r>
  <r>
    <x v="171"/>
    <n v="17.100821"/>
  </r>
  <r>
    <x v="172"/>
    <n v="18.328762000000001"/>
  </r>
  <r>
    <x v="173"/>
    <n v="24.131129999999999"/>
  </r>
  <r>
    <x v="174"/>
    <n v="24.131129999999999"/>
  </r>
  <r>
    <x v="175"/>
    <n v="27.519976"/>
  </r>
  <r>
    <x v="176"/>
    <n v="27.582840000000001"/>
  </r>
  <r>
    <x v="177"/>
    <n v="30.097988000000001"/>
  </r>
  <r>
    <x v="178"/>
    <n v="32.232745999999999"/>
  </r>
  <r>
    <x v="179"/>
    <n v="32.421494000000003"/>
  </r>
  <r>
    <x v="180"/>
    <n v="36.154358000000002"/>
  </r>
  <r>
    <x v="181"/>
    <n v="55.762802000000001"/>
  </r>
  <r>
    <x v="182"/>
    <n v="53.706828999999999"/>
  </r>
  <r>
    <x v="183"/>
    <n v="54.671863999999999"/>
  </r>
  <r>
    <x v="184"/>
    <n v="48.517989999999998"/>
  </r>
  <r>
    <x v="185"/>
    <n v="46.125652000000002"/>
  </r>
  <r>
    <x v="186"/>
    <n v="39.955997000000004"/>
  </r>
  <r>
    <x v="187"/>
    <n v="44.839283000000002"/>
  </r>
  <r>
    <x v="188"/>
    <n v="31.908080999999999"/>
  </r>
  <r>
    <x v="189"/>
    <n v="32.957703000000002"/>
  </r>
  <r>
    <x v="190"/>
    <n v="25.076546"/>
  </r>
  <r>
    <x v="191"/>
    <n v="31.839234999999999"/>
  </r>
  <r>
    <x v="192"/>
    <n v="29.436598"/>
  </r>
  <r>
    <x v="193"/>
    <n v="19.869672999999999"/>
  </r>
  <r>
    <x v="194"/>
    <n v="20.831213000000002"/>
  </r>
  <r>
    <x v="195"/>
    <n v="26.022213000000001"/>
  </r>
  <r>
    <x v="196"/>
    <n v="22.956327000000002"/>
  </r>
  <r>
    <x v="197"/>
    <n v="21.462692000000001"/>
  </r>
  <r>
    <x v="198"/>
    <n v="23.212005999999999"/>
  </r>
  <r>
    <x v="199"/>
    <n v="22.285216999999999"/>
  </r>
  <r>
    <x v="200"/>
    <n v="16.818276999999998"/>
  </r>
  <r>
    <x v="201"/>
    <n v="18.844816000000002"/>
  </r>
  <r>
    <x v="202"/>
    <n v="21.593176"/>
  </r>
  <r>
    <x v="203"/>
    <n v="18.864553000000001"/>
  </r>
  <r>
    <x v="204"/>
    <n v="21.027249999999999"/>
  </r>
  <r>
    <x v="205"/>
    <n v="19.789428999999998"/>
  </r>
  <r>
    <x v="206"/>
    <n v="22.317886000000001"/>
  </r>
  <r>
    <x v="207"/>
    <n v="20.854756999999999"/>
  </r>
  <r>
    <x v="208"/>
    <n v="19.34506"/>
  </r>
  <r>
    <x v="209"/>
    <n v="15.991557999999999"/>
  </r>
  <r>
    <x v="210"/>
    <n v="15.620444000000001"/>
  </r>
  <r>
    <x v="211"/>
    <n v="13.305062"/>
  </r>
  <r>
    <x v="212"/>
    <n v="9.9754240000000003"/>
  </r>
  <r>
    <x v="213"/>
    <n v="10.711589999999999"/>
  </r>
  <r>
    <x v="214"/>
    <n v="13.532534"/>
  </r>
  <r>
    <x v="215"/>
    <n v="10.151092999999999"/>
  </r>
  <r>
    <x v="216"/>
    <n v="10.752985000000001"/>
  </r>
  <r>
    <x v="217"/>
    <n v="11.342719000000001"/>
  </r>
  <r>
    <x v="218"/>
    <n v="11.085394000000001"/>
  </r>
  <r>
    <x v="219"/>
    <n v="12.521011"/>
  </r>
  <r>
    <x v="220"/>
    <n v="13.899523"/>
  </r>
  <r>
    <x v="221"/>
    <n v="11.933247"/>
  </r>
  <r>
    <x v="222"/>
    <n v="12.794344000000001"/>
  </r>
  <r>
    <x v="223"/>
    <n v="16.188642999999999"/>
  </r>
  <r>
    <x v="224"/>
    <n v="15.475928"/>
  </r>
  <r>
    <x v="225"/>
    <n v="19.629999000000002"/>
  </r>
  <r>
    <x v="226"/>
    <n v="20.214632000000002"/>
  </r>
  <r>
    <x v="227"/>
    <n v="19.956509"/>
  </r>
  <r>
    <x v="228"/>
    <n v="21.294644999999999"/>
  </r>
  <r>
    <x v="229"/>
    <n v="20.833511000000001"/>
  </r>
  <r>
    <x v="230"/>
    <n v="19.861507"/>
  </r>
  <r>
    <x v="231"/>
    <n v="17.061046999999999"/>
  </r>
  <r>
    <x v="232"/>
    <n v="17.761333"/>
  </r>
  <r>
    <x v="233"/>
    <n v="16.448446000000001"/>
  </r>
  <r>
    <x v="234"/>
    <n v="14.509741"/>
  </r>
  <r>
    <x v="235"/>
    <n v="13.306952000000001"/>
  </r>
  <r>
    <x v="236"/>
    <n v="14.491904999999999"/>
  </r>
  <r>
    <x v="237"/>
    <n v="16.650718999999999"/>
  </r>
  <r>
    <x v="238"/>
    <n v="16.484175"/>
  </r>
  <r>
    <x v="239"/>
    <n v="16.784140000000001"/>
  </r>
  <r>
    <x v="240"/>
    <n v="15.822907000000001"/>
  </r>
  <r>
    <x v="241"/>
    <n v="18.065263999999999"/>
  </r>
  <r>
    <x v="242"/>
    <n v="17.396439000000001"/>
  </r>
  <r>
    <x v="243"/>
    <n v="17.034718000000002"/>
  </r>
  <r>
    <x v="244"/>
    <n v="18.882874000000001"/>
  </r>
  <r>
    <x v="245"/>
    <n v="19.176641"/>
  </r>
  <r>
    <x v="246"/>
    <n v="21.697545999999999"/>
  </r>
  <r>
    <x v="247"/>
    <n v="22.343627999999999"/>
  </r>
  <r>
    <x v="248"/>
    <n v="23.17775"/>
  </r>
  <r>
    <x v="249"/>
    <n v="19.519907"/>
  </r>
  <r>
    <x v="250"/>
    <n v="22.230511"/>
  </r>
  <r>
    <x v="251"/>
    <n v="21.949894"/>
  </r>
  <r>
    <x v="252"/>
    <n v="20.006091999999999"/>
  </r>
  <r>
    <x v="253"/>
    <n v="20.450780999999999"/>
  </r>
  <r>
    <x v="254"/>
    <n v="22.245794"/>
  </r>
  <r>
    <x v="255"/>
    <n v="23.780457999999999"/>
  </r>
  <r>
    <x v="256"/>
    <n v="21.41469"/>
  </r>
  <r>
    <x v="257"/>
    <n v="20.770123000000002"/>
  </r>
  <r>
    <x v="258"/>
    <n v="20.420414000000001"/>
  </r>
  <r>
    <x v="259"/>
    <n v="22.370037"/>
  </r>
  <r>
    <x v="260"/>
    <n v="22.823069"/>
  </r>
  <r>
    <x v="261"/>
    <n v="20.715789999999998"/>
  </r>
  <r>
    <x v="262"/>
    <n v="20.309813999999999"/>
  </r>
  <r>
    <x v="263"/>
    <n v="19.794339999999998"/>
  </r>
  <r>
    <x v="264"/>
    <n v="21.436993000000001"/>
  </r>
  <r>
    <x v="265"/>
    <n v="21.306391000000001"/>
  </r>
  <r>
    <x v="266"/>
    <n v="20.714549999999999"/>
  </r>
  <r>
    <x v="267"/>
    <n v="23.653123999999998"/>
  </r>
  <r>
    <x v="268"/>
    <n v="24.389643"/>
  </r>
  <r>
    <x v="269"/>
    <n v="25.955366000000001"/>
  </r>
  <r>
    <x v="270"/>
    <n v="24.272383000000001"/>
  </r>
  <r>
    <x v="271"/>
    <n v="23.669761999999999"/>
  </r>
  <r>
    <x v="272"/>
    <n v="25.2943"/>
  </r>
  <r>
    <x v="273"/>
    <n v="22.536041000000001"/>
  </r>
  <r>
    <x v="274"/>
    <n v="21.893039999999999"/>
  </r>
  <r>
    <x v="275"/>
    <n v="23.162103999999999"/>
  </r>
  <r>
    <x v="276"/>
    <n v="21.463089"/>
  </r>
  <r>
    <x v="277"/>
    <n v="20.845293000000002"/>
  </r>
  <r>
    <x v="278"/>
    <n v="19.669439000000001"/>
  </r>
  <r>
    <x v="279"/>
    <n v="20.288677"/>
  </r>
  <r>
    <x v="280"/>
    <n v="22.675343999999999"/>
  </r>
  <r>
    <x v="281"/>
    <n v="19.659412"/>
  </r>
  <r>
    <x v="282"/>
    <n v="17.020472999999999"/>
  </r>
  <r>
    <x v="283"/>
    <n v="17.182918999999998"/>
  </r>
  <r>
    <x v="284"/>
    <n v="15.072725999999999"/>
  </r>
  <r>
    <x v="285"/>
    <n v="13.712676999999999"/>
  </r>
  <r>
    <x v="286"/>
    <n v="10.977449999999999"/>
  </r>
  <r>
    <x v="287"/>
    <n v="10.942197"/>
  </r>
  <r>
    <x v="288"/>
    <n v="10.540324999999999"/>
  </r>
  <r>
    <x v="289"/>
    <n v="10.190519999999999"/>
  </r>
  <r>
    <x v="290"/>
    <n v="11.724425"/>
  </r>
  <r>
    <x v="291"/>
    <n v="12.825144"/>
  </r>
  <r>
    <x v="292"/>
    <n v="13.864027"/>
  </r>
  <r>
    <x v="293"/>
    <n v="15.221842000000001"/>
  </r>
  <r>
    <x v="294"/>
    <n v="17.187097999999999"/>
  </r>
  <r>
    <x v="295"/>
    <n v="17.653289999999998"/>
  </r>
  <r>
    <x v="296"/>
    <n v="17.007175"/>
  </r>
  <r>
    <x v="297"/>
    <n v="16.834875"/>
  </r>
  <r>
    <x v="298"/>
    <n v="18.247826"/>
  </r>
  <r>
    <x v="299"/>
    <n v="18.803412999999999"/>
  </r>
  <r>
    <x v="300"/>
    <n v="16.234724"/>
  </r>
  <r>
    <x v="301"/>
    <n v="17.681393"/>
  </r>
  <r>
    <x v="302"/>
    <n v="17.746659999999999"/>
  </r>
  <r>
    <x v="303"/>
    <n v="18.863544000000001"/>
  </r>
  <r>
    <x v="304"/>
    <n v="17.790849999999999"/>
  </r>
  <r>
    <x v="305"/>
    <n v="16.960314"/>
  </r>
  <r>
    <x v="306"/>
    <n v="17.987555"/>
  </r>
  <r>
    <x v="307"/>
    <n v="16.849941000000001"/>
  </r>
  <r>
    <x v="308"/>
    <n v="19.865665"/>
  </r>
  <r>
    <x v="309"/>
    <n v="21.644348000000001"/>
  </r>
  <r>
    <x v="310"/>
    <n v="23.379881000000001"/>
  </r>
  <r>
    <x v="311"/>
    <n v="23.894531000000001"/>
  </r>
  <r>
    <x v="312"/>
    <n v="24.931187000000001"/>
  </r>
  <r>
    <x v="313"/>
    <n v="26.280594000000001"/>
  </r>
  <r>
    <x v="314"/>
    <n v="25.505680000000002"/>
  </r>
  <r>
    <x v="315"/>
    <n v="26.22156"/>
  </r>
  <r>
    <x v="316"/>
    <n v="26.146502000000002"/>
  </r>
  <r>
    <x v="317"/>
    <n v="24.316980000000001"/>
  </r>
  <r>
    <x v="318"/>
    <n v="22.035647999999998"/>
  </r>
  <r>
    <x v="319"/>
    <n v="19.496994000000001"/>
  </r>
  <r>
    <x v="320"/>
    <n v="19.824293000000001"/>
  </r>
  <r>
    <x v="321"/>
    <n v="22.859307999999999"/>
  </r>
  <r>
    <x v="322"/>
    <n v="22.514132"/>
  </r>
  <r>
    <x v="323"/>
    <n v="21.773630000000001"/>
  </r>
  <r>
    <x v="324"/>
    <n v="24.219515000000001"/>
  </r>
  <r>
    <x v="325"/>
    <n v="25.076799000000001"/>
  </r>
  <r>
    <x v="326"/>
    <n v="25.272293000000001"/>
  </r>
  <r>
    <x v="327"/>
    <n v="24.016582"/>
  </r>
  <r>
    <x v="328"/>
    <n v="21.529387"/>
  </r>
  <r>
    <x v="329"/>
    <n v="21.688143"/>
  </r>
  <r>
    <x v="330"/>
    <n v="20.592013999999999"/>
  </r>
  <r>
    <x v="331"/>
    <n v="22.091555"/>
  </r>
  <r>
    <x v="332"/>
    <n v="20.965675000000001"/>
  </r>
  <r>
    <x v="333"/>
    <n v="21.368867999999999"/>
  </r>
  <r>
    <x v="334"/>
    <n v="22.582653000000001"/>
  </r>
  <r>
    <x v="335"/>
    <n v="23.670784000000001"/>
  </r>
  <r>
    <x v="336"/>
    <n v="25.348973999999998"/>
  </r>
  <r>
    <x v="337"/>
    <n v="26.552230999999999"/>
  </r>
  <r>
    <x v="338"/>
    <n v="27.361979999999999"/>
  </r>
  <r>
    <x v="339"/>
    <n v="27.924959000000001"/>
  </r>
  <r>
    <x v="340"/>
    <n v="27.910008999999999"/>
  </r>
  <r>
    <x v="341"/>
    <n v="27.086158999999999"/>
  </r>
  <r>
    <x v="342"/>
    <n v="30.451533999999999"/>
  </r>
  <r>
    <x v="343"/>
    <n v="29.903934"/>
  </r>
  <r>
    <x v="344"/>
    <n v="31.540044999999999"/>
  </r>
  <r>
    <x v="345"/>
    <n v="32.949131000000001"/>
  </r>
  <r>
    <x v="346"/>
    <n v="33.909565000000001"/>
  </r>
  <r>
    <x v="347"/>
    <n v="34.627181999999998"/>
  </r>
  <r>
    <x v="348"/>
    <n v="33.436408999999998"/>
  </r>
  <r>
    <x v="349"/>
    <n v="35.704884"/>
  </r>
  <r>
    <x v="350"/>
    <n v="37.452019"/>
  </r>
  <r>
    <x v="351"/>
    <n v="36.094031999999999"/>
  </r>
  <r>
    <x v="352"/>
    <n v="37.552188999999998"/>
  </r>
  <r>
    <x v="353"/>
    <n v="38.199635000000001"/>
  </r>
  <r>
    <x v="354"/>
    <n v="36.968680999999997"/>
  </r>
  <r>
    <x v="355"/>
    <n v="38.756923999999998"/>
  </r>
  <r>
    <x v="356"/>
    <n v="38.362746999999999"/>
  </r>
  <r>
    <x v="357"/>
    <n v="39.947471999999998"/>
  </r>
  <r>
    <x v="358"/>
    <n v="44.085545000000003"/>
  </r>
  <r>
    <x v="359"/>
    <n v="43.315959999999997"/>
  </r>
  <r>
    <x v="360"/>
    <n v="43.299762999999999"/>
  </r>
  <r>
    <x v="361"/>
    <n v="47.930999999999997"/>
  </r>
  <r>
    <x v="362"/>
    <n v="46.618594999999999"/>
  </r>
  <r>
    <x v="363"/>
    <n v="44.189456999999997"/>
  </r>
  <r>
    <x v="364"/>
    <n v="45.864024999999998"/>
  </r>
  <r>
    <x v="365"/>
    <n v="42.247062999999997"/>
  </r>
  <r>
    <x v="366"/>
    <n v="40.99221"/>
  </r>
  <r>
    <x v="367"/>
    <n v="39.505245000000002"/>
  </r>
  <r>
    <x v="368"/>
    <n v="40.892550999999997"/>
  </r>
  <r>
    <x v="369"/>
    <n v="46.838158"/>
  </r>
  <r>
    <x v="370"/>
    <n v="48.308475000000001"/>
  </r>
  <r>
    <x v="371"/>
    <n v="45.557254999999998"/>
  </r>
  <r>
    <x v="372"/>
    <n v="43.994621000000002"/>
  </r>
  <r>
    <x v="373"/>
    <n v="44.402419999999999"/>
  </r>
  <r>
    <x v="374"/>
    <n v="48.087273000000003"/>
  </r>
  <r>
    <x v="375"/>
    <n v="47.769032000000003"/>
  </r>
  <r>
    <x v="376"/>
    <n v="51.074309999999997"/>
  </r>
  <r>
    <x v="377"/>
    <n v="52.80209"/>
  </r>
  <r>
    <x v="378"/>
    <n v="58.786029999999997"/>
  </r>
  <r>
    <x v="379"/>
    <n v="58.923214000000002"/>
  </r>
  <r>
    <x v="380"/>
    <n v="59.465515000000003"/>
  </r>
  <r>
    <x v="381"/>
    <n v="60.033206999999997"/>
  </r>
  <r>
    <x v="382"/>
    <n v="62.642982000000003"/>
  </r>
  <r>
    <x v="383"/>
    <n v="62.281917999999997"/>
  </r>
  <r>
    <x v="384"/>
    <n v="64.475493999999998"/>
  </r>
  <r>
    <x v="385"/>
    <n v="65.812468999999993"/>
  </r>
  <r>
    <x v="386"/>
    <n v="69.196708999999998"/>
  </r>
  <r>
    <x v="387"/>
    <n v="68.011359999999996"/>
  </r>
  <r>
    <x v="388"/>
    <n v="71.293960999999996"/>
  </r>
  <r>
    <x v="389"/>
    <n v="66.488617000000005"/>
  </r>
  <r>
    <x v="390"/>
    <n v="70.334618000000006"/>
  </r>
  <r>
    <x v="391"/>
    <n v="72.015488000000005"/>
  </r>
  <r>
    <x v="392"/>
    <n v="77.945755000000005"/>
  </r>
  <r>
    <x v="393"/>
    <n v="84.076035000000005"/>
  </r>
  <r>
    <x v="394"/>
    <n v="85.139152999999993"/>
  </r>
  <r>
    <x v="395"/>
    <n v="91.396179000000004"/>
  </r>
  <r>
    <x v="396"/>
    <n v="95.972969000000006"/>
  </r>
  <r>
    <x v="397"/>
    <n v="95.342583000000005"/>
  </r>
  <r>
    <x v="398"/>
    <n v="91.418007000000003"/>
  </r>
  <r>
    <x v="399"/>
    <n v="89.253310999999997"/>
  </r>
  <r>
    <x v="400"/>
    <n v="98.475211999999999"/>
  </r>
  <r>
    <x v="401"/>
    <n v="97.598557"/>
  </r>
  <r>
    <x v="402"/>
    <n v="98.545783999999998"/>
  </r>
  <r>
    <x v="403"/>
    <n v="100.052773"/>
  </r>
  <r>
    <x v="404"/>
    <n v="95.504081999999997"/>
  </r>
  <r>
    <x v="405"/>
    <n v="82.632537999999997"/>
  </r>
  <r>
    <x v="406"/>
    <n v="89.646834999999996"/>
  </r>
  <r>
    <x v="407"/>
    <n v="84.843529000000004"/>
  </r>
  <r>
    <x v="408"/>
    <n v="90.392021"/>
  </r>
  <r>
    <x v="409"/>
    <n v="95.697936999999996"/>
  </r>
  <r>
    <x v="410"/>
    <n v="95.960296999999997"/>
  </r>
  <r>
    <x v="411"/>
    <n v="106.599442"/>
  </r>
  <r>
    <x v="412"/>
    <n v="94.368049999999997"/>
  </r>
  <r>
    <x v="413"/>
    <n v="104.507126"/>
  </r>
  <r>
    <x v="414"/>
    <n v="113.84137699999999"/>
  </r>
  <r>
    <x v="415"/>
    <n v="113.365601"/>
  </r>
  <r>
    <x v="416"/>
    <n v="118.394897"/>
  </r>
  <r>
    <x v="417"/>
    <n v="108.088936"/>
  </r>
  <r>
    <x v="418"/>
    <n v="110.95277400000001"/>
  </r>
  <r>
    <x v="419"/>
    <n v="118.410538"/>
  </r>
  <r>
    <x v="420"/>
    <n v="111.35889400000001"/>
  </r>
  <r>
    <x v="421"/>
    <n v="106.111237"/>
  </r>
  <r>
    <x v="422"/>
    <n v="92.900779999999997"/>
  </r>
  <r>
    <x v="423"/>
    <n v="107.90548699999999"/>
  </r>
  <r>
    <x v="424"/>
    <n v="110.387657"/>
  </r>
  <r>
    <x v="425"/>
    <n v="118.96118199999999"/>
  </r>
  <r>
    <x v="426"/>
    <n v="119.504593"/>
  </r>
  <r>
    <x v="427"/>
    <n v="134.100494"/>
  </r>
  <r>
    <x v="428"/>
    <n v="134.70426900000001"/>
  </r>
  <r>
    <x v="429"/>
    <n v="136.40231299999999"/>
  </r>
  <r>
    <x v="430"/>
    <n v="153.21177700000001"/>
  </r>
  <r>
    <x v="431"/>
    <n v="155.94821200000001"/>
  </r>
  <r>
    <x v="432"/>
    <n v="157.43043499999999"/>
  </r>
  <r>
    <x v="433"/>
    <n v="164.67497299999999"/>
  </r>
  <r>
    <x v="434"/>
    <n v="180.65785199999999"/>
  </r>
  <r>
    <x v="435"/>
    <n v="172.55169699999999"/>
  </r>
  <r>
    <x v="436"/>
    <n v="182.452744"/>
  </r>
  <r>
    <x v="437"/>
    <n v="184.836502"/>
  </r>
  <r>
    <x v="438"/>
    <n v="183.22167999999999"/>
  </r>
  <r>
    <x v="439"/>
    <n v="184.52384900000001"/>
  </r>
  <r>
    <x v="440"/>
    <n v="185.78036499999999"/>
  </r>
  <r>
    <x v="441"/>
    <n v="181.20858799999999"/>
  </r>
  <r>
    <x v="442"/>
    <n v="187.08017000000001"/>
  </r>
  <r>
    <x v="443"/>
    <n v="183.28743"/>
  </r>
  <r>
    <x v="444"/>
    <n v="174.55436700000001"/>
  </r>
  <r>
    <x v="445"/>
    <n v="166.41033899999999"/>
  </r>
  <r>
    <x v="446"/>
    <n v="179.61625699999999"/>
  </r>
  <r>
    <x v="447"/>
    <n v="166.66485599999999"/>
  </r>
  <r>
    <x v="448"/>
    <n v="173.037766"/>
  </r>
  <r>
    <x v="449"/>
    <n v="151.437164"/>
  </r>
  <r>
    <x v="450"/>
    <n v="176.31366"/>
  </r>
  <r>
    <x v="451"/>
    <n v="163.90316799999999"/>
  </r>
  <r>
    <x v="452"/>
    <n v="153.55566400000001"/>
  </r>
  <r>
    <x v="453"/>
    <n v="159.35938999999999"/>
  </r>
  <r>
    <x v="454"/>
    <n v="180.46000699999999"/>
  </r>
  <r>
    <x v="455"/>
    <n v="168.72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9B6B9-737B-4B62-A731-3A5DE8194B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t="default"/>
      </items>
    </pivotField>
  </pivotFields>
  <rowFields count="3">
    <field x="3"/>
    <field x="2"/>
    <field x="0"/>
  </rowFields>
  <rowItems count="3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showGridLines="0" tabSelected="1" workbookViewId="0">
      <pane xSplit="1" topLeftCell="L1" activePane="topRight" state="frozen"/>
      <selection pane="topRight" activeCell="Z27" sqref="Z27"/>
    </sheetView>
  </sheetViews>
  <sheetFormatPr defaultRowHeight="14.4" x14ac:dyDescent="0.3"/>
  <cols>
    <col min="1" max="1" width="20.77734375" bestFit="1" customWidth="1"/>
    <col min="3" max="13" width="12.77734375" customWidth="1"/>
    <col min="14" max="23" width="10.77734375" customWidth="1"/>
    <col min="25" max="25" width="12.5546875" bestFit="1" customWidth="1"/>
    <col min="26" max="26" width="12.109375" bestFit="1" customWidth="1"/>
    <col min="27" max="27" width="9.5546875" bestFit="1" customWidth="1"/>
  </cols>
  <sheetData>
    <row r="1" spans="1:27" x14ac:dyDescent="0.3">
      <c r="A1" t="s">
        <v>0</v>
      </c>
      <c r="C1" t="s">
        <v>1</v>
      </c>
      <c r="D1" t="s">
        <v>2</v>
      </c>
    </row>
    <row r="2" spans="1:27" ht="25.8" x14ac:dyDescent="0.5">
      <c r="A2" s="1" t="s">
        <v>3</v>
      </c>
      <c r="H2">
        <f t="shared" ref="H2:J2" si="0">I2-1</f>
        <v>1</v>
      </c>
      <c r="I2">
        <f t="shared" si="0"/>
        <v>2</v>
      </c>
      <c r="J2">
        <f t="shared" si="0"/>
        <v>3</v>
      </c>
      <c r="K2">
        <f>L2-1</f>
        <v>4</v>
      </c>
      <c r="L2">
        <f>5</f>
        <v>5</v>
      </c>
      <c r="N2">
        <v>1</v>
      </c>
      <c r="O2">
        <v>2</v>
      </c>
      <c r="P2">
        <v>3</v>
      </c>
      <c r="Q2">
        <v>4</v>
      </c>
      <c r="R2">
        <v>5</v>
      </c>
    </row>
    <row r="3" spans="1:27" x14ac:dyDescent="0.3">
      <c r="C3" s="3">
        <v>2012</v>
      </c>
      <c r="D3" s="3">
        <f>C3+1</f>
        <v>2013</v>
      </c>
      <c r="E3" s="3">
        <f t="shared" ref="E3:L3" si="1">D3+1</f>
        <v>2014</v>
      </c>
      <c r="F3" s="3">
        <f t="shared" si="1"/>
        <v>2015</v>
      </c>
      <c r="G3" s="3">
        <f t="shared" si="1"/>
        <v>2016</v>
      </c>
      <c r="H3" s="3">
        <f t="shared" si="1"/>
        <v>2017</v>
      </c>
      <c r="I3" s="3">
        <f t="shared" si="1"/>
        <v>2018</v>
      </c>
      <c r="J3" s="3">
        <f t="shared" si="1"/>
        <v>2019</v>
      </c>
      <c r="K3" s="3">
        <f t="shared" si="1"/>
        <v>2020</v>
      </c>
      <c r="L3" s="3">
        <f t="shared" si="1"/>
        <v>2021</v>
      </c>
      <c r="M3" s="13" t="s">
        <v>69</v>
      </c>
      <c r="N3" s="22">
        <v>2022</v>
      </c>
      <c r="O3" s="22">
        <f>N3+1</f>
        <v>2023</v>
      </c>
      <c r="P3" s="22">
        <f t="shared" ref="P3:Y3" si="2">O3+1</f>
        <v>2024</v>
      </c>
      <c r="Q3" s="22">
        <f t="shared" si="2"/>
        <v>2025</v>
      </c>
      <c r="R3" s="22">
        <f t="shared" si="2"/>
        <v>2026</v>
      </c>
      <c r="S3" s="22">
        <f t="shared" si="2"/>
        <v>2027</v>
      </c>
      <c r="T3" s="22">
        <f t="shared" si="2"/>
        <v>2028</v>
      </c>
      <c r="U3" s="22">
        <f t="shared" si="2"/>
        <v>2029</v>
      </c>
      <c r="V3" s="22">
        <f t="shared" si="2"/>
        <v>2030</v>
      </c>
      <c r="W3" s="22">
        <f t="shared" si="2"/>
        <v>2031</v>
      </c>
      <c r="Y3" s="24" t="s">
        <v>70</v>
      </c>
      <c r="Z3" s="24"/>
      <c r="AA3" s="24"/>
    </row>
    <row r="4" spans="1:27" x14ac:dyDescent="0.3">
      <c r="A4" t="s">
        <v>4</v>
      </c>
      <c r="C4" s="15">
        <v>12825</v>
      </c>
      <c r="D4" s="15">
        <v>12205</v>
      </c>
      <c r="E4" s="15">
        <v>13045</v>
      </c>
      <c r="F4" s="15">
        <v>13000</v>
      </c>
      <c r="G4" s="15">
        <v>13370</v>
      </c>
      <c r="H4" s="15">
        <v>14961</v>
      </c>
      <c r="I4" s="15">
        <v>15784</v>
      </c>
      <c r="J4" s="15">
        <v>14383</v>
      </c>
      <c r="K4" s="15">
        <v>14461</v>
      </c>
      <c r="L4" s="15">
        <v>18344</v>
      </c>
      <c r="M4" s="20">
        <f>(L4/C4)^(1/10)-1</f>
        <v>3.6438809495763502E-2</v>
      </c>
      <c r="Y4" s="25" t="s">
        <v>71</v>
      </c>
      <c r="Z4" s="26">
        <v>2026</v>
      </c>
      <c r="AA4" s="26">
        <v>2031</v>
      </c>
    </row>
    <row r="5" spans="1:27" x14ac:dyDescent="0.3">
      <c r="Y5" s="25" t="s">
        <v>7</v>
      </c>
      <c r="Z5" s="27">
        <f>R8</f>
        <v>13267.168376326403</v>
      </c>
      <c r="AA5" s="27">
        <f>W8</f>
        <v>17754.464063525858</v>
      </c>
    </row>
    <row r="6" spans="1:27" x14ac:dyDescent="0.3">
      <c r="A6" t="s">
        <v>5</v>
      </c>
      <c r="C6">
        <v>1973</v>
      </c>
      <c r="D6">
        <v>2832</v>
      </c>
      <c r="E6">
        <v>3947</v>
      </c>
      <c r="F6">
        <v>4322</v>
      </c>
      <c r="G6">
        <v>4855</v>
      </c>
      <c r="H6">
        <v>6083</v>
      </c>
      <c r="I6">
        <v>6713</v>
      </c>
      <c r="J6">
        <v>5723</v>
      </c>
      <c r="K6">
        <v>5894</v>
      </c>
      <c r="L6">
        <v>8960</v>
      </c>
      <c r="Y6" s="25" t="s">
        <v>72</v>
      </c>
      <c r="Z6" s="28">
        <v>11</v>
      </c>
      <c r="AA6" s="28"/>
    </row>
    <row r="7" spans="1:27" x14ac:dyDescent="0.3">
      <c r="A7" t="s">
        <v>6</v>
      </c>
      <c r="C7">
        <v>1401</v>
      </c>
      <c r="D7">
        <v>1297</v>
      </c>
      <c r="E7">
        <v>1230</v>
      </c>
      <c r="F7">
        <v>1133</v>
      </c>
      <c r="G7">
        <v>955</v>
      </c>
      <c r="H7">
        <v>904</v>
      </c>
      <c r="I7">
        <v>954</v>
      </c>
      <c r="J7">
        <v>1050</v>
      </c>
      <c r="K7">
        <v>992</v>
      </c>
      <c r="L7">
        <v>954</v>
      </c>
      <c r="Y7" s="25" t="s">
        <v>13</v>
      </c>
      <c r="Z7" s="27">
        <f>$Z$6*Z5</f>
        <v>145938.85213959042</v>
      </c>
      <c r="AA7" s="27">
        <f t="shared" ref="AA7" si="3">$Z$6*AA5</f>
        <v>195299.10469878445</v>
      </c>
    </row>
    <row r="8" spans="1:27" x14ac:dyDescent="0.3">
      <c r="A8" s="17" t="s">
        <v>7</v>
      </c>
      <c r="C8" s="15">
        <f t="shared" ref="C8:K8" si="4">C6+C7</f>
        <v>3374</v>
      </c>
      <c r="D8" s="15">
        <f t="shared" si="4"/>
        <v>4129</v>
      </c>
      <c r="E8" s="15">
        <f t="shared" si="4"/>
        <v>5177</v>
      </c>
      <c r="F8" s="15">
        <f t="shared" si="4"/>
        <v>5455</v>
      </c>
      <c r="G8" s="15">
        <f t="shared" si="4"/>
        <v>5810</v>
      </c>
      <c r="H8" s="15">
        <f t="shared" si="4"/>
        <v>6987</v>
      </c>
      <c r="I8" s="15">
        <f t="shared" si="4"/>
        <v>7667</v>
      </c>
      <c r="J8" s="15">
        <f t="shared" si="4"/>
        <v>6773</v>
      </c>
      <c r="K8" s="15">
        <f t="shared" si="4"/>
        <v>6886</v>
      </c>
      <c r="L8" s="15">
        <f>L6+L7</f>
        <v>9914</v>
      </c>
      <c r="N8" s="4">
        <f>L8*(1+N9)</f>
        <v>10508.84</v>
      </c>
      <c r="O8" s="4">
        <f>N8*(1+O9)</f>
        <v>11139.370400000002</v>
      </c>
      <c r="P8" s="4">
        <f t="shared" ref="P8:W8" si="5">O8*(1+P9)</f>
        <v>11807.732624000002</v>
      </c>
      <c r="Q8" s="4">
        <f t="shared" si="5"/>
        <v>12516.196581440003</v>
      </c>
      <c r="R8" s="4">
        <f t="shared" si="5"/>
        <v>13267.168376326403</v>
      </c>
      <c r="S8" s="4">
        <f t="shared" si="5"/>
        <v>14063.198478905988</v>
      </c>
      <c r="T8" s="4">
        <f t="shared" si="5"/>
        <v>14906.990387640348</v>
      </c>
      <c r="U8" s="4">
        <f t="shared" si="5"/>
        <v>15801.409810898769</v>
      </c>
      <c r="V8" s="4">
        <f t="shared" si="5"/>
        <v>16749.494399552696</v>
      </c>
      <c r="W8" s="4">
        <f t="shared" si="5"/>
        <v>17754.464063525858</v>
      </c>
      <c r="Y8" s="25" t="s">
        <v>73</v>
      </c>
      <c r="Z8" s="29">
        <f>L15</f>
        <v>7741</v>
      </c>
      <c r="AA8" s="29"/>
    </row>
    <row r="9" spans="1:27" x14ac:dyDescent="0.3">
      <c r="A9" s="2" t="s">
        <v>20</v>
      </c>
      <c r="D9" s="6">
        <f>D8/C8-1</f>
        <v>0.22377000592768237</v>
      </c>
      <c r="E9" s="6">
        <f t="shared" ref="E9:L9" si="6">E8/D8-1</f>
        <v>0.2538144829256479</v>
      </c>
      <c r="F9" s="6">
        <f t="shared" si="6"/>
        <v>5.3699053505891436E-2</v>
      </c>
      <c r="G9" s="6">
        <f t="shared" si="6"/>
        <v>6.5077910174152098E-2</v>
      </c>
      <c r="H9" s="6">
        <f t="shared" si="6"/>
        <v>0.20258175559380387</v>
      </c>
      <c r="I9" s="6">
        <f t="shared" si="6"/>
        <v>9.7323600973236113E-2</v>
      </c>
      <c r="J9" s="6">
        <f t="shared" si="6"/>
        <v>-0.1166036259293074</v>
      </c>
      <c r="K9" s="6">
        <f t="shared" si="6"/>
        <v>1.6683891923815253E-2</v>
      </c>
      <c r="L9" s="6">
        <f t="shared" si="6"/>
        <v>0.43973279117049091</v>
      </c>
      <c r="M9" s="20">
        <f>AVERAGE(D9:L9)</f>
        <v>0.1373422073628236</v>
      </c>
      <c r="N9" s="23">
        <v>0.06</v>
      </c>
      <c r="O9" s="23">
        <v>0.06</v>
      </c>
      <c r="P9" s="23">
        <v>0.06</v>
      </c>
      <c r="Q9" s="23">
        <v>0.06</v>
      </c>
      <c r="R9" s="23">
        <v>0.06</v>
      </c>
      <c r="S9" s="23">
        <v>0.06</v>
      </c>
      <c r="T9" s="23">
        <v>0.06</v>
      </c>
      <c r="U9" s="23">
        <v>0.06</v>
      </c>
      <c r="V9" s="23">
        <v>0.06</v>
      </c>
      <c r="W9" s="23">
        <v>0.06</v>
      </c>
      <c r="Y9" s="25" t="s">
        <v>74</v>
      </c>
      <c r="Z9" s="29">
        <f>L13</f>
        <v>5108</v>
      </c>
      <c r="AA9" s="29"/>
    </row>
    <row r="10" spans="1:27" x14ac:dyDescent="0.3">
      <c r="Y10" s="25" t="s">
        <v>12</v>
      </c>
      <c r="Z10" s="27">
        <f>Z7-Z8+Z9</f>
        <v>143305.85213959042</v>
      </c>
      <c r="AA10" s="27">
        <f>AA7-Z8+Z9</f>
        <v>192666.10469878445</v>
      </c>
    </row>
    <row r="11" spans="1:27" x14ac:dyDescent="0.3">
      <c r="A11" t="s">
        <v>8</v>
      </c>
      <c r="C11" s="16">
        <v>1146</v>
      </c>
      <c r="D11" s="16">
        <v>1113</v>
      </c>
      <c r="E11" s="16">
        <v>1080</v>
      </c>
      <c r="F11" s="16">
        <v>1043</v>
      </c>
      <c r="G11" s="16">
        <v>1021</v>
      </c>
      <c r="H11" s="16">
        <v>1012</v>
      </c>
      <c r="I11" s="16">
        <v>990</v>
      </c>
      <c r="J11" s="16">
        <v>952</v>
      </c>
      <c r="K11" s="16">
        <v>933</v>
      </c>
      <c r="L11" s="16">
        <v>936</v>
      </c>
      <c r="M11" s="20">
        <f>(L11/C11)^(1/10)-1</f>
        <v>-2.0038253320336596E-2</v>
      </c>
      <c r="Y11" s="25" t="s">
        <v>8</v>
      </c>
      <c r="Z11" s="37">
        <f>L11</f>
        <v>936</v>
      </c>
      <c r="AA11" s="37"/>
    </row>
    <row r="12" spans="1:27" x14ac:dyDescent="0.3">
      <c r="Y12" s="38" t="s">
        <v>24</v>
      </c>
      <c r="Z12" s="35">
        <f>Z10/Z11</f>
        <v>153.10454288417782</v>
      </c>
      <c r="AA12" s="35">
        <f>AA10/Z11</f>
        <v>205.83985544741927</v>
      </c>
    </row>
    <row r="13" spans="1:27" x14ac:dyDescent="0.3">
      <c r="A13" t="s">
        <v>9</v>
      </c>
      <c r="C13" s="15">
        <v>2549</v>
      </c>
      <c r="D13" s="15">
        <v>2202</v>
      </c>
      <c r="E13" s="15">
        <v>2342</v>
      </c>
      <c r="F13" s="15">
        <v>2218</v>
      </c>
      <c r="G13" s="15">
        <v>2336</v>
      </c>
      <c r="H13" s="15">
        <v>2813</v>
      </c>
      <c r="I13" s="15">
        <v>1795</v>
      </c>
      <c r="J13" s="15">
        <v>2950</v>
      </c>
      <c r="K13" s="15">
        <v>3461</v>
      </c>
      <c r="L13" s="15">
        <f>5108</f>
        <v>5108</v>
      </c>
    </row>
    <row r="14" spans="1:27" x14ac:dyDescent="0.3">
      <c r="Y14" s="24" t="s">
        <v>75</v>
      </c>
      <c r="Z14" s="24"/>
      <c r="AA14" s="24"/>
    </row>
    <row r="15" spans="1:27" x14ac:dyDescent="0.3">
      <c r="A15" t="s">
        <v>10</v>
      </c>
      <c r="C15" s="15">
        <f>1500+4186</f>
        <v>5686</v>
      </c>
      <c r="D15" s="15">
        <f>1000+4158</f>
        <v>5158</v>
      </c>
      <c r="E15" s="15">
        <f>1001+3630</f>
        <v>4631</v>
      </c>
      <c r="F15" s="15">
        <f>1000+3120</f>
        <v>4120</v>
      </c>
      <c r="G15" s="15">
        <f>631+2978</f>
        <v>3609</v>
      </c>
      <c r="H15" s="15">
        <f>500+3577</f>
        <v>4077</v>
      </c>
      <c r="I15" s="15">
        <f>749+4319</f>
        <v>5068</v>
      </c>
      <c r="J15" s="15">
        <f>500+5303</f>
        <v>5803</v>
      </c>
      <c r="K15" s="15">
        <f>550+6248</f>
        <v>6798</v>
      </c>
      <c r="L15" s="15">
        <f>500+7241</f>
        <v>7741</v>
      </c>
      <c r="Y15" s="25" t="s">
        <v>71</v>
      </c>
      <c r="Z15" s="26">
        <f>Z4</f>
        <v>2026</v>
      </c>
      <c r="AA15" s="31">
        <f>AA4</f>
        <v>2031</v>
      </c>
    </row>
    <row r="16" spans="1:27" x14ac:dyDescent="0.3">
      <c r="Y16" s="25" t="s">
        <v>23</v>
      </c>
      <c r="Z16" s="32">
        <f>R37</f>
        <v>10.457031917271797</v>
      </c>
      <c r="AA16" s="32">
        <f>W37</f>
        <v>13.993867577472688</v>
      </c>
    </row>
    <row r="17" spans="1:28" x14ac:dyDescent="0.3">
      <c r="A17" t="s">
        <v>17</v>
      </c>
      <c r="C17">
        <f>8230-C13</f>
        <v>5681</v>
      </c>
      <c r="D17">
        <f>8019-D13</f>
        <v>5817</v>
      </c>
      <c r="E17">
        <f>7421-E13</f>
        <v>5079</v>
      </c>
      <c r="F17">
        <f>7074-F13</f>
        <v>4856</v>
      </c>
      <c r="G17">
        <f>7457-G13</f>
        <v>5121</v>
      </c>
      <c r="H17">
        <f>8734-H13</f>
        <v>5921</v>
      </c>
      <c r="I17">
        <f>8097-I13</f>
        <v>6302</v>
      </c>
      <c r="J17">
        <f>8761-J13</f>
        <v>5811</v>
      </c>
      <c r="K17">
        <f>10239-K13</f>
        <v>6778</v>
      </c>
      <c r="L17">
        <f>13685-L13</f>
        <v>8577</v>
      </c>
      <c r="Y17" s="25" t="s">
        <v>25</v>
      </c>
      <c r="Z17" s="36">
        <v>0.06</v>
      </c>
      <c r="AA17" s="36"/>
    </row>
    <row r="18" spans="1:28" x14ac:dyDescent="0.3">
      <c r="A18" t="s">
        <v>16</v>
      </c>
      <c r="C18">
        <f>3430-1500</f>
        <v>1930</v>
      </c>
      <c r="D18">
        <f>2747-1000</f>
        <v>1747</v>
      </c>
      <c r="E18">
        <f>2658-1001</f>
        <v>1657</v>
      </c>
      <c r="F18">
        <f>2555-1000</f>
        <v>1555</v>
      </c>
      <c r="G18">
        <f>2264-631</f>
        <v>1633</v>
      </c>
      <c r="H18">
        <f>2258-500</f>
        <v>1758</v>
      </c>
      <c r="I18">
        <f>2474-749</f>
        <v>1725</v>
      </c>
      <c r="J18">
        <f>2123-500</f>
        <v>1623</v>
      </c>
      <c r="K18">
        <f>2390-550</f>
        <v>1840</v>
      </c>
      <c r="L18">
        <f>2569-500</f>
        <v>2069</v>
      </c>
      <c r="Y18" s="25" t="s">
        <v>24</v>
      </c>
      <c r="Z18" s="35">
        <f>Z16/Z17</f>
        <v>174.28386528786328</v>
      </c>
      <c r="AA18" s="35">
        <f>AA16/Z17</f>
        <v>233.23112629121147</v>
      </c>
    </row>
    <row r="19" spans="1:28" x14ac:dyDescent="0.3">
      <c r="A19" t="s">
        <v>11</v>
      </c>
      <c r="C19" s="15">
        <f t="shared" ref="C19:K19" si="7">C17-C18</f>
        <v>3751</v>
      </c>
      <c r="D19" s="15">
        <f t="shared" si="7"/>
        <v>4070</v>
      </c>
      <c r="E19" s="15">
        <f t="shared" si="7"/>
        <v>3422</v>
      </c>
      <c r="F19" s="15">
        <f t="shared" si="7"/>
        <v>3301</v>
      </c>
      <c r="G19" s="15">
        <f t="shared" si="7"/>
        <v>3488</v>
      </c>
      <c r="H19" s="15">
        <f t="shared" si="7"/>
        <v>4163</v>
      </c>
      <c r="I19" s="15">
        <f t="shared" si="7"/>
        <v>4577</v>
      </c>
      <c r="J19" s="15">
        <f t="shared" si="7"/>
        <v>4188</v>
      </c>
      <c r="K19" s="15">
        <f t="shared" si="7"/>
        <v>4938</v>
      </c>
      <c r="L19" s="15">
        <f>L17-L18</f>
        <v>6508</v>
      </c>
    </row>
    <row r="20" spans="1:28" x14ac:dyDescent="0.3">
      <c r="Y20" s="24" t="s">
        <v>76</v>
      </c>
      <c r="Z20" s="24"/>
      <c r="AA20" s="24"/>
    </row>
    <row r="21" spans="1:28" x14ac:dyDescent="0.3">
      <c r="A21" t="s">
        <v>12</v>
      </c>
      <c r="C21" s="4">
        <f>C11*C39</f>
        <v>26078.592594000002</v>
      </c>
      <c r="D21" s="4">
        <f t="shared" ref="D21:L21" si="8">D11*D39</f>
        <v>32978.718953249998</v>
      </c>
      <c r="E21" s="4">
        <f t="shared" si="8"/>
        <v>41388.884730000005</v>
      </c>
      <c r="F21" s="4">
        <f t="shared" si="8"/>
        <v>46260.856689249995</v>
      </c>
      <c r="G21" s="4">
        <f t="shared" si="8"/>
        <v>55326.510570999992</v>
      </c>
      <c r="H21" s="4">
        <f t="shared" si="8"/>
        <v>74735.005671333318</v>
      </c>
      <c r="I21" s="4">
        <f t="shared" si="8"/>
        <v>92341.109849999993</v>
      </c>
      <c r="J21" s="4">
        <f t="shared" si="8"/>
        <v>100799.26701600001</v>
      </c>
      <c r="K21" s="4">
        <f t="shared" si="8"/>
        <v>115186.38358625</v>
      </c>
      <c r="L21" s="4">
        <f t="shared" si="8"/>
        <v>167521.09022999997</v>
      </c>
      <c r="M21" s="20">
        <f>(L21/C21)^(1/10)-1</f>
        <v>0.20442159608009836</v>
      </c>
      <c r="Y21" s="25" t="s">
        <v>77</v>
      </c>
      <c r="Z21" s="25"/>
      <c r="AA21" s="25">
        <v>178.13</v>
      </c>
      <c r="AB21" t="s">
        <v>78</v>
      </c>
    </row>
    <row r="22" spans="1:28" x14ac:dyDescent="0.3">
      <c r="Y22" s="25" t="s">
        <v>71</v>
      </c>
      <c r="Z22" s="26">
        <f>Z15</f>
        <v>2026</v>
      </c>
      <c r="AA22" s="31">
        <f>AA15</f>
        <v>2031</v>
      </c>
    </row>
    <row r="23" spans="1:28" x14ac:dyDescent="0.3">
      <c r="A23" t="s">
        <v>13</v>
      </c>
      <c r="C23" s="4">
        <f>C21+C15-C13</f>
        <v>29215.592594000002</v>
      </c>
      <c r="D23" s="4">
        <f t="shared" ref="D23:L23" si="9">D21+D15-D13</f>
        <v>35934.718953249998</v>
      </c>
      <c r="E23" s="4">
        <f t="shared" si="9"/>
        <v>43677.884730000005</v>
      </c>
      <c r="F23" s="4">
        <f t="shared" si="9"/>
        <v>48162.856689249995</v>
      </c>
      <c r="G23" s="4">
        <f t="shared" si="9"/>
        <v>56599.510570999992</v>
      </c>
      <c r="H23" s="4">
        <f t="shared" si="9"/>
        <v>75999.005671333318</v>
      </c>
      <c r="I23" s="4">
        <f t="shared" si="9"/>
        <v>95614.109849999993</v>
      </c>
      <c r="J23" s="4">
        <f t="shared" si="9"/>
        <v>103652.26701600001</v>
      </c>
      <c r="K23" s="4">
        <f t="shared" si="9"/>
        <v>118523.38358625</v>
      </c>
      <c r="L23" s="4">
        <f t="shared" si="9"/>
        <v>170154.09022999997</v>
      </c>
      <c r="M23" s="20">
        <f>(L23/C23)^(1/10)-1</f>
        <v>0.19267679432733886</v>
      </c>
      <c r="Y23" s="25" t="s">
        <v>79</v>
      </c>
      <c r="Z23" s="30">
        <f>Z12</f>
        <v>153.10454288417782</v>
      </c>
      <c r="AA23" s="30">
        <f>AA12</f>
        <v>205.83985544741927</v>
      </c>
    </row>
    <row r="24" spans="1:28" x14ac:dyDescent="0.3">
      <c r="Y24" s="25" t="s">
        <v>80</v>
      </c>
      <c r="Z24" s="33">
        <f>Z18</f>
        <v>174.28386528786328</v>
      </c>
      <c r="AA24" s="33">
        <f>AA18</f>
        <v>233.23112629121147</v>
      </c>
    </row>
    <row r="25" spans="1:28" x14ac:dyDescent="0.3">
      <c r="A25" t="s">
        <v>14</v>
      </c>
      <c r="C25" s="14">
        <f t="shared" ref="C25:K25" si="10">C23/C8</f>
        <v>8.6590375204505037</v>
      </c>
      <c r="D25" s="14">
        <f t="shared" si="10"/>
        <v>8.7030077387381919</v>
      </c>
      <c r="E25" s="14">
        <f t="shared" si="10"/>
        <v>8.4369103206490248</v>
      </c>
      <c r="F25" s="14">
        <f t="shared" si="10"/>
        <v>8.8291212995875341</v>
      </c>
      <c r="G25" s="14">
        <f t="shared" si="10"/>
        <v>9.7417402015490513</v>
      </c>
      <c r="H25" s="14">
        <f t="shared" si="10"/>
        <v>10.877201326940506</v>
      </c>
      <c r="I25" s="14">
        <f t="shared" si="10"/>
        <v>12.470863421155601</v>
      </c>
      <c r="J25" s="14">
        <f t="shared" si="10"/>
        <v>15.303745314631627</v>
      </c>
      <c r="K25" s="14">
        <f t="shared" si="10"/>
        <v>17.212225324753121</v>
      </c>
      <c r="L25" s="14">
        <f>L23/L8</f>
        <v>17.163010916885209</v>
      </c>
      <c r="M25" s="21">
        <f>AVERAGE(C25:L25)</f>
        <v>11.739686338534039</v>
      </c>
      <c r="Y25" s="25" t="s">
        <v>81</v>
      </c>
      <c r="Z25" s="34">
        <f>AVERAGE(Z23:Z24)</f>
        <v>163.69420408602053</v>
      </c>
      <c r="AA25" s="34">
        <f t="shared" ref="AA25" si="11">AVERAGE(AA23:AA24)</f>
        <v>219.53549086931537</v>
      </c>
    </row>
    <row r="26" spans="1:28" x14ac:dyDescent="0.3">
      <c r="M26" s="18"/>
      <c r="Y26" s="25" t="s">
        <v>82</v>
      </c>
      <c r="Z26" s="39">
        <f>(Z25/AA21)^(1/5)-1</f>
        <v>-1.6760659239142606E-2</v>
      </c>
      <c r="AA26" s="39">
        <f>(AA25/AA21)^(1/10)-1</f>
        <v>2.1119963972099143E-2</v>
      </c>
    </row>
    <row r="27" spans="1:28" x14ac:dyDescent="0.3">
      <c r="A27" t="s">
        <v>15</v>
      </c>
      <c r="C27" s="14">
        <f t="shared" ref="C27:K27" si="12">C15/C8</f>
        <v>1.6852400711321873</v>
      </c>
      <c r="D27" s="14">
        <f t="shared" si="12"/>
        <v>1.24921288447566</v>
      </c>
      <c r="E27" s="14">
        <f t="shared" si="12"/>
        <v>0.89453351361792544</v>
      </c>
      <c r="F27" s="14">
        <f t="shared" si="12"/>
        <v>0.75527039413382213</v>
      </c>
      <c r="G27" s="14">
        <f t="shared" si="12"/>
        <v>0.62117039586919109</v>
      </c>
      <c r="H27" s="14">
        <f t="shared" si="12"/>
        <v>0.58351223701159294</v>
      </c>
      <c r="I27" s="14">
        <f t="shared" si="12"/>
        <v>0.66101473848963088</v>
      </c>
      <c r="J27" s="14">
        <f t="shared" si="12"/>
        <v>0.85678429056548056</v>
      </c>
      <c r="K27" s="14">
        <f t="shared" si="12"/>
        <v>0.98722044728434499</v>
      </c>
      <c r="L27" s="14">
        <f>L15/L8</f>
        <v>0.78081500907807144</v>
      </c>
      <c r="M27" s="21">
        <f>AVERAGE(C27:L27)</f>
        <v>0.90747739816579076</v>
      </c>
    </row>
    <row r="29" spans="1:28" x14ac:dyDescent="0.3">
      <c r="A29" t="s">
        <v>18</v>
      </c>
      <c r="C29" s="4">
        <v>3414</v>
      </c>
      <c r="D29" s="4">
        <v>3384</v>
      </c>
      <c r="E29" s="4">
        <v>4054</v>
      </c>
      <c r="F29" s="4">
        <v>4391</v>
      </c>
      <c r="G29" s="4">
        <v>4614</v>
      </c>
      <c r="H29" s="4">
        <v>5363</v>
      </c>
      <c r="I29" s="4">
        <v>7189</v>
      </c>
      <c r="J29" s="4">
        <v>6649</v>
      </c>
      <c r="K29" s="4">
        <v>6139</v>
      </c>
      <c r="L29" s="4">
        <v>8756</v>
      </c>
      <c r="M29" s="20">
        <f>(L29/C29)^(1/10)-1</f>
        <v>9.8763498788775772E-2</v>
      </c>
    </row>
    <row r="31" spans="1:28" x14ac:dyDescent="0.3">
      <c r="A31" t="s">
        <v>19</v>
      </c>
      <c r="C31" s="15">
        <v>-495</v>
      </c>
      <c r="D31" s="15">
        <v>-391</v>
      </c>
      <c r="E31" s="15">
        <v>-243</v>
      </c>
      <c r="F31" s="15">
        <v>-441</v>
      </c>
      <c r="G31" s="15">
        <v>-531</v>
      </c>
      <c r="H31" s="15">
        <v>-655</v>
      </c>
      <c r="I31" s="15">
        <v>-1122</v>
      </c>
      <c r="J31" s="15">
        <v>-817</v>
      </c>
      <c r="K31" s="15">
        <v>-645</v>
      </c>
      <c r="L31" s="15">
        <v>-2387</v>
      </c>
    </row>
    <row r="33" spans="1:23" x14ac:dyDescent="0.3">
      <c r="A33" t="s">
        <v>21</v>
      </c>
      <c r="C33" s="15">
        <v>117</v>
      </c>
      <c r="D33" s="15">
        <v>-514</v>
      </c>
      <c r="E33" s="15">
        <v>-502</v>
      </c>
      <c r="F33" s="15">
        <v>-502</v>
      </c>
      <c r="G33" s="15">
        <v>-501</v>
      </c>
      <c r="H33" s="15">
        <v>474</v>
      </c>
      <c r="I33" s="15">
        <v>1000</v>
      </c>
      <c r="J33" s="15">
        <v>741</v>
      </c>
      <c r="K33" s="15">
        <v>998</v>
      </c>
      <c r="L33" s="15">
        <v>945</v>
      </c>
    </row>
    <row r="35" spans="1:23" x14ac:dyDescent="0.3">
      <c r="A35" t="s">
        <v>22</v>
      </c>
      <c r="C35" s="4">
        <f t="shared" ref="C35:K35" si="13">C29+C31+C33</f>
        <v>3036</v>
      </c>
      <c r="D35" s="4">
        <f t="shared" si="13"/>
        <v>2479</v>
      </c>
      <c r="E35" s="4">
        <f t="shared" si="13"/>
        <v>3309</v>
      </c>
      <c r="F35" s="4">
        <f t="shared" si="13"/>
        <v>3448</v>
      </c>
      <c r="G35" s="4">
        <f t="shared" si="13"/>
        <v>3582</v>
      </c>
      <c r="H35" s="4">
        <f t="shared" si="13"/>
        <v>5182</v>
      </c>
      <c r="I35" s="4">
        <f t="shared" si="13"/>
        <v>7067</v>
      </c>
      <c r="J35" s="4">
        <f t="shared" si="13"/>
        <v>6573</v>
      </c>
      <c r="K35" s="4">
        <f t="shared" si="13"/>
        <v>6492</v>
      </c>
      <c r="L35" s="4">
        <f>L29+L31+L33</f>
        <v>7314</v>
      </c>
      <c r="M35" s="20">
        <f>(L35/C35)^(1/10)-1</f>
        <v>9.1906167048412257E-2</v>
      </c>
    </row>
    <row r="37" spans="1:23" x14ac:dyDescent="0.3">
      <c r="A37" t="s">
        <v>23</v>
      </c>
      <c r="C37" s="5">
        <f t="shared" ref="C37:K37" si="14">C35/C11</f>
        <v>2.6492146596858639</v>
      </c>
      <c r="D37" s="5">
        <f t="shared" si="14"/>
        <v>2.2273135669362083</v>
      </c>
      <c r="E37" s="5">
        <f t="shared" si="14"/>
        <v>3.0638888888888891</v>
      </c>
      <c r="F37" s="5">
        <f t="shared" si="14"/>
        <v>3.3058485139022054</v>
      </c>
      <c r="G37" s="5">
        <f t="shared" si="14"/>
        <v>3.5083251714005876</v>
      </c>
      <c r="H37" s="5">
        <f t="shared" si="14"/>
        <v>5.1205533596837949</v>
      </c>
      <c r="I37" s="5">
        <f t="shared" si="14"/>
        <v>7.1383838383838381</v>
      </c>
      <c r="J37" s="5">
        <f t="shared" si="14"/>
        <v>6.9044117647058822</v>
      </c>
      <c r="K37" s="5">
        <f t="shared" si="14"/>
        <v>6.958199356913183</v>
      </c>
      <c r="L37" s="5">
        <f>L35/L11</f>
        <v>7.8141025641025639</v>
      </c>
      <c r="M37" s="20">
        <f>(L37/C37)^(1/10)-1</f>
        <v>0.11423345936516638</v>
      </c>
      <c r="N37" s="11">
        <f>L37*(1+N38)</f>
        <v>8.2829487179487185</v>
      </c>
      <c r="O37" s="11">
        <f>N37*(1+O38)</f>
        <v>8.7799256410256419</v>
      </c>
      <c r="P37" s="11">
        <f t="shared" ref="P37" si="15">O37*(1+P38)</f>
        <v>9.3067211794871803</v>
      </c>
      <c r="Q37" s="11">
        <f t="shared" ref="Q37" si="16">P37*(1+Q38)</f>
        <v>9.8651244502564115</v>
      </c>
      <c r="R37" s="11">
        <f t="shared" ref="R37" si="17">Q37*(1+R38)</f>
        <v>10.457031917271797</v>
      </c>
      <c r="S37" s="11">
        <f t="shared" ref="S37" si="18">R37*(1+S38)</f>
        <v>11.084453832308105</v>
      </c>
      <c r="T37" s="11">
        <f t="shared" ref="T37" si="19">S37*(1+T38)</f>
        <v>11.749521062246592</v>
      </c>
      <c r="U37" s="11">
        <f t="shared" ref="U37" si="20">T37*(1+U38)</f>
        <v>12.454492325981388</v>
      </c>
      <c r="V37" s="11">
        <f t="shared" ref="V37" si="21">U37*(1+V38)</f>
        <v>13.201761865540272</v>
      </c>
      <c r="W37" s="11">
        <f t="shared" ref="W37" si="22">V37*(1+W38)</f>
        <v>13.993867577472688</v>
      </c>
    </row>
    <row r="38" spans="1:23" x14ac:dyDescent="0.3">
      <c r="N38" s="23">
        <v>0.06</v>
      </c>
      <c r="O38" s="23">
        <v>0.06</v>
      </c>
      <c r="P38" s="23">
        <v>0.06</v>
      </c>
      <c r="Q38" s="23">
        <v>0.06</v>
      </c>
      <c r="R38" s="23">
        <v>0.06</v>
      </c>
      <c r="S38" s="23">
        <v>0.06</v>
      </c>
      <c r="T38" s="23">
        <v>0.06</v>
      </c>
      <c r="U38" s="23">
        <v>0.06</v>
      </c>
      <c r="V38" s="23">
        <v>0.06</v>
      </c>
      <c r="W38" s="23">
        <v>0.06</v>
      </c>
    </row>
    <row r="39" spans="1:23" x14ac:dyDescent="0.3">
      <c r="A39" t="s">
        <v>24</v>
      </c>
      <c r="C39" s="11">
        <v>22.756189000000003</v>
      </c>
      <c r="D39" s="11">
        <v>29.63047525</v>
      </c>
      <c r="E39" s="11">
        <v>38.323041416666669</v>
      </c>
      <c r="F39" s="11">
        <v>44.353649749999995</v>
      </c>
      <c r="G39" s="11">
        <v>54.18855099999999</v>
      </c>
      <c r="H39" s="11">
        <v>73.848819833333323</v>
      </c>
      <c r="I39" s="11">
        <v>93.273848333333333</v>
      </c>
      <c r="J39" s="11">
        <v>105.88158300000002</v>
      </c>
      <c r="K39" s="11">
        <v>123.45807458333333</v>
      </c>
      <c r="L39" s="11">
        <v>178.97552374999998</v>
      </c>
      <c r="M39" s="20">
        <f>(L39/C39)^(1/10)-1</f>
        <v>0.22904960337580182</v>
      </c>
    </row>
    <row r="41" spans="1:23" x14ac:dyDescent="0.3">
      <c r="A41" t="s">
        <v>25</v>
      </c>
      <c r="C41" s="12">
        <f>C37/C39</f>
        <v>0.11641732540039387</v>
      </c>
      <c r="D41" s="12">
        <f t="shared" ref="D41:L41" si="23">D37/D39</f>
        <v>7.5169687564704463E-2</v>
      </c>
      <c r="E41" s="12">
        <f t="shared" si="23"/>
        <v>7.9949001322123806E-2</v>
      </c>
      <c r="F41" s="12">
        <f t="shared" si="23"/>
        <v>7.4533855331763446E-2</v>
      </c>
      <c r="G41" s="12">
        <f t="shared" si="23"/>
        <v>6.4742922751349977E-2</v>
      </c>
      <c r="H41" s="12">
        <f t="shared" si="23"/>
        <v>6.9338323499822788E-2</v>
      </c>
      <c r="I41" s="12">
        <f t="shared" si="23"/>
        <v>7.6531460489046743E-2</v>
      </c>
      <c r="J41" s="12">
        <f t="shared" si="23"/>
        <v>6.5208807510045264E-2</v>
      </c>
      <c r="K41" s="12">
        <f t="shared" si="23"/>
        <v>5.6360828405892946E-2</v>
      </c>
      <c r="L41" s="12">
        <f t="shared" si="23"/>
        <v>4.3660174309743095E-2</v>
      </c>
      <c r="M41" s="19">
        <f>AVERAGE(C41:L41)</f>
        <v>7.2191238658488643E-2</v>
      </c>
    </row>
  </sheetData>
  <mergeCells count="8">
    <mergeCell ref="Z17:AA17"/>
    <mergeCell ref="Y20:AA20"/>
    <mergeCell ref="Z6:AA6"/>
    <mergeCell ref="Z8:AA8"/>
    <mergeCell ref="Z9:AA9"/>
    <mergeCell ref="Z11:AA11"/>
    <mergeCell ref="Y14:AA14"/>
    <mergeCell ref="Y3:AA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347F-7E28-4E6F-B3E1-32F2E40EBBCD}">
  <dimension ref="A3:M42"/>
  <sheetViews>
    <sheetView topLeftCell="A14" workbookViewId="0">
      <selection activeCell="D30" sqref="D30:M30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2" x14ac:dyDescent="0.3">
      <c r="A3" s="8" t="s">
        <v>28</v>
      </c>
      <c r="B3" t="s">
        <v>68</v>
      </c>
    </row>
    <row r="4" spans="1:2" x14ac:dyDescent="0.3">
      <c r="A4" s="9" t="s">
        <v>30</v>
      </c>
      <c r="B4" s="10">
        <v>1.1640123333333332</v>
      </c>
    </row>
    <row r="5" spans="1:2" x14ac:dyDescent="0.3">
      <c r="A5" s="9" t="s">
        <v>31</v>
      </c>
      <c r="B5" s="10">
        <v>1.4020200833333334</v>
      </c>
    </row>
    <row r="6" spans="1:2" x14ac:dyDescent="0.3">
      <c r="A6" s="9" t="s">
        <v>32</v>
      </c>
      <c r="B6" s="10">
        <v>2.0880693333333338</v>
      </c>
    </row>
    <row r="7" spans="1:2" x14ac:dyDescent="0.3">
      <c r="A7" s="9" t="s">
        <v>33</v>
      </c>
      <c r="B7" s="10">
        <v>1.5804689999999999</v>
      </c>
    </row>
    <row r="8" spans="1:2" x14ac:dyDescent="0.3">
      <c r="A8" s="9" t="s">
        <v>34</v>
      </c>
      <c r="B8" s="10">
        <v>1.4316285833333333</v>
      </c>
    </row>
    <row r="9" spans="1:2" x14ac:dyDescent="0.3">
      <c r="A9" s="9" t="s">
        <v>35</v>
      </c>
      <c r="B9" s="10">
        <v>1.2513608333333333</v>
      </c>
    </row>
    <row r="10" spans="1:2" x14ac:dyDescent="0.3">
      <c r="A10" s="9" t="s">
        <v>36</v>
      </c>
      <c r="B10" s="10">
        <v>1.3153444999999999</v>
      </c>
    </row>
    <row r="11" spans="1:2" x14ac:dyDescent="0.3">
      <c r="A11" s="9" t="s">
        <v>37</v>
      </c>
      <c r="B11" s="10">
        <v>1.56888575</v>
      </c>
    </row>
    <row r="12" spans="1:2" x14ac:dyDescent="0.3">
      <c r="A12" s="9" t="s">
        <v>38</v>
      </c>
      <c r="B12" s="10">
        <v>2.5782229166666668</v>
      </c>
    </row>
    <row r="13" spans="1:2" x14ac:dyDescent="0.3">
      <c r="A13" s="9" t="s">
        <v>39</v>
      </c>
      <c r="B13" s="10">
        <v>3.0528811666666669</v>
      </c>
    </row>
    <row r="14" spans="1:2" x14ac:dyDescent="0.3">
      <c r="A14" s="9" t="s">
        <v>40</v>
      </c>
      <c r="B14" s="10">
        <v>4.7767594166666667</v>
      </c>
    </row>
    <row r="15" spans="1:2" x14ac:dyDescent="0.3">
      <c r="A15" s="9" t="s">
        <v>41</v>
      </c>
      <c r="B15" s="10">
        <v>4.3109662499999999</v>
      </c>
    </row>
    <row r="16" spans="1:2" x14ac:dyDescent="0.3">
      <c r="A16" s="9" t="s">
        <v>42</v>
      </c>
      <c r="B16" s="10">
        <v>7.9634574166666665</v>
      </c>
    </row>
    <row r="17" spans="1:13" x14ac:dyDescent="0.3">
      <c r="A17" s="9" t="s">
        <v>43</v>
      </c>
      <c r="B17" s="10">
        <v>10.102460833333332</v>
      </c>
    </row>
    <row r="18" spans="1:13" x14ac:dyDescent="0.3">
      <c r="A18" s="9" t="s">
        <v>44</v>
      </c>
      <c r="B18" s="10">
        <v>23.470215583333331</v>
      </c>
    </row>
    <row r="19" spans="1:13" x14ac:dyDescent="0.3">
      <c r="A19" s="9" t="s">
        <v>45</v>
      </c>
      <c r="B19" s="10">
        <v>41.793028333333332</v>
      </c>
    </row>
    <row r="20" spans="1:13" x14ac:dyDescent="0.3">
      <c r="A20" s="9" t="s">
        <v>46</v>
      </c>
      <c r="B20" s="10">
        <v>21.849730083333331</v>
      </c>
    </row>
    <row r="21" spans="1:13" x14ac:dyDescent="0.3">
      <c r="A21" s="9" t="s">
        <v>47</v>
      </c>
      <c r="B21" s="10">
        <v>16.051840583333334</v>
      </c>
    </row>
    <row r="22" spans="1:13" x14ac:dyDescent="0.3">
      <c r="A22" s="9" t="s">
        <v>48</v>
      </c>
      <c r="B22" s="10">
        <v>14.649577833333334</v>
      </c>
    </row>
    <row r="23" spans="1:13" x14ac:dyDescent="0.3">
      <c r="A23" s="9" t="s">
        <v>49</v>
      </c>
      <c r="B23" s="10">
        <v>17.124010083333335</v>
      </c>
    </row>
    <row r="24" spans="1:13" x14ac:dyDescent="0.3">
      <c r="A24" s="9" t="s">
        <v>50</v>
      </c>
      <c r="B24" s="10">
        <v>19.774839916666668</v>
      </c>
    </row>
    <row r="25" spans="1:13" x14ac:dyDescent="0.3">
      <c r="A25" s="9" t="s">
        <v>51</v>
      </c>
      <c r="B25" s="10">
        <v>21.258450166666666</v>
      </c>
    </row>
    <row r="26" spans="1:13" x14ac:dyDescent="0.3">
      <c r="A26" s="9" t="s">
        <v>52</v>
      </c>
      <c r="B26" s="10">
        <v>23.190308083333335</v>
      </c>
    </row>
    <row r="27" spans="1:13" x14ac:dyDescent="0.3">
      <c r="A27" s="9" t="s">
        <v>53</v>
      </c>
      <c r="B27" s="10">
        <v>17.459141333333335</v>
      </c>
    </row>
    <row r="28" spans="1:13" x14ac:dyDescent="0.3">
      <c r="A28" s="9" t="s">
        <v>54</v>
      </c>
      <c r="B28" s="10">
        <v>15.008330000000001</v>
      </c>
    </row>
    <row r="29" spans="1:13" x14ac:dyDescent="0.3">
      <c r="A29" s="9" t="s">
        <v>55</v>
      </c>
      <c r="B29" s="10">
        <v>19.074950500000003</v>
      </c>
    </row>
    <row r="30" spans="1:13" x14ac:dyDescent="0.3">
      <c r="A30" s="9" t="s">
        <v>56</v>
      </c>
      <c r="B30" s="10">
        <v>23.492209000000003</v>
      </c>
      <c r="D30" cm="1">
        <f t="array" ref="D30:M30">TRANSPOSE(B31:B40)</f>
        <v>22.756189000000003</v>
      </c>
      <c r="E30">
        <v>29.63047525</v>
      </c>
      <c r="F30">
        <v>38.323041416666669</v>
      </c>
      <c r="G30">
        <v>44.353649749999995</v>
      </c>
      <c r="H30">
        <v>54.18855099999999</v>
      </c>
      <c r="I30">
        <v>73.848819833333323</v>
      </c>
      <c r="J30">
        <v>93.273848333333333</v>
      </c>
      <c r="K30">
        <v>105.88158300000002</v>
      </c>
      <c r="L30">
        <v>123.45807458333333</v>
      </c>
      <c r="M30">
        <v>178.97552374999998</v>
      </c>
    </row>
    <row r="31" spans="1:13" x14ac:dyDescent="0.3">
      <c r="A31" s="9" t="s">
        <v>57</v>
      </c>
      <c r="B31" s="10">
        <v>22.756189000000003</v>
      </c>
    </row>
    <row r="32" spans="1:13" x14ac:dyDescent="0.3">
      <c r="A32" s="9" t="s">
        <v>58</v>
      </c>
      <c r="B32" s="10">
        <v>29.63047525</v>
      </c>
    </row>
    <row r="33" spans="1:2" x14ac:dyDescent="0.3">
      <c r="A33" s="9" t="s">
        <v>59</v>
      </c>
      <c r="B33" s="10">
        <v>38.323041416666669</v>
      </c>
    </row>
    <row r="34" spans="1:2" x14ac:dyDescent="0.3">
      <c r="A34" s="9" t="s">
        <v>60</v>
      </c>
      <c r="B34" s="10">
        <v>44.353649749999995</v>
      </c>
    </row>
    <row r="35" spans="1:2" x14ac:dyDescent="0.3">
      <c r="A35" s="9" t="s">
        <v>61</v>
      </c>
      <c r="B35" s="10">
        <v>54.18855099999999</v>
      </c>
    </row>
    <row r="36" spans="1:2" x14ac:dyDescent="0.3">
      <c r="A36" s="9" t="s">
        <v>62</v>
      </c>
      <c r="B36" s="10">
        <v>73.848819833333323</v>
      </c>
    </row>
    <row r="37" spans="1:2" x14ac:dyDescent="0.3">
      <c r="A37" s="9" t="s">
        <v>63</v>
      </c>
      <c r="B37" s="10">
        <v>93.273848333333333</v>
      </c>
    </row>
    <row r="38" spans="1:2" x14ac:dyDescent="0.3">
      <c r="A38" s="9" t="s">
        <v>64</v>
      </c>
      <c r="B38" s="10">
        <v>105.88158300000002</v>
      </c>
    </row>
    <row r="39" spans="1:2" x14ac:dyDescent="0.3">
      <c r="A39" s="9" t="s">
        <v>65</v>
      </c>
      <c r="B39" s="10">
        <v>123.45807458333333</v>
      </c>
    </row>
    <row r="40" spans="1:2" x14ac:dyDescent="0.3">
      <c r="A40" s="9" t="s">
        <v>66</v>
      </c>
      <c r="B40" s="10">
        <v>178.97552374999998</v>
      </c>
    </row>
    <row r="41" spans="1:2" x14ac:dyDescent="0.3">
      <c r="A41" s="9" t="s">
        <v>67</v>
      </c>
      <c r="B41" s="10">
        <v>167.83688616666669</v>
      </c>
    </row>
    <row r="42" spans="1:2" x14ac:dyDescent="0.3">
      <c r="A42" s="9" t="s">
        <v>29</v>
      </c>
      <c r="B42" s="10">
        <v>32.929205578947368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57BD-9EAC-4ECB-A0F3-E2426788AAD5}">
  <dimension ref="A1:B457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27</v>
      </c>
      <c r="B1" t="s">
        <v>26</v>
      </c>
    </row>
    <row r="2" spans="1:2" x14ac:dyDescent="0.3">
      <c r="A2" s="7">
        <v>31048</v>
      </c>
      <c r="B2">
        <v>1.472971</v>
      </c>
    </row>
    <row r="3" spans="1:2" x14ac:dyDescent="0.3">
      <c r="A3" s="7">
        <v>31079</v>
      </c>
      <c r="B3">
        <v>1.2668109999999999</v>
      </c>
    </row>
    <row r="4" spans="1:2" x14ac:dyDescent="0.3">
      <c r="A4" s="7">
        <v>31107</v>
      </c>
      <c r="B4">
        <v>1.2653890000000001</v>
      </c>
    </row>
    <row r="5" spans="1:2" x14ac:dyDescent="0.3">
      <c r="A5" s="7">
        <v>31138</v>
      </c>
      <c r="B5">
        <v>1.0698030000000001</v>
      </c>
    </row>
    <row r="6" spans="1:2" x14ac:dyDescent="0.3">
      <c r="A6" s="7">
        <v>31168</v>
      </c>
      <c r="B6">
        <v>1.009814</v>
      </c>
    </row>
    <row r="7" spans="1:2" x14ac:dyDescent="0.3">
      <c r="A7" s="7">
        <v>31199</v>
      </c>
      <c r="B7">
        <v>1.0926560000000001</v>
      </c>
    </row>
    <row r="8" spans="1:2" x14ac:dyDescent="0.3">
      <c r="A8" s="7">
        <v>31229</v>
      </c>
      <c r="B8">
        <v>1.203052</v>
      </c>
    </row>
    <row r="9" spans="1:2" x14ac:dyDescent="0.3">
      <c r="A9" s="7">
        <v>31260</v>
      </c>
      <c r="B9">
        <v>1.096816</v>
      </c>
    </row>
    <row r="10" spans="1:2" x14ac:dyDescent="0.3">
      <c r="A10" s="7">
        <v>31291</v>
      </c>
      <c r="B10">
        <v>1.0508770000000001</v>
      </c>
    </row>
    <row r="11" spans="1:2" x14ac:dyDescent="0.3">
      <c r="A11" s="7">
        <v>31321</v>
      </c>
      <c r="B11">
        <v>1.0379560000000001</v>
      </c>
    </row>
    <row r="12" spans="1:2" x14ac:dyDescent="0.3">
      <c r="A12" s="7">
        <v>31352</v>
      </c>
      <c r="B12">
        <v>1.1836789999999999</v>
      </c>
    </row>
    <row r="13" spans="1:2" x14ac:dyDescent="0.3">
      <c r="A13" s="7">
        <v>31382</v>
      </c>
      <c r="B13">
        <v>1.218324</v>
      </c>
    </row>
    <row r="14" spans="1:2" x14ac:dyDescent="0.3">
      <c r="A14" s="7">
        <v>31413</v>
      </c>
      <c r="B14">
        <v>1.273496</v>
      </c>
    </row>
    <row r="15" spans="1:2" x14ac:dyDescent="0.3">
      <c r="A15" s="7">
        <v>31444</v>
      </c>
      <c r="B15">
        <v>1.4794609999999999</v>
      </c>
    </row>
    <row r="16" spans="1:2" x14ac:dyDescent="0.3">
      <c r="A16" s="7">
        <v>31472</v>
      </c>
      <c r="B16">
        <v>1.373578</v>
      </c>
    </row>
    <row r="17" spans="1:2" x14ac:dyDescent="0.3">
      <c r="A17" s="7">
        <v>31503</v>
      </c>
      <c r="B17">
        <v>1.612903</v>
      </c>
    </row>
    <row r="18" spans="1:2" x14ac:dyDescent="0.3">
      <c r="A18" s="7">
        <v>31533</v>
      </c>
      <c r="B18">
        <v>1.614104</v>
      </c>
    </row>
    <row r="19" spans="1:2" x14ac:dyDescent="0.3">
      <c r="A19" s="7">
        <v>31564</v>
      </c>
      <c r="B19">
        <v>1.3912169999999999</v>
      </c>
    </row>
    <row r="20" spans="1:2" x14ac:dyDescent="0.3">
      <c r="A20" s="7">
        <v>31594</v>
      </c>
      <c r="B20">
        <v>1.2790459999999999</v>
      </c>
    </row>
    <row r="21" spans="1:2" x14ac:dyDescent="0.3">
      <c r="A21" s="7">
        <v>31625</v>
      </c>
      <c r="B21">
        <v>1.4219200000000001</v>
      </c>
    </row>
    <row r="22" spans="1:2" x14ac:dyDescent="0.3">
      <c r="A22" s="7">
        <v>31656</v>
      </c>
      <c r="B22">
        <v>1.2902610000000001</v>
      </c>
    </row>
    <row r="23" spans="1:2" x14ac:dyDescent="0.3">
      <c r="A23" s="7">
        <v>31686</v>
      </c>
      <c r="B23">
        <v>1.2946489999999999</v>
      </c>
    </row>
    <row r="24" spans="1:2" x14ac:dyDescent="0.3">
      <c r="A24" s="7">
        <v>31717</v>
      </c>
      <c r="B24">
        <v>1.4048849999999999</v>
      </c>
    </row>
    <row r="25" spans="1:2" x14ac:dyDescent="0.3">
      <c r="A25" s="7">
        <v>31747</v>
      </c>
      <c r="B25">
        <v>1.3887210000000001</v>
      </c>
    </row>
    <row r="26" spans="1:2" x14ac:dyDescent="0.3">
      <c r="A26" s="7">
        <v>31778</v>
      </c>
      <c r="B26">
        <v>1.674971</v>
      </c>
    </row>
    <row r="27" spans="1:2" x14ac:dyDescent="0.3">
      <c r="A27" s="7">
        <v>31809</v>
      </c>
      <c r="B27">
        <v>1.9361790000000001</v>
      </c>
    </row>
    <row r="28" spans="1:2" x14ac:dyDescent="0.3">
      <c r="A28" s="7">
        <v>31837</v>
      </c>
      <c r="B28">
        <v>2.1900059999999999</v>
      </c>
    </row>
    <row r="29" spans="1:2" x14ac:dyDescent="0.3">
      <c r="A29" s="7">
        <v>31868</v>
      </c>
      <c r="B29">
        <v>2.2773840000000001</v>
      </c>
    </row>
    <row r="30" spans="1:2" x14ac:dyDescent="0.3">
      <c r="A30" s="7">
        <v>31898</v>
      </c>
      <c r="B30">
        <v>2.0790929999999999</v>
      </c>
    </row>
    <row r="31" spans="1:2" x14ac:dyDescent="0.3">
      <c r="A31" s="7">
        <v>31929</v>
      </c>
      <c r="B31">
        <v>2.1619609999999998</v>
      </c>
    </row>
    <row r="32" spans="1:2" x14ac:dyDescent="0.3">
      <c r="A32" s="7">
        <v>31959</v>
      </c>
      <c r="B32">
        <v>2.2261600000000001</v>
      </c>
    </row>
    <row r="33" spans="1:2" x14ac:dyDescent="0.3">
      <c r="A33" s="7">
        <v>31990</v>
      </c>
      <c r="B33">
        <v>2.6224180000000001</v>
      </c>
    </row>
    <row r="34" spans="1:2" x14ac:dyDescent="0.3">
      <c r="A34" s="7">
        <v>32021</v>
      </c>
      <c r="B34">
        <v>2.6624889999999999</v>
      </c>
    </row>
    <row r="35" spans="1:2" x14ac:dyDescent="0.3">
      <c r="A35" s="7">
        <v>32051</v>
      </c>
      <c r="B35">
        <v>1.7361059999999999</v>
      </c>
    </row>
    <row r="36" spans="1:2" x14ac:dyDescent="0.3">
      <c r="A36" s="7">
        <v>32082</v>
      </c>
      <c r="B36">
        <v>1.499568</v>
      </c>
    </row>
    <row r="37" spans="1:2" x14ac:dyDescent="0.3">
      <c r="A37" s="7">
        <v>32112</v>
      </c>
      <c r="B37">
        <v>1.990497</v>
      </c>
    </row>
    <row r="38" spans="1:2" x14ac:dyDescent="0.3">
      <c r="A38" s="7">
        <v>32143</v>
      </c>
      <c r="B38">
        <v>1.69693</v>
      </c>
    </row>
    <row r="39" spans="1:2" x14ac:dyDescent="0.3">
      <c r="A39" s="7">
        <v>32174</v>
      </c>
      <c r="B39">
        <v>1.858117</v>
      </c>
    </row>
    <row r="40" spans="1:2" x14ac:dyDescent="0.3">
      <c r="A40" s="7">
        <v>32203</v>
      </c>
      <c r="B40">
        <v>1.6700660000000001</v>
      </c>
    </row>
    <row r="41" spans="1:2" x14ac:dyDescent="0.3">
      <c r="A41" s="7">
        <v>32234</v>
      </c>
      <c r="B41">
        <v>1.6893750000000001</v>
      </c>
    </row>
    <row r="42" spans="1:2" x14ac:dyDescent="0.3">
      <c r="A42" s="7">
        <v>32264</v>
      </c>
      <c r="B42">
        <v>1.6129929999999999</v>
      </c>
    </row>
    <row r="43" spans="1:2" x14ac:dyDescent="0.3">
      <c r="A43" s="7">
        <v>32295</v>
      </c>
      <c r="B43">
        <v>1.747784</v>
      </c>
    </row>
    <row r="44" spans="1:2" x14ac:dyDescent="0.3">
      <c r="A44" s="7">
        <v>32325</v>
      </c>
      <c r="B44">
        <v>1.5693060000000001</v>
      </c>
    </row>
    <row r="45" spans="1:2" x14ac:dyDescent="0.3">
      <c r="A45" s="7">
        <v>32356</v>
      </c>
      <c r="B45">
        <v>1.4700960000000001</v>
      </c>
    </row>
    <row r="46" spans="1:2" x14ac:dyDescent="0.3">
      <c r="A46" s="7">
        <v>32387</v>
      </c>
      <c r="B46">
        <v>1.492645</v>
      </c>
    </row>
    <row r="47" spans="1:2" x14ac:dyDescent="0.3">
      <c r="A47" s="7">
        <v>32417</v>
      </c>
      <c r="B47">
        <v>1.390636</v>
      </c>
    </row>
    <row r="48" spans="1:2" x14ac:dyDescent="0.3">
      <c r="A48" s="7">
        <v>32448</v>
      </c>
      <c r="B48">
        <v>1.2819210000000001</v>
      </c>
    </row>
    <row r="49" spans="1:2" x14ac:dyDescent="0.3">
      <c r="A49" s="7">
        <v>32478</v>
      </c>
      <c r="B49">
        <v>1.4857590000000001</v>
      </c>
    </row>
    <row r="50" spans="1:2" x14ac:dyDescent="0.3">
      <c r="A50" s="7">
        <v>32509</v>
      </c>
      <c r="B50">
        <v>1.5971310000000001</v>
      </c>
    </row>
    <row r="51" spans="1:2" x14ac:dyDescent="0.3">
      <c r="A51" s="7">
        <v>32540</v>
      </c>
      <c r="B51">
        <v>1.456075</v>
      </c>
    </row>
    <row r="52" spans="1:2" x14ac:dyDescent="0.3">
      <c r="A52" s="7">
        <v>32568</v>
      </c>
      <c r="B52">
        <v>1.4424250000000001</v>
      </c>
    </row>
    <row r="53" spans="1:2" x14ac:dyDescent="0.3">
      <c r="A53" s="7">
        <v>32599</v>
      </c>
      <c r="B53">
        <v>1.4584330000000001</v>
      </c>
    </row>
    <row r="54" spans="1:2" x14ac:dyDescent="0.3">
      <c r="A54" s="7">
        <v>32629</v>
      </c>
      <c r="B54">
        <v>1.6275919999999999</v>
      </c>
    </row>
    <row r="55" spans="1:2" x14ac:dyDescent="0.3">
      <c r="A55" s="7">
        <v>32660</v>
      </c>
      <c r="B55">
        <v>1.4310020000000001</v>
      </c>
    </row>
    <row r="56" spans="1:2" x14ac:dyDescent="0.3">
      <c r="A56" s="7">
        <v>32690</v>
      </c>
      <c r="B56">
        <v>1.4462699999999999</v>
      </c>
    </row>
    <row r="57" spans="1:2" x14ac:dyDescent="0.3">
      <c r="A57" s="7">
        <v>32721</v>
      </c>
      <c r="B57">
        <v>1.4692270000000001</v>
      </c>
    </row>
    <row r="58" spans="1:2" x14ac:dyDescent="0.3">
      <c r="A58" s="7">
        <v>32752</v>
      </c>
      <c r="B58">
        <v>1.414131</v>
      </c>
    </row>
    <row r="59" spans="1:2" x14ac:dyDescent="0.3">
      <c r="A59" s="7">
        <v>32782</v>
      </c>
      <c r="B59">
        <v>1.176083</v>
      </c>
    </row>
    <row r="60" spans="1:2" x14ac:dyDescent="0.3">
      <c r="A60" s="7">
        <v>32813</v>
      </c>
      <c r="B60">
        <v>1.3375049999999999</v>
      </c>
    </row>
    <row r="61" spans="1:2" x14ac:dyDescent="0.3">
      <c r="A61" s="7">
        <v>32843</v>
      </c>
      <c r="B61">
        <v>1.323669</v>
      </c>
    </row>
    <row r="62" spans="1:2" x14ac:dyDescent="0.3">
      <c r="A62" s="7">
        <v>32874</v>
      </c>
      <c r="B62">
        <v>1.237771</v>
      </c>
    </row>
    <row r="63" spans="1:2" x14ac:dyDescent="0.3">
      <c r="A63" s="7">
        <v>32905</v>
      </c>
      <c r="B63">
        <v>1.3073079999999999</v>
      </c>
    </row>
    <row r="64" spans="1:2" x14ac:dyDescent="0.3">
      <c r="A64" s="7">
        <v>32933</v>
      </c>
      <c r="B64">
        <v>1.344395</v>
      </c>
    </row>
    <row r="65" spans="1:2" x14ac:dyDescent="0.3">
      <c r="A65" s="7">
        <v>32964</v>
      </c>
      <c r="B65">
        <v>1.266991</v>
      </c>
    </row>
    <row r="66" spans="1:2" x14ac:dyDescent="0.3">
      <c r="A66" s="7">
        <v>32994</v>
      </c>
      <c r="B66">
        <v>1.565107</v>
      </c>
    </row>
    <row r="67" spans="1:2" x14ac:dyDescent="0.3">
      <c r="A67" s="7">
        <v>33025</v>
      </c>
      <c r="B67">
        <v>1.4766030000000001</v>
      </c>
    </row>
    <row r="68" spans="1:2" x14ac:dyDescent="0.3">
      <c r="A68" s="7">
        <v>33055</v>
      </c>
      <c r="B68">
        <v>1.198027</v>
      </c>
    </row>
    <row r="69" spans="1:2" x14ac:dyDescent="0.3">
      <c r="A69" s="7">
        <v>33086</v>
      </c>
      <c r="B69">
        <v>1.0389139999999999</v>
      </c>
    </row>
    <row r="70" spans="1:2" x14ac:dyDescent="0.3">
      <c r="A70" s="7">
        <v>33117</v>
      </c>
      <c r="B70">
        <v>1.0529539999999999</v>
      </c>
    </row>
    <row r="71" spans="1:2" x14ac:dyDescent="0.3">
      <c r="A71" s="7">
        <v>33147</v>
      </c>
      <c r="B71">
        <v>0.90444000000000002</v>
      </c>
    </row>
    <row r="72" spans="1:2" x14ac:dyDescent="0.3">
      <c r="A72" s="7">
        <v>33178</v>
      </c>
      <c r="B72">
        <v>1.191789</v>
      </c>
    </row>
    <row r="73" spans="1:2" x14ac:dyDescent="0.3">
      <c r="A73" s="7">
        <v>33208</v>
      </c>
      <c r="B73">
        <v>1.4320310000000001</v>
      </c>
    </row>
    <row r="74" spans="1:2" x14ac:dyDescent="0.3">
      <c r="A74" s="7">
        <v>33239</v>
      </c>
      <c r="B74">
        <v>1.4150720000000001</v>
      </c>
    </row>
    <row r="75" spans="1:2" x14ac:dyDescent="0.3">
      <c r="A75" s="7">
        <v>33270</v>
      </c>
      <c r="B75">
        <v>1.571251</v>
      </c>
    </row>
    <row r="76" spans="1:2" x14ac:dyDescent="0.3">
      <c r="A76" s="7">
        <v>33298</v>
      </c>
      <c r="B76">
        <v>1.5097259999999999</v>
      </c>
    </row>
    <row r="77" spans="1:2" x14ac:dyDescent="0.3">
      <c r="A77" s="7">
        <v>33329</v>
      </c>
      <c r="B77">
        <v>1.530834</v>
      </c>
    </row>
    <row r="78" spans="1:2" x14ac:dyDescent="0.3">
      <c r="A78" s="7">
        <v>33359</v>
      </c>
      <c r="B78">
        <v>1.4880469999999999</v>
      </c>
    </row>
    <row r="79" spans="1:2" x14ac:dyDescent="0.3">
      <c r="A79" s="7">
        <v>33390</v>
      </c>
      <c r="B79">
        <v>1.264602</v>
      </c>
    </row>
    <row r="80" spans="1:2" x14ac:dyDescent="0.3">
      <c r="A80" s="7">
        <v>33420</v>
      </c>
      <c r="B80">
        <v>1.2427539999999999</v>
      </c>
    </row>
    <row r="81" spans="1:2" x14ac:dyDescent="0.3">
      <c r="A81" s="7">
        <v>33451</v>
      </c>
      <c r="B81">
        <v>1.2092959999999999</v>
      </c>
    </row>
    <row r="82" spans="1:2" x14ac:dyDescent="0.3">
      <c r="A82" s="7">
        <v>33482</v>
      </c>
      <c r="B82">
        <v>1.080241</v>
      </c>
    </row>
    <row r="83" spans="1:2" x14ac:dyDescent="0.3">
      <c r="A83" s="7">
        <v>33512</v>
      </c>
      <c r="B83">
        <v>1.2167520000000001</v>
      </c>
    </row>
    <row r="84" spans="1:2" x14ac:dyDescent="0.3">
      <c r="A84" s="7">
        <v>33543</v>
      </c>
      <c r="B84">
        <v>1.072473</v>
      </c>
    </row>
    <row r="85" spans="1:2" x14ac:dyDescent="0.3">
      <c r="A85" s="7">
        <v>33573</v>
      </c>
      <c r="B85">
        <v>1.1830860000000001</v>
      </c>
    </row>
    <row r="86" spans="1:2" x14ac:dyDescent="0.3">
      <c r="A86" s="7">
        <v>33604</v>
      </c>
      <c r="B86">
        <v>1.3849100000000001</v>
      </c>
    </row>
    <row r="87" spans="1:2" x14ac:dyDescent="0.3">
      <c r="A87" s="7">
        <v>33635</v>
      </c>
      <c r="B87">
        <v>1.4527030000000001</v>
      </c>
    </row>
    <row r="88" spans="1:2" x14ac:dyDescent="0.3">
      <c r="A88" s="7">
        <v>33664</v>
      </c>
      <c r="B88">
        <v>1.2638510000000001</v>
      </c>
    </row>
    <row r="89" spans="1:2" x14ac:dyDescent="0.3">
      <c r="A89" s="7">
        <v>33695</v>
      </c>
      <c r="B89">
        <v>1.34839</v>
      </c>
    </row>
    <row r="90" spans="1:2" x14ac:dyDescent="0.3">
      <c r="A90" s="7">
        <v>33725</v>
      </c>
      <c r="B90">
        <v>1.4652179999999999</v>
      </c>
    </row>
    <row r="91" spans="1:2" x14ac:dyDescent="0.3">
      <c r="A91" s="7">
        <v>33756</v>
      </c>
      <c r="B91">
        <v>1.367861</v>
      </c>
    </row>
    <row r="92" spans="1:2" x14ac:dyDescent="0.3">
      <c r="A92" s="7">
        <v>33786</v>
      </c>
      <c r="B92">
        <v>1.639246</v>
      </c>
    </row>
    <row r="93" spans="1:2" x14ac:dyDescent="0.3">
      <c r="A93" s="7">
        <v>33817</v>
      </c>
      <c r="B93">
        <v>1.5120199999999999</v>
      </c>
    </row>
    <row r="94" spans="1:2" x14ac:dyDescent="0.3">
      <c r="A94" s="7">
        <v>33848</v>
      </c>
      <c r="B94">
        <v>1.6979649999999999</v>
      </c>
    </row>
    <row r="95" spans="1:2" x14ac:dyDescent="0.3">
      <c r="A95" s="7">
        <v>33878</v>
      </c>
      <c r="B95">
        <v>1.9309099999999999</v>
      </c>
    </row>
    <row r="96" spans="1:2" x14ac:dyDescent="0.3">
      <c r="A96" s="7">
        <v>33909</v>
      </c>
      <c r="B96">
        <v>1.9309099999999999</v>
      </c>
    </row>
    <row r="97" spans="1:2" x14ac:dyDescent="0.3">
      <c r="A97" s="7">
        <v>33939</v>
      </c>
      <c r="B97">
        <v>1.8326450000000001</v>
      </c>
    </row>
    <row r="98" spans="1:2" x14ac:dyDescent="0.3">
      <c r="A98" s="7">
        <v>33970</v>
      </c>
      <c r="B98">
        <v>2.1307079999999998</v>
      </c>
    </row>
    <row r="99" spans="1:2" x14ac:dyDescent="0.3">
      <c r="A99" s="7">
        <v>34001</v>
      </c>
      <c r="B99">
        <v>2.229352</v>
      </c>
    </row>
    <row r="100" spans="1:2" x14ac:dyDescent="0.3">
      <c r="A100" s="7">
        <v>34029</v>
      </c>
      <c r="B100">
        <v>2.2984040000000001</v>
      </c>
    </row>
    <row r="101" spans="1:2" x14ac:dyDescent="0.3">
      <c r="A101" s="7">
        <v>34060</v>
      </c>
      <c r="B101">
        <v>2.2560820000000001</v>
      </c>
    </row>
    <row r="102" spans="1:2" x14ac:dyDescent="0.3">
      <c r="A102" s="7">
        <v>34090</v>
      </c>
      <c r="B102">
        <v>2.5628310000000001</v>
      </c>
    </row>
    <row r="103" spans="1:2" x14ac:dyDescent="0.3">
      <c r="A103" s="7">
        <v>34121</v>
      </c>
      <c r="B103">
        <v>2.7656809999999998</v>
      </c>
    </row>
    <row r="104" spans="1:2" x14ac:dyDescent="0.3">
      <c r="A104" s="7">
        <v>34151</v>
      </c>
      <c r="B104">
        <v>2.8077450000000002</v>
      </c>
    </row>
    <row r="105" spans="1:2" x14ac:dyDescent="0.3">
      <c r="A105" s="7">
        <v>34182</v>
      </c>
      <c r="B105">
        <v>3.1996389999999999</v>
      </c>
    </row>
    <row r="106" spans="1:2" x14ac:dyDescent="0.3">
      <c r="A106" s="7">
        <v>34213</v>
      </c>
      <c r="B106">
        <v>2.996251</v>
      </c>
    </row>
    <row r="107" spans="1:2" x14ac:dyDescent="0.3">
      <c r="A107" s="7">
        <v>34243</v>
      </c>
      <c r="B107">
        <v>2.6103999999999998</v>
      </c>
    </row>
    <row r="108" spans="1:2" x14ac:dyDescent="0.3">
      <c r="A108" s="7">
        <v>34274</v>
      </c>
      <c r="B108">
        <v>2.555707</v>
      </c>
    </row>
    <row r="109" spans="1:2" x14ac:dyDescent="0.3">
      <c r="A109" s="7">
        <v>34304</v>
      </c>
      <c r="B109">
        <v>2.5258750000000001</v>
      </c>
    </row>
    <row r="110" spans="1:2" x14ac:dyDescent="0.3">
      <c r="A110" s="7">
        <v>34335</v>
      </c>
      <c r="B110">
        <v>2.7928069999999998</v>
      </c>
    </row>
    <row r="111" spans="1:2" x14ac:dyDescent="0.3">
      <c r="A111" s="7">
        <v>34366</v>
      </c>
      <c r="B111">
        <v>3.2316760000000002</v>
      </c>
    </row>
    <row r="112" spans="1:2" x14ac:dyDescent="0.3">
      <c r="A112" s="7">
        <v>34394</v>
      </c>
      <c r="B112">
        <v>3.0820609999999999</v>
      </c>
    </row>
    <row r="113" spans="1:2" x14ac:dyDescent="0.3">
      <c r="A113" s="7">
        <v>34425</v>
      </c>
      <c r="B113">
        <v>3.0594929999999998</v>
      </c>
    </row>
    <row r="114" spans="1:2" x14ac:dyDescent="0.3">
      <c r="A114" s="7">
        <v>34455</v>
      </c>
      <c r="B114">
        <v>3.20947</v>
      </c>
    </row>
    <row r="115" spans="1:2" x14ac:dyDescent="0.3">
      <c r="A115" s="7">
        <v>34486</v>
      </c>
      <c r="B115">
        <v>3.1794709999999999</v>
      </c>
    </row>
    <row r="116" spans="1:2" x14ac:dyDescent="0.3">
      <c r="A116" s="7">
        <v>34516</v>
      </c>
      <c r="B116">
        <v>3.1547890000000001</v>
      </c>
    </row>
    <row r="117" spans="1:2" x14ac:dyDescent="0.3">
      <c r="A117" s="7">
        <v>34547</v>
      </c>
      <c r="B117">
        <v>3.124695</v>
      </c>
    </row>
    <row r="118" spans="1:2" x14ac:dyDescent="0.3">
      <c r="A118" s="7">
        <v>34578</v>
      </c>
      <c r="B118">
        <v>2.7284670000000002</v>
      </c>
    </row>
    <row r="119" spans="1:2" x14ac:dyDescent="0.3">
      <c r="A119" s="7">
        <v>34608</v>
      </c>
      <c r="B119">
        <v>3.0154920000000001</v>
      </c>
    </row>
    <row r="120" spans="1:2" x14ac:dyDescent="0.3">
      <c r="A120" s="7">
        <v>34639</v>
      </c>
      <c r="B120">
        <v>3.0406610000000001</v>
      </c>
    </row>
    <row r="121" spans="1:2" x14ac:dyDescent="0.3">
      <c r="A121" s="7">
        <v>34669</v>
      </c>
      <c r="B121">
        <v>3.0154920000000001</v>
      </c>
    </row>
    <row r="122" spans="1:2" x14ac:dyDescent="0.3">
      <c r="A122" s="7">
        <v>34700</v>
      </c>
      <c r="B122">
        <v>2.7885840000000002</v>
      </c>
    </row>
    <row r="123" spans="1:2" x14ac:dyDescent="0.3">
      <c r="A123" s="7">
        <v>34731</v>
      </c>
      <c r="B123">
        <v>3.1826219999999998</v>
      </c>
    </row>
    <row r="124" spans="1:2" x14ac:dyDescent="0.3">
      <c r="A124" s="7">
        <v>34759</v>
      </c>
      <c r="B124">
        <v>3.57666</v>
      </c>
    </row>
    <row r="125" spans="1:2" x14ac:dyDescent="0.3">
      <c r="A125" s="7">
        <v>34790</v>
      </c>
      <c r="B125">
        <v>4.2953039999999998</v>
      </c>
    </row>
    <row r="126" spans="1:2" x14ac:dyDescent="0.3">
      <c r="A126" s="7">
        <v>34820</v>
      </c>
      <c r="B126">
        <v>4.6853239999999996</v>
      </c>
    </row>
    <row r="127" spans="1:2" x14ac:dyDescent="0.3">
      <c r="A127" s="7">
        <v>34851</v>
      </c>
      <c r="B127">
        <v>5.4248469999999998</v>
      </c>
    </row>
    <row r="128" spans="1:2" x14ac:dyDescent="0.3">
      <c r="A128" s="7">
        <v>34881</v>
      </c>
      <c r="B128">
        <v>6.3468369999999998</v>
      </c>
    </row>
    <row r="129" spans="1:2" x14ac:dyDescent="0.3">
      <c r="A129" s="7">
        <v>34912</v>
      </c>
      <c r="B129">
        <v>6.0624969999999996</v>
      </c>
    </row>
    <row r="130" spans="1:2" x14ac:dyDescent="0.3">
      <c r="A130" s="7">
        <v>34943</v>
      </c>
      <c r="B130">
        <v>6.4890040000000004</v>
      </c>
    </row>
    <row r="131" spans="1:2" x14ac:dyDescent="0.3">
      <c r="A131" s="7">
        <v>34973</v>
      </c>
      <c r="B131">
        <v>5.5649100000000002</v>
      </c>
    </row>
    <row r="132" spans="1:2" x14ac:dyDescent="0.3">
      <c r="A132" s="7">
        <v>35004</v>
      </c>
      <c r="B132">
        <v>4.7117649999999998</v>
      </c>
    </row>
    <row r="133" spans="1:2" x14ac:dyDescent="0.3">
      <c r="A133" s="7">
        <v>35034</v>
      </c>
      <c r="B133">
        <v>4.1927589999999997</v>
      </c>
    </row>
    <row r="134" spans="1:2" x14ac:dyDescent="0.3">
      <c r="A134" s="7">
        <v>35065</v>
      </c>
      <c r="B134">
        <v>3.7875519999999998</v>
      </c>
    </row>
    <row r="135" spans="1:2" x14ac:dyDescent="0.3">
      <c r="A135" s="7">
        <v>35096</v>
      </c>
      <c r="B135">
        <v>4.0734079999999997</v>
      </c>
    </row>
    <row r="136" spans="1:2" x14ac:dyDescent="0.3">
      <c r="A136" s="7">
        <v>35125</v>
      </c>
      <c r="B136">
        <v>4.1550779999999996</v>
      </c>
    </row>
    <row r="137" spans="1:2" x14ac:dyDescent="0.3">
      <c r="A137" s="7">
        <v>35156</v>
      </c>
      <c r="B137">
        <v>4.6144850000000002</v>
      </c>
    </row>
    <row r="138" spans="1:2" x14ac:dyDescent="0.3">
      <c r="A138" s="7">
        <v>35186</v>
      </c>
      <c r="B138">
        <v>4.6094679999999997</v>
      </c>
    </row>
    <row r="139" spans="1:2" x14ac:dyDescent="0.3">
      <c r="A139" s="7">
        <v>35217</v>
      </c>
      <c r="B139">
        <v>4.0870639999999998</v>
      </c>
    </row>
    <row r="140" spans="1:2" x14ac:dyDescent="0.3">
      <c r="A140" s="7">
        <v>35247</v>
      </c>
      <c r="B140">
        <v>3.5441699999999998</v>
      </c>
    </row>
    <row r="141" spans="1:2" x14ac:dyDescent="0.3">
      <c r="A141" s="7">
        <v>35278</v>
      </c>
      <c r="B141">
        <v>3.8440840000000001</v>
      </c>
    </row>
    <row r="142" spans="1:2" x14ac:dyDescent="0.3">
      <c r="A142" s="7">
        <v>35309</v>
      </c>
      <c r="B142">
        <v>4.5327330000000003</v>
      </c>
    </row>
    <row r="143" spans="1:2" x14ac:dyDescent="0.3">
      <c r="A143" s="7">
        <v>35339</v>
      </c>
      <c r="B143">
        <v>3.9688029999999999</v>
      </c>
    </row>
    <row r="144" spans="1:2" x14ac:dyDescent="0.3">
      <c r="A144" s="7">
        <v>35370</v>
      </c>
      <c r="B144">
        <v>5.2573749999999997</v>
      </c>
    </row>
    <row r="145" spans="1:2" x14ac:dyDescent="0.3">
      <c r="A145" s="7">
        <v>35400</v>
      </c>
      <c r="B145">
        <v>5.2573749999999997</v>
      </c>
    </row>
    <row r="146" spans="1:2" x14ac:dyDescent="0.3">
      <c r="A146" s="7">
        <v>35431</v>
      </c>
      <c r="B146">
        <v>6.4806270000000001</v>
      </c>
    </row>
    <row r="147" spans="1:2" x14ac:dyDescent="0.3">
      <c r="A147" s="7">
        <v>35462</v>
      </c>
      <c r="B147">
        <v>6.3772690000000001</v>
      </c>
    </row>
    <row r="148" spans="1:2" x14ac:dyDescent="0.3">
      <c r="A148" s="7">
        <v>35490</v>
      </c>
      <c r="B148">
        <v>6.1912200000000004</v>
      </c>
    </row>
    <row r="149" spans="1:2" x14ac:dyDescent="0.3">
      <c r="A149" s="7">
        <v>35521</v>
      </c>
      <c r="B149">
        <v>7.3961319999999997</v>
      </c>
    </row>
    <row r="150" spans="1:2" x14ac:dyDescent="0.3">
      <c r="A150" s="7">
        <v>35551</v>
      </c>
      <c r="B150">
        <v>7.4375660000000003</v>
      </c>
    </row>
    <row r="151" spans="1:2" x14ac:dyDescent="0.3">
      <c r="A151" s="7">
        <v>35582</v>
      </c>
      <c r="B151">
        <v>6.9662410000000001</v>
      </c>
    </row>
    <row r="152" spans="1:2" x14ac:dyDescent="0.3">
      <c r="A152" s="7">
        <v>35612</v>
      </c>
      <c r="B152">
        <v>9.5485240000000005</v>
      </c>
    </row>
    <row r="153" spans="1:2" x14ac:dyDescent="0.3">
      <c r="A153" s="7">
        <v>35643</v>
      </c>
      <c r="B153">
        <v>9.4343610000000009</v>
      </c>
    </row>
    <row r="154" spans="1:2" x14ac:dyDescent="0.3">
      <c r="A154" s="7">
        <v>35674</v>
      </c>
      <c r="B154">
        <v>11.126108</v>
      </c>
    </row>
    <row r="155" spans="1:2" x14ac:dyDescent="0.3">
      <c r="A155" s="7">
        <v>35704</v>
      </c>
      <c r="B155">
        <v>8.8697090000000003</v>
      </c>
    </row>
    <row r="156" spans="1:2" x14ac:dyDescent="0.3">
      <c r="A156" s="7">
        <v>35735</v>
      </c>
      <c r="B156">
        <v>8.2513769999999997</v>
      </c>
    </row>
    <row r="157" spans="1:2" x14ac:dyDescent="0.3">
      <c r="A157" s="7">
        <v>35765</v>
      </c>
      <c r="B157">
        <v>7.4823550000000001</v>
      </c>
    </row>
    <row r="158" spans="1:2" x14ac:dyDescent="0.3">
      <c r="A158" s="7">
        <v>35796</v>
      </c>
      <c r="B158">
        <v>9.1000069999999997</v>
      </c>
    </row>
    <row r="159" spans="1:2" x14ac:dyDescent="0.3">
      <c r="A159" s="7">
        <v>35827</v>
      </c>
      <c r="B159">
        <v>9.6622500000000002</v>
      </c>
    </row>
    <row r="160" spans="1:2" x14ac:dyDescent="0.3">
      <c r="A160" s="7">
        <v>35855</v>
      </c>
      <c r="B160">
        <v>9.0167099999999998</v>
      </c>
    </row>
    <row r="161" spans="1:2" x14ac:dyDescent="0.3">
      <c r="A161" s="7">
        <v>35886</v>
      </c>
      <c r="B161">
        <v>10.682622</v>
      </c>
    </row>
    <row r="162" spans="1:2" x14ac:dyDescent="0.3">
      <c r="A162" s="7">
        <v>35916</v>
      </c>
      <c r="B162">
        <v>8.581061</v>
      </c>
    </row>
    <row r="163" spans="1:2" x14ac:dyDescent="0.3">
      <c r="A163" s="7">
        <v>35947</v>
      </c>
      <c r="B163">
        <v>9.7279719999999994</v>
      </c>
    </row>
    <row r="164" spans="1:2" x14ac:dyDescent="0.3">
      <c r="A164" s="7">
        <v>35977</v>
      </c>
      <c r="B164">
        <v>9.9052310000000006</v>
      </c>
    </row>
    <row r="165" spans="1:2" x14ac:dyDescent="0.3">
      <c r="A165" s="7">
        <v>36008</v>
      </c>
      <c r="B165">
        <v>7.9147309999999997</v>
      </c>
    </row>
    <row r="166" spans="1:2" x14ac:dyDescent="0.3">
      <c r="A166" s="7">
        <v>36039</v>
      </c>
      <c r="B166">
        <v>8.8544789999999995</v>
      </c>
    </row>
    <row r="167" spans="1:2" x14ac:dyDescent="0.3">
      <c r="A167" s="7">
        <v>36069</v>
      </c>
      <c r="B167">
        <v>10.681760000000001</v>
      </c>
    </row>
    <row r="168" spans="1:2" x14ac:dyDescent="0.3">
      <c r="A168" s="7">
        <v>36100</v>
      </c>
      <c r="B168">
        <v>12.777596000000001</v>
      </c>
    </row>
    <row r="169" spans="1:2" x14ac:dyDescent="0.3">
      <c r="A169" s="7">
        <v>36130</v>
      </c>
      <c r="B169">
        <v>14.325111</v>
      </c>
    </row>
    <row r="170" spans="1:2" x14ac:dyDescent="0.3">
      <c r="A170" s="7">
        <v>36161</v>
      </c>
      <c r="B170">
        <v>16.541847000000001</v>
      </c>
    </row>
    <row r="171" spans="1:2" x14ac:dyDescent="0.3">
      <c r="A171" s="7">
        <v>36192</v>
      </c>
      <c r="B171">
        <v>14.934443</v>
      </c>
    </row>
    <row r="172" spans="1:2" x14ac:dyDescent="0.3">
      <c r="A172" s="7">
        <v>36220</v>
      </c>
      <c r="B172">
        <v>16.619409999999998</v>
      </c>
    </row>
    <row r="173" spans="1:2" x14ac:dyDescent="0.3">
      <c r="A173" s="7">
        <v>36251</v>
      </c>
      <c r="B173">
        <v>17.100821</v>
      </c>
    </row>
    <row r="174" spans="1:2" x14ac:dyDescent="0.3">
      <c r="A174" s="7">
        <v>36281</v>
      </c>
      <c r="B174">
        <v>18.328762000000001</v>
      </c>
    </row>
    <row r="175" spans="1:2" x14ac:dyDescent="0.3">
      <c r="A175" s="7">
        <v>36312</v>
      </c>
      <c r="B175">
        <v>24.131129999999999</v>
      </c>
    </row>
    <row r="176" spans="1:2" x14ac:dyDescent="0.3">
      <c r="A176" s="7">
        <v>36342</v>
      </c>
      <c r="B176">
        <v>24.131129999999999</v>
      </c>
    </row>
    <row r="177" spans="1:2" x14ac:dyDescent="0.3">
      <c r="A177" s="7">
        <v>36373</v>
      </c>
      <c r="B177">
        <v>27.519976</v>
      </c>
    </row>
    <row r="178" spans="1:2" x14ac:dyDescent="0.3">
      <c r="A178" s="7">
        <v>36404</v>
      </c>
      <c r="B178">
        <v>27.582840000000001</v>
      </c>
    </row>
    <row r="179" spans="1:2" x14ac:dyDescent="0.3">
      <c r="A179" s="7">
        <v>36434</v>
      </c>
      <c r="B179">
        <v>30.097988000000001</v>
      </c>
    </row>
    <row r="180" spans="1:2" x14ac:dyDescent="0.3">
      <c r="A180" s="7">
        <v>36465</v>
      </c>
      <c r="B180">
        <v>32.232745999999999</v>
      </c>
    </row>
    <row r="181" spans="1:2" x14ac:dyDescent="0.3">
      <c r="A181" s="7">
        <v>36495</v>
      </c>
      <c r="B181">
        <v>32.421494000000003</v>
      </c>
    </row>
    <row r="182" spans="1:2" x14ac:dyDescent="0.3">
      <c r="A182" s="7">
        <v>36526</v>
      </c>
      <c r="B182">
        <v>36.154358000000002</v>
      </c>
    </row>
    <row r="183" spans="1:2" x14ac:dyDescent="0.3">
      <c r="A183" s="7">
        <v>36557</v>
      </c>
      <c r="B183">
        <v>55.762802000000001</v>
      </c>
    </row>
    <row r="184" spans="1:2" x14ac:dyDescent="0.3">
      <c r="A184" s="7">
        <v>36586</v>
      </c>
      <c r="B184">
        <v>53.706828999999999</v>
      </c>
    </row>
    <row r="185" spans="1:2" x14ac:dyDescent="0.3">
      <c r="A185" s="7">
        <v>36617</v>
      </c>
      <c r="B185">
        <v>54.671863999999999</v>
      </c>
    </row>
    <row r="186" spans="1:2" x14ac:dyDescent="0.3">
      <c r="A186" s="7">
        <v>36647</v>
      </c>
      <c r="B186">
        <v>48.517989999999998</v>
      </c>
    </row>
    <row r="187" spans="1:2" x14ac:dyDescent="0.3">
      <c r="A187" s="7">
        <v>36678</v>
      </c>
      <c r="B187">
        <v>46.125652000000002</v>
      </c>
    </row>
    <row r="188" spans="1:2" x14ac:dyDescent="0.3">
      <c r="A188" s="7">
        <v>36708</v>
      </c>
      <c r="B188">
        <v>39.955997000000004</v>
      </c>
    </row>
    <row r="189" spans="1:2" x14ac:dyDescent="0.3">
      <c r="A189" s="7">
        <v>36739</v>
      </c>
      <c r="B189">
        <v>44.839283000000002</v>
      </c>
    </row>
    <row r="190" spans="1:2" x14ac:dyDescent="0.3">
      <c r="A190" s="7">
        <v>36770</v>
      </c>
      <c r="B190">
        <v>31.908080999999999</v>
      </c>
    </row>
    <row r="191" spans="1:2" x14ac:dyDescent="0.3">
      <c r="A191" s="7">
        <v>36800</v>
      </c>
      <c r="B191">
        <v>32.957703000000002</v>
      </c>
    </row>
    <row r="192" spans="1:2" x14ac:dyDescent="0.3">
      <c r="A192" s="7">
        <v>36831</v>
      </c>
      <c r="B192">
        <v>25.076546</v>
      </c>
    </row>
    <row r="193" spans="1:2" x14ac:dyDescent="0.3">
      <c r="A193" s="7">
        <v>36861</v>
      </c>
      <c r="B193">
        <v>31.839234999999999</v>
      </c>
    </row>
    <row r="194" spans="1:2" x14ac:dyDescent="0.3">
      <c r="A194" s="7">
        <v>36892</v>
      </c>
      <c r="B194">
        <v>29.436598</v>
      </c>
    </row>
    <row r="195" spans="1:2" x14ac:dyDescent="0.3">
      <c r="A195" s="7">
        <v>36923</v>
      </c>
      <c r="B195">
        <v>19.869672999999999</v>
      </c>
    </row>
    <row r="196" spans="1:2" x14ac:dyDescent="0.3">
      <c r="A196" s="7">
        <v>36951</v>
      </c>
      <c r="B196">
        <v>20.831213000000002</v>
      </c>
    </row>
    <row r="197" spans="1:2" x14ac:dyDescent="0.3">
      <c r="A197" s="7">
        <v>36982</v>
      </c>
      <c r="B197">
        <v>26.022213000000001</v>
      </c>
    </row>
    <row r="198" spans="1:2" x14ac:dyDescent="0.3">
      <c r="A198" s="7">
        <v>37012</v>
      </c>
      <c r="B198">
        <v>22.956327000000002</v>
      </c>
    </row>
    <row r="199" spans="1:2" x14ac:dyDescent="0.3">
      <c r="A199" s="7">
        <v>37043</v>
      </c>
      <c r="B199">
        <v>21.462692000000001</v>
      </c>
    </row>
    <row r="200" spans="1:2" x14ac:dyDescent="0.3">
      <c r="A200" s="7">
        <v>37073</v>
      </c>
      <c r="B200">
        <v>23.212005999999999</v>
      </c>
    </row>
    <row r="201" spans="1:2" x14ac:dyDescent="0.3">
      <c r="A201" s="7">
        <v>37104</v>
      </c>
      <c r="B201">
        <v>22.285216999999999</v>
      </c>
    </row>
    <row r="202" spans="1:2" x14ac:dyDescent="0.3">
      <c r="A202" s="7">
        <v>37135</v>
      </c>
      <c r="B202">
        <v>16.818276999999998</v>
      </c>
    </row>
    <row r="203" spans="1:2" x14ac:dyDescent="0.3">
      <c r="A203" s="7">
        <v>37165</v>
      </c>
      <c r="B203">
        <v>18.844816000000002</v>
      </c>
    </row>
    <row r="204" spans="1:2" x14ac:dyDescent="0.3">
      <c r="A204" s="7">
        <v>37196</v>
      </c>
      <c r="B204">
        <v>21.593176</v>
      </c>
    </row>
    <row r="205" spans="1:2" x14ac:dyDescent="0.3">
      <c r="A205" s="7">
        <v>37226</v>
      </c>
      <c r="B205">
        <v>18.864553000000001</v>
      </c>
    </row>
    <row r="206" spans="1:2" x14ac:dyDescent="0.3">
      <c r="A206" s="7">
        <v>37257</v>
      </c>
      <c r="B206">
        <v>21.027249999999999</v>
      </c>
    </row>
    <row r="207" spans="1:2" x14ac:dyDescent="0.3">
      <c r="A207" s="7">
        <v>37288</v>
      </c>
      <c r="B207">
        <v>19.789428999999998</v>
      </c>
    </row>
    <row r="208" spans="1:2" x14ac:dyDescent="0.3">
      <c r="A208" s="7">
        <v>37316</v>
      </c>
      <c r="B208">
        <v>22.317886000000001</v>
      </c>
    </row>
    <row r="209" spans="1:2" x14ac:dyDescent="0.3">
      <c r="A209" s="7">
        <v>37347</v>
      </c>
      <c r="B209">
        <v>20.854756999999999</v>
      </c>
    </row>
    <row r="210" spans="1:2" x14ac:dyDescent="0.3">
      <c r="A210" s="7">
        <v>37377</v>
      </c>
      <c r="B210">
        <v>19.34506</v>
      </c>
    </row>
    <row r="211" spans="1:2" x14ac:dyDescent="0.3">
      <c r="A211" s="7">
        <v>37408</v>
      </c>
      <c r="B211">
        <v>15.991557999999999</v>
      </c>
    </row>
    <row r="212" spans="1:2" x14ac:dyDescent="0.3">
      <c r="A212" s="7">
        <v>37438</v>
      </c>
      <c r="B212">
        <v>15.620444000000001</v>
      </c>
    </row>
    <row r="213" spans="1:2" x14ac:dyDescent="0.3">
      <c r="A213" s="7">
        <v>37469</v>
      </c>
      <c r="B213">
        <v>13.305062</v>
      </c>
    </row>
    <row r="214" spans="1:2" x14ac:dyDescent="0.3">
      <c r="A214" s="7">
        <v>37500</v>
      </c>
      <c r="B214">
        <v>9.9754240000000003</v>
      </c>
    </row>
    <row r="215" spans="1:2" x14ac:dyDescent="0.3">
      <c r="A215" s="7">
        <v>37530</v>
      </c>
      <c r="B215">
        <v>10.711589999999999</v>
      </c>
    </row>
    <row r="216" spans="1:2" x14ac:dyDescent="0.3">
      <c r="A216" s="7">
        <v>37561</v>
      </c>
      <c r="B216">
        <v>13.532534</v>
      </c>
    </row>
    <row r="217" spans="1:2" x14ac:dyDescent="0.3">
      <c r="A217" s="7">
        <v>37591</v>
      </c>
      <c r="B217">
        <v>10.151092999999999</v>
      </c>
    </row>
    <row r="218" spans="1:2" x14ac:dyDescent="0.3">
      <c r="A218" s="7">
        <v>37622</v>
      </c>
      <c r="B218">
        <v>10.752985000000001</v>
      </c>
    </row>
    <row r="219" spans="1:2" x14ac:dyDescent="0.3">
      <c r="A219" s="7">
        <v>37653</v>
      </c>
      <c r="B219">
        <v>11.342719000000001</v>
      </c>
    </row>
    <row r="220" spans="1:2" x14ac:dyDescent="0.3">
      <c r="A220" s="7">
        <v>37681</v>
      </c>
      <c r="B220">
        <v>11.085394000000001</v>
      </c>
    </row>
    <row r="221" spans="1:2" x14ac:dyDescent="0.3">
      <c r="A221" s="7">
        <v>37712</v>
      </c>
      <c r="B221">
        <v>12.521011</v>
      </c>
    </row>
    <row r="222" spans="1:2" x14ac:dyDescent="0.3">
      <c r="A222" s="7">
        <v>37742</v>
      </c>
      <c r="B222">
        <v>13.899523</v>
      </c>
    </row>
    <row r="223" spans="1:2" x14ac:dyDescent="0.3">
      <c r="A223" s="7">
        <v>37773</v>
      </c>
      <c r="B223">
        <v>11.933247</v>
      </c>
    </row>
    <row r="224" spans="1:2" x14ac:dyDescent="0.3">
      <c r="A224" s="7">
        <v>37803</v>
      </c>
      <c r="B224">
        <v>12.794344000000001</v>
      </c>
    </row>
    <row r="225" spans="1:2" x14ac:dyDescent="0.3">
      <c r="A225" s="7">
        <v>37834</v>
      </c>
      <c r="B225">
        <v>16.188642999999999</v>
      </c>
    </row>
    <row r="226" spans="1:2" x14ac:dyDescent="0.3">
      <c r="A226" s="7">
        <v>37865</v>
      </c>
      <c r="B226">
        <v>15.475928</v>
      </c>
    </row>
    <row r="227" spans="1:2" x14ac:dyDescent="0.3">
      <c r="A227" s="7">
        <v>37895</v>
      </c>
      <c r="B227">
        <v>19.629999000000002</v>
      </c>
    </row>
    <row r="228" spans="1:2" x14ac:dyDescent="0.3">
      <c r="A228" s="7">
        <v>37926</v>
      </c>
      <c r="B228">
        <v>20.214632000000002</v>
      </c>
    </row>
    <row r="229" spans="1:2" x14ac:dyDescent="0.3">
      <c r="A229" s="7">
        <v>37956</v>
      </c>
      <c r="B229">
        <v>19.956509</v>
      </c>
    </row>
    <row r="230" spans="1:2" x14ac:dyDescent="0.3">
      <c r="A230" s="7">
        <v>37987</v>
      </c>
      <c r="B230">
        <v>21.294644999999999</v>
      </c>
    </row>
    <row r="231" spans="1:2" x14ac:dyDescent="0.3">
      <c r="A231" s="7">
        <v>38018</v>
      </c>
      <c r="B231">
        <v>20.833511000000001</v>
      </c>
    </row>
    <row r="232" spans="1:2" x14ac:dyDescent="0.3">
      <c r="A232" s="7">
        <v>38047</v>
      </c>
      <c r="B232">
        <v>19.861507</v>
      </c>
    </row>
    <row r="233" spans="1:2" x14ac:dyDescent="0.3">
      <c r="A233" s="7">
        <v>38078</v>
      </c>
      <c r="B233">
        <v>17.061046999999999</v>
      </c>
    </row>
    <row r="234" spans="1:2" x14ac:dyDescent="0.3">
      <c r="A234" s="7">
        <v>38108</v>
      </c>
      <c r="B234">
        <v>17.761333</v>
      </c>
    </row>
    <row r="235" spans="1:2" x14ac:dyDescent="0.3">
      <c r="A235" s="7">
        <v>38139</v>
      </c>
      <c r="B235">
        <v>16.448446000000001</v>
      </c>
    </row>
    <row r="236" spans="1:2" x14ac:dyDescent="0.3">
      <c r="A236" s="7">
        <v>38169</v>
      </c>
      <c r="B236">
        <v>14.509741</v>
      </c>
    </row>
    <row r="237" spans="1:2" x14ac:dyDescent="0.3">
      <c r="A237" s="7">
        <v>38200</v>
      </c>
      <c r="B237">
        <v>13.306952000000001</v>
      </c>
    </row>
    <row r="238" spans="1:2" x14ac:dyDescent="0.3">
      <c r="A238" s="7">
        <v>38231</v>
      </c>
      <c r="B238">
        <v>14.491904999999999</v>
      </c>
    </row>
    <row r="239" spans="1:2" x14ac:dyDescent="0.3">
      <c r="A239" s="7">
        <v>38261</v>
      </c>
      <c r="B239">
        <v>16.650718999999999</v>
      </c>
    </row>
    <row r="240" spans="1:2" x14ac:dyDescent="0.3">
      <c r="A240" s="7">
        <v>38292</v>
      </c>
      <c r="B240">
        <v>16.484175</v>
      </c>
    </row>
    <row r="241" spans="1:2" x14ac:dyDescent="0.3">
      <c r="A241" s="7">
        <v>38322</v>
      </c>
      <c r="B241">
        <v>16.784140000000001</v>
      </c>
    </row>
    <row r="242" spans="1:2" x14ac:dyDescent="0.3">
      <c r="A242" s="7">
        <v>38353</v>
      </c>
      <c r="B242">
        <v>15.822907000000001</v>
      </c>
    </row>
    <row r="243" spans="1:2" x14ac:dyDescent="0.3">
      <c r="A243" s="7">
        <v>38384</v>
      </c>
      <c r="B243">
        <v>18.065263999999999</v>
      </c>
    </row>
    <row r="244" spans="1:2" x14ac:dyDescent="0.3">
      <c r="A244" s="7">
        <v>38412</v>
      </c>
      <c r="B244">
        <v>17.396439000000001</v>
      </c>
    </row>
    <row r="245" spans="1:2" x14ac:dyDescent="0.3">
      <c r="A245" s="7">
        <v>38443</v>
      </c>
      <c r="B245">
        <v>17.034718000000002</v>
      </c>
    </row>
    <row r="246" spans="1:2" x14ac:dyDescent="0.3">
      <c r="A246" s="7">
        <v>38473</v>
      </c>
      <c r="B246">
        <v>18.882874000000001</v>
      </c>
    </row>
    <row r="247" spans="1:2" x14ac:dyDescent="0.3">
      <c r="A247" s="7">
        <v>38504</v>
      </c>
      <c r="B247">
        <v>19.176641</v>
      </c>
    </row>
    <row r="248" spans="1:2" x14ac:dyDescent="0.3">
      <c r="A248" s="7">
        <v>38534</v>
      </c>
      <c r="B248">
        <v>21.697545999999999</v>
      </c>
    </row>
    <row r="249" spans="1:2" x14ac:dyDescent="0.3">
      <c r="A249" s="7">
        <v>38565</v>
      </c>
      <c r="B249">
        <v>22.343627999999999</v>
      </c>
    </row>
    <row r="250" spans="1:2" x14ac:dyDescent="0.3">
      <c r="A250" s="7">
        <v>38596</v>
      </c>
      <c r="B250">
        <v>23.17775</v>
      </c>
    </row>
    <row r="251" spans="1:2" x14ac:dyDescent="0.3">
      <c r="A251" s="7">
        <v>38626</v>
      </c>
      <c r="B251">
        <v>19.519907</v>
      </c>
    </row>
    <row r="252" spans="1:2" x14ac:dyDescent="0.3">
      <c r="A252" s="7">
        <v>38657</v>
      </c>
      <c r="B252">
        <v>22.230511</v>
      </c>
    </row>
    <row r="253" spans="1:2" x14ac:dyDescent="0.3">
      <c r="A253" s="7">
        <v>38687</v>
      </c>
      <c r="B253">
        <v>21.949894</v>
      </c>
    </row>
    <row r="254" spans="1:2" x14ac:dyDescent="0.3">
      <c r="A254" s="7">
        <v>38718</v>
      </c>
      <c r="B254">
        <v>20.006091999999999</v>
      </c>
    </row>
    <row r="255" spans="1:2" x14ac:dyDescent="0.3">
      <c r="A255" s="7">
        <v>38749</v>
      </c>
      <c r="B255">
        <v>20.450780999999999</v>
      </c>
    </row>
    <row r="256" spans="1:2" x14ac:dyDescent="0.3">
      <c r="A256" s="7">
        <v>38777</v>
      </c>
      <c r="B256">
        <v>22.245794</v>
      </c>
    </row>
    <row r="257" spans="1:2" x14ac:dyDescent="0.3">
      <c r="A257" s="7">
        <v>38808</v>
      </c>
      <c r="B257">
        <v>23.780457999999999</v>
      </c>
    </row>
    <row r="258" spans="1:2" x14ac:dyDescent="0.3">
      <c r="A258" s="7">
        <v>38838</v>
      </c>
      <c r="B258">
        <v>21.41469</v>
      </c>
    </row>
    <row r="259" spans="1:2" x14ac:dyDescent="0.3">
      <c r="A259" s="7">
        <v>38869</v>
      </c>
      <c r="B259">
        <v>20.770123000000002</v>
      </c>
    </row>
    <row r="260" spans="1:2" x14ac:dyDescent="0.3">
      <c r="A260" s="7">
        <v>38899</v>
      </c>
      <c r="B260">
        <v>20.420414000000001</v>
      </c>
    </row>
    <row r="261" spans="1:2" x14ac:dyDescent="0.3">
      <c r="A261" s="7">
        <v>38930</v>
      </c>
      <c r="B261">
        <v>22.370037</v>
      </c>
    </row>
    <row r="262" spans="1:2" x14ac:dyDescent="0.3">
      <c r="A262" s="7">
        <v>38961</v>
      </c>
      <c r="B262">
        <v>22.823069</v>
      </c>
    </row>
    <row r="263" spans="1:2" x14ac:dyDescent="0.3">
      <c r="A263" s="7">
        <v>38991</v>
      </c>
      <c r="B263">
        <v>20.715789999999998</v>
      </c>
    </row>
    <row r="264" spans="1:2" x14ac:dyDescent="0.3">
      <c r="A264" s="7">
        <v>39022</v>
      </c>
      <c r="B264">
        <v>20.309813999999999</v>
      </c>
    </row>
    <row r="265" spans="1:2" x14ac:dyDescent="0.3">
      <c r="A265" s="7">
        <v>39052</v>
      </c>
      <c r="B265">
        <v>19.794339999999998</v>
      </c>
    </row>
    <row r="266" spans="1:2" x14ac:dyDescent="0.3">
      <c r="A266" s="7">
        <v>39083</v>
      </c>
      <c r="B266">
        <v>21.436993000000001</v>
      </c>
    </row>
    <row r="267" spans="1:2" x14ac:dyDescent="0.3">
      <c r="A267" s="7">
        <v>39114</v>
      </c>
      <c r="B267">
        <v>21.306391000000001</v>
      </c>
    </row>
    <row r="268" spans="1:2" x14ac:dyDescent="0.3">
      <c r="A268" s="7">
        <v>39142</v>
      </c>
      <c r="B268">
        <v>20.714549999999999</v>
      </c>
    </row>
    <row r="269" spans="1:2" x14ac:dyDescent="0.3">
      <c r="A269" s="7">
        <v>39173</v>
      </c>
      <c r="B269">
        <v>23.653123999999998</v>
      </c>
    </row>
    <row r="270" spans="1:2" x14ac:dyDescent="0.3">
      <c r="A270" s="7">
        <v>39203</v>
      </c>
      <c r="B270">
        <v>24.389643</v>
      </c>
    </row>
    <row r="271" spans="1:2" x14ac:dyDescent="0.3">
      <c r="A271" s="7">
        <v>39234</v>
      </c>
      <c r="B271">
        <v>25.955366000000001</v>
      </c>
    </row>
    <row r="272" spans="1:2" x14ac:dyDescent="0.3">
      <c r="A272" s="7">
        <v>39264</v>
      </c>
      <c r="B272">
        <v>24.272383000000001</v>
      </c>
    </row>
    <row r="273" spans="1:2" x14ac:dyDescent="0.3">
      <c r="A273" s="7">
        <v>39295</v>
      </c>
      <c r="B273">
        <v>23.669761999999999</v>
      </c>
    </row>
    <row r="274" spans="1:2" x14ac:dyDescent="0.3">
      <c r="A274" s="7">
        <v>39326</v>
      </c>
      <c r="B274">
        <v>25.2943</v>
      </c>
    </row>
    <row r="275" spans="1:2" x14ac:dyDescent="0.3">
      <c r="A275" s="7">
        <v>39356</v>
      </c>
      <c r="B275">
        <v>22.536041000000001</v>
      </c>
    </row>
    <row r="276" spans="1:2" x14ac:dyDescent="0.3">
      <c r="A276" s="7">
        <v>39387</v>
      </c>
      <c r="B276">
        <v>21.893039999999999</v>
      </c>
    </row>
    <row r="277" spans="1:2" x14ac:dyDescent="0.3">
      <c r="A277" s="7">
        <v>39417</v>
      </c>
      <c r="B277">
        <v>23.162103999999999</v>
      </c>
    </row>
    <row r="278" spans="1:2" x14ac:dyDescent="0.3">
      <c r="A278" s="7">
        <v>39448</v>
      </c>
      <c r="B278">
        <v>21.463089</v>
      </c>
    </row>
    <row r="279" spans="1:2" x14ac:dyDescent="0.3">
      <c r="A279" s="7">
        <v>39479</v>
      </c>
      <c r="B279">
        <v>20.845293000000002</v>
      </c>
    </row>
    <row r="280" spans="1:2" x14ac:dyDescent="0.3">
      <c r="A280" s="7">
        <v>39508</v>
      </c>
      <c r="B280">
        <v>19.669439000000001</v>
      </c>
    </row>
    <row r="281" spans="1:2" x14ac:dyDescent="0.3">
      <c r="A281" s="7">
        <v>39539</v>
      </c>
      <c r="B281">
        <v>20.288677</v>
      </c>
    </row>
    <row r="282" spans="1:2" x14ac:dyDescent="0.3">
      <c r="A282" s="7">
        <v>39569</v>
      </c>
      <c r="B282">
        <v>22.675343999999999</v>
      </c>
    </row>
    <row r="283" spans="1:2" x14ac:dyDescent="0.3">
      <c r="A283" s="7">
        <v>39600</v>
      </c>
      <c r="B283">
        <v>19.659412</v>
      </c>
    </row>
    <row r="284" spans="1:2" x14ac:dyDescent="0.3">
      <c r="A284" s="7">
        <v>39630</v>
      </c>
      <c r="B284">
        <v>17.020472999999999</v>
      </c>
    </row>
    <row r="285" spans="1:2" x14ac:dyDescent="0.3">
      <c r="A285" s="7">
        <v>39661</v>
      </c>
      <c r="B285">
        <v>17.182918999999998</v>
      </c>
    </row>
    <row r="286" spans="1:2" x14ac:dyDescent="0.3">
      <c r="A286" s="7">
        <v>39692</v>
      </c>
      <c r="B286">
        <v>15.072725999999999</v>
      </c>
    </row>
    <row r="287" spans="1:2" x14ac:dyDescent="0.3">
      <c r="A287" s="7">
        <v>39722</v>
      </c>
      <c r="B287">
        <v>13.712676999999999</v>
      </c>
    </row>
    <row r="288" spans="1:2" x14ac:dyDescent="0.3">
      <c r="A288" s="7">
        <v>39753</v>
      </c>
      <c r="B288">
        <v>10.977449999999999</v>
      </c>
    </row>
    <row r="289" spans="1:2" x14ac:dyDescent="0.3">
      <c r="A289" s="7">
        <v>39783</v>
      </c>
      <c r="B289">
        <v>10.942197</v>
      </c>
    </row>
    <row r="290" spans="1:2" x14ac:dyDescent="0.3">
      <c r="A290" s="7">
        <v>39814</v>
      </c>
      <c r="B290">
        <v>10.540324999999999</v>
      </c>
    </row>
    <row r="291" spans="1:2" x14ac:dyDescent="0.3">
      <c r="A291" s="7">
        <v>39845</v>
      </c>
      <c r="B291">
        <v>10.190519999999999</v>
      </c>
    </row>
    <row r="292" spans="1:2" x14ac:dyDescent="0.3">
      <c r="A292" s="7">
        <v>39873</v>
      </c>
      <c r="B292">
        <v>11.724425</v>
      </c>
    </row>
    <row r="293" spans="1:2" x14ac:dyDescent="0.3">
      <c r="A293" s="7">
        <v>39904</v>
      </c>
      <c r="B293">
        <v>12.825144</v>
      </c>
    </row>
    <row r="294" spans="1:2" x14ac:dyDescent="0.3">
      <c r="A294" s="7">
        <v>39934</v>
      </c>
      <c r="B294">
        <v>13.864027</v>
      </c>
    </row>
    <row r="295" spans="1:2" x14ac:dyDescent="0.3">
      <c r="A295" s="7">
        <v>39965</v>
      </c>
      <c r="B295">
        <v>15.221842000000001</v>
      </c>
    </row>
    <row r="296" spans="1:2" x14ac:dyDescent="0.3">
      <c r="A296" s="7">
        <v>39995</v>
      </c>
      <c r="B296">
        <v>17.187097999999999</v>
      </c>
    </row>
    <row r="297" spans="1:2" x14ac:dyDescent="0.3">
      <c r="A297" s="7">
        <v>40026</v>
      </c>
      <c r="B297">
        <v>17.653289999999998</v>
      </c>
    </row>
    <row r="298" spans="1:2" x14ac:dyDescent="0.3">
      <c r="A298" s="7">
        <v>40057</v>
      </c>
      <c r="B298">
        <v>17.007175</v>
      </c>
    </row>
    <row r="299" spans="1:2" x14ac:dyDescent="0.3">
      <c r="A299" s="7">
        <v>40087</v>
      </c>
      <c r="B299">
        <v>16.834875</v>
      </c>
    </row>
    <row r="300" spans="1:2" x14ac:dyDescent="0.3">
      <c r="A300" s="7">
        <v>40118</v>
      </c>
      <c r="B300">
        <v>18.247826</v>
      </c>
    </row>
    <row r="301" spans="1:2" x14ac:dyDescent="0.3">
      <c r="A301" s="7">
        <v>40148</v>
      </c>
      <c r="B301">
        <v>18.803412999999999</v>
      </c>
    </row>
    <row r="302" spans="1:2" x14ac:dyDescent="0.3">
      <c r="A302" s="7">
        <v>40179</v>
      </c>
      <c r="B302">
        <v>16.234724</v>
      </c>
    </row>
    <row r="303" spans="1:2" x14ac:dyDescent="0.3">
      <c r="A303" s="7">
        <v>40210</v>
      </c>
      <c r="B303">
        <v>17.681393</v>
      </c>
    </row>
    <row r="304" spans="1:2" x14ac:dyDescent="0.3">
      <c r="A304" s="7">
        <v>40238</v>
      </c>
      <c r="B304">
        <v>17.746659999999999</v>
      </c>
    </row>
    <row r="305" spans="1:2" x14ac:dyDescent="0.3">
      <c r="A305" s="7">
        <v>40269</v>
      </c>
      <c r="B305">
        <v>18.863544000000001</v>
      </c>
    </row>
    <row r="306" spans="1:2" x14ac:dyDescent="0.3">
      <c r="A306" s="7">
        <v>40299</v>
      </c>
      <c r="B306">
        <v>17.790849999999999</v>
      </c>
    </row>
    <row r="307" spans="1:2" x14ac:dyDescent="0.3">
      <c r="A307" s="7">
        <v>40330</v>
      </c>
      <c r="B307">
        <v>16.960314</v>
      </c>
    </row>
    <row r="308" spans="1:2" x14ac:dyDescent="0.3">
      <c r="A308" s="7">
        <v>40360</v>
      </c>
      <c r="B308">
        <v>17.987555</v>
      </c>
    </row>
    <row r="309" spans="1:2" x14ac:dyDescent="0.3">
      <c r="A309" s="7">
        <v>40391</v>
      </c>
      <c r="B309">
        <v>16.849941000000001</v>
      </c>
    </row>
    <row r="310" spans="1:2" x14ac:dyDescent="0.3">
      <c r="A310" s="7">
        <v>40422</v>
      </c>
      <c r="B310">
        <v>19.865665</v>
      </c>
    </row>
    <row r="311" spans="1:2" x14ac:dyDescent="0.3">
      <c r="A311" s="7">
        <v>40452</v>
      </c>
      <c r="B311">
        <v>21.644348000000001</v>
      </c>
    </row>
    <row r="312" spans="1:2" x14ac:dyDescent="0.3">
      <c r="A312" s="7">
        <v>40483</v>
      </c>
      <c r="B312">
        <v>23.379881000000001</v>
      </c>
    </row>
    <row r="313" spans="1:2" x14ac:dyDescent="0.3">
      <c r="A313" s="7">
        <v>40513</v>
      </c>
      <c r="B313">
        <v>23.894531000000001</v>
      </c>
    </row>
    <row r="314" spans="1:2" x14ac:dyDescent="0.3">
      <c r="A314" s="7">
        <v>40544</v>
      </c>
      <c r="B314">
        <v>24.931187000000001</v>
      </c>
    </row>
    <row r="315" spans="1:2" x14ac:dyDescent="0.3">
      <c r="A315" s="7">
        <v>40575</v>
      </c>
      <c r="B315">
        <v>26.280594000000001</v>
      </c>
    </row>
    <row r="316" spans="1:2" x14ac:dyDescent="0.3">
      <c r="A316" s="7">
        <v>40603</v>
      </c>
      <c r="B316">
        <v>25.505680000000002</v>
      </c>
    </row>
    <row r="317" spans="1:2" x14ac:dyDescent="0.3">
      <c r="A317" s="7">
        <v>40634</v>
      </c>
      <c r="B317">
        <v>26.22156</v>
      </c>
    </row>
    <row r="318" spans="1:2" x14ac:dyDescent="0.3">
      <c r="A318" s="7">
        <v>40664</v>
      </c>
      <c r="B318">
        <v>26.146502000000002</v>
      </c>
    </row>
    <row r="319" spans="1:2" x14ac:dyDescent="0.3">
      <c r="A319" s="7">
        <v>40695</v>
      </c>
      <c r="B319">
        <v>24.316980000000001</v>
      </c>
    </row>
    <row r="320" spans="1:2" x14ac:dyDescent="0.3">
      <c r="A320" s="7">
        <v>40725</v>
      </c>
      <c r="B320">
        <v>22.035647999999998</v>
      </c>
    </row>
    <row r="321" spans="1:2" x14ac:dyDescent="0.3">
      <c r="A321" s="7">
        <v>40756</v>
      </c>
      <c r="B321">
        <v>19.496994000000001</v>
      </c>
    </row>
    <row r="322" spans="1:2" x14ac:dyDescent="0.3">
      <c r="A322" s="7">
        <v>40787</v>
      </c>
      <c r="B322">
        <v>19.824293000000001</v>
      </c>
    </row>
    <row r="323" spans="1:2" x14ac:dyDescent="0.3">
      <c r="A323" s="7">
        <v>40817</v>
      </c>
      <c r="B323">
        <v>22.859307999999999</v>
      </c>
    </row>
    <row r="324" spans="1:2" x14ac:dyDescent="0.3">
      <c r="A324" s="7">
        <v>40848</v>
      </c>
      <c r="B324">
        <v>22.514132</v>
      </c>
    </row>
    <row r="325" spans="1:2" x14ac:dyDescent="0.3">
      <c r="A325" s="7">
        <v>40878</v>
      </c>
      <c r="B325">
        <v>21.773630000000001</v>
      </c>
    </row>
    <row r="326" spans="1:2" x14ac:dyDescent="0.3">
      <c r="A326" s="7">
        <v>40909</v>
      </c>
      <c r="B326">
        <v>24.219515000000001</v>
      </c>
    </row>
    <row r="327" spans="1:2" x14ac:dyDescent="0.3">
      <c r="A327" s="7">
        <v>40940</v>
      </c>
      <c r="B327">
        <v>25.076799000000001</v>
      </c>
    </row>
    <row r="328" spans="1:2" x14ac:dyDescent="0.3">
      <c r="A328" s="7">
        <v>40969</v>
      </c>
      <c r="B328">
        <v>25.272293000000001</v>
      </c>
    </row>
    <row r="329" spans="1:2" x14ac:dyDescent="0.3">
      <c r="A329" s="7">
        <v>41000</v>
      </c>
      <c r="B329">
        <v>24.016582</v>
      </c>
    </row>
    <row r="330" spans="1:2" x14ac:dyDescent="0.3">
      <c r="A330" s="7">
        <v>41030</v>
      </c>
      <c r="B330">
        <v>21.529387</v>
      </c>
    </row>
    <row r="331" spans="1:2" x14ac:dyDescent="0.3">
      <c r="A331" s="7">
        <v>41061</v>
      </c>
      <c r="B331">
        <v>21.688143</v>
      </c>
    </row>
    <row r="332" spans="1:2" x14ac:dyDescent="0.3">
      <c r="A332" s="7">
        <v>41091</v>
      </c>
      <c r="B332">
        <v>20.592013999999999</v>
      </c>
    </row>
    <row r="333" spans="1:2" x14ac:dyDescent="0.3">
      <c r="A333" s="7">
        <v>41122</v>
      </c>
      <c r="B333">
        <v>22.091555</v>
      </c>
    </row>
    <row r="334" spans="1:2" x14ac:dyDescent="0.3">
      <c r="A334" s="7">
        <v>41153</v>
      </c>
      <c r="B334">
        <v>20.965675000000001</v>
      </c>
    </row>
    <row r="335" spans="1:2" x14ac:dyDescent="0.3">
      <c r="A335" s="7">
        <v>41183</v>
      </c>
      <c r="B335">
        <v>21.368867999999999</v>
      </c>
    </row>
    <row r="336" spans="1:2" x14ac:dyDescent="0.3">
      <c r="A336" s="7">
        <v>41214</v>
      </c>
      <c r="B336">
        <v>22.582653000000001</v>
      </c>
    </row>
    <row r="337" spans="1:2" x14ac:dyDescent="0.3">
      <c r="A337" s="7">
        <v>41244</v>
      </c>
      <c r="B337">
        <v>23.670784000000001</v>
      </c>
    </row>
    <row r="338" spans="1:2" x14ac:dyDescent="0.3">
      <c r="A338" s="7">
        <v>41275</v>
      </c>
      <c r="B338">
        <v>25.348973999999998</v>
      </c>
    </row>
    <row r="339" spans="1:2" x14ac:dyDescent="0.3">
      <c r="A339" s="7">
        <v>41306</v>
      </c>
      <c r="B339">
        <v>26.552230999999999</v>
      </c>
    </row>
    <row r="340" spans="1:2" x14ac:dyDescent="0.3">
      <c r="A340" s="7">
        <v>41334</v>
      </c>
      <c r="B340">
        <v>27.361979999999999</v>
      </c>
    </row>
    <row r="341" spans="1:2" x14ac:dyDescent="0.3">
      <c r="A341" s="7">
        <v>41365</v>
      </c>
      <c r="B341">
        <v>27.924959000000001</v>
      </c>
    </row>
    <row r="342" spans="1:2" x14ac:dyDescent="0.3">
      <c r="A342" s="7">
        <v>41395</v>
      </c>
      <c r="B342">
        <v>27.910008999999999</v>
      </c>
    </row>
    <row r="343" spans="1:2" x14ac:dyDescent="0.3">
      <c r="A343" s="7">
        <v>41426</v>
      </c>
      <c r="B343">
        <v>27.086158999999999</v>
      </c>
    </row>
    <row r="344" spans="1:2" x14ac:dyDescent="0.3">
      <c r="A344" s="7">
        <v>41456</v>
      </c>
      <c r="B344">
        <v>30.451533999999999</v>
      </c>
    </row>
    <row r="345" spans="1:2" x14ac:dyDescent="0.3">
      <c r="A345" s="7">
        <v>41487</v>
      </c>
      <c r="B345">
        <v>29.903934</v>
      </c>
    </row>
    <row r="346" spans="1:2" x14ac:dyDescent="0.3">
      <c r="A346" s="7">
        <v>41518</v>
      </c>
      <c r="B346">
        <v>31.540044999999999</v>
      </c>
    </row>
    <row r="347" spans="1:2" x14ac:dyDescent="0.3">
      <c r="A347" s="7">
        <v>41548</v>
      </c>
      <c r="B347">
        <v>32.949131000000001</v>
      </c>
    </row>
    <row r="348" spans="1:2" x14ac:dyDescent="0.3">
      <c r="A348" s="7">
        <v>41579</v>
      </c>
      <c r="B348">
        <v>33.909565000000001</v>
      </c>
    </row>
    <row r="349" spans="1:2" x14ac:dyDescent="0.3">
      <c r="A349" s="7">
        <v>41609</v>
      </c>
      <c r="B349">
        <v>34.627181999999998</v>
      </c>
    </row>
    <row r="350" spans="1:2" x14ac:dyDescent="0.3">
      <c r="A350" s="7">
        <v>41640</v>
      </c>
      <c r="B350">
        <v>33.436408999999998</v>
      </c>
    </row>
    <row r="351" spans="1:2" x14ac:dyDescent="0.3">
      <c r="A351" s="7">
        <v>41671</v>
      </c>
      <c r="B351">
        <v>35.704884</v>
      </c>
    </row>
    <row r="352" spans="1:2" x14ac:dyDescent="0.3">
      <c r="A352" s="7">
        <v>41699</v>
      </c>
      <c r="B352">
        <v>37.452019</v>
      </c>
    </row>
    <row r="353" spans="1:2" x14ac:dyDescent="0.3">
      <c r="A353" s="7">
        <v>41730</v>
      </c>
      <c r="B353">
        <v>36.094031999999999</v>
      </c>
    </row>
    <row r="354" spans="1:2" x14ac:dyDescent="0.3">
      <c r="A354" s="7">
        <v>41760</v>
      </c>
      <c r="B354">
        <v>37.552188999999998</v>
      </c>
    </row>
    <row r="355" spans="1:2" x14ac:dyDescent="0.3">
      <c r="A355" s="7">
        <v>41791</v>
      </c>
      <c r="B355">
        <v>38.199635000000001</v>
      </c>
    </row>
    <row r="356" spans="1:2" x14ac:dyDescent="0.3">
      <c r="A356" s="7">
        <v>41821</v>
      </c>
      <c r="B356">
        <v>36.968680999999997</v>
      </c>
    </row>
    <row r="357" spans="1:2" x14ac:dyDescent="0.3">
      <c r="A357" s="7">
        <v>41852</v>
      </c>
      <c r="B357">
        <v>38.756923999999998</v>
      </c>
    </row>
    <row r="358" spans="1:2" x14ac:dyDescent="0.3">
      <c r="A358" s="7">
        <v>41883</v>
      </c>
      <c r="B358">
        <v>38.362746999999999</v>
      </c>
    </row>
    <row r="359" spans="1:2" x14ac:dyDescent="0.3">
      <c r="A359" s="7">
        <v>41913</v>
      </c>
      <c r="B359">
        <v>39.947471999999998</v>
      </c>
    </row>
    <row r="360" spans="1:2" x14ac:dyDescent="0.3">
      <c r="A360" s="7">
        <v>41944</v>
      </c>
      <c r="B360">
        <v>44.085545000000003</v>
      </c>
    </row>
    <row r="361" spans="1:2" x14ac:dyDescent="0.3">
      <c r="A361" s="7">
        <v>41974</v>
      </c>
      <c r="B361">
        <v>43.315959999999997</v>
      </c>
    </row>
    <row r="362" spans="1:2" x14ac:dyDescent="0.3">
      <c r="A362" s="7">
        <v>42005</v>
      </c>
      <c r="B362">
        <v>43.299762999999999</v>
      </c>
    </row>
    <row r="363" spans="1:2" x14ac:dyDescent="0.3">
      <c r="A363" s="7">
        <v>42036</v>
      </c>
      <c r="B363">
        <v>47.930999999999997</v>
      </c>
    </row>
    <row r="364" spans="1:2" x14ac:dyDescent="0.3">
      <c r="A364" s="7">
        <v>42064</v>
      </c>
      <c r="B364">
        <v>46.618594999999999</v>
      </c>
    </row>
    <row r="365" spans="1:2" x14ac:dyDescent="0.3">
      <c r="A365" s="7">
        <v>42095</v>
      </c>
      <c r="B365">
        <v>44.189456999999997</v>
      </c>
    </row>
    <row r="366" spans="1:2" x14ac:dyDescent="0.3">
      <c r="A366" s="7">
        <v>42125</v>
      </c>
      <c r="B366">
        <v>45.864024999999998</v>
      </c>
    </row>
    <row r="367" spans="1:2" x14ac:dyDescent="0.3">
      <c r="A367" s="7">
        <v>42156</v>
      </c>
      <c r="B367">
        <v>42.247062999999997</v>
      </c>
    </row>
    <row r="368" spans="1:2" x14ac:dyDescent="0.3">
      <c r="A368" s="7">
        <v>42186</v>
      </c>
      <c r="B368">
        <v>40.99221</v>
      </c>
    </row>
    <row r="369" spans="1:2" x14ac:dyDescent="0.3">
      <c r="A369" s="7">
        <v>42217</v>
      </c>
      <c r="B369">
        <v>39.505245000000002</v>
      </c>
    </row>
    <row r="370" spans="1:2" x14ac:dyDescent="0.3">
      <c r="A370" s="7">
        <v>42248</v>
      </c>
      <c r="B370">
        <v>40.892550999999997</v>
      </c>
    </row>
    <row r="371" spans="1:2" x14ac:dyDescent="0.3">
      <c r="A371" s="7">
        <v>42278</v>
      </c>
      <c r="B371">
        <v>46.838158</v>
      </c>
    </row>
    <row r="372" spans="1:2" x14ac:dyDescent="0.3">
      <c r="A372" s="7">
        <v>42309</v>
      </c>
      <c r="B372">
        <v>48.308475000000001</v>
      </c>
    </row>
    <row r="373" spans="1:2" x14ac:dyDescent="0.3">
      <c r="A373" s="7">
        <v>42339</v>
      </c>
      <c r="B373">
        <v>45.557254999999998</v>
      </c>
    </row>
    <row r="374" spans="1:2" x14ac:dyDescent="0.3">
      <c r="A374" s="7">
        <v>42370</v>
      </c>
      <c r="B374">
        <v>43.994621000000002</v>
      </c>
    </row>
    <row r="375" spans="1:2" x14ac:dyDescent="0.3">
      <c r="A375" s="7">
        <v>42401</v>
      </c>
      <c r="B375">
        <v>44.402419999999999</v>
      </c>
    </row>
    <row r="376" spans="1:2" x14ac:dyDescent="0.3">
      <c r="A376" s="7">
        <v>42430</v>
      </c>
      <c r="B376">
        <v>48.087273000000003</v>
      </c>
    </row>
    <row r="377" spans="1:2" x14ac:dyDescent="0.3">
      <c r="A377" s="7">
        <v>42461</v>
      </c>
      <c r="B377">
        <v>47.769032000000003</v>
      </c>
    </row>
    <row r="378" spans="1:2" x14ac:dyDescent="0.3">
      <c r="A378" s="7">
        <v>42491</v>
      </c>
      <c r="B378">
        <v>51.074309999999997</v>
      </c>
    </row>
    <row r="379" spans="1:2" x14ac:dyDescent="0.3">
      <c r="A379" s="7">
        <v>42522</v>
      </c>
      <c r="B379">
        <v>52.80209</v>
      </c>
    </row>
    <row r="380" spans="1:2" x14ac:dyDescent="0.3">
      <c r="A380" s="7">
        <v>42552</v>
      </c>
      <c r="B380">
        <v>58.786029999999997</v>
      </c>
    </row>
    <row r="381" spans="1:2" x14ac:dyDescent="0.3">
      <c r="A381" s="7">
        <v>42583</v>
      </c>
      <c r="B381">
        <v>58.923214000000002</v>
      </c>
    </row>
    <row r="382" spans="1:2" x14ac:dyDescent="0.3">
      <c r="A382" s="7">
        <v>42614</v>
      </c>
      <c r="B382">
        <v>59.465515000000003</v>
      </c>
    </row>
    <row r="383" spans="1:2" x14ac:dyDescent="0.3">
      <c r="A383" s="7">
        <v>42644</v>
      </c>
      <c r="B383">
        <v>60.033206999999997</v>
      </c>
    </row>
    <row r="384" spans="1:2" x14ac:dyDescent="0.3">
      <c r="A384" s="7">
        <v>42675</v>
      </c>
      <c r="B384">
        <v>62.642982000000003</v>
      </c>
    </row>
    <row r="385" spans="1:2" x14ac:dyDescent="0.3">
      <c r="A385" s="7">
        <v>42705</v>
      </c>
      <c r="B385">
        <v>62.281917999999997</v>
      </c>
    </row>
    <row r="386" spans="1:2" x14ac:dyDescent="0.3">
      <c r="A386" s="7">
        <v>42736</v>
      </c>
      <c r="B386">
        <v>64.475493999999998</v>
      </c>
    </row>
    <row r="387" spans="1:2" x14ac:dyDescent="0.3">
      <c r="A387" s="7">
        <v>42767</v>
      </c>
      <c r="B387">
        <v>65.812468999999993</v>
      </c>
    </row>
    <row r="388" spans="1:2" x14ac:dyDescent="0.3">
      <c r="A388" s="7">
        <v>42795</v>
      </c>
      <c r="B388">
        <v>69.196708999999998</v>
      </c>
    </row>
    <row r="389" spans="1:2" x14ac:dyDescent="0.3">
      <c r="A389" s="7">
        <v>42826</v>
      </c>
      <c r="B389">
        <v>68.011359999999996</v>
      </c>
    </row>
    <row r="390" spans="1:2" x14ac:dyDescent="0.3">
      <c r="A390" s="7">
        <v>42856</v>
      </c>
      <c r="B390">
        <v>71.293960999999996</v>
      </c>
    </row>
    <row r="391" spans="1:2" x14ac:dyDescent="0.3">
      <c r="A391" s="7">
        <v>42887</v>
      </c>
      <c r="B391">
        <v>66.488617000000005</v>
      </c>
    </row>
    <row r="392" spans="1:2" x14ac:dyDescent="0.3">
      <c r="A392" s="7">
        <v>42917</v>
      </c>
      <c r="B392">
        <v>70.334618000000006</v>
      </c>
    </row>
    <row r="393" spans="1:2" x14ac:dyDescent="0.3">
      <c r="A393" s="7">
        <v>42948</v>
      </c>
      <c r="B393">
        <v>72.015488000000005</v>
      </c>
    </row>
    <row r="394" spans="1:2" x14ac:dyDescent="0.3">
      <c r="A394" s="7">
        <v>42979</v>
      </c>
      <c r="B394">
        <v>77.945755000000005</v>
      </c>
    </row>
    <row r="395" spans="1:2" x14ac:dyDescent="0.3">
      <c r="A395" s="7">
        <v>43009</v>
      </c>
      <c r="B395">
        <v>84.076035000000005</v>
      </c>
    </row>
    <row r="396" spans="1:2" x14ac:dyDescent="0.3">
      <c r="A396" s="7">
        <v>43040</v>
      </c>
      <c r="B396">
        <v>85.139152999999993</v>
      </c>
    </row>
    <row r="397" spans="1:2" x14ac:dyDescent="0.3">
      <c r="A397" s="7">
        <v>43070</v>
      </c>
      <c r="B397">
        <v>91.396179000000004</v>
      </c>
    </row>
    <row r="398" spans="1:2" x14ac:dyDescent="0.3">
      <c r="A398" s="7">
        <v>43101</v>
      </c>
      <c r="B398">
        <v>95.972969000000006</v>
      </c>
    </row>
    <row r="399" spans="1:2" x14ac:dyDescent="0.3">
      <c r="A399" s="7">
        <v>43132</v>
      </c>
      <c r="B399">
        <v>95.342583000000005</v>
      </c>
    </row>
    <row r="400" spans="1:2" x14ac:dyDescent="0.3">
      <c r="A400" s="7">
        <v>43160</v>
      </c>
      <c r="B400">
        <v>91.418007000000003</v>
      </c>
    </row>
    <row r="401" spans="1:2" x14ac:dyDescent="0.3">
      <c r="A401" s="7">
        <v>43191</v>
      </c>
      <c r="B401">
        <v>89.253310999999997</v>
      </c>
    </row>
    <row r="402" spans="1:2" x14ac:dyDescent="0.3">
      <c r="A402" s="7">
        <v>43221</v>
      </c>
      <c r="B402">
        <v>98.475211999999999</v>
      </c>
    </row>
    <row r="403" spans="1:2" x14ac:dyDescent="0.3">
      <c r="A403" s="7">
        <v>43252</v>
      </c>
      <c r="B403">
        <v>97.598557</v>
      </c>
    </row>
    <row r="404" spans="1:2" x14ac:dyDescent="0.3">
      <c r="A404" s="7">
        <v>43282</v>
      </c>
      <c r="B404">
        <v>98.545783999999998</v>
      </c>
    </row>
    <row r="405" spans="1:2" x14ac:dyDescent="0.3">
      <c r="A405" s="7">
        <v>43313</v>
      </c>
      <c r="B405">
        <v>100.052773</v>
      </c>
    </row>
    <row r="406" spans="1:2" x14ac:dyDescent="0.3">
      <c r="A406" s="7">
        <v>43344</v>
      </c>
      <c r="B406">
        <v>95.504081999999997</v>
      </c>
    </row>
    <row r="407" spans="1:2" x14ac:dyDescent="0.3">
      <c r="A407" s="7">
        <v>43374</v>
      </c>
      <c r="B407">
        <v>82.632537999999997</v>
      </c>
    </row>
    <row r="408" spans="1:2" x14ac:dyDescent="0.3">
      <c r="A408" s="7">
        <v>43405</v>
      </c>
      <c r="B408">
        <v>89.646834999999996</v>
      </c>
    </row>
    <row r="409" spans="1:2" x14ac:dyDescent="0.3">
      <c r="A409" s="7">
        <v>43435</v>
      </c>
      <c r="B409">
        <v>84.843529000000004</v>
      </c>
    </row>
    <row r="410" spans="1:2" x14ac:dyDescent="0.3">
      <c r="A410" s="7">
        <v>43466</v>
      </c>
      <c r="B410">
        <v>90.392021</v>
      </c>
    </row>
    <row r="411" spans="1:2" x14ac:dyDescent="0.3">
      <c r="A411" s="7">
        <v>43497</v>
      </c>
      <c r="B411">
        <v>95.697936999999996</v>
      </c>
    </row>
    <row r="412" spans="1:2" x14ac:dyDescent="0.3">
      <c r="A412" s="7">
        <v>43525</v>
      </c>
      <c r="B412">
        <v>95.960296999999997</v>
      </c>
    </row>
    <row r="413" spans="1:2" x14ac:dyDescent="0.3">
      <c r="A413" s="7">
        <v>43556</v>
      </c>
      <c r="B413">
        <v>106.599442</v>
      </c>
    </row>
    <row r="414" spans="1:2" x14ac:dyDescent="0.3">
      <c r="A414" s="7">
        <v>43586</v>
      </c>
      <c r="B414">
        <v>94.368049999999997</v>
      </c>
    </row>
    <row r="415" spans="1:2" x14ac:dyDescent="0.3">
      <c r="A415" s="7">
        <v>43617</v>
      </c>
      <c r="B415">
        <v>104.507126</v>
      </c>
    </row>
    <row r="416" spans="1:2" x14ac:dyDescent="0.3">
      <c r="A416" s="7">
        <v>43647</v>
      </c>
      <c r="B416">
        <v>113.84137699999999</v>
      </c>
    </row>
    <row r="417" spans="1:2" x14ac:dyDescent="0.3">
      <c r="A417" s="7">
        <v>43678</v>
      </c>
      <c r="B417">
        <v>113.365601</v>
      </c>
    </row>
    <row r="418" spans="1:2" x14ac:dyDescent="0.3">
      <c r="A418" s="7">
        <v>43709</v>
      </c>
      <c r="B418">
        <v>118.394897</v>
      </c>
    </row>
    <row r="419" spans="1:2" x14ac:dyDescent="0.3">
      <c r="A419" s="7">
        <v>43739</v>
      </c>
      <c r="B419">
        <v>108.088936</v>
      </c>
    </row>
    <row r="420" spans="1:2" x14ac:dyDescent="0.3">
      <c r="A420" s="7">
        <v>43770</v>
      </c>
      <c r="B420">
        <v>110.95277400000001</v>
      </c>
    </row>
    <row r="421" spans="1:2" x14ac:dyDescent="0.3">
      <c r="A421" s="7">
        <v>43800</v>
      </c>
      <c r="B421">
        <v>118.410538</v>
      </c>
    </row>
    <row r="422" spans="1:2" x14ac:dyDescent="0.3">
      <c r="A422" s="7">
        <v>43831</v>
      </c>
      <c r="B422">
        <v>111.35889400000001</v>
      </c>
    </row>
    <row r="423" spans="1:2" x14ac:dyDescent="0.3">
      <c r="A423" s="7">
        <v>43862</v>
      </c>
      <c r="B423">
        <v>106.111237</v>
      </c>
    </row>
    <row r="424" spans="1:2" x14ac:dyDescent="0.3">
      <c r="A424" s="7">
        <v>43891</v>
      </c>
      <c r="B424">
        <v>92.900779999999997</v>
      </c>
    </row>
    <row r="425" spans="1:2" x14ac:dyDescent="0.3">
      <c r="A425" s="7">
        <v>43922</v>
      </c>
      <c r="B425">
        <v>107.90548699999999</v>
      </c>
    </row>
    <row r="426" spans="1:2" x14ac:dyDescent="0.3">
      <c r="A426" s="7">
        <v>43952</v>
      </c>
      <c r="B426">
        <v>110.387657</v>
      </c>
    </row>
    <row r="427" spans="1:2" x14ac:dyDescent="0.3">
      <c r="A427" s="7">
        <v>43983</v>
      </c>
      <c r="B427">
        <v>118.96118199999999</v>
      </c>
    </row>
    <row r="428" spans="1:2" x14ac:dyDescent="0.3">
      <c r="A428" s="7">
        <v>44013</v>
      </c>
      <c r="B428">
        <v>119.504593</v>
      </c>
    </row>
    <row r="429" spans="1:2" x14ac:dyDescent="0.3">
      <c r="A429" s="7">
        <v>44044</v>
      </c>
      <c r="B429">
        <v>134.100494</v>
      </c>
    </row>
    <row r="430" spans="1:2" x14ac:dyDescent="0.3">
      <c r="A430" s="7">
        <v>44075</v>
      </c>
      <c r="B430">
        <v>134.70426900000001</v>
      </c>
    </row>
    <row r="431" spans="1:2" x14ac:dyDescent="0.3">
      <c r="A431" s="7">
        <v>44105</v>
      </c>
      <c r="B431">
        <v>136.40231299999999</v>
      </c>
    </row>
    <row r="432" spans="1:2" x14ac:dyDescent="0.3">
      <c r="A432" s="7">
        <v>44136</v>
      </c>
      <c r="B432">
        <v>153.21177700000001</v>
      </c>
    </row>
    <row r="433" spans="1:2" x14ac:dyDescent="0.3">
      <c r="A433" s="7">
        <v>44166</v>
      </c>
      <c r="B433">
        <v>155.94821200000001</v>
      </c>
    </row>
    <row r="434" spans="1:2" x14ac:dyDescent="0.3">
      <c r="A434" s="7">
        <v>44197</v>
      </c>
      <c r="B434">
        <v>157.43043499999999</v>
      </c>
    </row>
    <row r="435" spans="1:2" x14ac:dyDescent="0.3">
      <c r="A435" s="7">
        <v>44228</v>
      </c>
      <c r="B435">
        <v>164.67497299999999</v>
      </c>
    </row>
    <row r="436" spans="1:2" x14ac:dyDescent="0.3">
      <c r="A436" s="7">
        <v>44256</v>
      </c>
      <c r="B436">
        <v>180.65785199999999</v>
      </c>
    </row>
    <row r="437" spans="1:2" x14ac:dyDescent="0.3">
      <c r="A437" s="7">
        <v>44287</v>
      </c>
      <c r="B437">
        <v>172.55169699999999</v>
      </c>
    </row>
    <row r="438" spans="1:2" x14ac:dyDescent="0.3">
      <c r="A438" s="7">
        <v>44317</v>
      </c>
      <c r="B438">
        <v>182.452744</v>
      </c>
    </row>
    <row r="439" spans="1:2" x14ac:dyDescent="0.3">
      <c r="A439" s="7">
        <v>44348</v>
      </c>
      <c r="B439">
        <v>184.836502</v>
      </c>
    </row>
    <row r="440" spans="1:2" x14ac:dyDescent="0.3">
      <c r="A440" s="7">
        <v>44378</v>
      </c>
      <c r="B440">
        <v>183.22167999999999</v>
      </c>
    </row>
    <row r="441" spans="1:2" x14ac:dyDescent="0.3">
      <c r="A441" s="7">
        <v>44409</v>
      </c>
      <c r="B441">
        <v>184.52384900000001</v>
      </c>
    </row>
    <row r="442" spans="1:2" x14ac:dyDescent="0.3">
      <c r="A442" s="7">
        <v>44440</v>
      </c>
      <c r="B442">
        <v>185.78036499999999</v>
      </c>
    </row>
    <row r="443" spans="1:2" x14ac:dyDescent="0.3">
      <c r="A443" s="7">
        <v>44470</v>
      </c>
      <c r="B443">
        <v>181.20858799999999</v>
      </c>
    </row>
    <row r="444" spans="1:2" x14ac:dyDescent="0.3">
      <c r="A444" s="7">
        <v>44501</v>
      </c>
      <c r="B444">
        <v>187.08017000000001</v>
      </c>
    </row>
    <row r="445" spans="1:2" x14ac:dyDescent="0.3">
      <c r="A445" s="7">
        <v>44531</v>
      </c>
      <c r="B445">
        <v>183.28743</v>
      </c>
    </row>
    <row r="446" spans="1:2" x14ac:dyDescent="0.3">
      <c r="A446" s="7">
        <v>44562</v>
      </c>
      <c r="B446">
        <v>174.55436700000001</v>
      </c>
    </row>
    <row r="447" spans="1:2" x14ac:dyDescent="0.3">
      <c r="A447" s="7">
        <v>44593</v>
      </c>
      <c r="B447">
        <v>166.41033899999999</v>
      </c>
    </row>
    <row r="448" spans="1:2" x14ac:dyDescent="0.3">
      <c r="A448" s="7">
        <v>44621</v>
      </c>
      <c r="B448">
        <v>179.61625699999999</v>
      </c>
    </row>
    <row r="449" spans="1:2" x14ac:dyDescent="0.3">
      <c r="A449" s="7">
        <v>44652</v>
      </c>
      <c r="B449">
        <v>166.66485599999999</v>
      </c>
    </row>
    <row r="450" spans="1:2" x14ac:dyDescent="0.3">
      <c r="A450" s="7">
        <v>44682</v>
      </c>
      <c r="B450">
        <v>173.037766</v>
      </c>
    </row>
    <row r="451" spans="1:2" x14ac:dyDescent="0.3">
      <c r="A451" s="7">
        <v>44713</v>
      </c>
      <c r="B451">
        <v>151.437164</v>
      </c>
    </row>
    <row r="452" spans="1:2" x14ac:dyDescent="0.3">
      <c r="A452" s="7">
        <v>44743</v>
      </c>
      <c r="B452">
        <v>176.31366</v>
      </c>
    </row>
    <row r="453" spans="1:2" x14ac:dyDescent="0.3">
      <c r="A453" s="7">
        <v>44774</v>
      </c>
      <c r="B453">
        <v>163.90316799999999</v>
      </c>
    </row>
    <row r="454" spans="1:2" x14ac:dyDescent="0.3">
      <c r="A454" s="7">
        <v>44805</v>
      </c>
      <c r="B454">
        <v>153.55566400000001</v>
      </c>
    </row>
    <row r="455" spans="1:2" x14ac:dyDescent="0.3">
      <c r="A455" s="7">
        <v>44835</v>
      </c>
      <c r="B455">
        <v>159.35938999999999</v>
      </c>
    </row>
    <row r="456" spans="1:2" x14ac:dyDescent="0.3">
      <c r="A456" s="7">
        <v>44866</v>
      </c>
      <c r="B456">
        <v>180.46000699999999</v>
      </c>
    </row>
    <row r="457" spans="1:2" x14ac:dyDescent="0.3">
      <c r="A457" s="7">
        <v>44896</v>
      </c>
      <c r="B457">
        <v>168.729996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TXN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2023-01-13T11:21:17Z</dcterms:modified>
</cp:coreProperties>
</file>