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#Valuations/META-US/"/>
    </mc:Choice>
  </mc:AlternateContent>
  <xr:revisionPtr revIDLastSave="921" documentId="11_F25DC773A252ABDACC104830195C761C5ADE58EE" xr6:coauthVersionLast="47" xr6:coauthVersionMax="47" xr10:uidLastSave="{38C07535-C402-4985-860C-3A14E0C25247}"/>
  <bookViews>
    <workbookView xWindow="-103" yWindow="-103" windowWidth="24892" windowHeight="14914" activeTab="1" xr2:uid="{00000000-000D-0000-FFFF-FFFF00000000}"/>
  </bookViews>
  <sheets>
    <sheet name="WACC" sheetId="9" r:id="rId1"/>
    <sheet name="Model" sheetId="1" r:id="rId2"/>
    <sheet name="Debt" sheetId="10" r:id="rId3"/>
    <sheet name="Income Statement_Static" sheetId="2" r:id="rId4"/>
    <sheet name="Balance Sheet_Static" sheetId="6" r:id="rId5"/>
    <sheet name="Cash Flow_Static" sheetId="7" r:id="rId6"/>
    <sheet name="Ratio Analysis_Static" sheetId="8" r:id="rId7"/>
  </sheets>
  <definedNames>
    <definedName name="__FDS_TL_KW__" localSheetId="4" hidden="1">"Financials &amp; Estimates/Standardized Financials/Standardized Financials - excl. Banks, REITs, Insurance.xlsx*Balance Sheet"</definedName>
    <definedName name="__FDS_TL_KW__" localSheetId="5" hidden="1">"Financials &amp; Estimates/Standardized Financials/Standardized Financials - excl. Banks, REITs, Insurance.xlsx*Cash Flow"</definedName>
    <definedName name="__FDS_TL_KW__" localSheetId="3" hidden="1">"Financials &amp; Estimates/Standardized Financials/Standardized Financials - excl. Banks, REITs, Insurance.xlsx*Income Statement"</definedName>
    <definedName name="__FDS_TL_KW__" localSheetId="6" hidden="1">"Financials &amp; Estimates/Standardized Financials/Standardized Financials - excl. Banks, REITs, Insurance.xlsx*Ratio Analysis"</definedName>
    <definedName name="CS">Model!$F$10</definedName>
    <definedName name="current_year">Model!$C$11</definedName>
    <definedName name="debt">Model!$F$13</definedName>
    <definedName name="live_case">Model!$C$12</definedName>
    <definedName name="live_tax">Model!$C$20</definedName>
    <definedName name="live_tgr">Model!$C$19</definedName>
    <definedName name="live_wacc">Model!$C$18</definedName>
    <definedName name="net_cash">Model!$F$12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1" l="1"/>
  <c r="N106" i="1"/>
  <c r="K69" i="1"/>
  <c r="L69" i="1" s="1"/>
  <c r="M69" i="1" s="1"/>
  <c r="E7" i="9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E13" i="9"/>
  <c r="F13" i="1"/>
  <c r="N107" i="1" s="1"/>
  <c r="F11" i="1"/>
  <c r="F14" i="1" s="1"/>
  <c r="C5" i="6"/>
  <c r="C17" i="1"/>
  <c r="C19" i="1" s="1"/>
  <c r="N84" i="1"/>
  <c r="M84" i="1"/>
  <c r="L84" i="1"/>
  <c r="K84" i="1"/>
  <c r="J84" i="1"/>
  <c r="N78" i="1"/>
  <c r="M78" i="1"/>
  <c r="L78" i="1"/>
  <c r="K78" i="1"/>
  <c r="J78" i="1"/>
  <c r="N72" i="1"/>
  <c r="M72" i="1"/>
  <c r="L72" i="1"/>
  <c r="K72" i="1"/>
  <c r="J72" i="1"/>
  <c r="I70" i="1"/>
  <c r="J70" i="1" s="1"/>
  <c r="K70" i="1" s="1"/>
  <c r="L70" i="1" s="1"/>
  <c r="M70" i="1" s="1"/>
  <c r="N70" i="1" s="1"/>
  <c r="I65" i="1"/>
  <c r="I94" i="1" s="1"/>
  <c r="H65" i="1"/>
  <c r="H94" i="1" s="1"/>
  <c r="G65" i="1"/>
  <c r="G94" i="1" s="1"/>
  <c r="F65" i="1"/>
  <c r="F94" i="1" s="1"/>
  <c r="E65" i="1"/>
  <c r="E94" i="1" s="1"/>
  <c r="I62" i="1"/>
  <c r="I97" i="1" s="1"/>
  <c r="H62" i="1"/>
  <c r="H97" i="1" s="1"/>
  <c r="G62" i="1"/>
  <c r="G97" i="1" s="1"/>
  <c r="F62" i="1"/>
  <c r="F97" i="1" s="1"/>
  <c r="E62" i="1"/>
  <c r="E97" i="1" s="1"/>
  <c r="I59" i="1"/>
  <c r="H59" i="1"/>
  <c r="G59" i="1"/>
  <c r="F59" i="1"/>
  <c r="E59" i="1"/>
  <c r="I53" i="1"/>
  <c r="J53" i="1" s="1"/>
  <c r="K53" i="1" s="1"/>
  <c r="L53" i="1" s="1"/>
  <c r="M53" i="1" s="1"/>
  <c r="N53" i="1" s="1"/>
  <c r="I45" i="1"/>
  <c r="I83" i="1" s="1"/>
  <c r="H45" i="1"/>
  <c r="H83" i="1" s="1"/>
  <c r="G45" i="1"/>
  <c r="G83" i="1" s="1"/>
  <c r="F45" i="1"/>
  <c r="F83" i="1" s="1"/>
  <c r="E45" i="1"/>
  <c r="E83" i="1" s="1"/>
  <c r="I56" i="1"/>
  <c r="I91" i="1" s="1"/>
  <c r="H56" i="1"/>
  <c r="H91" i="1" s="1"/>
  <c r="G56" i="1"/>
  <c r="F56" i="1"/>
  <c r="E56" i="1"/>
  <c r="E57" i="1" s="1"/>
  <c r="E92" i="1" s="1"/>
  <c r="E6" i="9" l="1"/>
  <c r="E11" i="9"/>
  <c r="E5" i="9"/>
  <c r="N69" i="1"/>
  <c r="C33" i="10"/>
  <c r="E12" i="9"/>
  <c r="C20" i="1"/>
  <c r="E8" i="9" s="1"/>
  <c r="E18" i="9" s="1"/>
  <c r="C18" i="1"/>
  <c r="E91" i="1"/>
  <c r="F57" i="1"/>
  <c r="F92" i="1" s="1"/>
  <c r="G57" i="1"/>
  <c r="G92" i="1" s="1"/>
  <c r="F91" i="1"/>
  <c r="G91" i="1"/>
  <c r="H57" i="1"/>
  <c r="H92" i="1" s="1"/>
  <c r="I57" i="1"/>
  <c r="I92" i="1" s="1"/>
  <c r="H70" i="1"/>
  <c r="G70" i="1" s="1"/>
  <c r="F70" i="1" s="1"/>
  <c r="E70" i="1" s="1"/>
  <c r="H53" i="1"/>
  <c r="G53" i="1" s="1"/>
  <c r="F53" i="1" s="1"/>
  <c r="E53" i="1" s="1"/>
  <c r="I39" i="1"/>
  <c r="H39" i="1"/>
  <c r="G39" i="1"/>
  <c r="F39" i="1"/>
  <c r="E39" i="1"/>
  <c r="I33" i="1"/>
  <c r="H33" i="1"/>
  <c r="G33" i="1"/>
  <c r="F33" i="1"/>
  <c r="E33" i="1"/>
  <c r="I30" i="1" l="1"/>
  <c r="I71" i="1" s="1"/>
  <c r="H30" i="1"/>
  <c r="H71" i="1" s="1"/>
  <c r="G30" i="1"/>
  <c r="G71" i="1" s="1"/>
  <c r="F30" i="1"/>
  <c r="F71" i="1" s="1"/>
  <c r="I29" i="1"/>
  <c r="E30" i="1"/>
  <c r="E71" i="1" s="1"/>
  <c r="E72" i="1" l="1"/>
  <c r="E98" i="1"/>
  <c r="E95" i="1"/>
  <c r="F95" i="1"/>
  <c r="F98" i="1"/>
  <c r="G95" i="1"/>
  <c r="G98" i="1"/>
  <c r="H95" i="1"/>
  <c r="H98" i="1"/>
  <c r="I95" i="1"/>
  <c r="I98" i="1"/>
  <c r="F72" i="1"/>
  <c r="G72" i="1"/>
  <c r="H72" i="1"/>
  <c r="I72" i="1"/>
  <c r="J71" i="1"/>
  <c r="H29" i="1"/>
  <c r="G29" i="1" s="1"/>
  <c r="F29" i="1" s="1"/>
  <c r="E29" i="1" s="1"/>
  <c r="J29" i="1"/>
  <c r="K29" i="1" s="1"/>
  <c r="L29" i="1" s="1"/>
  <c r="M29" i="1" s="1"/>
  <c r="N29" i="1" s="1"/>
  <c r="F63" i="1"/>
  <c r="F66" i="1"/>
  <c r="E46" i="1"/>
  <c r="E63" i="1"/>
  <c r="E66" i="1"/>
  <c r="G63" i="1"/>
  <c r="G66" i="1"/>
  <c r="H63" i="1"/>
  <c r="H66" i="1"/>
  <c r="I40" i="1"/>
  <c r="I63" i="1"/>
  <c r="I66" i="1"/>
  <c r="E34" i="1"/>
  <c r="G36" i="1"/>
  <c r="G46" i="1"/>
  <c r="G34" i="1"/>
  <c r="H46" i="1"/>
  <c r="H36" i="1"/>
  <c r="H34" i="1"/>
  <c r="G31" i="1"/>
  <c r="I31" i="1"/>
  <c r="E36" i="1"/>
  <c r="H40" i="1"/>
  <c r="F34" i="1"/>
  <c r="F46" i="1"/>
  <c r="F36" i="1"/>
  <c r="I46" i="1"/>
  <c r="I36" i="1"/>
  <c r="I34" i="1"/>
  <c r="F31" i="1"/>
  <c r="H31" i="1"/>
  <c r="G40" i="1"/>
  <c r="F40" i="1"/>
  <c r="E40" i="1"/>
  <c r="J97" i="1" l="1"/>
  <c r="J94" i="1"/>
  <c r="J91" i="1" s="1"/>
  <c r="K71" i="1"/>
  <c r="J77" i="1"/>
  <c r="I37" i="1"/>
  <c r="I42" i="1"/>
  <c r="F37" i="1"/>
  <c r="F42" i="1"/>
  <c r="E37" i="1"/>
  <c r="E42" i="1"/>
  <c r="H42" i="1"/>
  <c r="H37" i="1"/>
  <c r="G37" i="1"/>
  <c r="G42" i="1"/>
  <c r="K97" i="1" l="1"/>
  <c r="K94" i="1"/>
  <c r="K91" i="1" s="1"/>
  <c r="H48" i="1"/>
  <c r="H77" i="1"/>
  <c r="J83" i="1"/>
  <c r="J89" i="1" s="1"/>
  <c r="J100" i="1" s="1"/>
  <c r="G48" i="1"/>
  <c r="G77" i="1"/>
  <c r="E48" i="1"/>
  <c r="E77" i="1"/>
  <c r="F48" i="1"/>
  <c r="F77" i="1"/>
  <c r="I48" i="1"/>
  <c r="I77" i="1"/>
  <c r="L71" i="1"/>
  <c r="K77" i="1"/>
  <c r="K83" i="1" s="1"/>
  <c r="K89" i="1" s="1"/>
  <c r="G43" i="1"/>
  <c r="H43" i="1"/>
  <c r="E43" i="1"/>
  <c r="F43" i="1"/>
  <c r="I43" i="1"/>
  <c r="J101" i="1" l="1"/>
  <c r="I11" i="1"/>
  <c r="K100" i="1"/>
  <c r="K101" i="1" s="1"/>
  <c r="L97" i="1"/>
  <c r="L94" i="1"/>
  <c r="L91" i="1" s="1"/>
  <c r="M71" i="1"/>
  <c r="L77" i="1"/>
  <c r="L83" i="1" s="1"/>
  <c r="L89" i="1" s="1"/>
  <c r="I78" i="1"/>
  <c r="I89" i="1"/>
  <c r="I84" i="1"/>
  <c r="F78" i="1"/>
  <c r="F89" i="1"/>
  <c r="F84" i="1"/>
  <c r="E78" i="1"/>
  <c r="E89" i="1"/>
  <c r="E84" i="1"/>
  <c r="G78" i="1"/>
  <c r="G89" i="1"/>
  <c r="G84" i="1"/>
  <c r="H78" i="1"/>
  <c r="H89" i="1"/>
  <c r="H84" i="1"/>
  <c r="E54" i="1"/>
  <c r="L100" i="1" l="1"/>
  <c r="L101" i="1" s="1"/>
  <c r="M97" i="1"/>
  <c r="M94" i="1"/>
  <c r="M91" i="1" s="1"/>
  <c r="N71" i="1"/>
  <c r="M77" i="1"/>
  <c r="M83" i="1" s="1"/>
  <c r="M89" i="1" s="1"/>
  <c r="G54" i="1"/>
  <c r="G49" i="1"/>
  <c r="H54" i="1"/>
  <c r="H49" i="1"/>
  <c r="F54" i="1"/>
  <c r="F49" i="1"/>
  <c r="I54" i="1"/>
  <c r="I49" i="1"/>
  <c r="M100" i="1" l="1"/>
  <c r="M101" i="1" s="1"/>
  <c r="N77" i="1"/>
  <c r="N83" i="1" s="1"/>
  <c r="N89" i="1" s="1"/>
  <c r="N94" i="1"/>
  <c r="N91" i="1" s="1"/>
  <c r="N97" i="1"/>
  <c r="N100" i="1" l="1"/>
  <c r="N102" i="1" s="1"/>
  <c r="N103" i="1" s="1"/>
  <c r="N101" i="1" l="1"/>
  <c r="N105" i="1"/>
  <c r="N108" i="1" s="1"/>
  <c r="N110" i="1" s="1"/>
  <c r="I9" i="1" s="1"/>
  <c r="I10" i="1" s="1"/>
  <c r="C10" i="1" l="1"/>
</calcChain>
</file>

<file path=xl/sharedStrings.xml><?xml version="1.0" encoding="utf-8"?>
<sst xmlns="http://schemas.openxmlformats.org/spreadsheetml/2006/main" count="1259" uniqueCount="435">
  <si>
    <t>Identifier</t>
  </si>
  <si>
    <t>META-US</t>
  </si>
  <si>
    <t>Start Date</t>
  </si>
  <si>
    <t>End Date</t>
  </si>
  <si>
    <t>Report Basis</t>
  </si>
  <si>
    <t>ANN_R</t>
  </si>
  <si>
    <t>Currency</t>
  </si>
  <si>
    <t>LOC</t>
  </si>
  <si>
    <t>USD</t>
  </si>
  <si>
    <t>Meta Platforms Inc Class A</t>
  </si>
  <si>
    <t/>
  </si>
  <si>
    <t>Income Statement</t>
  </si>
  <si>
    <t>Final/</t>
  </si>
  <si>
    <t>Final/Restate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</si>
  <si>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</si>
  <si>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</si>
  <si>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</si>
  <si>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</si>
  <si>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</si>
  <si>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</si>
  <si>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</si>
  <si>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</si>
  <si>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</si>
  <si>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</si>
  <si>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</si>
  <si>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</si>
  <si>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</si>
  <si>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</si>
  <si>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-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</si>
  <si>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</si>
  <si>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</si>
  <si>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</si>
  <si>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</si>
  <si>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</si>
  <si>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</si>
  <si>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Goodwill</t>
  </si>
  <si>
    <t>Property,Plant &amp; Equipment</t>
  </si>
  <si>
    <t>Financial Fixed Assets</t>
  </si>
  <si>
    <t>Restructuring Expense</t>
  </si>
  <si>
    <t>Legal Claim Expense</t>
  </si>
  <si>
    <t>Unrealized Valuation Gain/Loss</t>
  </si>
  <si>
    <t>Investments</t>
  </si>
  <si>
    <t>Investment Property</t>
  </si>
  <si>
    <t>Biological Assets</t>
  </si>
  <si>
    <t>Hedges/Derivatives</t>
  </si>
  <si>
    <t>Other Intangibles</t>
  </si>
  <si>
    <t>Excpl Chrgs - Others</t>
  </si>
  <si>
    <t>Restructuring of Debt</t>
  </si>
  <si>
    <t>Early termination of Contracts costs (Income)</t>
  </si>
  <si>
    <t>Acquired In-Process R&amp;D</t>
  </si>
  <si>
    <t>Calamitous Events</t>
  </si>
  <si>
    <t>Accelerated Depreciation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</si>
  <si>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</si>
  <si>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</si>
  <si>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</si>
  <si>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</si>
  <si>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</si>
  <si>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</si>
  <si>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</si>
  <si>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Income Tax Credits</t>
  </si>
  <si>
    <t>Consolidated Net Income</t>
  </si>
  <si>
    <t>Minority Interest</t>
  </si>
  <si>
    <t>Net Income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</si>
  <si>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</si>
  <si>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</si>
  <si>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</si>
  <si>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</si>
  <si>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</si>
  <si>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</si>
  <si>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</si>
  <si>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</si>
  <si>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</si>
  <si>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</si>
  <si>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</si>
  <si>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</si>
  <si>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EBIT</t>
  </si>
  <si>
    <t>All figures in millions of USD except per share and labeled items.</t>
  </si>
  <si>
    <t>Balance Sheet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</si>
  <si>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</si>
  <si>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</si>
  <si>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</si>
  <si>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</si>
  <si>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</si>
  <si>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</si>
  <si>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</si>
  <si>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</si>
  <si>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</si>
  <si>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</si>
  <si>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</si>
  <si>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</si>
  <si>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</si>
  <si>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</si>
  <si>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</si>
  <si>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</si>
  <si>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</si>
  <si>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</si>
  <si>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</si>
  <si>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</si>
  <si>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</si>
  <si>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Leases</t>
  </si>
  <si>
    <t>Computer Software and Equipment</t>
  </si>
  <si>
    <t>Leased Property</t>
  </si>
  <si>
    <t>Transportation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</si>
  <si>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</si>
  <si>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</si>
  <si>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</si>
  <si>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</si>
  <si>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</si>
  <si>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</si>
  <si>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Long-Term Note Receivable</t>
  </si>
  <si>
    <t>Intangible Assets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</si>
  <si>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</si>
  <si>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</si>
  <si>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</si>
  <si>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</si>
  <si>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</si>
  <si>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</si>
  <si>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</si>
  <si>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</si>
  <si>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</si>
  <si>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</si>
  <si>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</si>
  <si>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</si>
  <si>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Dividends Payable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</si>
  <si>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</si>
  <si>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</si>
  <si>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</si>
  <si>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</si>
  <si>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</si>
  <si>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</si>
  <si>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</si>
  <si>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</si>
  <si>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</si>
  <si>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</si>
  <si>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</si>
  <si>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</si>
  <si>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</si>
  <si>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</si>
  <si>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</si>
  <si>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</si>
  <si>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</si>
  <si>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</si>
  <si>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ESOP Debt Guarantee</t>
  </si>
  <si>
    <t>Cumulative Translation Adjustment/Unrealized For. Exch. Gain</t>
  </si>
  <si>
    <t>Unrealized Gain/Loss Marketable Securities</t>
  </si>
  <si>
    <t>Other Appropriated Reserves</t>
  </si>
  <si>
    <t>Unappropriated Reserves</t>
  </si>
  <si>
    <t>Treasury Stock</t>
  </si>
  <si>
    <t>Repurchased Stock Value</t>
  </si>
  <si>
    <t>Total Shareholders' Equity</t>
  </si>
  <si>
    <t>Accumulated Minority Interest</t>
  </si>
  <si>
    <t>Total Equity</t>
  </si>
  <si>
    <t>Total Liabilities &amp; Shareholders' Equity</t>
  </si>
  <si>
    <t>Book Value per Share</t>
  </si>
  <si>
    <t>Tangible Book Value per Share</t>
  </si>
  <si>
    <t>Cash Flow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</si>
  <si>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</si>
  <si>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</si>
  <si>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</si>
  <si>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</si>
  <si>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</si>
  <si>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</si>
  <si>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</si>
  <si>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Investment Tax Credit</t>
  </si>
  <si>
    <t>Interest paid on Lease Liabilities - Operating</t>
  </si>
  <si>
    <t>Other Funds</t>
  </si>
  <si>
    <t>Funds from Operations</t>
  </si>
  <si>
    <t>Changes in Working Capital</t>
  </si>
  <si>
    <t>Receivables</t>
  </si>
  <si>
    <t>Income Taxes Payable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</si>
  <si>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</si>
  <si>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</si>
  <si>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</si>
  <si>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</si>
  <si>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</si>
  <si>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</si>
  <si>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Capital Expenditures (Other Assets)</t>
  </si>
  <si>
    <t>Net Assets from Acquisitions</t>
  </si>
  <si>
    <t>Sale of Fixed Assets &amp; Businesses</t>
  </si>
  <si>
    <t>Purchase/Sale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</si>
  <si>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</si>
  <si>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</si>
  <si>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</si>
  <si>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</si>
  <si>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</si>
  <si>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</si>
  <si>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</si>
  <si>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</si>
  <si>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</si>
  <si>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</si>
  <si>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</si>
  <si>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</si>
  <si>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</si>
  <si>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</si>
  <si>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</si>
  <si>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</si>
  <si>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Change in Other Debt</t>
  </si>
  <si>
    <t>Repayments of Operating Lease Liabilities</t>
  </si>
  <si>
    <t>Interest paid on Lease Liabilities - Financing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</si>
  <si>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</si>
  <si>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</si>
  <si>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</si>
  <si>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</si>
  <si>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</si>
  <si>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</si>
  <si>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</si>
  <si>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Ratio Analysis</t>
  </si>
  <si>
    <t xml:space="preserve"> Profitability</t>
  </si>
  <si>
    <t>Gross Margin</t>
  </si>
  <si>
    <t>SG&amp;A to Sales</t>
  </si>
  <si>
    <t>Operating Margin</t>
  </si>
  <si>
    <t>Pretax Margin</t>
  </si>
  <si>
    <t>Net Margin</t>
  </si>
  <si>
    <t>Free Cash Flow Margin</t>
  </si>
  <si>
    <t>Return on Assets</t>
  </si>
  <si>
    <t xml:space="preserve">Return on Equity </t>
  </si>
  <si>
    <t>Return on Common Equity</t>
  </si>
  <si>
    <t>Return on Total Capital</t>
  </si>
  <si>
    <t>Return on Invested Capital</t>
  </si>
  <si>
    <t>Cash Flow Return on Invested Capital</t>
  </si>
  <si>
    <t xml:space="preserve"> Valuation</t>
  </si>
  <si>
    <t>Price/Sales</t>
  </si>
  <si>
    <t>Price/Earnings</t>
  </si>
  <si>
    <t>Price/Book Value</t>
  </si>
  <si>
    <t>Price/Tangible Book Value</t>
  </si>
  <si>
    <t>Price/Cash Flow</t>
  </si>
  <si>
    <t>Price/Free Cash Flow</t>
  </si>
  <si>
    <t>Dividend Yield (%)</t>
  </si>
  <si>
    <t>Enterprise Value/EBIT</t>
  </si>
  <si>
    <t>Enterprise Value/EBITDA</t>
  </si>
  <si>
    <t>Enterprise Value/Sales</t>
  </si>
  <si>
    <t>Total Debt/Enterprise Value</t>
  </si>
  <si>
    <t xml:space="preserve"> Per Share</t>
  </si>
  <si>
    <t>Sales per Share</t>
  </si>
  <si>
    <t>EBIT (Operating Income) per Share</t>
  </si>
  <si>
    <t>Headline EPS</t>
  </si>
  <si>
    <t>Headline EPS (diluted)</t>
  </si>
  <si>
    <t>Dividend Payout Ratio (%)</t>
  </si>
  <si>
    <t>Cash Flow per Share</t>
  </si>
  <si>
    <t>Diluted Shares Outstanding  (M) (M)</t>
  </si>
  <si>
    <t>Basic Shares Outstanding  (M) (M)</t>
  </si>
  <si>
    <t>Total Shares Outstanding  (M) (M)</t>
  </si>
  <si>
    <t xml:space="preserve"> Asset Turnover Analysis</t>
  </si>
  <si>
    <t>Cash &amp; ST Investments</t>
  </si>
  <si>
    <t>Current Assets</t>
  </si>
  <si>
    <t>Fixed Assets</t>
  </si>
  <si>
    <t xml:space="preserve"> DuPont Analysis</t>
  </si>
  <si>
    <t xml:space="preserve">   Asset Turnover (x)</t>
  </si>
  <si>
    <t xml:space="preserve">    x Pretax Margin (%)</t>
  </si>
  <si>
    <t xml:space="preserve"> = Pretax Return on Assets (%)</t>
  </si>
  <si>
    <t xml:space="preserve">    x Tax Rate Complement (1-Tax Rate) (%)</t>
  </si>
  <si>
    <t xml:space="preserve"> = Return on Assets (%)</t>
  </si>
  <si>
    <t xml:space="preserve">    x Equity Multiplier (Assets/Equity)</t>
  </si>
  <si>
    <t xml:space="preserve"> = Return on Equity (%)</t>
  </si>
  <si>
    <t xml:space="preserve">    x Earnings Retention (1-Payout) (%)</t>
  </si>
  <si>
    <t xml:space="preserve"> = Reinvestment Rate (%)</t>
  </si>
  <si>
    <t>Note: EBIT Return on Assets (%)</t>
  </si>
  <si>
    <t>Note: Interest as % Assets</t>
  </si>
  <si>
    <t xml:space="preserve"> Operating Efficiency</t>
  </si>
  <si>
    <t>Revenue/Employee (actual)</t>
  </si>
  <si>
    <t>Net Income/Employee (actual)</t>
  </si>
  <si>
    <t>Assets/Employee (actual)</t>
  </si>
  <si>
    <t>Receivables Turnover</t>
  </si>
  <si>
    <t>Inventory Turnover</t>
  </si>
  <si>
    <t>Payables Turnover</t>
  </si>
  <si>
    <t xml:space="preserve">Asset Turnover </t>
  </si>
  <si>
    <t>Working Capital Turnover</t>
  </si>
  <si>
    <t xml:space="preserve"> Operating Cycle - Days</t>
  </si>
  <si>
    <t xml:space="preserve">   Days of Inventory on Hand</t>
  </si>
  <si>
    <t xml:space="preserve">    + Days of Sales Outstanding</t>
  </si>
  <si>
    <t xml:space="preserve"> = Operating Cycle</t>
  </si>
  <si>
    <t xml:space="preserve">    - Days of Payables Outstanding</t>
  </si>
  <si>
    <t xml:space="preserve"> = Net Operating Cycle</t>
  </si>
  <si>
    <t xml:space="preserve"> Liquidity</t>
  </si>
  <si>
    <t>Current Ratio (x)</t>
  </si>
  <si>
    <t>Quick Ratio (x)</t>
  </si>
  <si>
    <t>Cash Ratio</t>
  </si>
  <si>
    <t>Cash &amp; ST Inv/Current Assets</t>
  </si>
  <si>
    <t>CFO/Current Liabilities</t>
  </si>
  <si>
    <t xml:space="preserve"> Coverage</t>
  </si>
  <si>
    <t>Net Debt/EBITDA</t>
  </si>
  <si>
    <t>Net Debt/(EBITDA-Capex)</t>
  </si>
  <si>
    <t>Total Debt/EBITDA</t>
  </si>
  <si>
    <t>EBIT/Interest Expense (Int. Coverage)</t>
  </si>
  <si>
    <t>EBITDA/Interest Expense</t>
  </si>
  <si>
    <t>Fixed-charge Coverage Ratio</t>
  </si>
  <si>
    <t>CFO/Interest Expense</t>
  </si>
  <si>
    <t>Cash Dividend Coverage Ratio</t>
  </si>
  <si>
    <t>LT Debt/EBITDA</t>
  </si>
  <si>
    <t>Net Debt/FFO</t>
  </si>
  <si>
    <t>LT Debt/FFO</t>
  </si>
  <si>
    <t>FCF/Total Debt</t>
  </si>
  <si>
    <t>CFO/Total Debt</t>
  </si>
  <si>
    <t xml:space="preserve"> Leverage</t>
  </si>
  <si>
    <t>LT Debt/Total Equity</t>
  </si>
  <si>
    <t>LT Debt/Total Capital</t>
  </si>
  <si>
    <t>LT Debt/Total Assets</t>
  </si>
  <si>
    <t>Total Debt/Total Assets (%)</t>
  </si>
  <si>
    <t>Net Debt/Total Equity (%)</t>
  </si>
  <si>
    <t>Total Debt/Equity (%)</t>
  </si>
  <si>
    <t>Net Debt/Total Capital</t>
  </si>
  <si>
    <t>Total Debt/Total Capital</t>
  </si>
  <si>
    <t>Ticker</t>
  </si>
  <si>
    <t>Meta</t>
  </si>
  <si>
    <t>Date</t>
  </si>
  <si>
    <t>Starting Year</t>
  </si>
  <si>
    <t>Units</t>
  </si>
  <si>
    <t>Revenue</t>
  </si>
  <si>
    <t>Year Ended</t>
  </si>
  <si>
    <t>% growth</t>
  </si>
  <si>
    <t>Cost of Goods Sold</t>
  </si>
  <si>
    <t>% of revenue</t>
  </si>
  <si>
    <t>Gross Profit</t>
  </si>
  <si>
    <t>% of Sales</t>
  </si>
  <si>
    <t>SG&amp;A</t>
  </si>
  <si>
    <t>% of sales</t>
  </si>
  <si>
    <t>D&amp;A</t>
  </si>
  <si>
    <t>Taxes</t>
  </si>
  <si>
    <t>NOPAT</t>
  </si>
  <si>
    <t>Cashflow Items</t>
  </si>
  <si>
    <t>% of</t>
  </si>
  <si>
    <t>Changes in WC</t>
  </si>
  <si>
    <t>% change in sales</t>
  </si>
  <si>
    <t>CapEx</t>
  </si>
  <si>
    <t>% of CapEx</t>
  </si>
  <si>
    <t>Overview</t>
  </si>
  <si>
    <t>Live Scenario</t>
  </si>
  <si>
    <t>DCF</t>
  </si>
  <si>
    <t>Bear Case</t>
  </si>
  <si>
    <t>Street Case</t>
  </si>
  <si>
    <t>% of EBIT</t>
  </si>
  <si>
    <t>Bull Case</t>
  </si>
  <si>
    <t>EBIAT</t>
  </si>
  <si>
    <t>Change of NWC</t>
  </si>
  <si>
    <t>Unlevered FCF</t>
  </si>
  <si>
    <t>PV of FCF</t>
  </si>
  <si>
    <t>Live Case</t>
  </si>
  <si>
    <t>#</t>
  </si>
  <si>
    <t>Tax Rate</t>
  </si>
  <si>
    <t>TGR</t>
  </si>
  <si>
    <t>WACC</t>
  </si>
  <si>
    <t>Debt</t>
  </si>
  <si>
    <t>Cost of Debt</t>
  </si>
  <si>
    <t>tax rate</t>
  </si>
  <si>
    <t>Equity Value</t>
  </si>
  <si>
    <t>% Equity</t>
  </si>
  <si>
    <t>% Debt</t>
  </si>
  <si>
    <t>Cost of Equity</t>
  </si>
  <si>
    <t>Risk free Rate</t>
  </si>
  <si>
    <t>Beta</t>
  </si>
  <si>
    <t>Market Risk Premium</t>
  </si>
  <si>
    <t>FY2024</t>
  </si>
  <si>
    <t>$/Shr</t>
  </si>
  <si>
    <t>CS</t>
  </si>
  <si>
    <t>MC</t>
  </si>
  <si>
    <t>Net Cash</t>
  </si>
  <si>
    <t>EV</t>
  </si>
  <si>
    <t>* The current total debt outstanding value is not considered a reconciled amount.  Activity is determined on a transactional basis and there can be events that may affect amounts that are not disclosed until the next filing date.</t>
  </si>
  <si>
    <t>Source: FactSet DCS and FactSet Fixed Income</t>
  </si>
  <si>
    <t xml:space="preserve"> Amount Outstanding in millions of USD</t>
  </si>
  <si>
    <t>Data as of 27 Jun '25</t>
  </si>
  <si>
    <t>Total Debt</t>
  </si>
  <si>
    <t>ST Debt Total</t>
  </si>
  <si>
    <t>Net LT Debt Total</t>
  </si>
  <si>
    <t>Current Portion of LTD</t>
  </si>
  <si>
    <t>LT Debt Total</t>
  </si>
  <si>
    <t>Other</t>
  </si>
  <si>
    <t>Unamortized Discount &amp; Issuance Costs - Unsecured Bonds</t>
  </si>
  <si>
    <t>_</t>
  </si>
  <si>
    <t>SNR Unsec</t>
  </si>
  <si>
    <t>08/64</t>
  </si>
  <si>
    <t>08/24</t>
  </si>
  <si>
    <t>Fixed</t>
  </si>
  <si>
    <t>Meta Platforms Inc</t>
  </si>
  <si>
    <t>30303M8W5</t>
  </si>
  <si>
    <t>05/63</t>
  </si>
  <si>
    <t>05/23</t>
  </si>
  <si>
    <t>30303M8R6</t>
  </si>
  <si>
    <t>08/62</t>
  </si>
  <si>
    <t>12/22</t>
  </si>
  <si>
    <t>30303M8K1</t>
  </si>
  <si>
    <t>08/22</t>
  </si>
  <si>
    <t>30303M8F2 (144A)</t>
  </si>
  <si>
    <t>08/54</t>
  </si>
  <si>
    <t>30303M8V7</t>
  </si>
  <si>
    <t>05/53</t>
  </si>
  <si>
    <t>30303M8Q8</t>
  </si>
  <si>
    <t>08/52</t>
  </si>
  <si>
    <t>30303M8J4</t>
  </si>
  <si>
    <t>30303M8E5 (144A)</t>
  </si>
  <si>
    <t>08/34</t>
  </si>
  <si>
    <t>30303M8U9</t>
  </si>
  <si>
    <t>05/33</t>
  </si>
  <si>
    <t>30303M8N5</t>
  </si>
  <si>
    <t>08/32</t>
  </si>
  <si>
    <t>30303M8H8</t>
  </si>
  <si>
    <t>30303M8D7 (144A)</t>
  </si>
  <si>
    <t>08/31</t>
  </si>
  <si>
    <t>30303M8T2</t>
  </si>
  <si>
    <t>05/30</t>
  </si>
  <si>
    <t>30303M8M7</t>
  </si>
  <si>
    <t>08/29</t>
  </si>
  <si>
    <t>30303M8S4</t>
  </si>
  <si>
    <t>05/28</t>
  </si>
  <si>
    <t>30303M8L9</t>
  </si>
  <si>
    <t>08/27</t>
  </si>
  <si>
    <t>30303M8G0</t>
  </si>
  <si>
    <t>30303M8B1 (144A)</t>
  </si>
  <si>
    <t>Notes/Bonds</t>
  </si>
  <si>
    <t>OAS (LIBOR)</t>
  </si>
  <si>
    <t>YTW</t>
  </si>
  <si>
    <t>Price</t>
  </si>
  <si>
    <t>Seniority</t>
  </si>
  <si>
    <t>Issue Curr</t>
  </si>
  <si>
    <t>Maturity Date</t>
  </si>
  <si>
    <t>Issue Date</t>
  </si>
  <si>
    <t>Coupon Type</t>
  </si>
  <si>
    <t>Coupon Rate</t>
  </si>
  <si>
    <t>Current Amt Out (USD)</t>
  </si>
  <si>
    <t>Balance Sheet Amt Out (USD)</t>
  </si>
  <si>
    <t>Description</t>
  </si>
  <si>
    <t>Instrument ID</t>
  </si>
  <si>
    <t xml:space="preserve">META   30303M102   B7TL820   NASDAQ    Common stock    </t>
  </si>
  <si>
    <t>WA</t>
  </si>
  <si>
    <t xml:space="preserve">WA COST OF DEBT </t>
  </si>
  <si>
    <t>Terminal Value</t>
  </si>
  <si>
    <t>Present Value of Terminal Value</t>
  </si>
  <si>
    <t>Enterprise Value</t>
  </si>
  <si>
    <t>(+) Cash</t>
  </si>
  <si>
    <t>(-) Debt</t>
  </si>
  <si>
    <t>Shares</t>
  </si>
  <si>
    <t>Implied $/Shr</t>
  </si>
  <si>
    <t>% imp. Move</t>
  </si>
  <si>
    <t>Future</t>
  </si>
  <si>
    <t>Fwrd 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</si>
</sst>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&quot;FY &quot;\ 0&quot;A&quot;"/>
    <numFmt numFmtId="167" formatCode="&quot;FY &quot;\ 0&quot;E&quot;"/>
    <numFmt numFmtId="168" formatCode="0.0"/>
    <numFmt numFmtId="169" formatCode="0.0%"/>
    <numFmt numFmtId="170" formatCode="##,###.0"/>
    <numFmt numFmtId="171" formatCode="##"/>
    <numFmt numFmtId="172" formatCode="###.0"/>
    <numFmt numFmtId="173" formatCode="###.##"/>
    <numFmt numFmtId="174" formatCode="#.##"/>
    <numFmt numFmtId="175" formatCode="##.##"/>
    <numFmt numFmtId="176" formatCode="#.##0%"/>
    <numFmt numFmtId="177" formatCode="#,##0.0"/>
    <numFmt numFmtId="178" formatCode="###.0#"/>
    <numFmt numFmtId="179" formatCode="#,###.0"/>
    <numFmt numFmtId="180" formatCode="#.0"/>
    <numFmt numFmtId="181" formatCode="#.#00%"/>
    <numFmt numFmtId="182" formatCode="##.0#"/>
    <numFmt numFmtId="183" formatCode="#,#00.0"/>
    <numFmt numFmtId="184" formatCode="#,###.#"/>
    <numFmt numFmtId="185" formatCode="#.#"/>
    <numFmt numFmtId="186" formatCode="#0#.##"/>
    <numFmt numFmtId="187" formatCode="##.#0"/>
    <numFmt numFmtId="188" formatCode="##.#"/>
    <numFmt numFmtId="189" formatCode="#,000.0"/>
    <numFmt numFmtId="190" formatCode="##.00"/>
    <numFmt numFmtId="191" formatCode="#.0#"/>
    <numFmt numFmtId="192" formatCode="#00.##"/>
    <numFmt numFmtId="193" formatCode="##,000.0"/>
    <numFmt numFmtId="194" formatCode="0.000"/>
    <numFmt numFmtId="195" formatCode="0.0\x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rgb="FF800080"/>
      <name val="Arial"/>
      <family val="2"/>
    </font>
    <font>
      <b/>
      <sz val="11"/>
      <color rgb="FF800080"/>
      <name val="Arial"/>
      <family val="2"/>
    </font>
    <font>
      <b/>
      <sz val="11"/>
      <color indexed="10"/>
      <name val="Calibri"/>
      <family val="2"/>
    </font>
    <font>
      <b/>
      <sz val="9"/>
      <color rgb="FF800080"/>
      <name val="Arial"/>
      <family val="2"/>
    </font>
    <font>
      <b/>
      <sz val="9"/>
      <color rgb="FF003366"/>
      <name val="Arial"/>
      <family val="2"/>
    </font>
    <font>
      <sz val="9"/>
      <color rgb="FF646464"/>
      <name val="Arial"/>
      <family val="2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theme="9"/>
      <name val="Arial"/>
      <family val="2"/>
    </font>
    <font>
      <i/>
      <sz val="10"/>
      <color theme="1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i/>
      <sz val="10"/>
      <color rgb="FF7030A0"/>
      <name val="Arial"/>
      <family val="2"/>
    </font>
    <font>
      <i/>
      <sz val="10"/>
      <color rgb="FF0070C0"/>
      <name val="Arial"/>
      <family val="2"/>
    </font>
    <font>
      <i/>
      <sz val="10"/>
      <color theme="8"/>
      <name val="Arial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theme="0"/>
      <name val="Arial"/>
      <family val="2"/>
    </font>
    <font>
      <sz val="10"/>
      <color theme="8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b/>
      <i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F0F0"/>
        <bgColor indexed="64"/>
      </patternFill>
    </fill>
  </fills>
  <borders count="1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154">
    <xf numFmtId="0" fontId="0" fillId="0" borderId="0" xfId="0"/>
    <xf numFmtId="0" fontId="6" fillId="2" borderId="0" xfId="3" applyFont="1" applyFill="1"/>
    <xf numFmtId="0" fontId="7" fillId="2" borderId="0" xfId="3" applyFont="1" applyFill="1"/>
    <xf numFmtId="0" fontId="6" fillId="2" borderId="0" xfId="3" applyFont="1" applyFill="1" applyAlignment="1">
      <alignment horizontal="right"/>
    </xf>
    <xf numFmtId="0" fontId="8" fillId="0" borderId="0" xfId="3" applyFont="1" applyAlignment="1">
      <alignment horizontal="left"/>
    </xf>
    <xf numFmtId="0" fontId="8" fillId="2" borderId="0" xfId="3" applyFont="1" applyFill="1" applyAlignment="1">
      <alignment horizontal="left"/>
    </xf>
    <xf numFmtId="0" fontId="7" fillId="2" borderId="0" xfId="3" applyFont="1" applyFill="1" applyAlignment="1">
      <alignment horizontal="left"/>
    </xf>
    <xf numFmtId="0" fontId="6" fillId="2" borderId="0" xfId="3" applyFont="1" applyFill="1" applyAlignment="1">
      <alignment horizontal="left"/>
    </xf>
    <xf numFmtId="4" fontId="9" fillId="2" borderId="0" xfId="3" applyNumberFormat="1" applyFont="1" applyFill="1" applyAlignment="1">
      <alignment horizontal="left"/>
    </xf>
    <xf numFmtId="0" fontId="10" fillId="3" borderId="0" xfId="4" applyFont="1" applyFill="1" applyAlignment="1">
      <alignment vertical="center"/>
    </xf>
    <xf numFmtId="0" fontId="6" fillId="3" borderId="0" xfId="4" applyFont="1" applyFill="1" applyAlignment="1">
      <alignment horizontal="center" vertical="center"/>
    </xf>
    <xf numFmtId="0" fontId="11" fillId="2" borderId="0" xfId="3" applyFont="1" applyFill="1" applyAlignment="1">
      <alignment horizontal="left"/>
    </xf>
    <xf numFmtId="0" fontId="6" fillId="4" borderId="0" xfId="3" applyFont="1" applyFill="1" applyAlignment="1">
      <alignment horizontal="left"/>
    </xf>
    <xf numFmtId="164" fontId="12" fillId="4" borderId="0" xfId="3" applyNumberFormat="1" applyFont="1" applyFill="1" applyAlignment="1">
      <alignment horizontal="right"/>
    </xf>
    <xf numFmtId="0" fontId="12" fillId="2" borderId="0" xfId="3" applyFont="1" applyFill="1" applyAlignment="1">
      <alignment horizontal="left"/>
    </xf>
    <xf numFmtId="0" fontId="13" fillId="2" borderId="0" xfId="3" applyFont="1" applyFill="1" applyAlignment="1">
      <alignment horizontal="left"/>
    </xf>
    <xf numFmtId="4" fontId="12" fillId="5" borderId="0" xfId="3" applyNumberFormat="1" applyFont="1" applyFill="1" applyAlignment="1">
      <alignment horizontal="right"/>
    </xf>
    <xf numFmtId="0" fontId="13" fillId="2" borderId="0" xfId="3" applyFont="1" applyFill="1" applyAlignment="1">
      <alignment horizontal="left" indent="3"/>
    </xf>
    <xf numFmtId="0" fontId="7" fillId="2" borderId="0" xfId="3" applyFont="1" applyFill="1" applyAlignment="1">
      <alignment horizontal="left" indent="4"/>
    </xf>
    <xf numFmtId="4" fontId="9" fillId="5" borderId="0" xfId="3" applyNumberFormat="1" applyFont="1" applyFill="1" applyAlignment="1">
      <alignment horizontal="right"/>
    </xf>
    <xf numFmtId="0" fontId="13" fillId="2" borderId="0" xfId="3" applyFont="1" applyFill="1" applyAlignment="1">
      <alignment horizontal="left" indent="6"/>
    </xf>
    <xf numFmtId="0" fontId="7" fillId="2" borderId="0" xfId="3" applyFont="1" applyFill="1" applyAlignment="1">
      <alignment horizontal="left" indent="7"/>
    </xf>
    <xf numFmtId="0" fontId="7" fillId="2" borderId="0" xfId="3" applyFont="1" applyFill="1" applyAlignment="1">
      <alignment horizontal="left" indent="1"/>
    </xf>
    <xf numFmtId="4" fontId="12" fillId="2" borderId="0" xfId="3" applyNumberFormat="1" applyFont="1" applyFill="1" applyAlignment="1">
      <alignment horizontal="left"/>
    </xf>
    <xf numFmtId="4" fontId="9" fillId="2" borderId="0" xfId="3" applyNumberFormat="1" applyFont="1" applyFill="1" applyAlignment="1">
      <alignment horizontal="right"/>
    </xf>
    <xf numFmtId="4" fontId="12" fillId="2" borderId="0" xfId="3" applyNumberFormat="1" applyFont="1" applyFill="1" applyAlignment="1">
      <alignment horizontal="right"/>
    </xf>
    <xf numFmtId="0" fontId="14" fillId="2" borderId="0" xfId="3" applyFont="1" applyFill="1" applyAlignment="1">
      <alignment horizontal="left"/>
    </xf>
    <xf numFmtId="0" fontId="5" fillId="2" borderId="0" xfId="3" applyFont="1" applyFill="1"/>
    <xf numFmtId="0" fontId="1" fillId="2" borderId="0" xfId="3" applyFill="1"/>
    <xf numFmtId="0" fontId="1" fillId="2" borderId="0" xfId="3" applyFill="1" applyAlignment="1">
      <alignment horizontal="left"/>
    </xf>
    <xf numFmtId="0" fontId="5" fillId="2" borderId="0" xfId="3" applyFont="1" applyFill="1" applyAlignment="1">
      <alignment horizontal="left"/>
    </xf>
    <xf numFmtId="0" fontId="5" fillId="3" borderId="0" xfId="4" applyFont="1" applyFill="1" applyAlignment="1">
      <alignment horizontal="center" vertical="center"/>
    </xf>
    <xf numFmtId="0" fontId="13" fillId="2" borderId="0" xfId="3" applyFont="1" applyFill="1" applyAlignment="1">
      <alignment horizontal="left" indent="9"/>
    </xf>
    <xf numFmtId="0" fontId="7" fillId="2" borderId="0" xfId="3" applyFont="1" applyFill="1" applyAlignment="1">
      <alignment horizontal="left" indent="10"/>
    </xf>
    <xf numFmtId="0" fontId="0" fillId="0" borderId="0" xfId="0" applyAlignment="1">
      <alignment horizontal="center"/>
    </xf>
    <xf numFmtId="14" fontId="0" fillId="0" borderId="0" xfId="0" applyNumberFormat="1"/>
    <xf numFmtId="4" fontId="0" fillId="0" borderId="0" xfId="0" applyNumberFormat="1"/>
    <xf numFmtId="0" fontId="1" fillId="6" borderId="0" xfId="0" applyFont="1" applyFill="1"/>
    <xf numFmtId="0" fontId="1" fillId="0" borderId="0" xfId="0" applyFont="1"/>
    <xf numFmtId="0" fontId="3" fillId="6" borderId="0" xfId="0" applyFont="1" applyFill="1"/>
    <xf numFmtId="0" fontId="1" fillId="0" borderId="0" xfId="0" applyFont="1" applyAlignment="1">
      <alignment horizontal="center"/>
    </xf>
    <xf numFmtId="0" fontId="3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166" fontId="3" fillId="9" borderId="0" xfId="0" applyNumberFormat="1" applyFont="1" applyFill="1" applyAlignment="1">
      <alignment horizontal="center"/>
    </xf>
    <xf numFmtId="167" fontId="3" fillId="8" borderId="0" xfId="0" applyNumberFormat="1" applyFont="1" applyFill="1" applyAlignment="1">
      <alignment horizontal="center"/>
    </xf>
    <xf numFmtId="165" fontId="17" fillId="0" borderId="0" xfId="1" applyNumberFormat="1" applyFont="1"/>
    <xf numFmtId="0" fontId="18" fillId="0" borderId="0" xfId="0" applyFont="1"/>
    <xf numFmtId="9" fontId="18" fillId="0" borderId="0" xfId="2" applyFont="1" applyAlignment="1">
      <alignment horizontal="center"/>
    </xf>
    <xf numFmtId="165" fontId="17" fillId="0" borderId="0" xfId="1" applyNumberFormat="1" applyFont="1" applyFill="1"/>
    <xf numFmtId="165" fontId="1" fillId="0" borderId="0" xfId="1" applyNumberFormat="1" applyFont="1"/>
    <xf numFmtId="0" fontId="5" fillId="0" borderId="0" xfId="0" applyFont="1"/>
    <xf numFmtId="165" fontId="5" fillId="0" borderId="0" xfId="1" applyNumberFormat="1" applyFont="1"/>
    <xf numFmtId="165" fontId="1" fillId="0" borderId="0" xfId="0" applyNumberFormat="1" applyFont="1"/>
    <xf numFmtId="165" fontId="19" fillId="0" borderId="0" xfId="0" applyNumberFormat="1" applyFont="1"/>
    <xf numFmtId="0" fontId="18" fillId="0" borderId="0" xfId="0" applyFont="1" applyAlignment="1">
      <alignment horizontal="left" indent="1"/>
    </xf>
    <xf numFmtId="0" fontId="5" fillId="10" borderId="4" xfId="0" applyFont="1" applyFill="1" applyBorder="1"/>
    <xf numFmtId="0" fontId="5" fillId="10" borderId="5" xfId="0" applyFont="1" applyFill="1" applyBorder="1"/>
    <xf numFmtId="165" fontId="5" fillId="10" borderId="5" xfId="0" applyNumberFormat="1" applyFont="1" applyFill="1" applyBorder="1"/>
    <xf numFmtId="165" fontId="5" fillId="10" borderId="6" xfId="0" applyNumberFormat="1" applyFont="1" applyFill="1" applyBorder="1"/>
    <xf numFmtId="9" fontId="21" fillId="0" borderId="0" xfId="0" applyNumberFormat="1" applyFont="1" applyAlignment="1">
      <alignment horizontal="center"/>
    </xf>
    <xf numFmtId="9" fontId="22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0" fontId="5" fillId="10" borderId="8" xfId="0" applyFont="1" applyFill="1" applyBorder="1"/>
    <xf numFmtId="0" fontId="5" fillId="10" borderId="7" xfId="0" applyFont="1" applyFill="1" applyBorder="1"/>
    <xf numFmtId="165" fontId="5" fillId="10" borderId="7" xfId="0" applyNumberFormat="1" applyFont="1" applyFill="1" applyBorder="1"/>
    <xf numFmtId="165" fontId="5" fillId="10" borderId="9" xfId="0" applyNumberFormat="1" applyFont="1" applyFill="1" applyBorder="1"/>
    <xf numFmtId="0" fontId="5" fillId="10" borderId="10" xfId="0" applyFont="1" applyFill="1" applyBorder="1"/>
    <xf numFmtId="0" fontId="1" fillId="10" borderId="11" xfId="0" applyFont="1" applyFill="1" applyBorder="1"/>
    <xf numFmtId="0" fontId="20" fillId="0" borderId="1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26" fillId="0" borderId="2" xfId="0" applyNumberFormat="1" applyFont="1" applyBorder="1" applyAlignment="1">
      <alignment horizontal="center"/>
    </xf>
    <xf numFmtId="9" fontId="24" fillId="0" borderId="2" xfId="2" applyFont="1" applyBorder="1" applyAlignment="1">
      <alignment horizontal="center"/>
    </xf>
    <xf numFmtId="0" fontId="27" fillId="6" borderId="0" xfId="0" applyFont="1" applyFill="1"/>
    <xf numFmtId="0" fontId="0" fillId="0" borderId="0" xfId="0" applyAlignment="1">
      <alignment horizontal="left" indent="1"/>
    </xf>
    <xf numFmtId="0" fontId="28" fillId="0" borderId="3" xfId="0" applyFont="1" applyBorder="1" applyAlignment="1">
      <alignment horizontal="center"/>
    </xf>
    <xf numFmtId="165" fontId="1" fillId="0" borderId="13" xfId="1" applyNumberFormat="1" applyFont="1" applyBorder="1"/>
    <xf numFmtId="165" fontId="28" fillId="0" borderId="3" xfId="1" applyNumberFormat="1" applyFont="1" applyBorder="1" applyAlignment="1"/>
    <xf numFmtId="165" fontId="5" fillId="0" borderId="14" xfId="0" applyNumberFormat="1" applyFont="1" applyBorder="1"/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0" fontId="26" fillId="0" borderId="2" xfId="0" applyNumberFormat="1" applyFont="1" applyBorder="1" applyAlignment="1">
      <alignment horizontal="center"/>
    </xf>
    <xf numFmtId="2" fontId="26" fillId="0" borderId="2" xfId="0" applyNumberFormat="1" applyFont="1" applyBorder="1" applyAlignment="1">
      <alignment horizontal="center"/>
    </xf>
    <xf numFmtId="9" fontId="16" fillId="0" borderId="0" xfId="2" applyFont="1" applyAlignment="1">
      <alignment horizontal="center"/>
    </xf>
    <xf numFmtId="0" fontId="1" fillId="0" borderId="0" xfId="3"/>
    <xf numFmtId="0" fontId="29" fillId="0" borderId="0" xfId="3" applyFont="1" applyAlignment="1">
      <alignment horizontal="left"/>
    </xf>
    <xf numFmtId="0" fontId="1" fillId="0" borderId="0" xfId="3" applyAlignment="1">
      <alignment horizontal="right"/>
    </xf>
    <xf numFmtId="170" fontId="1" fillId="0" borderId="0" xfId="3" applyNumberFormat="1" applyAlignment="1">
      <alignment horizontal="right"/>
    </xf>
    <xf numFmtId="0" fontId="1" fillId="0" borderId="0" xfId="3" applyAlignment="1">
      <alignment horizontal="left"/>
    </xf>
    <xf numFmtId="0" fontId="1" fillId="11" borderId="0" xfId="3" applyFill="1" applyAlignment="1">
      <alignment horizontal="right"/>
    </xf>
    <xf numFmtId="168" fontId="1" fillId="11" borderId="0" xfId="3" applyNumberFormat="1" applyFill="1" applyAlignment="1">
      <alignment horizontal="right"/>
    </xf>
    <xf numFmtId="0" fontId="1" fillId="11" borderId="0" xfId="3" applyFill="1" applyAlignment="1">
      <alignment horizontal="left"/>
    </xf>
    <xf numFmtId="171" fontId="1" fillId="11" borderId="0" xfId="3" applyNumberFormat="1" applyFill="1" applyAlignment="1">
      <alignment horizontal="right"/>
    </xf>
    <xf numFmtId="172" fontId="4" fillId="11" borderId="0" xfId="3" applyNumberFormat="1" applyFont="1" applyFill="1" applyAlignment="1">
      <alignment horizontal="right"/>
    </xf>
    <xf numFmtId="0" fontId="1" fillId="11" borderId="0" xfId="3" applyFill="1" applyAlignment="1">
      <alignment horizontal="left" indent="1"/>
    </xf>
    <xf numFmtId="0" fontId="30" fillId="0" borderId="0" xfId="3" applyFont="1" applyAlignment="1">
      <alignment horizontal="right"/>
    </xf>
    <xf numFmtId="172" fontId="30" fillId="0" borderId="0" xfId="3" applyNumberFormat="1" applyFont="1" applyAlignment="1">
      <alignment horizontal="right"/>
    </xf>
    <xf numFmtId="0" fontId="30" fillId="0" borderId="0" xfId="3" applyFont="1" applyAlignment="1">
      <alignment horizontal="left"/>
    </xf>
    <xf numFmtId="173" fontId="1" fillId="11" borderId="0" xfId="3" applyNumberFormat="1" applyFill="1" applyAlignment="1">
      <alignment horizontal="right"/>
    </xf>
    <xf numFmtId="174" fontId="1" fillId="11" borderId="0" xfId="3" applyNumberFormat="1" applyFill="1" applyAlignment="1">
      <alignment horizontal="right"/>
    </xf>
    <xf numFmtId="175" fontId="1" fillId="11" borderId="0" xfId="3" applyNumberFormat="1" applyFill="1" applyAlignment="1">
      <alignment horizontal="right"/>
    </xf>
    <xf numFmtId="176" fontId="1" fillId="11" borderId="0" xfId="3" applyNumberFormat="1" applyFill="1" applyAlignment="1">
      <alignment horizontal="right"/>
    </xf>
    <xf numFmtId="177" fontId="1" fillId="11" borderId="0" xfId="3" applyNumberFormat="1" applyFill="1" applyAlignment="1">
      <alignment horizontal="right"/>
    </xf>
    <xf numFmtId="171" fontId="1" fillId="0" borderId="0" xfId="3" applyNumberFormat="1" applyAlignment="1">
      <alignment horizontal="right"/>
    </xf>
    <xf numFmtId="178" fontId="1" fillId="0" borderId="0" xfId="3" applyNumberFormat="1" applyAlignment="1">
      <alignment horizontal="right"/>
    </xf>
    <xf numFmtId="174" fontId="1" fillId="0" borderId="0" xfId="3" applyNumberFormat="1" applyAlignment="1">
      <alignment horizontal="right"/>
    </xf>
    <xf numFmtId="175" fontId="1" fillId="0" borderId="0" xfId="3" applyNumberFormat="1" applyAlignment="1">
      <alignment horizontal="right"/>
    </xf>
    <xf numFmtId="176" fontId="1" fillId="0" borderId="0" xfId="3" applyNumberFormat="1" applyAlignment="1">
      <alignment horizontal="right"/>
    </xf>
    <xf numFmtId="177" fontId="1" fillId="0" borderId="0" xfId="3" applyNumberFormat="1" applyAlignment="1">
      <alignment horizontal="right"/>
    </xf>
    <xf numFmtId="0" fontId="1" fillId="0" borderId="0" xfId="3" applyAlignment="1">
      <alignment horizontal="left" indent="1"/>
    </xf>
    <xf numFmtId="178" fontId="1" fillId="11" borderId="0" xfId="3" applyNumberFormat="1" applyFill="1" applyAlignment="1">
      <alignment horizontal="right"/>
    </xf>
    <xf numFmtId="179" fontId="1" fillId="11" borderId="0" xfId="3" applyNumberFormat="1" applyFill="1" applyAlignment="1">
      <alignment horizontal="right"/>
    </xf>
    <xf numFmtId="180" fontId="1" fillId="0" borderId="0" xfId="3" applyNumberFormat="1" applyAlignment="1">
      <alignment horizontal="right"/>
    </xf>
    <xf numFmtId="181" fontId="1" fillId="11" borderId="0" xfId="3" applyNumberFormat="1" applyFill="1" applyAlignment="1">
      <alignment horizontal="right"/>
    </xf>
    <xf numFmtId="173" fontId="1" fillId="0" borderId="0" xfId="3" applyNumberFormat="1" applyAlignment="1">
      <alignment horizontal="right"/>
    </xf>
    <xf numFmtId="182" fontId="1" fillId="0" borderId="0" xfId="3" applyNumberFormat="1" applyAlignment="1">
      <alignment horizontal="right"/>
    </xf>
    <xf numFmtId="181" fontId="1" fillId="0" borderId="0" xfId="3" applyNumberFormat="1" applyAlignment="1">
      <alignment horizontal="right"/>
    </xf>
    <xf numFmtId="183" fontId="1" fillId="0" borderId="0" xfId="3" applyNumberFormat="1" applyAlignment="1">
      <alignment horizontal="right"/>
    </xf>
    <xf numFmtId="184" fontId="1" fillId="11" borderId="0" xfId="3" applyNumberFormat="1" applyFill="1" applyAlignment="1">
      <alignment horizontal="right"/>
    </xf>
    <xf numFmtId="185" fontId="1" fillId="0" borderId="0" xfId="3" applyNumberFormat="1" applyAlignment="1">
      <alignment horizontal="right"/>
    </xf>
    <xf numFmtId="186" fontId="1" fillId="11" borderId="0" xfId="3" applyNumberFormat="1" applyFill="1" applyAlignment="1">
      <alignment horizontal="right"/>
    </xf>
    <xf numFmtId="183" fontId="1" fillId="11" borderId="0" xfId="3" applyNumberFormat="1" applyFill="1" applyAlignment="1">
      <alignment horizontal="right"/>
    </xf>
    <xf numFmtId="186" fontId="1" fillId="0" borderId="0" xfId="3" applyNumberFormat="1" applyAlignment="1">
      <alignment horizontal="right"/>
    </xf>
    <xf numFmtId="187" fontId="1" fillId="11" borderId="0" xfId="3" applyNumberFormat="1" applyFill="1" applyAlignment="1">
      <alignment horizontal="right"/>
    </xf>
    <xf numFmtId="187" fontId="1" fillId="0" borderId="0" xfId="3" applyNumberFormat="1" applyAlignment="1">
      <alignment horizontal="right"/>
    </xf>
    <xf numFmtId="188" fontId="1" fillId="0" borderId="0" xfId="3" applyNumberFormat="1" applyAlignment="1">
      <alignment horizontal="right"/>
    </xf>
    <xf numFmtId="189" fontId="1" fillId="11" borderId="0" xfId="3" applyNumberFormat="1" applyFill="1" applyAlignment="1">
      <alignment horizontal="right"/>
    </xf>
    <xf numFmtId="190" fontId="1" fillId="0" borderId="0" xfId="3" applyNumberFormat="1" applyAlignment="1">
      <alignment horizontal="right"/>
    </xf>
    <xf numFmtId="189" fontId="1" fillId="0" borderId="0" xfId="3" applyNumberFormat="1" applyAlignment="1">
      <alignment horizontal="right"/>
    </xf>
    <xf numFmtId="182" fontId="1" fillId="11" borderId="0" xfId="3" applyNumberFormat="1" applyFill="1" applyAlignment="1">
      <alignment horizontal="right"/>
    </xf>
    <xf numFmtId="191" fontId="1" fillId="11" borderId="0" xfId="3" applyNumberFormat="1" applyFill="1" applyAlignment="1">
      <alignment horizontal="right"/>
    </xf>
    <xf numFmtId="192" fontId="1" fillId="11" borderId="0" xfId="3" applyNumberFormat="1" applyFill="1" applyAlignment="1">
      <alignment horizontal="right"/>
    </xf>
    <xf numFmtId="191" fontId="1" fillId="0" borderId="0" xfId="3" applyNumberFormat="1" applyAlignment="1">
      <alignment horizontal="right"/>
    </xf>
    <xf numFmtId="0" fontId="30" fillId="11" borderId="0" xfId="3" applyFont="1" applyFill="1" applyAlignment="1">
      <alignment horizontal="right"/>
    </xf>
    <xf numFmtId="193" fontId="30" fillId="11" borderId="0" xfId="3" applyNumberFormat="1" applyFont="1" applyFill="1" applyAlignment="1">
      <alignment horizontal="right"/>
    </xf>
    <xf numFmtId="0" fontId="30" fillId="11" borderId="0" xfId="3" applyFont="1" applyFill="1" applyAlignment="1">
      <alignment horizontal="left"/>
    </xf>
    <xf numFmtId="0" fontId="5" fillId="0" borderId="0" xfId="3" applyFont="1"/>
    <xf numFmtId="194" fontId="1" fillId="0" borderId="0" xfId="2" applyNumberFormat="1" applyFont="1"/>
    <xf numFmtId="10" fontId="16" fillId="0" borderId="2" xfId="0" applyNumberFormat="1" applyFont="1" applyBorder="1" applyAlignment="1">
      <alignment horizontal="center"/>
    </xf>
    <xf numFmtId="165" fontId="16" fillId="0" borderId="0" xfId="1" applyNumberFormat="1" applyFont="1" applyAlignment="1">
      <alignment horizontal="center"/>
    </xf>
    <xf numFmtId="0" fontId="15" fillId="10" borderId="4" xfId="0" applyFont="1" applyFill="1" applyBorder="1"/>
    <xf numFmtId="0" fontId="15" fillId="10" borderId="5" xfId="0" applyFont="1" applyFill="1" applyBorder="1"/>
    <xf numFmtId="10" fontId="15" fillId="10" borderId="6" xfId="2" applyNumberFormat="1" applyFont="1" applyFill="1" applyBorder="1"/>
    <xf numFmtId="165" fontId="5" fillId="10" borderId="11" xfId="0" applyNumberFormat="1" applyFont="1" applyFill="1" applyBorder="1"/>
    <xf numFmtId="165" fontId="5" fillId="10" borderId="12" xfId="0" applyNumberFormat="1" applyFont="1" applyFill="1" applyBorder="1"/>
    <xf numFmtId="165" fontId="19" fillId="0" borderId="0" xfId="1" applyNumberFormat="1" applyFont="1"/>
    <xf numFmtId="2" fontId="5" fillId="0" borderId="0" xfId="0" applyNumberFormat="1" applyFont="1" applyAlignment="1">
      <alignment horizontal="center"/>
    </xf>
    <xf numFmtId="169" fontId="22" fillId="0" borderId="2" xfId="2" applyNumberFormat="1" applyFont="1" applyBorder="1" applyAlignment="1">
      <alignment horizontal="center"/>
    </xf>
    <xf numFmtId="2" fontId="1" fillId="7" borderId="3" xfId="0" applyNumberFormat="1" applyFont="1" applyFill="1" applyBorder="1" applyAlignment="1">
      <alignment horizontal="center"/>
    </xf>
    <xf numFmtId="0" fontId="31" fillId="0" borderId="11" xfId="0" applyFont="1" applyBorder="1"/>
    <xf numFmtId="195" fontId="1" fillId="0" borderId="0" xfId="0" applyNumberFormat="1" applyFont="1" applyAlignment="1">
      <alignment horizontal="center"/>
    </xf>
    <xf numFmtId="169" fontId="26" fillId="0" borderId="2" xfId="0" applyNumberFormat="1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3" xr:uid="{D2A7E3A6-03F0-4540-9FE1-32902C4BF941}"/>
    <cellStyle name="Normal 2 2" xfId="4" xr:uid="{2FFBE8FA-5C82-4FA3-ACAC-1E6E534BC7B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AB0B-BD49-431A-B4C6-8E1C19941DC7}">
  <dimension ref="A1:P20"/>
  <sheetViews>
    <sheetView showGridLines="0" workbookViewId="0">
      <selection activeCell="F1" sqref="F1"/>
    </sheetView>
  </sheetViews>
  <sheetFormatPr defaultColWidth="0" defaultRowHeight="14.6" zeroHeight="1" x14ac:dyDescent="0.4"/>
  <cols>
    <col min="1" max="1" width="2.84375" customWidth="1"/>
    <col min="2" max="4" width="9.23046875" customWidth="1"/>
    <col min="5" max="5" width="10" bestFit="1" customWidth="1"/>
    <col min="6" max="6" width="9.23046875" customWidth="1"/>
    <col min="7" max="16" width="9.23046875" hidden="1" customWidth="1"/>
    <col min="17" max="16384" width="9.23046875" hidden="1"/>
  </cols>
  <sheetData>
    <row r="1" spans="1:16" s="38" customFormat="1" ht="5.05" customHeigh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s="38" customFormat="1" ht="25.3" x14ac:dyDescent="0.6">
      <c r="A2" s="37"/>
      <c r="B2" s="75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s="38" customFormat="1" ht="5.05" customHeight="1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x14ac:dyDescent="0.4">
      <c r="E4" s="34" t="s">
        <v>351</v>
      </c>
    </row>
    <row r="5" spans="1:16" x14ac:dyDescent="0.4">
      <c r="B5" t="s">
        <v>341</v>
      </c>
      <c r="E5" s="141">
        <f>Model!F13</f>
        <v>28298</v>
      </c>
    </row>
    <row r="6" spans="1:16" x14ac:dyDescent="0.4">
      <c r="B6" s="76" t="s">
        <v>346</v>
      </c>
      <c r="E6" s="82">
        <f>Model!F13/Model!F11</f>
        <v>1.4603301881341946E-2</v>
      </c>
    </row>
    <row r="7" spans="1:16" x14ac:dyDescent="0.4">
      <c r="B7" t="s">
        <v>342</v>
      </c>
      <c r="E7" s="140">
        <f>Debt!C33*0.01</f>
        <v>5.0568871622324742E-2</v>
      </c>
    </row>
    <row r="8" spans="1:16" x14ac:dyDescent="0.4">
      <c r="B8" t="s">
        <v>343</v>
      </c>
      <c r="E8" s="85">
        <f>live_tax</f>
        <v>0.2</v>
      </c>
    </row>
    <row r="9" spans="1:16" x14ac:dyDescent="0.4">
      <c r="E9" s="85"/>
    </row>
    <row r="10" spans="1:16" x14ac:dyDescent="0.4">
      <c r="E10" s="35">
        <v>45837</v>
      </c>
    </row>
    <row r="11" spans="1:16" x14ac:dyDescent="0.4">
      <c r="B11" t="s">
        <v>344</v>
      </c>
      <c r="E11" s="141">
        <f>Model!F11</f>
        <v>1937780.9368</v>
      </c>
      <c r="F11" s="35"/>
    </row>
    <row r="12" spans="1:16" x14ac:dyDescent="0.4">
      <c r="B12" s="76" t="s">
        <v>345</v>
      </c>
      <c r="E12" s="81">
        <f>1-E6</f>
        <v>0.98539669811865804</v>
      </c>
    </row>
    <row r="13" spans="1:16" x14ac:dyDescent="0.4">
      <c r="B13" t="s">
        <v>347</v>
      </c>
      <c r="E13" s="81">
        <f>E14+E15*E16</f>
        <v>9.7800999999999999E-2</v>
      </c>
    </row>
    <row r="14" spans="1:16" x14ac:dyDescent="0.4">
      <c r="B14" t="s">
        <v>348</v>
      </c>
      <c r="E14" s="83">
        <v>4.2810000000000001E-2</v>
      </c>
    </row>
    <row r="15" spans="1:16" x14ac:dyDescent="0.4">
      <c r="B15" t="s">
        <v>349</v>
      </c>
      <c r="E15" s="84">
        <v>1.27</v>
      </c>
    </row>
    <row r="16" spans="1:16" x14ac:dyDescent="0.4">
      <c r="B16" t="s">
        <v>350</v>
      </c>
      <c r="E16" s="83">
        <v>4.3299999999999998E-2</v>
      </c>
    </row>
    <row r="17" spans="2:5" x14ac:dyDescent="0.4"/>
    <row r="18" spans="2:5" x14ac:dyDescent="0.4">
      <c r="B18" s="142" t="s">
        <v>340</v>
      </c>
      <c r="C18" s="143"/>
      <c r="D18" s="143"/>
      <c r="E18" s="144">
        <f>E6*E7*(1-E8)+E13*E12</f>
        <v>9.6963560471182583E-2</v>
      </c>
    </row>
    <row r="19" spans="2:5" x14ac:dyDescent="0.4"/>
    <row r="20" spans="2:5" x14ac:dyDescent="0.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13"/>
  <sheetViews>
    <sheetView showGridLines="0" tabSelected="1" workbookViewId="0">
      <selection activeCell="C13" sqref="C13"/>
    </sheetView>
  </sheetViews>
  <sheetFormatPr defaultColWidth="0" defaultRowHeight="12.45" zeroHeight="1" x14ac:dyDescent="0.3"/>
  <cols>
    <col min="1" max="1" width="2.84375" style="38" customWidth="1"/>
    <col min="2" max="2" width="11.3046875" style="38" bestFit="1" customWidth="1"/>
    <col min="3" max="4" width="9.23046875" style="38" customWidth="1"/>
    <col min="5" max="14" width="10.69140625" style="38" customWidth="1"/>
    <col min="15" max="16" width="9.23046875" style="38" customWidth="1"/>
    <col min="17" max="36" width="9.23046875" style="38" hidden="1" customWidth="1"/>
    <col min="37" max="16384" width="9.23046875" style="38" hidden="1"/>
  </cols>
  <sheetData>
    <row r="1" spans="1:16" ht="5.05" customHeigh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25.3" x14ac:dyDescent="0.6">
      <c r="A2" s="37"/>
      <c r="B2" s="75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ht="5.05" customHeight="1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ht="5.05" customHeight="1" x14ac:dyDescent="0.3"/>
    <row r="5" spans="1:16" x14ac:dyDescent="0.3">
      <c r="A5" s="39">
        <v>1</v>
      </c>
      <c r="B5" s="39" t="s">
        <v>325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ht="5.05" customHeight="1" x14ac:dyDescent="0.3"/>
    <row r="7" spans="1:16" ht="15" customHeight="1" x14ac:dyDescent="0.3">
      <c r="E7" s="151" t="s">
        <v>118</v>
      </c>
      <c r="F7" s="151"/>
      <c r="H7" s="151" t="s">
        <v>433</v>
      </c>
      <c r="I7" s="151"/>
    </row>
    <row r="8" spans="1:16" ht="5.05" customHeight="1" x14ac:dyDescent="0.3"/>
    <row r="9" spans="1:16" x14ac:dyDescent="0.3">
      <c r="B9" s="40" t="s">
        <v>302</v>
      </c>
      <c r="C9" s="68" t="s">
        <v>303</v>
      </c>
      <c r="E9" s="38" t="s">
        <v>352</v>
      </c>
      <c r="F9" s="77">
        <v>733.63</v>
      </c>
      <c r="H9" s="38" t="s">
        <v>431</v>
      </c>
      <c r="I9" s="150">
        <f>N110</f>
        <v>444.83442661069512</v>
      </c>
    </row>
    <row r="10" spans="1:16" ht="12.9" x14ac:dyDescent="0.35">
      <c r="B10" s="40" t="s">
        <v>304</v>
      </c>
      <c r="C10" s="69">
        <f ca="1">TODAY()</f>
        <v>45837</v>
      </c>
      <c r="E10" s="38" t="s">
        <v>353</v>
      </c>
      <c r="F10" s="77">
        <v>2641.36</v>
      </c>
      <c r="H10" s="46" t="s">
        <v>432</v>
      </c>
      <c r="I10" s="47">
        <f>I9/F9-1</f>
        <v>-0.39365289504151257</v>
      </c>
    </row>
    <row r="11" spans="1:16" x14ac:dyDescent="0.3">
      <c r="B11" s="38" t="s">
        <v>305</v>
      </c>
      <c r="C11" s="68">
        <v>2024</v>
      </c>
      <c r="E11" s="38" t="s">
        <v>354</v>
      </c>
      <c r="F11" s="78">
        <f>F9*F10</f>
        <v>1937780.9368</v>
      </c>
      <c r="H11" s="38" t="s">
        <v>434</v>
      </c>
      <c r="I11" s="152">
        <f>F11/J100</f>
        <v>67.701667947810236</v>
      </c>
    </row>
    <row r="12" spans="1:16" x14ac:dyDescent="0.3">
      <c r="B12" s="38" t="s">
        <v>326</v>
      </c>
      <c r="C12" s="68">
        <v>2</v>
      </c>
      <c r="E12" s="38" t="s">
        <v>355</v>
      </c>
      <c r="F12" s="79">
        <v>70301</v>
      </c>
    </row>
    <row r="13" spans="1:16" ht="14.6" x14ac:dyDescent="0.4">
      <c r="C13"/>
      <c r="E13" s="38" t="s">
        <v>341</v>
      </c>
      <c r="F13" s="79">
        <f>28298</f>
        <v>28298</v>
      </c>
    </row>
    <row r="14" spans="1:16" ht="14.6" x14ac:dyDescent="0.4">
      <c r="C14"/>
      <c r="E14" s="50" t="s">
        <v>356</v>
      </c>
      <c r="F14" s="80">
        <f>F11-F12+F13</f>
        <v>1895777.9368</v>
      </c>
    </row>
    <row r="15" spans="1:16" ht="14.6" x14ac:dyDescent="0.4">
      <c r="C15"/>
    </row>
    <row r="16" spans="1:16" x14ac:dyDescent="0.3">
      <c r="B16" s="39" t="s">
        <v>336</v>
      </c>
      <c r="C16" s="39"/>
      <c r="E16" s="39" t="s">
        <v>328</v>
      </c>
      <c r="F16" s="39"/>
      <c r="H16" s="39" t="s">
        <v>329</v>
      </c>
      <c r="I16" s="39"/>
      <c r="K16" s="39" t="s">
        <v>331</v>
      </c>
      <c r="L16" s="39"/>
    </row>
    <row r="17" spans="1:16" ht="14.6" x14ac:dyDescent="0.4">
      <c r="B17" s="50" t="s">
        <v>337</v>
      </c>
      <c r="C17" s="70">
        <f>live_case</f>
        <v>2</v>
      </c>
      <c r="D17" s="50"/>
      <c r="E17" s="50" t="s">
        <v>337</v>
      </c>
      <c r="F17" s="71">
        <v>1</v>
      </c>
      <c r="G17" s="72"/>
      <c r="H17" s="50" t="s">
        <v>337</v>
      </c>
      <c r="I17" s="71">
        <v>2</v>
      </c>
      <c r="J17" s="72"/>
      <c r="K17" s="50" t="s">
        <v>337</v>
      </c>
      <c r="L17" s="71">
        <v>3</v>
      </c>
    </row>
    <row r="18" spans="1:16" ht="14.6" x14ac:dyDescent="0.4">
      <c r="B18" s="38" t="s">
        <v>340</v>
      </c>
      <c r="C18" s="74">
        <f>CHOOSE($C$17,F18,I18,L18)</f>
        <v>9.69E-2</v>
      </c>
      <c r="E18" s="38" t="s">
        <v>340</v>
      </c>
      <c r="F18" s="73">
        <v>0.12</v>
      </c>
      <c r="H18" s="38" t="s">
        <v>340</v>
      </c>
      <c r="I18" s="153">
        <v>9.69E-2</v>
      </c>
      <c r="K18" s="38" t="s">
        <v>340</v>
      </c>
      <c r="L18" s="73">
        <v>0.09</v>
      </c>
    </row>
    <row r="19" spans="1:16" ht="14.6" x14ac:dyDescent="0.4">
      <c r="B19" s="38" t="s">
        <v>339</v>
      </c>
      <c r="C19" s="74">
        <f>CHOOSE($C$17,F19,I19,L19)</f>
        <v>0.04</v>
      </c>
      <c r="E19" s="38" t="s">
        <v>339</v>
      </c>
      <c r="F19" s="73">
        <v>0.04</v>
      </c>
      <c r="H19" s="38" t="s">
        <v>339</v>
      </c>
      <c r="I19" s="73">
        <v>0.04</v>
      </c>
      <c r="K19" s="38" t="s">
        <v>339</v>
      </c>
      <c r="L19" s="73">
        <v>0.05</v>
      </c>
    </row>
    <row r="20" spans="1:16" ht="14.6" x14ac:dyDescent="0.4">
      <c r="B20" s="38" t="s">
        <v>338</v>
      </c>
      <c r="C20" s="74">
        <f>CHOOSE($C$17,F20,I20,L20)</f>
        <v>0.2</v>
      </c>
      <c r="E20" s="38" t="s">
        <v>338</v>
      </c>
      <c r="F20" s="73">
        <v>0.3</v>
      </c>
      <c r="H20" s="38" t="s">
        <v>338</v>
      </c>
      <c r="I20" s="73">
        <v>0.2</v>
      </c>
      <c r="K20" s="38" t="s">
        <v>338</v>
      </c>
      <c r="L20" s="73">
        <v>0.19</v>
      </c>
    </row>
    <row r="21" spans="1:16" ht="14.6" x14ac:dyDescent="0.4">
      <c r="C21"/>
    </row>
    <row r="22" spans="1:16" ht="14.6" x14ac:dyDescent="0.4">
      <c r="C22"/>
    </row>
    <row r="23" spans="1:16" ht="14.6" x14ac:dyDescent="0.4">
      <c r="C23"/>
    </row>
    <row r="24" spans="1:16" ht="14.6" x14ac:dyDescent="0.4">
      <c r="C24"/>
    </row>
    <row r="25" spans="1:16" ht="14.6" x14ac:dyDescent="0.4">
      <c r="C25"/>
    </row>
    <row r="26" spans="1:16" x14ac:dyDescent="0.3"/>
    <row r="27" spans="1:16" x14ac:dyDescent="0.3">
      <c r="A27" s="39">
        <v>2</v>
      </c>
      <c r="B27" s="39" t="s">
        <v>11</v>
      </c>
      <c r="C27" s="39"/>
      <c r="D27" s="39" t="s">
        <v>306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5.05" customHeight="1" x14ac:dyDescent="0.3">
      <c r="J28" s="38">
        <v>1</v>
      </c>
      <c r="K28" s="38">
        <v>2</v>
      </c>
      <c r="L28" s="38">
        <v>3</v>
      </c>
      <c r="M28" s="38">
        <v>4</v>
      </c>
      <c r="N28" s="38">
        <v>5</v>
      </c>
    </row>
    <row r="29" spans="1:16" x14ac:dyDescent="0.3">
      <c r="B29" s="41" t="s">
        <v>308</v>
      </c>
      <c r="C29" s="42"/>
      <c r="D29" s="42"/>
      <c r="E29" s="43">
        <f t="shared" ref="E29:G29" si="0">F29-1</f>
        <v>2020</v>
      </c>
      <c r="F29" s="43">
        <f t="shared" si="0"/>
        <v>2021</v>
      </c>
      <c r="G29" s="43">
        <f t="shared" si="0"/>
        <v>2022</v>
      </c>
      <c r="H29" s="43">
        <f>I29-1</f>
        <v>2023</v>
      </c>
      <c r="I29" s="43">
        <f>current_year</f>
        <v>2024</v>
      </c>
      <c r="J29" s="44">
        <f>I29+1</f>
        <v>2025</v>
      </c>
      <c r="K29" s="44">
        <f t="shared" ref="K29:N29" si="1">J29+1</f>
        <v>2026</v>
      </c>
      <c r="L29" s="44">
        <f t="shared" si="1"/>
        <v>2027</v>
      </c>
      <c r="M29" s="44">
        <f t="shared" si="1"/>
        <v>2028</v>
      </c>
      <c r="N29" s="44">
        <f t="shared" si="1"/>
        <v>2029</v>
      </c>
    </row>
    <row r="30" spans="1:16" x14ac:dyDescent="0.3">
      <c r="B30" s="38" t="s">
        <v>307</v>
      </c>
      <c r="E30" s="45">
        <f>'Income Statement_Static'!H11</f>
        <v>85965</v>
      </c>
      <c r="F30" s="45">
        <f>'Income Statement_Static'!I11</f>
        <v>117929</v>
      </c>
      <c r="G30" s="45">
        <f>'Income Statement_Static'!J11</f>
        <v>116609</v>
      </c>
      <c r="H30" s="45">
        <f>'Income Statement_Static'!K11</f>
        <v>134902</v>
      </c>
      <c r="I30" s="45">
        <f>'Income Statement_Static'!L11</f>
        <v>164501</v>
      </c>
    </row>
    <row r="31" spans="1:16" ht="12.9" x14ac:dyDescent="0.35">
      <c r="B31" s="46" t="s">
        <v>309</v>
      </c>
      <c r="F31" s="47">
        <f>F30/E30-1</f>
        <v>0.37182574303495608</v>
      </c>
      <c r="G31" s="47">
        <f t="shared" ref="G31:I31" si="2">G30/F30-1</f>
        <v>-1.1193175554782941E-2</v>
      </c>
      <c r="H31" s="47">
        <f t="shared" si="2"/>
        <v>0.15687468377226454</v>
      </c>
      <c r="I31" s="47">
        <f t="shared" si="2"/>
        <v>0.21941112807816054</v>
      </c>
    </row>
    <row r="32" spans="1:16" ht="5.05" customHeight="1" x14ac:dyDescent="0.3"/>
    <row r="33" spans="2:9" x14ac:dyDescent="0.3">
      <c r="B33" s="38" t="s">
        <v>310</v>
      </c>
      <c r="E33" s="45">
        <f>'Income Statement_Static'!H12</f>
        <v>16692</v>
      </c>
      <c r="F33" s="45">
        <f>'Income Statement_Static'!I12</f>
        <v>22649</v>
      </c>
      <c r="G33" s="45">
        <f>'Income Statement_Static'!J12</f>
        <v>23754</v>
      </c>
      <c r="H33" s="45">
        <f>'Income Statement_Static'!K12</f>
        <v>26006</v>
      </c>
      <c r="I33" s="45">
        <f>'Income Statement_Static'!L12</f>
        <v>30130</v>
      </c>
    </row>
    <row r="34" spans="2:9" ht="12.9" x14ac:dyDescent="0.35">
      <c r="B34" s="46" t="s">
        <v>311</v>
      </c>
      <c r="E34" s="47">
        <f>E33/E30</f>
        <v>0.19417204676321759</v>
      </c>
      <c r="F34" s="47">
        <f t="shared" ref="F34:I34" si="3">F33/F30</f>
        <v>0.19205623722748433</v>
      </c>
      <c r="G34" s="47">
        <f t="shared" si="3"/>
        <v>0.20370640345084856</v>
      </c>
      <c r="H34" s="47">
        <f t="shared" si="3"/>
        <v>0.19277697884390149</v>
      </c>
      <c r="I34" s="47">
        <f t="shared" si="3"/>
        <v>0.18315998079039034</v>
      </c>
    </row>
    <row r="35" spans="2:9" ht="5.05" customHeight="1" x14ac:dyDescent="0.3"/>
    <row r="36" spans="2:9" x14ac:dyDescent="0.3">
      <c r="B36" s="38" t="s">
        <v>312</v>
      </c>
      <c r="E36" s="48">
        <f>E30-E33</f>
        <v>69273</v>
      </c>
      <c r="F36" s="48">
        <f t="shared" ref="F36:I36" si="4">F30-F33</f>
        <v>95280</v>
      </c>
      <c r="G36" s="48">
        <f t="shared" si="4"/>
        <v>92855</v>
      </c>
      <c r="H36" s="48">
        <f t="shared" si="4"/>
        <v>108896</v>
      </c>
      <c r="I36" s="48">
        <f t="shared" si="4"/>
        <v>134371</v>
      </c>
    </row>
    <row r="37" spans="2:9" ht="12.9" x14ac:dyDescent="0.35">
      <c r="B37" s="38" t="s">
        <v>315</v>
      </c>
      <c r="E37" s="47">
        <f>E36/E30</f>
        <v>0.80582795323678236</v>
      </c>
      <c r="F37" s="47">
        <f t="shared" ref="F37:I37" si="5">F36/F30</f>
        <v>0.80794376277251567</v>
      </c>
      <c r="G37" s="47">
        <f t="shared" si="5"/>
        <v>0.79629359654915144</v>
      </c>
      <c r="H37" s="47">
        <f t="shared" si="5"/>
        <v>0.80722302115609845</v>
      </c>
      <c r="I37" s="47">
        <f t="shared" si="5"/>
        <v>0.81684001920960969</v>
      </c>
    </row>
    <row r="38" spans="2:9" ht="5.05" customHeight="1" x14ac:dyDescent="0.3"/>
    <row r="39" spans="2:9" x14ac:dyDescent="0.3">
      <c r="B39" s="38" t="s">
        <v>314</v>
      </c>
      <c r="E39" s="45">
        <f>'Income Statement_Static'!H18</f>
        <v>36602</v>
      </c>
      <c r="F39" s="45">
        <f>'Income Statement_Static'!I18</f>
        <v>48527</v>
      </c>
      <c r="G39" s="45">
        <f>'Income Statement_Static'!J18</f>
        <v>59300</v>
      </c>
      <c r="H39" s="45">
        <f>'Income Statement_Static'!K18</f>
        <v>58693</v>
      </c>
      <c r="I39" s="45">
        <f>'Income Statement_Static'!L18</f>
        <v>64602</v>
      </c>
    </row>
    <row r="40" spans="2:9" ht="12.9" x14ac:dyDescent="0.35">
      <c r="B40" s="38" t="s">
        <v>315</v>
      </c>
      <c r="E40" s="47">
        <f>E39/E30</f>
        <v>0.42577793287966031</v>
      </c>
      <c r="F40" s="47">
        <f t="shared" ref="F40:I40" si="6">F39/F30</f>
        <v>0.41149335617193394</v>
      </c>
      <c r="G40" s="47">
        <f t="shared" si="6"/>
        <v>0.50853707689800953</v>
      </c>
      <c r="H40" s="47">
        <f t="shared" si="6"/>
        <v>0.43507879794220988</v>
      </c>
      <c r="I40" s="47">
        <f t="shared" si="6"/>
        <v>0.39271493790311307</v>
      </c>
    </row>
    <row r="41" spans="2:9" ht="5.05" customHeight="1" x14ac:dyDescent="0.3"/>
    <row r="42" spans="2:9" x14ac:dyDescent="0.3">
      <c r="B42" s="38" t="s">
        <v>75</v>
      </c>
      <c r="E42" s="49">
        <f>E36-E39</f>
        <v>32671</v>
      </c>
      <c r="F42" s="49">
        <f t="shared" ref="F42:I42" si="7">F36-F39</f>
        <v>46753</v>
      </c>
      <c r="G42" s="49">
        <f t="shared" si="7"/>
        <v>33555</v>
      </c>
      <c r="H42" s="49">
        <f t="shared" si="7"/>
        <v>50203</v>
      </c>
      <c r="I42" s="49">
        <f t="shared" si="7"/>
        <v>69769</v>
      </c>
    </row>
    <row r="43" spans="2:9" ht="12.9" x14ac:dyDescent="0.35">
      <c r="B43" s="38" t="s">
        <v>315</v>
      </c>
      <c r="E43" s="47">
        <f>E42/E30</f>
        <v>0.3800500203571221</v>
      </c>
      <c r="F43" s="47">
        <f t="shared" ref="F43:I43" si="8">F42/F30</f>
        <v>0.39645040660058173</v>
      </c>
      <c r="G43" s="47">
        <f t="shared" si="8"/>
        <v>0.28775651965114185</v>
      </c>
      <c r="H43" s="47">
        <f t="shared" si="8"/>
        <v>0.37214422321388863</v>
      </c>
      <c r="I43" s="47">
        <f t="shared" si="8"/>
        <v>0.42412508130649662</v>
      </c>
    </row>
    <row r="44" spans="2:9" ht="5.05" customHeight="1" x14ac:dyDescent="0.3"/>
    <row r="45" spans="2:9" x14ac:dyDescent="0.3">
      <c r="B45" s="38" t="s">
        <v>317</v>
      </c>
      <c r="E45" s="45">
        <f>'Income Statement_Static'!H50</f>
        <v>4034</v>
      </c>
      <c r="F45" s="45">
        <f>'Income Statement_Static'!I50</f>
        <v>7914</v>
      </c>
      <c r="G45" s="45">
        <f>'Income Statement_Static'!J50</f>
        <v>5619</v>
      </c>
      <c r="H45" s="45">
        <f>'Income Statement_Static'!K50</f>
        <v>8330</v>
      </c>
      <c r="I45" s="45">
        <f>'Income Statement_Static'!L50</f>
        <v>8303</v>
      </c>
    </row>
    <row r="46" spans="2:9" ht="12.9" x14ac:dyDescent="0.35">
      <c r="B46" s="38" t="s">
        <v>315</v>
      </c>
      <c r="E46" s="47">
        <f>E45/E30</f>
        <v>4.6926074565230035E-2</v>
      </c>
      <c r="F46" s="47">
        <f>F45/F30</f>
        <v>6.7108175257994215E-2</v>
      </c>
      <c r="G46" s="47">
        <f>G45/G30</f>
        <v>4.8186675127991838E-2</v>
      </c>
      <c r="H46" s="47">
        <f>H45/H30</f>
        <v>6.1748528561474253E-2</v>
      </c>
      <c r="I46" s="47">
        <f>I45/I30</f>
        <v>5.0473857301779321E-2</v>
      </c>
    </row>
    <row r="47" spans="2:9" ht="5.05" customHeight="1" x14ac:dyDescent="0.3"/>
    <row r="48" spans="2:9" x14ac:dyDescent="0.3">
      <c r="B48" s="50" t="s">
        <v>318</v>
      </c>
      <c r="C48" s="50"/>
      <c r="D48" s="50"/>
      <c r="E48" s="51">
        <f>E42-E45</f>
        <v>28637</v>
      </c>
      <c r="F48" s="51">
        <f t="shared" ref="F48:I48" si="9">F42-F45</f>
        <v>38839</v>
      </c>
      <c r="G48" s="51">
        <f t="shared" si="9"/>
        <v>27936</v>
      </c>
      <c r="H48" s="51">
        <f t="shared" si="9"/>
        <v>41873</v>
      </c>
      <c r="I48" s="51">
        <f t="shared" si="9"/>
        <v>61466</v>
      </c>
    </row>
    <row r="49" spans="1:16" ht="12.9" x14ac:dyDescent="0.35">
      <c r="B49" s="38" t="s">
        <v>309</v>
      </c>
      <c r="F49" s="47">
        <f>F48/E48-1</f>
        <v>0.35625240074030096</v>
      </c>
      <c r="G49" s="47">
        <f t="shared" ref="G49:I49" si="10">G48/F48-1</f>
        <v>-0.28072298462885248</v>
      </c>
      <c r="H49" s="47">
        <f t="shared" si="10"/>
        <v>0.49889032073310413</v>
      </c>
      <c r="I49" s="47">
        <f t="shared" si="10"/>
        <v>0.46791488548706806</v>
      </c>
    </row>
    <row r="50" spans="1:16" ht="5.05" customHeight="1" x14ac:dyDescent="0.3"/>
    <row r="51" spans="1:16" x14ac:dyDescent="0.3">
      <c r="A51" s="39">
        <v>2</v>
      </c>
      <c r="B51" s="39" t="s">
        <v>319</v>
      </c>
      <c r="C51" s="39"/>
      <c r="D51" s="39" t="s">
        <v>306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5.05" customHeight="1" x14ac:dyDescent="0.3"/>
    <row r="53" spans="1:16" x14ac:dyDescent="0.3">
      <c r="B53" s="41" t="s">
        <v>308</v>
      </c>
      <c r="C53" s="42"/>
      <c r="D53" s="42"/>
      <c r="E53" s="43">
        <f t="shared" ref="E53:G53" si="11">F53-1</f>
        <v>2020</v>
      </c>
      <c r="F53" s="43">
        <f t="shared" si="11"/>
        <v>2021</v>
      </c>
      <c r="G53" s="43">
        <f t="shared" si="11"/>
        <v>2022</v>
      </c>
      <c r="H53" s="43">
        <f>I53-1</f>
        <v>2023</v>
      </c>
      <c r="I53" s="43">
        <f>current_year</f>
        <v>2024</v>
      </c>
      <c r="J53" s="44">
        <f>I53+1</f>
        <v>2025</v>
      </c>
      <c r="K53" s="44">
        <f t="shared" ref="K53:N53" si="12">J53+1</f>
        <v>2026</v>
      </c>
      <c r="L53" s="44">
        <f t="shared" si="12"/>
        <v>2027</v>
      </c>
      <c r="M53" s="44">
        <f t="shared" si="12"/>
        <v>2028</v>
      </c>
      <c r="N53" s="44">
        <f t="shared" si="12"/>
        <v>2029</v>
      </c>
    </row>
    <row r="54" spans="1:16" x14ac:dyDescent="0.3">
      <c r="B54" s="38" t="s">
        <v>318</v>
      </c>
      <c r="E54" s="45">
        <f>E48</f>
        <v>28637</v>
      </c>
      <c r="F54" s="45">
        <f t="shared" ref="F54:I54" si="13">F48</f>
        <v>38839</v>
      </c>
      <c r="G54" s="45">
        <f t="shared" si="13"/>
        <v>27936</v>
      </c>
      <c r="H54" s="45">
        <f t="shared" si="13"/>
        <v>41873</v>
      </c>
      <c r="I54" s="45">
        <f t="shared" si="13"/>
        <v>61466</v>
      </c>
    </row>
    <row r="55" spans="1:16" ht="5.05" customHeight="1" x14ac:dyDescent="0.3"/>
    <row r="56" spans="1:16" x14ac:dyDescent="0.3">
      <c r="B56" s="38" t="s">
        <v>316</v>
      </c>
      <c r="E56" s="45">
        <f>'Income Statement_Static'!H14</f>
        <v>6862</v>
      </c>
      <c r="F56" s="45">
        <f>'Income Statement_Static'!I14</f>
        <v>7967</v>
      </c>
      <c r="G56" s="45">
        <f>'Income Statement_Static'!J14</f>
        <v>8686</v>
      </c>
      <c r="H56" s="45">
        <f>'Income Statement_Static'!K14</f>
        <v>11178</v>
      </c>
      <c r="I56" s="45">
        <f>'Income Statement_Static'!L14</f>
        <v>15498</v>
      </c>
    </row>
    <row r="57" spans="1:16" ht="12.9" x14ac:dyDescent="0.35">
      <c r="B57" s="46" t="s">
        <v>324</v>
      </c>
      <c r="E57" s="47">
        <f>E56/-E65</f>
        <v>0.45398610651670523</v>
      </c>
      <c r="F57" s="47">
        <f t="shared" ref="F57:I57" si="14">F56/-F65</f>
        <v>0.42909463025798461</v>
      </c>
      <c r="G57" s="47">
        <f t="shared" si="14"/>
        <v>0.27635137284846173</v>
      </c>
      <c r="H57" s="47">
        <f t="shared" si="14"/>
        <v>0.40996112374385679</v>
      </c>
      <c r="I57" s="47">
        <f t="shared" si="14"/>
        <v>0.41598668670818123</v>
      </c>
    </row>
    <row r="58" spans="1:16" ht="5.05" customHeight="1" x14ac:dyDescent="0.3"/>
    <row r="59" spans="1:16" x14ac:dyDescent="0.3">
      <c r="B59" s="38" t="s">
        <v>162</v>
      </c>
      <c r="E59" s="45">
        <f>'Cash Flow_Static'!H16</f>
        <v>-1192</v>
      </c>
      <c r="F59" s="45">
        <f>'Cash Flow_Static'!I16</f>
        <v>609</v>
      </c>
      <c r="G59" s="45">
        <f>'Cash Flow_Static'!J16</f>
        <v>-3286</v>
      </c>
      <c r="H59" s="45">
        <f>'Cash Flow_Static'!K16</f>
        <v>131</v>
      </c>
      <c r="I59" s="45">
        <f>'Cash Flow_Static'!L16</f>
        <v>-4738</v>
      </c>
    </row>
    <row r="60" spans="1:16" x14ac:dyDescent="0.3">
      <c r="B60" s="38" t="s">
        <v>320</v>
      </c>
    </row>
    <row r="61" spans="1:16" ht="5.05" customHeight="1" x14ac:dyDescent="0.3"/>
    <row r="62" spans="1:16" x14ac:dyDescent="0.3">
      <c r="B62" s="38" t="s">
        <v>321</v>
      </c>
      <c r="E62" s="45">
        <f>'Cash Flow_Static'!H22</f>
        <v>-2723</v>
      </c>
      <c r="F62" s="45">
        <f>'Cash Flow_Static'!I22</f>
        <v>700</v>
      </c>
      <c r="G62" s="45">
        <f>'Cash Flow_Static'!J22</f>
        <v>5683</v>
      </c>
      <c r="H62" s="45">
        <f>'Cash Flow_Static'!K22</f>
        <v>3836</v>
      </c>
      <c r="I62" s="45">
        <f>'Cash Flow_Static'!L22</f>
        <v>1048</v>
      </c>
    </row>
    <row r="63" spans="1:16" ht="12.9" x14ac:dyDescent="0.35">
      <c r="B63" s="46" t="s">
        <v>322</v>
      </c>
      <c r="E63" s="47">
        <f>ABS(E62)/E30</f>
        <v>3.167568196358983E-2</v>
      </c>
      <c r="F63" s="47">
        <f t="shared" ref="F63:I63" si="15">ABS(F62)/F30</f>
        <v>5.9357749154152076E-3</v>
      </c>
      <c r="G63" s="47">
        <f t="shared" si="15"/>
        <v>4.8735517841676027E-2</v>
      </c>
      <c r="H63" s="47">
        <f t="shared" si="15"/>
        <v>2.8435456850157893E-2</v>
      </c>
      <c r="I63" s="47">
        <f t="shared" si="15"/>
        <v>6.3707819405353161E-3</v>
      </c>
    </row>
    <row r="64" spans="1:16" ht="5.05" customHeight="1" x14ac:dyDescent="0.3"/>
    <row r="65" spans="1:16" x14ac:dyDescent="0.3">
      <c r="B65" s="38" t="s">
        <v>323</v>
      </c>
      <c r="E65" s="45">
        <f>'Cash Flow_Static'!H31</f>
        <v>-15115</v>
      </c>
      <c r="F65" s="45">
        <f>'Cash Flow_Static'!I31</f>
        <v>-18567</v>
      </c>
      <c r="G65" s="45">
        <f>'Cash Flow_Static'!J31</f>
        <v>-31431</v>
      </c>
      <c r="H65" s="45">
        <f>'Cash Flow_Static'!K31</f>
        <v>-27266</v>
      </c>
      <c r="I65" s="45">
        <f>'Cash Flow_Static'!L31</f>
        <v>-37256</v>
      </c>
    </row>
    <row r="66" spans="1:16" ht="12.9" x14ac:dyDescent="0.35">
      <c r="B66" s="46" t="s">
        <v>315</v>
      </c>
      <c r="E66" s="47">
        <f>-E65/E30</f>
        <v>0.17582737160472287</v>
      </c>
      <c r="F66" s="47">
        <f t="shared" ref="F66:I66" si="16">-F65/F30</f>
        <v>0.15744218979216307</v>
      </c>
      <c r="G66" s="47">
        <f t="shared" si="16"/>
        <v>0.26954180209074774</v>
      </c>
      <c r="H66" s="47">
        <f t="shared" si="16"/>
        <v>0.20211709240782197</v>
      </c>
      <c r="I66" s="47">
        <f t="shared" si="16"/>
        <v>0.22647886638986997</v>
      </c>
    </row>
    <row r="67" spans="1:16" ht="5.05" customHeight="1" x14ac:dyDescent="0.3"/>
    <row r="68" spans="1:16" x14ac:dyDescent="0.3">
      <c r="A68" s="39">
        <v>3</v>
      </c>
      <c r="B68" s="39" t="s">
        <v>327</v>
      </c>
      <c r="C68" s="39"/>
      <c r="D68" s="39" t="s">
        <v>306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5.05" customHeight="1" x14ac:dyDescent="0.3">
      <c r="J69" s="38">
        <v>1</v>
      </c>
      <c r="K69" s="38">
        <f>+J69+1</f>
        <v>2</v>
      </c>
      <c r="L69" s="38">
        <f t="shared" ref="L69:N69" si="17">+K69+1</f>
        <v>3</v>
      </c>
      <c r="M69" s="38">
        <f t="shared" si="17"/>
        <v>4</v>
      </c>
      <c r="N69" s="38">
        <f t="shared" si="17"/>
        <v>5</v>
      </c>
    </row>
    <row r="70" spans="1:16" x14ac:dyDescent="0.3">
      <c r="B70" s="41" t="s">
        <v>308</v>
      </c>
      <c r="C70" s="42"/>
      <c r="D70" s="42"/>
      <c r="E70" s="43">
        <f t="shared" ref="E70:G70" si="18">F70-1</f>
        <v>2020</v>
      </c>
      <c r="F70" s="43">
        <f t="shared" si="18"/>
        <v>2021</v>
      </c>
      <c r="G70" s="43">
        <f t="shared" si="18"/>
        <v>2022</v>
      </c>
      <c r="H70" s="43">
        <f>I70-1</f>
        <v>2023</v>
      </c>
      <c r="I70" s="43">
        <f>current_year</f>
        <v>2024</v>
      </c>
      <c r="J70" s="44">
        <f>I70+1</f>
        <v>2025</v>
      </c>
      <c r="K70" s="44">
        <f t="shared" ref="K70:N70" si="19">J70+1</f>
        <v>2026</v>
      </c>
      <c r="L70" s="44">
        <f t="shared" si="19"/>
        <v>2027</v>
      </c>
      <c r="M70" s="44">
        <f t="shared" si="19"/>
        <v>2028</v>
      </c>
      <c r="N70" s="44">
        <f t="shared" si="19"/>
        <v>2029</v>
      </c>
    </row>
    <row r="71" spans="1:16" x14ac:dyDescent="0.3">
      <c r="B71" s="38" t="s">
        <v>307</v>
      </c>
      <c r="E71" s="53">
        <f>E30</f>
        <v>85965</v>
      </c>
      <c r="F71" s="53">
        <f t="shared" ref="F71:I71" si="20">F30</f>
        <v>117929</v>
      </c>
      <c r="G71" s="53">
        <f t="shared" si="20"/>
        <v>116609</v>
      </c>
      <c r="H71" s="53">
        <f t="shared" si="20"/>
        <v>134902</v>
      </c>
      <c r="I71" s="53">
        <f t="shared" si="20"/>
        <v>164501</v>
      </c>
      <c r="J71" s="52">
        <f>I71*(1+J72)</f>
        <v>189176.15</v>
      </c>
      <c r="K71" s="52">
        <f t="shared" ref="K71:N71" si="21">J71*(1+K72)</f>
        <v>213769.04949999996</v>
      </c>
      <c r="L71" s="52">
        <f t="shared" si="21"/>
        <v>238352.49019249997</v>
      </c>
      <c r="M71" s="52">
        <f t="shared" si="21"/>
        <v>270530.0763684875</v>
      </c>
      <c r="N71" s="52">
        <f t="shared" si="21"/>
        <v>301641.03515086358</v>
      </c>
    </row>
    <row r="72" spans="1:16" ht="12.9" x14ac:dyDescent="0.35">
      <c r="B72" s="54" t="s">
        <v>309</v>
      </c>
      <c r="E72" s="47">
        <f>IFERROR(E71/D71-1, 0)</f>
        <v>0</v>
      </c>
      <c r="F72" s="47">
        <f t="shared" ref="F72:I72" si="22">IFERROR(F71/E71-1, 0)</f>
        <v>0.37182574303495608</v>
      </c>
      <c r="G72" s="47">
        <f t="shared" si="22"/>
        <v>-1.1193175554782941E-2</v>
      </c>
      <c r="H72" s="47">
        <f t="shared" si="22"/>
        <v>0.15687468377226454</v>
      </c>
      <c r="I72" s="47">
        <f t="shared" si="22"/>
        <v>0.21941112807816054</v>
      </c>
      <c r="J72" s="47">
        <f>CHOOSE(live_case,J73,J74,J75)</f>
        <v>0.15</v>
      </c>
      <c r="K72" s="47">
        <f>CHOOSE(live_case,K73,K74,K75)</f>
        <v>0.13</v>
      </c>
      <c r="L72" s="47">
        <f>CHOOSE(live_case,L73,L74,L75)</f>
        <v>0.115</v>
      </c>
      <c r="M72" s="47">
        <f>CHOOSE(live_case,M73,M74,M75)</f>
        <v>0.13500000000000001</v>
      </c>
      <c r="N72" s="47">
        <f>CHOOSE(live_case,N73,N74,N75)</f>
        <v>0.115</v>
      </c>
    </row>
    <row r="73" spans="1:16" ht="12.9" x14ac:dyDescent="0.35">
      <c r="B73" s="46" t="s">
        <v>328</v>
      </c>
      <c r="J73" s="149">
        <v>0.1</v>
      </c>
      <c r="K73" s="149">
        <v>0.09</v>
      </c>
      <c r="L73" s="149">
        <v>0.08</v>
      </c>
      <c r="M73" s="149">
        <v>7.0000000000000007E-2</v>
      </c>
      <c r="N73" s="149">
        <v>0.06</v>
      </c>
    </row>
    <row r="74" spans="1:16" ht="12.9" x14ac:dyDescent="0.35">
      <c r="B74" s="46" t="s">
        <v>329</v>
      </c>
      <c r="J74" s="149">
        <v>0.15</v>
      </c>
      <c r="K74" s="149">
        <v>0.13</v>
      </c>
      <c r="L74" s="149">
        <v>0.115</v>
      </c>
      <c r="M74" s="149">
        <v>0.13500000000000001</v>
      </c>
      <c r="N74" s="149">
        <v>0.115</v>
      </c>
    </row>
    <row r="75" spans="1:16" ht="12.9" x14ac:dyDescent="0.35">
      <c r="B75" s="46" t="s">
        <v>331</v>
      </c>
      <c r="J75" s="149">
        <v>0.2</v>
      </c>
      <c r="K75" s="149">
        <v>0.2</v>
      </c>
      <c r="L75" s="149">
        <v>0.19</v>
      </c>
      <c r="M75" s="149">
        <v>0.18</v>
      </c>
      <c r="N75" s="149">
        <v>0.17</v>
      </c>
    </row>
    <row r="76" spans="1:16" x14ac:dyDescent="0.3"/>
    <row r="77" spans="1:16" x14ac:dyDescent="0.3">
      <c r="B77" s="38" t="s">
        <v>75</v>
      </c>
      <c r="E77" s="53">
        <f>E42</f>
        <v>32671</v>
      </c>
      <c r="F77" s="53">
        <f t="shared" ref="F77:I77" si="23">F42</f>
        <v>46753</v>
      </c>
      <c r="G77" s="53">
        <f t="shared" si="23"/>
        <v>33555</v>
      </c>
      <c r="H77" s="53">
        <f t="shared" si="23"/>
        <v>50203</v>
      </c>
      <c r="I77" s="53">
        <f t="shared" si="23"/>
        <v>69769</v>
      </c>
      <c r="J77" s="52">
        <f>J71*J78</f>
        <v>73778.698499999999</v>
      </c>
      <c r="K77" s="52">
        <f t="shared" ref="K77:N77" si="24">K71*K78</f>
        <v>82728.622156499987</v>
      </c>
      <c r="L77" s="52">
        <f t="shared" si="24"/>
        <v>93910.881135844989</v>
      </c>
      <c r="M77" s="52">
        <f t="shared" si="24"/>
        <v>108212.030547395</v>
      </c>
      <c r="N77" s="52">
        <f t="shared" si="24"/>
        <v>128197.43993911702</v>
      </c>
    </row>
    <row r="78" spans="1:16" ht="12.9" x14ac:dyDescent="0.35">
      <c r="B78" s="54" t="s">
        <v>311</v>
      </c>
      <c r="E78" s="47">
        <f>E77/E71</f>
        <v>0.3800500203571221</v>
      </c>
      <c r="F78" s="47">
        <f t="shared" ref="F78:I78" si="25">F77/F71</f>
        <v>0.39645040660058173</v>
      </c>
      <c r="G78" s="47">
        <f t="shared" si="25"/>
        <v>0.28775651965114185</v>
      </c>
      <c r="H78" s="47">
        <f t="shared" si="25"/>
        <v>0.37214422321388863</v>
      </c>
      <c r="I78" s="47">
        <f t="shared" si="25"/>
        <v>0.42412508130649662</v>
      </c>
      <c r="J78" s="47">
        <f>CHOOSE(live_case,J79,J80,J81)</f>
        <v>0.39</v>
      </c>
      <c r="K78" s="47">
        <f>CHOOSE(live_case,K79,K80,K81)</f>
        <v>0.38700000000000001</v>
      </c>
      <c r="L78" s="47">
        <f>CHOOSE(live_case,L79,L80,L81)</f>
        <v>0.39400000000000002</v>
      </c>
      <c r="M78" s="47">
        <f>CHOOSE(live_case,M79,M80,M81)</f>
        <v>0.4</v>
      </c>
      <c r="N78" s="47">
        <f>CHOOSE(live_case,N79,N80,N81)</f>
        <v>0.42499999999999999</v>
      </c>
    </row>
    <row r="79" spans="1:16" ht="12.9" x14ac:dyDescent="0.35">
      <c r="B79" s="46" t="s">
        <v>328</v>
      </c>
      <c r="J79" s="60">
        <v>0.3</v>
      </c>
      <c r="K79" s="60">
        <v>0.3</v>
      </c>
      <c r="L79" s="60">
        <v>0.3</v>
      </c>
      <c r="M79" s="60">
        <v>0.3</v>
      </c>
      <c r="N79" s="60">
        <v>0.3</v>
      </c>
    </row>
    <row r="80" spans="1:16" ht="12.9" x14ac:dyDescent="0.35">
      <c r="B80" s="46" t="s">
        <v>329</v>
      </c>
      <c r="J80" s="60">
        <v>0.39</v>
      </c>
      <c r="K80" s="60">
        <v>0.38700000000000001</v>
      </c>
      <c r="L80" s="60">
        <v>0.39400000000000002</v>
      </c>
      <c r="M80" s="60">
        <v>0.4</v>
      </c>
      <c r="N80" s="60">
        <v>0.42499999999999999</v>
      </c>
    </row>
    <row r="81" spans="2:14" ht="12.9" x14ac:dyDescent="0.35">
      <c r="B81" s="46" t="s">
        <v>331</v>
      </c>
      <c r="J81" s="60">
        <v>0.45</v>
      </c>
      <c r="K81" s="60">
        <v>0.45</v>
      </c>
      <c r="L81" s="60">
        <v>0.45</v>
      </c>
      <c r="M81" s="60">
        <v>0.45</v>
      </c>
      <c r="N81" s="60">
        <v>0.45</v>
      </c>
    </row>
    <row r="82" spans="2:14" x14ac:dyDescent="0.3"/>
    <row r="83" spans="2:14" x14ac:dyDescent="0.3">
      <c r="B83" s="38" t="s">
        <v>317</v>
      </c>
      <c r="E83" s="53">
        <f>E45</f>
        <v>4034</v>
      </c>
      <c r="F83" s="53">
        <f t="shared" ref="F83:I83" si="26">F45</f>
        <v>7914</v>
      </c>
      <c r="G83" s="53">
        <f t="shared" si="26"/>
        <v>5619</v>
      </c>
      <c r="H83" s="53">
        <f t="shared" si="26"/>
        <v>8330</v>
      </c>
      <c r="I83" s="53">
        <f t="shared" si="26"/>
        <v>8303</v>
      </c>
      <c r="J83" s="52">
        <f>J84*J77</f>
        <v>9591.2308049999992</v>
      </c>
      <c r="K83" s="52">
        <f t="shared" ref="K83:N83" si="27">K84*K77</f>
        <v>11582.00710191</v>
      </c>
      <c r="L83" s="52">
        <f t="shared" si="27"/>
        <v>13147.5233590183</v>
      </c>
      <c r="M83" s="52">
        <f t="shared" si="27"/>
        <v>17313.924887583202</v>
      </c>
      <c r="N83" s="52">
        <f t="shared" si="27"/>
        <v>21793.564789649896</v>
      </c>
    </row>
    <row r="84" spans="2:14" ht="12.9" x14ac:dyDescent="0.35">
      <c r="B84" s="54" t="s">
        <v>330</v>
      </c>
      <c r="E84" s="47">
        <f>E83/E77</f>
        <v>0.12347341679165008</v>
      </c>
      <c r="F84" s="47">
        <f t="shared" ref="F84:I84" si="28">F83/F77</f>
        <v>0.16927256004962249</v>
      </c>
      <c r="G84" s="47">
        <f t="shared" si="28"/>
        <v>0.16745641484130533</v>
      </c>
      <c r="H84" s="47">
        <f t="shared" si="28"/>
        <v>0.16592633906340259</v>
      </c>
      <c r="I84" s="47">
        <f t="shared" si="28"/>
        <v>0.11900700884346917</v>
      </c>
      <c r="J84" s="47">
        <f>CHOOSE(live_case,J85,J86,J87)</f>
        <v>0.13</v>
      </c>
      <c r="K84" s="47">
        <f>CHOOSE(live_case,K85,K86,K87)</f>
        <v>0.14000000000000001</v>
      </c>
      <c r="L84" s="47">
        <f>CHOOSE(live_case,L85,L86,L87)</f>
        <v>0.14000000000000001</v>
      </c>
      <c r="M84" s="47">
        <f>CHOOSE(live_case,M85,M86,M87)</f>
        <v>0.16</v>
      </c>
      <c r="N84" s="47">
        <f>CHOOSE(live_case,N85,N86,N87)</f>
        <v>0.17</v>
      </c>
    </row>
    <row r="85" spans="2:14" ht="12.9" x14ac:dyDescent="0.35">
      <c r="B85" s="46" t="s">
        <v>328</v>
      </c>
      <c r="J85" s="60">
        <v>0.3</v>
      </c>
      <c r="K85" s="60">
        <v>0.3</v>
      </c>
      <c r="L85" s="60">
        <v>0.3</v>
      </c>
      <c r="M85" s="60">
        <v>0.3</v>
      </c>
      <c r="N85" s="60">
        <v>0.3</v>
      </c>
    </row>
    <row r="86" spans="2:14" ht="12.9" x14ac:dyDescent="0.35">
      <c r="B86" s="46" t="s">
        <v>329</v>
      </c>
      <c r="J86" s="60">
        <v>0.13</v>
      </c>
      <c r="K86" s="60">
        <v>0.14000000000000001</v>
      </c>
      <c r="L86" s="60">
        <v>0.14000000000000001</v>
      </c>
      <c r="M86" s="60">
        <v>0.16</v>
      </c>
      <c r="N86" s="60">
        <v>0.17</v>
      </c>
    </row>
    <row r="87" spans="2:14" ht="12.9" x14ac:dyDescent="0.35">
      <c r="B87" s="46" t="s">
        <v>331</v>
      </c>
      <c r="J87" s="60">
        <v>0.15</v>
      </c>
      <c r="K87" s="60">
        <v>0.15</v>
      </c>
      <c r="L87" s="60">
        <v>0.15</v>
      </c>
      <c r="M87" s="60">
        <v>0.15</v>
      </c>
      <c r="N87" s="60">
        <v>0.15</v>
      </c>
    </row>
    <row r="88" spans="2:14" x14ac:dyDescent="0.3"/>
    <row r="89" spans="2:14" s="50" customFormat="1" x14ac:dyDescent="0.3">
      <c r="B89" s="55" t="s">
        <v>332</v>
      </c>
      <c r="C89" s="56"/>
      <c r="D89" s="56"/>
      <c r="E89" s="57">
        <f>E77-E83</f>
        <v>28637</v>
      </c>
      <c r="F89" s="57">
        <f t="shared" ref="F89:N89" si="29">F77-F83</f>
        <v>38839</v>
      </c>
      <c r="G89" s="57">
        <f t="shared" si="29"/>
        <v>27936</v>
      </c>
      <c r="H89" s="57">
        <f t="shared" si="29"/>
        <v>41873</v>
      </c>
      <c r="I89" s="57">
        <f t="shared" si="29"/>
        <v>61466</v>
      </c>
      <c r="J89" s="57">
        <f t="shared" si="29"/>
        <v>64187.467694999999</v>
      </c>
      <c r="K89" s="57">
        <f t="shared" si="29"/>
        <v>71146.615054589987</v>
      </c>
      <c r="L89" s="57">
        <f t="shared" si="29"/>
        <v>80763.357776826684</v>
      </c>
      <c r="M89" s="57">
        <f t="shared" si="29"/>
        <v>90898.105659811801</v>
      </c>
      <c r="N89" s="58">
        <f t="shared" si="29"/>
        <v>106403.87514946712</v>
      </c>
    </row>
    <row r="90" spans="2:14" ht="5.05" customHeight="1" x14ac:dyDescent="0.3"/>
    <row r="91" spans="2:14" x14ac:dyDescent="0.3">
      <c r="B91" s="38" t="s">
        <v>316</v>
      </c>
      <c r="E91" s="53">
        <f>E56</f>
        <v>6862</v>
      </c>
      <c r="F91" s="53">
        <f t="shared" ref="F91:I91" si="30">F56</f>
        <v>7967</v>
      </c>
      <c r="G91" s="53">
        <f t="shared" si="30"/>
        <v>8686</v>
      </c>
      <c r="H91" s="53">
        <f t="shared" si="30"/>
        <v>11178</v>
      </c>
      <c r="I91" s="53">
        <f t="shared" si="30"/>
        <v>15498</v>
      </c>
      <c r="J91" s="52">
        <f>J94*J92</f>
        <v>19295.9673</v>
      </c>
      <c r="K91" s="52">
        <f t="shared" ref="K91:N91" si="31">K94*K92</f>
        <v>24690.325217249996</v>
      </c>
      <c r="L91" s="52">
        <f t="shared" si="31"/>
        <v>33607.701117142497</v>
      </c>
      <c r="M91" s="52">
        <f t="shared" si="31"/>
        <v>40579.511455273125</v>
      </c>
      <c r="N91" s="52">
        <f t="shared" si="31"/>
        <v>50358.970818436675</v>
      </c>
    </row>
    <row r="92" spans="2:14" ht="12.9" x14ac:dyDescent="0.35">
      <c r="B92" s="54" t="s">
        <v>324</v>
      </c>
      <c r="E92" s="59">
        <f>E57</f>
        <v>0.45398610651670523</v>
      </c>
      <c r="F92" s="59">
        <f t="shared" ref="F92:I92" si="32">F57</f>
        <v>0.42909463025798461</v>
      </c>
      <c r="G92" s="59">
        <f t="shared" si="32"/>
        <v>0.27635137284846173</v>
      </c>
      <c r="H92" s="59">
        <f t="shared" si="32"/>
        <v>0.40996112374385679</v>
      </c>
      <c r="I92" s="59">
        <f t="shared" si="32"/>
        <v>0.41598668670818123</v>
      </c>
      <c r="J92" s="61">
        <v>0.3</v>
      </c>
      <c r="K92" s="61">
        <v>0.35</v>
      </c>
      <c r="L92" s="61">
        <v>0.47</v>
      </c>
      <c r="M92" s="61">
        <v>0.5</v>
      </c>
      <c r="N92" s="61">
        <v>0.63</v>
      </c>
    </row>
    <row r="93" spans="2:14" x14ac:dyDescent="0.3"/>
    <row r="94" spans="2:14" x14ac:dyDescent="0.3">
      <c r="B94" s="38" t="s">
        <v>323</v>
      </c>
      <c r="E94" s="53">
        <f>-E65</f>
        <v>15115</v>
      </c>
      <c r="F94" s="53">
        <f>-F65</f>
        <v>18567</v>
      </c>
      <c r="G94" s="53">
        <f>-G65</f>
        <v>31431</v>
      </c>
      <c r="H94" s="53">
        <f>-H65</f>
        <v>27266</v>
      </c>
      <c r="I94" s="53">
        <f>-I65</f>
        <v>37256</v>
      </c>
      <c r="J94" s="52">
        <f>J95*J71</f>
        <v>64319.891000000003</v>
      </c>
      <c r="K94" s="52">
        <f t="shared" ref="K94:N94" si="33">K95*K71</f>
        <v>70543.786334999997</v>
      </c>
      <c r="L94" s="52">
        <f t="shared" si="33"/>
        <v>71505.747057749992</v>
      </c>
      <c r="M94" s="52">
        <f t="shared" si="33"/>
        <v>81159.022910546249</v>
      </c>
      <c r="N94" s="52">
        <f t="shared" si="33"/>
        <v>79934.87431497885</v>
      </c>
    </row>
    <row r="95" spans="2:14" ht="12.9" x14ac:dyDescent="0.35">
      <c r="B95" s="40" t="s">
        <v>313</v>
      </c>
      <c r="E95" s="47">
        <f>E94/E71</f>
        <v>0.17582737160472287</v>
      </c>
      <c r="F95" s="47">
        <f t="shared" ref="F95:I95" si="34">F94/F71</f>
        <v>0.15744218979216307</v>
      </c>
      <c r="G95" s="47">
        <f t="shared" si="34"/>
        <v>0.26954180209074774</v>
      </c>
      <c r="H95" s="47">
        <f t="shared" si="34"/>
        <v>0.20211709240782197</v>
      </c>
      <c r="I95" s="47">
        <f t="shared" si="34"/>
        <v>0.22647886638986997</v>
      </c>
      <c r="J95" s="61">
        <v>0.34</v>
      </c>
      <c r="K95" s="61">
        <v>0.33</v>
      </c>
      <c r="L95" s="61">
        <v>0.3</v>
      </c>
      <c r="M95" s="61">
        <v>0.3</v>
      </c>
      <c r="N95" s="61">
        <v>0.26500000000000001</v>
      </c>
    </row>
    <row r="96" spans="2:14" x14ac:dyDescent="0.3"/>
    <row r="97" spans="2:14" x14ac:dyDescent="0.3">
      <c r="B97" s="38" t="s">
        <v>333</v>
      </c>
      <c r="E97" s="53">
        <f>E62</f>
        <v>-2723</v>
      </c>
      <c r="F97" s="53">
        <f t="shared" ref="F97:I97" si="35">F62</f>
        <v>700</v>
      </c>
      <c r="G97" s="53">
        <f t="shared" si="35"/>
        <v>5683</v>
      </c>
      <c r="H97" s="53">
        <f t="shared" si="35"/>
        <v>3836</v>
      </c>
      <c r="I97" s="53">
        <f t="shared" si="35"/>
        <v>1048</v>
      </c>
      <c r="J97" s="52">
        <f>J71*J98</f>
        <v>9458.8075000000008</v>
      </c>
      <c r="K97" s="52">
        <f t="shared" ref="K97:N97" si="36">K71*K98</f>
        <v>6413.0714849999986</v>
      </c>
      <c r="L97" s="52">
        <f t="shared" si="36"/>
        <v>4767.04980385</v>
      </c>
      <c r="M97" s="52">
        <f t="shared" si="36"/>
        <v>5410.6015273697503</v>
      </c>
      <c r="N97" s="52">
        <f t="shared" si="36"/>
        <v>6032.8207030172716</v>
      </c>
    </row>
    <row r="98" spans="2:14" ht="12.9" x14ac:dyDescent="0.35">
      <c r="B98" s="40" t="s">
        <v>313</v>
      </c>
      <c r="E98" s="47">
        <f>E97/E71</f>
        <v>-3.167568196358983E-2</v>
      </c>
      <c r="F98" s="47">
        <f t="shared" ref="F98:I98" si="37">F97/F71</f>
        <v>5.9357749154152076E-3</v>
      </c>
      <c r="G98" s="47">
        <f t="shared" si="37"/>
        <v>4.8735517841676027E-2</v>
      </c>
      <c r="H98" s="47">
        <f t="shared" si="37"/>
        <v>2.8435456850157893E-2</v>
      </c>
      <c r="I98" s="47">
        <f t="shared" si="37"/>
        <v>6.3707819405353161E-3</v>
      </c>
      <c r="J98" s="61">
        <v>0.05</v>
      </c>
      <c r="K98" s="61">
        <v>0.03</v>
      </c>
      <c r="L98" s="61">
        <v>0.02</v>
      </c>
      <c r="M98" s="61">
        <v>0.02</v>
      </c>
      <c r="N98" s="61">
        <v>0.02</v>
      </c>
    </row>
    <row r="99" spans="2:14" ht="5.05" customHeight="1" x14ac:dyDescent="0.3"/>
    <row r="100" spans="2:14" x14ac:dyDescent="0.3">
      <c r="B100" s="62" t="s">
        <v>334</v>
      </c>
      <c r="C100" s="63"/>
      <c r="D100" s="63"/>
      <c r="E100" s="64"/>
      <c r="F100" s="64"/>
      <c r="G100" s="64"/>
      <c r="H100" s="64"/>
      <c r="I100" s="64"/>
      <c r="J100" s="64">
        <f t="shared" ref="J100:N100" si="38">J89+J91-J94+J97</f>
        <v>28622.351495000003</v>
      </c>
      <c r="K100" s="64">
        <f t="shared" si="38"/>
        <v>31706.225421839983</v>
      </c>
      <c r="L100" s="64">
        <f t="shared" si="38"/>
        <v>47632.36164006919</v>
      </c>
      <c r="M100" s="64">
        <f t="shared" si="38"/>
        <v>55729.195731908425</v>
      </c>
      <c r="N100" s="65">
        <f t="shared" si="38"/>
        <v>82860.79235594222</v>
      </c>
    </row>
    <row r="101" spans="2:14" x14ac:dyDescent="0.3">
      <c r="B101" s="66" t="s">
        <v>335</v>
      </c>
      <c r="C101" s="67"/>
      <c r="D101" s="67"/>
      <c r="E101" s="67"/>
      <c r="F101" s="67"/>
      <c r="G101" s="67"/>
      <c r="H101" s="67"/>
      <c r="I101" s="67"/>
      <c r="J101" s="145">
        <f>J100/(1+live_wacc)^J69</f>
        <v>26093.85677363479</v>
      </c>
      <c r="K101" s="145">
        <f>K100/(1+live_wacc)^K69</f>
        <v>26351.81118447323</v>
      </c>
      <c r="L101" s="145">
        <f>L100/(1+live_wacc)^L69</f>
        <v>36091.173653640639</v>
      </c>
      <c r="M101" s="145">
        <f>M100/(1+live_wacc)^M69</f>
        <v>38495.913477786147</v>
      </c>
      <c r="N101" s="146">
        <f>N100/(1+live_wacc)^N69</f>
        <v>52181.180445278966</v>
      </c>
    </row>
    <row r="102" spans="2:14" x14ac:dyDescent="0.3">
      <c r="B102" s="38" t="s">
        <v>425</v>
      </c>
      <c r="N102" s="52">
        <f>N100*(1+live_tgr)/(live_wacc-live_tgr)</f>
        <v>1514503.0588783815</v>
      </c>
    </row>
    <row r="103" spans="2:14" x14ac:dyDescent="0.3">
      <c r="B103" s="38" t="s">
        <v>426</v>
      </c>
      <c r="N103" s="52">
        <f>N102/(1+live_wacc)^N69</f>
        <v>953750.92553761194</v>
      </c>
    </row>
    <row r="104" spans="2:14" x14ac:dyDescent="0.3"/>
    <row r="105" spans="2:14" x14ac:dyDescent="0.3">
      <c r="B105" s="38" t="s">
        <v>427</v>
      </c>
      <c r="N105" s="52">
        <f>SUM(J101:N101)+N103</f>
        <v>1132964.8610724257</v>
      </c>
    </row>
    <row r="106" spans="2:14" x14ac:dyDescent="0.3">
      <c r="B106" s="38" t="s">
        <v>428</v>
      </c>
      <c r="N106" s="147">
        <f>net_cash</f>
        <v>70301</v>
      </c>
    </row>
    <row r="107" spans="2:14" x14ac:dyDescent="0.3">
      <c r="B107" s="38" t="s">
        <v>429</v>
      </c>
      <c r="N107" s="147">
        <f>debt</f>
        <v>28298</v>
      </c>
    </row>
    <row r="108" spans="2:14" x14ac:dyDescent="0.3">
      <c r="B108" s="38" t="s">
        <v>344</v>
      </c>
      <c r="N108" s="52">
        <f>N105+N106-N107</f>
        <v>1174967.8610724257</v>
      </c>
    </row>
    <row r="109" spans="2:14" x14ac:dyDescent="0.3">
      <c r="B109" s="38" t="s">
        <v>430</v>
      </c>
      <c r="N109" s="49">
        <f>CS</f>
        <v>2641.36</v>
      </c>
    </row>
    <row r="110" spans="2:14" x14ac:dyDescent="0.3">
      <c r="B110" s="50" t="s">
        <v>352</v>
      </c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148">
        <f>N108/N109</f>
        <v>444.83442661069512</v>
      </c>
    </row>
    <row r="111" spans="2:14" x14ac:dyDescent="0.3"/>
    <row r="113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F405-62C4-4FD1-9111-C2BBA0361BF8}">
  <sheetPr>
    <outlinePr summaryBelow="0" summaryRight="0"/>
  </sheetPr>
  <dimension ref="A1:P34"/>
  <sheetViews>
    <sheetView topLeftCell="B1" workbookViewId="0">
      <selection activeCell="L24" sqref="L7:L24"/>
    </sheetView>
  </sheetViews>
  <sheetFormatPr defaultColWidth="9.15234375" defaultRowHeight="15" customHeight="1" outlineLevelRow="1" x14ac:dyDescent="0.3"/>
  <cols>
    <col min="1" max="1" width="44.53515625" style="86" customWidth="1"/>
    <col min="2" max="2" width="48.3828125" style="86" bestFit="1" customWidth="1"/>
    <col min="3" max="3" width="24.53515625" style="86" bestFit="1" customWidth="1"/>
    <col min="4" max="4" width="19" style="86" bestFit="1" customWidth="1"/>
    <col min="5" max="5" width="11.15234375" style="86" bestFit="1" customWidth="1"/>
    <col min="6" max="6" width="11.23046875" style="86" bestFit="1" customWidth="1"/>
    <col min="7" max="7" width="9.3046875" style="86" bestFit="1" customWidth="1"/>
    <col min="8" max="8" width="11.23046875" style="86" bestFit="1" customWidth="1"/>
    <col min="9" max="9" width="9" style="86" bestFit="1" customWidth="1"/>
    <col min="10" max="10" width="10.15234375" style="86" bestFit="1" customWidth="1"/>
    <col min="11" max="11" width="6.3046875" style="86" bestFit="1" customWidth="1"/>
    <col min="12" max="12" width="4.765625" style="86" bestFit="1" customWidth="1"/>
    <col min="13" max="13" width="11.53515625" style="86" bestFit="1" customWidth="1"/>
    <col min="14" max="14" width="1.84375" style="86" bestFit="1" customWidth="1"/>
    <col min="15" max="16384" width="9.15234375" style="86"/>
  </cols>
  <sheetData>
    <row r="1" spans="1:16" ht="15" customHeight="1" x14ac:dyDescent="0.3">
      <c r="A1" s="86" t="s">
        <v>9</v>
      </c>
    </row>
    <row r="2" spans="1:16" ht="15" customHeight="1" x14ac:dyDescent="0.3">
      <c r="A2" s="86" t="s">
        <v>422</v>
      </c>
    </row>
    <row r="4" spans="1:16" ht="15" customHeight="1" x14ac:dyDescent="0.3">
      <c r="A4" s="138"/>
    </row>
    <row r="5" spans="1:16" ht="15" customHeight="1" x14ac:dyDescent="0.3">
      <c r="A5" s="90" t="s">
        <v>421</v>
      </c>
      <c r="B5" s="90" t="s">
        <v>420</v>
      </c>
      <c r="C5" s="90" t="s">
        <v>419</v>
      </c>
      <c r="D5" s="90" t="s">
        <v>418</v>
      </c>
      <c r="E5" s="90" t="s">
        <v>417</v>
      </c>
      <c r="F5" s="90" t="s">
        <v>416</v>
      </c>
      <c r="G5" s="90" t="s">
        <v>415</v>
      </c>
      <c r="H5" s="90" t="s">
        <v>414</v>
      </c>
      <c r="I5" s="90" t="s">
        <v>413</v>
      </c>
      <c r="J5" s="90" t="s">
        <v>412</v>
      </c>
      <c r="K5" s="90" t="s">
        <v>411</v>
      </c>
      <c r="L5" s="90" t="s">
        <v>410</v>
      </c>
      <c r="M5" s="90" t="s">
        <v>409</v>
      </c>
      <c r="N5" s="105"/>
    </row>
    <row r="6" spans="1:16" ht="15" customHeight="1" x14ac:dyDescent="0.3">
      <c r="A6" s="137" t="s">
        <v>408</v>
      </c>
      <c r="B6" s="135"/>
      <c r="C6" s="136">
        <v>29000</v>
      </c>
      <c r="D6" s="136">
        <v>29000</v>
      </c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 t="s">
        <v>423</v>
      </c>
      <c r="P6" s="135"/>
    </row>
    <row r="7" spans="1:16" ht="15" customHeight="1" outlineLevel="1" x14ac:dyDescent="0.3">
      <c r="A7" s="111" t="s">
        <v>407</v>
      </c>
      <c r="B7" s="90" t="s">
        <v>373</v>
      </c>
      <c r="C7" s="127">
        <v>91.9</v>
      </c>
      <c r="D7" s="127">
        <v>91.9</v>
      </c>
      <c r="E7" s="118">
        <v>3.5000000000000003E-2</v>
      </c>
      <c r="F7" s="90" t="s">
        <v>372</v>
      </c>
      <c r="G7" s="90" t="s">
        <v>381</v>
      </c>
      <c r="H7" s="90" t="s">
        <v>405</v>
      </c>
      <c r="I7" s="90" t="s">
        <v>8</v>
      </c>
      <c r="J7" s="90" t="s">
        <v>369</v>
      </c>
      <c r="K7" s="108">
        <v>98.96</v>
      </c>
      <c r="L7" s="134">
        <v>4.01</v>
      </c>
      <c r="M7" s="117">
        <v>47.01</v>
      </c>
      <c r="N7" s="90" t="s">
        <v>368</v>
      </c>
      <c r="O7" s="86">
        <f>C7/$C$27*L7</f>
        <v>1.2782926913871449E-2</v>
      </c>
    </row>
    <row r="8" spans="1:16" ht="15" customHeight="1" outlineLevel="1" x14ac:dyDescent="0.3">
      <c r="A8" s="96" t="s">
        <v>406</v>
      </c>
      <c r="B8" s="93" t="s">
        <v>373</v>
      </c>
      <c r="C8" s="120">
        <v>2658.1</v>
      </c>
      <c r="D8" s="120">
        <v>2658.1</v>
      </c>
      <c r="E8" s="115">
        <v>3.5000000000000003E-2</v>
      </c>
      <c r="F8" s="93" t="s">
        <v>372</v>
      </c>
      <c r="G8" s="93" t="s">
        <v>379</v>
      </c>
      <c r="H8" s="93" t="s">
        <v>405</v>
      </c>
      <c r="I8" s="93" t="s">
        <v>8</v>
      </c>
      <c r="J8" s="93" t="s">
        <v>369</v>
      </c>
      <c r="K8" s="102">
        <v>98.96</v>
      </c>
      <c r="L8" s="132">
        <v>4.01</v>
      </c>
      <c r="M8" s="131">
        <v>47.01</v>
      </c>
      <c r="N8" s="93" t="s">
        <v>368</v>
      </c>
      <c r="O8" s="86">
        <f t="shared" ref="O8:O24" si="0">C8/$C$27*L8</f>
        <v>0.36973120815845156</v>
      </c>
    </row>
    <row r="9" spans="1:16" ht="15" customHeight="1" outlineLevel="1" x14ac:dyDescent="0.3">
      <c r="A9" s="111" t="s">
        <v>404</v>
      </c>
      <c r="B9" s="90" t="s">
        <v>373</v>
      </c>
      <c r="C9" s="119">
        <v>1500</v>
      </c>
      <c r="D9" s="119">
        <v>1500</v>
      </c>
      <c r="E9" s="118">
        <v>4.5999999999999999E-2</v>
      </c>
      <c r="F9" s="90" t="s">
        <v>372</v>
      </c>
      <c r="G9" s="90" t="s">
        <v>376</v>
      </c>
      <c r="H9" s="90" t="s">
        <v>403</v>
      </c>
      <c r="I9" s="90" t="s">
        <v>8</v>
      </c>
      <c r="J9" s="90" t="s">
        <v>369</v>
      </c>
      <c r="K9" s="124">
        <v>101.72</v>
      </c>
      <c r="L9" s="107">
        <v>3.94</v>
      </c>
      <c r="M9" s="126">
        <v>46.6</v>
      </c>
      <c r="N9" s="90" t="s">
        <v>368</v>
      </c>
      <c r="O9" s="86">
        <f t="shared" si="0"/>
        <v>0.20500190780117242</v>
      </c>
    </row>
    <row r="10" spans="1:16" ht="15" customHeight="1" outlineLevel="1" x14ac:dyDescent="0.3">
      <c r="A10" s="96" t="s">
        <v>402</v>
      </c>
      <c r="B10" s="93" t="s">
        <v>373</v>
      </c>
      <c r="C10" s="128">
        <v>1000</v>
      </c>
      <c r="D10" s="128">
        <v>1000</v>
      </c>
      <c r="E10" s="115">
        <v>4.2999999999999997E-2</v>
      </c>
      <c r="F10" s="93" t="s">
        <v>372</v>
      </c>
      <c r="G10" s="93" t="s">
        <v>371</v>
      </c>
      <c r="H10" s="93" t="s">
        <v>401</v>
      </c>
      <c r="I10" s="93" t="s">
        <v>8</v>
      </c>
      <c r="J10" s="93" t="s">
        <v>369</v>
      </c>
      <c r="K10" s="133">
        <v>100.79</v>
      </c>
      <c r="L10" s="132">
        <v>4.08</v>
      </c>
      <c r="M10" s="131">
        <v>62.04</v>
      </c>
      <c r="N10" s="94"/>
      <c r="O10" s="86">
        <f t="shared" si="0"/>
        <v>0.14152415970030177</v>
      </c>
    </row>
    <row r="11" spans="1:16" ht="15" customHeight="1" outlineLevel="1" x14ac:dyDescent="0.3">
      <c r="A11" s="111" t="s">
        <v>400</v>
      </c>
      <c r="B11" s="90" t="s">
        <v>373</v>
      </c>
      <c r="C11" s="130">
        <v>1000</v>
      </c>
      <c r="D11" s="130">
        <v>1000</v>
      </c>
      <c r="E11" s="118">
        <v>4.8000000000000001E-2</v>
      </c>
      <c r="F11" s="90" t="s">
        <v>372</v>
      </c>
      <c r="G11" s="90" t="s">
        <v>376</v>
      </c>
      <c r="H11" s="90" t="s">
        <v>399</v>
      </c>
      <c r="I11" s="90" t="s">
        <v>8</v>
      </c>
      <c r="J11" s="90" t="s">
        <v>369</v>
      </c>
      <c r="K11" s="124">
        <v>102.81</v>
      </c>
      <c r="L11" s="107">
        <v>4.1399999999999997</v>
      </c>
      <c r="M11" s="129">
        <v>65</v>
      </c>
      <c r="N11" s="105"/>
      <c r="O11" s="86">
        <f t="shared" si="0"/>
        <v>0.14360539734295324</v>
      </c>
    </row>
    <row r="12" spans="1:16" ht="15" customHeight="1" outlineLevel="1" x14ac:dyDescent="0.3">
      <c r="A12" s="96" t="s">
        <v>398</v>
      </c>
      <c r="B12" s="93" t="s">
        <v>373</v>
      </c>
      <c r="C12" s="128">
        <v>1000</v>
      </c>
      <c r="D12" s="128">
        <v>1000</v>
      </c>
      <c r="E12" s="103">
        <v>4.5499999999999999E-2</v>
      </c>
      <c r="F12" s="93" t="s">
        <v>372</v>
      </c>
      <c r="G12" s="93" t="s">
        <v>371</v>
      </c>
      <c r="H12" s="93" t="s">
        <v>397</v>
      </c>
      <c r="I12" s="93" t="s">
        <v>8</v>
      </c>
      <c r="J12" s="93" t="s">
        <v>369</v>
      </c>
      <c r="K12" s="122">
        <v>101.11</v>
      </c>
      <c r="L12" s="101">
        <v>4.34</v>
      </c>
      <c r="M12" s="102">
        <v>78.22</v>
      </c>
      <c r="N12" s="94"/>
      <c r="O12" s="86">
        <f t="shared" si="0"/>
        <v>0.15054285615179158</v>
      </c>
    </row>
    <row r="13" spans="1:16" ht="15" customHeight="1" outlineLevel="1" x14ac:dyDescent="0.3">
      <c r="A13" s="111" t="s">
        <v>396</v>
      </c>
      <c r="B13" s="90" t="s">
        <v>373</v>
      </c>
      <c r="C13" s="127">
        <v>21.2</v>
      </c>
      <c r="D13" s="127">
        <v>21.2</v>
      </c>
      <c r="E13" s="109">
        <v>3.85E-2</v>
      </c>
      <c r="F13" s="90" t="s">
        <v>372</v>
      </c>
      <c r="G13" s="90" t="s">
        <v>381</v>
      </c>
      <c r="H13" s="90" t="s">
        <v>394</v>
      </c>
      <c r="I13" s="90" t="s">
        <v>8</v>
      </c>
      <c r="J13" s="90" t="s">
        <v>369</v>
      </c>
      <c r="K13" s="108">
        <v>95.76</v>
      </c>
      <c r="L13" s="107">
        <v>4.55</v>
      </c>
      <c r="M13" s="126">
        <v>93.8</v>
      </c>
      <c r="N13" s="90" t="s">
        <v>368</v>
      </c>
      <c r="O13" s="86">
        <f t="shared" si="0"/>
        <v>3.3459363835027229E-3</v>
      </c>
    </row>
    <row r="14" spans="1:16" ht="15" customHeight="1" outlineLevel="1" x14ac:dyDescent="0.3">
      <c r="A14" s="96" t="s">
        <v>395</v>
      </c>
      <c r="B14" s="93" t="s">
        <v>373</v>
      </c>
      <c r="C14" s="120">
        <v>2978.8</v>
      </c>
      <c r="D14" s="120">
        <v>2978.8</v>
      </c>
      <c r="E14" s="103">
        <v>3.85E-2</v>
      </c>
      <c r="F14" s="93" t="s">
        <v>372</v>
      </c>
      <c r="G14" s="93" t="s">
        <v>379</v>
      </c>
      <c r="H14" s="93" t="s">
        <v>394</v>
      </c>
      <c r="I14" s="93" t="s">
        <v>8</v>
      </c>
      <c r="J14" s="93" t="s">
        <v>369</v>
      </c>
      <c r="K14" s="102">
        <v>95.76</v>
      </c>
      <c r="L14" s="101">
        <v>4.55</v>
      </c>
      <c r="M14" s="125">
        <v>93.8</v>
      </c>
      <c r="N14" s="93" t="s">
        <v>368</v>
      </c>
      <c r="O14" s="86">
        <f t="shared" si="0"/>
        <v>0.47013562731971281</v>
      </c>
    </row>
    <row r="15" spans="1:16" ht="15" customHeight="1" outlineLevel="1" x14ac:dyDescent="0.3">
      <c r="A15" s="111" t="s">
        <v>393</v>
      </c>
      <c r="B15" s="90" t="s">
        <v>373</v>
      </c>
      <c r="C15" s="110">
        <v>1750</v>
      </c>
      <c r="D15" s="110">
        <v>1750</v>
      </c>
      <c r="E15" s="109">
        <v>4.9500000000000002E-2</v>
      </c>
      <c r="F15" s="90" t="s">
        <v>372</v>
      </c>
      <c r="G15" s="90" t="s">
        <v>376</v>
      </c>
      <c r="H15" s="90" t="s">
        <v>392</v>
      </c>
      <c r="I15" s="90" t="s">
        <v>8</v>
      </c>
      <c r="J15" s="90" t="s">
        <v>369</v>
      </c>
      <c r="K15" s="124">
        <v>101.99</v>
      </c>
      <c r="L15" s="107">
        <v>4.6399999999999997</v>
      </c>
      <c r="M15" s="108">
        <v>98.51</v>
      </c>
      <c r="N15" s="90" t="s">
        <v>368</v>
      </c>
      <c r="O15" s="86">
        <f t="shared" si="0"/>
        <v>0.28166082763883588</v>
      </c>
    </row>
    <row r="16" spans="1:16" ht="15" customHeight="1" outlineLevel="1" x14ac:dyDescent="0.3">
      <c r="A16" s="96" t="s">
        <v>391</v>
      </c>
      <c r="B16" s="93" t="s">
        <v>373</v>
      </c>
      <c r="C16" s="123">
        <v>2500</v>
      </c>
      <c r="D16" s="123">
        <v>2500</v>
      </c>
      <c r="E16" s="103">
        <v>4.7500000000000001E-2</v>
      </c>
      <c r="F16" s="93" t="s">
        <v>372</v>
      </c>
      <c r="G16" s="93" t="s">
        <v>371</v>
      </c>
      <c r="H16" s="93" t="s">
        <v>390</v>
      </c>
      <c r="I16" s="93" t="s">
        <v>8</v>
      </c>
      <c r="J16" s="93" t="s">
        <v>369</v>
      </c>
      <c r="K16" s="102">
        <v>99.88</v>
      </c>
      <c r="L16" s="101">
        <v>4.7699999999999996</v>
      </c>
      <c r="M16" s="122">
        <v>104.75</v>
      </c>
      <c r="N16" s="94"/>
      <c r="O16" s="86">
        <f t="shared" si="0"/>
        <v>0.41364598147698495</v>
      </c>
    </row>
    <row r="17" spans="1:16" ht="15" customHeight="1" outlineLevel="1" x14ac:dyDescent="0.3">
      <c r="A17" s="111" t="s">
        <v>389</v>
      </c>
      <c r="B17" s="90" t="s">
        <v>373</v>
      </c>
      <c r="C17" s="121">
        <v>1.2</v>
      </c>
      <c r="D17" s="121">
        <v>1.2</v>
      </c>
      <c r="E17" s="109">
        <v>4.4499999999999998E-2</v>
      </c>
      <c r="F17" s="90" t="s">
        <v>372</v>
      </c>
      <c r="G17" s="90" t="s">
        <v>381</v>
      </c>
      <c r="H17" s="90" t="s">
        <v>387</v>
      </c>
      <c r="I17" s="90" t="s">
        <v>8</v>
      </c>
      <c r="J17" s="90" t="s">
        <v>369</v>
      </c>
      <c r="K17" s="108">
        <v>83.55</v>
      </c>
      <c r="L17" s="107">
        <v>5.64</v>
      </c>
      <c r="M17" s="116">
        <v>164.58</v>
      </c>
      <c r="N17" s="90" t="s">
        <v>368</v>
      </c>
      <c r="O17" s="86">
        <f t="shared" si="0"/>
        <v>2.347636060910888E-4</v>
      </c>
    </row>
    <row r="18" spans="1:16" ht="15" customHeight="1" outlineLevel="1" x14ac:dyDescent="0.3">
      <c r="A18" s="96" t="s">
        <v>388</v>
      </c>
      <c r="B18" s="93" t="s">
        <v>373</v>
      </c>
      <c r="C18" s="120">
        <v>2748.8</v>
      </c>
      <c r="D18" s="120">
        <v>2748.8</v>
      </c>
      <c r="E18" s="103">
        <v>4.4499999999999998E-2</v>
      </c>
      <c r="F18" s="93" t="s">
        <v>372</v>
      </c>
      <c r="G18" s="93" t="s">
        <v>379</v>
      </c>
      <c r="H18" s="93" t="s">
        <v>387</v>
      </c>
      <c r="I18" s="93" t="s">
        <v>8</v>
      </c>
      <c r="J18" s="93" t="s">
        <v>369</v>
      </c>
      <c r="K18" s="102">
        <v>83.55</v>
      </c>
      <c r="L18" s="101">
        <v>5.64</v>
      </c>
      <c r="M18" s="100">
        <v>164.58</v>
      </c>
      <c r="N18" s="94"/>
      <c r="O18" s="86">
        <f t="shared" si="0"/>
        <v>0.53776516701932076</v>
      </c>
    </row>
    <row r="19" spans="1:16" ht="15" customHeight="1" outlineLevel="1" x14ac:dyDescent="0.3">
      <c r="A19" s="111" t="s">
        <v>386</v>
      </c>
      <c r="B19" s="90" t="s">
        <v>373</v>
      </c>
      <c r="C19" s="119">
        <v>2500</v>
      </c>
      <c r="D19" s="119">
        <v>2500</v>
      </c>
      <c r="E19" s="118">
        <v>5.6000000000000001E-2</v>
      </c>
      <c r="F19" s="90" t="s">
        <v>372</v>
      </c>
      <c r="G19" s="90" t="s">
        <v>376</v>
      </c>
      <c r="H19" s="90" t="s">
        <v>385</v>
      </c>
      <c r="I19" s="90" t="s">
        <v>8</v>
      </c>
      <c r="J19" s="90" t="s">
        <v>369</v>
      </c>
      <c r="K19" s="117">
        <v>99.05</v>
      </c>
      <c r="L19" s="107">
        <v>5.67</v>
      </c>
      <c r="M19" s="116">
        <v>168.19</v>
      </c>
      <c r="N19" s="105"/>
      <c r="O19" s="86">
        <f t="shared" si="0"/>
        <v>0.4916923930764161</v>
      </c>
    </row>
    <row r="20" spans="1:16" ht="15" customHeight="1" outlineLevel="1" x14ac:dyDescent="0.3">
      <c r="A20" s="96" t="s">
        <v>384</v>
      </c>
      <c r="B20" s="93" t="s">
        <v>373</v>
      </c>
      <c r="C20" s="104">
        <v>3250</v>
      </c>
      <c r="D20" s="104">
        <v>3250</v>
      </c>
      <c r="E20" s="115">
        <v>5.3999999999999999E-2</v>
      </c>
      <c r="F20" s="93" t="s">
        <v>372</v>
      </c>
      <c r="G20" s="93" t="s">
        <v>371</v>
      </c>
      <c r="H20" s="93" t="s">
        <v>383</v>
      </c>
      <c r="I20" s="93" t="s">
        <v>8</v>
      </c>
      <c r="J20" s="93" t="s">
        <v>369</v>
      </c>
      <c r="K20" s="102">
        <v>96.31</v>
      </c>
      <c r="L20" s="101">
        <v>5.66</v>
      </c>
      <c r="M20" s="100">
        <v>168.22</v>
      </c>
      <c r="N20" s="93" t="s">
        <v>368</v>
      </c>
      <c r="O20" s="86">
        <f t="shared" si="0"/>
        <v>0.63807277394290474</v>
      </c>
    </row>
    <row r="21" spans="1:16" ht="15" customHeight="1" outlineLevel="1" x14ac:dyDescent="0.3">
      <c r="A21" s="111" t="s">
        <v>382</v>
      </c>
      <c r="B21" s="90" t="s">
        <v>373</v>
      </c>
      <c r="C21" s="114">
        <v>6</v>
      </c>
      <c r="D21" s="114">
        <v>6</v>
      </c>
      <c r="E21" s="109">
        <v>4.65E-2</v>
      </c>
      <c r="F21" s="90" t="s">
        <v>372</v>
      </c>
      <c r="G21" s="90" t="s">
        <v>381</v>
      </c>
      <c r="H21" s="90" t="s">
        <v>378</v>
      </c>
      <c r="I21" s="90" t="s">
        <v>8</v>
      </c>
      <c r="J21" s="90" t="s">
        <v>369</v>
      </c>
      <c r="K21" s="108">
        <v>83.28</v>
      </c>
      <c r="L21" s="107">
        <v>5.74</v>
      </c>
      <c r="M21" s="106">
        <v>185.05</v>
      </c>
      <c r="N21" s="90" t="s">
        <v>368</v>
      </c>
      <c r="O21" s="86">
        <f t="shared" si="0"/>
        <v>1.1946304068819592E-3</v>
      </c>
    </row>
    <row r="22" spans="1:16" ht="15" customHeight="1" outlineLevel="1" x14ac:dyDescent="0.3">
      <c r="A22" s="96" t="s">
        <v>380</v>
      </c>
      <c r="B22" s="93" t="s">
        <v>373</v>
      </c>
      <c r="C22" s="113">
        <v>1494</v>
      </c>
      <c r="D22" s="113">
        <v>1494</v>
      </c>
      <c r="E22" s="103">
        <v>4.65E-2</v>
      </c>
      <c r="F22" s="93" t="s">
        <v>372</v>
      </c>
      <c r="G22" s="93" t="s">
        <v>379</v>
      </c>
      <c r="H22" s="93" t="s">
        <v>378</v>
      </c>
      <c r="I22" s="93" t="s">
        <v>8</v>
      </c>
      <c r="J22" s="93" t="s">
        <v>369</v>
      </c>
      <c r="K22" s="102">
        <v>83.28</v>
      </c>
      <c r="L22" s="101">
        <v>5.74</v>
      </c>
      <c r="M22" s="112">
        <v>185.05</v>
      </c>
      <c r="N22" s="93" t="s">
        <v>368</v>
      </c>
      <c r="O22" s="86">
        <f t="shared" si="0"/>
        <v>0.29746297131360783</v>
      </c>
    </row>
    <row r="23" spans="1:16" ht="15" customHeight="1" outlineLevel="1" x14ac:dyDescent="0.3">
      <c r="A23" s="111" t="s">
        <v>377</v>
      </c>
      <c r="B23" s="90" t="s">
        <v>373</v>
      </c>
      <c r="C23" s="110">
        <v>1750</v>
      </c>
      <c r="D23" s="110">
        <v>1750</v>
      </c>
      <c r="E23" s="109">
        <v>5.7500000000000002E-2</v>
      </c>
      <c r="F23" s="90" t="s">
        <v>372</v>
      </c>
      <c r="G23" s="90" t="s">
        <v>376</v>
      </c>
      <c r="H23" s="90" t="s">
        <v>375</v>
      </c>
      <c r="I23" s="90" t="s">
        <v>8</v>
      </c>
      <c r="J23" s="90" t="s">
        <v>369</v>
      </c>
      <c r="K23" s="108">
        <v>99.93</v>
      </c>
      <c r="L23" s="107">
        <v>5.75</v>
      </c>
      <c r="M23" s="106">
        <v>186.08</v>
      </c>
      <c r="N23" s="105"/>
      <c r="O23" s="86">
        <f t="shared" si="0"/>
        <v>0.34904089631967811</v>
      </c>
    </row>
    <row r="24" spans="1:16" ht="15" customHeight="1" outlineLevel="1" x14ac:dyDescent="0.3">
      <c r="A24" s="96" t="s">
        <v>374</v>
      </c>
      <c r="B24" s="93" t="s">
        <v>373</v>
      </c>
      <c r="C24" s="104">
        <v>2750</v>
      </c>
      <c r="D24" s="104">
        <v>2750</v>
      </c>
      <c r="E24" s="103">
        <v>5.5500000000000001E-2</v>
      </c>
      <c r="F24" s="93" t="s">
        <v>372</v>
      </c>
      <c r="G24" s="93" t="s">
        <v>371</v>
      </c>
      <c r="H24" s="93" t="s">
        <v>370</v>
      </c>
      <c r="I24" s="93" t="s">
        <v>8</v>
      </c>
      <c r="J24" s="93" t="s">
        <v>369</v>
      </c>
      <c r="K24" s="102">
        <v>96.76</v>
      </c>
      <c r="L24" s="101">
        <v>5.76</v>
      </c>
      <c r="M24" s="100">
        <v>187.83</v>
      </c>
      <c r="N24" s="93" t="s">
        <v>368</v>
      </c>
      <c r="O24" s="86">
        <f t="shared" si="0"/>
        <v>0.54944673765999519</v>
      </c>
    </row>
    <row r="25" spans="1:16" ht="15" customHeight="1" x14ac:dyDescent="0.3">
      <c r="A25" s="99" t="s">
        <v>366</v>
      </c>
      <c r="B25" s="97"/>
      <c r="C25" s="98">
        <v>-171</v>
      </c>
      <c r="D25" s="98">
        <v>-171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</row>
    <row r="26" spans="1:16" ht="15" customHeight="1" outlineLevel="1" x14ac:dyDescent="0.3">
      <c r="A26" s="96" t="s">
        <v>28</v>
      </c>
      <c r="B26" s="93" t="s">
        <v>367</v>
      </c>
      <c r="C26" s="95">
        <v>-171</v>
      </c>
      <c r="D26" s="95">
        <v>-171</v>
      </c>
      <c r="E26" s="93" t="s">
        <v>28</v>
      </c>
      <c r="F26" s="93" t="s">
        <v>28</v>
      </c>
      <c r="G26" s="93" t="s">
        <v>28</v>
      </c>
      <c r="H26" s="93" t="s">
        <v>28</v>
      </c>
      <c r="I26" s="93" t="s">
        <v>8</v>
      </c>
      <c r="J26" s="93" t="s">
        <v>366</v>
      </c>
      <c r="K26" s="93" t="s">
        <v>28</v>
      </c>
      <c r="L26" s="93" t="s">
        <v>28</v>
      </c>
      <c r="M26" s="93" t="s">
        <v>28</v>
      </c>
      <c r="N26" s="94"/>
    </row>
    <row r="27" spans="1:16" ht="15" customHeight="1" x14ac:dyDescent="0.3">
      <c r="A27" s="88"/>
      <c r="B27" s="90" t="s">
        <v>365</v>
      </c>
      <c r="C27" s="89">
        <v>28829</v>
      </c>
      <c r="D27" s="88"/>
      <c r="E27" s="88"/>
    </row>
    <row r="28" spans="1:16" ht="15" customHeight="1" x14ac:dyDescent="0.3">
      <c r="A28" s="91"/>
      <c r="B28" s="93" t="s">
        <v>364</v>
      </c>
      <c r="C28" s="92">
        <v>0</v>
      </c>
      <c r="D28" s="91"/>
      <c r="E28" s="91"/>
    </row>
    <row r="29" spans="1:16" ht="15" customHeight="1" x14ac:dyDescent="0.3">
      <c r="A29" s="88"/>
      <c r="B29" s="90" t="s">
        <v>363</v>
      </c>
      <c r="C29" s="89">
        <v>28829</v>
      </c>
      <c r="D29" s="88"/>
      <c r="E29" s="88"/>
    </row>
    <row r="30" spans="1:16" ht="15" customHeight="1" x14ac:dyDescent="0.3">
      <c r="A30" s="91"/>
      <c r="B30" s="93" t="s">
        <v>362</v>
      </c>
      <c r="C30" s="92">
        <v>0</v>
      </c>
      <c r="D30" s="91"/>
      <c r="E30" s="91"/>
    </row>
    <row r="31" spans="1:16" ht="15" customHeight="1" x14ac:dyDescent="0.3">
      <c r="A31" s="88"/>
      <c r="B31" s="90" t="s">
        <v>361</v>
      </c>
      <c r="C31" s="89">
        <v>28829</v>
      </c>
      <c r="D31" s="89">
        <v>28829</v>
      </c>
      <c r="E31" s="88"/>
    </row>
    <row r="32" spans="1:16" ht="15" customHeight="1" x14ac:dyDescent="0.3">
      <c r="A32" s="86" t="s">
        <v>360</v>
      </c>
      <c r="B32" s="86" t="s">
        <v>359</v>
      </c>
    </row>
    <row r="33" spans="1:3" ht="15" customHeight="1" x14ac:dyDescent="0.3">
      <c r="A33" s="87" t="s">
        <v>358</v>
      </c>
      <c r="B33" s="138" t="s">
        <v>424</v>
      </c>
      <c r="C33" s="139">
        <f>SUM(O7:O24)</f>
        <v>5.0568871622324743</v>
      </c>
    </row>
    <row r="34" spans="1:3" ht="15" customHeight="1" x14ac:dyDescent="0.3">
      <c r="A34" s="87" t="s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E59D-34E6-4567-8662-3D550E43B712}">
  <sheetPr codeName="Sheet8">
    <outlinePr summaryBelow="0" summaryRight="0"/>
    <pageSetUpPr fitToPage="1"/>
  </sheetPr>
  <dimension ref="B1:M76"/>
  <sheetViews>
    <sheetView workbookViewId="0">
      <pane ySplit="10" topLeftCell="A56" activePane="bottomLeft" state="frozen"/>
      <selection activeCell="C5" sqref="C5"/>
      <selection pane="bottomLeft" activeCell="L66" sqref="L66"/>
    </sheetView>
  </sheetViews>
  <sheetFormatPr defaultColWidth="9.15234375" defaultRowHeight="15" customHeight="1" outlineLevelRow="3" x14ac:dyDescent="0.3"/>
  <cols>
    <col min="1" max="1" width="4.69140625" style="2" customWidth="1"/>
    <col min="2" max="2" width="55.69140625" style="2" customWidth="1"/>
    <col min="3" max="12" width="12.3046875" style="2" customWidth="1"/>
    <col min="13" max="16384" width="9.15234375" style="2"/>
  </cols>
  <sheetData>
    <row r="1" spans="2:13" ht="15" customHeight="1" x14ac:dyDescent="0.3">
      <c r="B1" s="1"/>
    </row>
    <row r="2" spans="2:13" ht="15" customHeight="1" x14ac:dyDescent="0.3">
      <c r="K2" s="3" t="s">
        <v>0</v>
      </c>
      <c r="L2" s="4" t="s">
        <v>1</v>
      </c>
    </row>
    <row r="3" spans="2:13" ht="15" customHeight="1" x14ac:dyDescent="0.3">
      <c r="K3" s="3" t="s">
        <v>2</v>
      </c>
      <c r="L3" s="5">
        <v>-9</v>
      </c>
    </row>
    <row r="4" spans="2:13" ht="15" customHeight="1" x14ac:dyDescent="0.3">
      <c r="K4" s="3" t="s">
        <v>3</v>
      </c>
      <c r="L4" s="5">
        <v>0</v>
      </c>
    </row>
    <row r="5" spans="2:13" ht="15" customHeight="1" x14ac:dyDescent="0.3">
      <c r="B5" s="6"/>
      <c r="C5" s="6"/>
      <c r="K5" s="3" t="s">
        <v>4</v>
      </c>
      <c r="L5" s="5" t="s">
        <v>5</v>
      </c>
    </row>
    <row r="6" spans="2:13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3" t="s">
        <v>6</v>
      </c>
      <c r="L6" s="4" t="s">
        <v>7</v>
      </c>
      <c r="M6" s="8" t="s">
        <v>8</v>
      </c>
    </row>
    <row r="7" spans="2:13" ht="15" customHeight="1" x14ac:dyDescent="0.3">
      <c r="B7" s="9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ht="15" customHeight="1" x14ac:dyDescent="0.4">
      <c r="B8" s="11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2:13" ht="15" customHeight="1" x14ac:dyDescent="0.3">
      <c r="B9" s="12" t="s">
        <v>11</v>
      </c>
      <c r="C9" s="13">
        <v>42369</v>
      </c>
      <c r="D9" s="13">
        <v>42734</v>
      </c>
      <c r="E9" s="13">
        <v>43098</v>
      </c>
      <c r="F9" s="13">
        <v>43465</v>
      </c>
      <c r="G9" s="13">
        <v>43830</v>
      </c>
      <c r="H9" s="13">
        <v>44196</v>
      </c>
      <c r="I9" s="13">
        <v>44561</v>
      </c>
      <c r="J9" s="13">
        <v>44925</v>
      </c>
      <c r="K9" s="13">
        <v>45289</v>
      </c>
      <c r="L9" s="13">
        <v>45657</v>
      </c>
    </row>
    <row r="10" spans="2:13" ht="15" customHeight="1" x14ac:dyDescent="0.3">
      <c r="B10" s="7"/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13</v>
      </c>
      <c r="L10" s="14" t="s">
        <v>12</v>
      </c>
    </row>
    <row r="11" spans="2:13" ht="15" customHeight="1" x14ac:dyDescent="0.3">
      <c r="B11" s="15" t="s">
        <v>14</v>
      </c>
      <c r="C11" s="16">
        <v>17928</v>
      </c>
      <c r="D11" s="16">
        <v>27638</v>
      </c>
      <c r="E11" s="16">
        <v>40653</v>
      </c>
      <c r="F11" s="16">
        <v>55838</v>
      </c>
      <c r="G11" s="16">
        <v>70697</v>
      </c>
      <c r="H11" s="16">
        <v>85965</v>
      </c>
      <c r="I11" s="16">
        <v>117929</v>
      </c>
      <c r="J11" s="16">
        <v>116609</v>
      </c>
      <c r="K11" s="16">
        <v>134902</v>
      </c>
      <c r="L11" s="16">
        <v>164501</v>
      </c>
    </row>
    <row r="12" spans="2:13" ht="15" customHeight="1" outlineLevel="1" x14ac:dyDescent="0.3">
      <c r="B12" s="17" t="s">
        <v>15</v>
      </c>
      <c r="C12" s="16">
        <v>2867</v>
      </c>
      <c r="D12" s="16">
        <v>3789</v>
      </c>
      <c r="E12" s="16">
        <v>5454</v>
      </c>
      <c r="F12" s="16">
        <v>9355</v>
      </c>
      <c r="G12" s="16">
        <v>12770</v>
      </c>
      <c r="H12" s="16">
        <v>16692</v>
      </c>
      <c r="I12" s="16">
        <v>22649</v>
      </c>
      <c r="J12" s="16">
        <v>23754</v>
      </c>
      <c r="K12" s="16">
        <v>26006</v>
      </c>
      <c r="L12" s="16">
        <v>30130</v>
      </c>
    </row>
    <row r="13" spans="2:13" ht="15" customHeight="1" outlineLevel="2" x14ac:dyDescent="0.3">
      <c r="B13" s="18" t="s">
        <v>16</v>
      </c>
      <c r="C13" s="19">
        <v>922</v>
      </c>
      <c r="D13" s="19">
        <v>1447</v>
      </c>
      <c r="E13" s="19">
        <v>2429</v>
      </c>
      <c r="F13" s="19">
        <v>5040</v>
      </c>
      <c r="G13" s="19">
        <v>7029</v>
      </c>
      <c r="H13" s="19">
        <v>9830</v>
      </c>
      <c r="I13" s="19">
        <v>14682</v>
      </c>
      <c r="J13" s="19">
        <v>15068</v>
      </c>
      <c r="K13" s="19">
        <v>14828</v>
      </c>
      <c r="L13" s="19">
        <v>14632</v>
      </c>
    </row>
    <row r="14" spans="2:13" ht="15" customHeight="1" outlineLevel="2" x14ac:dyDescent="0.3">
      <c r="B14" s="20" t="s">
        <v>17</v>
      </c>
      <c r="C14" s="16">
        <v>1945</v>
      </c>
      <c r="D14" s="16">
        <v>2342</v>
      </c>
      <c r="E14" s="16">
        <v>3025</v>
      </c>
      <c r="F14" s="16">
        <v>4315</v>
      </c>
      <c r="G14" s="16">
        <v>5741</v>
      </c>
      <c r="H14" s="16">
        <v>6862</v>
      </c>
      <c r="I14" s="16">
        <v>7967</v>
      </c>
      <c r="J14" s="16">
        <v>8686</v>
      </c>
      <c r="K14" s="16">
        <v>11178</v>
      </c>
      <c r="L14" s="16">
        <v>15498</v>
      </c>
    </row>
    <row r="15" spans="2:13" ht="15" customHeight="1" outlineLevel="3" x14ac:dyDescent="0.3">
      <c r="B15" s="21" t="s">
        <v>18</v>
      </c>
      <c r="C15" s="19">
        <v>1215</v>
      </c>
      <c r="D15" s="19">
        <v>1591</v>
      </c>
      <c r="E15" s="19">
        <v>2333</v>
      </c>
      <c r="F15" s="19">
        <v>3675</v>
      </c>
      <c r="G15" s="19">
        <v>5179</v>
      </c>
      <c r="H15" s="19">
        <v>6389</v>
      </c>
      <c r="I15" s="19">
        <v>7560</v>
      </c>
      <c r="J15" s="19">
        <v>8501</v>
      </c>
      <c r="K15" s="19">
        <v>11017</v>
      </c>
      <c r="L15" s="19">
        <v>15287</v>
      </c>
    </row>
    <row r="16" spans="2:13" ht="15" customHeight="1" outlineLevel="3" x14ac:dyDescent="0.3">
      <c r="B16" s="21" t="s">
        <v>19</v>
      </c>
      <c r="C16" s="19">
        <v>730</v>
      </c>
      <c r="D16" s="19">
        <v>751</v>
      </c>
      <c r="E16" s="19">
        <v>692</v>
      </c>
      <c r="F16" s="19">
        <v>640</v>
      </c>
      <c r="G16" s="19">
        <v>562</v>
      </c>
      <c r="H16" s="19">
        <v>473</v>
      </c>
      <c r="I16" s="19">
        <v>407</v>
      </c>
      <c r="J16" s="19">
        <v>185</v>
      </c>
      <c r="K16" s="19">
        <v>161</v>
      </c>
      <c r="L16" s="19">
        <v>211</v>
      </c>
    </row>
    <row r="17" spans="2:12" ht="15" customHeight="1" x14ac:dyDescent="0.3">
      <c r="B17" s="15" t="s">
        <v>20</v>
      </c>
      <c r="C17" s="16">
        <v>15061</v>
      </c>
      <c r="D17" s="16">
        <v>23849</v>
      </c>
      <c r="E17" s="16">
        <v>35199</v>
      </c>
      <c r="F17" s="16">
        <v>46483</v>
      </c>
      <c r="G17" s="16">
        <v>57927</v>
      </c>
      <c r="H17" s="16">
        <v>69273</v>
      </c>
      <c r="I17" s="16">
        <v>95280</v>
      </c>
      <c r="J17" s="16">
        <v>92855</v>
      </c>
      <c r="K17" s="16">
        <v>108896</v>
      </c>
      <c r="L17" s="16">
        <v>134371</v>
      </c>
    </row>
    <row r="18" spans="2:12" ht="15" customHeight="1" outlineLevel="1" x14ac:dyDescent="0.3">
      <c r="B18" s="17" t="s">
        <v>21</v>
      </c>
      <c r="C18" s="16">
        <v>8767</v>
      </c>
      <c r="D18" s="16">
        <v>11422</v>
      </c>
      <c r="E18" s="16">
        <v>14996</v>
      </c>
      <c r="F18" s="16">
        <v>21570</v>
      </c>
      <c r="G18" s="16">
        <v>28941</v>
      </c>
      <c r="H18" s="16">
        <v>36602</v>
      </c>
      <c r="I18" s="16">
        <v>48527</v>
      </c>
      <c r="J18" s="16">
        <v>59300</v>
      </c>
      <c r="K18" s="16">
        <v>58693</v>
      </c>
      <c r="L18" s="16">
        <v>64602</v>
      </c>
    </row>
    <row r="19" spans="2:12" ht="15" customHeight="1" outlineLevel="2" x14ac:dyDescent="0.3">
      <c r="B19" s="18" t="s">
        <v>22</v>
      </c>
      <c r="C19" s="19">
        <v>4747</v>
      </c>
      <c r="D19" s="19">
        <v>5919</v>
      </c>
      <c r="E19" s="19">
        <v>7754</v>
      </c>
      <c r="F19" s="19">
        <v>10273</v>
      </c>
      <c r="G19" s="19">
        <v>13600</v>
      </c>
      <c r="H19" s="19">
        <v>18447</v>
      </c>
      <c r="I19" s="19">
        <v>24655</v>
      </c>
      <c r="J19" s="19">
        <v>33619</v>
      </c>
      <c r="K19" s="19">
        <v>36489</v>
      </c>
      <c r="L19" s="19">
        <v>43619</v>
      </c>
    </row>
    <row r="20" spans="2:12" ht="15" customHeight="1" outlineLevel="2" x14ac:dyDescent="0.3">
      <c r="B20" s="18" t="s">
        <v>23</v>
      </c>
      <c r="C20" s="19">
        <v>4020</v>
      </c>
      <c r="D20" s="19">
        <v>5503</v>
      </c>
      <c r="E20" s="19">
        <v>7242</v>
      </c>
      <c r="F20" s="19">
        <v>11297</v>
      </c>
      <c r="G20" s="19">
        <v>15341</v>
      </c>
      <c r="H20" s="19">
        <v>18155</v>
      </c>
      <c r="I20" s="19">
        <v>23872</v>
      </c>
      <c r="J20" s="19">
        <v>25681</v>
      </c>
      <c r="K20" s="19">
        <v>22204</v>
      </c>
      <c r="L20" s="19">
        <v>20983</v>
      </c>
    </row>
    <row r="21" spans="2:12" ht="15" customHeight="1" x14ac:dyDescent="0.3">
      <c r="B21" s="15" t="s">
        <v>24</v>
      </c>
      <c r="C21" s="16">
        <v>6294</v>
      </c>
      <c r="D21" s="16">
        <v>12427</v>
      </c>
      <c r="E21" s="16">
        <v>20203</v>
      </c>
      <c r="F21" s="16">
        <v>24913</v>
      </c>
      <c r="G21" s="16">
        <v>28986</v>
      </c>
      <c r="H21" s="16">
        <v>32671</v>
      </c>
      <c r="I21" s="16">
        <v>46753</v>
      </c>
      <c r="J21" s="16">
        <v>33555</v>
      </c>
      <c r="K21" s="16">
        <v>50203</v>
      </c>
      <c r="L21" s="16">
        <v>69769</v>
      </c>
    </row>
    <row r="22" spans="2:12" ht="15" customHeight="1" outlineLevel="1" x14ac:dyDescent="0.3">
      <c r="B22" s="17" t="s">
        <v>25</v>
      </c>
      <c r="C22" s="16">
        <v>-8</v>
      </c>
      <c r="D22" s="16">
        <v>91</v>
      </c>
      <c r="E22" s="16">
        <v>391</v>
      </c>
      <c r="F22" s="16">
        <v>448</v>
      </c>
      <c r="G22" s="16">
        <v>846</v>
      </c>
      <c r="H22" s="16">
        <v>509</v>
      </c>
      <c r="I22" s="16">
        <v>531</v>
      </c>
      <c r="J22" s="16">
        <v>35</v>
      </c>
      <c r="K22" s="16">
        <v>1123</v>
      </c>
      <c r="L22" s="16">
        <v>1998</v>
      </c>
    </row>
    <row r="23" spans="2:12" ht="15" customHeight="1" outlineLevel="2" x14ac:dyDescent="0.3">
      <c r="B23" s="18" t="s">
        <v>26</v>
      </c>
      <c r="C23" s="19">
        <v>52</v>
      </c>
      <c r="D23" s="19">
        <v>176</v>
      </c>
      <c r="E23" s="19">
        <v>398</v>
      </c>
      <c r="F23" s="19">
        <v>661</v>
      </c>
      <c r="G23" s="19">
        <v>924</v>
      </c>
      <c r="H23" s="19">
        <v>672</v>
      </c>
      <c r="I23" s="19">
        <v>461</v>
      </c>
      <c r="J23" s="19">
        <v>436</v>
      </c>
      <c r="K23" s="19">
        <v>1639</v>
      </c>
      <c r="L23" s="19">
        <v>2517</v>
      </c>
    </row>
    <row r="24" spans="2:12" ht="15" customHeight="1" outlineLevel="2" x14ac:dyDescent="0.3">
      <c r="B24" s="18" t="s">
        <v>27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 t="s">
        <v>28</v>
      </c>
    </row>
    <row r="25" spans="2:12" ht="15" customHeight="1" outlineLevel="2" x14ac:dyDescent="0.3">
      <c r="B25" s="18" t="s">
        <v>29</v>
      </c>
      <c r="C25" s="19">
        <v>-60</v>
      </c>
      <c r="D25" s="19">
        <v>-85</v>
      </c>
      <c r="E25" s="19">
        <v>-7</v>
      </c>
      <c r="F25" s="19">
        <v>-213</v>
      </c>
      <c r="G25" s="19">
        <v>-78</v>
      </c>
      <c r="H25" s="19">
        <v>-163</v>
      </c>
      <c r="I25" s="19">
        <v>70</v>
      </c>
      <c r="J25" s="19">
        <v>-401</v>
      </c>
      <c r="K25" s="19">
        <v>-516</v>
      </c>
      <c r="L25" s="19">
        <v>-519</v>
      </c>
    </row>
    <row r="26" spans="2:12" ht="15" customHeight="1" outlineLevel="1" x14ac:dyDescent="0.3">
      <c r="B26" s="17" t="s">
        <v>30</v>
      </c>
      <c r="C26" s="16">
        <v>23</v>
      </c>
      <c r="D26" s="16">
        <v>0</v>
      </c>
      <c r="E26" s="16" t="s">
        <v>28</v>
      </c>
      <c r="F26" s="16" t="s">
        <v>28</v>
      </c>
      <c r="G26" s="16">
        <v>20</v>
      </c>
      <c r="H26" s="16" t="s">
        <v>28</v>
      </c>
      <c r="I26" s="16" t="s">
        <v>28</v>
      </c>
      <c r="J26" s="16">
        <v>160</v>
      </c>
      <c r="K26" s="16">
        <v>446</v>
      </c>
      <c r="L26" s="16">
        <v>715</v>
      </c>
    </row>
    <row r="27" spans="2:12" ht="15" customHeight="1" outlineLevel="2" x14ac:dyDescent="0.3">
      <c r="B27" s="18" t="s">
        <v>31</v>
      </c>
      <c r="C27" s="19">
        <v>23</v>
      </c>
      <c r="D27" s="19">
        <v>0</v>
      </c>
      <c r="E27" s="19" t="s">
        <v>28</v>
      </c>
      <c r="F27" s="19" t="s">
        <v>28</v>
      </c>
      <c r="G27" s="19">
        <v>20</v>
      </c>
      <c r="H27" s="19" t="s">
        <v>28</v>
      </c>
      <c r="I27" s="19" t="s">
        <v>28</v>
      </c>
      <c r="J27" s="19">
        <v>160</v>
      </c>
      <c r="K27" s="19">
        <v>446</v>
      </c>
      <c r="L27" s="19">
        <v>715</v>
      </c>
    </row>
    <row r="28" spans="2:12" ht="15" customHeight="1" outlineLevel="2" x14ac:dyDescent="0.3">
      <c r="B28" s="18" t="s">
        <v>32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</row>
    <row r="29" spans="2:12" ht="15" customHeight="1" outlineLevel="1" x14ac:dyDescent="0.3">
      <c r="B29" s="17" t="s">
        <v>33</v>
      </c>
      <c r="C29" s="16">
        <v>69</v>
      </c>
      <c r="D29" s="16" t="s">
        <v>28</v>
      </c>
      <c r="E29" s="16" t="s">
        <v>28</v>
      </c>
      <c r="F29" s="16" t="s">
        <v>28</v>
      </c>
      <c r="G29" s="16">
        <v>5000</v>
      </c>
      <c r="H29" s="16">
        <v>0</v>
      </c>
      <c r="I29" s="16">
        <v>0</v>
      </c>
      <c r="J29" s="16">
        <v>4611</v>
      </c>
      <c r="K29" s="16">
        <v>3452</v>
      </c>
      <c r="L29" s="16">
        <v>389</v>
      </c>
    </row>
    <row r="30" spans="2:12" ht="15" customHeight="1" outlineLevel="2" x14ac:dyDescent="0.3">
      <c r="B30" s="20" t="s">
        <v>34</v>
      </c>
      <c r="C30" s="16" t="s">
        <v>28</v>
      </c>
      <c r="D30" s="16" t="s">
        <v>28</v>
      </c>
      <c r="E30" s="16" t="s">
        <v>28</v>
      </c>
      <c r="F30" s="16" t="s">
        <v>28</v>
      </c>
      <c r="G30" s="16" t="s">
        <v>28</v>
      </c>
      <c r="H30" s="16" t="s">
        <v>28</v>
      </c>
      <c r="I30" s="16" t="s">
        <v>28</v>
      </c>
      <c r="J30" s="16" t="s">
        <v>28</v>
      </c>
      <c r="K30" s="16" t="s">
        <v>28</v>
      </c>
      <c r="L30" s="16" t="s">
        <v>28</v>
      </c>
    </row>
    <row r="31" spans="2:12" ht="15" customHeight="1" outlineLevel="3" x14ac:dyDescent="0.3">
      <c r="B31" s="21" t="s">
        <v>35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</row>
    <row r="32" spans="2:12" ht="15" customHeight="1" outlineLevel="3" x14ac:dyDescent="0.3">
      <c r="B32" s="21" t="s">
        <v>36</v>
      </c>
      <c r="C32" s="19" t="s">
        <v>28</v>
      </c>
      <c r="D32" s="19" t="s">
        <v>28</v>
      </c>
      <c r="E32" s="19" t="s">
        <v>28</v>
      </c>
      <c r="F32" s="19" t="s">
        <v>28</v>
      </c>
      <c r="G32" s="19" t="s">
        <v>28</v>
      </c>
      <c r="H32" s="19" t="s">
        <v>28</v>
      </c>
      <c r="I32" s="19" t="s">
        <v>28</v>
      </c>
      <c r="J32" s="19" t="s">
        <v>28</v>
      </c>
      <c r="K32" s="19" t="s">
        <v>28</v>
      </c>
      <c r="L32" s="19" t="s">
        <v>28</v>
      </c>
    </row>
    <row r="33" spans="2:12" ht="15" customHeight="1" outlineLevel="3" x14ac:dyDescent="0.3">
      <c r="B33" s="21" t="s">
        <v>37</v>
      </c>
      <c r="C33" s="19" t="s">
        <v>28</v>
      </c>
      <c r="D33" s="19" t="s">
        <v>28</v>
      </c>
      <c r="E33" s="19" t="s">
        <v>28</v>
      </c>
      <c r="F33" s="19" t="s">
        <v>28</v>
      </c>
      <c r="G33" s="19" t="s">
        <v>28</v>
      </c>
      <c r="H33" s="19" t="s">
        <v>28</v>
      </c>
      <c r="I33" s="19" t="s">
        <v>28</v>
      </c>
      <c r="J33" s="19" t="s">
        <v>28</v>
      </c>
      <c r="K33" s="19" t="s">
        <v>28</v>
      </c>
      <c r="L33" s="19" t="s">
        <v>28</v>
      </c>
    </row>
    <row r="34" spans="2:12" ht="15" customHeight="1" outlineLevel="2" x14ac:dyDescent="0.3">
      <c r="B34" s="18" t="s">
        <v>38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4611</v>
      </c>
      <c r="K34" s="19">
        <v>3452</v>
      </c>
      <c r="L34" s="19">
        <v>389</v>
      </c>
    </row>
    <row r="35" spans="2:12" ht="15" customHeight="1" outlineLevel="2" x14ac:dyDescent="0.3">
      <c r="B35" s="18" t="s">
        <v>39</v>
      </c>
      <c r="C35" s="19" t="s">
        <v>28</v>
      </c>
      <c r="D35" s="19" t="s">
        <v>28</v>
      </c>
      <c r="E35" s="19" t="s">
        <v>28</v>
      </c>
      <c r="F35" s="19" t="s">
        <v>28</v>
      </c>
      <c r="G35" s="19">
        <v>5000</v>
      </c>
      <c r="H35" s="19">
        <v>0</v>
      </c>
      <c r="I35" s="19">
        <v>0</v>
      </c>
      <c r="J35" s="19" t="s">
        <v>28</v>
      </c>
      <c r="K35" s="19" t="s">
        <v>28</v>
      </c>
      <c r="L35" s="19" t="s">
        <v>28</v>
      </c>
    </row>
    <row r="36" spans="2:12" ht="15" customHeight="1" outlineLevel="2" x14ac:dyDescent="0.3">
      <c r="B36" s="20" t="s">
        <v>40</v>
      </c>
      <c r="C36" s="16" t="s">
        <v>28</v>
      </c>
      <c r="D36" s="16" t="s">
        <v>28</v>
      </c>
      <c r="E36" s="16" t="s">
        <v>28</v>
      </c>
      <c r="F36" s="16" t="s">
        <v>28</v>
      </c>
      <c r="G36" s="16" t="s">
        <v>28</v>
      </c>
      <c r="H36" s="16" t="s">
        <v>28</v>
      </c>
      <c r="I36" s="16" t="s">
        <v>28</v>
      </c>
      <c r="J36" s="16" t="s">
        <v>28</v>
      </c>
      <c r="K36" s="16" t="s">
        <v>28</v>
      </c>
      <c r="L36" s="16" t="s">
        <v>28</v>
      </c>
    </row>
    <row r="37" spans="2:12" ht="15" customHeight="1" outlineLevel="3" x14ac:dyDescent="0.3">
      <c r="B37" s="21" t="s">
        <v>41</v>
      </c>
      <c r="C37" s="19" t="s">
        <v>28</v>
      </c>
      <c r="D37" s="19" t="s">
        <v>28</v>
      </c>
      <c r="E37" s="19" t="s">
        <v>28</v>
      </c>
      <c r="F37" s="19" t="s">
        <v>28</v>
      </c>
      <c r="G37" s="19" t="s">
        <v>28</v>
      </c>
      <c r="H37" s="19" t="s">
        <v>28</v>
      </c>
      <c r="I37" s="19" t="s">
        <v>28</v>
      </c>
      <c r="J37" s="19" t="s">
        <v>28</v>
      </c>
      <c r="K37" s="19" t="s">
        <v>28</v>
      </c>
      <c r="L37" s="19" t="s">
        <v>28</v>
      </c>
    </row>
    <row r="38" spans="2:12" ht="15" customHeight="1" outlineLevel="3" x14ac:dyDescent="0.3">
      <c r="B38" s="21" t="s">
        <v>42</v>
      </c>
      <c r="C38" s="19" t="s">
        <v>28</v>
      </c>
      <c r="D38" s="19" t="s">
        <v>28</v>
      </c>
      <c r="E38" s="19" t="s">
        <v>28</v>
      </c>
      <c r="F38" s="19" t="s">
        <v>28</v>
      </c>
      <c r="G38" s="19" t="s">
        <v>28</v>
      </c>
      <c r="H38" s="19" t="s">
        <v>28</v>
      </c>
      <c r="I38" s="19" t="s">
        <v>28</v>
      </c>
      <c r="J38" s="19" t="s">
        <v>28</v>
      </c>
      <c r="K38" s="19" t="s">
        <v>28</v>
      </c>
      <c r="L38" s="19" t="s">
        <v>28</v>
      </c>
    </row>
    <row r="39" spans="2:12" ht="15" customHeight="1" outlineLevel="3" x14ac:dyDescent="0.3">
      <c r="B39" s="21" t="s">
        <v>43</v>
      </c>
      <c r="C39" s="19" t="s">
        <v>28</v>
      </c>
      <c r="D39" s="19" t="s">
        <v>28</v>
      </c>
      <c r="E39" s="19" t="s">
        <v>28</v>
      </c>
      <c r="F39" s="19" t="s">
        <v>28</v>
      </c>
      <c r="G39" s="19" t="s">
        <v>28</v>
      </c>
      <c r="H39" s="19" t="s">
        <v>28</v>
      </c>
      <c r="I39" s="19" t="s">
        <v>28</v>
      </c>
      <c r="J39" s="19" t="s">
        <v>28</v>
      </c>
      <c r="K39" s="19" t="s">
        <v>28</v>
      </c>
      <c r="L39" s="19" t="s">
        <v>28</v>
      </c>
    </row>
    <row r="40" spans="2:12" ht="15" customHeight="1" outlineLevel="3" x14ac:dyDescent="0.3">
      <c r="B40" s="21" t="s">
        <v>44</v>
      </c>
      <c r="C40" s="19" t="s">
        <v>28</v>
      </c>
      <c r="D40" s="19" t="s">
        <v>28</v>
      </c>
      <c r="E40" s="19" t="s">
        <v>28</v>
      </c>
      <c r="F40" s="19" t="s">
        <v>28</v>
      </c>
      <c r="G40" s="19" t="s">
        <v>28</v>
      </c>
      <c r="H40" s="19" t="s">
        <v>28</v>
      </c>
      <c r="I40" s="19" t="s">
        <v>28</v>
      </c>
      <c r="J40" s="19" t="s">
        <v>28</v>
      </c>
      <c r="K40" s="19" t="s">
        <v>28</v>
      </c>
      <c r="L40" s="19" t="s">
        <v>28</v>
      </c>
    </row>
    <row r="41" spans="2:12" ht="15" customHeight="1" outlineLevel="3" x14ac:dyDescent="0.3">
      <c r="B41" s="21" t="s">
        <v>45</v>
      </c>
      <c r="C41" s="19" t="s">
        <v>28</v>
      </c>
      <c r="D41" s="19" t="s">
        <v>28</v>
      </c>
      <c r="E41" s="19" t="s">
        <v>28</v>
      </c>
      <c r="F41" s="19" t="s">
        <v>28</v>
      </c>
      <c r="G41" s="19" t="s">
        <v>28</v>
      </c>
      <c r="H41" s="19" t="s">
        <v>28</v>
      </c>
      <c r="I41" s="19" t="s">
        <v>28</v>
      </c>
      <c r="J41" s="19" t="s">
        <v>28</v>
      </c>
      <c r="K41" s="19" t="s">
        <v>28</v>
      </c>
      <c r="L41" s="19" t="s">
        <v>28</v>
      </c>
    </row>
    <row r="42" spans="2:12" ht="15" customHeight="1" outlineLevel="2" x14ac:dyDescent="0.3">
      <c r="B42" s="20" t="s">
        <v>46</v>
      </c>
      <c r="C42" s="16" t="s">
        <v>28</v>
      </c>
      <c r="D42" s="16" t="s">
        <v>28</v>
      </c>
      <c r="E42" s="16" t="s">
        <v>28</v>
      </c>
      <c r="F42" s="16" t="s">
        <v>28</v>
      </c>
      <c r="G42" s="16" t="s">
        <v>28</v>
      </c>
      <c r="H42" s="16" t="s">
        <v>28</v>
      </c>
      <c r="I42" s="16" t="s">
        <v>28</v>
      </c>
      <c r="J42" s="16" t="s">
        <v>28</v>
      </c>
      <c r="K42" s="16" t="s">
        <v>28</v>
      </c>
      <c r="L42" s="16" t="s">
        <v>28</v>
      </c>
    </row>
    <row r="43" spans="2:12" ht="15" customHeight="1" outlineLevel="3" x14ac:dyDescent="0.3">
      <c r="B43" s="21" t="s">
        <v>47</v>
      </c>
      <c r="C43" s="19" t="s">
        <v>28</v>
      </c>
      <c r="D43" s="19" t="s">
        <v>28</v>
      </c>
      <c r="E43" s="19" t="s">
        <v>28</v>
      </c>
      <c r="F43" s="19" t="s">
        <v>28</v>
      </c>
      <c r="G43" s="19" t="s">
        <v>28</v>
      </c>
      <c r="H43" s="19" t="s">
        <v>28</v>
      </c>
      <c r="I43" s="19" t="s">
        <v>28</v>
      </c>
      <c r="J43" s="19" t="s">
        <v>28</v>
      </c>
      <c r="K43" s="19" t="s">
        <v>28</v>
      </c>
      <c r="L43" s="19" t="s">
        <v>28</v>
      </c>
    </row>
    <row r="44" spans="2:12" ht="15" customHeight="1" outlineLevel="3" x14ac:dyDescent="0.3">
      <c r="B44" s="21" t="s">
        <v>48</v>
      </c>
      <c r="C44" s="19" t="s">
        <v>28</v>
      </c>
      <c r="D44" s="19" t="s">
        <v>28</v>
      </c>
      <c r="E44" s="19" t="s">
        <v>28</v>
      </c>
      <c r="F44" s="19" t="s">
        <v>28</v>
      </c>
      <c r="G44" s="19" t="s">
        <v>28</v>
      </c>
      <c r="H44" s="19" t="s">
        <v>28</v>
      </c>
      <c r="I44" s="19" t="s">
        <v>28</v>
      </c>
      <c r="J44" s="19" t="s">
        <v>28</v>
      </c>
      <c r="K44" s="19" t="s">
        <v>28</v>
      </c>
      <c r="L44" s="19" t="s">
        <v>28</v>
      </c>
    </row>
    <row r="45" spans="2:12" ht="15" customHeight="1" outlineLevel="3" x14ac:dyDescent="0.3">
      <c r="B45" s="21" t="s">
        <v>49</v>
      </c>
      <c r="C45" s="19" t="s">
        <v>28</v>
      </c>
      <c r="D45" s="19" t="s">
        <v>28</v>
      </c>
      <c r="E45" s="19" t="s">
        <v>28</v>
      </c>
      <c r="F45" s="19" t="s">
        <v>28</v>
      </c>
      <c r="G45" s="19" t="s">
        <v>28</v>
      </c>
      <c r="H45" s="19" t="s">
        <v>28</v>
      </c>
      <c r="I45" s="19" t="s">
        <v>28</v>
      </c>
      <c r="J45" s="19" t="s">
        <v>28</v>
      </c>
      <c r="K45" s="19" t="s">
        <v>28</v>
      </c>
      <c r="L45" s="19" t="s">
        <v>28</v>
      </c>
    </row>
    <row r="46" spans="2:12" ht="15" customHeight="1" outlineLevel="3" x14ac:dyDescent="0.3">
      <c r="B46" s="21" t="s">
        <v>50</v>
      </c>
      <c r="C46" s="19" t="s">
        <v>28</v>
      </c>
      <c r="D46" s="19" t="s">
        <v>28</v>
      </c>
      <c r="E46" s="19" t="s">
        <v>28</v>
      </c>
      <c r="F46" s="19" t="s">
        <v>28</v>
      </c>
      <c r="G46" s="19" t="s">
        <v>28</v>
      </c>
      <c r="H46" s="19" t="s">
        <v>28</v>
      </c>
      <c r="I46" s="19" t="s">
        <v>28</v>
      </c>
      <c r="J46" s="19" t="s">
        <v>28</v>
      </c>
      <c r="K46" s="19" t="s">
        <v>28</v>
      </c>
      <c r="L46" s="19" t="s">
        <v>28</v>
      </c>
    </row>
    <row r="47" spans="2:12" ht="15" customHeight="1" outlineLevel="3" x14ac:dyDescent="0.3">
      <c r="B47" s="21" t="s">
        <v>51</v>
      </c>
      <c r="C47" s="19" t="s">
        <v>28</v>
      </c>
      <c r="D47" s="19" t="s">
        <v>28</v>
      </c>
      <c r="E47" s="19" t="s">
        <v>28</v>
      </c>
      <c r="F47" s="19" t="s">
        <v>28</v>
      </c>
      <c r="G47" s="19" t="s">
        <v>28</v>
      </c>
      <c r="H47" s="19" t="s">
        <v>28</v>
      </c>
      <c r="I47" s="19" t="s">
        <v>28</v>
      </c>
      <c r="J47" s="19" t="s">
        <v>28</v>
      </c>
      <c r="K47" s="19" t="s">
        <v>28</v>
      </c>
      <c r="L47" s="19" t="s">
        <v>28</v>
      </c>
    </row>
    <row r="48" spans="2:12" ht="15" customHeight="1" outlineLevel="3" x14ac:dyDescent="0.3">
      <c r="B48" s="21" t="s">
        <v>52</v>
      </c>
      <c r="C48" s="19" t="s">
        <v>28</v>
      </c>
      <c r="D48" s="19" t="s">
        <v>28</v>
      </c>
      <c r="E48" s="19" t="s">
        <v>28</v>
      </c>
      <c r="F48" s="19" t="s">
        <v>28</v>
      </c>
      <c r="G48" s="19" t="s">
        <v>28</v>
      </c>
      <c r="H48" s="19" t="s">
        <v>28</v>
      </c>
      <c r="I48" s="19" t="s">
        <v>28</v>
      </c>
      <c r="J48" s="19" t="s">
        <v>28</v>
      </c>
      <c r="K48" s="19" t="s">
        <v>28</v>
      </c>
      <c r="L48" s="19" t="s">
        <v>28</v>
      </c>
    </row>
    <row r="49" spans="2:12" ht="15" customHeight="1" x14ac:dyDescent="0.3">
      <c r="B49" s="15" t="s">
        <v>53</v>
      </c>
      <c r="C49" s="16">
        <v>6194</v>
      </c>
      <c r="D49" s="16">
        <v>12518</v>
      </c>
      <c r="E49" s="16">
        <v>20594</v>
      </c>
      <c r="F49" s="16">
        <v>25361</v>
      </c>
      <c r="G49" s="16">
        <v>24812</v>
      </c>
      <c r="H49" s="16">
        <v>33180</v>
      </c>
      <c r="I49" s="16">
        <v>47284</v>
      </c>
      <c r="J49" s="16">
        <v>28819</v>
      </c>
      <c r="K49" s="16">
        <v>47428</v>
      </c>
      <c r="L49" s="16">
        <v>70663</v>
      </c>
    </row>
    <row r="50" spans="2:12" ht="15" customHeight="1" outlineLevel="1" x14ac:dyDescent="0.3">
      <c r="B50" s="17" t="s">
        <v>54</v>
      </c>
      <c r="C50" s="16">
        <v>2506</v>
      </c>
      <c r="D50" s="16">
        <v>2301</v>
      </c>
      <c r="E50" s="16">
        <v>4660</v>
      </c>
      <c r="F50" s="16">
        <v>3249</v>
      </c>
      <c r="G50" s="16">
        <v>6327</v>
      </c>
      <c r="H50" s="16">
        <v>4034</v>
      </c>
      <c r="I50" s="16">
        <v>7914</v>
      </c>
      <c r="J50" s="16">
        <v>5619</v>
      </c>
      <c r="K50" s="16">
        <v>8330</v>
      </c>
      <c r="L50" s="16">
        <v>8303</v>
      </c>
    </row>
    <row r="51" spans="2:12" ht="15" customHeight="1" outlineLevel="2" x14ac:dyDescent="0.3">
      <c r="B51" s="18" t="s">
        <v>55</v>
      </c>
      <c r="C51" s="19">
        <v>3195</v>
      </c>
      <c r="D51" s="19">
        <v>2563</v>
      </c>
      <c r="E51" s="19">
        <v>4645</v>
      </c>
      <c r="F51" s="19">
        <v>1923</v>
      </c>
      <c r="G51" s="19">
        <v>4886</v>
      </c>
      <c r="H51" s="19">
        <v>3820</v>
      </c>
      <c r="I51" s="19">
        <v>5519</v>
      </c>
      <c r="J51" s="19">
        <v>6968</v>
      </c>
      <c r="K51" s="19">
        <v>5511</v>
      </c>
      <c r="L51" s="19">
        <v>10344</v>
      </c>
    </row>
    <row r="52" spans="2:12" ht="15" customHeight="1" outlineLevel="2" x14ac:dyDescent="0.3">
      <c r="B52" s="18" t="s">
        <v>56</v>
      </c>
      <c r="C52" s="19">
        <v>123</v>
      </c>
      <c r="D52" s="19">
        <v>195</v>
      </c>
      <c r="E52" s="19">
        <v>389</v>
      </c>
      <c r="F52" s="19">
        <v>1031</v>
      </c>
      <c r="G52" s="19">
        <v>1481</v>
      </c>
      <c r="H52" s="19">
        <v>1211</v>
      </c>
      <c r="I52" s="19">
        <v>1786</v>
      </c>
      <c r="J52" s="19">
        <v>1928</v>
      </c>
      <c r="K52" s="19">
        <v>2688</v>
      </c>
      <c r="L52" s="19">
        <v>2696</v>
      </c>
    </row>
    <row r="53" spans="2:12" ht="15" customHeight="1" outlineLevel="2" x14ac:dyDescent="0.3">
      <c r="B53" s="18" t="s">
        <v>57</v>
      </c>
      <c r="C53" s="19">
        <v>-817</v>
      </c>
      <c r="D53" s="19">
        <v>-432</v>
      </c>
      <c r="E53" s="19">
        <v>-329</v>
      </c>
      <c r="F53" s="19">
        <v>350</v>
      </c>
      <c r="G53" s="19">
        <v>-20</v>
      </c>
      <c r="H53" s="19">
        <v>-981</v>
      </c>
      <c r="I53" s="19">
        <v>628</v>
      </c>
      <c r="J53" s="19">
        <v>-3181</v>
      </c>
      <c r="K53" s="19">
        <v>190</v>
      </c>
      <c r="L53" s="19">
        <v>-4752</v>
      </c>
    </row>
    <row r="54" spans="2:12" ht="15" customHeight="1" outlineLevel="2" x14ac:dyDescent="0.3">
      <c r="B54" s="18" t="s">
        <v>58</v>
      </c>
      <c r="C54" s="19">
        <v>5</v>
      </c>
      <c r="D54" s="19">
        <v>-25</v>
      </c>
      <c r="E54" s="19">
        <v>-45</v>
      </c>
      <c r="F54" s="19">
        <v>-55</v>
      </c>
      <c r="G54" s="19">
        <v>-20</v>
      </c>
      <c r="H54" s="19">
        <v>-16</v>
      </c>
      <c r="I54" s="19">
        <v>-19</v>
      </c>
      <c r="J54" s="19">
        <v>-96</v>
      </c>
      <c r="K54" s="19">
        <v>-59</v>
      </c>
      <c r="L54" s="19">
        <v>15</v>
      </c>
    </row>
    <row r="55" spans="2:12" ht="15" customHeight="1" outlineLevel="2" x14ac:dyDescent="0.3">
      <c r="B55" s="18" t="s">
        <v>59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</row>
    <row r="56" spans="2:12" ht="15" customHeight="1" outlineLevel="1" x14ac:dyDescent="0.3">
      <c r="B56" s="22" t="s">
        <v>27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 t="s">
        <v>28</v>
      </c>
    </row>
    <row r="57" spans="2:12" ht="15" customHeight="1" x14ac:dyDescent="0.3">
      <c r="B57" s="15" t="s">
        <v>60</v>
      </c>
      <c r="C57" s="16">
        <v>3669</v>
      </c>
      <c r="D57" s="16">
        <v>10188</v>
      </c>
      <c r="E57" s="16">
        <v>15920</v>
      </c>
      <c r="F57" s="16">
        <v>22111</v>
      </c>
      <c r="G57" s="16">
        <v>18485</v>
      </c>
      <c r="H57" s="16">
        <v>29146</v>
      </c>
      <c r="I57" s="16">
        <v>39370</v>
      </c>
      <c r="J57" s="16">
        <v>23200</v>
      </c>
      <c r="K57" s="16">
        <v>39098</v>
      </c>
      <c r="L57" s="16">
        <v>62360</v>
      </c>
    </row>
    <row r="58" spans="2:12" ht="15" customHeight="1" outlineLevel="1" x14ac:dyDescent="0.3">
      <c r="B58" s="22" t="s">
        <v>61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</row>
    <row r="59" spans="2:12" ht="15" customHeight="1" x14ac:dyDescent="0.3">
      <c r="B59" s="15" t="s">
        <v>62</v>
      </c>
      <c r="C59" s="16">
        <v>3669</v>
      </c>
      <c r="D59" s="16">
        <v>10188</v>
      </c>
      <c r="E59" s="16">
        <v>15920</v>
      </c>
      <c r="F59" s="16">
        <v>22111</v>
      </c>
      <c r="G59" s="16">
        <v>18485</v>
      </c>
      <c r="H59" s="16">
        <v>29146</v>
      </c>
      <c r="I59" s="16">
        <v>39370</v>
      </c>
      <c r="J59" s="16">
        <v>23200</v>
      </c>
      <c r="K59" s="16">
        <v>39098</v>
      </c>
      <c r="L59" s="16">
        <v>62360</v>
      </c>
    </row>
    <row r="60" spans="2:12" ht="15" customHeight="1" outlineLevel="1" x14ac:dyDescent="0.3">
      <c r="B60" s="22" t="s">
        <v>63</v>
      </c>
      <c r="C60" s="19">
        <v>3669</v>
      </c>
      <c r="D60" s="19">
        <v>10188</v>
      </c>
      <c r="E60" s="19">
        <v>15920</v>
      </c>
      <c r="F60" s="19">
        <v>22111</v>
      </c>
      <c r="G60" s="19">
        <v>18485</v>
      </c>
      <c r="H60" s="19">
        <v>29146</v>
      </c>
      <c r="I60" s="19">
        <v>39370</v>
      </c>
      <c r="J60" s="19">
        <v>23200</v>
      </c>
      <c r="K60" s="19">
        <v>39098</v>
      </c>
      <c r="L60" s="19">
        <v>62360</v>
      </c>
    </row>
    <row r="61" spans="2:12" ht="15" customHeight="1" x14ac:dyDescent="0.3">
      <c r="B61" s="15" t="s">
        <v>64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2:12" ht="15" customHeight="1" outlineLevel="1" x14ac:dyDescent="0.3">
      <c r="B62" s="22" t="s">
        <v>65</v>
      </c>
      <c r="C62" s="24">
        <v>1.30960392569225</v>
      </c>
      <c r="D62" s="24">
        <v>3.4929914529914501</v>
      </c>
      <c r="E62" s="24">
        <v>5.39039242219215</v>
      </c>
      <c r="F62" s="24">
        <v>7.5700102704553203</v>
      </c>
      <c r="G62" s="24">
        <v>7.6442976356050103</v>
      </c>
      <c r="H62" s="24">
        <v>10.092105263157899</v>
      </c>
      <c r="I62" s="24">
        <v>13.770549143057</v>
      </c>
      <c r="J62" s="24">
        <v>9.7807920059215405</v>
      </c>
      <c r="K62" s="24">
        <v>15.7909471281856</v>
      </c>
      <c r="L62" s="24">
        <v>23.9603289977047</v>
      </c>
    </row>
    <row r="63" spans="2:12" ht="15" customHeight="1" outlineLevel="1" x14ac:dyDescent="0.3">
      <c r="B63" s="17" t="s">
        <v>66</v>
      </c>
      <c r="C63" s="25">
        <v>1.31</v>
      </c>
      <c r="D63" s="25">
        <v>3.5585</v>
      </c>
      <c r="E63" s="25">
        <v>5.4878</v>
      </c>
      <c r="F63" s="25">
        <v>7.6509</v>
      </c>
      <c r="G63" s="25">
        <v>6.4768999999999997</v>
      </c>
      <c r="H63" s="25">
        <v>10.223100000000001</v>
      </c>
      <c r="I63" s="25">
        <v>13.985799999999999</v>
      </c>
      <c r="J63" s="25">
        <v>8.6341999999999999</v>
      </c>
      <c r="K63" s="25">
        <v>15.1896</v>
      </c>
      <c r="L63" s="25">
        <v>24.609300000000001</v>
      </c>
    </row>
    <row r="64" spans="2:12" ht="15" customHeight="1" outlineLevel="2" x14ac:dyDescent="0.3">
      <c r="B64" s="18" t="s">
        <v>67</v>
      </c>
      <c r="C64" s="19">
        <v>2803</v>
      </c>
      <c r="D64" s="19">
        <v>2863</v>
      </c>
      <c r="E64" s="19">
        <v>2901</v>
      </c>
      <c r="F64" s="19">
        <v>2890</v>
      </c>
      <c r="G64" s="19">
        <v>2854</v>
      </c>
      <c r="H64" s="19">
        <v>2851</v>
      </c>
      <c r="I64" s="19">
        <v>2815</v>
      </c>
      <c r="J64" s="19">
        <v>2687</v>
      </c>
      <c r="K64" s="19">
        <v>2574</v>
      </c>
      <c r="L64" s="19">
        <v>2534</v>
      </c>
    </row>
    <row r="65" spans="2:12" ht="15" customHeight="1" outlineLevel="2" x14ac:dyDescent="0.3">
      <c r="B65" s="18" t="s">
        <v>68</v>
      </c>
      <c r="C65" s="19">
        <v>2845</v>
      </c>
      <c r="D65" s="19">
        <v>2892</v>
      </c>
      <c r="E65" s="19">
        <v>2906</v>
      </c>
      <c r="F65" s="19">
        <v>2854</v>
      </c>
      <c r="G65" s="19">
        <v>2852</v>
      </c>
      <c r="H65" s="19">
        <v>2849</v>
      </c>
      <c r="I65" s="19">
        <v>2741</v>
      </c>
      <c r="J65" s="19">
        <v>2614</v>
      </c>
      <c r="K65" s="19">
        <v>2561</v>
      </c>
      <c r="L65" s="19">
        <v>2534</v>
      </c>
    </row>
    <row r="66" spans="2:12" ht="15" customHeight="1" outlineLevel="1" x14ac:dyDescent="0.3">
      <c r="B66" s="17" t="s">
        <v>69</v>
      </c>
      <c r="C66" s="25">
        <v>1.29</v>
      </c>
      <c r="D66" s="25">
        <v>3.4929999999999999</v>
      </c>
      <c r="E66" s="25">
        <v>5.3903999999999996</v>
      </c>
      <c r="F66" s="25">
        <v>7.57</v>
      </c>
      <c r="G66" s="25">
        <v>6.4272999999999998</v>
      </c>
      <c r="H66" s="25">
        <v>10.0921</v>
      </c>
      <c r="I66" s="25">
        <v>13.7706</v>
      </c>
      <c r="J66" s="25">
        <v>8.5861999999999998</v>
      </c>
      <c r="K66" s="25">
        <v>14.8718</v>
      </c>
      <c r="L66" s="25">
        <v>23.856200000000001</v>
      </c>
    </row>
    <row r="67" spans="2:12" ht="15" customHeight="1" outlineLevel="2" x14ac:dyDescent="0.3">
      <c r="B67" s="18" t="s">
        <v>70</v>
      </c>
      <c r="C67" s="19">
        <v>2853</v>
      </c>
      <c r="D67" s="19">
        <v>2925</v>
      </c>
      <c r="E67" s="19">
        <v>2956</v>
      </c>
      <c r="F67" s="19">
        <v>2921</v>
      </c>
      <c r="G67" s="19">
        <v>2876</v>
      </c>
      <c r="H67" s="19">
        <v>2888</v>
      </c>
      <c r="I67" s="19">
        <v>2859</v>
      </c>
      <c r="J67" s="19">
        <v>2702</v>
      </c>
      <c r="K67" s="19">
        <v>2629</v>
      </c>
      <c r="L67" s="19">
        <v>2614</v>
      </c>
    </row>
    <row r="68" spans="2:12" ht="15" customHeight="1" outlineLevel="2" x14ac:dyDescent="0.3">
      <c r="B68" s="18" t="s">
        <v>68</v>
      </c>
      <c r="C68" s="19">
        <v>2845</v>
      </c>
      <c r="D68" s="19">
        <v>2892</v>
      </c>
      <c r="E68" s="19">
        <v>2906</v>
      </c>
      <c r="F68" s="19">
        <v>2854</v>
      </c>
      <c r="G68" s="19">
        <v>2852</v>
      </c>
      <c r="H68" s="19">
        <v>2849</v>
      </c>
      <c r="I68" s="19">
        <v>2741</v>
      </c>
      <c r="J68" s="19">
        <v>2614</v>
      </c>
      <c r="K68" s="19">
        <v>2561</v>
      </c>
      <c r="L68" s="19">
        <v>2534</v>
      </c>
    </row>
    <row r="69" spans="2:12" ht="15" customHeight="1" outlineLevel="1" x14ac:dyDescent="0.3">
      <c r="B69" s="22" t="s">
        <v>71</v>
      </c>
      <c r="C69" s="24">
        <v>83.677999999999997</v>
      </c>
      <c r="D69" s="24">
        <v>79.447000000000003</v>
      </c>
      <c r="E69" s="24">
        <v>75.778999999999996</v>
      </c>
      <c r="F69" s="24">
        <v>77.680999999999997</v>
      </c>
      <c r="G69" s="24">
        <v>80.233000000000004</v>
      </c>
      <c r="H69" s="24">
        <v>72.629000000000005</v>
      </c>
      <c r="I69" s="24">
        <v>80.899000000000001</v>
      </c>
      <c r="J69" s="24">
        <v>83.393000000000001</v>
      </c>
      <c r="K69" s="24">
        <v>85.097999999999999</v>
      </c>
      <c r="L69" s="24">
        <v>79.576999999999998</v>
      </c>
    </row>
    <row r="70" spans="2:12" ht="15" customHeight="1" outlineLevel="1" x14ac:dyDescent="0.3">
      <c r="B70" s="17" t="s">
        <v>72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2</v>
      </c>
    </row>
    <row r="71" spans="2:12" ht="15" customHeight="1" outlineLevel="2" x14ac:dyDescent="0.3">
      <c r="B71" s="18" t="s">
        <v>73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8.38356485944953</v>
      </c>
    </row>
    <row r="72" spans="2:12" ht="15" customHeight="1" x14ac:dyDescent="0.3">
      <c r="B72" s="15" t="s">
        <v>74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2:12" ht="15" customHeight="1" outlineLevel="1" x14ac:dyDescent="0.3">
      <c r="B73" s="17" t="s">
        <v>74</v>
      </c>
      <c r="C73" s="16">
        <v>8239</v>
      </c>
      <c r="D73" s="16">
        <v>14769</v>
      </c>
      <c r="E73" s="16">
        <v>23228</v>
      </c>
      <c r="F73" s="16">
        <v>29228</v>
      </c>
      <c r="G73" s="16">
        <v>34727</v>
      </c>
      <c r="H73" s="16">
        <v>39533</v>
      </c>
      <c r="I73" s="16">
        <v>54720</v>
      </c>
      <c r="J73" s="16">
        <v>42241</v>
      </c>
      <c r="K73" s="16">
        <v>61381</v>
      </c>
      <c r="L73" s="16">
        <v>85267</v>
      </c>
    </row>
    <row r="74" spans="2:12" ht="15" customHeight="1" outlineLevel="2" x14ac:dyDescent="0.3">
      <c r="B74" s="18" t="s">
        <v>75</v>
      </c>
      <c r="C74" s="19">
        <v>6294</v>
      </c>
      <c r="D74" s="19">
        <v>12427</v>
      </c>
      <c r="E74" s="19">
        <v>20203</v>
      </c>
      <c r="F74" s="19">
        <v>24913</v>
      </c>
      <c r="G74" s="19">
        <v>28986</v>
      </c>
      <c r="H74" s="19">
        <v>32671</v>
      </c>
      <c r="I74" s="19">
        <v>46753</v>
      </c>
      <c r="J74" s="19">
        <v>33555</v>
      </c>
      <c r="K74" s="19">
        <v>50203</v>
      </c>
      <c r="L74" s="19">
        <v>69769</v>
      </c>
    </row>
    <row r="75" spans="2:12" ht="15" customHeight="1" outlineLevel="2" x14ac:dyDescent="0.3">
      <c r="B75" s="18" t="s">
        <v>17</v>
      </c>
      <c r="C75" s="19">
        <v>1945</v>
      </c>
      <c r="D75" s="19">
        <v>2342</v>
      </c>
      <c r="E75" s="19">
        <v>3025</v>
      </c>
      <c r="F75" s="19">
        <v>4315</v>
      </c>
      <c r="G75" s="19">
        <v>5741</v>
      </c>
      <c r="H75" s="19">
        <v>6862</v>
      </c>
      <c r="I75" s="19">
        <v>7967</v>
      </c>
      <c r="J75" s="19">
        <v>8686</v>
      </c>
      <c r="K75" s="19">
        <v>11178</v>
      </c>
      <c r="L75" s="19">
        <v>15498</v>
      </c>
    </row>
    <row r="76" spans="2:12" ht="15" customHeight="1" x14ac:dyDescent="0.3">
      <c r="B76" s="26" t="s">
        <v>76</v>
      </c>
    </row>
  </sheetData>
  <pageMargins left="0.75" right="0.75" top="1" bottom="1" header="0.5" footer="0.5"/>
  <pageSetup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E81A-B182-4BCE-8C38-A5C8B2402E99}">
  <sheetPr>
    <outlinePr summaryBelow="0" summaryRight="0"/>
    <pageSetUpPr fitToPage="1"/>
  </sheetPr>
  <dimension ref="B1:M99"/>
  <sheetViews>
    <sheetView topLeftCell="B1" workbookViewId="0">
      <pane ySplit="10" topLeftCell="A11" activePane="bottomLeft" state="frozen"/>
      <selection activeCell="C5" sqref="C5"/>
      <selection pane="bottomLeft" activeCell="C15" sqref="C15"/>
    </sheetView>
  </sheetViews>
  <sheetFormatPr defaultColWidth="9.15234375" defaultRowHeight="15" customHeight="1" outlineLevelRow="4" x14ac:dyDescent="0.3"/>
  <cols>
    <col min="1" max="1" width="4.69140625" style="28" customWidth="1"/>
    <col min="2" max="2" width="65.84375" style="28" customWidth="1"/>
    <col min="3" max="12" width="12.3046875" style="28" customWidth="1"/>
    <col min="13" max="16384" width="9.15234375" style="28"/>
  </cols>
  <sheetData>
    <row r="1" spans="2:13" ht="15" customHeight="1" x14ac:dyDescent="0.3">
      <c r="B1" s="27"/>
    </row>
    <row r="2" spans="2:13" ht="15" customHeight="1" x14ac:dyDescent="0.3">
      <c r="K2" s="3" t="s">
        <v>0</v>
      </c>
      <c r="L2" s="4" t="s">
        <v>1</v>
      </c>
      <c r="M2" s="2"/>
    </row>
    <row r="3" spans="2:13" ht="15" customHeight="1" x14ac:dyDescent="0.3">
      <c r="K3" s="3" t="s">
        <v>2</v>
      </c>
      <c r="L3" s="5">
        <v>-9</v>
      </c>
      <c r="M3" s="2"/>
    </row>
    <row r="4" spans="2:13" ht="15" customHeight="1" x14ac:dyDescent="0.3">
      <c r="K4" s="3" t="s">
        <v>3</v>
      </c>
      <c r="L4" s="5">
        <v>0</v>
      </c>
      <c r="M4" s="2"/>
    </row>
    <row r="5" spans="2:13" ht="15" customHeight="1" x14ac:dyDescent="0.4">
      <c r="B5" s="29"/>
      <c r="C5" s="36">
        <f>'Balance Sheet_Static'!L71+'Balance Sheet_Static'!L62-'Balance Sheet_Static'!L13</f>
        <v>5527</v>
      </c>
      <c r="K5" s="3" t="s">
        <v>4</v>
      </c>
      <c r="L5" s="5" t="s">
        <v>5</v>
      </c>
      <c r="M5" s="2"/>
    </row>
    <row r="6" spans="2:13" ht="15" customHeight="1" x14ac:dyDescent="0.3">
      <c r="B6" s="30"/>
      <c r="C6" s="30"/>
      <c r="D6" s="30"/>
      <c r="E6" s="30"/>
      <c r="F6" s="30"/>
      <c r="G6" s="30"/>
      <c r="H6" s="30"/>
      <c r="I6" s="30"/>
      <c r="J6" s="30"/>
      <c r="K6" s="3" t="s">
        <v>6</v>
      </c>
      <c r="L6" s="4" t="s">
        <v>7</v>
      </c>
      <c r="M6" s="8" t="s">
        <v>8</v>
      </c>
    </row>
    <row r="7" spans="2:13" ht="15" customHeight="1" x14ac:dyDescent="0.3">
      <c r="B7" s="9" t="s">
        <v>9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2:13" ht="15" customHeight="1" x14ac:dyDescent="0.4">
      <c r="B8" s="11" t="s">
        <v>10</v>
      </c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2:13" ht="15" customHeight="1" x14ac:dyDescent="0.3">
      <c r="B9" s="12" t="s">
        <v>77</v>
      </c>
      <c r="C9" s="13">
        <v>42369</v>
      </c>
      <c r="D9" s="13">
        <v>42734</v>
      </c>
      <c r="E9" s="13">
        <v>43098</v>
      </c>
      <c r="F9" s="13">
        <v>43465</v>
      </c>
      <c r="G9" s="13">
        <v>43830</v>
      </c>
      <c r="H9" s="13">
        <v>44196</v>
      </c>
      <c r="I9" s="13">
        <v>44561</v>
      </c>
      <c r="J9" s="13">
        <v>44925</v>
      </c>
      <c r="K9" s="13">
        <v>45289</v>
      </c>
      <c r="L9" s="13">
        <v>45657</v>
      </c>
    </row>
    <row r="10" spans="2:13" ht="15" customHeight="1" x14ac:dyDescent="0.3">
      <c r="B10" s="7"/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13</v>
      </c>
      <c r="L10" s="14" t="s">
        <v>12</v>
      </c>
    </row>
    <row r="11" spans="2:13" ht="15" customHeight="1" x14ac:dyDescent="0.3">
      <c r="B11" s="15" t="s">
        <v>78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2:13" ht="15" customHeight="1" outlineLevel="1" x14ac:dyDescent="0.3">
      <c r="B12" s="17" t="s">
        <v>79</v>
      </c>
      <c r="C12" s="16">
        <v>18434</v>
      </c>
      <c r="D12" s="16">
        <v>29449</v>
      </c>
      <c r="E12" s="16">
        <v>41711</v>
      </c>
      <c r="F12" s="16">
        <v>41124</v>
      </c>
      <c r="G12" s="16">
        <v>54863</v>
      </c>
      <c r="H12" s="16">
        <v>62195</v>
      </c>
      <c r="I12" s="16">
        <v>48147</v>
      </c>
      <c r="J12" s="16">
        <v>41032</v>
      </c>
      <c r="K12" s="16">
        <v>65502</v>
      </c>
      <c r="L12" s="16">
        <v>78168</v>
      </c>
    </row>
    <row r="13" spans="2:13" ht="15" customHeight="1" outlineLevel="2" x14ac:dyDescent="0.3">
      <c r="B13" s="18" t="s">
        <v>80</v>
      </c>
      <c r="C13" s="19">
        <v>4907</v>
      </c>
      <c r="D13" s="19">
        <v>8903</v>
      </c>
      <c r="E13" s="19">
        <v>8079</v>
      </c>
      <c r="F13" s="19">
        <v>10029</v>
      </c>
      <c r="G13" s="19">
        <v>19087</v>
      </c>
      <c r="H13" s="19">
        <v>17817</v>
      </c>
      <c r="I13" s="19">
        <v>16750</v>
      </c>
      <c r="J13" s="19">
        <v>14975</v>
      </c>
      <c r="K13" s="19">
        <v>41961</v>
      </c>
      <c r="L13" s="19">
        <v>44242</v>
      </c>
    </row>
    <row r="14" spans="2:13" ht="15" customHeight="1" outlineLevel="2" x14ac:dyDescent="0.3">
      <c r="B14" s="18" t="s">
        <v>81</v>
      </c>
      <c r="C14" s="24">
        <v>13527</v>
      </c>
      <c r="D14" s="24">
        <v>20546</v>
      </c>
      <c r="E14" s="24">
        <v>33632</v>
      </c>
      <c r="F14" s="24">
        <v>31095</v>
      </c>
      <c r="G14" s="24">
        <v>35776</v>
      </c>
      <c r="H14" s="24">
        <v>44378</v>
      </c>
      <c r="I14" s="24">
        <v>31397</v>
      </c>
      <c r="J14" s="24">
        <v>26057</v>
      </c>
      <c r="K14" s="24">
        <v>23541</v>
      </c>
      <c r="L14" s="24">
        <v>33926</v>
      </c>
    </row>
    <row r="15" spans="2:13" ht="15" customHeight="1" outlineLevel="1" x14ac:dyDescent="0.3">
      <c r="B15" s="17" t="s">
        <v>82</v>
      </c>
      <c r="C15" s="16">
        <v>2559</v>
      </c>
      <c r="D15" s="16">
        <v>3993</v>
      </c>
      <c r="E15" s="16">
        <v>5832</v>
      </c>
      <c r="F15" s="16">
        <v>7587</v>
      </c>
      <c r="G15" s="16">
        <v>9518</v>
      </c>
      <c r="H15" s="16">
        <v>11335</v>
      </c>
      <c r="I15" s="16">
        <v>14039</v>
      </c>
      <c r="J15" s="16">
        <v>13466</v>
      </c>
      <c r="K15" s="16">
        <v>16169</v>
      </c>
      <c r="L15" s="16">
        <v>16994</v>
      </c>
    </row>
    <row r="16" spans="2:13" ht="15" customHeight="1" outlineLevel="2" x14ac:dyDescent="0.3">
      <c r="B16" s="20" t="s">
        <v>83</v>
      </c>
      <c r="C16" s="16">
        <v>2559</v>
      </c>
      <c r="D16" s="16">
        <v>3993</v>
      </c>
      <c r="E16" s="16">
        <v>5832</v>
      </c>
      <c r="F16" s="16">
        <v>7587</v>
      </c>
      <c r="G16" s="16">
        <v>9518</v>
      </c>
      <c r="H16" s="16">
        <v>11335</v>
      </c>
      <c r="I16" s="16">
        <v>14039</v>
      </c>
      <c r="J16" s="16">
        <v>13466</v>
      </c>
      <c r="K16" s="16">
        <v>16169</v>
      </c>
      <c r="L16" s="16">
        <v>16994</v>
      </c>
    </row>
    <row r="17" spans="2:12" ht="15" customHeight="1" outlineLevel="3" x14ac:dyDescent="0.3">
      <c r="B17" s="21" t="s">
        <v>84</v>
      </c>
      <c r="C17" s="19">
        <v>2627</v>
      </c>
      <c r="D17" s="19">
        <v>4087</v>
      </c>
      <c r="E17" s="19">
        <v>6021</v>
      </c>
      <c r="F17" s="19">
        <v>7816</v>
      </c>
      <c r="G17" s="19">
        <v>9724</v>
      </c>
      <c r="H17" s="19">
        <v>11449</v>
      </c>
      <c r="I17" s="19">
        <v>14039</v>
      </c>
      <c r="J17" s="19">
        <v>13466</v>
      </c>
      <c r="K17" s="19">
        <v>16169</v>
      </c>
      <c r="L17" s="19">
        <v>16994</v>
      </c>
    </row>
    <row r="18" spans="2:12" ht="15" customHeight="1" outlineLevel="3" x14ac:dyDescent="0.3">
      <c r="B18" s="21" t="s">
        <v>85</v>
      </c>
      <c r="C18" s="19">
        <v>-68</v>
      </c>
      <c r="D18" s="19">
        <v>-94</v>
      </c>
      <c r="E18" s="19">
        <v>-189</v>
      </c>
      <c r="F18" s="19">
        <v>-229</v>
      </c>
      <c r="G18" s="19">
        <v>-206</v>
      </c>
      <c r="H18" s="19">
        <v>-114</v>
      </c>
      <c r="I18" s="19" t="s">
        <v>28</v>
      </c>
      <c r="J18" s="19" t="s">
        <v>28</v>
      </c>
      <c r="K18" s="19" t="s">
        <v>28</v>
      </c>
      <c r="L18" s="19" t="s">
        <v>28</v>
      </c>
    </row>
    <row r="19" spans="2:12" ht="15" customHeight="1" outlineLevel="2" x14ac:dyDescent="0.3">
      <c r="B19" s="18" t="s">
        <v>86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</row>
    <row r="20" spans="2:12" ht="15" customHeight="1" outlineLevel="1" x14ac:dyDescent="0.3">
      <c r="B20" s="17" t="s">
        <v>87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</row>
    <row r="21" spans="2:12" ht="15" customHeight="1" outlineLevel="2" x14ac:dyDescent="0.3">
      <c r="B21" s="18" t="s">
        <v>88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</row>
    <row r="22" spans="2:12" ht="15" customHeight="1" outlineLevel="1" x14ac:dyDescent="0.3">
      <c r="B22" s="17" t="s">
        <v>89</v>
      </c>
      <c r="C22" s="16">
        <v>659</v>
      </c>
      <c r="D22" s="16">
        <v>959</v>
      </c>
      <c r="E22" s="16">
        <v>1020</v>
      </c>
      <c r="F22" s="16">
        <v>1769</v>
      </c>
      <c r="G22" s="16">
        <v>1844</v>
      </c>
      <c r="H22" s="16">
        <v>2140</v>
      </c>
      <c r="I22" s="16">
        <v>4480</v>
      </c>
      <c r="J22" s="16">
        <v>5051</v>
      </c>
      <c r="K22" s="16">
        <v>3694</v>
      </c>
      <c r="L22" s="16">
        <v>4883</v>
      </c>
    </row>
    <row r="23" spans="2:12" ht="15" customHeight="1" outlineLevel="2" x14ac:dyDescent="0.3">
      <c r="B23" s="18" t="s">
        <v>90</v>
      </c>
      <c r="C23" s="19" t="s">
        <v>28</v>
      </c>
      <c r="D23" s="19" t="s">
        <v>28</v>
      </c>
      <c r="E23" s="19" t="s">
        <v>28</v>
      </c>
      <c r="F23" s="19" t="s">
        <v>28</v>
      </c>
      <c r="G23" s="19" t="s">
        <v>28</v>
      </c>
      <c r="H23" s="19" t="s">
        <v>28</v>
      </c>
      <c r="I23" s="19" t="s">
        <v>28</v>
      </c>
      <c r="J23" s="19" t="s">
        <v>28</v>
      </c>
      <c r="K23" s="19" t="s">
        <v>28</v>
      </c>
      <c r="L23" s="19" t="s">
        <v>28</v>
      </c>
    </row>
    <row r="24" spans="2:12" ht="15" customHeight="1" outlineLevel="2" x14ac:dyDescent="0.3">
      <c r="B24" s="18" t="s">
        <v>91</v>
      </c>
      <c r="C24" s="19">
        <v>659</v>
      </c>
      <c r="D24" s="19">
        <v>959</v>
      </c>
      <c r="E24" s="19">
        <v>1020</v>
      </c>
      <c r="F24" s="19">
        <v>1769</v>
      </c>
      <c r="G24" s="19">
        <v>1844</v>
      </c>
      <c r="H24" s="19">
        <v>2140</v>
      </c>
      <c r="I24" s="19">
        <v>4480</v>
      </c>
      <c r="J24" s="19">
        <v>5051</v>
      </c>
      <c r="K24" s="19">
        <v>3694</v>
      </c>
      <c r="L24" s="19">
        <v>4883</v>
      </c>
    </row>
    <row r="25" spans="2:12" ht="15" customHeight="1" outlineLevel="1" x14ac:dyDescent="0.3">
      <c r="B25" s="22" t="s">
        <v>92</v>
      </c>
      <c r="C25" s="19">
        <v>21652</v>
      </c>
      <c r="D25" s="19">
        <v>34401</v>
      </c>
      <c r="E25" s="19">
        <v>48563</v>
      </c>
      <c r="F25" s="19">
        <v>50480</v>
      </c>
      <c r="G25" s="19">
        <v>66225</v>
      </c>
      <c r="H25" s="19">
        <v>75670</v>
      </c>
      <c r="I25" s="19">
        <v>66666</v>
      </c>
      <c r="J25" s="19">
        <v>59549</v>
      </c>
      <c r="K25" s="19">
        <v>85365</v>
      </c>
      <c r="L25" s="19">
        <v>100045</v>
      </c>
    </row>
    <row r="26" spans="2:12" ht="15" customHeight="1" outlineLevel="1" x14ac:dyDescent="0.3">
      <c r="B26" s="17" t="s">
        <v>93</v>
      </c>
      <c r="C26" s="16">
        <v>5687</v>
      </c>
      <c r="D26" s="16">
        <v>8591</v>
      </c>
      <c r="E26" s="16">
        <v>13721</v>
      </c>
      <c r="F26" s="16">
        <v>24683</v>
      </c>
      <c r="G26" s="16">
        <v>44783</v>
      </c>
      <c r="H26" s="16">
        <v>54981</v>
      </c>
      <c r="I26" s="16">
        <v>69964</v>
      </c>
      <c r="J26" s="16">
        <v>92191</v>
      </c>
      <c r="K26" s="16">
        <v>109881</v>
      </c>
      <c r="L26" s="16">
        <v>136268</v>
      </c>
    </row>
    <row r="27" spans="2:12" ht="15" customHeight="1" outlineLevel="2" x14ac:dyDescent="0.3">
      <c r="B27" s="20" t="s">
        <v>94</v>
      </c>
      <c r="C27" s="16">
        <v>7819</v>
      </c>
      <c r="D27" s="16">
        <v>11803</v>
      </c>
      <c r="E27" s="16">
        <v>18337</v>
      </c>
      <c r="F27" s="16">
        <v>31573</v>
      </c>
      <c r="G27" s="16">
        <v>55446</v>
      </c>
      <c r="H27" s="16">
        <v>70399</v>
      </c>
      <c r="I27" s="16">
        <v>90044</v>
      </c>
      <c r="J27" s="16">
        <v>117166</v>
      </c>
      <c r="K27" s="16">
        <v>143015</v>
      </c>
      <c r="L27" s="16">
        <v>179585</v>
      </c>
    </row>
    <row r="28" spans="2:12" ht="15" customHeight="1" outlineLevel="3" x14ac:dyDescent="0.3">
      <c r="B28" s="21" t="s">
        <v>95</v>
      </c>
      <c r="C28" s="19">
        <v>2273</v>
      </c>
      <c r="D28" s="19">
        <v>3109</v>
      </c>
      <c r="E28" s="19">
        <v>4909</v>
      </c>
      <c r="F28" s="19">
        <v>7401</v>
      </c>
      <c r="G28" s="19">
        <v>11226</v>
      </c>
      <c r="H28" s="19">
        <v>17360</v>
      </c>
      <c r="I28" s="19">
        <v>22531</v>
      </c>
      <c r="J28" s="19">
        <v>27720</v>
      </c>
      <c r="K28" s="19">
        <v>37961</v>
      </c>
      <c r="L28" s="19">
        <v>47076</v>
      </c>
    </row>
    <row r="29" spans="2:12" ht="15" customHeight="1" outlineLevel="3" x14ac:dyDescent="0.3">
      <c r="B29" s="21" t="s">
        <v>96</v>
      </c>
      <c r="C29" s="19">
        <v>596</v>
      </c>
      <c r="D29" s="19">
        <v>696</v>
      </c>
      <c r="E29" s="19">
        <v>798</v>
      </c>
      <c r="F29" s="19">
        <v>899</v>
      </c>
      <c r="G29" s="19">
        <v>1097</v>
      </c>
      <c r="H29" s="19">
        <v>1326</v>
      </c>
      <c r="I29" s="19">
        <v>1688</v>
      </c>
      <c r="J29" s="19">
        <v>1874</v>
      </c>
      <c r="K29" s="19">
        <v>2080</v>
      </c>
      <c r="L29" s="19">
        <v>2561</v>
      </c>
    </row>
    <row r="30" spans="2:12" ht="15" customHeight="1" outlineLevel="3" x14ac:dyDescent="0.3">
      <c r="B30" s="21" t="s">
        <v>97</v>
      </c>
      <c r="C30" s="19">
        <v>3633</v>
      </c>
      <c r="D30" s="19">
        <v>5179</v>
      </c>
      <c r="E30" s="19">
        <v>7998</v>
      </c>
      <c r="F30" s="19">
        <v>13017</v>
      </c>
      <c r="G30" s="19">
        <v>17004</v>
      </c>
      <c r="H30" s="19">
        <v>22003</v>
      </c>
      <c r="I30" s="19">
        <v>25584</v>
      </c>
      <c r="J30" s="19">
        <v>39972</v>
      </c>
      <c r="K30" s="19">
        <v>46838</v>
      </c>
      <c r="L30" s="19">
        <v>68397</v>
      </c>
    </row>
    <row r="31" spans="2:12" ht="15" customHeight="1" outlineLevel="3" x14ac:dyDescent="0.3">
      <c r="B31" s="21" t="s">
        <v>98</v>
      </c>
      <c r="C31" s="19">
        <v>622</v>
      </c>
      <c r="D31" s="19">
        <v>1890</v>
      </c>
      <c r="E31" s="19">
        <v>2992</v>
      </c>
      <c r="F31" s="19">
        <v>7228</v>
      </c>
      <c r="G31" s="19">
        <v>10099</v>
      </c>
      <c r="H31" s="19">
        <v>11288</v>
      </c>
      <c r="I31" s="19">
        <v>14687</v>
      </c>
      <c r="J31" s="19">
        <v>25052</v>
      </c>
      <c r="K31" s="19">
        <v>24269</v>
      </c>
      <c r="L31" s="19">
        <v>26802</v>
      </c>
    </row>
    <row r="32" spans="2:12" ht="15" customHeight="1" outlineLevel="3" x14ac:dyDescent="0.3">
      <c r="B32" s="21" t="s">
        <v>99</v>
      </c>
      <c r="C32" s="19" t="s">
        <v>28</v>
      </c>
      <c r="D32" s="19" t="s">
        <v>28</v>
      </c>
      <c r="E32" s="19" t="s">
        <v>28</v>
      </c>
      <c r="F32" s="19" t="s">
        <v>28</v>
      </c>
      <c r="G32" s="19">
        <v>1635</v>
      </c>
      <c r="H32" s="19">
        <v>2295</v>
      </c>
      <c r="I32" s="19">
        <v>2840</v>
      </c>
      <c r="J32" s="19">
        <v>3353</v>
      </c>
      <c r="K32" s="19">
        <v>4185</v>
      </c>
      <c r="L32" s="19">
        <v>5384</v>
      </c>
    </row>
    <row r="33" spans="2:12" ht="15" customHeight="1" outlineLevel="3" x14ac:dyDescent="0.3">
      <c r="B33" s="21" t="s">
        <v>100</v>
      </c>
      <c r="C33" s="19" t="s">
        <v>28</v>
      </c>
      <c r="D33" s="19" t="s">
        <v>28</v>
      </c>
      <c r="E33" s="19" t="s">
        <v>28</v>
      </c>
      <c r="F33" s="19" t="s">
        <v>28</v>
      </c>
      <c r="G33" s="19" t="s">
        <v>28</v>
      </c>
      <c r="H33" s="19" t="s">
        <v>28</v>
      </c>
      <c r="I33" s="19" t="s">
        <v>28</v>
      </c>
      <c r="J33" s="19" t="s">
        <v>28</v>
      </c>
      <c r="K33" s="19" t="s">
        <v>28</v>
      </c>
      <c r="L33" s="19" t="s">
        <v>28</v>
      </c>
    </row>
    <row r="34" spans="2:12" ht="15" customHeight="1" outlineLevel="3" x14ac:dyDescent="0.3">
      <c r="B34" s="21" t="s">
        <v>101</v>
      </c>
      <c r="C34" s="19" t="s">
        <v>28</v>
      </c>
      <c r="D34" s="19" t="s">
        <v>28</v>
      </c>
      <c r="E34" s="19" t="s">
        <v>28</v>
      </c>
      <c r="F34" s="19" t="s">
        <v>28</v>
      </c>
      <c r="G34" s="19" t="s">
        <v>28</v>
      </c>
      <c r="H34" s="19" t="s">
        <v>28</v>
      </c>
      <c r="I34" s="19" t="s">
        <v>28</v>
      </c>
      <c r="J34" s="19" t="s">
        <v>28</v>
      </c>
      <c r="K34" s="19" t="s">
        <v>28</v>
      </c>
      <c r="L34" s="19" t="s">
        <v>28</v>
      </c>
    </row>
    <row r="35" spans="2:12" ht="15" customHeight="1" outlineLevel="3" x14ac:dyDescent="0.3">
      <c r="B35" s="21" t="s">
        <v>102</v>
      </c>
      <c r="C35" s="19" t="s">
        <v>28</v>
      </c>
      <c r="D35" s="19" t="s">
        <v>28</v>
      </c>
      <c r="E35" s="19" t="s">
        <v>28</v>
      </c>
      <c r="F35" s="19" t="s">
        <v>28</v>
      </c>
      <c r="G35" s="19" t="s">
        <v>28</v>
      </c>
      <c r="H35" s="19" t="s">
        <v>28</v>
      </c>
      <c r="I35" s="19" t="s">
        <v>28</v>
      </c>
      <c r="J35" s="19" t="s">
        <v>28</v>
      </c>
      <c r="K35" s="19" t="s">
        <v>28</v>
      </c>
      <c r="L35" s="19" t="s">
        <v>28</v>
      </c>
    </row>
    <row r="36" spans="2:12" ht="15" customHeight="1" outlineLevel="3" x14ac:dyDescent="0.3">
      <c r="B36" s="21" t="s">
        <v>103</v>
      </c>
      <c r="C36" s="19">
        <v>695</v>
      </c>
      <c r="D36" s="19">
        <v>929</v>
      </c>
      <c r="E36" s="19">
        <v>1640</v>
      </c>
      <c r="F36" s="19">
        <v>3028</v>
      </c>
      <c r="G36" s="19">
        <v>4925</v>
      </c>
      <c r="H36" s="19">
        <v>6779</v>
      </c>
      <c r="I36" s="19">
        <v>10559</v>
      </c>
      <c r="J36" s="19">
        <v>6522</v>
      </c>
      <c r="K36" s="19">
        <v>14388</v>
      </c>
      <c r="L36" s="19">
        <v>14443</v>
      </c>
    </row>
    <row r="37" spans="2:12" ht="15" customHeight="1" outlineLevel="3" x14ac:dyDescent="0.3">
      <c r="B37" s="21" t="s">
        <v>104</v>
      </c>
      <c r="C37" s="19" t="s">
        <v>28</v>
      </c>
      <c r="D37" s="19" t="s">
        <v>28</v>
      </c>
      <c r="E37" s="19" t="s">
        <v>28</v>
      </c>
      <c r="F37" s="19" t="s">
        <v>28</v>
      </c>
      <c r="G37" s="19">
        <v>9460</v>
      </c>
      <c r="H37" s="19">
        <v>9348</v>
      </c>
      <c r="I37" s="19">
        <v>12155</v>
      </c>
      <c r="J37" s="19">
        <v>12673</v>
      </c>
      <c r="K37" s="19">
        <v>13294</v>
      </c>
      <c r="L37" s="19">
        <v>14922</v>
      </c>
    </row>
    <row r="38" spans="2:12" ht="15" customHeight="1" outlineLevel="2" x14ac:dyDescent="0.3">
      <c r="B38" s="20" t="s">
        <v>105</v>
      </c>
      <c r="C38" s="16">
        <v>2132</v>
      </c>
      <c r="D38" s="16">
        <v>3212</v>
      </c>
      <c r="E38" s="16">
        <v>4616</v>
      </c>
      <c r="F38" s="16">
        <v>6890</v>
      </c>
      <c r="G38" s="16">
        <v>10663</v>
      </c>
      <c r="H38" s="16">
        <v>15418</v>
      </c>
      <c r="I38" s="16">
        <v>20080</v>
      </c>
      <c r="J38" s="16">
        <v>24975</v>
      </c>
      <c r="K38" s="16">
        <v>33134</v>
      </c>
      <c r="L38" s="16">
        <v>43317</v>
      </c>
    </row>
    <row r="39" spans="2:12" ht="15" customHeight="1" outlineLevel="3" x14ac:dyDescent="0.3">
      <c r="B39" s="21" t="s">
        <v>95</v>
      </c>
      <c r="C39" s="19" t="s">
        <v>28</v>
      </c>
      <c r="D39" s="19" t="s">
        <v>28</v>
      </c>
      <c r="E39" s="19" t="s">
        <v>28</v>
      </c>
      <c r="F39" s="19" t="s">
        <v>28</v>
      </c>
      <c r="G39" s="19" t="s">
        <v>28</v>
      </c>
      <c r="H39" s="19" t="s">
        <v>28</v>
      </c>
      <c r="I39" s="19" t="s">
        <v>28</v>
      </c>
      <c r="J39" s="19" t="s">
        <v>28</v>
      </c>
      <c r="K39" s="19" t="s">
        <v>28</v>
      </c>
      <c r="L39" s="19" t="s">
        <v>28</v>
      </c>
    </row>
    <row r="40" spans="2:12" ht="15" customHeight="1" outlineLevel="3" x14ac:dyDescent="0.3">
      <c r="B40" s="21" t="s">
        <v>96</v>
      </c>
      <c r="C40" s="19" t="s">
        <v>28</v>
      </c>
      <c r="D40" s="19" t="s">
        <v>28</v>
      </c>
      <c r="E40" s="19" t="s">
        <v>28</v>
      </c>
      <c r="F40" s="19" t="s">
        <v>28</v>
      </c>
      <c r="G40" s="19" t="s">
        <v>28</v>
      </c>
      <c r="H40" s="19" t="s">
        <v>28</v>
      </c>
      <c r="I40" s="19" t="s">
        <v>28</v>
      </c>
      <c r="J40" s="19" t="s">
        <v>28</v>
      </c>
      <c r="K40" s="19" t="s">
        <v>28</v>
      </c>
      <c r="L40" s="19" t="s">
        <v>28</v>
      </c>
    </row>
    <row r="41" spans="2:12" ht="15" customHeight="1" outlineLevel="3" x14ac:dyDescent="0.3">
      <c r="B41" s="21" t="s">
        <v>97</v>
      </c>
      <c r="C41" s="19" t="s">
        <v>28</v>
      </c>
      <c r="D41" s="19" t="s">
        <v>28</v>
      </c>
      <c r="E41" s="19" t="s">
        <v>28</v>
      </c>
      <c r="F41" s="19" t="s">
        <v>28</v>
      </c>
      <c r="G41" s="19" t="s">
        <v>28</v>
      </c>
      <c r="H41" s="19" t="s">
        <v>28</v>
      </c>
      <c r="I41" s="19" t="s">
        <v>28</v>
      </c>
      <c r="J41" s="19" t="s">
        <v>28</v>
      </c>
      <c r="K41" s="19" t="s">
        <v>28</v>
      </c>
      <c r="L41" s="19" t="s">
        <v>28</v>
      </c>
    </row>
    <row r="42" spans="2:12" ht="15" customHeight="1" outlineLevel="3" x14ac:dyDescent="0.3">
      <c r="B42" s="21" t="s">
        <v>98</v>
      </c>
      <c r="C42" s="19" t="s">
        <v>28</v>
      </c>
      <c r="D42" s="19" t="s">
        <v>28</v>
      </c>
      <c r="E42" s="19" t="s">
        <v>28</v>
      </c>
      <c r="F42" s="19" t="s">
        <v>28</v>
      </c>
      <c r="G42" s="19" t="s">
        <v>28</v>
      </c>
      <c r="H42" s="19" t="s">
        <v>28</v>
      </c>
      <c r="I42" s="19" t="s">
        <v>28</v>
      </c>
      <c r="J42" s="19" t="s">
        <v>28</v>
      </c>
      <c r="K42" s="19" t="s">
        <v>28</v>
      </c>
      <c r="L42" s="19" t="s">
        <v>28</v>
      </c>
    </row>
    <row r="43" spans="2:12" ht="15" customHeight="1" outlineLevel="3" x14ac:dyDescent="0.3">
      <c r="B43" s="21" t="s">
        <v>99</v>
      </c>
      <c r="C43" s="19" t="s">
        <v>28</v>
      </c>
      <c r="D43" s="19" t="s">
        <v>28</v>
      </c>
      <c r="E43" s="19" t="s">
        <v>28</v>
      </c>
      <c r="F43" s="19" t="s">
        <v>28</v>
      </c>
      <c r="G43" s="19" t="s">
        <v>28</v>
      </c>
      <c r="H43" s="19" t="s">
        <v>28</v>
      </c>
      <c r="I43" s="19" t="s">
        <v>28</v>
      </c>
      <c r="J43" s="19" t="s">
        <v>28</v>
      </c>
      <c r="K43" s="19" t="s">
        <v>28</v>
      </c>
      <c r="L43" s="19" t="s">
        <v>28</v>
      </c>
    </row>
    <row r="44" spans="2:12" ht="15" customHeight="1" outlineLevel="3" x14ac:dyDescent="0.3">
      <c r="B44" s="21" t="s">
        <v>100</v>
      </c>
      <c r="C44" s="19" t="s">
        <v>28</v>
      </c>
      <c r="D44" s="19" t="s">
        <v>28</v>
      </c>
      <c r="E44" s="19" t="s">
        <v>28</v>
      </c>
      <c r="F44" s="19" t="s">
        <v>28</v>
      </c>
      <c r="G44" s="19" t="s">
        <v>28</v>
      </c>
      <c r="H44" s="19" t="s">
        <v>28</v>
      </c>
      <c r="I44" s="19" t="s">
        <v>28</v>
      </c>
      <c r="J44" s="19" t="s">
        <v>28</v>
      </c>
      <c r="K44" s="19" t="s">
        <v>28</v>
      </c>
      <c r="L44" s="19" t="s">
        <v>28</v>
      </c>
    </row>
    <row r="45" spans="2:12" ht="15" customHeight="1" outlineLevel="3" x14ac:dyDescent="0.3">
      <c r="B45" s="21" t="s">
        <v>101</v>
      </c>
      <c r="C45" s="19" t="s">
        <v>28</v>
      </c>
      <c r="D45" s="19" t="s">
        <v>28</v>
      </c>
      <c r="E45" s="19" t="s">
        <v>28</v>
      </c>
      <c r="F45" s="19" t="s">
        <v>28</v>
      </c>
      <c r="G45" s="19" t="s">
        <v>28</v>
      </c>
      <c r="H45" s="19" t="s">
        <v>28</v>
      </c>
      <c r="I45" s="19" t="s">
        <v>28</v>
      </c>
      <c r="J45" s="19" t="s">
        <v>28</v>
      </c>
      <c r="K45" s="19" t="s">
        <v>28</v>
      </c>
      <c r="L45" s="19" t="s">
        <v>28</v>
      </c>
    </row>
    <row r="46" spans="2:12" ht="15" customHeight="1" outlineLevel="3" x14ac:dyDescent="0.3">
      <c r="B46" s="21" t="s">
        <v>102</v>
      </c>
      <c r="C46" s="19" t="s">
        <v>28</v>
      </c>
      <c r="D46" s="19" t="s">
        <v>28</v>
      </c>
      <c r="E46" s="19" t="s">
        <v>28</v>
      </c>
      <c r="F46" s="19" t="s">
        <v>28</v>
      </c>
      <c r="G46" s="19" t="s">
        <v>28</v>
      </c>
      <c r="H46" s="19" t="s">
        <v>28</v>
      </c>
      <c r="I46" s="19" t="s">
        <v>28</v>
      </c>
      <c r="J46" s="19" t="s">
        <v>28</v>
      </c>
      <c r="K46" s="19" t="s">
        <v>28</v>
      </c>
      <c r="L46" s="19" t="s">
        <v>28</v>
      </c>
    </row>
    <row r="47" spans="2:12" ht="15" customHeight="1" outlineLevel="3" x14ac:dyDescent="0.3">
      <c r="B47" s="21" t="s">
        <v>103</v>
      </c>
      <c r="C47" s="19" t="s">
        <v>28</v>
      </c>
      <c r="D47" s="19" t="s">
        <v>28</v>
      </c>
      <c r="E47" s="19" t="s">
        <v>28</v>
      </c>
      <c r="F47" s="19" t="s">
        <v>28</v>
      </c>
      <c r="G47" s="19" t="s">
        <v>28</v>
      </c>
      <c r="H47" s="19" t="s">
        <v>28</v>
      </c>
      <c r="I47" s="19" t="s">
        <v>28</v>
      </c>
      <c r="J47" s="19" t="s">
        <v>28</v>
      </c>
      <c r="K47" s="19" t="s">
        <v>28</v>
      </c>
      <c r="L47" s="19" t="s">
        <v>28</v>
      </c>
    </row>
    <row r="48" spans="2:12" ht="15" customHeight="1" outlineLevel="1" x14ac:dyDescent="0.3">
      <c r="B48" s="17" t="s">
        <v>106</v>
      </c>
      <c r="C48" s="16">
        <v>0</v>
      </c>
      <c r="D48" s="16">
        <v>0</v>
      </c>
      <c r="E48" s="16">
        <v>0</v>
      </c>
      <c r="F48" s="16">
        <v>95</v>
      </c>
      <c r="G48" s="16">
        <v>192</v>
      </c>
      <c r="H48" s="16">
        <v>6371</v>
      </c>
      <c r="I48" s="16">
        <v>6890</v>
      </c>
      <c r="J48" s="16">
        <v>6822</v>
      </c>
      <c r="K48" s="16">
        <v>7007</v>
      </c>
      <c r="L48" s="16">
        <v>7266</v>
      </c>
    </row>
    <row r="49" spans="2:12" ht="15" customHeight="1" outlineLevel="2" x14ac:dyDescent="0.3">
      <c r="B49" s="18" t="s">
        <v>107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52</v>
      </c>
    </row>
    <row r="50" spans="2:12" ht="15" customHeight="1" outlineLevel="2" x14ac:dyDescent="0.3">
      <c r="B50" s="18" t="s">
        <v>108</v>
      </c>
      <c r="C50" s="19">
        <v>0</v>
      </c>
      <c r="D50" s="19">
        <v>0</v>
      </c>
      <c r="E50" s="19">
        <v>0</v>
      </c>
      <c r="F50" s="19">
        <v>95</v>
      </c>
      <c r="G50" s="19">
        <v>192</v>
      </c>
      <c r="H50" s="19">
        <v>6371</v>
      </c>
      <c r="I50" s="19">
        <v>6890</v>
      </c>
      <c r="J50" s="19">
        <v>6822</v>
      </c>
      <c r="K50" s="19">
        <v>7007</v>
      </c>
      <c r="L50" s="19">
        <v>7214</v>
      </c>
    </row>
    <row r="51" spans="2:12" ht="15" customHeight="1" outlineLevel="2" x14ac:dyDescent="0.3">
      <c r="B51" s="18" t="s">
        <v>109</v>
      </c>
      <c r="C51" s="19" t="s">
        <v>28</v>
      </c>
      <c r="D51" s="19" t="s">
        <v>28</v>
      </c>
      <c r="E51" s="19" t="s">
        <v>28</v>
      </c>
      <c r="F51" s="19" t="s">
        <v>28</v>
      </c>
      <c r="G51" s="19" t="s">
        <v>28</v>
      </c>
      <c r="H51" s="19" t="s">
        <v>28</v>
      </c>
      <c r="I51" s="19" t="s">
        <v>28</v>
      </c>
      <c r="J51" s="19" t="s">
        <v>28</v>
      </c>
      <c r="K51" s="19" t="s">
        <v>28</v>
      </c>
      <c r="L51" s="19" t="s">
        <v>28</v>
      </c>
    </row>
    <row r="52" spans="2:12" ht="15" customHeight="1" outlineLevel="1" x14ac:dyDescent="0.3">
      <c r="B52" s="17" t="s">
        <v>110</v>
      </c>
      <c r="C52" s="16">
        <v>21272</v>
      </c>
      <c r="D52" s="16">
        <v>20657</v>
      </c>
      <c r="E52" s="16">
        <v>20105</v>
      </c>
      <c r="F52" s="16">
        <v>19595</v>
      </c>
      <c r="G52" s="16">
        <v>19609</v>
      </c>
      <c r="H52" s="16">
        <v>19673</v>
      </c>
      <c r="I52" s="16">
        <v>19831</v>
      </c>
      <c r="J52" s="16">
        <v>21203</v>
      </c>
      <c r="K52" s="16">
        <v>21442</v>
      </c>
      <c r="L52" s="16">
        <v>21569</v>
      </c>
    </row>
    <row r="53" spans="2:12" ht="15" customHeight="1" outlineLevel="2" x14ac:dyDescent="0.3">
      <c r="B53" s="18" t="s">
        <v>35</v>
      </c>
      <c r="C53" s="19">
        <v>18026</v>
      </c>
      <c r="D53" s="19">
        <v>18122</v>
      </c>
      <c r="E53" s="19">
        <v>18221</v>
      </c>
      <c r="F53" s="19">
        <v>18301</v>
      </c>
      <c r="G53" s="19">
        <v>18715</v>
      </c>
      <c r="H53" s="19">
        <v>19050</v>
      </c>
      <c r="I53" s="19">
        <v>19197</v>
      </c>
      <c r="J53" s="19">
        <v>20306</v>
      </c>
      <c r="K53" s="19">
        <v>20654</v>
      </c>
      <c r="L53" s="19">
        <v>20654</v>
      </c>
    </row>
    <row r="54" spans="2:12" ht="15" customHeight="1" outlineLevel="2" x14ac:dyDescent="0.3">
      <c r="B54" s="18" t="s">
        <v>111</v>
      </c>
      <c r="C54" s="19">
        <v>3246</v>
      </c>
      <c r="D54" s="19">
        <v>2535</v>
      </c>
      <c r="E54" s="19">
        <v>1884</v>
      </c>
      <c r="F54" s="19">
        <v>1294</v>
      </c>
      <c r="G54" s="19">
        <v>894</v>
      </c>
      <c r="H54" s="19">
        <v>623</v>
      </c>
      <c r="I54" s="19">
        <v>634</v>
      </c>
      <c r="J54" s="19">
        <v>897</v>
      </c>
      <c r="K54" s="19">
        <v>788</v>
      </c>
      <c r="L54" s="19">
        <v>915</v>
      </c>
    </row>
    <row r="55" spans="2:12" ht="15" customHeight="1" outlineLevel="1" x14ac:dyDescent="0.3">
      <c r="B55" s="22" t="s">
        <v>112</v>
      </c>
      <c r="C55" s="19" t="s">
        <v>28</v>
      </c>
      <c r="D55" s="19" t="s">
        <v>28</v>
      </c>
      <c r="E55" s="19" t="s">
        <v>28</v>
      </c>
      <c r="F55" s="19" t="s">
        <v>28</v>
      </c>
      <c r="G55" s="19" t="s">
        <v>28</v>
      </c>
      <c r="H55" s="19" t="s">
        <v>28</v>
      </c>
      <c r="I55" s="19" t="s">
        <v>28</v>
      </c>
      <c r="J55" s="19" t="s">
        <v>28</v>
      </c>
      <c r="K55" s="19" t="s">
        <v>28</v>
      </c>
      <c r="L55" s="19" t="s">
        <v>28</v>
      </c>
    </row>
    <row r="56" spans="2:12" ht="15" customHeight="1" outlineLevel="1" x14ac:dyDescent="0.3">
      <c r="B56" s="17" t="s">
        <v>113</v>
      </c>
      <c r="C56" s="16">
        <v>796</v>
      </c>
      <c r="D56" s="16">
        <v>1312</v>
      </c>
      <c r="E56" s="16">
        <v>2135</v>
      </c>
      <c r="F56" s="16">
        <v>2481</v>
      </c>
      <c r="G56" s="16">
        <v>2567</v>
      </c>
      <c r="H56" s="16">
        <v>2621</v>
      </c>
      <c r="I56" s="16">
        <v>2636</v>
      </c>
      <c r="J56" s="16">
        <v>5962</v>
      </c>
      <c r="K56" s="16">
        <v>5928</v>
      </c>
      <c r="L56" s="16">
        <v>10906</v>
      </c>
    </row>
    <row r="57" spans="2:12" ht="15" customHeight="1" outlineLevel="2" x14ac:dyDescent="0.3">
      <c r="B57" s="18" t="s">
        <v>114</v>
      </c>
      <c r="C57" s="19" t="s">
        <v>28</v>
      </c>
      <c r="D57" s="19" t="s">
        <v>28</v>
      </c>
      <c r="E57" s="19" t="s">
        <v>28</v>
      </c>
      <c r="F57" s="19" t="s">
        <v>28</v>
      </c>
      <c r="G57" s="19" t="s">
        <v>28</v>
      </c>
      <c r="H57" s="19" t="s">
        <v>28</v>
      </c>
      <c r="I57" s="19" t="s">
        <v>28</v>
      </c>
      <c r="J57" s="19" t="s">
        <v>28</v>
      </c>
      <c r="K57" s="19" t="s">
        <v>28</v>
      </c>
      <c r="L57" s="19" t="s">
        <v>28</v>
      </c>
    </row>
    <row r="58" spans="2:12" ht="15" customHeight="1" outlineLevel="2" x14ac:dyDescent="0.3">
      <c r="B58" s="18" t="s">
        <v>115</v>
      </c>
      <c r="C58" s="19">
        <v>796</v>
      </c>
      <c r="D58" s="19">
        <v>1312</v>
      </c>
      <c r="E58" s="19">
        <v>2135</v>
      </c>
      <c r="F58" s="19">
        <v>2481</v>
      </c>
      <c r="G58" s="19">
        <v>2567</v>
      </c>
      <c r="H58" s="19">
        <v>2621</v>
      </c>
      <c r="I58" s="19">
        <v>2636</v>
      </c>
      <c r="J58" s="19">
        <v>5962</v>
      </c>
      <c r="K58" s="19">
        <v>5928</v>
      </c>
      <c r="L58" s="19">
        <v>10906</v>
      </c>
    </row>
    <row r="59" spans="2:12" ht="15" customHeight="1" outlineLevel="1" x14ac:dyDescent="0.3">
      <c r="B59" s="22" t="s">
        <v>116</v>
      </c>
      <c r="C59" s="19">
        <v>49407</v>
      </c>
      <c r="D59" s="19">
        <v>64961</v>
      </c>
      <c r="E59" s="19">
        <v>84524</v>
      </c>
      <c r="F59" s="19">
        <v>97334</v>
      </c>
      <c r="G59" s="19">
        <v>133376</v>
      </c>
      <c r="H59" s="19">
        <v>159316</v>
      </c>
      <c r="I59" s="19">
        <v>165987</v>
      </c>
      <c r="J59" s="19">
        <v>185727</v>
      </c>
      <c r="K59" s="19">
        <v>229623</v>
      </c>
      <c r="L59" s="19">
        <v>276054</v>
      </c>
    </row>
    <row r="60" spans="2:12" ht="15" customHeight="1" x14ac:dyDescent="0.3">
      <c r="B60" s="15" t="s">
        <v>117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2:12" ht="15" customHeight="1" outlineLevel="1" x14ac:dyDescent="0.3">
      <c r="B61" s="17" t="s">
        <v>118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2:12" ht="15" customHeight="1" outlineLevel="2" x14ac:dyDescent="0.3">
      <c r="B62" s="18" t="s">
        <v>119</v>
      </c>
      <c r="C62" s="19">
        <v>208</v>
      </c>
      <c r="D62" s="19">
        <v>0</v>
      </c>
      <c r="E62" s="19">
        <v>0</v>
      </c>
      <c r="F62" s="19">
        <v>500</v>
      </c>
      <c r="G62" s="19">
        <v>1146</v>
      </c>
      <c r="H62" s="19">
        <v>1091</v>
      </c>
      <c r="I62" s="19">
        <v>1217</v>
      </c>
      <c r="J62" s="19">
        <v>1513</v>
      </c>
      <c r="K62" s="19">
        <v>1713</v>
      </c>
      <c r="L62" s="19">
        <v>2018</v>
      </c>
    </row>
    <row r="63" spans="2:12" ht="15" customHeight="1" outlineLevel="2" x14ac:dyDescent="0.3">
      <c r="B63" s="18" t="s">
        <v>120</v>
      </c>
      <c r="C63" s="19">
        <v>413</v>
      </c>
      <c r="D63" s="19">
        <v>582</v>
      </c>
      <c r="E63" s="19">
        <v>770</v>
      </c>
      <c r="F63" s="19">
        <v>1361</v>
      </c>
      <c r="G63" s="19">
        <v>2249</v>
      </c>
      <c r="H63" s="19">
        <v>2424</v>
      </c>
      <c r="I63" s="19">
        <v>5135</v>
      </c>
      <c r="J63" s="19">
        <v>6107</v>
      </c>
      <c r="K63" s="19">
        <v>5712</v>
      </c>
      <c r="L63" s="19">
        <v>7687</v>
      </c>
    </row>
    <row r="64" spans="2:12" ht="15" customHeight="1" outlineLevel="2" x14ac:dyDescent="0.3">
      <c r="B64" s="18" t="s">
        <v>121</v>
      </c>
      <c r="C64" s="19" t="s">
        <v>28</v>
      </c>
      <c r="D64" s="19">
        <v>155</v>
      </c>
      <c r="E64" s="19">
        <v>230</v>
      </c>
      <c r="F64" s="19">
        <v>491</v>
      </c>
      <c r="G64" s="19">
        <v>624</v>
      </c>
      <c r="H64" s="19">
        <v>2038</v>
      </c>
      <c r="I64" s="19">
        <v>1256</v>
      </c>
      <c r="J64" s="19">
        <v>2339</v>
      </c>
      <c r="K64" s="19">
        <v>3655</v>
      </c>
      <c r="L64" s="19">
        <v>3438</v>
      </c>
    </row>
    <row r="65" spans="2:12" ht="15" customHeight="1" outlineLevel="2" x14ac:dyDescent="0.3">
      <c r="B65" s="20" t="s">
        <v>122</v>
      </c>
      <c r="C65" s="16">
        <v>1304</v>
      </c>
      <c r="D65" s="16">
        <v>2138</v>
      </c>
      <c r="E65" s="16">
        <v>2760</v>
      </c>
      <c r="F65" s="16">
        <v>4665</v>
      </c>
      <c r="G65" s="16">
        <v>11034</v>
      </c>
      <c r="H65" s="16">
        <v>9428</v>
      </c>
      <c r="I65" s="16">
        <v>13527</v>
      </c>
      <c r="J65" s="16">
        <v>17067</v>
      </c>
      <c r="K65" s="16">
        <v>20880</v>
      </c>
      <c r="L65" s="16">
        <v>20453</v>
      </c>
    </row>
    <row r="66" spans="2:12" ht="15" customHeight="1" outlineLevel="3" x14ac:dyDescent="0.3">
      <c r="B66" s="21" t="s">
        <v>123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</row>
    <row r="67" spans="2:12" ht="15" customHeight="1" outlineLevel="3" x14ac:dyDescent="0.3">
      <c r="B67" s="21" t="s">
        <v>124</v>
      </c>
      <c r="C67" s="19">
        <v>473</v>
      </c>
      <c r="D67" s="19">
        <v>636</v>
      </c>
      <c r="E67" s="19">
        <v>776</v>
      </c>
      <c r="F67" s="19">
        <v>1203</v>
      </c>
      <c r="G67" s="19">
        <v>1704</v>
      </c>
      <c r="H67" s="19">
        <v>2609</v>
      </c>
      <c r="I67" s="19">
        <v>3152</v>
      </c>
      <c r="J67" s="19">
        <v>4591</v>
      </c>
      <c r="K67" s="19">
        <v>6659</v>
      </c>
      <c r="L67" s="19">
        <v>6350</v>
      </c>
    </row>
    <row r="68" spans="2:12" ht="15" customHeight="1" outlineLevel="3" x14ac:dyDescent="0.3">
      <c r="B68" s="21" t="s">
        <v>125</v>
      </c>
      <c r="C68" s="19">
        <v>831</v>
      </c>
      <c r="D68" s="19">
        <v>1502</v>
      </c>
      <c r="E68" s="19">
        <v>1984</v>
      </c>
      <c r="F68" s="19">
        <v>3462</v>
      </c>
      <c r="G68" s="19">
        <v>9330</v>
      </c>
      <c r="H68" s="19">
        <v>6819</v>
      </c>
      <c r="I68" s="19">
        <v>10375</v>
      </c>
      <c r="J68" s="19">
        <v>12476</v>
      </c>
      <c r="K68" s="19">
        <v>14221</v>
      </c>
      <c r="L68" s="19">
        <v>14103</v>
      </c>
    </row>
    <row r="69" spans="2:12" ht="15" customHeight="1" outlineLevel="2" x14ac:dyDescent="0.3">
      <c r="B69" s="18" t="s">
        <v>126</v>
      </c>
      <c r="C69" s="19">
        <v>1925</v>
      </c>
      <c r="D69" s="19">
        <v>2875</v>
      </c>
      <c r="E69" s="19">
        <v>3760</v>
      </c>
      <c r="F69" s="19">
        <v>7017</v>
      </c>
      <c r="G69" s="19">
        <v>15053</v>
      </c>
      <c r="H69" s="19">
        <v>14981</v>
      </c>
      <c r="I69" s="19">
        <v>21135</v>
      </c>
      <c r="J69" s="19">
        <v>27026</v>
      </c>
      <c r="K69" s="19">
        <v>31960</v>
      </c>
      <c r="L69" s="19">
        <v>33596</v>
      </c>
    </row>
    <row r="70" spans="2:12" ht="15" customHeight="1" outlineLevel="1" x14ac:dyDescent="0.3">
      <c r="B70" s="17" t="s">
        <v>127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2:12" ht="15" customHeight="1" outlineLevel="2" x14ac:dyDescent="0.3">
      <c r="B71" s="20" t="s">
        <v>128</v>
      </c>
      <c r="C71" s="16">
        <v>107</v>
      </c>
      <c r="D71" s="16">
        <v>0</v>
      </c>
      <c r="E71" s="16">
        <v>72</v>
      </c>
      <c r="F71" s="16">
        <v>0</v>
      </c>
      <c r="G71" s="16">
        <v>9928</v>
      </c>
      <c r="H71" s="16">
        <v>10086</v>
      </c>
      <c r="I71" s="16">
        <v>13237</v>
      </c>
      <c r="J71" s="16">
        <v>25765</v>
      </c>
      <c r="K71" s="16">
        <v>36211</v>
      </c>
      <c r="L71" s="16">
        <v>47751</v>
      </c>
    </row>
    <row r="72" spans="2:12" ht="15" customHeight="1" outlineLevel="3" x14ac:dyDescent="0.3">
      <c r="B72" s="21" t="s">
        <v>129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9923</v>
      </c>
      <c r="K72" s="19">
        <v>18385</v>
      </c>
      <c r="L72" s="19">
        <v>28826</v>
      </c>
    </row>
    <row r="73" spans="2:12" ht="15" customHeight="1" outlineLevel="3" x14ac:dyDescent="0.3">
      <c r="B73" s="21" t="s">
        <v>130</v>
      </c>
      <c r="C73" s="19">
        <v>107</v>
      </c>
      <c r="D73" s="19">
        <v>0</v>
      </c>
      <c r="E73" s="19">
        <v>72</v>
      </c>
      <c r="F73" s="19">
        <v>0</v>
      </c>
      <c r="G73" s="19">
        <v>9928</v>
      </c>
      <c r="H73" s="19">
        <v>10086</v>
      </c>
      <c r="I73" s="19">
        <v>13237</v>
      </c>
      <c r="J73" s="19">
        <v>15842</v>
      </c>
      <c r="K73" s="19">
        <v>17826</v>
      </c>
      <c r="L73" s="19">
        <v>18925</v>
      </c>
    </row>
    <row r="74" spans="2:12" ht="15" customHeight="1" outlineLevel="2" x14ac:dyDescent="0.3">
      <c r="B74" s="18" t="s">
        <v>131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</row>
    <row r="75" spans="2:12" ht="15" customHeight="1" outlineLevel="2" x14ac:dyDescent="0.3">
      <c r="B75" s="18" t="s">
        <v>132</v>
      </c>
      <c r="C75" s="19">
        <v>163</v>
      </c>
      <c r="D75" s="19" t="s">
        <v>28</v>
      </c>
      <c r="E75" s="19" t="s">
        <v>28</v>
      </c>
      <c r="F75" s="19">
        <v>673</v>
      </c>
      <c r="G75" s="19">
        <v>1039</v>
      </c>
      <c r="H75" s="19" t="s">
        <v>28</v>
      </c>
      <c r="I75" s="19" t="s">
        <v>28</v>
      </c>
      <c r="J75" s="19">
        <v>5490</v>
      </c>
      <c r="K75" s="19">
        <v>6950</v>
      </c>
      <c r="L75" s="19">
        <v>9987</v>
      </c>
    </row>
    <row r="76" spans="2:12" ht="15" customHeight="1" outlineLevel="2" x14ac:dyDescent="0.3">
      <c r="B76" s="20" t="s">
        <v>133</v>
      </c>
      <c r="C76" s="16">
        <v>2994</v>
      </c>
      <c r="D76" s="16">
        <v>2892</v>
      </c>
      <c r="E76" s="16">
        <v>6345</v>
      </c>
      <c r="F76" s="16">
        <v>5517</v>
      </c>
      <c r="G76" s="16">
        <v>6302</v>
      </c>
      <c r="H76" s="16">
        <v>5959</v>
      </c>
      <c r="I76" s="16">
        <v>6736</v>
      </c>
      <c r="J76" s="16">
        <v>1733</v>
      </c>
      <c r="K76" s="16">
        <v>1334</v>
      </c>
      <c r="L76" s="16">
        <v>2083</v>
      </c>
    </row>
    <row r="77" spans="2:12" ht="15" customHeight="1" outlineLevel="3" x14ac:dyDescent="0.3">
      <c r="B77" s="21" t="s">
        <v>134</v>
      </c>
      <c r="C77" s="19">
        <v>2994</v>
      </c>
      <c r="D77" s="19">
        <v>2892</v>
      </c>
      <c r="E77" s="19">
        <v>6345</v>
      </c>
      <c r="F77" s="19">
        <v>5517</v>
      </c>
      <c r="G77" s="19">
        <v>6302</v>
      </c>
      <c r="H77" s="19">
        <v>5959</v>
      </c>
      <c r="I77" s="19">
        <v>6736</v>
      </c>
      <c r="J77" s="19">
        <v>1733</v>
      </c>
      <c r="K77" s="19">
        <v>1334</v>
      </c>
      <c r="L77" s="19">
        <v>2083</v>
      </c>
    </row>
    <row r="78" spans="2:12" ht="15" customHeight="1" outlineLevel="3" x14ac:dyDescent="0.3">
      <c r="B78" s="21" t="s">
        <v>135</v>
      </c>
      <c r="C78" s="19" t="s">
        <v>28</v>
      </c>
      <c r="D78" s="19" t="s">
        <v>28</v>
      </c>
      <c r="E78" s="19" t="s">
        <v>28</v>
      </c>
      <c r="F78" s="19" t="s">
        <v>28</v>
      </c>
      <c r="G78" s="19" t="s">
        <v>28</v>
      </c>
      <c r="H78" s="19" t="s">
        <v>28</v>
      </c>
      <c r="I78" s="19" t="s">
        <v>28</v>
      </c>
      <c r="J78" s="19" t="s">
        <v>28</v>
      </c>
      <c r="K78" s="19" t="s">
        <v>28</v>
      </c>
      <c r="L78" s="19" t="s">
        <v>28</v>
      </c>
    </row>
    <row r="79" spans="2:12" ht="15" customHeight="1" outlineLevel="2" x14ac:dyDescent="0.3">
      <c r="B79" s="18" t="s">
        <v>136</v>
      </c>
      <c r="C79" s="19">
        <v>5189</v>
      </c>
      <c r="D79" s="19">
        <v>5767</v>
      </c>
      <c r="E79" s="19">
        <v>10177</v>
      </c>
      <c r="F79" s="19">
        <v>13207</v>
      </c>
      <c r="G79" s="19">
        <v>32322</v>
      </c>
      <c r="H79" s="19">
        <v>31026</v>
      </c>
      <c r="I79" s="19">
        <v>41108</v>
      </c>
      <c r="J79" s="19">
        <v>60014</v>
      </c>
      <c r="K79" s="19">
        <v>76455</v>
      </c>
      <c r="L79" s="19">
        <v>93417</v>
      </c>
    </row>
    <row r="80" spans="2:12" ht="15" customHeight="1" outlineLevel="1" x14ac:dyDescent="0.3">
      <c r="B80" s="17" t="s">
        <v>137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2:12" ht="15" customHeight="1" outlineLevel="2" x14ac:dyDescent="0.3">
      <c r="B81" s="20" t="s">
        <v>138</v>
      </c>
      <c r="C81" s="16">
        <v>44218</v>
      </c>
      <c r="D81" s="16">
        <v>59194</v>
      </c>
      <c r="E81" s="16">
        <v>74347</v>
      </c>
      <c r="F81" s="16">
        <v>84127</v>
      </c>
      <c r="G81" s="16">
        <v>101054</v>
      </c>
      <c r="H81" s="16">
        <v>128290</v>
      </c>
      <c r="I81" s="16">
        <v>124879</v>
      </c>
      <c r="J81" s="16">
        <v>125713</v>
      </c>
      <c r="K81" s="16">
        <v>153168</v>
      </c>
      <c r="L81" s="16">
        <v>182637</v>
      </c>
    </row>
    <row r="82" spans="2:12" ht="15" customHeight="1" outlineLevel="3" x14ac:dyDescent="0.3">
      <c r="B82" s="21" t="s">
        <v>139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</row>
    <row r="83" spans="2:12" ht="15" customHeight="1" outlineLevel="3" x14ac:dyDescent="0.3">
      <c r="B83" s="21" t="s">
        <v>140</v>
      </c>
      <c r="C83" s="19">
        <v>34886</v>
      </c>
      <c r="D83" s="19">
        <v>38227</v>
      </c>
      <c r="E83" s="19">
        <v>40584</v>
      </c>
      <c r="F83" s="19">
        <v>42906</v>
      </c>
      <c r="G83" s="19">
        <v>45851</v>
      </c>
      <c r="H83" s="19">
        <v>50018</v>
      </c>
      <c r="I83" s="19">
        <v>55811</v>
      </c>
      <c r="J83" s="19">
        <v>64444</v>
      </c>
      <c r="K83" s="19">
        <v>73253</v>
      </c>
      <c r="L83" s="19">
        <v>83228</v>
      </c>
    </row>
    <row r="84" spans="2:12" ht="15" customHeight="1" outlineLevel="3" x14ac:dyDescent="0.3">
      <c r="B84" s="21" t="s">
        <v>141</v>
      </c>
      <c r="C84" s="19">
        <v>9787</v>
      </c>
      <c r="D84" s="19">
        <v>21670</v>
      </c>
      <c r="E84" s="19">
        <v>33990</v>
      </c>
      <c r="F84" s="19">
        <v>41981</v>
      </c>
      <c r="G84" s="19">
        <v>55692</v>
      </c>
      <c r="H84" s="19">
        <v>77345</v>
      </c>
      <c r="I84" s="19">
        <v>69761</v>
      </c>
      <c r="J84" s="19">
        <v>64799</v>
      </c>
      <c r="K84" s="19">
        <v>82070</v>
      </c>
      <c r="L84" s="19">
        <v>102506</v>
      </c>
    </row>
    <row r="85" spans="2:12" ht="15" customHeight="1" outlineLevel="3" x14ac:dyDescent="0.3">
      <c r="B85" s="21" t="s">
        <v>142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</row>
    <row r="86" spans="2:12" ht="15" customHeight="1" outlineLevel="3" x14ac:dyDescent="0.3">
      <c r="B86" s="21" t="s">
        <v>143</v>
      </c>
      <c r="C86" s="19" t="s">
        <v>28</v>
      </c>
      <c r="D86" s="19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19" t="s">
        <v>28</v>
      </c>
      <c r="J86" s="19">
        <v>-1860</v>
      </c>
      <c r="K86" s="19">
        <v>-1240</v>
      </c>
      <c r="L86" s="19">
        <v>-2660</v>
      </c>
    </row>
    <row r="87" spans="2:12" ht="15" customHeight="1" outlineLevel="3" x14ac:dyDescent="0.3">
      <c r="B87" s="21" t="s">
        <v>144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</row>
    <row r="88" spans="2:12" ht="15" customHeight="1" outlineLevel="3" x14ac:dyDescent="0.3">
      <c r="B88" s="21" t="s">
        <v>145</v>
      </c>
      <c r="C88" s="19">
        <v>-455</v>
      </c>
      <c r="D88" s="19">
        <v>-703</v>
      </c>
      <c r="E88" s="19">
        <v>-227</v>
      </c>
      <c r="F88" s="19">
        <v>-760</v>
      </c>
      <c r="G88" s="19">
        <v>-489</v>
      </c>
      <c r="H88" s="19">
        <v>927</v>
      </c>
      <c r="I88" s="19">
        <v>-693</v>
      </c>
      <c r="J88" s="19">
        <v>-1670</v>
      </c>
      <c r="K88" s="19">
        <v>-915</v>
      </c>
      <c r="L88" s="19">
        <v>-437</v>
      </c>
    </row>
    <row r="89" spans="2:12" ht="15" customHeight="1" outlineLevel="3" x14ac:dyDescent="0.3">
      <c r="B89" s="21" t="s">
        <v>146</v>
      </c>
      <c r="C89" s="19" t="s">
        <v>28</v>
      </c>
      <c r="D89" s="19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19" t="s">
        <v>28</v>
      </c>
      <c r="J89" s="19" t="s">
        <v>28</v>
      </c>
      <c r="K89" s="19" t="s">
        <v>28</v>
      </c>
      <c r="L89" s="19" t="s">
        <v>28</v>
      </c>
    </row>
    <row r="90" spans="2:12" ht="15" customHeight="1" outlineLevel="3" x14ac:dyDescent="0.3">
      <c r="B90" s="32" t="s">
        <v>147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</row>
    <row r="91" spans="2:12" ht="15" customHeight="1" outlineLevel="4" x14ac:dyDescent="0.3">
      <c r="B91" s="33" t="s">
        <v>148</v>
      </c>
      <c r="C91" s="19" t="e">
        <v>#NUM!</v>
      </c>
      <c r="D91" s="24"/>
      <c r="E91" s="24"/>
      <c r="F91" s="24"/>
      <c r="G91" s="24"/>
      <c r="H91" s="24"/>
      <c r="I91" s="24"/>
      <c r="J91" s="24"/>
      <c r="K91" s="24"/>
      <c r="L91" s="24"/>
    </row>
    <row r="92" spans="2:12" ht="15" customHeight="1" outlineLevel="2" x14ac:dyDescent="0.3">
      <c r="B92" s="18" t="s">
        <v>149</v>
      </c>
      <c r="C92" s="19">
        <v>44218</v>
      </c>
      <c r="D92" s="19">
        <v>59194</v>
      </c>
      <c r="E92" s="19">
        <v>74347</v>
      </c>
      <c r="F92" s="19">
        <v>84127</v>
      </c>
      <c r="G92" s="19">
        <v>101054</v>
      </c>
      <c r="H92" s="19">
        <v>128290</v>
      </c>
      <c r="I92" s="19">
        <v>124879</v>
      </c>
      <c r="J92" s="19">
        <v>125713</v>
      </c>
      <c r="K92" s="19">
        <v>153168</v>
      </c>
      <c r="L92" s="19">
        <v>182637</v>
      </c>
    </row>
    <row r="93" spans="2:12" ht="15" customHeight="1" outlineLevel="2" x14ac:dyDescent="0.3">
      <c r="B93" s="18" t="s">
        <v>150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</row>
    <row r="94" spans="2:12" ht="15" customHeight="1" outlineLevel="2" x14ac:dyDescent="0.3">
      <c r="B94" s="18" t="s">
        <v>151</v>
      </c>
      <c r="C94" s="19">
        <v>44218</v>
      </c>
      <c r="D94" s="19">
        <v>59194</v>
      </c>
      <c r="E94" s="19">
        <v>74347</v>
      </c>
      <c r="F94" s="19">
        <v>84127</v>
      </c>
      <c r="G94" s="19">
        <v>101054</v>
      </c>
      <c r="H94" s="19">
        <v>128290</v>
      </c>
      <c r="I94" s="19">
        <v>124879</v>
      </c>
      <c r="J94" s="19">
        <v>125713</v>
      </c>
      <c r="K94" s="19">
        <v>153168</v>
      </c>
      <c r="L94" s="19">
        <v>182637</v>
      </c>
    </row>
    <row r="95" spans="2:12" ht="15" customHeight="1" outlineLevel="1" x14ac:dyDescent="0.3">
      <c r="B95" s="22" t="s">
        <v>152</v>
      </c>
      <c r="C95" s="19">
        <v>49407</v>
      </c>
      <c r="D95" s="19">
        <v>64961</v>
      </c>
      <c r="E95" s="19">
        <v>84524</v>
      </c>
      <c r="F95" s="19">
        <v>97334</v>
      </c>
      <c r="G95" s="19">
        <v>133376</v>
      </c>
      <c r="H95" s="19">
        <v>159316</v>
      </c>
      <c r="I95" s="19">
        <v>165987</v>
      </c>
      <c r="J95" s="19">
        <v>185727</v>
      </c>
      <c r="K95" s="19">
        <v>229623</v>
      </c>
      <c r="L95" s="19">
        <v>276054</v>
      </c>
    </row>
    <row r="96" spans="2:12" ht="15" customHeight="1" x14ac:dyDescent="0.3">
      <c r="B96" s="15" t="s">
        <v>64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2:12" ht="15" customHeight="1" outlineLevel="1" x14ac:dyDescent="0.3">
      <c r="B97" s="22" t="s">
        <v>153</v>
      </c>
      <c r="C97" s="24">
        <v>15.54236</v>
      </c>
      <c r="D97" s="24">
        <v>20.46819</v>
      </c>
      <c r="E97" s="24">
        <v>25.583960000000001</v>
      </c>
      <c r="F97" s="24">
        <v>29.476870000000002</v>
      </c>
      <c r="G97" s="24">
        <v>35.432679999999998</v>
      </c>
      <c r="H97" s="24">
        <v>45.02984</v>
      </c>
      <c r="I97" s="24">
        <v>45.559649999999998</v>
      </c>
      <c r="J97" s="24">
        <v>48.092199999999998</v>
      </c>
      <c r="K97" s="24">
        <v>59.80789</v>
      </c>
      <c r="L97" s="24">
        <v>72.074590000000001</v>
      </c>
    </row>
    <row r="98" spans="2:12" ht="15" customHeight="1" outlineLevel="1" x14ac:dyDescent="0.3">
      <c r="B98" s="22" t="s">
        <v>154</v>
      </c>
      <c r="C98" s="24">
        <v>8.0653778558875207</v>
      </c>
      <c r="D98" s="24">
        <v>13.3253803596127</v>
      </c>
      <c r="E98" s="24">
        <v>18.665519614590501</v>
      </c>
      <c r="F98" s="24">
        <v>22.611072179397301</v>
      </c>
      <c r="G98" s="24">
        <v>28.557152875175301</v>
      </c>
      <c r="H98" s="24">
        <v>38.124605124605097</v>
      </c>
      <c r="I98" s="24">
        <v>38.324699014958</v>
      </c>
      <c r="J98" s="24">
        <v>39.980872226472798</v>
      </c>
      <c r="K98" s="24">
        <v>51.435376805935199</v>
      </c>
      <c r="L98" s="24">
        <v>63.562746645619598</v>
      </c>
    </row>
    <row r="99" spans="2:12" ht="15" customHeight="1" x14ac:dyDescent="0.3">
      <c r="B99" s="26" t="s">
        <v>76</v>
      </c>
      <c r="C99" s="2"/>
      <c r="D99" s="2"/>
      <c r="E99" s="2"/>
      <c r="F99" s="2"/>
      <c r="G99" s="2"/>
      <c r="H99" s="2"/>
      <c r="I99" s="2"/>
      <c r="J99" s="2"/>
      <c r="K99" s="2"/>
      <c r="L99" s="2"/>
    </row>
  </sheetData>
  <pageMargins left="0.75" right="0.75" top="1" bottom="1" header="0.5" footer="0.5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CC9E-0166-4BDD-AD87-A49AC9F22A67}">
  <sheetPr>
    <outlinePr summaryBelow="0" summaryRight="0"/>
  </sheetPr>
  <dimension ref="B1:M68"/>
  <sheetViews>
    <sheetView workbookViewId="0">
      <pane ySplit="10" topLeftCell="A50" activePane="bottomLeft" state="frozen"/>
      <selection activeCell="C15" sqref="C15"/>
      <selection pane="bottomLeft" activeCell="C21" sqref="C21"/>
    </sheetView>
  </sheetViews>
  <sheetFormatPr defaultColWidth="9.15234375" defaultRowHeight="15" customHeight="1" outlineLevelRow="3" x14ac:dyDescent="0.3"/>
  <cols>
    <col min="1" max="1" width="4.69140625" style="28" customWidth="1"/>
    <col min="2" max="2" width="55.69140625" style="28" customWidth="1"/>
    <col min="3" max="12" width="12.3046875" style="28" customWidth="1"/>
    <col min="13" max="16384" width="9.15234375" style="28"/>
  </cols>
  <sheetData>
    <row r="1" spans="2:13" ht="15" customHeight="1" x14ac:dyDescent="0.3">
      <c r="B1" s="27"/>
    </row>
    <row r="2" spans="2:13" ht="15" customHeight="1" x14ac:dyDescent="0.3">
      <c r="K2" s="3" t="s">
        <v>0</v>
      </c>
      <c r="L2" s="4" t="s">
        <v>1</v>
      </c>
      <c r="M2" s="2"/>
    </row>
    <row r="3" spans="2:13" ht="15" customHeight="1" x14ac:dyDescent="0.3">
      <c r="K3" s="3" t="s">
        <v>2</v>
      </c>
      <c r="L3" s="5">
        <v>-9</v>
      </c>
      <c r="M3" s="2"/>
    </row>
    <row r="4" spans="2:13" ht="15" customHeight="1" x14ac:dyDescent="0.3">
      <c r="K4" s="3" t="s">
        <v>3</v>
      </c>
      <c r="L4" s="5">
        <v>0</v>
      </c>
      <c r="M4" s="2"/>
    </row>
    <row r="5" spans="2:13" ht="15" customHeight="1" x14ac:dyDescent="0.3">
      <c r="B5" s="29"/>
      <c r="C5" s="29"/>
      <c r="K5" s="3" t="s">
        <v>4</v>
      </c>
      <c r="L5" s="5" t="s">
        <v>5</v>
      </c>
      <c r="M5" s="2"/>
    </row>
    <row r="6" spans="2:13" ht="15" customHeight="1" x14ac:dyDescent="0.3">
      <c r="B6" s="30"/>
      <c r="C6" s="30"/>
      <c r="D6" s="30"/>
      <c r="E6" s="30"/>
      <c r="F6" s="30"/>
      <c r="G6" s="30"/>
      <c r="H6" s="30"/>
      <c r="I6" s="30"/>
      <c r="J6" s="30"/>
      <c r="K6" s="3" t="s">
        <v>6</v>
      </c>
      <c r="L6" s="4" t="s">
        <v>7</v>
      </c>
      <c r="M6" s="8" t="s">
        <v>8</v>
      </c>
    </row>
    <row r="7" spans="2:13" ht="15" customHeight="1" x14ac:dyDescent="0.3">
      <c r="B7" s="9" t="s">
        <v>9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2:13" ht="15" customHeight="1" x14ac:dyDescent="0.4">
      <c r="B8" s="11" t="s">
        <v>10</v>
      </c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2:13" ht="15" customHeight="1" x14ac:dyDescent="0.3">
      <c r="B9" s="12" t="s">
        <v>155</v>
      </c>
      <c r="C9" s="13">
        <v>42369</v>
      </c>
      <c r="D9" s="13">
        <v>42734</v>
      </c>
      <c r="E9" s="13">
        <v>43098</v>
      </c>
      <c r="F9" s="13">
        <v>43465</v>
      </c>
      <c r="G9" s="13">
        <v>43830</v>
      </c>
      <c r="H9" s="13">
        <v>44196</v>
      </c>
      <c r="I9" s="13">
        <v>44561</v>
      </c>
      <c r="J9" s="13">
        <v>44925</v>
      </c>
      <c r="K9" s="13">
        <v>45289</v>
      </c>
      <c r="L9" s="13">
        <v>45657</v>
      </c>
    </row>
    <row r="10" spans="2:13" ht="15" customHeight="1" x14ac:dyDescent="0.3">
      <c r="B10" s="7"/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13</v>
      </c>
      <c r="L10" s="14" t="s">
        <v>12</v>
      </c>
    </row>
    <row r="11" spans="2:13" ht="15" customHeight="1" x14ac:dyDescent="0.3">
      <c r="B11" s="15" t="s">
        <v>156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2:13" ht="15" customHeight="1" outlineLevel="1" x14ac:dyDescent="0.3">
      <c r="B12" s="22" t="s">
        <v>157</v>
      </c>
      <c r="C12" s="19">
        <v>3688</v>
      </c>
      <c r="D12" s="19">
        <v>10217</v>
      </c>
      <c r="E12" s="19">
        <v>15934</v>
      </c>
      <c r="F12" s="19">
        <v>22112</v>
      </c>
      <c r="G12" s="19">
        <v>18485</v>
      </c>
      <c r="H12" s="19">
        <v>29146</v>
      </c>
      <c r="I12" s="19">
        <v>39370</v>
      </c>
      <c r="J12" s="19">
        <v>23200</v>
      </c>
      <c r="K12" s="19">
        <v>39098</v>
      </c>
      <c r="L12" s="19">
        <v>62360</v>
      </c>
    </row>
    <row r="13" spans="2:13" ht="15" customHeight="1" outlineLevel="1" x14ac:dyDescent="0.3">
      <c r="B13" s="17" t="s">
        <v>158</v>
      </c>
      <c r="C13" s="16">
        <v>1945</v>
      </c>
      <c r="D13" s="16">
        <v>2342</v>
      </c>
      <c r="E13" s="16">
        <v>3025</v>
      </c>
      <c r="F13" s="16">
        <v>4315</v>
      </c>
      <c r="G13" s="16">
        <v>5741</v>
      </c>
      <c r="H13" s="16">
        <v>6862</v>
      </c>
      <c r="I13" s="16">
        <v>7967</v>
      </c>
      <c r="J13" s="16">
        <v>8686</v>
      </c>
      <c r="K13" s="16">
        <v>11178</v>
      </c>
      <c r="L13" s="16">
        <v>15498</v>
      </c>
    </row>
    <row r="14" spans="2:13" ht="15" customHeight="1" outlineLevel="2" x14ac:dyDescent="0.3">
      <c r="B14" s="18" t="s">
        <v>159</v>
      </c>
      <c r="C14" s="19">
        <v>1215</v>
      </c>
      <c r="D14" s="19">
        <v>1591</v>
      </c>
      <c r="E14" s="19">
        <v>2333</v>
      </c>
      <c r="F14" s="19">
        <v>3675</v>
      </c>
      <c r="G14" s="19">
        <v>5179</v>
      </c>
      <c r="H14" s="19">
        <v>6389</v>
      </c>
      <c r="I14" s="19">
        <v>7560</v>
      </c>
      <c r="J14" s="19">
        <v>8501</v>
      </c>
      <c r="K14" s="19">
        <v>11017</v>
      </c>
      <c r="L14" s="19">
        <v>15287</v>
      </c>
    </row>
    <row r="15" spans="2:13" ht="15" customHeight="1" outlineLevel="2" x14ac:dyDescent="0.3">
      <c r="B15" s="18" t="s">
        <v>160</v>
      </c>
      <c r="C15" s="19">
        <v>730</v>
      </c>
      <c r="D15" s="19">
        <v>751</v>
      </c>
      <c r="E15" s="19">
        <v>692</v>
      </c>
      <c r="F15" s="19">
        <v>640</v>
      </c>
      <c r="G15" s="19">
        <v>562</v>
      </c>
      <c r="H15" s="19">
        <v>473</v>
      </c>
      <c r="I15" s="19">
        <v>407</v>
      </c>
      <c r="J15" s="19">
        <v>185</v>
      </c>
      <c r="K15" s="19">
        <v>161</v>
      </c>
      <c r="L15" s="19">
        <v>211</v>
      </c>
    </row>
    <row r="16" spans="2:13" ht="15" customHeight="1" outlineLevel="1" x14ac:dyDescent="0.3">
      <c r="B16" s="17" t="s">
        <v>161</v>
      </c>
      <c r="C16" s="16">
        <v>-795</v>
      </c>
      <c r="D16" s="16">
        <v>-457</v>
      </c>
      <c r="E16" s="16">
        <v>-377</v>
      </c>
      <c r="F16" s="16">
        <v>286</v>
      </c>
      <c r="G16" s="16">
        <v>-37</v>
      </c>
      <c r="H16" s="16">
        <v>-1192</v>
      </c>
      <c r="I16" s="16">
        <v>609</v>
      </c>
      <c r="J16" s="16">
        <v>-3286</v>
      </c>
      <c r="K16" s="16">
        <v>131</v>
      </c>
      <c r="L16" s="16">
        <v>-4738</v>
      </c>
    </row>
    <row r="17" spans="2:12" ht="15" customHeight="1" outlineLevel="2" x14ac:dyDescent="0.3">
      <c r="B17" s="18" t="s">
        <v>162</v>
      </c>
      <c r="C17" s="19">
        <v>-795</v>
      </c>
      <c r="D17" s="19">
        <v>-457</v>
      </c>
      <c r="E17" s="19">
        <v>-377</v>
      </c>
      <c r="F17" s="19">
        <v>286</v>
      </c>
      <c r="G17" s="19">
        <v>-37</v>
      </c>
      <c r="H17" s="19">
        <v>-1192</v>
      </c>
      <c r="I17" s="19">
        <v>609</v>
      </c>
      <c r="J17" s="19">
        <v>-3286</v>
      </c>
      <c r="K17" s="19">
        <v>131</v>
      </c>
      <c r="L17" s="19">
        <v>-4738</v>
      </c>
    </row>
    <row r="18" spans="2:12" ht="15" customHeight="1" outlineLevel="2" x14ac:dyDescent="0.3">
      <c r="B18" s="18" t="s">
        <v>163</v>
      </c>
      <c r="C18" s="19" t="s">
        <v>28</v>
      </c>
      <c r="D18" s="19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19" t="s">
        <v>28</v>
      </c>
      <c r="J18" s="19" t="s">
        <v>28</v>
      </c>
      <c r="K18" s="19" t="s">
        <v>28</v>
      </c>
      <c r="L18" s="19" t="s">
        <v>28</v>
      </c>
    </row>
    <row r="19" spans="2:12" ht="15" customHeight="1" outlineLevel="1" x14ac:dyDescent="0.3">
      <c r="B19" s="22" t="s">
        <v>164</v>
      </c>
      <c r="C19" s="19" t="s">
        <v>28</v>
      </c>
      <c r="D19" s="19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19" t="s">
        <v>28</v>
      </c>
      <c r="J19" s="19" t="s">
        <v>28</v>
      </c>
      <c r="K19" s="19" t="s">
        <v>28</v>
      </c>
      <c r="L19" s="19" t="s">
        <v>28</v>
      </c>
    </row>
    <row r="20" spans="2:12" ht="15" customHeight="1" outlineLevel="1" x14ac:dyDescent="0.3">
      <c r="B20" s="22" t="s">
        <v>165</v>
      </c>
      <c r="C20" s="19">
        <v>2977</v>
      </c>
      <c r="D20" s="19">
        <v>3248</v>
      </c>
      <c r="E20" s="19">
        <v>3747</v>
      </c>
      <c r="F20" s="19">
        <v>4088</v>
      </c>
      <c r="G20" s="19">
        <v>4875</v>
      </c>
      <c r="H20" s="19">
        <v>6654</v>
      </c>
      <c r="I20" s="19">
        <v>9037</v>
      </c>
      <c r="J20" s="19">
        <v>16192</v>
      </c>
      <c r="K20" s="19">
        <v>16870</v>
      </c>
      <c r="L20" s="19">
        <v>17160</v>
      </c>
    </row>
    <row r="21" spans="2:12" ht="15" customHeight="1" outlineLevel="1" x14ac:dyDescent="0.3">
      <c r="B21" s="22" t="s">
        <v>166</v>
      </c>
      <c r="C21" s="19">
        <v>7815</v>
      </c>
      <c r="D21" s="19">
        <v>15350</v>
      </c>
      <c r="E21" s="19">
        <v>22329</v>
      </c>
      <c r="F21" s="19">
        <v>30801</v>
      </c>
      <c r="G21" s="19">
        <v>29064</v>
      </c>
      <c r="H21" s="19">
        <v>41470</v>
      </c>
      <c r="I21" s="19">
        <v>56983</v>
      </c>
      <c r="J21" s="19">
        <v>44792</v>
      </c>
      <c r="K21" s="19">
        <v>67277</v>
      </c>
      <c r="L21" s="19">
        <v>90280</v>
      </c>
    </row>
    <row r="22" spans="2:12" ht="15" customHeight="1" outlineLevel="1" x14ac:dyDescent="0.3">
      <c r="B22" s="17" t="s">
        <v>167</v>
      </c>
      <c r="C22" s="16">
        <v>784</v>
      </c>
      <c r="D22" s="16">
        <v>758</v>
      </c>
      <c r="E22" s="16">
        <v>1887</v>
      </c>
      <c r="F22" s="16">
        <v>-1527</v>
      </c>
      <c r="G22" s="16">
        <v>7250</v>
      </c>
      <c r="H22" s="16">
        <v>-2723</v>
      </c>
      <c r="I22" s="16">
        <v>700</v>
      </c>
      <c r="J22" s="16">
        <v>5683</v>
      </c>
      <c r="K22" s="16">
        <v>3836</v>
      </c>
      <c r="L22" s="16">
        <v>1048</v>
      </c>
    </row>
    <row r="23" spans="2:12" ht="15" customHeight="1" outlineLevel="2" x14ac:dyDescent="0.3">
      <c r="B23" s="18" t="s">
        <v>168</v>
      </c>
      <c r="C23" s="19">
        <v>-973</v>
      </c>
      <c r="D23" s="19">
        <v>-1489</v>
      </c>
      <c r="E23" s="19">
        <v>-1609</v>
      </c>
      <c r="F23" s="19">
        <v>-1892</v>
      </c>
      <c r="G23" s="19">
        <v>-1961</v>
      </c>
      <c r="H23" s="19">
        <v>-1512</v>
      </c>
      <c r="I23" s="19">
        <v>-3110</v>
      </c>
      <c r="J23" s="19">
        <v>231</v>
      </c>
      <c r="K23" s="19">
        <v>-2399</v>
      </c>
      <c r="L23" s="19">
        <v>-1485</v>
      </c>
    </row>
    <row r="24" spans="2:12" ht="15" customHeight="1" outlineLevel="2" x14ac:dyDescent="0.3">
      <c r="B24" s="18" t="s">
        <v>87</v>
      </c>
      <c r="C24" s="19" t="s">
        <v>28</v>
      </c>
      <c r="D24" s="19" t="s">
        <v>28</v>
      </c>
      <c r="E24" s="19" t="s">
        <v>28</v>
      </c>
      <c r="F24" s="19" t="s">
        <v>28</v>
      </c>
      <c r="G24" s="19" t="s">
        <v>28</v>
      </c>
      <c r="H24" s="19" t="s">
        <v>28</v>
      </c>
      <c r="I24" s="19" t="s">
        <v>28</v>
      </c>
      <c r="J24" s="19" t="s">
        <v>28</v>
      </c>
      <c r="K24" s="19" t="s">
        <v>28</v>
      </c>
      <c r="L24" s="19" t="s">
        <v>28</v>
      </c>
    </row>
    <row r="25" spans="2:12" ht="15" customHeight="1" outlineLevel="2" x14ac:dyDescent="0.3">
      <c r="B25" s="18" t="s">
        <v>120</v>
      </c>
      <c r="C25" s="19">
        <v>35</v>
      </c>
      <c r="D25" s="19">
        <v>81</v>
      </c>
      <c r="E25" s="19">
        <v>138</v>
      </c>
      <c r="F25" s="19">
        <v>378</v>
      </c>
      <c r="G25" s="19">
        <v>461</v>
      </c>
      <c r="H25" s="19">
        <v>161</v>
      </c>
      <c r="I25" s="19">
        <v>1424</v>
      </c>
      <c r="J25" s="19">
        <v>300</v>
      </c>
      <c r="K25" s="19">
        <v>-220</v>
      </c>
      <c r="L25" s="19">
        <v>373</v>
      </c>
    </row>
    <row r="26" spans="2:12" ht="15" customHeight="1" outlineLevel="2" x14ac:dyDescent="0.3">
      <c r="B26" s="18" t="s">
        <v>169</v>
      </c>
      <c r="C26" s="19" t="s">
        <v>28</v>
      </c>
      <c r="D26" s="19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19" t="s">
        <v>28</v>
      </c>
      <c r="J26" s="19" t="s">
        <v>28</v>
      </c>
      <c r="K26" s="19" t="s">
        <v>28</v>
      </c>
      <c r="L26" s="19" t="s">
        <v>28</v>
      </c>
    </row>
    <row r="27" spans="2:12" ht="15" customHeight="1" outlineLevel="2" x14ac:dyDescent="0.3">
      <c r="B27" s="18" t="s">
        <v>170</v>
      </c>
      <c r="C27" s="19">
        <v>513</v>
      </c>
      <c r="D27" s="19">
        <v>1014</v>
      </c>
      <c r="E27" s="19">
        <v>309</v>
      </c>
      <c r="F27" s="19">
        <v>1417</v>
      </c>
      <c r="G27" s="19">
        <v>7300</v>
      </c>
      <c r="H27" s="19">
        <v>-1054</v>
      </c>
      <c r="I27" s="19">
        <v>3357</v>
      </c>
      <c r="J27" s="19">
        <v>4210</v>
      </c>
      <c r="K27" s="19">
        <v>5352</v>
      </c>
      <c r="L27" s="19">
        <v>323</v>
      </c>
    </row>
    <row r="28" spans="2:12" ht="15" customHeight="1" outlineLevel="2" x14ac:dyDescent="0.3">
      <c r="B28" s="18" t="s">
        <v>171</v>
      </c>
      <c r="C28" s="19">
        <v>1209</v>
      </c>
      <c r="D28" s="19">
        <v>1152</v>
      </c>
      <c r="E28" s="19">
        <v>3049</v>
      </c>
      <c r="F28" s="19">
        <v>-1430</v>
      </c>
      <c r="G28" s="19">
        <v>1450</v>
      </c>
      <c r="H28" s="19">
        <v>-318</v>
      </c>
      <c r="I28" s="19">
        <v>-971</v>
      </c>
      <c r="J28" s="19">
        <v>942</v>
      </c>
      <c r="K28" s="19">
        <v>1103</v>
      </c>
      <c r="L28" s="19">
        <v>1837</v>
      </c>
    </row>
    <row r="29" spans="2:12" ht="15" customHeight="1" outlineLevel="1" x14ac:dyDescent="0.3">
      <c r="B29" s="22" t="s">
        <v>172</v>
      </c>
      <c r="C29" s="19">
        <v>8599</v>
      </c>
      <c r="D29" s="19">
        <v>16108</v>
      </c>
      <c r="E29" s="19">
        <v>24216</v>
      </c>
      <c r="F29" s="19">
        <v>29274</v>
      </c>
      <c r="G29" s="19">
        <v>36314</v>
      </c>
      <c r="H29" s="19">
        <v>38747</v>
      </c>
      <c r="I29" s="19">
        <v>57683</v>
      </c>
      <c r="J29" s="19">
        <v>50475</v>
      </c>
      <c r="K29" s="19">
        <v>71113</v>
      </c>
      <c r="L29" s="19">
        <v>91328</v>
      </c>
    </row>
    <row r="30" spans="2:12" ht="15" customHeight="1" x14ac:dyDescent="0.3">
      <c r="B30" s="15" t="s">
        <v>173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2:12" ht="15" customHeight="1" outlineLevel="1" x14ac:dyDescent="0.3">
      <c r="B31" s="17" t="s">
        <v>174</v>
      </c>
      <c r="C31" s="16">
        <v>-2523</v>
      </c>
      <c r="D31" s="16">
        <v>-4491</v>
      </c>
      <c r="E31" s="16">
        <v>-6733</v>
      </c>
      <c r="F31" s="16">
        <v>-13915</v>
      </c>
      <c r="G31" s="16">
        <v>-15102</v>
      </c>
      <c r="H31" s="16">
        <v>-15115</v>
      </c>
      <c r="I31" s="16">
        <v>-18567</v>
      </c>
      <c r="J31" s="16">
        <v>-31431</v>
      </c>
      <c r="K31" s="16">
        <v>-27266</v>
      </c>
      <c r="L31" s="16">
        <v>-37256</v>
      </c>
    </row>
    <row r="32" spans="2:12" ht="15" customHeight="1" outlineLevel="2" x14ac:dyDescent="0.3">
      <c r="B32" s="18" t="s">
        <v>175</v>
      </c>
      <c r="C32" s="19">
        <v>-2523</v>
      </c>
      <c r="D32" s="19">
        <v>-4491</v>
      </c>
      <c r="E32" s="19">
        <v>-6733</v>
      </c>
      <c r="F32" s="19">
        <v>-13915</v>
      </c>
      <c r="G32" s="19">
        <v>-15102</v>
      </c>
      <c r="H32" s="19">
        <v>-15115</v>
      </c>
      <c r="I32" s="19">
        <v>-18567</v>
      </c>
      <c r="J32" s="19">
        <v>-31431</v>
      </c>
      <c r="K32" s="19">
        <v>-27266</v>
      </c>
      <c r="L32" s="19">
        <v>-37256</v>
      </c>
    </row>
    <row r="33" spans="2:12" ht="15" customHeight="1" outlineLevel="2" x14ac:dyDescent="0.3">
      <c r="B33" s="18" t="s">
        <v>176</v>
      </c>
      <c r="C33" s="19">
        <v>0</v>
      </c>
      <c r="D33" s="19">
        <v>0</v>
      </c>
      <c r="E33" s="19">
        <v>0</v>
      </c>
      <c r="F33" s="19" t="s">
        <v>28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</row>
    <row r="34" spans="2:12" ht="15" customHeight="1" outlineLevel="1" x14ac:dyDescent="0.3">
      <c r="B34" s="22" t="s">
        <v>177</v>
      </c>
      <c r="C34" s="19">
        <v>-313</v>
      </c>
      <c r="D34" s="19">
        <v>-123</v>
      </c>
      <c r="E34" s="19">
        <v>-122</v>
      </c>
      <c r="F34" s="19">
        <v>-137</v>
      </c>
      <c r="G34" s="19">
        <v>-508</v>
      </c>
      <c r="H34" s="19">
        <v>-388</v>
      </c>
      <c r="I34" s="19">
        <v>-851</v>
      </c>
      <c r="J34" s="19">
        <v>-1312</v>
      </c>
      <c r="K34" s="19">
        <v>-629</v>
      </c>
      <c r="L34" s="19">
        <v>-270</v>
      </c>
    </row>
    <row r="35" spans="2:12" ht="15" customHeight="1" outlineLevel="1" x14ac:dyDescent="0.3">
      <c r="B35" s="22" t="s">
        <v>178</v>
      </c>
      <c r="C35" s="19" t="s">
        <v>28</v>
      </c>
      <c r="D35" s="19" t="s">
        <v>28</v>
      </c>
      <c r="E35" s="19" t="s">
        <v>28</v>
      </c>
      <c r="F35" s="19" t="s">
        <v>28</v>
      </c>
      <c r="G35" s="19">
        <v>0</v>
      </c>
      <c r="H35" s="19">
        <v>0</v>
      </c>
      <c r="I35" s="19">
        <v>0</v>
      </c>
      <c r="J35" s="19">
        <v>245</v>
      </c>
      <c r="K35" s="19">
        <v>221</v>
      </c>
      <c r="L35" s="19">
        <v>0</v>
      </c>
    </row>
    <row r="36" spans="2:12" ht="15" customHeight="1" outlineLevel="1" x14ac:dyDescent="0.3">
      <c r="B36" s="17" t="s">
        <v>179</v>
      </c>
      <c r="C36" s="16">
        <v>-6700</v>
      </c>
      <c r="D36" s="16">
        <v>-7186</v>
      </c>
      <c r="E36" s="16">
        <v>-13250</v>
      </c>
      <c r="F36" s="16">
        <v>2474</v>
      </c>
      <c r="G36" s="16">
        <v>-4193</v>
      </c>
      <c r="H36" s="16">
        <v>-14520</v>
      </c>
      <c r="I36" s="16">
        <v>12132</v>
      </c>
      <c r="J36" s="16">
        <v>3527</v>
      </c>
      <c r="K36" s="16">
        <v>3202</v>
      </c>
      <c r="L36" s="16">
        <v>-9753</v>
      </c>
    </row>
    <row r="37" spans="2:12" ht="15" customHeight="1" outlineLevel="2" x14ac:dyDescent="0.3">
      <c r="B37" s="18" t="s">
        <v>180</v>
      </c>
      <c r="C37" s="19">
        <v>9238</v>
      </c>
      <c r="D37" s="19">
        <v>15155</v>
      </c>
      <c r="E37" s="19">
        <v>12432</v>
      </c>
      <c r="F37" s="19">
        <v>17130</v>
      </c>
      <c r="G37" s="19">
        <v>19717</v>
      </c>
      <c r="H37" s="19">
        <v>25771</v>
      </c>
      <c r="I37" s="19">
        <v>42586</v>
      </c>
      <c r="J37" s="19">
        <v>13158</v>
      </c>
      <c r="K37" s="19">
        <v>6184</v>
      </c>
      <c r="L37" s="19">
        <v>15789</v>
      </c>
    </row>
    <row r="38" spans="2:12" ht="15" customHeight="1" outlineLevel="1" x14ac:dyDescent="0.3">
      <c r="B38" s="17" t="s">
        <v>165</v>
      </c>
      <c r="C38" s="16">
        <v>102</v>
      </c>
      <c r="D38" s="16">
        <v>61</v>
      </c>
      <c r="E38" s="16">
        <v>67</v>
      </c>
      <c r="F38" s="16">
        <v>-25</v>
      </c>
      <c r="G38" s="16">
        <v>-61</v>
      </c>
      <c r="H38" s="16">
        <v>-36</v>
      </c>
      <c r="I38" s="16">
        <v>-284</v>
      </c>
      <c r="J38" s="16">
        <v>1</v>
      </c>
      <c r="K38" s="16">
        <v>-23</v>
      </c>
      <c r="L38" s="16">
        <v>129</v>
      </c>
    </row>
    <row r="39" spans="2:12" ht="15" customHeight="1" outlineLevel="2" x14ac:dyDescent="0.3">
      <c r="B39" s="18" t="s">
        <v>181</v>
      </c>
      <c r="C39" s="19">
        <v>0</v>
      </c>
      <c r="D39" s="19">
        <v>0</v>
      </c>
      <c r="E39" s="19">
        <v>0</v>
      </c>
      <c r="F39" s="19">
        <v>-25</v>
      </c>
      <c r="G39" s="19">
        <v>-61</v>
      </c>
      <c r="H39" s="19">
        <v>-36</v>
      </c>
      <c r="I39" s="19">
        <v>-284</v>
      </c>
      <c r="J39" s="19">
        <v>0</v>
      </c>
      <c r="K39" s="19">
        <v>-23</v>
      </c>
      <c r="L39" s="19">
        <v>0</v>
      </c>
    </row>
    <row r="40" spans="2:12" ht="15" customHeight="1" outlineLevel="2" x14ac:dyDescent="0.3">
      <c r="B40" s="18" t="s">
        <v>182</v>
      </c>
      <c r="C40" s="19">
        <v>102</v>
      </c>
      <c r="D40" s="19">
        <v>61</v>
      </c>
      <c r="E40" s="19">
        <v>67</v>
      </c>
      <c r="F40" s="19">
        <v>0</v>
      </c>
      <c r="G40" s="19">
        <v>0</v>
      </c>
      <c r="H40" s="19">
        <v>0</v>
      </c>
      <c r="I40" s="19">
        <v>0</v>
      </c>
      <c r="J40" s="19">
        <v>1</v>
      </c>
      <c r="K40" s="19">
        <v>0</v>
      </c>
      <c r="L40" s="19">
        <v>129</v>
      </c>
    </row>
    <row r="41" spans="2:12" ht="15" customHeight="1" outlineLevel="1" x14ac:dyDescent="0.3">
      <c r="B41" s="22" t="s">
        <v>183</v>
      </c>
      <c r="C41" s="19">
        <v>-9434</v>
      </c>
      <c r="D41" s="19">
        <v>-11739</v>
      </c>
      <c r="E41" s="19">
        <v>-20038</v>
      </c>
      <c r="F41" s="19">
        <v>-11603</v>
      </c>
      <c r="G41" s="19">
        <v>-19864</v>
      </c>
      <c r="H41" s="19">
        <v>-30059</v>
      </c>
      <c r="I41" s="19">
        <v>-7570</v>
      </c>
      <c r="J41" s="19">
        <v>-28970</v>
      </c>
      <c r="K41" s="19">
        <v>-24495</v>
      </c>
      <c r="L41" s="19">
        <v>-47150</v>
      </c>
    </row>
    <row r="42" spans="2:12" ht="15" customHeight="1" x14ac:dyDescent="0.3">
      <c r="B42" s="15" t="s">
        <v>184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2:12" ht="15" customHeight="1" outlineLevel="1" x14ac:dyDescent="0.3">
      <c r="B43" s="17" t="s">
        <v>185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-5072</v>
      </c>
    </row>
    <row r="44" spans="2:12" ht="15" customHeight="1" outlineLevel="2" x14ac:dyDescent="0.3">
      <c r="B44" s="18" t="s">
        <v>186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-5072</v>
      </c>
    </row>
    <row r="45" spans="2:12" ht="15" customHeight="1" outlineLevel="1" x14ac:dyDescent="0.3">
      <c r="B45" s="17" t="s">
        <v>187</v>
      </c>
      <c r="C45" s="16">
        <v>-20</v>
      </c>
      <c r="D45" s="16">
        <v>-6</v>
      </c>
      <c r="E45" s="16">
        <v>-5222</v>
      </c>
      <c r="F45" s="16">
        <v>-16087</v>
      </c>
      <c r="G45" s="16">
        <v>-6539</v>
      </c>
      <c r="H45" s="16">
        <v>-6272</v>
      </c>
      <c r="I45" s="16">
        <v>-44537</v>
      </c>
      <c r="J45" s="16">
        <v>-27956</v>
      </c>
      <c r="K45" s="16">
        <v>-19774</v>
      </c>
      <c r="L45" s="16">
        <v>-30125</v>
      </c>
    </row>
    <row r="46" spans="2:12" ht="15" customHeight="1" outlineLevel="2" x14ac:dyDescent="0.3">
      <c r="B46" s="18" t="s">
        <v>188</v>
      </c>
      <c r="C46" s="19">
        <v>0</v>
      </c>
      <c r="D46" s="19">
        <v>0</v>
      </c>
      <c r="E46" s="19">
        <v>-1976</v>
      </c>
      <c r="F46" s="19">
        <v>-12879</v>
      </c>
      <c r="G46" s="19">
        <v>-4202</v>
      </c>
      <c r="H46" s="19">
        <v>-6272</v>
      </c>
      <c r="I46" s="19">
        <v>-44537</v>
      </c>
      <c r="J46" s="19">
        <v>-27956</v>
      </c>
      <c r="K46" s="19">
        <v>-19774</v>
      </c>
      <c r="L46" s="19">
        <v>-30125</v>
      </c>
    </row>
    <row r="47" spans="2:12" ht="15" customHeight="1" outlineLevel="2" x14ac:dyDescent="0.3">
      <c r="B47" s="20" t="s">
        <v>189</v>
      </c>
      <c r="C47" s="16">
        <v>-20</v>
      </c>
      <c r="D47" s="16">
        <v>-6</v>
      </c>
      <c r="E47" s="16">
        <v>-3246</v>
      </c>
      <c r="F47" s="16">
        <v>-3208</v>
      </c>
      <c r="G47" s="16">
        <v>-2337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</row>
    <row r="48" spans="2:12" ht="15" customHeight="1" outlineLevel="3" x14ac:dyDescent="0.3">
      <c r="B48" s="21" t="s">
        <v>190</v>
      </c>
      <c r="C48" s="19">
        <v>-20</v>
      </c>
      <c r="D48" s="19">
        <v>-6</v>
      </c>
      <c r="E48" s="19">
        <v>-3246</v>
      </c>
      <c r="F48" s="19">
        <v>-3208</v>
      </c>
      <c r="G48" s="19">
        <v>-2337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</row>
    <row r="49" spans="2:12" ht="15" customHeight="1" outlineLevel="1" x14ac:dyDescent="0.3">
      <c r="B49" s="17" t="s">
        <v>191</v>
      </c>
      <c r="C49" s="16">
        <v>-119</v>
      </c>
      <c r="D49" s="16">
        <v>-312</v>
      </c>
      <c r="E49" s="16">
        <v>0</v>
      </c>
      <c r="F49" s="16">
        <v>500</v>
      </c>
      <c r="G49" s="16">
        <v>-775</v>
      </c>
      <c r="H49" s="16">
        <v>-580</v>
      </c>
      <c r="I49" s="16">
        <v>-663</v>
      </c>
      <c r="J49" s="16">
        <v>9071</v>
      </c>
      <c r="K49" s="16">
        <v>7397</v>
      </c>
      <c r="L49" s="16">
        <v>8463</v>
      </c>
    </row>
    <row r="50" spans="2:12" ht="15" customHeight="1" outlineLevel="2" x14ac:dyDescent="0.3">
      <c r="B50" s="18" t="s">
        <v>192</v>
      </c>
      <c r="C50" s="19">
        <v>0</v>
      </c>
      <c r="D50" s="19">
        <v>0</v>
      </c>
      <c r="E50" s="19">
        <v>0</v>
      </c>
      <c r="F50" s="19">
        <v>500</v>
      </c>
      <c r="G50" s="19">
        <v>-223</v>
      </c>
      <c r="H50" s="19">
        <v>24</v>
      </c>
      <c r="I50" s="19">
        <v>14</v>
      </c>
      <c r="J50" s="19">
        <v>0</v>
      </c>
      <c r="K50" s="19">
        <v>0</v>
      </c>
      <c r="L50" s="19">
        <v>0</v>
      </c>
    </row>
    <row r="51" spans="2:12" ht="15" customHeight="1" outlineLevel="2" x14ac:dyDescent="0.3">
      <c r="B51" s="20" t="s">
        <v>193</v>
      </c>
      <c r="C51" s="16">
        <v>-119</v>
      </c>
      <c r="D51" s="16">
        <v>-312</v>
      </c>
      <c r="E51" s="16">
        <v>0</v>
      </c>
      <c r="F51" s="16">
        <v>0</v>
      </c>
      <c r="G51" s="16">
        <v>-552</v>
      </c>
      <c r="H51" s="16">
        <v>-604</v>
      </c>
      <c r="I51" s="16">
        <v>-677</v>
      </c>
      <c r="J51" s="16">
        <v>9071</v>
      </c>
      <c r="K51" s="16">
        <v>7397</v>
      </c>
      <c r="L51" s="16">
        <v>8463</v>
      </c>
    </row>
    <row r="52" spans="2:12" ht="15" customHeight="1" outlineLevel="3" x14ac:dyDescent="0.3">
      <c r="B52" s="21" t="s">
        <v>194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9921</v>
      </c>
      <c r="K52" s="19">
        <v>8455</v>
      </c>
      <c r="L52" s="19">
        <v>10432</v>
      </c>
    </row>
    <row r="53" spans="2:12" ht="15" customHeight="1" outlineLevel="3" x14ac:dyDescent="0.3">
      <c r="B53" s="21" t="s">
        <v>195</v>
      </c>
      <c r="C53" s="19">
        <v>-119</v>
      </c>
      <c r="D53" s="19">
        <v>-312</v>
      </c>
      <c r="E53" s="19">
        <v>0</v>
      </c>
      <c r="F53" s="19">
        <v>0</v>
      </c>
      <c r="G53" s="19">
        <v>-552</v>
      </c>
      <c r="H53" s="19">
        <v>-604</v>
      </c>
      <c r="I53" s="19">
        <v>-677</v>
      </c>
      <c r="J53" s="19">
        <v>-850</v>
      </c>
      <c r="K53" s="19">
        <v>-1058</v>
      </c>
      <c r="L53" s="19">
        <v>-1969</v>
      </c>
    </row>
    <row r="54" spans="2:12" ht="15" customHeight="1" outlineLevel="2" x14ac:dyDescent="0.3">
      <c r="B54" s="18" t="s">
        <v>196</v>
      </c>
      <c r="C54" s="19" t="s">
        <v>28</v>
      </c>
      <c r="D54" s="19" t="s">
        <v>28</v>
      </c>
      <c r="E54" s="19" t="s">
        <v>28</v>
      </c>
      <c r="F54" s="19" t="s">
        <v>28</v>
      </c>
      <c r="G54" s="19" t="s">
        <v>28</v>
      </c>
      <c r="H54" s="19" t="s">
        <v>28</v>
      </c>
      <c r="I54" s="19" t="s">
        <v>28</v>
      </c>
      <c r="J54" s="19" t="s">
        <v>28</v>
      </c>
      <c r="K54" s="19" t="s">
        <v>28</v>
      </c>
      <c r="L54" s="19" t="s">
        <v>28</v>
      </c>
    </row>
    <row r="55" spans="2:12" ht="15" customHeight="1" outlineLevel="1" x14ac:dyDescent="0.3">
      <c r="B55" s="22" t="s">
        <v>197</v>
      </c>
      <c r="C55" s="19" t="s">
        <v>28</v>
      </c>
      <c r="D55" s="19" t="s">
        <v>28</v>
      </c>
      <c r="E55" s="19" t="s">
        <v>28</v>
      </c>
      <c r="F55" s="19" t="s">
        <v>28</v>
      </c>
      <c r="G55" s="19" t="s">
        <v>28</v>
      </c>
      <c r="H55" s="19" t="s">
        <v>28</v>
      </c>
      <c r="I55" s="19" t="s">
        <v>28</v>
      </c>
      <c r="J55" s="19" t="s">
        <v>28</v>
      </c>
      <c r="K55" s="19" t="s">
        <v>28</v>
      </c>
      <c r="L55" s="19" t="s">
        <v>28</v>
      </c>
    </row>
    <row r="56" spans="2:12" ht="15" customHeight="1" outlineLevel="1" x14ac:dyDescent="0.3">
      <c r="B56" s="22" t="s">
        <v>198</v>
      </c>
      <c r="C56" s="19" t="s">
        <v>28</v>
      </c>
      <c r="D56" s="19" t="s">
        <v>28</v>
      </c>
      <c r="E56" s="19" t="s">
        <v>28</v>
      </c>
      <c r="F56" s="19" t="s">
        <v>28</v>
      </c>
      <c r="G56" s="19" t="s">
        <v>28</v>
      </c>
      <c r="H56" s="19" t="s">
        <v>28</v>
      </c>
      <c r="I56" s="19" t="s">
        <v>28</v>
      </c>
      <c r="J56" s="19" t="s">
        <v>28</v>
      </c>
      <c r="K56" s="19" t="s">
        <v>28</v>
      </c>
      <c r="L56" s="19" t="s">
        <v>28</v>
      </c>
    </row>
    <row r="57" spans="2:12" ht="15" customHeight="1" outlineLevel="1" x14ac:dyDescent="0.3">
      <c r="B57" s="17" t="s">
        <v>165</v>
      </c>
      <c r="C57" s="16">
        <v>1721</v>
      </c>
      <c r="D57" s="16">
        <v>8</v>
      </c>
      <c r="E57" s="16">
        <v>-13</v>
      </c>
      <c r="F57" s="16">
        <v>15</v>
      </c>
      <c r="G57" s="16">
        <v>15</v>
      </c>
      <c r="H57" s="16">
        <v>-3440</v>
      </c>
      <c r="I57" s="16">
        <v>-5528</v>
      </c>
      <c r="J57" s="16">
        <v>-3251</v>
      </c>
      <c r="K57" s="16">
        <v>-7123</v>
      </c>
      <c r="L57" s="16">
        <v>-14047</v>
      </c>
    </row>
    <row r="58" spans="2:12" ht="15" customHeight="1" outlineLevel="2" x14ac:dyDescent="0.3">
      <c r="B58" s="18" t="s">
        <v>181</v>
      </c>
      <c r="C58" s="19">
        <v>0</v>
      </c>
      <c r="D58" s="19">
        <v>0</v>
      </c>
      <c r="E58" s="19">
        <v>-13</v>
      </c>
      <c r="F58" s="19">
        <v>0</v>
      </c>
      <c r="G58" s="19">
        <v>0</v>
      </c>
      <c r="H58" s="19">
        <v>-3564</v>
      </c>
      <c r="I58" s="19">
        <v>-5528</v>
      </c>
      <c r="J58" s="19">
        <v>-3595</v>
      </c>
      <c r="K58" s="19">
        <v>-7123</v>
      </c>
      <c r="L58" s="19">
        <v>-14047</v>
      </c>
    </row>
    <row r="59" spans="2:12" ht="15" customHeight="1" outlineLevel="2" x14ac:dyDescent="0.3">
      <c r="B59" s="18" t="s">
        <v>182</v>
      </c>
      <c r="C59" s="19">
        <v>1721</v>
      </c>
      <c r="D59" s="19">
        <v>8</v>
      </c>
      <c r="E59" s="19">
        <v>0</v>
      </c>
      <c r="F59" s="19">
        <v>15</v>
      </c>
      <c r="G59" s="19">
        <v>15</v>
      </c>
      <c r="H59" s="19">
        <v>124</v>
      </c>
      <c r="I59" s="19">
        <v>0</v>
      </c>
      <c r="J59" s="19">
        <v>344</v>
      </c>
      <c r="K59" s="19">
        <v>0</v>
      </c>
      <c r="L59" s="19">
        <v>0</v>
      </c>
    </row>
    <row r="60" spans="2:12" ht="15" customHeight="1" outlineLevel="1" x14ac:dyDescent="0.3">
      <c r="B60" s="22" t="s">
        <v>199</v>
      </c>
      <c r="C60" s="19">
        <v>1582</v>
      </c>
      <c r="D60" s="19">
        <v>-310</v>
      </c>
      <c r="E60" s="19">
        <v>-5235</v>
      </c>
      <c r="F60" s="19">
        <v>-15572</v>
      </c>
      <c r="G60" s="19">
        <v>-7299</v>
      </c>
      <c r="H60" s="19">
        <v>-10292</v>
      </c>
      <c r="I60" s="19">
        <v>-50728</v>
      </c>
      <c r="J60" s="19">
        <v>-22136</v>
      </c>
      <c r="K60" s="19">
        <v>-19500</v>
      </c>
      <c r="L60" s="19">
        <v>-40781</v>
      </c>
    </row>
    <row r="61" spans="2:12" ht="15" customHeight="1" x14ac:dyDescent="0.3">
      <c r="B61" s="15" t="s">
        <v>200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2:12" ht="15" customHeight="1" outlineLevel="1" x14ac:dyDescent="0.3">
      <c r="B62" s="22" t="s">
        <v>201</v>
      </c>
      <c r="C62" s="19">
        <v>-155</v>
      </c>
      <c r="D62" s="19">
        <v>-63</v>
      </c>
      <c r="E62" s="19">
        <v>233</v>
      </c>
      <c r="F62" s="19">
        <v>-179</v>
      </c>
      <c r="G62" s="19">
        <v>4</v>
      </c>
      <c r="H62" s="19">
        <v>279</v>
      </c>
      <c r="I62" s="19">
        <v>-474</v>
      </c>
      <c r="J62" s="19">
        <v>-638</v>
      </c>
      <c r="K62" s="19">
        <v>113</v>
      </c>
      <c r="L62" s="19">
        <v>-786</v>
      </c>
    </row>
    <row r="63" spans="2:12" ht="15" customHeight="1" outlineLevel="1" x14ac:dyDescent="0.3">
      <c r="B63" s="22" t="s">
        <v>202</v>
      </c>
      <c r="C63" s="19">
        <v>592</v>
      </c>
      <c r="D63" s="19">
        <v>3996</v>
      </c>
      <c r="E63" s="19">
        <v>-824</v>
      </c>
      <c r="F63" s="19">
        <v>1920</v>
      </c>
      <c r="G63" s="19">
        <v>9155</v>
      </c>
      <c r="H63" s="19">
        <v>-1325</v>
      </c>
      <c r="I63" s="19">
        <v>-1089</v>
      </c>
      <c r="J63" s="19">
        <v>-1269</v>
      </c>
      <c r="K63" s="19">
        <v>27231</v>
      </c>
      <c r="L63" s="19">
        <v>2611</v>
      </c>
    </row>
    <row r="64" spans="2:12" ht="15" customHeight="1" outlineLevel="1" x14ac:dyDescent="0.3">
      <c r="B64" s="17" t="s">
        <v>203</v>
      </c>
      <c r="C64" s="16">
        <v>6076</v>
      </c>
      <c r="D64" s="25">
        <v>11617</v>
      </c>
      <c r="E64" s="25">
        <v>17483</v>
      </c>
      <c r="F64" s="25">
        <v>15359</v>
      </c>
      <c r="G64" s="25">
        <v>21212</v>
      </c>
      <c r="H64" s="25">
        <v>23632</v>
      </c>
      <c r="I64" s="25">
        <v>39116</v>
      </c>
      <c r="J64" s="25">
        <v>19044</v>
      </c>
      <c r="K64" s="25">
        <v>43847</v>
      </c>
      <c r="L64" s="25">
        <v>54072</v>
      </c>
    </row>
    <row r="65" spans="2:12" ht="15" customHeight="1" outlineLevel="2" x14ac:dyDescent="0.3">
      <c r="B65" s="18" t="s">
        <v>204</v>
      </c>
      <c r="C65" s="19">
        <v>2.12968804766912</v>
      </c>
      <c r="D65" s="24">
        <v>3.9716239316239301</v>
      </c>
      <c r="E65" s="24">
        <v>5.9144113667117697</v>
      </c>
      <c r="F65" s="24">
        <v>5.2581307771311199</v>
      </c>
      <c r="G65" s="24">
        <v>7.3755215577190496</v>
      </c>
      <c r="H65" s="24">
        <v>8.1828254847645407</v>
      </c>
      <c r="I65" s="24">
        <v>13.6817068905212</v>
      </c>
      <c r="J65" s="24">
        <v>7.0481125092524097</v>
      </c>
      <c r="K65" s="24">
        <v>16.678204640547701</v>
      </c>
      <c r="L65" s="24">
        <v>20.6855394032135</v>
      </c>
    </row>
    <row r="66" spans="2:12" ht="15" customHeight="1" outlineLevel="2" x14ac:dyDescent="0.3">
      <c r="B66" s="18" t="s">
        <v>205</v>
      </c>
      <c r="C66" s="24">
        <v>2.0348634126400902</v>
      </c>
      <c r="D66" s="24">
        <v>3.4520851209247598</v>
      </c>
      <c r="E66" s="24">
        <v>3.3517008765226</v>
      </c>
      <c r="F66" s="24">
        <v>4.0110845809223603</v>
      </c>
      <c r="G66" s="24">
        <v>3.5934331584502099</v>
      </c>
      <c r="H66" s="24">
        <v>2.9956162998845199</v>
      </c>
      <c r="I66" s="24">
        <v>4.0676993876976804</v>
      </c>
      <c r="J66" s="24">
        <v>5.8568327316373701</v>
      </c>
      <c r="K66" s="24">
        <v>4.7118896600033198</v>
      </c>
      <c r="L66" s="24">
        <v>3.5329096690429602</v>
      </c>
    </row>
    <row r="67" spans="2:12" ht="15" customHeight="1" x14ac:dyDescent="0.3">
      <c r="B67" s="26" t="s">
        <v>76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2:12" ht="15" customHeigh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29DF-1F51-493A-820F-96C7C1706DD9}">
  <sheetPr>
    <outlinePr summaryBelow="0" summaryRight="0"/>
    <pageSetUpPr fitToPage="1"/>
  </sheetPr>
  <dimension ref="B1:L117"/>
  <sheetViews>
    <sheetView workbookViewId="0">
      <pane ySplit="10" topLeftCell="A11" activePane="bottomLeft" state="frozen"/>
      <selection activeCell="C15" sqref="C15"/>
      <selection pane="bottomLeft" activeCell="C15" sqref="C15"/>
    </sheetView>
  </sheetViews>
  <sheetFormatPr defaultColWidth="9.15234375" defaultRowHeight="15" customHeight="1" outlineLevelRow="2" x14ac:dyDescent="0.3"/>
  <cols>
    <col min="1" max="1" width="4.69140625" style="28" customWidth="1"/>
    <col min="2" max="2" width="55.69140625" style="28" customWidth="1"/>
    <col min="3" max="12" width="12.3046875" style="28" customWidth="1"/>
    <col min="13" max="16384" width="9.15234375" style="28"/>
  </cols>
  <sheetData>
    <row r="1" spans="2:12" ht="15" customHeight="1" x14ac:dyDescent="0.3">
      <c r="B1" s="27"/>
    </row>
    <row r="2" spans="2:12" ht="15" customHeight="1" x14ac:dyDescent="0.3">
      <c r="K2" s="3" t="s">
        <v>0</v>
      </c>
      <c r="L2" s="4" t="s">
        <v>1</v>
      </c>
    </row>
    <row r="3" spans="2:12" ht="15" customHeight="1" x14ac:dyDescent="0.3">
      <c r="K3" s="3" t="s">
        <v>2</v>
      </c>
      <c r="L3" s="5">
        <v>-9</v>
      </c>
    </row>
    <row r="4" spans="2:12" ht="15" customHeight="1" x14ac:dyDescent="0.3">
      <c r="K4" s="3" t="s">
        <v>3</v>
      </c>
      <c r="L4" s="5">
        <v>0</v>
      </c>
    </row>
    <row r="5" spans="2:12" ht="15" customHeight="1" x14ac:dyDescent="0.3">
      <c r="B5" s="29"/>
      <c r="C5" s="29"/>
      <c r="K5" s="3" t="s">
        <v>4</v>
      </c>
      <c r="L5" s="5" t="s">
        <v>5</v>
      </c>
    </row>
    <row r="6" spans="2:12" ht="15" customHeight="1" x14ac:dyDescent="0.3">
      <c r="B6" s="30"/>
      <c r="C6" s="30"/>
      <c r="D6" s="30"/>
      <c r="E6" s="30"/>
      <c r="F6" s="30"/>
      <c r="G6" s="30"/>
      <c r="H6" s="30"/>
      <c r="I6" s="30"/>
      <c r="J6" s="30"/>
      <c r="K6" s="3" t="s">
        <v>6</v>
      </c>
      <c r="L6" s="4" t="s">
        <v>7</v>
      </c>
    </row>
    <row r="7" spans="2:12" ht="15" customHeight="1" x14ac:dyDescent="0.3">
      <c r="B7" s="9" t="s">
        <v>9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2:12" ht="15" customHeight="1" x14ac:dyDescent="0.4">
      <c r="B8" s="11" t="s">
        <v>10</v>
      </c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2:12" ht="15" customHeight="1" x14ac:dyDescent="0.3">
      <c r="B9" s="12" t="s">
        <v>206</v>
      </c>
      <c r="C9" s="13">
        <v>42369</v>
      </c>
      <c r="D9" s="13">
        <v>42734</v>
      </c>
      <c r="E9" s="13">
        <v>43098</v>
      </c>
      <c r="F9" s="13">
        <v>43465</v>
      </c>
      <c r="G9" s="13">
        <v>43830</v>
      </c>
      <c r="H9" s="13">
        <v>44196</v>
      </c>
      <c r="I9" s="13">
        <v>44561</v>
      </c>
      <c r="J9" s="13">
        <v>44925</v>
      </c>
      <c r="K9" s="13">
        <v>45289</v>
      </c>
      <c r="L9" s="13">
        <v>45657</v>
      </c>
    </row>
    <row r="10" spans="2:12" ht="15" customHeight="1" x14ac:dyDescent="0.3">
      <c r="B10" s="7"/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13</v>
      </c>
      <c r="L10" s="14" t="s">
        <v>12</v>
      </c>
    </row>
    <row r="11" spans="2:12" ht="15" customHeight="1" x14ac:dyDescent="0.3">
      <c r="B11" s="15" t="s">
        <v>207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2:12" ht="15" customHeight="1" outlineLevel="1" x14ac:dyDescent="0.3">
      <c r="B12" s="22" t="s">
        <v>208</v>
      </c>
      <c r="C12" s="24">
        <v>84.008255243194995</v>
      </c>
      <c r="D12" s="24">
        <v>86.290614371517506</v>
      </c>
      <c r="E12" s="24">
        <v>86.584015939783001</v>
      </c>
      <c r="F12" s="24">
        <v>83.246176438984193</v>
      </c>
      <c r="G12" s="24">
        <v>81.936998741106393</v>
      </c>
      <c r="H12" s="24">
        <v>80.582795323678198</v>
      </c>
      <c r="I12" s="24">
        <v>80.794376277251601</v>
      </c>
      <c r="J12" s="24">
        <v>79.629359654915106</v>
      </c>
      <c r="K12" s="24">
        <v>80.722302115609807</v>
      </c>
      <c r="L12" s="24">
        <v>81.684001920960995</v>
      </c>
    </row>
    <row r="13" spans="2:12" ht="15" customHeight="1" outlineLevel="1" x14ac:dyDescent="0.3">
      <c r="B13" s="22" t="s">
        <v>209</v>
      </c>
      <c r="C13" s="24">
        <v>48.901160196340903</v>
      </c>
      <c r="D13" s="24">
        <v>41.327158260366197</v>
      </c>
      <c r="E13" s="24">
        <v>36.887806557941602</v>
      </c>
      <c r="F13" s="24">
        <v>38.629607077617401</v>
      </c>
      <c r="G13" s="24">
        <v>40.936673409055501</v>
      </c>
      <c r="H13" s="24">
        <v>42.577793287966003</v>
      </c>
      <c r="I13" s="24">
        <v>41.149335617193401</v>
      </c>
      <c r="J13" s="24">
        <v>50.853707689800999</v>
      </c>
      <c r="K13" s="24">
        <v>43.507879794220997</v>
      </c>
      <c r="L13" s="24">
        <v>39.271493790311297</v>
      </c>
    </row>
    <row r="14" spans="2:12" ht="15" customHeight="1" outlineLevel="1" x14ac:dyDescent="0.3">
      <c r="B14" s="22" t="s">
        <v>210</v>
      </c>
      <c r="C14" s="24">
        <v>35.107095046854099</v>
      </c>
      <c r="D14" s="24">
        <v>44.963456111151302</v>
      </c>
      <c r="E14" s="24">
        <v>49.696209381841399</v>
      </c>
      <c r="F14" s="24">
        <v>44.6165693613668</v>
      </c>
      <c r="G14" s="24">
        <v>41.000325332050899</v>
      </c>
      <c r="H14" s="24">
        <v>38.005002035712202</v>
      </c>
      <c r="I14" s="24">
        <v>39.6450406600582</v>
      </c>
      <c r="J14" s="24">
        <v>28.7756519651142</v>
      </c>
      <c r="K14" s="24">
        <v>37.214422321388902</v>
      </c>
      <c r="L14" s="24">
        <v>42.412508130649698</v>
      </c>
    </row>
    <row r="15" spans="2:12" ht="15" customHeight="1" outlineLevel="1" x14ac:dyDescent="0.3">
      <c r="B15" s="22" t="s">
        <v>211</v>
      </c>
      <c r="C15" s="24">
        <v>34.549308344489098</v>
      </c>
      <c r="D15" s="24">
        <v>45.2927129314712</v>
      </c>
      <c r="E15" s="24">
        <v>50.658008019088399</v>
      </c>
      <c r="F15" s="24">
        <v>45.418890361402603</v>
      </c>
      <c r="G15" s="24">
        <v>35.096255852440699</v>
      </c>
      <c r="H15" s="24">
        <v>38.597103472343399</v>
      </c>
      <c r="I15" s="24">
        <v>40.0953115857847</v>
      </c>
      <c r="J15" s="24">
        <v>24.7142158838512</v>
      </c>
      <c r="K15" s="24">
        <v>35.157373500763498</v>
      </c>
      <c r="L15" s="24">
        <v>42.955969872523603</v>
      </c>
    </row>
    <row r="16" spans="2:12" ht="15" customHeight="1" outlineLevel="1" x14ac:dyDescent="0.3">
      <c r="B16" s="22" t="s">
        <v>212</v>
      </c>
      <c r="C16" s="24">
        <v>20.465194109772401</v>
      </c>
      <c r="D16" s="24">
        <v>36.862291048556301</v>
      </c>
      <c r="E16" s="24">
        <v>39.160701547241302</v>
      </c>
      <c r="F16" s="24">
        <v>39.598481320964197</v>
      </c>
      <c r="G16" s="24">
        <v>26.146795479299001</v>
      </c>
      <c r="H16" s="24">
        <v>33.904496015820399</v>
      </c>
      <c r="I16" s="24">
        <v>33.3844940599853</v>
      </c>
      <c r="J16" s="24">
        <v>19.895548371052001</v>
      </c>
      <c r="K16" s="24">
        <v>28.982520644616098</v>
      </c>
      <c r="L16" s="24">
        <v>37.908584142345603</v>
      </c>
    </row>
    <row r="17" spans="2:12" ht="15" customHeight="1" outlineLevel="1" x14ac:dyDescent="0.3">
      <c r="B17" s="22" t="s">
        <v>213</v>
      </c>
      <c r="C17" s="24">
        <v>33.8911200356983</v>
      </c>
      <c r="D17" s="24">
        <v>42.032708589622999</v>
      </c>
      <c r="E17" s="24">
        <v>43.005436253166998</v>
      </c>
      <c r="F17" s="24">
        <v>27.506357677567301</v>
      </c>
      <c r="G17" s="24">
        <v>30.004102012815299</v>
      </c>
      <c r="H17" s="24">
        <v>27.490257663002399</v>
      </c>
      <c r="I17" s="24">
        <v>33.169110227340198</v>
      </c>
      <c r="J17" s="24">
        <v>16.331500999065302</v>
      </c>
      <c r="K17" s="24">
        <v>32.502853923589001</v>
      </c>
      <c r="L17" s="24">
        <v>32.870316897769598</v>
      </c>
    </row>
    <row r="18" spans="2:12" ht="15" customHeight="1" outlineLevel="1" x14ac:dyDescent="0.3">
      <c r="B18" s="22" t="s">
        <v>214</v>
      </c>
      <c r="C18" s="24">
        <v>8.1905548548403306</v>
      </c>
      <c r="D18" s="24">
        <v>17.816172355903699</v>
      </c>
      <c r="E18" s="24">
        <v>21.299795966150501</v>
      </c>
      <c r="F18" s="24">
        <v>24.3167746263568</v>
      </c>
      <c r="G18" s="24">
        <v>16.024446274543799</v>
      </c>
      <c r="H18" s="24">
        <v>19.9158159430391</v>
      </c>
      <c r="I18" s="24">
        <v>24.2051256828249</v>
      </c>
      <c r="J18" s="24">
        <v>13.192537118226699</v>
      </c>
      <c r="K18" s="24">
        <v>18.826531840616301</v>
      </c>
      <c r="L18" s="24">
        <v>24.6639653375574</v>
      </c>
    </row>
    <row r="19" spans="2:12" ht="15" customHeight="1" outlineLevel="1" x14ac:dyDescent="0.3">
      <c r="B19" s="22" t="s">
        <v>215</v>
      </c>
      <c r="C19" s="24">
        <v>9.1366386931294699</v>
      </c>
      <c r="D19" s="24">
        <v>19.703709434108202</v>
      </c>
      <c r="E19" s="24">
        <v>23.842864738170299</v>
      </c>
      <c r="F19" s="24">
        <v>27.9048929161881</v>
      </c>
      <c r="G19" s="24">
        <v>19.964251192076901</v>
      </c>
      <c r="H19" s="24">
        <v>25.416841077159201</v>
      </c>
      <c r="I19" s="24">
        <v>31.101754164214402</v>
      </c>
      <c r="J19" s="24">
        <v>18.5161537479249</v>
      </c>
      <c r="K19" s="24">
        <v>28.0391995152054</v>
      </c>
      <c r="L19" s="24">
        <v>37.140602432959597</v>
      </c>
    </row>
    <row r="20" spans="2:12" ht="15" customHeight="1" outlineLevel="1" x14ac:dyDescent="0.3">
      <c r="B20" s="22" t="s">
        <v>216</v>
      </c>
      <c r="C20" s="24">
        <v>9.1366386931294699</v>
      </c>
      <c r="D20" s="24">
        <v>19.703709434108202</v>
      </c>
      <c r="E20" s="24">
        <v>23.842864738170299</v>
      </c>
      <c r="F20" s="24">
        <v>27.9048929161881</v>
      </c>
      <c r="G20" s="24">
        <v>19.964251192076901</v>
      </c>
      <c r="H20" s="24">
        <v>25.416841077159201</v>
      </c>
      <c r="I20" s="24">
        <v>31.101754164214402</v>
      </c>
      <c r="J20" s="24">
        <v>18.5161537479249</v>
      </c>
      <c r="K20" s="24">
        <v>28.0391995152054</v>
      </c>
      <c r="L20" s="24">
        <v>37.140602432959597</v>
      </c>
    </row>
    <row r="21" spans="2:12" ht="15" customHeight="1" outlineLevel="1" x14ac:dyDescent="0.3">
      <c r="B21" s="22" t="s">
        <v>217</v>
      </c>
      <c r="C21" s="24">
        <v>15.5672627439341</v>
      </c>
      <c r="D21" s="24">
        <v>23.960974481089799</v>
      </c>
      <c r="E21" s="24">
        <v>30.241069357023601</v>
      </c>
      <c r="F21" s="24">
        <v>31.328043459124999</v>
      </c>
      <c r="G21" s="24">
        <v>29.464054280704399</v>
      </c>
      <c r="H21" s="24">
        <v>25.971104354220099</v>
      </c>
      <c r="I21" s="24">
        <v>33.538737446197999</v>
      </c>
      <c r="J21" s="24">
        <v>22.957403429071899</v>
      </c>
      <c r="K21" s="24">
        <v>29.1807499934609</v>
      </c>
      <c r="L21" s="24">
        <v>32.948915933487299</v>
      </c>
    </row>
    <row r="22" spans="2:12" ht="15" customHeight="1" outlineLevel="1" x14ac:dyDescent="0.3">
      <c r="B22" s="22" t="s">
        <v>218</v>
      </c>
      <c r="C22" s="24">
        <v>9.1110007449714399</v>
      </c>
      <c r="D22" s="24">
        <v>19.683343154396798</v>
      </c>
      <c r="E22" s="24">
        <v>23.830016540306701</v>
      </c>
      <c r="F22" s="24">
        <v>27.8922205542871</v>
      </c>
      <c r="G22" s="24">
        <v>18.9483826989016</v>
      </c>
      <c r="H22" s="24">
        <v>23.376831703815402</v>
      </c>
      <c r="I22" s="24">
        <v>28.478219984664999</v>
      </c>
      <c r="J22" s="24">
        <v>16.022431403965602</v>
      </c>
      <c r="K22" s="24">
        <v>22.940998717937401</v>
      </c>
      <c r="L22" s="24">
        <v>29.7117210261883</v>
      </c>
    </row>
    <row r="23" spans="2:12" ht="15" customHeight="1" outlineLevel="1" x14ac:dyDescent="0.3">
      <c r="B23" s="22" t="s">
        <v>219</v>
      </c>
      <c r="C23" s="24">
        <v>21.353364787683098</v>
      </c>
      <c r="D23" s="24">
        <v>31.120857040736499</v>
      </c>
      <c r="E23" s="24">
        <v>36.2479698831701</v>
      </c>
      <c r="F23" s="24">
        <v>36.928083963013897</v>
      </c>
      <c r="G23" s="24">
        <v>37.224320764290702</v>
      </c>
      <c r="H23" s="24">
        <v>31.077406780612598</v>
      </c>
      <c r="I23" s="24">
        <v>41.724896199528402</v>
      </c>
      <c r="J23" s="24">
        <v>34.859147634274201</v>
      </c>
      <c r="K23" s="24">
        <v>41.726002399833398</v>
      </c>
      <c r="L23" s="24">
        <v>43.5136635323882</v>
      </c>
    </row>
    <row r="24" spans="2:12" ht="15" customHeight="1" x14ac:dyDescent="0.3">
      <c r="B24" s="15" t="s">
        <v>220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2:12" ht="15" customHeight="1" outlineLevel="1" x14ac:dyDescent="0.3">
      <c r="B25" s="22" t="s">
        <v>221</v>
      </c>
      <c r="C25" s="24">
        <v>16.655230923694798</v>
      </c>
      <c r="D25" s="24">
        <v>12.1760348071496</v>
      </c>
      <c r="E25" s="24">
        <v>12.8309290827245</v>
      </c>
      <c r="F25" s="24">
        <v>6.8575860525090402</v>
      </c>
      <c r="G25" s="24">
        <v>8.3497036649362801</v>
      </c>
      <c r="H25" s="24">
        <v>9.1768287093584604</v>
      </c>
      <c r="I25" s="24">
        <v>8.1542678221641793</v>
      </c>
      <c r="J25" s="24">
        <v>2.7884526923307802</v>
      </c>
      <c r="K25" s="24">
        <v>6.8980507331247898</v>
      </c>
      <c r="L25" s="24">
        <v>9.3040354769879805</v>
      </c>
    </row>
    <row r="26" spans="2:12" ht="15" customHeight="1" outlineLevel="1" x14ac:dyDescent="0.3">
      <c r="B26" s="22" t="s">
        <v>222</v>
      </c>
      <c r="C26" s="24">
        <v>81.131782945736404</v>
      </c>
      <c r="D26" s="24">
        <v>32.937303177784102</v>
      </c>
      <c r="E26" s="24">
        <v>32.7359750667854</v>
      </c>
      <c r="F26" s="24">
        <v>17.317040951122902</v>
      </c>
      <c r="G26" s="24">
        <v>31.934093631851599</v>
      </c>
      <c r="H26" s="24">
        <v>27.066715549786501</v>
      </c>
      <c r="I26" s="24">
        <v>24.425224754186502</v>
      </c>
      <c r="J26" s="24">
        <v>14.015513265472499</v>
      </c>
      <c r="K26" s="24">
        <v>23.800750413534299</v>
      </c>
      <c r="L26" s="24">
        <v>24.5433053042815</v>
      </c>
    </row>
    <row r="27" spans="2:12" ht="15" customHeight="1" outlineLevel="1" x14ac:dyDescent="0.3">
      <c r="B27" s="22" t="s">
        <v>223</v>
      </c>
      <c r="C27" s="24">
        <v>6.7338550902179604</v>
      </c>
      <c r="D27" s="24">
        <v>5.6209171402063403</v>
      </c>
      <c r="E27" s="24">
        <v>6.8972903334745697</v>
      </c>
      <c r="F27" s="24">
        <v>4.4472157321995196</v>
      </c>
      <c r="G27" s="24">
        <v>5.7926750107527898</v>
      </c>
      <c r="H27" s="24">
        <v>6.0661996578268997</v>
      </c>
      <c r="I27" s="24">
        <v>7.38262914662426</v>
      </c>
      <c r="J27" s="24">
        <v>2.5022768764997201</v>
      </c>
      <c r="K27" s="24">
        <v>5.9182826881202502</v>
      </c>
      <c r="L27" s="24">
        <v>8.1236674395234196</v>
      </c>
    </row>
    <row r="28" spans="2:12" ht="15" customHeight="1" outlineLevel="1" x14ac:dyDescent="0.3">
      <c r="B28" s="22" t="s">
        <v>224</v>
      </c>
      <c r="C28" s="24">
        <v>12.976453412359501</v>
      </c>
      <c r="D28" s="24">
        <v>8.6338998884189202</v>
      </c>
      <c r="E28" s="24">
        <v>9.4537952140407793</v>
      </c>
      <c r="F28" s="24">
        <v>5.7976021198785102</v>
      </c>
      <c r="G28" s="24">
        <v>7.1873411504696403</v>
      </c>
      <c r="H28" s="24">
        <v>7.1649266689376399</v>
      </c>
      <c r="I28" s="24">
        <v>8.7763246325489295</v>
      </c>
      <c r="J28" s="24">
        <v>3.0099393359487099</v>
      </c>
      <c r="K28" s="24">
        <v>6.88164492962665</v>
      </c>
      <c r="L28" s="24">
        <v>9.2115276777510093</v>
      </c>
    </row>
    <row r="29" spans="2:12" ht="15" customHeight="1" outlineLevel="1" x14ac:dyDescent="0.3">
      <c r="B29" s="22" t="s">
        <v>225</v>
      </c>
      <c r="C29" s="24">
        <v>34.724384230724503</v>
      </c>
      <c r="D29" s="24">
        <v>20.891560094363101</v>
      </c>
      <c r="E29" s="24">
        <v>21.5401288404361</v>
      </c>
      <c r="F29" s="24">
        <v>13.0803405752545</v>
      </c>
      <c r="G29" s="24">
        <v>16.255411136200902</v>
      </c>
      <c r="H29" s="24">
        <v>20.359926704002898</v>
      </c>
      <c r="I29" s="24">
        <v>16.670850163826401</v>
      </c>
      <c r="J29" s="24">
        <v>6.4419748390292204</v>
      </c>
      <c r="K29" s="24">
        <v>13.085664224544001</v>
      </c>
      <c r="L29" s="24">
        <v>16.7585312281009</v>
      </c>
    </row>
    <row r="30" spans="2:12" ht="15" customHeight="1" outlineLevel="1" x14ac:dyDescent="0.3">
      <c r="B30" s="22" t="s">
        <v>226</v>
      </c>
      <c r="C30" s="24">
        <v>49.1433475971034</v>
      </c>
      <c r="D30" s="24">
        <v>28.967999483515499</v>
      </c>
      <c r="E30" s="24">
        <v>29.835598009494898</v>
      </c>
      <c r="F30" s="24">
        <v>24.930912819844998</v>
      </c>
      <c r="G30" s="24">
        <v>27.828540448802599</v>
      </c>
      <c r="H30" s="24">
        <v>33.382112389979703</v>
      </c>
      <c r="I30" s="24">
        <v>24.5839209019327</v>
      </c>
      <c r="J30" s="24">
        <v>17.074074774207102</v>
      </c>
      <c r="K30" s="24">
        <v>21.222907838620699</v>
      </c>
      <c r="L30" s="24">
        <v>28.3052807367954</v>
      </c>
    </row>
    <row r="31" spans="2:12" ht="15" customHeight="1" outlineLevel="1" x14ac:dyDescent="0.3">
      <c r="B31" s="22" t="s">
        <v>227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0.341582551963246</v>
      </c>
    </row>
    <row r="32" spans="2:12" ht="15" customHeight="1" outlineLevel="1" x14ac:dyDescent="0.3">
      <c r="B32" s="22" t="s">
        <v>228</v>
      </c>
      <c r="C32" s="19">
        <v>270.43199872894797</v>
      </c>
      <c r="D32" s="19">
        <v>140.87606019151801</v>
      </c>
      <c r="E32" s="19">
        <v>86.043127258327999</v>
      </c>
      <c r="F32" s="19">
        <v>69.628137919961503</v>
      </c>
      <c r="G32" s="19">
        <v>58.676154005381903</v>
      </c>
      <c r="H32" s="19">
        <v>53.307499005234</v>
      </c>
      <c r="I32" s="19">
        <v>37.988976108484998</v>
      </c>
      <c r="J32" s="19">
        <v>52.666297124124597</v>
      </c>
      <c r="K32" s="19">
        <v>36.076391849092701</v>
      </c>
      <c r="L32" s="19">
        <v>26.138740701457699</v>
      </c>
    </row>
    <row r="33" spans="2:12" ht="15" customHeight="1" outlineLevel="1" x14ac:dyDescent="0.3">
      <c r="B33" s="22" t="s">
        <v>229</v>
      </c>
      <c r="C33" s="24">
        <v>206.59048428207299</v>
      </c>
      <c r="D33" s="24">
        <v>118.536583384115</v>
      </c>
      <c r="E33" s="24">
        <v>74.837665748234897</v>
      </c>
      <c r="F33" s="24">
        <v>59.348768304365699</v>
      </c>
      <c r="G33" s="24">
        <v>48.975926512511897</v>
      </c>
      <c r="H33" s="24">
        <v>44.054569600080903</v>
      </c>
      <c r="I33" s="24">
        <v>32.457942251462001</v>
      </c>
      <c r="J33" s="24">
        <v>41.836547430221799</v>
      </c>
      <c r="K33" s="24">
        <v>29.506575324611902</v>
      </c>
      <c r="L33" s="24">
        <v>21.387803018752901</v>
      </c>
    </row>
    <row r="34" spans="2:12" ht="15" customHeight="1" outlineLevel="1" x14ac:dyDescent="0.3">
      <c r="B34" s="22" t="s">
        <v>230</v>
      </c>
      <c r="C34" s="24">
        <v>94.940818830879095</v>
      </c>
      <c r="D34" s="24">
        <v>63.342745495332501</v>
      </c>
      <c r="E34" s="24">
        <v>42.760172680982997</v>
      </c>
      <c r="F34" s="24">
        <v>31.065686450087799</v>
      </c>
      <c r="G34" s="24">
        <v>24.0574140345418</v>
      </c>
      <c r="H34" s="24">
        <v>20.2595160821264</v>
      </c>
      <c r="I34" s="24">
        <v>15.0607450245487</v>
      </c>
      <c r="J34" s="24">
        <v>15.155070363350999</v>
      </c>
      <c r="K34" s="24">
        <v>13.4256208210405</v>
      </c>
      <c r="L34" s="24">
        <v>11.0860955252552</v>
      </c>
    </row>
    <row r="35" spans="2:12" ht="15" customHeight="1" outlineLevel="1" x14ac:dyDescent="0.3">
      <c r="B35" s="22" t="s">
        <v>231</v>
      </c>
      <c r="C35" s="24">
        <v>1.8506561604231001E-4</v>
      </c>
      <c r="D35" s="24">
        <v>0</v>
      </c>
      <c r="E35" s="24">
        <v>4.1419079802658803E-5</v>
      </c>
      <c r="F35" s="24">
        <v>2.8824328286500902E-4</v>
      </c>
      <c r="G35" s="24">
        <v>6.5111033891957102E-3</v>
      </c>
      <c r="H35" s="24">
        <v>6.4176276504724697E-3</v>
      </c>
      <c r="I35" s="24">
        <v>8.1380617044571699E-3</v>
      </c>
      <c r="J35" s="24">
        <v>1.54355637924837E-2</v>
      </c>
      <c r="K35" s="24">
        <v>2.0939262060518601E-2</v>
      </c>
      <c r="L35" s="24">
        <v>2.7290516538648502E-2</v>
      </c>
    </row>
    <row r="36" spans="2:12" ht="15" customHeight="1" x14ac:dyDescent="0.3">
      <c r="B36" s="15" t="s">
        <v>232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2:12" ht="15" customHeight="1" outlineLevel="1" x14ac:dyDescent="0.3">
      <c r="B37" s="22" t="s">
        <v>233</v>
      </c>
      <c r="C37" s="24">
        <v>6.2839116719242902</v>
      </c>
      <c r="D37" s="24">
        <v>9.4488888888888898</v>
      </c>
      <c r="E37" s="24">
        <v>13.752706359945901</v>
      </c>
      <c r="F37" s="24">
        <v>19.116056145155799</v>
      </c>
      <c r="G37" s="24">
        <v>24.5817107093185</v>
      </c>
      <c r="H37" s="24">
        <v>29.766274238227101</v>
      </c>
      <c r="I37" s="24">
        <v>41.2483385799231</v>
      </c>
      <c r="J37" s="24">
        <v>43.156550703182802</v>
      </c>
      <c r="K37" s="24">
        <v>51.313046785850098</v>
      </c>
      <c r="L37" s="24">
        <v>62.930757459831703</v>
      </c>
    </row>
    <row r="38" spans="2:12" ht="15" customHeight="1" outlineLevel="1" x14ac:dyDescent="0.3">
      <c r="B38" s="22" t="s">
        <v>234</v>
      </c>
      <c r="C38" s="24">
        <v>2.2060988433228199</v>
      </c>
      <c r="D38" s="24">
        <v>4.2485470085470096</v>
      </c>
      <c r="E38" s="24">
        <v>6.8345737483085296</v>
      </c>
      <c r="F38" s="24">
        <v>8.5289284491612491</v>
      </c>
      <c r="G38" s="24">
        <v>10.078581363004201</v>
      </c>
      <c r="H38" s="24">
        <v>11.3126731301939</v>
      </c>
      <c r="I38" s="24">
        <v>16.352920601609</v>
      </c>
      <c r="J38" s="24">
        <v>12.4185788304959</v>
      </c>
      <c r="K38" s="24">
        <v>19.095853936858099</v>
      </c>
      <c r="L38" s="24">
        <v>26.690512624330498</v>
      </c>
    </row>
    <row r="39" spans="2:12" ht="15" customHeight="1" outlineLevel="1" x14ac:dyDescent="0.3">
      <c r="B39" s="22" t="s">
        <v>65</v>
      </c>
      <c r="C39" s="24">
        <v>1.30960392569225</v>
      </c>
      <c r="D39" s="24">
        <v>3.4929914529914501</v>
      </c>
      <c r="E39" s="24">
        <v>5.39039242219215</v>
      </c>
      <c r="F39" s="24">
        <v>7.5700102704553203</v>
      </c>
      <c r="G39" s="24">
        <v>7.6442976356050103</v>
      </c>
      <c r="H39" s="24">
        <v>10.092105263157899</v>
      </c>
      <c r="I39" s="24">
        <v>13.770549143057</v>
      </c>
      <c r="J39" s="24">
        <v>9.7807920059215405</v>
      </c>
      <c r="K39" s="24">
        <v>15.7909471281856</v>
      </c>
      <c r="L39" s="24">
        <v>23.9603289977047</v>
      </c>
    </row>
    <row r="40" spans="2:12" ht="15" customHeight="1" outlineLevel="1" x14ac:dyDescent="0.3">
      <c r="B40" s="22" t="s">
        <v>66</v>
      </c>
      <c r="C40" s="24">
        <v>1.31</v>
      </c>
      <c r="D40" s="24">
        <v>3.5585</v>
      </c>
      <c r="E40" s="24">
        <v>5.4878</v>
      </c>
      <c r="F40" s="24">
        <v>7.6509</v>
      </c>
      <c r="G40" s="24">
        <v>6.4768999999999997</v>
      </c>
      <c r="H40" s="24">
        <v>10.223100000000001</v>
      </c>
      <c r="I40" s="24">
        <v>13.985799999999999</v>
      </c>
      <c r="J40" s="24">
        <v>8.6341999999999999</v>
      </c>
      <c r="K40" s="24">
        <v>15.1896</v>
      </c>
      <c r="L40" s="24">
        <v>24.609300000000001</v>
      </c>
    </row>
    <row r="41" spans="2:12" ht="15" customHeight="1" outlineLevel="1" x14ac:dyDescent="0.3">
      <c r="B41" s="22" t="s">
        <v>69</v>
      </c>
      <c r="C41" s="24">
        <v>1.29</v>
      </c>
      <c r="D41" s="24">
        <v>3.4929999999999999</v>
      </c>
      <c r="E41" s="24">
        <v>5.3903999999999996</v>
      </c>
      <c r="F41" s="24">
        <v>7.57</v>
      </c>
      <c r="G41" s="24">
        <v>6.4272999999999998</v>
      </c>
      <c r="H41" s="24">
        <v>10.0921</v>
      </c>
      <c r="I41" s="24">
        <v>13.7706</v>
      </c>
      <c r="J41" s="24">
        <v>8.5861999999999998</v>
      </c>
      <c r="K41" s="24">
        <v>14.8718</v>
      </c>
      <c r="L41" s="24">
        <v>23.856200000000001</v>
      </c>
    </row>
    <row r="42" spans="2:12" ht="15" customHeight="1" outlineLevel="1" x14ac:dyDescent="0.3">
      <c r="B42" s="22" t="s">
        <v>235</v>
      </c>
      <c r="C42" s="24" t="s">
        <v>28</v>
      </c>
      <c r="D42" s="24" t="s">
        <v>28</v>
      </c>
      <c r="E42" s="24" t="s">
        <v>28</v>
      </c>
      <c r="F42" s="24" t="s">
        <v>28</v>
      </c>
      <c r="G42" s="24" t="s">
        <v>28</v>
      </c>
      <c r="H42" s="24" t="s">
        <v>28</v>
      </c>
      <c r="I42" s="24" t="s">
        <v>28</v>
      </c>
      <c r="J42" s="24" t="s">
        <v>28</v>
      </c>
      <c r="K42" s="24" t="s">
        <v>28</v>
      </c>
      <c r="L42" s="24" t="s">
        <v>28</v>
      </c>
    </row>
    <row r="43" spans="2:12" ht="15" customHeight="1" outlineLevel="1" x14ac:dyDescent="0.3">
      <c r="B43" s="22" t="s">
        <v>236</v>
      </c>
      <c r="C43" s="24" t="s">
        <v>28</v>
      </c>
      <c r="D43" s="24" t="s">
        <v>28</v>
      </c>
      <c r="E43" s="24" t="s">
        <v>28</v>
      </c>
      <c r="F43" s="24" t="s">
        <v>28</v>
      </c>
      <c r="G43" s="24" t="s">
        <v>28</v>
      </c>
      <c r="H43" s="24" t="s">
        <v>28</v>
      </c>
      <c r="I43" s="24" t="s">
        <v>28</v>
      </c>
      <c r="J43" s="24" t="s">
        <v>28</v>
      </c>
      <c r="K43" s="24" t="s">
        <v>28</v>
      </c>
      <c r="L43" s="24" t="s">
        <v>28</v>
      </c>
    </row>
    <row r="44" spans="2:12" ht="15" customHeight="1" outlineLevel="1" x14ac:dyDescent="0.3">
      <c r="B44" s="22" t="s">
        <v>72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2</v>
      </c>
    </row>
    <row r="45" spans="2:12" ht="15" customHeight="1" outlineLevel="1" x14ac:dyDescent="0.3">
      <c r="B45" s="22" t="s">
        <v>237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8.38356485944953</v>
      </c>
    </row>
    <row r="46" spans="2:12" ht="15" customHeight="1" outlineLevel="1" x14ac:dyDescent="0.3">
      <c r="B46" s="22" t="s">
        <v>153</v>
      </c>
      <c r="C46" s="24">
        <v>15.54236</v>
      </c>
      <c r="D46" s="24">
        <v>20.46819</v>
      </c>
      <c r="E46" s="24">
        <v>25.583960000000001</v>
      </c>
      <c r="F46" s="24">
        <v>29.476870000000002</v>
      </c>
      <c r="G46" s="24">
        <v>35.432679999999998</v>
      </c>
      <c r="H46" s="24">
        <v>45.02984</v>
      </c>
      <c r="I46" s="24">
        <v>45.559649999999998</v>
      </c>
      <c r="J46" s="24">
        <v>48.092199999999998</v>
      </c>
      <c r="K46" s="24">
        <v>59.80789</v>
      </c>
      <c r="L46" s="24">
        <v>72.074590000000001</v>
      </c>
    </row>
    <row r="47" spans="2:12" ht="15" customHeight="1" outlineLevel="1" x14ac:dyDescent="0.3">
      <c r="B47" s="22" t="s">
        <v>154</v>
      </c>
      <c r="C47" s="24">
        <v>8.0653778558875207</v>
      </c>
      <c r="D47" s="24">
        <v>13.3253803596127</v>
      </c>
      <c r="E47" s="24">
        <v>18.665519614590501</v>
      </c>
      <c r="F47" s="24">
        <v>22.611072179397301</v>
      </c>
      <c r="G47" s="24">
        <v>28.557152875175301</v>
      </c>
      <c r="H47" s="24">
        <v>38.124605124605097</v>
      </c>
      <c r="I47" s="24">
        <v>38.324699014958</v>
      </c>
      <c r="J47" s="24">
        <v>39.980872226472798</v>
      </c>
      <c r="K47" s="24">
        <v>51.435376805935199</v>
      </c>
      <c r="L47" s="24">
        <v>63.562746645619598</v>
      </c>
    </row>
    <row r="48" spans="2:12" ht="15" customHeight="1" outlineLevel="1" x14ac:dyDescent="0.3">
      <c r="B48" s="22" t="s">
        <v>238</v>
      </c>
      <c r="C48" s="24">
        <v>3.0140203294777401</v>
      </c>
      <c r="D48" s="24">
        <v>5.5070085470085504</v>
      </c>
      <c r="E48" s="24">
        <v>8.1921515561569702</v>
      </c>
      <c r="F48" s="24">
        <v>10.0219103046902</v>
      </c>
      <c r="G48" s="24">
        <v>12.626564673157199</v>
      </c>
      <c r="H48" s="24">
        <v>13.4165512465374</v>
      </c>
      <c r="I48" s="24">
        <v>20.175935641832801</v>
      </c>
      <c r="J48" s="24">
        <v>18.680606957809001</v>
      </c>
      <c r="K48" s="24">
        <v>27.0494484594903</v>
      </c>
      <c r="L48" s="24">
        <v>34.938026013772003</v>
      </c>
    </row>
    <row r="49" spans="2:12" ht="15" customHeight="1" outlineLevel="1" x14ac:dyDescent="0.3">
      <c r="B49" s="22" t="s">
        <v>204</v>
      </c>
      <c r="C49" s="24">
        <v>2.12968804766912</v>
      </c>
      <c r="D49" s="24">
        <v>3.9716239316239301</v>
      </c>
      <c r="E49" s="24">
        <v>5.9144113667117697</v>
      </c>
      <c r="F49" s="24">
        <v>5.2581307771311199</v>
      </c>
      <c r="G49" s="24">
        <v>7.3755215577190496</v>
      </c>
      <c r="H49" s="24">
        <v>8.1828254847645407</v>
      </c>
      <c r="I49" s="24">
        <v>13.6817068905212</v>
      </c>
      <c r="J49" s="24">
        <v>7.0481125092524097</v>
      </c>
      <c r="K49" s="24">
        <v>16.678204640547701</v>
      </c>
      <c r="L49" s="24">
        <v>20.6855394032135</v>
      </c>
    </row>
    <row r="50" spans="2:12" ht="15" customHeight="1" outlineLevel="1" x14ac:dyDescent="0.3">
      <c r="B50" s="22" t="s">
        <v>239</v>
      </c>
      <c r="C50" s="24">
        <v>2853</v>
      </c>
      <c r="D50" s="24">
        <v>2925</v>
      </c>
      <c r="E50" s="24">
        <v>2956</v>
      </c>
      <c r="F50" s="24">
        <v>2921</v>
      </c>
      <c r="G50" s="24">
        <v>2876</v>
      </c>
      <c r="H50" s="24">
        <v>2888</v>
      </c>
      <c r="I50" s="24">
        <v>2859</v>
      </c>
      <c r="J50" s="24">
        <v>2702</v>
      </c>
      <c r="K50" s="24">
        <v>2629</v>
      </c>
      <c r="L50" s="24">
        <v>2614</v>
      </c>
    </row>
    <row r="51" spans="2:12" ht="15" customHeight="1" outlineLevel="1" x14ac:dyDescent="0.3">
      <c r="B51" s="22" t="s">
        <v>240</v>
      </c>
      <c r="C51" s="24">
        <v>2803</v>
      </c>
      <c r="D51" s="24">
        <v>2863</v>
      </c>
      <c r="E51" s="24">
        <v>2901</v>
      </c>
      <c r="F51" s="24">
        <v>2890</v>
      </c>
      <c r="G51" s="24">
        <v>2854</v>
      </c>
      <c r="H51" s="24">
        <v>2851</v>
      </c>
      <c r="I51" s="24">
        <v>2815</v>
      </c>
      <c r="J51" s="24">
        <v>2687</v>
      </c>
      <c r="K51" s="24">
        <v>2574</v>
      </c>
      <c r="L51" s="24">
        <v>2534</v>
      </c>
    </row>
    <row r="52" spans="2:12" ht="15" customHeight="1" outlineLevel="1" x14ac:dyDescent="0.3">
      <c r="B52" s="22" t="s">
        <v>241</v>
      </c>
      <c r="C52" s="24">
        <v>2845</v>
      </c>
      <c r="D52" s="24">
        <v>2892</v>
      </c>
      <c r="E52" s="24">
        <v>2906</v>
      </c>
      <c r="F52" s="24">
        <v>2854</v>
      </c>
      <c r="G52" s="24">
        <v>2852</v>
      </c>
      <c r="H52" s="24">
        <v>2849</v>
      </c>
      <c r="I52" s="24">
        <v>2741</v>
      </c>
      <c r="J52" s="24">
        <v>2614</v>
      </c>
      <c r="K52" s="24">
        <v>2561</v>
      </c>
      <c r="L52" s="24">
        <v>2534</v>
      </c>
    </row>
    <row r="53" spans="2:12" ht="15" customHeight="1" x14ac:dyDescent="0.3">
      <c r="B53" s="15" t="s">
        <v>242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2:12" ht="15" customHeight="1" outlineLevel="1" x14ac:dyDescent="0.3">
      <c r="B54" s="22" t="s">
        <v>243</v>
      </c>
      <c r="C54" s="24">
        <v>1.2100023622313001</v>
      </c>
      <c r="D54" s="24">
        <v>1.15439717645093</v>
      </c>
      <c r="E54" s="24">
        <v>1.14258010118044</v>
      </c>
      <c r="F54" s="24">
        <v>1.3481740810044101</v>
      </c>
      <c r="G54" s="24">
        <v>1.4730536426807801</v>
      </c>
      <c r="H54" s="24">
        <v>1.46875907669702</v>
      </c>
      <c r="I54" s="24">
        <v>2.1375178988961601</v>
      </c>
      <c r="J54" s="24">
        <v>2.6151672478946799</v>
      </c>
      <c r="K54" s="24">
        <v>2.5325623744532302</v>
      </c>
      <c r="L54" s="24">
        <v>2.2899839910906898</v>
      </c>
    </row>
    <row r="55" spans="2:12" ht="15" customHeight="1" outlineLevel="1" x14ac:dyDescent="0.3">
      <c r="B55" s="22" t="s">
        <v>168</v>
      </c>
      <c r="C55" s="24">
        <v>8.4625914562190196</v>
      </c>
      <c r="D55" s="24">
        <v>8.4365079365079403</v>
      </c>
      <c r="E55" s="24">
        <v>8.2754198473282408</v>
      </c>
      <c r="F55" s="24">
        <v>8.3222296743423492</v>
      </c>
      <c r="G55" s="24">
        <v>8.2662379421221903</v>
      </c>
      <c r="H55" s="24">
        <v>8.2448568551287593</v>
      </c>
      <c r="I55" s="24">
        <v>9.2952628675021707</v>
      </c>
      <c r="J55" s="24">
        <v>8.4791128885657194</v>
      </c>
      <c r="K55" s="24">
        <v>9.1042348574320897</v>
      </c>
      <c r="L55" s="24">
        <v>9.9207550583481598</v>
      </c>
    </row>
    <row r="56" spans="2:12" ht="15" customHeight="1" outlineLevel="1" x14ac:dyDescent="0.3">
      <c r="B56" s="22" t="s">
        <v>87</v>
      </c>
      <c r="C56" s="24" t="s">
        <v>28</v>
      </c>
      <c r="D56" s="24" t="s">
        <v>28</v>
      </c>
      <c r="E56" s="24" t="s">
        <v>28</v>
      </c>
      <c r="F56" s="24" t="s">
        <v>28</v>
      </c>
      <c r="G56" s="24" t="s">
        <v>28</v>
      </c>
      <c r="H56" s="24" t="s">
        <v>28</v>
      </c>
      <c r="I56" s="24" t="s">
        <v>28</v>
      </c>
      <c r="J56" s="24" t="s">
        <v>28</v>
      </c>
      <c r="K56" s="24" t="s">
        <v>28</v>
      </c>
      <c r="L56" s="24" t="s">
        <v>28</v>
      </c>
    </row>
    <row r="57" spans="2:12" ht="15" customHeight="1" outlineLevel="1" x14ac:dyDescent="0.3">
      <c r="B57" s="22" t="s">
        <v>244</v>
      </c>
      <c r="C57" s="24">
        <v>0.82800665065582901</v>
      </c>
      <c r="D57" s="24">
        <v>0.803406877707043</v>
      </c>
      <c r="E57" s="24">
        <v>0.83711879414368995</v>
      </c>
      <c r="F57" s="24">
        <v>1.1061410459587999</v>
      </c>
      <c r="G57" s="24">
        <v>1.0675273688184199</v>
      </c>
      <c r="H57" s="24">
        <v>1.13605127527422</v>
      </c>
      <c r="I57" s="24">
        <v>1.7689526895269001</v>
      </c>
      <c r="J57" s="24">
        <v>1.9582024887067799</v>
      </c>
      <c r="K57" s="24">
        <v>1.58029637439232</v>
      </c>
      <c r="L57" s="24">
        <v>1.64427007846469</v>
      </c>
    </row>
    <row r="58" spans="2:12" ht="15" customHeight="1" outlineLevel="1" x14ac:dyDescent="0.3">
      <c r="B58" s="22" t="s">
        <v>245</v>
      </c>
      <c r="C58" s="24">
        <v>3.1524529628978399</v>
      </c>
      <c r="D58" s="24">
        <v>3.2170876498661398</v>
      </c>
      <c r="E58" s="24">
        <v>2.9628306974710301</v>
      </c>
      <c r="F58" s="24">
        <v>2.2622047563100098</v>
      </c>
      <c r="G58" s="24">
        <v>1.57865707969542</v>
      </c>
      <c r="H58" s="24">
        <v>1.5635401320456199</v>
      </c>
      <c r="I58" s="24">
        <v>1.68556686295809</v>
      </c>
      <c r="J58" s="24">
        <v>1.26486316451714</v>
      </c>
      <c r="K58" s="24">
        <v>1.2277099771571101</v>
      </c>
      <c r="L58" s="24">
        <v>1.2071873073649</v>
      </c>
    </row>
    <row r="59" spans="2:12" ht="15" customHeight="1" outlineLevel="1" x14ac:dyDescent="0.3">
      <c r="B59" s="22" t="s">
        <v>116</v>
      </c>
      <c r="C59" s="24">
        <v>0.400218771974864</v>
      </c>
      <c r="D59" s="24">
        <v>0.48331701175153902</v>
      </c>
      <c r="E59" s="24">
        <v>0.54390741545974497</v>
      </c>
      <c r="F59" s="24">
        <v>0.61408351571005904</v>
      </c>
      <c r="G59" s="24">
        <v>0.61286463525638202</v>
      </c>
      <c r="H59" s="24">
        <v>0.58740929031199995</v>
      </c>
      <c r="I59" s="24">
        <v>0.72504096181098898</v>
      </c>
      <c r="J59" s="24">
        <v>0.66308989690487197</v>
      </c>
      <c r="K59" s="24">
        <v>0.64958228000481499</v>
      </c>
      <c r="L59" s="24">
        <v>0.65061689576547899</v>
      </c>
    </row>
    <row r="60" spans="2:12" ht="15" customHeight="1" x14ac:dyDescent="0.3">
      <c r="B60" s="15" t="s">
        <v>246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2:12" ht="15" customHeight="1" outlineLevel="1" x14ac:dyDescent="0.3">
      <c r="B61" s="17" t="s">
        <v>247</v>
      </c>
      <c r="C61" s="25">
        <v>0.400218771974864</v>
      </c>
      <c r="D61" s="25">
        <v>0.48331701175153902</v>
      </c>
      <c r="E61" s="25">
        <v>0.54390741545974497</v>
      </c>
      <c r="F61" s="25">
        <v>0.61408351571005904</v>
      </c>
      <c r="G61" s="25">
        <v>0.61286463525638202</v>
      </c>
      <c r="H61" s="25">
        <v>0.58740929031199995</v>
      </c>
      <c r="I61" s="25">
        <v>0.72504096181098898</v>
      </c>
      <c r="J61" s="25">
        <v>0.66308989690487197</v>
      </c>
      <c r="K61" s="25">
        <v>0.64958228000481499</v>
      </c>
      <c r="L61" s="25">
        <v>0.65061689576547899</v>
      </c>
    </row>
    <row r="62" spans="2:12" ht="15" customHeight="1" outlineLevel="2" x14ac:dyDescent="0.3">
      <c r="B62" s="18" t="s">
        <v>248</v>
      </c>
      <c r="C62" s="24">
        <v>34.549308344489098</v>
      </c>
      <c r="D62" s="24">
        <v>45.2927129314712</v>
      </c>
      <c r="E62" s="24">
        <v>50.658008019088399</v>
      </c>
      <c r="F62" s="24">
        <v>45.418890361402603</v>
      </c>
      <c r="G62" s="24">
        <v>35.096255852440699</v>
      </c>
      <c r="H62" s="24">
        <v>38.597103472343399</v>
      </c>
      <c r="I62" s="24">
        <v>40.0953115857847</v>
      </c>
      <c r="J62" s="24">
        <v>24.7142158838512</v>
      </c>
      <c r="K62" s="24">
        <v>35.157373500763498</v>
      </c>
      <c r="L62" s="24">
        <v>42.955969872523603</v>
      </c>
    </row>
    <row r="63" spans="2:12" ht="15" customHeight="1" outlineLevel="1" x14ac:dyDescent="0.3">
      <c r="B63" s="17" t="s">
        <v>249</v>
      </c>
      <c r="C63" s="25">
        <v>13.827281758212299</v>
      </c>
      <c r="D63" s="25">
        <v>21.8907386681589</v>
      </c>
      <c r="E63" s="25">
        <v>27.5532662140014</v>
      </c>
      <c r="F63" s="25">
        <v>27.8909918727799</v>
      </c>
      <c r="G63" s="25">
        <v>21.509254041870701</v>
      </c>
      <c r="H63" s="25">
        <v>22.672297158788101</v>
      </c>
      <c r="I63" s="25">
        <v>29.070743276268601</v>
      </c>
      <c r="J63" s="25">
        <v>16.387746862507601</v>
      </c>
      <c r="K63" s="25">
        <v>22.837606837606799</v>
      </c>
      <c r="L63" s="25">
        <v>27.947879773056702</v>
      </c>
    </row>
    <row r="64" spans="2:12" ht="15" customHeight="1" outlineLevel="2" x14ac:dyDescent="0.3">
      <c r="B64" s="18" t="s">
        <v>250</v>
      </c>
      <c r="C64" s="24">
        <v>59.541491766225398</v>
      </c>
      <c r="D64" s="24">
        <v>81.618469404058203</v>
      </c>
      <c r="E64" s="24">
        <v>77.372050111682995</v>
      </c>
      <c r="F64" s="24">
        <v>87.188990970387593</v>
      </c>
      <c r="G64" s="24">
        <v>74.500241818474905</v>
      </c>
      <c r="H64" s="24">
        <v>87.842073538276097</v>
      </c>
      <c r="I64" s="24">
        <v>83.262837323407496</v>
      </c>
      <c r="J64" s="24">
        <v>80.502446302786396</v>
      </c>
      <c r="K64" s="24">
        <v>82.436535379944303</v>
      </c>
      <c r="L64" s="24">
        <v>88.249862021142604</v>
      </c>
    </row>
    <row r="65" spans="2:12" ht="15" customHeight="1" outlineLevel="1" x14ac:dyDescent="0.3">
      <c r="B65" s="17" t="s">
        <v>251</v>
      </c>
      <c r="C65" s="25">
        <v>8.1905548548403306</v>
      </c>
      <c r="D65" s="25">
        <v>17.816172355903699</v>
      </c>
      <c r="E65" s="25">
        <v>21.299795966150501</v>
      </c>
      <c r="F65" s="25">
        <v>24.3167746263568</v>
      </c>
      <c r="G65" s="25">
        <v>16.024446274543799</v>
      </c>
      <c r="H65" s="25">
        <v>19.9158159430391</v>
      </c>
      <c r="I65" s="25">
        <v>24.2051256828249</v>
      </c>
      <c r="J65" s="25">
        <v>13.192537118226699</v>
      </c>
      <c r="K65" s="25">
        <v>18.826531840616301</v>
      </c>
      <c r="L65" s="25">
        <v>24.6639653375574</v>
      </c>
    </row>
    <row r="66" spans="2:12" ht="15" customHeight="1" outlineLevel="2" x14ac:dyDescent="0.3">
      <c r="B66" s="18" t="s">
        <v>252</v>
      </c>
      <c r="C66" s="24">
        <v>1.1155091266777899</v>
      </c>
      <c r="D66" s="24">
        <v>1.1059451514331</v>
      </c>
      <c r="E66" s="24">
        <v>1.1193940437768199</v>
      </c>
      <c r="F66" s="24">
        <v>1.1475573280159499</v>
      </c>
      <c r="G66" s="24">
        <v>1.2458621564847401</v>
      </c>
      <c r="H66" s="24">
        <v>1.2762138970280501</v>
      </c>
      <c r="I66" s="24">
        <v>1.2849242995785399</v>
      </c>
      <c r="J66" s="24">
        <v>1.4035324351934599</v>
      </c>
      <c r="K66" s="24">
        <v>1.48934491772476</v>
      </c>
      <c r="L66" s="24">
        <v>1.5058650109438501</v>
      </c>
    </row>
    <row r="67" spans="2:12" ht="15" customHeight="1" outlineLevel="1" x14ac:dyDescent="0.3">
      <c r="B67" s="17" t="s">
        <v>253</v>
      </c>
      <c r="C67" s="25">
        <v>9.1366386931294699</v>
      </c>
      <c r="D67" s="25">
        <v>19.703709434108202</v>
      </c>
      <c r="E67" s="25">
        <v>23.842864738170299</v>
      </c>
      <c r="F67" s="25">
        <v>27.9048929161881</v>
      </c>
      <c r="G67" s="25">
        <v>19.964251192076901</v>
      </c>
      <c r="H67" s="25">
        <v>25.416841077159201</v>
      </c>
      <c r="I67" s="25">
        <v>31.101754164214402</v>
      </c>
      <c r="J67" s="25">
        <v>18.5161537479249</v>
      </c>
      <c r="K67" s="25">
        <v>28.0391995152054</v>
      </c>
      <c r="L67" s="25">
        <v>37.140602432959597</v>
      </c>
    </row>
    <row r="68" spans="2:12" ht="15" customHeight="1" outlineLevel="2" x14ac:dyDescent="0.3">
      <c r="B68" s="18" t="s">
        <v>254</v>
      </c>
      <c r="C68" s="24">
        <v>100</v>
      </c>
      <c r="D68" s="24">
        <v>100</v>
      </c>
      <c r="E68" s="24">
        <v>100</v>
      </c>
      <c r="F68" s="24">
        <v>100</v>
      </c>
      <c r="G68" s="24">
        <v>100</v>
      </c>
      <c r="H68" s="24">
        <v>100</v>
      </c>
      <c r="I68" s="24">
        <v>100</v>
      </c>
      <c r="J68" s="24">
        <v>100</v>
      </c>
      <c r="K68" s="24">
        <v>100</v>
      </c>
      <c r="L68" s="24">
        <v>91.616435140550493</v>
      </c>
    </row>
    <row r="69" spans="2:12" ht="15" customHeight="1" outlineLevel="1" x14ac:dyDescent="0.3">
      <c r="B69" s="22" t="s">
        <v>255</v>
      </c>
      <c r="C69" s="24">
        <v>9.1366386931294699</v>
      </c>
      <c r="D69" s="24">
        <v>19.703709434108202</v>
      </c>
      <c r="E69" s="24">
        <v>23.842864738170299</v>
      </c>
      <c r="F69" s="24">
        <v>27.9048929161881</v>
      </c>
      <c r="G69" s="24">
        <v>19.964251192076901</v>
      </c>
      <c r="H69" s="24">
        <v>25.416841077159201</v>
      </c>
      <c r="I69" s="24">
        <v>31.101754164214402</v>
      </c>
      <c r="J69" s="24">
        <v>18.5161537479249</v>
      </c>
      <c r="K69" s="24">
        <v>28.0391995152054</v>
      </c>
      <c r="L69" s="24">
        <v>34.119801670612397</v>
      </c>
    </row>
    <row r="70" spans="2:12" ht="15" customHeight="1" outlineLevel="1" x14ac:dyDescent="0.3">
      <c r="B70" s="22" t="s">
        <v>256</v>
      </c>
      <c r="C70" s="24">
        <v>14.050518467256801</v>
      </c>
      <c r="D70" s="24">
        <v>21.731603245663099</v>
      </c>
      <c r="E70" s="24">
        <v>27.030136803023701</v>
      </c>
      <c r="F70" s="24">
        <v>27.398299772349901</v>
      </c>
      <c r="G70" s="24">
        <v>25.127649430020401</v>
      </c>
      <c r="H70" s="24">
        <v>22.324491274103799</v>
      </c>
      <c r="I70" s="24">
        <v>28.744278411204299</v>
      </c>
      <c r="J70" s="24">
        <v>19.080844094918</v>
      </c>
      <c r="K70" s="24">
        <v>24.173829300589901</v>
      </c>
      <c r="L70" s="24">
        <v>27.5942943815914</v>
      </c>
    </row>
    <row r="71" spans="2:12" ht="15" customHeight="1" outlineLevel="1" x14ac:dyDescent="0.3">
      <c r="B71" s="22" t="s">
        <v>257</v>
      </c>
      <c r="C71" s="24">
        <v>4.6552108000890602E-2</v>
      </c>
      <c r="D71" s="24">
        <v>0</v>
      </c>
      <c r="E71" s="24" t="s">
        <v>28</v>
      </c>
      <c r="F71" s="24" t="s">
        <v>28</v>
      </c>
      <c r="G71" s="24">
        <v>1.4995201535508601E-2</v>
      </c>
      <c r="H71" s="24" t="s">
        <v>28</v>
      </c>
      <c r="I71" s="24" t="s">
        <v>28</v>
      </c>
      <c r="J71" s="24">
        <v>8.6147948332767996E-2</v>
      </c>
      <c r="K71" s="24">
        <v>0.19423141410050401</v>
      </c>
      <c r="L71" s="24">
        <v>0.25900729567403502</v>
      </c>
    </row>
    <row r="72" spans="2:12" ht="15" customHeight="1" x14ac:dyDescent="0.3">
      <c r="B72" s="15" t="s">
        <v>258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2:12" ht="15" customHeight="1" outlineLevel="1" x14ac:dyDescent="0.3">
      <c r="B73" s="22" t="s">
        <v>259</v>
      </c>
      <c r="C73" s="24">
        <v>1412654.6371444301</v>
      </c>
      <c r="D73" s="24">
        <v>1621187.2360394199</v>
      </c>
      <c r="E73" s="24">
        <v>1619318.8607846999</v>
      </c>
      <c r="F73" s="24">
        <v>1569056.1159974099</v>
      </c>
      <c r="G73" s="24">
        <v>1573071.9594143601</v>
      </c>
      <c r="H73" s="24">
        <v>1466879.39389803</v>
      </c>
      <c r="I73" s="24">
        <v>1638585.52174517</v>
      </c>
      <c r="J73" s="24">
        <v>1348361.5087532699</v>
      </c>
      <c r="K73" s="24">
        <v>2003981.1637476401</v>
      </c>
      <c r="L73" s="24">
        <v>2220975.6031701001</v>
      </c>
    </row>
    <row r="74" spans="2:12" ht="15" customHeight="1" outlineLevel="1" x14ac:dyDescent="0.3">
      <c r="B74" s="22" t="s">
        <v>260</v>
      </c>
      <c r="C74" s="24">
        <v>289102.51359230903</v>
      </c>
      <c r="D74" s="24">
        <v>597606.75739089597</v>
      </c>
      <c r="E74" s="24">
        <v>634136.62617008598</v>
      </c>
      <c r="F74" s="24">
        <v>621322.39300868299</v>
      </c>
      <c r="G74" s="24">
        <v>411307.90797027299</v>
      </c>
      <c r="H74" s="24">
        <v>497338.065661047</v>
      </c>
      <c r="I74" s="24">
        <v>547033.48617479496</v>
      </c>
      <c r="J74" s="24">
        <v>268263.916190652</v>
      </c>
      <c r="K74" s="24">
        <v>580804.25449737802</v>
      </c>
      <c r="L74" s="24">
        <v>841940.40530870704</v>
      </c>
    </row>
    <row r="75" spans="2:12" ht="15" customHeight="1" outlineLevel="1" x14ac:dyDescent="0.3">
      <c r="B75" s="22" t="s">
        <v>261</v>
      </c>
      <c r="C75" s="24">
        <v>3893073.8318493399</v>
      </c>
      <c r="D75" s="24">
        <v>3810476.3022055398</v>
      </c>
      <c r="E75" s="24">
        <v>3366819.3586934898</v>
      </c>
      <c r="F75" s="24">
        <v>2735099.89602945</v>
      </c>
      <c r="G75" s="24">
        <v>2967736.1933158301</v>
      </c>
      <c r="H75" s="24">
        <v>2718517.5073373802</v>
      </c>
      <c r="I75" s="24">
        <v>2306335.9733222201</v>
      </c>
      <c r="J75" s="24">
        <v>2147579.8432043698</v>
      </c>
      <c r="K75" s="24">
        <v>3411070.0120326201</v>
      </c>
      <c r="L75" s="24">
        <v>3727084.9366114498</v>
      </c>
    </row>
    <row r="76" spans="2:12" ht="15" customHeight="1" outlineLevel="1" x14ac:dyDescent="0.3">
      <c r="B76" s="22" t="s">
        <v>262</v>
      </c>
      <c r="C76" s="24">
        <v>8.4625914562190196</v>
      </c>
      <c r="D76" s="24">
        <v>8.4365079365079403</v>
      </c>
      <c r="E76" s="24">
        <v>8.2754198473282408</v>
      </c>
      <c r="F76" s="24">
        <v>8.3222296743423492</v>
      </c>
      <c r="G76" s="24">
        <v>8.2662379421221903</v>
      </c>
      <c r="H76" s="24">
        <v>8.2448568551287593</v>
      </c>
      <c r="I76" s="24">
        <v>9.2952628675021707</v>
      </c>
      <c r="J76" s="24">
        <v>8.4791128885657194</v>
      </c>
      <c r="K76" s="24">
        <v>9.1042348574320897</v>
      </c>
      <c r="L76" s="24">
        <v>9.9207550583481598</v>
      </c>
    </row>
    <row r="77" spans="2:12" ht="15" customHeight="1" outlineLevel="1" x14ac:dyDescent="0.3">
      <c r="B77" s="22" t="s">
        <v>263</v>
      </c>
      <c r="C77" s="24" t="s">
        <v>28</v>
      </c>
      <c r="D77" s="24" t="s">
        <v>28</v>
      </c>
      <c r="E77" s="24" t="s">
        <v>28</v>
      </c>
      <c r="F77" s="24" t="s">
        <v>28</v>
      </c>
      <c r="G77" s="24" t="s">
        <v>28</v>
      </c>
      <c r="H77" s="24" t="s">
        <v>28</v>
      </c>
      <c r="I77" s="24" t="s">
        <v>28</v>
      </c>
      <c r="J77" s="24" t="s">
        <v>28</v>
      </c>
      <c r="K77" s="24" t="s">
        <v>28</v>
      </c>
      <c r="L77" s="24" t="s">
        <v>28</v>
      </c>
    </row>
    <row r="78" spans="2:12" ht="15" customHeight="1" outlineLevel="1" x14ac:dyDescent="0.3">
      <c r="B78" s="22" t="s">
        <v>264</v>
      </c>
      <c r="C78" s="24">
        <v>7.2491000000000003</v>
      </c>
      <c r="D78" s="24">
        <v>7.6161000000000003</v>
      </c>
      <c r="E78" s="24">
        <v>8.0679999999999996</v>
      </c>
      <c r="F78" s="24">
        <v>8.7798999999999996</v>
      </c>
      <c r="G78" s="24">
        <v>7.0747999999999998</v>
      </c>
      <c r="H78" s="24">
        <v>7.1440000000000001</v>
      </c>
      <c r="I78" s="24">
        <v>5.9926000000000004</v>
      </c>
      <c r="J78" s="24">
        <v>4.2259000000000002</v>
      </c>
      <c r="K78" s="24">
        <v>4.4006999999999996</v>
      </c>
      <c r="L78" s="24">
        <v>4.4973999999999998</v>
      </c>
    </row>
    <row r="79" spans="2:12" ht="15" customHeight="1" outlineLevel="1" x14ac:dyDescent="0.3">
      <c r="B79" s="22" t="s">
        <v>265</v>
      </c>
      <c r="C79" s="24">
        <v>0.400218771974864</v>
      </c>
      <c r="D79" s="24">
        <v>0.48331701175153902</v>
      </c>
      <c r="E79" s="24">
        <v>0.54390741545974497</v>
      </c>
      <c r="F79" s="24">
        <v>0.61408351571005904</v>
      </c>
      <c r="G79" s="24">
        <v>0.61286463525638202</v>
      </c>
      <c r="H79" s="24">
        <v>0.58740929031199995</v>
      </c>
      <c r="I79" s="24">
        <v>0.72504096181098898</v>
      </c>
      <c r="J79" s="24">
        <v>0.66308989690487197</v>
      </c>
      <c r="K79" s="24">
        <v>0.64958228000481499</v>
      </c>
      <c r="L79" s="24">
        <v>0.65061689576547899</v>
      </c>
    </row>
    <row r="80" spans="2:12" ht="15" customHeight="1" outlineLevel="1" x14ac:dyDescent="0.3">
      <c r="B80" s="22" t="s">
        <v>266</v>
      </c>
      <c r="C80" s="24">
        <v>0.90880519085517297</v>
      </c>
      <c r="D80" s="24">
        <v>0.87667322210239196</v>
      </c>
      <c r="E80" s="24">
        <v>0.90737227417806798</v>
      </c>
      <c r="F80" s="24">
        <v>1.2847249384534001</v>
      </c>
      <c r="G80" s="24">
        <v>1.3815563198624199</v>
      </c>
      <c r="H80" s="24">
        <v>1.41648404158909</v>
      </c>
      <c r="I80" s="24">
        <v>2.5900814829456902</v>
      </c>
      <c r="J80" s="24">
        <v>3.5854318482304799</v>
      </c>
      <c r="K80" s="24">
        <v>2.5260181630933398</v>
      </c>
      <c r="L80" s="24">
        <v>2.4755978269048402</v>
      </c>
    </row>
    <row r="81" spans="2:12" ht="15" customHeight="1" x14ac:dyDescent="0.3">
      <c r="B81" s="15" t="s">
        <v>267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2:12" ht="15" customHeight="1" outlineLevel="1" x14ac:dyDescent="0.3">
      <c r="B82" s="17" t="s">
        <v>268</v>
      </c>
      <c r="C82" s="25" t="s">
        <v>28</v>
      </c>
      <c r="D82" s="25" t="s">
        <v>28</v>
      </c>
      <c r="E82" s="25" t="s">
        <v>28</v>
      </c>
      <c r="F82" s="25" t="s">
        <v>28</v>
      </c>
      <c r="G82" s="25" t="s">
        <v>28</v>
      </c>
      <c r="H82" s="25" t="s">
        <v>28</v>
      </c>
      <c r="I82" s="25" t="s">
        <v>28</v>
      </c>
      <c r="J82" s="25" t="s">
        <v>28</v>
      </c>
      <c r="K82" s="25" t="s">
        <v>28</v>
      </c>
      <c r="L82" s="25" t="s">
        <v>28</v>
      </c>
    </row>
    <row r="83" spans="2:12" ht="15" customHeight="1" outlineLevel="2" x14ac:dyDescent="0.3">
      <c r="B83" s="18" t="s">
        <v>269</v>
      </c>
      <c r="C83" s="24">
        <v>43.130996207050401</v>
      </c>
      <c r="D83" s="24">
        <v>43.264346190028199</v>
      </c>
      <c r="E83" s="24">
        <v>44.106523503800503</v>
      </c>
      <c r="F83" s="24">
        <v>43.8584386976611</v>
      </c>
      <c r="G83" s="24">
        <v>44.155515792749298</v>
      </c>
      <c r="H83" s="24">
        <v>44.270022683650303</v>
      </c>
      <c r="I83" s="24">
        <v>39.267313383476498</v>
      </c>
      <c r="J83" s="24">
        <v>43.046956066855898</v>
      </c>
      <c r="K83" s="24">
        <v>40.091232894990398</v>
      </c>
      <c r="L83" s="24">
        <v>36.791554458635503</v>
      </c>
    </row>
    <row r="84" spans="2:12" ht="15" customHeight="1" outlineLevel="1" x14ac:dyDescent="0.3">
      <c r="B84" s="17" t="s">
        <v>270</v>
      </c>
      <c r="C84" s="25" t="s">
        <v>28</v>
      </c>
      <c r="D84" s="25" t="s">
        <v>28</v>
      </c>
      <c r="E84" s="25" t="s">
        <v>28</v>
      </c>
      <c r="F84" s="25" t="s">
        <v>28</v>
      </c>
      <c r="G84" s="25" t="s">
        <v>28</v>
      </c>
      <c r="H84" s="25" t="s">
        <v>28</v>
      </c>
      <c r="I84" s="25" t="s">
        <v>28</v>
      </c>
      <c r="J84" s="25" t="s">
        <v>28</v>
      </c>
      <c r="K84" s="25" t="s">
        <v>28</v>
      </c>
      <c r="L84" s="25" t="s">
        <v>28</v>
      </c>
    </row>
    <row r="85" spans="2:12" ht="15" customHeight="1" outlineLevel="2" x14ac:dyDescent="0.3">
      <c r="B85" s="18" t="s">
        <v>271</v>
      </c>
      <c r="C85" s="24">
        <v>50.351078064863202</v>
      </c>
      <c r="D85" s="24">
        <v>47.924790903480798</v>
      </c>
      <c r="E85" s="24">
        <v>45.240456122954903</v>
      </c>
      <c r="F85" s="24">
        <v>41.572227474117</v>
      </c>
      <c r="G85" s="24">
        <v>51.591564425849498</v>
      </c>
      <c r="H85" s="24">
        <v>51.0918253079507</v>
      </c>
      <c r="I85" s="24">
        <v>60.908453759636899</v>
      </c>
      <c r="J85" s="24">
        <v>86.372133746657497</v>
      </c>
      <c r="K85" s="24">
        <v>82.941350239734604</v>
      </c>
      <c r="L85" s="24">
        <v>81.158002401387506</v>
      </c>
    </row>
    <row r="86" spans="2:12" ht="15" customHeight="1" outlineLevel="1" x14ac:dyDescent="0.3">
      <c r="B86" s="22" t="s">
        <v>272</v>
      </c>
      <c r="C86" s="24" t="s">
        <v>28</v>
      </c>
      <c r="D86" s="24" t="s">
        <v>28</v>
      </c>
      <c r="E86" s="24" t="s">
        <v>28</v>
      </c>
      <c r="F86" s="24" t="s">
        <v>28</v>
      </c>
      <c r="G86" s="24" t="s">
        <v>28</v>
      </c>
      <c r="H86" s="24" t="s">
        <v>28</v>
      </c>
      <c r="I86" s="24" t="s">
        <v>28</v>
      </c>
      <c r="J86" s="24" t="s">
        <v>28</v>
      </c>
      <c r="K86" s="24" t="s">
        <v>28</v>
      </c>
      <c r="L86" s="24" t="s">
        <v>28</v>
      </c>
    </row>
    <row r="87" spans="2:12" ht="15" customHeight="1" x14ac:dyDescent="0.3">
      <c r="B87" s="15" t="s">
        <v>273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2:12" ht="15" customHeight="1" outlineLevel="1" x14ac:dyDescent="0.3">
      <c r="B88" s="22" t="s">
        <v>274</v>
      </c>
      <c r="C88" s="24">
        <v>11.2477922077922</v>
      </c>
      <c r="D88" s="24">
        <v>11.965565217391299</v>
      </c>
      <c r="E88" s="24">
        <v>12.9156914893617</v>
      </c>
      <c r="F88" s="24">
        <v>7.1939575317087101</v>
      </c>
      <c r="G88" s="24">
        <v>4.3994552580880901</v>
      </c>
      <c r="H88" s="24">
        <v>5.0510646819304501</v>
      </c>
      <c r="I88" s="24">
        <v>3.1542938254080899</v>
      </c>
      <c r="J88" s="24">
        <v>2.2033967290756999</v>
      </c>
      <c r="K88" s="24">
        <v>2.67099499374218</v>
      </c>
      <c r="L88" s="24">
        <v>2.9778842719371399</v>
      </c>
    </row>
    <row r="89" spans="2:12" ht="15" customHeight="1" outlineLevel="1" x14ac:dyDescent="0.3">
      <c r="B89" s="22" t="s">
        <v>275</v>
      </c>
      <c r="C89" s="24">
        <v>11.2477922077922</v>
      </c>
      <c r="D89" s="24">
        <v>11.965565217391299</v>
      </c>
      <c r="E89" s="24">
        <v>12.9156914893617</v>
      </c>
      <c r="F89" s="24">
        <v>7.1939575317087101</v>
      </c>
      <c r="G89" s="24">
        <v>4.3994552580880901</v>
      </c>
      <c r="H89" s="24">
        <v>5.0510646819304501</v>
      </c>
      <c r="I89" s="24">
        <v>3.1542938254080899</v>
      </c>
      <c r="J89" s="24">
        <v>2.2033967290756999</v>
      </c>
      <c r="K89" s="24">
        <v>2.67099499374218</v>
      </c>
      <c r="L89" s="24">
        <v>2.9778842719371399</v>
      </c>
    </row>
    <row r="90" spans="2:12" ht="15" customHeight="1" outlineLevel="1" x14ac:dyDescent="0.3">
      <c r="B90" s="22" t="s">
        <v>276</v>
      </c>
      <c r="C90" s="24">
        <v>9.5761038961039002</v>
      </c>
      <c r="D90" s="24">
        <v>10.2431304347826</v>
      </c>
      <c r="E90" s="24">
        <v>11.0933510638298</v>
      </c>
      <c r="F90" s="24">
        <v>5.86062419837537</v>
      </c>
      <c r="G90" s="24">
        <v>3.64465555038863</v>
      </c>
      <c r="H90" s="24">
        <v>4.1515920165543001</v>
      </c>
      <c r="I90" s="24">
        <v>2.27806955287438</v>
      </c>
      <c r="J90" s="24">
        <v>1.5182416931843401</v>
      </c>
      <c r="K90" s="24">
        <v>2.0494993742177701</v>
      </c>
      <c r="L90" s="24">
        <v>2.32670556018574</v>
      </c>
    </row>
    <row r="91" spans="2:12" ht="15" customHeight="1" outlineLevel="1" x14ac:dyDescent="0.3">
      <c r="B91" s="22" t="s">
        <v>277</v>
      </c>
      <c r="C91" s="24">
        <v>85.137631627563295</v>
      </c>
      <c r="D91" s="24">
        <v>85.605069620069202</v>
      </c>
      <c r="E91" s="24">
        <v>85.890492761979303</v>
      </c>
      <c r="F91" s="24">
        <v>81.465927099841494</v>
      </c>
      <c r="G91" s="24">
        <v>82.843337108342794</v>
      </c>
      <c r="H91" s="24">
        <v>82.192414431082298</v>
      </c>
      <c r="I91" s="24">
        <v>72.221222212222102</v>
      </c>
      <c r="J91" s="24">
        <v>68.904599573460501</v>
      </c>
      <c r="K91" s="24">
        <v>76.731681602530301</v>
      </c>
      <c r="L91" s="24">
        <v>78.132840221900196</v>
      </c>
    </row>
    <row r="92" spans="2:12" ht="15" customHeight="1" outlineLevel="1" x14ac:dyDescent="0.3">
      <c r="B92" s="22" t="s">
        <v>278</v>
      </c>
      <c r="C92" s="24">
        <v>446.70129870129898</v>
      </c>
      <c r="D92" s="24">
        <v>560.27826086956497</v>
      </c>
      <c r="E92" s="24">
        <v>644.04255319148899</v>
      </c>
      <c r="F92" s="24">
        <v>417.18683197947797</v>
      </c>
      <c r="G92" s="24">
        <v>241.24094864810999</v>
      </c>
      <c r="H92" s="24">
        <v>258.64094519725001</v>
      </c>
      <c r="I92" s="24">
        <v>272.92642536077602</v>
      </c>
      <c r="J92" s="24">
        <v>186.76459705468801</v>
      </c>
      <c r="K92" s="24">
        <v>222.506257822278</v>
      </c>
      <c r="L92" s="24">
        <v>271.84188593880202</v>
      </c>
    </row>
    <row r="93" spans="2:12" ht="15" customHeight="1" x14ac:dyDescent="0.3">
      <c r="B93" s="15" t="s">
        <v>279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2:12" ht="15" customHeight="1" outlineLevel="1" x14ac:dyDescent="0.3">
      <c r="B94" s="22" t="s">
        <v>280</v>
      </c>
      <c r="C94" s="24">
        <v>-2.1991746571185802</v>
      </c>
      <c r="D94" s="24">
        <v>-1.99397386417496</v>
      </c>
      <c r="E94" s="24">
        <v>-1.79262097468572</v>
      </c>
      <c r="F94" s="24">
        <v>-1.3899000957985499</v>
      </c>
      <c r="G94" s="24">
        <v>-1.5582399861778999</v>
      </c>
      <c r="H94" s="24">
        <v>-1.56001315356791</v>
      </c>
      <c r="I94" s="24">
        <v>-0.86926169590643299</v>
      </c>
      <c r="J94" s="24">
        <v>-0.72020075282308704</v>
      </c>
      <c r="K94" s="24">
        <v>-0.75637412228539802</v>
      </c>
      <c r="L94" s="24">
        <v>-0.57036133556944701</v>
      </c>
    </row>
    <row r="95" spans="2:12" ht="15" customHeight="1" outlineLevel="1" x14ac:dyDescent="0.3">
      <c r="B95" s="22" t="s">
        <v>281</v>
      </c>
      <c r="C95" s="24">
        <v>-3.1698740377886598</v>
      </c>
      <c r="D95" s="24">
        <v>-2.86524615683985</v>
      </c>
      <c r="E95" s="24">
        <v>-2.5243407093058501</v>
      </c>
      <c r="F95" s="24">
        <v>-2.6529092927577902</v>
      </c>
      <c r="G95" s="24">
        <v>-2.2312866242038201</v>
      </c>
      <c r="H95" s="24">
        <v>-2.08936030796953</v>
      </c>
      <c r="I95" s="24">
        <v>-0.93195585428595096</v>
      </c>
      <c r="J95" s="24">
        <v>-1.27234042553191</v>
      </c>
      <c r="K95" s="24">
        <v>-0.80838340905759898</v>
      </c>
      <c r="L95" s="24">
        <v>-0.59151027889441998</v>
      </c>
    </row>
    <row r="96" spans="2:12" ht="15" customHeight="1" outlineLevel="1" x14ac:dyDescent="0.3">
      <c r="B96" s="22" t="s">
        <v>282</v>
      </c>
      <c r="C96" s="24">
        <v>3.8232795242141002E-2</v>
      </c>
      <c r="D96" s="24">
        <v>0</v>
      </c>
      <c r="E96" s="24">
        <v>3.0997072498708499E-3</v>
      </c>
      <c r="F96" s="24">
        <v>1.7106883810045201E-2</v>
      </c>
      <c r="G96" s="24">
        <v>2.1597028248912999E-2</v>
      </c>
      <c r="H96" s="24">
        <v>1.3229453873978701E-2</v>
      </c>
      <c r="I96" s="24">
        <v>1.06176900584795E-2</v>
      </c>
      <c r="J96" s="24">
        <v>0.25117776567789601</v>
      </c>
      <c r="K96" s="24">
        <v>0.31076391717306701</v>
      </c>
      <c r="L96" s="24">
        <v>0.34638253955222997</v>
      </c>
    </row>
    <row r="97" spans="2:12" ht="15" customHeight="1" outlineLevel="1" x14ac:dyDescent="0.3">
      <c r="B97" s="22" t="s">
        <v>283</v>
      </c>
      <c r="C97" s="24">
        <v>273.65217391304299</v>
      </c>
      <c r="D97" s="24" t="s">
        <v>28</v>
      </c>
      <c r="E97" s="24" t="s">
        <v>28</v>
      </c>
      <c r="F97" s="24" t="s">
        <v>28</v>
      </c>
      <c r="G97" s="24">
        <v>1449.3</v>
      </c>
      <c r="H97" s="24" t="s">
        <v>28</v>
      </c>
      <c r="I97" s="24" t="s">
        <v>28</v>
      </c>
      <c r="J97" s="24">
        <v>209.71875</v>
      </c>
      <c r="K97" s="24">
        <v>112.562780269058</v>
      </c>
      <c r="L97" s="24">
        <v>97.579020979020996</v>
      </c>
    </row>
    <row r="98" spans="2:12" ht="15" customHeight="1" outlineLevel="1" x14ac:dyDescent="0.3">
      <c r="B98" s="22" t="s">
        <v>284</v>
      </c>
      <c r="C98" s="24">
        <v>358.21739130434798</v>
      </c>
      <c r="D98" s="24" t="s">
        <v>28</v>
      </c>
      <c r="E98" s="24" t="s">
        <v>28</v>
      </c>
      <c r="F98" s="24" t="s">
        <v>28</v>
      </c>
      <c r="G98" s="24">
        <v>1736.35</v>
      </c>
      <c r="H98" s="24" t="s">
        <v>28</v>
      </c>
      <c r="I98" s="24" t="s">
        <v>28</v>
      </c>
      <c r="J98" s="24">
        <v>264.00625000000002</v>
      </c>
      <c r="K98" s="24">
        <v>137.62556053811701</v>
      </c>
      <c r="L98" s="24">
        <v>119.254545454545</v>
      </c>
    </row>
    <row r="99" spans="2:12" ht="15" customHeight="1" outlineLevel="1" x14ac:dyDescent="0.3">
      <c r="B99" s="22" t="s">
        <v>285</v>
      </c>
      <c r="C99" s="24">
        <v>273.65217391304299</v>
      </c>
      <c r="D99" s="24" t="s">
        <v>28</v>
      </c>
      <c r="E99" s="24" t="s">
        <v>28</v>
      </c>
      <c r="F99" s="24" t="s">
        <v>28</v>
      </c>
      <c r="G99" s="24">
        <v>1449.3</v>
      </c>
      <c r="H99" s="24" t="s">
        <v>28</v>
      </c>
      <c r="I99" s="24" t="s">
        <v>28</v>
      </c>
      <c r="J99" s="24">
        <v>209.71875</v>
      </c>
      <c r="K99" s="24">
        <v>112.562780269058</v>
      </c>
      <c r="L99" s="24">
        <v>97.579020979020996</v>
      </c>
    </row>
    <row r="100" spans="2:12" ht="15" customHeight="1" outlineLevel="1" x14ac:dyDescent="0.3">
      <c r="B100" s="22" t="s">
        <v>286</v>
      </c>
      <c r="C100" s="24">
        <v>373.86956521739103</v>
      </c>
      <c r="D100" s="24" t="s">
        <v>28</v>
      </c>
      <c r="E100" s="24" t="s">
        <v>28</v>
      </c>
      <c r="F100" s="24" t="s">
        <v>28</v>
      </c>
      <c r="G100" s="24">
        <v>1815.7</v>
      </c>
      <c r="H100" s="24" t="s">
        <v>28</v>
      </c>
      <c r="I100" s="24" t="s">
        <v>28</v>
      </c>
      <c r="J100" s="24">
        <v>315.46875</v>
      </c>
      <c r="K100" s="24">
        <v>159.446188340807</v>
      </c>
      <c r="L100" s="24">
        <v>127.73146853146901</v>
      </c>
    </row>
    <row r="101" spans="2:12" ht="15" customHeight="1" outlineLevel="1" x14ac:dyDescent="0.3">
      <c r="B101" s="22" t="s">
        <v>287</v>
      </c>
      <c r="C101" s="24" t="s">
        <v>28</v>
      </c>
      <c r="D101" s="24" t="s">
        <v>28</v>
      </c>
      <c r="E101" s="24" t="s">
        <v>28</v>
      </c>
      <c r="F101" s="24" t="s">
        <v>28</v>
      </c>
      <c r="G101" s="24" t="s">
        <v>28</v>
      </c>
      <c r="H101" s="24" t="s">
        <v>28</v>
      </c>
      <c r="I101" s="24" t="s">
        <v>28</v>
      </c>
      <c r="J101" s="24" t="s">
        <v>28</v>
      </c>
      <c r="K101" s="24" t="s">
        <v>28</v>
      </c>
      <c r="L101" s="24">
        <v>17.7996845425867</v>
      </c>
    </row>
    <row r="102" spans="2:12" ht="15" customHeight="1" outlineLevel="1" x14ac:dyDescent="0.3">
      <c r="B102" s="22" t="s">
        <v>288</v>
      </c>
      <c r="C102" s="24">
        <v>1.2987012987013E-2</v>
      </c>
      <c r="D102" s="24">
        <v>0</v>
      </c>
      <c r="E102" s="24">
        <v>3.0997072498708499E-3</v>
      </c>
      <c r="F102" s="24">
        <v>0</v>
      </c>
      <c r="G102" s="24">
        <v>0.28588706194027702</v>
      </c>
      <c r="H102" s="24">
        <v>0.25512862671691999</v>
      </c>
      <c r="I102" s="24">
        <v>0.241904239766082</v>
      </c>
      <c r="J102" s="24">
        <v>0.60995241589924498</v>
      </c>
      <c r="K102" s="24">
        <v>0.58993825450872395</v>
      </c>
      <c r="L102" s="24">
        <v>0.56001735724254398</v>
      </c>
    </row>
    <row r="103" spans="2:12" ht="15" customHeight="1" outlineLevel="1" x14ac:dyDescent="0.3">
      <c r="B103" s="22" t="s">
        <v>289</v>
      </c>
      <c r="C103" s="24">
        <v>-2.3184900831733799</v>
      </c>
      <c r="D103" s="24">
        <v>-1.9185016286645</v>
      </c>
      <c r="E103" s="24">
        <v>-1.86479466165077</v>
      </c>
      <c r="F103" s="24">
        <v>-1.3189182169410101</v>
      </c>
      <c r="G103" s="24">
        <v>-1.5066405174786699</v>
      </c>
      <c r="H103" s="24">
        <v>-1.23023872679045</v>
      </c>
      <c r="I103" s="24">
        <v>-0.59128161030482795</v>
      </c>
      <c r="J103" s="24">
        <v>-0.30706376138596198</v>
      </c>
      <c r="K103" s="24">
        <v>-0.40991720796111603</v>
      </c>
      <c r="L103" s="24">
        <v>-0.31456579530349998</v>
      </c>
    </row>
    <row r="104" spans="2:12" ht="15" customHeight="1" outlineLevel="1" x14ac:dyDescent="0.3">
      <c r="B104" s="22" t="s">
        <v>290</v>
      </c>
      <c r="C104" s="24">
        <v>1.3691618682021799E-2</v>
      </c>
      <c r="D104" s="24">
        <v>0</v>
      </c>
      <c r="E104" s="24">
        <v>3.2245062474808499E-3</v>
      </c>
      <c r="F104" s="24">
        <v>0</v>
      </c>
      <c r="G104" s="24">
        <v>0.341590971648775</v>
      </c>
      <c r="H104" s="24">
        <v>0.24321196045334001</v>
      </c>
      <c r="I104" s="24">
        <v>0.23229735184177699</v>
      </c>
      <c r="J104" s="24">
        <v>0.57521432398642602</v>
      </c>
      <c r="K104" s="24">
        <v>0.53823743627094001</v>
      </c>
      <c r="L104" s="24">
        <v>0.528921134249003</v>
      </c>
    </row>
    <row r="105" spans="2:12" ht="15" customHeight="1" outlineLevel="1" x14ac:dyDescent="0.3">
      <c r="B105" s="22" t="s">
        <v>291</v>
      </c>
      <c r="C105" s="19">
        <v>19.288888888888899</v>
      </c>
      <c r="D105" s="24" t="s">
        <v>28</v>
      </c>
      <c r="E105" s="24">
        <v>242.819444444444</v>
      </c>
      <c r="F105" s="24">
        <v>30.718</v>
      </c>
      <c r="G105" s="24">
        <v>1.91547769550298</v>
      </c>
      <c r="H105" s="24">
        <v>2.1143419522233202</v>
      </c>
      <c r="I105" s="24">
        <v>2.7062404870623999</v>
      </c>
      <c r="J105" s="24">
        <v>0.69814502529511002</v>
      </c>
      <c r="K105" s="24">
        <v>1.1561807826178701</v>
      </c>
      <c r="L105" s="24">
        <v>1.0864594426249301</v>
      </c>
    </row>
    <row r="106" spans="2:12" ht="15" customHeight="1" outlineLevel="1" x14ac:dyDescent="0.3">
      <c r="B106" s="22" t="s">
        <v>292</v>
      </c>
      <c r="C106" s="24">
        <v>27.298412698412701</v>
      </c>
      <c r="D106" s="24" t="s">
        <v>28</v>
      </c>
      <c r="E106" s="24">
        <v>336.33333333333297</v>
      </c>
      <c r="F106" s="24">
        <v>58.548000000000002</v>
      </c>
      <c r="G106" s="24">
        <v>3.2792125699837502</v>
      </c>
      <c r="H106" s="24">
        <v>3.4666726312964098</v>
      </c>
      <c r="I106" s="24">
        <v>3.9907983949079799</v>
      </c>
      <c r="J106" s="24">
        <v>1.8503922574968801</v>
      </c>
      <c r="K106" s="24">
        <v>1.8751450268959</v>
      </c>
      <c r="L106" s="24">
        <v>1.8350378749824201</v>
      </c>
    </row>
    <row r="107" spans="2:12" ht="15" customHeight="1" x14ac:dyDescent="0.3">
      <c r="B107" s="15" t="s">
        <v>293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2:12" ht="15" customHeight="1" outlineLevel="1" x14ac:dyDescent="0.3">
      <c r="B108" s="22" t="s">
        <v>294</v>
      </c>
      <c r="C108" s="24">
        <v>0.241982902890226</v>
      </c>
      <c r="D108" s="24">
        <v>0</v>
      </c>
      <c r="E108" s="24">
        <v>9.6843181298505707E-2</v>
      </c>
      <c r="F108" s="24">
        <v>0</v>
      </c>
      <c r="G108" s="24">
        <v>9.8244502939022702</v>
      </c>
      <c r="H108" s="24">
        <v>7.86187543845974</v>
      </c>
      <c r="I108" s="24">
        <v>10.599860665123799</v>
      </c>
      <c r="J108" s="24">
        <v>20.4950959725724</v>
      </c>
      <c r="K108" s="24">
        <v>23.6413611198161</v>
      </c>
      <c r="L108" s="24">
        <v>26.1453046206409</v>
      </c>
    </row>
    <row r="109" spans="2:12" ht="15" customHeight="1" outlineLevel="1" x14ac:dyDescent="0.3">
      <c r="B109" s="22" t="s">
        <v>295</v>
      </c>
      <c r="C109" s="24">
        <v>0.240271259515416</v>
      </c>
      <c r="D109" s="24">
        <v>0</v>
      </c>
      <c r="E109" s="24">
        <v>9.6749486018355493E-2</v>
      </c>
      <c r="F109" s="24">
        <v>0</v>
      </c>
      <c r="G109" s="24">
        <v>8.8541666666666696</v>
      </c>
      <c r="H109" s="24">
        <v>7.2318182795930204</v>
      </c>
      <c r="I109" s="24">
        <v>9.5002619623491906</v>
      </c>
      <c r="J109" s="24">
        <v>16.840859919864599</v>
      </c>
      <c r="K109" s="24">
        <v>18.949511230192801</v>
      </c>
      <c r="L109" s="24">
        <v>20.546371436193599</v>
      </c>
    </row>
    <row r="110" spans="2:12" ht="15" customHeight="1" outlineLevel="1" x14ac:dyDescent="0.3">
      <c r="B110" s="22" t="s">
        <v>296</v>
      </c>
      <c r="C110" s="24">
        <v>0.216568502438926</v>
      </c>
      <c r="D110" s="24">
        <v>0</v>
      </c>
      <c r="E110" s="24">
        <v>8.5182906630069596E-2</v>
      </c>
      <c r="F110" s="24">
        <v>0</v>
      </c>
      <c r="G110" s="24">
        <v>7.4436180422264897</v>
      </c>
      <c r="H110" s="24">
        <v>6.3308142308368298</v>
      </c>
      <c r="I110" s="24">
        <v>7.9747209118786397</v>
      </c>
      <c r="J110" s="24">
        <v>13.872511804961</v>
      </c>
      <c r="K110" s="24">
        <v>15.769761739895401</v>
      </c>
      <c r="L110" s="24">
        <v>17.2977026233998</v>
      </c>
    </row>
    <row r="111" spans="2:12" ht="15" customHeight="1" outlineLevel="1" x14ac:dyDescent="0.3">
      <c r="B111" s="22" t="s">
        <v>297</v>
      </c>
      <c r="C111" s="24">
        <v>0.63756147914263195</v>
      </c>
      <c r="D111" s="24">
        <v>0</v>
      </c>
      <c r="E111" s="24">
        <v>8.5182906630069596E-2</v>
      </c>
      <c r="F111" s="24">
        <v>0.51369511167731696</v>
      </c>
      <c r="G111" s="24">
        <v>8.3028430902111303</v>
      </c>
      <c r="H111" s="24">
        <v>7.0156167616560801</v>
      </c>
      <c r="I111" s="24">
        <v>8.7079108604890791</v>
      </c>
      <c r="J111" s="24">
        <v>14.6871483413828</v>
      </c>
      <c r="K111" s="24">
        <v>16.515767148761199</v>
      </c>
      <c r="L111" s="24">
        <v>18.028719018742699</v>
      </c>
    </row>
    <row r="112" spans="2:12" ht="15" customHeight="1" outlineLevel="1" x14ac:dyDescent="0.3">
      <c r="B112" s="22" t="s">
        <v>298</v>
      </c>
      <c r="C112" s="24">
        <v>-40.976525396897202</v>
      </c>
      <c r="D112" s="24">
        <v>-49.749974659593903</v>
      </c>
      <c r="E112" s="24">
        <v>-56.006294806784403</v>
      </c>
      <c r="F112" s="24">
        <v>-48.288896549264798</v>
      </c>
      <c r="G112" s="24">
        <v>-43.332277792071601</v>
      </c>
      <c r="H112" s="24">
        <v>-39.767713773482001</v>
      </c>
      <c r="I112" s="24">
        <v>-26.980517140592099</v>
      </c>
      <c r="J112" s="24">
        <v>-10.940793712663</v>
      </c>
      <c r="K112" s="24">
        <v>-18.005066332393199</v>
      </c>
      <c r="L112" s="24">
        <v>-15.5494231727416</v>
      </c>
    </row>
    <row r="113" spans="2:12" ht="15" customHeight="1" outlineLevel="1" x14ac:dyDescent="0.3">
      <c r="B113" s="22" t="s">
        <v>299</v>
      </c>
      <c r="C113" s="24">
        <v>0.71237957392916895</v>
      </c>
      <c r="D113" s="24">
        <v>0</v>
      </c>
      <c r="E113" s="24">
        <v>9.6843181298505707E-2</v>
      </c>
      <c r="F113" s="24">
        <v>0.59433951050197897</v>
      </c>
      <c r="G113" s="24">
        <v>10.9584974370139</v>
      </c>
      <c r="H113" s="24">
        <v>8.7122924623899003</v>
      </c>
      <c r="I113" s="24">
        <v>11.574404023094401</v>
      </c>
      <c r="J113" s="24">
        <v>21.698631008726199</v>
      </c>
      <c r="K113" s="24">
        <v>24.7597409380549</v>
      </c>
      <c r="L113" s="24">
        <v>27.250228595520099</v>
      </c>
    </row>
    <row r="114" spans="2:12" ht="15" customHeight="1" outlineLevel="1" x14ac:dyDescent="0.3">
      <c r="B114" s="22" t="s">
        <v>300</v>
      </c>
      <c r="C114" s="24">
        <v>-40.686681786540298</v>
      </c>
      <c r="D114" s="24">
        <v>-49.749974659593903</v>
      </c>
      <c r="E114" s="24">
        <v>-55.952109004420898</v>
      </c>
      <c r="F114" s="24">
        <v>-48.003592234156898</v>
      </c>
      <c r="G114" s="24">
        <v>-39.052689783105002</v>
      </c>
      <c r="H114" s="24">
        <v>-36.580696508851602</v>
      </c>
      <c r="I114" s="24">
        <v>-24.1816367981742</v>
      </c>
      <c r="J114" s="24">
        <v>-8.9900713113843302</v>
      </c>
      <c r="K114" s="24">
        <v>-14.431792016410901</v>
      </c>
      <c r="L114" s="24">
        <v>-12.2195640387942</v>
      </c>
    </row>
    <row r="115" spans="2:12" ht="15" customHeight="1" outlineLevel="1" x14ac:dyDescent="0.3">
      <c r="B115" s="22" t="s">
        <v>301</v>
      </c>
      <c r="C115" s="24">
        <v>0.70734062380706397</v>
      </c>
      <c r="D115" s="24">
        <v>0</v>
      </c>
      <c r="E115" s="24">
        <v>9.6749486018355493E-2</v>
      </c>
      <c r="F115" s="24">
        <v>0.59082798634005695</v>
      </c>
      <c r="G115" s="24">
        <v>9.8762128995433809</v>
      </c>
      <c r="H115" s="24">
        <v>8.0140821843160008</v>
      </c>
      <c r="I115" s="24">
        <v>10.373709028012</v>
      </c>
      <c r="J115" s="24">
        <v>17.8298069821101</v>
      </c>
      <c r="K115" s="24">
        <v>19.8459380821803</v>
      </c>
      <c r="L115" s="24">
        <v>21.414679483318</v>
      </c>
    </row>
    <row r="116" spans="2:12" ht="15" customHeight="1" x14ac:dyDescent="0.3"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5" customHeigh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</sheetData>
  <pageMargins left="0.75" right="0.75" top="1" bottom="1" header="0.5" footer="0.5"/>
  <pageSetup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WACC</vt:lpstr>
      <vt:lpstr>Model</vt:lpstr>
      <vt:lpstr>Debt</vt:lpstr>
      <vt:lpstr>Income Statement_Static</vt:lpstr>
      <vt:lpstr>Balance Sheet_Static</vt:lpstr>
      <vt:lpstr>Cash Flow_Static</vt:lpstr>
      <vt:lpstr>Ratio Analysis_Static</vt:lpstr>
      <vt:lpstr>CS</vt:lpstr>
      <vt:lpstr>current_year</vt:lpstr>
      <vt:lpstr>debt</vt:lpstr>
      <vt:lpstr>live_case</vt:lpstr>
      <vt:lpstr>live_tax</vt:lpstr>
      <vt:lpstr>live_tgr</vt:lpstr>
      <vt:lpstr>live_wacc</vt:lpstr>
      <vt:lpstr>net_cash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2025-06-29T19:59:55Z</dcterms:modified>
</cp:coreProperties>
</file>