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#Valuations/House Hack-US/"/>
    </mc:Choice>
  </mc:AlternateContent>
  <xr:revisionPtr revIDLastSave="195" documentId="11_F25DC773A252ABDACC104830195C761C5ADE58EE" xr6:coauthVersionLast="47" xr6:coauthVersionMax="47" xr10:uidLastSave="{84D6EBEB-DEB8-4B64-8BD2-B607C515103C}"/>
  <bookViews>
    <workbookView xWindow="43097" yWindow="-103" windowWidth="38606" windowHeight="21086" xr2:uid="{00000000-000D-0000-FFFF-FFFF00000000}"/>
  </bookViews>
  <sheets>
    <sheet name="Property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15" i="1"/>
  <c r="U21" i="1"/>
  <c r="U17" i="1"/>
  <c r="U19" i="1"/>
  <c r="K28" i="1"/>
  <c r="H28" i="1"/>
  <c r="G28" i="1"/>
  <c r="I27" i="1"/>
  <c r="L27" i="1" s="1"/>
  <c r="M27" i="1" s="1"/>
  <c r="I26" i="1"/>
  <c r="L26" i="1" s="1"/>
  <c r="M26" i="1" s="1"/>
  <c r="I25" i="1"/>
  <c r="L25" i="1" s="1"/>
  <c r="M25" i="1" s="1"/>
  <c r="I24" i="1"/>
  <c r="L24" i="1" s="1"/>
  <c r="M24" i="1" s="1"/>
  <c r="I23" i="1"/>
  <c r="L23" i="1" s="1"/>
  <c r="M23" i="1" s="1"/>
  <c r="I22" i="1"/>
  <c r="L22" i="1" s="1"/>
  <c r="M22" i="1" s="1"/>
  <c r="I21" i="1"/>
  <c r="L21" i="1" s="1"/>
  <c r="M21" i="1" s="1"/>
  <c r="I20" i="1"/>
  <c r="L20" i="1" s="1"/>
  <c r="M20" i="1" s="1"/>
  <c r="I19" i="1"/>
  <c r="L19" i="1" s="1"/>
  <c r="M19" i="1" s="1"/>
  <c r="I18" i="1"/>
  <c r="L18" i="1" s="1"/>
  <c r="M18" i="1" s="1"/>
  <c r="I17" i="1"/>
  <c r="L17" i="1" s="1"/>
  <c r="M17" i="1" s="1"/>
  <c r="I16" i="1"/>
  <c r="L16" i="1" s="1"/>
  <c r="M16" i="1" s="1"/>
  <c r="I15" i="1"/>
  <c r="L15" i="1" s="1"/>
  <c r="M15" i="1" s="1"/>
  <c r="I14" i="1"/>
  <c r="L14" i="1" s="1"/>
  <c r="M14" i="1" s="1"/>
  <c r="I13" i="1"/>
  <c r="L13" i="1" s="1"/>
  <c r="M13" i="1" s="1"/>
  <c r="I12" i="1"/>
  <c r="L12" i="1" s="1"/>
  <c r="M12" i="1" s="1"/>
  <c r="I11" i="1"/>
  <c r="L11" i="1" s="1"/>
  <c r="M11" i="1" s="1"/>
  <c r="I10" i="1"/>
  <c r="L10" i="1" s="1"/>
  <c r="M10" i="1" s="1"/>
  <c r="I9" i="1"/>
  <c r="L9" i="1" s="1"/>
  <c r="M9" i="1" s="1"/>
  <c r="I8" i="1"/>
  <c r="L8" i="1" s="1"/>
  <c r="M8" i="1" s="1"/>
  <c r="I7" i="1"/>
  <c r="L7" i="1" s="1"/>
  <c r="M7" i="1" s="1"/>
  <c r="I6" i="1"/>
  <c r="L6" i="1" s="1"/>
  <c r="M6" i="1" s="1"/>
  <c r="I5" i="1"/>
  <c r="L5" i="1" s="1"/>
  <c r="M5" i="1" s="1"/>
  <c r="I4" i="1"/>
  <c r="L4" i="1" s="1"/>
  <c r="M4" i="1" s="1"/>
  <c r="M29" i="1" l="1"/>
  <c r="I28" i="1"/>
  <c r="L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Theodor Hogan</author>
  </authors>
  <commentList>
    <comment ref="O16" authorId="0" shapeId="0" xr:uid="{9DE7AE1A-9155-48E1-BA14-3FFD31C09F33}">
      <text>
        <r>
          <rPr>
            <b/>
            <sz val="9"/>
            <color indexed="81"/>
            <rFont val="Tahoma"/>
            <family val="2"/>
          </rPr>
          <t>Theodor Hogan:</t>
        </r>
        <r>
          <rPr>
            <sz val="9"/>
            <color indexed="81"/>
            <rFont val="Tahoma"/>
            <family val="2"/>
          </rPr>
          <t xml:space="preserve">
Instagram post not to reliable
</t>
        </r>
      </text>
    </comment>
  </commentList>
</comments>
</file>

<file path=xl/sharedStrings.xml><?xml version="1.0" encoding="utf-8"?>
<sst xmlns="http://schemas.openxmlformats.org/spreadsheetml/2006/main" count="62" uniqueCount="44">
  <si>
    <t>Property Type</t>
  </si>
  <si>
    <t>Purchase Cost</t>
  </si>
  <si>
    <t>Renovation Cost</t>
  </si>
  <si>
    <t>Estimated Value</t>
  </si>
  <si>
    <t>Single</t>
  </si>
  <si>
    <t>Multifamily (28 Units)</t>
  </si>
  <si>
    <t>Condo Unit</t>
  </si>
  <si>
    <t>Multifamily (8 Units)</t>
  </si>
  <si>
    <t>Multifamily (22 Units + 1 Commercial)</t>
  </si>
  <si>
    <t>Multifamily (4 Units)</t>
  </si>
  <si>
    <t>#</t>
  </si>
  <si>
    <t>Wedge</t>
  </si>
  <si>
    <t>All In Cost</t>
  </si>
  <si>
    <t>House Hack Metrics</t>
  </si>
  <si>
    <t>% Wedge</t>
  </si>
  <si>
    <t>Totals</t>
  </si>
  <si>
    <t>Average</t>
  </si>
  <si>
    <t>Address</t>
  </si>
  <si>
    <t>40 N Brent St, Ventura, CA 93003</t>
  </si>
  <si>
    <t>Zestimate</t>
  </si>
  <si>
    <t>As of</t>
  </si>
  <si>
    <t>Lower Bound</t>
  </si>
  <si>
    <t>Upper Bound</t>
  </si>
  <si>
    <t>Online Metrics</t>
  </si>
  <si>
    <t>NAV vs HH</t>
  </si>
  <si>
    <t>https://www.zillow.com/homedetails/40-N-Brent-St-Ventura-CA-93003/300034897_zpid/</t>
  </si>
  <si>
    <t>2603 Dove St,San Diego, CA 92103</t>
  </si>
  <si>
    <t>https://www.redfin.com/CA/Ventura/40-N-Brent-St-93003/home/4398785</t>
  </si>
  <si>
    <t>https://www.zillow.com/homedetails/3295-Ocean-View-Blvd-UNIT-29-San-Diego-CA-92113/65239782_zpid/</t>
  </si>
  <si>
    <t>3295 Ocean View Blvd UNIT 29, San Diego, CA 92113</t>
  </si>
  <si>
    <t>2030 10th St, Sacramento, CA 95818</t>
  </si>
  <si>
    <t>https://www.redfin.com/CA/Sacramento/2030-10th-St-95818/home/50665057</t>
  </si>
  <si>
    <t>Comparison</t>
  </si>
  <si>
    <t>https://www.zillow.com/homedetails/2030-10th-St-Sacramento-CA-95818/2059060819_zpid/</t>
  </si>
  <si>
    <t>Sale Date</t>
  </si>
  <si>
    <t>Reported PP</t>
  </si>
  <si>
    <t>https://www.instagram.com/reel/C3WLqRdPYgh/</t>
  </si>
  <si>
    <t>https://www.zillow.com/homedetails/1527-Sitka-Ave-Simi-Valley-CA-93063/16446636_zpid/</t>
  </si>
  <si>
    <t>1527 Sitka Ave, Simi Valley, CA 93063</t>
  </si>
  <si>
    <t>https://www.redfin.com/CA/Simi-Valley/1527-Sitka-Ave-93063/home/4615465</t>
  </si>
  <si>
    <t xml:space="preserve">ADU </t>
  </si>
  <si>
    <t>https://youtu.be/kamMSq6UECA?si=QryZBXbz9LDX0Fvj&amp;t=622</t>
  </si>
  <si>
    <t>4401 Fall Ln, Oakley, CA 94561</t>
  </si>
  <si>
    <t>https://www.redfin.com/CA/Oakley/4401-Fall-Ln-94561/home/1258635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</si>
</sst>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165" fontId="6" fillId="0" borderId="0" xfId="0" applyNumberFormat="1" applyFont="1" applyAlignment="1">
      <alignment horizontal="center"/>
    </xf>
    <xf numFmtId="0" fontId="7" fillId="0" borderId="0" xfId="0" applyFont="1"/>
    <xf numFmtId="165" fontId="8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15" fontId="2" fillId="0" borderId="0" xfId="0" applyNumberFormat="1" applyFont="1" applyAlignment="1">
      <alignment horizontal="center"/>
    </xf>
    <xf numFmtId="0" fontId="14" fillId="0" borderId="0" xfId="2" applyFont="1"/>
    <xf numFmtId="15" fontId="9" fillId="0" borderId="0" xfId="0" applyNumberFormat="1" applyFont="1" applyAlignment="1">
      <alignment horizontal="center"/>
    </xf>
    <xf numFmtId="0" fontId="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fin.com/CA/Sacramento/2030-10th-St-95818/home/5066505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redfin.com/CA/Ventura/40-N-Brent-St-93003/home/4398785" TargetMode="External"/><Relationship Id="rId1" Type="http://schemas.openxmlformats.org/officeDocument/2006/relationships/hyperlink" Target="https://www.zillow.com/homedetails/3295-Ocean-View-Blvd-UNIT-29-San-Diego-CA-92113/65239782_zpid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zillow.com/homedetails/40-N-Brent-St-Ventura-CA-93003/300034897_zpid/" TargetMode="External"/><Relationship Id="rId4" Type="http://schemas.openxmlformats.org/officeDocument/2006/relationships/hyperlink" Target="https://www.redfin.com/CA/Simi-Valley/1527-Sitka-Ave-93063/home/46154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5"/>
  <sheetViews>
    <sheetView tabSelected="1" workbookViewId="0">
      <selection activeCell="U6" sqref="U6"/>
    </sheetView>
  </sheetViews>
  <sheetFormatPr defaultRowHeight="14.6" x14ac:dyDescent="0.4"/>
  <cols>
    <col min="2" max="2" width="5.07421875" customWidth="1"/>
    <col min="3" max="3" width="31.84375" customWidth="1"/>
    <col min="4" max="4" width="44.765625" customWidth="1"/>
    <col min="5" max="5" width="11" customWidth="1"/>
    <col min="6" max="6" width="2.69140625" customWidth="1"/>
    <col min="7" max="7" width="15.53515625" customWidth="1"/>
    <col min="8" max="9" width="17.07421875" customWidth="1"/>
    <col min="10" max="10" width="2.69140625" customWidth="1"/>
    <col min="11" max="11" width="14.53515625" bestFit="1" customWidth="1"/>
    <col min="12" max="12" width="11" bestFit="1" customWidth="1"/>
    <col min="14" max="14" width="2.69140625" customWidth="1"/>
    <col min="15" max="17" width="12.69140625" customWidth="1"/>
    <col min="18" max="18" width="13.921875" customWidth="1"/>
    <col min="19" max="19" width="9.3046875" style="12" customWidth="1"/>
    <col min="20" max="20" width="2.69140625" customWidth="1"/>
    <col min="21" max="21" width="12.61328125" customWidth="1"/>
  </cols>
  <sheetData>
    <row r="2" spans="2:26" x14ac:dyDescent="0.4">
      <c r="K2" t="s">
        <v>13</v>
      </c>
      <c r="O2" s="1" t="s">
        <v>23</v>
      </c>
      <c r="P2" s="1"/>
      <c r="Q2" s="1"/>
      <c r="R2" s="1"/>
      <c r="S2" s="11"/>
      <c r="T2" s="1"/>
      <c r="U2" s="1" t="s">
        <v>32</v>
      </c>
      <c r="V2" s="1"/>
      <c r="W2" s="1"/>
      <c r="X2" s="1"/>
      <c r="Y2" s="1"/>
      <c r="Z2" s="1"/>
    </row>
    <row r="3" spans="2:26" x14ac:dyDescent="0.4">
      <c r="B3" s="1" t="s">
        <v>10</v>
      </c>
      <c r="C3" s="1" t="s">
        <v>0</v>
      </c>
      <c r="D3" s="1" t="s">
        <v>17</v>
      </c>
      <c r="E3" s="1" t="s">
        <v>34</v>
      </c>
      <c r="F3" s="1"/>
      <c r="G3" s="1" t="s">
        <v>1</v>
      </c>
      <c r="H3" s="1" t="s">
        <v>2</v>
      </c>
      <c r="I3" s="1" t="s">
        <v>12</v>
      </c>
      <c r="J3" s="1"/>
      <c r="K3" s="1" t="s">
        <v>3</v>
      </c>
      <c r="L3" s="1" t="s">
        <v>11</v>
      </c>
      <c r="M3" s="8" t="s">
        <v>14</v>
      </c>
      <c r="O3" s="1" t="s">
        <v>35</v>
      </c>
      <c r="P3" s="1" t="s">
        <v>19</v>
      </c>
      <c r="Q3" s="1" t="s">
        <v>21</v>
      </c>
      <c r="R3" s="1" t="s">
        <v>22</v>
      </c>
      <c r="S3" s="11" t="s">
        <v>20</v>
      </c>
      <c r="T3" s="1"/>
      <c r="U3" s="1" t="s">
        <v>24</v>
      </c>
      <c r="V3" s="1"/>
      <c r="W3" s="1"/>
      <c r="X3" s="1"/>
      <c r="Y3" s="1"/>
      <c r="Z3" s="1"/>
    </row>
    <row r="4" spans="2:26" x14ac:dyDescent="0.4">
      <c r="B4" s="10">
        <v>1</v>
      </c>
      <c r="C4" s="1" t="s">
        <v>4</v>
      </c>
      <c r="D4" s="1"/>
      <c r="E4" s="1"/>
      <c r="F4" s="1"/>
      <c r="G4" s="2">
        <v>507000</v>
      </c>
      <c r="H4" s="2">
        <v>81413</v>
      </c>
      <c r="I4" s="2">
        <f>H4+G4</f>
        <v>588413</v>
      </c>
      <c r="J4" s="2"/>
      <c r="K4" s="2">
        <v>760000</v>
      </c>
      <c r="L4" s="3">
        <f>K4-I4</f>
        <v>171587</v>
      </c>
      <c r="M4" s="9">
        <f>L4/K4</f>
        <v>0.22577236842105264</v>
      </c>
      <c r="O4" s="1"/>
      <c r="P4" s="1"/>
      <c r="Q4" s="1"/>
      <c r="R4" s="1"/>
      <c r="S4" s="11"/>
      <c r="T4" s="1"/>
      <c r="U4" s="1"/>
      <c r="V4" s="1"/>
      <c r="W4" s="1"/>
      <c r="X4" s="1"/>
      <c r="Y4" s="1"/>
      <c r="Z4" s="1"/>
    </row>
    <row r="5" spans="2:26" x14ac:dyDescent="0.4">
      <c r="B5" s="10">
        <v>2</v>
      </c>
      <c r="C5" s="1" t="s">
        <v>4</v>
      </c>
      <c r="D5" s="16" t="s">
        <v>42</v>
      </c>
      <c r="E5" s="13">
        <v>45136</v>
      </c>
      <c r="F5" s="1"/>
      <c r="G5" s="2">
        <v>475000</v>
      </c>
      <c r="H5" s="2">
        <v>66709</v>
      </c>
      <c r="I5" s="2">
        <f t="shared" ref="I5:I27" si="0">H5+G5</f>
        <v>541709</v>
      </c>
      <c r="J5" s="2"/>
      <c r="K5" s="2">
        <v>625000</v>
      </c>
      <c r="L5" s="3">
        <f t="shared" ref="L5:L27" si="1">K5-I5</f>
        <v>83291</v>
      </c>
      <c r="M5" s="9">
        <f t="shared" ref="M5:M27" si="2">L5/K5</f>
        <v>0.13326560000000001</v>
      </c>
      <c r="O5" s="2">
        <v>475000</v>
      </c>
      <c r="P5" s="2">
        <v>570400</v>
      </c>
      <c r="Q5" s="2">
        <v>542000</v>
      </c>
      <c r="R5" s="2">
        <v>599000</v>
      </c>
      <c r="S5" s="11"/>
      <c r="T5" s="1"/>
      <c r="U5" s="2">
        <f>P5-K5</f>
        <v>-54600</v>
      </c>
      <c r="V5" s="1"/>
      <c r="W5" s="1"/>
      <c r="X5" s="1" t="s">
        <v>43</v>
      </c>
      <c r="Y5" s="1"/>
      <c r="Z5" s="1"/>
    </row>
    <row r="6" spans="2:26" x14ac:dyDescent="0.4">
      <c r="B6" s="10">
        <v>3</v>
      </c>
      <c r="C6" s="1" t="s">
        <v>4</v>
      </c>
      <c r="D6" s="1"/>
      <c r="E6" s="1"/>
      <c r="F6" s="1"/>
      <c r="G6" s="2">
        <v>452000</v>
      </c>
      <c r="H6" s="2">
        <v>63023</v>
      </c>
      <c r="I6" s="2">
        <f t="shared" si="0"/>
        <v>515023</v>
      </c>
      <c r="J6" s="2"/>
      <c r="K6" s="2">
        <v>600000</v>
      </c>
      <c r="L6" s="3">
        <f t="shared" si="1"/>
        <v>84977</v>
      </c>
      <c r="M6" s="9">
        <f t="shared" si="2"/>
        <v>0.14162833333333333</v>
      </c>
      <c r="O6" s="1"/>
      <c r="P6" s="1"/>
      <c r="Q6" s="1"/>
      <c r="R6" s="1"/>
      <c r="S6" s="11"/>
      <c r="T6" s="1"/>
      <c r="U6" s="1"/>
      <c r="V6" s="1"/>
      <c r="W6" s="1"/>
      <c r="X6" s="1"/>
      <c r="Y6" s="1"/>
      <c r="Z6" s="1"/>
    </row>
    <row r="7" spans="2:26" x14ac:dyDescent="0.4">
      <c r="B7" s="10">
        <v>4</v>
      </c>
      <c r="C7" s="1" t="s">
        <v>4</v>
      </c>
      <c r="E7" s="1"/>
      <c r="F7" s="1"/>
      <c r="G7" s="2">
        <v>515000</v>
      </c>
      <c r="H7" s="2">
        <v>80309</v>
      </c>
      <c r="I7" s="2">
        <f t="shared" si="0"/>
        <v>595309</v>
      </c>
      <c r="J7" s="2"/>
      <c r="K7" s="2">
        <v>686000</v>
      </c>
      <c r="L7" s="3">
        <f t="shared" si="1"/>
        <v>90691</v>
      </c>
      <c r="M7" s="9">
        <f t="shared" si="2"/>
        <v>0.13220262390670554</v>
      </c>
      <c r="O7" s="1"/>
      <c r="P7" s="1"/>
      <c r="Q7" s="1"/>
      <c r="R7" s="1"/>
      <c r="S7" s="11"/>
      <c r="T7" s="1"/>
      <c r="U7" s="1"/>
      <c r="V7" s="1"/>
      <c r="W7" s="1"/>
      <c r="X7" s="1"/>
      <c r="Y7" s="1"/>
      <c r="Z7" s="1"/>
    </row>
    <row r="8" spans="2:26" x14ac:dyDescent="0.4">
      <c r="B8" s="10">
        <v>5</v>
      </c>
      <c r="C8" s="1" t="s">
        <v>4</v>
      </c>
      <c r="D8" s="1"/>
      <c r="E8" s="1"/>
      <c r="F8" s="1"/>
      <c r="G8" s="2">
        <v>605000</v>
      </c>
      <c r="H8" s="2">
        <v>55902</v>
      </c>
      <c r="I8" s="2">
        <f t="shared" si="0"/>
        <v>660902</v>
      </c>
      <c r="J8" s="2"/>
      <c r="K8" s="2">
        <v>800000</v>
      </c>
      <c r="L8" s="3">
        <f t="shared" si="1"/>
        <v>139098</v>
      </c>
      <c r="M8" s="9">
        <f t="shared" si="2"/>
        <v>0.17387250000000001</v>
      </c>
      <c r="O8" s="1"/>
      <c r="P8" s="1"/>
      <c r="Q8" s="1"/>
      <c r="R8" s="1"/>
      <c r="S8" s="11"/>
      <c r="T8" s="1"/>
      <c r="U8" s="1"/>
      <c r="V8" s="1"/>
      <c r="W8" s="1"/>
      <c r="X8" s="1"/>
      <c r="Y8" s="1"/>
      <c r="Z8" s="1"/>
    </row>
    <row r="9" spans="2:26" x14ac:dyDescent="0.4">
      <c r="B9" s="10">
        <v>6</v>
      </c>
      <c r="C9" s="1" t="s">
        <v>4</v>
      </c>
      <c r="D9" s="1"/>
      <c r="E9" s="1"/>
      <c r="F9" s="1"/>
      <c r="G9" s="2">
        <v>512000</v>
      </c>
      <c r="H9" s="2">
        <v>69150</v>
      </c>
      <c r="I9" s="2">
        <f t="shared" si="0"/>
        <v>581150</v>
      </c>
      <c r="J9" s="2"/>
      <c r="K9" s="2">
        <v>675000</v>
      </c>
      <c r="L9" s="3">
        <f t="shared" si="1"/>
        <v>93850</v>
      </c>
      <c r="M9" s="9">
        <f t="shared" si="2"/>
        <v>0.13903703703703704</v>
      </c>
      <c r="O9" s="1"/>
      <c r="P9" s="1"/>
      <c r="Q9" s="1"/>
      <c r="R9" s="1"/>
      <c r="S9" s="11"/>
      <c r="T9" s="1"/>
      <c r="U9" s="1"/>
      <c r="V9" s="1"/>
      <c r="W9" s="1"/>
      <c r="X9" s="1"/>
      <c r="Y9" s="1"/>
      <c r="Z9" s="1"/>
    </row>
    <row r="10" spans="2:26" x14ac:dyDescent="0.4">
      <c r="B10" s="10">
        <v>7</v>
      </c>
      <c r="C10" s="1" t="s">
        <v>4</v>
      </c>
      <c r="D10" s="1"/>
      <c r="E10" s="1"/>
      <c r="F10" s="1"/>
      <c r="G10" s="2">
        <v>1000000</v>
      </c>
      <c r="H10" s="2">
        <v>77881</v>
      </c>
      <c r="I10" s="2">
        <f t="shared" si="0"/>
        <v>1077881</v>
      </c>
      <c r="J10" s="2"/>
      <c r="K10" s="2">
        <v>1320000</v>
      </c>
      <c r="L10" s="3">
        <f t="shared" si="1"/>
        <v>242119</v>
      </c>
      <c r="M10" s="9">
        <f t="shared" si="2"/>
        <v>0.18342348484848484</v>
      </c>
      <c r="O10" s="1"/>
      <c r="P10" s="1"/>
      <c r="Q10" s="1"/>
      <c r="R10" s="1"/>
      <c r="S10" s="11"/>
      <c r="T10" s="1"/>
      <c r="U10" s="1"/>
      <c r="V10" s="1"/>
      <c r="W10" s="1"/>
      <c r="X10" s="1"/>
      <c r="Y10" s="1"/>
      <c r="Z10" s="1"/>
    </row>
    <row r="11" spans="2:26" x14ac:dyDescent="0.4">
      <c r="B11" s="10">
        <v>8</v>
      </c>
      <c r="C11" s="1" t="s">
        <v>4</v>
      </c>
      <c r="D11" s="1"/>
      <c r="E11" s="1"/>
      <c r="F11" s="1"/>
      <c r="G11" s="2">
        <v>684000</v>
      </c>
      <c r="H11" s="2">
        <v>46337</v>
      </c>
      <c r="I11" s="2">
        <f t="shared" si="0"/>
        <v>730337</v>
      </c>
      <c r="J11" s="2"/>
      <c r="K11" s="2">
        <v>865000</v>
      </c>
      <c r="L11" s="3">
        <f t="shared" si="1"/>
        <v>134663</v>
      </c>
      <c r="M11" s="9">
        <f t="shared" si="2"/>
        <v>0.15567976878612716</v>
      </c>
      <c r="O11" s="1"/>
      <c r="P11" s="1"/>
      <c r="Q11" s="1"/>
      <c r="R11" s="1"/>
      <c r="S11" s="11"/>
      <c r="T11" s="1"/>
      <c r="U11" s="1"/>
      <c r="V11" s="1"/>
      <c r="W11" s="1"/>
      <c r="X11" s="1"/>
      <c r="Y11" s="1"/>
      <c r="Z11" s="1"/>
    </row>
    <row r="12" spans="2:26" x14ac:dyDescent="0.4">
      <c r="B12" s="10">
        <v>9</v>
      </c>
      <c r="C12" s="1" t="s">
        <v>4</v>
      </c>
      <c r="D12" s="1"/>
      <c r="E12" s="1"/>
      <c r="F12" s="1"/>
      <c r="G12" s="2">
        <v>681000</v>
      </c>
      <c r="H12" s="2">
        <v>51617</v>
      </c>
      <c r="I12" s="2">
        <f t="shared" si="0"/>
        <v>732617</v>
      </c>
      <c r="J12" s="2"/>
      <c r="K12" s="2">
        <v>900000</v>
      </c>
      <c r="L12" s="3">
        <f t="shared" si="1"/>
        <v>167383</v>
      </c>
      <c r="M12" s="9">
        <f t="shared" si="2"/>
        <v>0.18598111111111112</v>
      </c>
      <c r="O12" s="1"/>
      <c r="P12" s="1"/>
      <c r="Q12" s="1"/>
      <c r="R12" s="1"/>
      <c r="S12" s="11"/>
      <c r="T12" s="1"/>
      <c r="U12" s="1"/>
      <c r="V12" s="1"/>
      <c r="W12" s="1"/>
      <c r="X12" s="1"/>
      <c r="Y12" s="1"/>
      <c r="Z12" s="1"/>
    </row>
    <row r="13" spans="2:26" x14ac:dyDescent="0.4">
      <c r="B13" s="10">
        <v>10</v>
      </c>
      <c r="C13" s="1" t="s">
        <v>4</v>
      </c>
      <c r="D13" s="1"/>
      <c r="E13" s="1"/>
      <c r="F13" s="1"/>
      <c r="G13" s="2">
        <v>936000</v>
      </c>
      <c r="H13" s="2">
        <v>61383</v>
      </c>
      <c r="I13" s="2">
        <f t="shared" si="0"/>
        <v>997383</v>
      </c>
      <c r="J13" s="2"/>
      <c r="K13" s="2">
        <v>1250000</v>
      </c>
      <c r="L13" s="3">
        <f t="shared" si="1"/>
        <v>252617</v>
      </c>
      <c r="M13" s="9">
        <f t="shared" si="2"/>
        <v>0.20209360000000001</v>
      </c>
      <c r="O13" s="1"/>
      <c r="P13" s="1"/>
      <c r="Q13" s="1"/>
      <c r="R13" s="1"/>
      <c r="S13" s="11"/>
      <c r="T13" s="1"/>
      <c r="U13" s="1"/>
      <c r="V13" s="1"/>
      <c r="W13" s="1"/>
      <c r="X13" s="1"/>
      <c r="Y13" s="1"/>
      <c r="Z13" s="1"/>
    </row>
    <row r="14" spans="2:26" x14ac:dyDescent="0.4">
      <c r="B14" s="10">
        <v>11</v>
      </c>
      <c r="C14" s="1" t="s">
        <v>4</v>
      </c>
      <c r="D14" s="1"/>
      <c r="E14" s="1"/>
      <c r="F14" s="1"/>
      <c r="G14" s="2">
        <v>537995</v>
      </c>
      <c r="H14" s="2">
        <v>164684</v>
      </c>
      <c r="I14" s="2">
        <f t="shared" si="0"/>
        <v>702679</v>
      </c>
      <c r="J14" s="2"/>
      <c r="K14" s="2">
        <v>735000</v>
      </c>
      <c r="L14" s="3">
        <f t="shared" si="1"/>
        <v>32321</v>
      </c>
      <c r="M14" s="9">
        <f t="shared" si="2"/>
        <v>4.3974149659863945E-2</v>
      </c>
      <c r="O14" s="1"/>
      <c r="P14" s="1"/>
      <c r="Q14" s="1"/>
      <c r="R14" s="1"/>
      <c r="S14" s="11"/>
      <c r="T14" s="1"/>
      <c r="U14" s="1"/>
      <c r="V14" s="1"/>
      <c r="W14" s="1"/>
      <c r="X14" s="1"/>
      <c r="Y14" s="1" t="s">
        <v>41</v>
      </c>
      <c r="Z14" s="1"/>
    </row>
    <row r="15" spans="2:26" x14ac:dyDescent="0.4">
      <c r="B15" s="10">
        <v>12</v>
      </c>
      <c r="C15" s="1" t="s">
        <v>4</v>
      </c>
      <c r="D15" t="s">
        <v>38</v>
      </c>
      <c r="E15" s="13">
        <v>45307</v>
      </c>
      <c r="F15" s="1"/>
      <c r="G15" s="2">
        <v>608400</v>
      </c>
      <c r="H15" s="2">
        <v>121004</v>
      </c>
      <c r="I15" s="2">
        <f t="shared" si="0"/>
        <v>729404</v>
      </c>
      <c r="J15" s="2"/>
      <c r="K15" s="2">
        <v>800000</v>
      </c>
      <c r="L15" s="3">
        <f t="shared" si="1"/>
        <v>70596</v>
      </c>
      <c r="M15" s="9">
        <f t="shared" si="2"/>
        <v>8.8245000000000004E-2</v>
      </c>
      <c r="O15" s="2">
        <v>624000</v>
      </c>
      <c r="P15" s="2">
        <v>634300</v>
      </c>
      <c r="Q15" s="2">
        <v>577000</v>
      </c>
      <c r="R15" s="2">
        <v>698000</v>
      </c>
      <c r="S15" s="11"/>
      <c r="T15" s="1"/>
      <c r="U15" s="2">
        <f>P15-K15</f>
        <v>-165700</v>
      </c>
      <c r="V15" s="1"/>
      <c r="W15" s="1" t="s">
        <v>37</v>
      </c>
      <c r="X15" s="14" t="s">
        <v>39</v>
      </c>
      <c r="Y15" s="1"/>
      <c r="Z15" s="1"/>
    </row>
    <row r="16" spans="2:26" x14ac:dyDescent="0.4">
      <c r="B16" s="10">
        <v>13</v>
      </c>
      <c r="C16" s="1" t="s">
        <v>5</v>
      </c>
      <c r="D16" s="1" t="s">
        <v>26</v>
      </c>
      <c r="E16" s="13">
        <v>45337</v>
      </c>
      <c r="F16" s="1"/>
      <c r="G16" s="2">
        <v>15700000</v>
      </c>
      <c r="H16" s="2">
        <v>0</v>
      </c>
      <c r="I16" s="2">
        <f t="shared" si="0"/>
        <v>15700000</v>
      </c>
      <c r="J16" s="2"/>
      <c r="K16" s="2">
        <v>17900000</v>
      </c>
      <c r="L16" s="3">
        <f t="shared" si="1"/>
        <v>2200000</v>
      </c>
      <c r="M16" s="9">
        <f t="shared" si="2"/>
        <v>0.12290502793296089</v>
      </c>
      <c r="O16" s="2">
        <v>15900000</v>
      </c>
      <c r="P16" s="1"/>
      <c r="Q16" s="1"/>
      <c r="R16" s="1"/>
      <c r="S16" s="11"/>
      <c r="T16" s="1"/>
      <c r="U16" s="1"/>
      <c r="V16" s="1"/>
      <c r="W16" s="1"/>
      <c r="X16" s="1"/>
      <c r="Y16" s="1" t="s">
        <v>36</v>
      </c>
      <c r="Z16" s="1"/>
    </row>
    <row r="17" spans="1:26" x14ac:dyDescent="0.4">
      <c r="B17" s="10">
        <v>14</v>
      </c>
      <c r="C17" s="1" t="s">
        <v>6</v>
      </c>
      <c r="D17" s="1" t="s">
        <v>29</v>
      </c>
      <c r="E17" s="1"/>
      <c r="F17" s="1"/>
      <c r="G17" s="2">
        <v>320000</v>
      </c>
      <c r="H17" s="2">
        <v>1836</v>
      </c>
      <c r="I17" s="2">
        <f t="shared" si="0"/>
        <v>321836</v>
      </c>
      <c r="J17" s="2"/>
      <c r="K17" s="2">
        <v>400000</v>
      </c>
      <c r="L17" s="3">
        <f t="shared" si="1"/>
        <v>78164</v>
      </c>
      <c r="M17" s="9">
        <f t="shared" si="2"/>
        <v>0.19541</v>
      </c>
      <c r="O17" s="2">
        <v>320000</v>
      </c>
      <c r="P17" s="2">
        <v>315500</v>
      </c>
      <c r="Q17" s="2">
        <v>0</v>
      </c>
      <c r="R17" s="2">
        <v>0</v>
      </c>
      <c r="S17" s="15">
        <v>45853</v>
      </c>
      <c r="T17" s="1"/>
      <c r="U17" s="2">
        <f>P17-K17</f>
        <v>-84500</v>
      </c>
      <c r="V17" s="1"/>
      <c r="W17" s="14" t="s">
        <v>28</v>
      </c>
      <c r="X17" s="1"/>
      <c r="Y17" s="1"/>
      <c r="Z17" s="1"/>
    </row>
    <row r="18" spans="1:26" x14ac:dyDescent="0.4">
      <c r="B18" s="10">
        <v>15</v>
      </c>
      <c r="C18" s="1" t="s">
        <v>4</v>
      </c>
      <c r="D18" s="1"/>
      <c r="E18" s="1"/>
      <c r="F18" s="1"/>
      <c r="G18" s="2">
        <v>550000</v>
      </c>
      <c r="H18" s="2">
        <v>94440</v>
      </c>
      <c r="I18" s="2">
        <f t="shared" si="0"/>
        <v>644440</v>
      </c>
      <c r="J18" s="2"/>
      <c r="K18" s="2">
        <v>805000</v>
      </c>
      <c r="L18" s="3">
        <f t="shared" si="1"/>
        <v>160560</v>
      </c>
      <c r="M18" s="9">
        <f t="shared" si="2"/>
        <v>0.19945341614906834</v>
      </c>
      <c r="O18" s="1"/>
      <c r="P18" s="1"/>
      <c r="Q18" s="1"/>
      <c r="R18" s="1"/>
      <c r="S18" s="11"/>
      <c r="T18" s="1"/>
      <c r="U18" s="1"/>
      <c r="V18" s="1"/>
      <c r="W18" s="1"/>
      <c r="X18" s="1"/>
      <c r="Y18" s="1"/>
      <c r="Z18" s="1"/>
    </row>
    <row r="19" spans="1:26" x14ac:dyDescent="0.4">
      <c r="A19" t="s">
        <v>40</v>
      </c>
      <c r="B19" s="10">
        <v>16</v>
      </c>
      <c r="C19" s="1" t="s">
        <v>7</v>
      </c>
      <c r="D19" s="1" t="s">
        <v>18</v>
      </c>
      <c r="E19" s="1"/>
      <c r="F19" s="1"/>
      <c r="G19" s="2">
        <v>2487000</v>
      </c>
      <c r="H19" s="2">
        <v>37891</v>
      </c>
      <c r="I19" s="2">
        <f t="shared" si="0"/>
        <v>2524891</v>
      </c>
      <c r="J19" s="2"/>
      <c r="K19" s="2">
        <v>2955000</v>
      </c>
      <c r="L19" s="3">
        <f t="shared" si="1"/>
        <v>430109</v>
      </c>
      <c r="M19" s="9">
        <f t="shared" si="2"/>
        <v>0.14555296108291033</v>
      </c>
      <c r="O19" s="2">
        <v>2487000</v>
      </c>
      <c r="P19" s="2">
        <v>2416300</v>
      </c>
      <c r="Q19" s="2">
        <v>2080000</v>
      </c>
      <c r="R19" s="2">
        <v>2800000</v>
      </c>
      <c r="S19" s="15">
        <v>45853</v>
      </c>
      <c r="T19" s="1"/>
      <c r="U19" s="2">
        <f>P19-K19</f>
        <v>-538700</v>
      </c>
      <c r="V19" s="1"/>
      <c r="W19" s="14" t="s">
        <v>25</v>
      </c>
      <c r="X19" s="14" t="s">
        <v>27</v>
      </c>
      <c r="Y19" s="1"/>
      <c r="Z19" s="1"/>
    </row>
    <row r="20" spans="1:26" x14ac:dyDescent="0.4">
      <c r="B20" s="10">
        <v>17</v>
      </c>
      <c r="C20" s="1" t="s">
        <v>4</v>
      </c>
      <c r="D20" s="1"/>
      <c r="E20" s="1"/>
      <c r="F20" s="1"/>
      <c r="G20" s="2">
        <v>681000</v>
      </c>
      <c r="H20" s="2">
        <v>68833</v>
      </c>
      <c r="I20" s="2">
        <f t="shared" si="0"/>
        <v>749833</v>
      </c>
      <c r="J20" s="2"/>
      <c r="K20" s="2">
        <v>865000</v>
      </c>
      <c r="L20" s="3">
        <f t="shared" si="1"/>
        <v>115167</v>
      </c>
      <c r="M20" s="9">
        <f t="shared" si="2"/>
        <v>0.13314104046242775</v>
      </c>
      <c r="O20" s="2"/>
      <c r="P20" s="1"/>
      <c r="Q20" s="1"/>
      <c r="R20" s="1"/>
      <c r="S20" s="11"/>
      <c r="T20" s="1"/>
      <c r="U20" s="1"/>
      <c r="V20" s="1"/>
      <c r="W20" s="1"/>
      <c r="X20" s="1"/>
      <c r="Y20" s="1"/>
      <c r="Z20" s="1"/>
    </row>
    <row r="21" spans="1:26" x14ac:dyDescent="0.4">
      <c r="B21" s="10">
        <v>18</v>
      </c>
      <c r="C21" s="1" t="s">
        <v>8</v>
      </c>
      <c r="D21" t="s">
        <v>30</v>
      </c>
      <c r="F21" s="1"/>
      <c r="G21" s="2">
        <v>7379975</v>
      </c>
      <c r="H21" s="2">
        <v>0</v>
      </c>
      <c r="I21" s="2">
        <f t="shared" si="0"/>
        <v>7379975</v>
      </c>
      <c r="J21" s="2"/>
      <c r="K21" s="2">
        <v>9090000</v>
      </c>
      <c r="L21" s="3">
        <f t="shared" si="1"/>
        <v>1710025</v>
      </c>
      <c r="M21" s="9">
        <f t="shared" si="2"/>
        <v>0.18812156215621562</v>
      </c>
      <c r="O21" s="2">
        <v>7350000</v>
      </c>
      <c r="P21" s="2">
        <v>7169000</v>
      </c>
      <c r="Q21" s="2">
        <v>6450000</v>
      </c>
      <c r="R21" s="2">
        <v>7960000</v>
      </c>
      <c r="S21" s="15">
        <v>45853</v>
      </c>
      <c r="T21" s="1"/>
      <c r="U21" s="2">
        <f>P21-K21</f>
        <v>-1921000</v>
      </c>
      <c r="V21" s="1"/>
      <c r="W21" s="1" t="s">
        <v>33</v>
      </c>
      <c r="X21" s="14" t="s">
        <v>31</v>
      </c>
      <c r="Y21" s="1"/>
      <c r="Z21" s="1"/>
    </row>
    <row r="22" spans="1:26" x14ac:dyDescent="0.4">
      <c r="B22" s="10">
        <v>19</v>
      </c>
      <c r="C22" s="1" t="s">
        <v>4</v>
      </c>
      <c r="D22" s="1"/>
      <c r="E22" s="1"/>
      <c r="F22" s="1"/>
      <c r="G22" s="2">
        <v>1155870</v>
      </c>
      <c r="H22" s="2">
        <v>110000</v>
      </c>
      <c r="I22" s="2">
        <f t="shared" si="0"/>
        <v>1265870</v>
      </c>
      <c r="J22" s="2"/>
      <c r="K22" s="2">
        <v>1375000</v>
      </c>
      <c r="L22" s="3">
        <f t="shared" si="1"/>
        <v>109130</v>
      </c>
      <c r="M22" s="9">
        <f t="shared" si="2"/>
        <v>7.9367272727272731E-2</v>
      </c>
      <c r="O22" s="1"/>
      <c r="P22" s="1"/>
      <c r="Q22" s="1"/>
      <c r="R22" s="1"/>
      <c r="S22" s="11"/>
      <c r="T22" s="1"/>
      <c r="U22" s="1"/>
      <c r="V22" s="1"/>
      <c r="W22" s="1"/>
      <c r="X22" s="1"/>
      <c r="Y22" s="1"/>
      <c r="Z22" s="1"/>
    </row>
    <row r="23" spans="1:26" x14ac:dyDescent="0.4">
      <c r="B23" s="10">
        <v>20</v>
      </c>
      <c r="C23" s="1" t="s">
        <v>4</v>
      </c>
      <c r="D23" s="1"/>
      <c r="E23" s="1"/>
      <c r="F23" s="1"/>
      <c r="G23" s="2">
        <v>615000</v>
      </c>
      <c r="H23" s="2">
        <v>81691</v>
      </c>
      <c r="I23" s="2">
        <f t="shared" si="0"/>
        <v>696691</v>
      </c>
      <c r="J23" s="2"/>
      <c r="K23" s="2">
        <v>780000</v>
      </c>
      <c r="L23" s="3">
        <f t="shared" si="1"/>
        <v>83309</v>
      </c>
      <c r="M23" s="9">
        <f t="shared" si="2"/>
        <v>0.10680641025641026</v>
      </c>
      <c r="O23" s="1"/>
      <c r="P23" s="1"/>
      <c r="Q23" s="1"/>
      <c r="R23" s="1"/>
      <c r="S23" s="11"/>
      <c r="T23" s="1"/>
      <c r="U23" s="1"/>
      <c r="V23" s="1"/>
      <c r="W23" s="1"/>
      <c r="X23" s="1"/>
      <c r="Y23" s="1"/>
      <c r="Z23" s="1"/>
    </row>
    <row r="24" spans="1:26" x14ac:dyDescent="0.4">
      <c r="B24" s="10">
        <v>21</v>
      </c>
      <c r="C24" s="1" t="s">
        <v>4</v>
      </c>
      <c r="D24" s="1"/>
      <c r="E24" s="1"/>
      <c r="F24" s="1"/>
      <c r="G24" s="2">
        <v>1038299</v>
      </c>
      <c r="H24" s="2">
        <v>187932</v>
      </c>
      <c r="I24" s="2">
        <f t="shared" si="0"/>
        <v>1226231</v>
      </c>
      <c r="J24" s="2"/>
      <c r="K24" s="2">
        <v>1300000</v>
      </c>
      <c r="L24" s="3">
        <f t="shared" si="1"/>
        <v>73769</v>
      </c>
      <c r="M24" s="9">
        <f t="shared" si="2"/>
        <v>5.6745384615384614E-2</v>
      </c>
      <c r="O24" s="1"/>
      <c r="P24" s="1"/>
      <c r="Q24" s="1"/>
      <c r="R24" s="1"/>
      <c r="S24" s="11"/>
      <c r="T24" s="1"/>
      <c r="U24" s="1"/>
      <c r="V24" s="1"/>
      <c r="W24" s="1"/>
      <c r="X24" s="1"/>
      <c r="Y24" s="1"/>
      <c r="Z24" s="1"/>
    </row>
    <row r="25" spans="1:26" x14ac:dyDescent="0.4">
      <c r="B25" s="10">
        <v>22</v>
      </c>
      <c r="C25" s="1" t="s">
        <v>4</v>
      </c>
      <c r="D25" s="1"/>
      <c r="E25" s="1"/>
      <c r="F25" s="1"/>
      <c r="G25" s="2">
        <v>993017</v>
      </c>
      <c r="H25" s="2">
        <v>155000</v>
      </c>
      <c r="I25" s="2">
        <f t="shared" si="0"/>
        <v>1148017</v>
      </c>
      <c r="J25" s="2"/>
      <c r="K25" s="2">
        <v>1300000</v>
      </c>
      <c r="L25" s="3">
        <f t="shared" si="1"/>
        <v>151983</v>
      </c>
      <c r="M25" s="9">
        <f t="shared" si="2"/>
        <v>0.11691</v>
      </c>
      <c r="O25" s="1"/>
      <c r="P25" s="1"/>
      <c r="Q25" s="1"/>
      <c r="R25" s="1"/>
      <c r="S25" s="11"/>
      <c r="T25" s="1"/>
      <c r="U25" s="1"/>
      <c r="V25" s="1"/>
      <c r="W25" s="1"/>
      <c r="X25" s="1"/>
      <c r="Y25" s="1"/>
      <c r="Z25" s="1"/>
    </row>
    <row r="26" spans="1:26" x14ac:dyDescent="0.4">
      <c r="B26" s="10">
        <v>23</v>
      </c>
      <c r="C26" s="1" t="s">
        <v>4</v>
      </c>
      <c r="D26" s="1"/>
      <c r="E26" s="1"/>
      <c r="F26" s="1"/>
      <c r="G26" s="2">
        <v>453542</v>
      </c>
      <c r="H26" s="2">
        <v>70000</v>
      </c>
      <c r="I26" s="2">
        <f t="shared" si="0"/>
        <v>523542</v>
      </c>
      <c r="J26" s="2"/>
      <c r="K26" s="2">
        <v>600000</v>
      </c>
      <c r="L26" s="3">
        <f t="shared" si="1"/>
        <v>76458</v>
      </c>
      <c r="M26" s="9">
        <f t="shared" si="2"/>
        <v>0.12742999999999999</v>
      </c>
      <c r="O26" s="1"/>
      <c r="P26" s="1"/>
      <c r="Q26" s="1"/>
      <c r="R26" s="1"/>
      <c r="S26" s="11"/>
      <c r="T26" s="1"/>
      <c r="U26" s="1"/>
      <c r="V26" s="1"/>
      <c r="W26" s="1"/>
      <c r="X26" s="1"/>
      <c r="Y26" s="1"/>
      <c r="Z26" s="1"/>
    </row>
    <row r="27" spans="1:26" x14ac:dyDescent="0.4">
      <c r="B27" s="10">
        <v>24</v>
      </c>
      <c r="C27" s="1" t="s">
        <v>9</v>
      </c>
      <c r="D27" s="1"/>
      <c r="E27" s="1"/>
      <c r="F27" s="1"/>
      <c r="G27" s="2">
        <v>1604677</v>
      </c>
      <c r="H27" s="2">
        <v>0</v>
      </c>
      <c r="I27" s="2">
        <f t="shared" si="0"/>
        <v>1604677</v>
      </c>
      <c r="J27" s="2"/>
      <c r="K27" s="2">
        <v>1850000</v>
      </c>
      <c r="L27" s="3">
        <f t="shared" si="1"/>
        <v>245323</v>
      </c>
      <c r="M27" s="9">
        <f t="shared" si="2"/>
        <v>0.13260702702702704</v>
      </c>
      <c r="O27" s="1"/>
      <c r="P27" s="1"/>
      <c r="Q27" s="1"/>
      <c r="R27" s="1"/>
      <c r="S27" s="11"/>
      <c r="T27" s="1"/>
      <c r="U27" s="1"/>
      <c r="V27" s="1"/>
      <c r="W27" s="1"/>
      <c r="X27" s="1"/>
      <c r="Y27" s="1"/>
      <c r="Z27" s="1"/>
    </row>
    <row r="28" spans="1:26" x14ac:dyDescent="0.4">
      <c r="C28" s="4" t="s">
        <v>15</v>
      </c>
      <c r="D28" s="4"/>
      <c r="E28" s="4"/>
      <c r="F28" s="4"/>
      <c r="G28" s="5">
        <f>SUM(G4:G27)</f>
        <v>40491775</v>
      </c>
      <c r="H28" s="5">
        <f t="shared" ref="H28:I28" si="3">SUM(H4:H27)</f>
        <v>1747035</v>
      </c>
      <c r="I28" s="5">
        <f t="shared" si="3"/>
        <v>42238810</v>
      </c>
      <c r="J28" s="6"/>
      <c r="K28" s="5">
        <f t="shared" ref="K28" si="4">SUM(K4:K27)</f>
        <v>49236000</v>
      </c>
      <c r="L28" s="5">
        <f t="shared" ref="L28" si="5">SUM(L4:L27)</f>
        <v>6997190</v>
      </c>
      <c r="M28" s="6"/>
      <c r="O28" s="1"/>
      <c r="P28" s="1"/>
      <c r="Q28" s="1"/>
      <c r="R28" s="1"/>
      <c r="S28" s="11"/>
      <c r="T28" s="1"/>
      <c r="U28" s="1"/>
      <c r="V28" s="1"/>
      <c r="W28" s="1"/>
      <c r="X28" s="1"/>
      <c r="Y28" s="1"/>
      <c r="Z28" s="1"/>
    </row>
    <row r="29" spans="1:26" x14ac:dyDescent="0.4">
      <c r="C29" s="4" t="s">
        <v>16</v>
      </c>
      <c r="D29" s="4"/>
      <c r="E29" s="4"/>
      <c r="F29" s="4"/>
      <c r="M29" s="7">
        <f>AVERAGE(M4:M27)</f>
        <v>0.14206773664639138</v>
      </c>
      <c r="O29" s="1"/>
      <c r="P29" s="1"/>
      <c r="Q29" s="1"/>
      <c r="R29" s="1"/>
      <c r="S29" s="11"/>
      <c r="T29" s="1"/>
      <c r="U29" s="1"/>
      <c r="V29" s="1"/>
      <c r="W29" s="1"/>
      <c r="X29" s="1"/>
      <c r="Y29" s="1"/>
      <c r="Z29" s="1"/>
    </row>
    <row r="30" spans="1:26" x14ac:dyDescent="0.4">
      <c r="O30" s="1"/>
      <c r="P30" s="1"/>
      <c r="Q30" s="1"/>
      <c r="R30" s="1"/>
      <c r="S30" s="11"/>
      <c r="T30" s="1"/>
      <c r="U30" s="1"/>
      <c r="V30" s="1"/>
      <c r="W30" s="1"/>
      <c r="X30" s="1"/>
      <c r="Y30" s="1"/>
      <c r="Z30" s="1"/>
    </row>
    <row r="31" spans="1:26" x14ac:dyDescent="0.4">
      <c r="O31" s="1"/>
      <c r="P31" s="1"/>
      <c r="Q31" s="1"/>
      <c r="R31" s="1"/>
      <c r="S31" s="11"/>
      <c r="T31" s="1"/>
      <c r="U31" s="1"/>
      <c r="V31" s="1"/>
      <c r="W31" s="1"/>
      <c r="X31" s="1"/>
      <c r="Y31" s="1"/>
      <c r="Z31" s="1"/>
    </row>
    <row r="32" spans="1:26" x14ac:dyDescent="0.4">
      <c r="O32" s="1"/>
      <c r="P32" s="1"/>
      <c r="Q32" s="1"/>
      <c r="R32" s="1"/>
      <c r="S32" s="11"/>
      <c r="T32" s="1"/>
      <c r="U32" s="1"/>
      <c r="V32" s="1"/>
      <c r="W32" s="1"/>
      <c r="X32" s="1"/>
      <c r="Y32" s="1"/>
      <c r="Z32" s="1"/>
    </row>
    <row r="33" spans="15:26" x14ac:dyDescent="0.4">
      <c r="O33" s="1"/>
      <c r="P33" s="1"/>
      <c r="Q33" s="1"/>
      <c r="R33" s="1"/>
      <c r="S33" s="11"/>
      <c r="T33" s="1"/>
      <c r="U33" s="1"/>
      <c r="V33" s="1"/>
      <c r="W33" s="1"/>
      <c r="X33" s="1"/>
      <c r="Y33" s="1"/>
      <c r="Z33" s="1"/>
    </row>
    <row r="34" spans="15:26" x14ac:dyDescent="0.4">
      <c r="O34" s="1"/>
      <c r="P34" s="1"/>
      <c r="Q34" s="1"/>
      <c r="R34" s="1"/>
      <c r="S34" s="11"/>
      <c r="T34" s="1"/>
      <c r="U34" s="1"/>
      <c r="V34" s="1"/>
      <c r="W34" s="1"/>
      <c r="X34" s="1"/>
      <c r="Y34" s="1"/>
      <c r="Z34" s="1"/>
    </row>
    <row r="35" spans="15:26" x14ac:dyDescent="0.4">
      <c r="O35" s="1"/>
      <c r="P35" s="1"/>
      <c r="Q35" s="1"/>
      <c r="R35" s="1"/>
      <c r="S35" s="11"/>
      <c r="T35" s="1"/>
      <c r="U35" s="1"/>
      <c r="V35" s="1"/>
      <c r="W35" s="1"/>
      <c r="X35" s="1"/>
      <c r="Y35" s="1"/>
      <c r="Z35" s="1"/>
    </row>
  </sheetData>
  <hyperlinks>
    <hyperlink ref="W17" r:id="rId1" xr:uid="{D278CC11-86F0-405C-89C3-3CBE3950C726}"/>
    <hyperlink ref="X19" r:id="rId2" xr:uid="{CE8464E8-DD94-4E15-9707-41994087711B}"/>
    <hyperlink ref="X21" r:id="rId3" xr:uid="{109E7A9A-1017-4F9B-A36E-8C2505992929}"/>
    <hyperlink ref="X15" r:id="rId4" xr:uid="{501E05F6-E6BD-40FB-BA07-D742F82A7ED4}"/>
    <hyperlink ref="W19" r:id="rId5" xr:uid="{93F017BF-9AED-4138-8BB9-FD18FFF287A4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2025-07-16T10:24:37Z</dcterms:modified>
</cp:coreProperties>
</file>