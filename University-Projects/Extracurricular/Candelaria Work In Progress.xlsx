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https://utoronto-my.sharepoint.com/personal/leeric_lee_mail_utoronto_ca/Documents/"/>
    </mc:Choice>
  </mc:AlternateContent>
  <xr:revisionPtr revIDLastSave="0" documentId="8_{C5547A1C-B0ED-443D-819A-1A7EE8D5220B}" xr6:coauthVersionLast="47" xr6:coauthVersionMax="47" xr10:uidLastSave="{00000000-0000-0000-0000-000000000000}"/>
  <bookViews>
    <workbookView xWindow="-110" yWindow="-110" windowWidth="25820" windowHeight="15500" firstSheet="1" activeTab="1" xr2:uid="{381DB5ED-62F2-48E6-AA56-552CD16E1E2A}"/>
  </bookViews>
  <sheets>
    <sheet name="Candelaria Inputs" sheetId="1" r:id="rId1"/>
    <sheet name="Candelaria Opmod V2Clean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2" i="2" l="1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AE376" i="2"/>
  <c r="AC376" i="2"/>
  <c r="AB376" i="2"/>
  <c r="AA376" i="2"/>
  <c r="Y376" i="2"/>
  <c r="U376" i="2"/>
  <c r="Q376" i="2"/>
  <c r="P376" i="2"/>
  <c r="N376" i="2"/>
  <c r="I376" i="2"/>
  <c r="AF371" i="2"/>
  <c r="AF376" i="2" s="1"/>
  <c r="AE371" i="2"/>
  <c r="AD371" i="2"/>
  <c r="AD376" i="2" s="1"/>
  <c r="AC371" i="2"/>
  <c r="AB371" i="2"/>
  <c r="AA371" i="2"/>
  <c r="Z371" i="2"/>
  <c r="Z376" i="2" s="1"/>
  <c r="Y371" i="2"/>
  <c r="X371" i="2"/>
  <c r="X376" i="2" s="1"/>
  <c r="W371" i="2"/>
  <c r="W376" i="2" s="1"/>
  <c r="V371" i="2"/>
  <c r="V376" i="2" s="1"/>
  <c r="U371" i="2"/>
  <c r="T371" i="2"/>
  <c r="T376" i="2" s="1"/>
  <c r="S371" i="2"/>
  <c r="S376" i="2" s="1"/>
  <c r="R371" i="2"/>
  <c r="R376" i="2" s="1"/>
  <c r="Q371" i="2"/>
  <c r="P371" i="2"/>
  <c r="O371" i="2"/>
  <c r="O376" i="2" s="1"/>
  <c r="N371" i="2"/>
  <c r="M371" i="2"/>
  <c r="M376" i="2" s="1"/>
  <c r="L371" i="2"/>
  <c r="L376" i="2" s="1"/>
  <c r="K371" i="2"/>
  <c r="K376" i="2" s="1"/>
  <c r="J371" i="2"/>
  <c r="I371" i="2"/>
  <c r="V368" i="2"/>
  <c r="V375" i="2" s="1"/>
  <c r="T368" i="2"/>
  <c r="T375" i="2" s="1"/>
  <c r="AF367" i="2"/>
  <c r="AC367" i="2"/>
  <c r="R367" i="2"/>
  <c r="N367" i="2"/>
  <c r="AB366" i="2"/>
  <c r="L366" i="2"/>
  <c r="K366" i="2"/>
  <c r="AB365" i="2"/>
  <c r="Q365" i="2"/>
  <c r="L365" i="2"/>
  <c r="AE364" i="2"/>
  <c r="AD364" i="2"/>
  <c r="AC364" i="2"/>
  <c r="AC368" i="2" s="1"/>
  <c r="AC375" i="2" s="1"/>
  <c r="AB364" i="2"/>
  <c r="AB368" i="2" s="1"/>
  <c r="AB375" i="2" s="1"/>
  <c r="S364" i="2"/>
  <c r="N364" i="2"/>
  <c r="N368" i="2" s="1"/>
  <c r="N375" i="2" s="1"/>
  <c r="K364" i="2"/>
  <c r="K368" i="2" s="1"/>
  <c r="K375" i="2" s="1"/>
  <c r="R360" i="2"/>
  <c r="L360" i="2"/>
  <c r="Z359" i="2"/>
  <c r="M359" i="2"/>
  <c r="AA358" i="2"/>
  <c r="V358" i="2"/>
  <c r="U358" i="2"/>
  <c r="T358" i="2"/>
  <c r="M358" i="2"/>
  <c r="I358" i="2"/>
  <c r="AE357" i="2"/>
  <c r="AD357" i="2"/>
  <c r="Z357" i="2"/>
  <c r="Y357" i="2"/>
  <c r="R357" i="2"/>
  <c r="AE356" i="2"/>
  <c r="V356" i="2"/>
  <c r="Q356" i="2"/>
  <c r="J356" i="2"/>
  <c r="I356" i="2"/>
  <c r="AA355" i="2"/>
  <c r="Z355" i="2"/>
  <c r="Y355" i="2"/>
  <c r="X355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AC317" i="2"/>
  <c r="X317" i="2"/>
  <c r="U317" i="2"/>
  <c r="T317" i="2"/>
  <c r="O317" i="2"/>
  <c r="N317" i="2"/>
  <c r="L317" i="2"/>
  <c r="AC316" i="2"/>
  <c r="AB316" i="2"/>
  <c r="AA315" i="2"/>
  <c r="W315" i="2"/>
  <c r="S315" i="2"/>
  <c r="R315" i="2"/>
  <c r="Q315" i="2"/>
  <c r="O315" i="2"/>
  <c r="U314" i="2"/>
  <c r="T314" i="2"/>
  <c r="R314" i="2"/>
  <c r="Q314" i="2"/>
  <c r="O314" i="2"/>
  <c r="AF313" i="2"/>
  <c r="S313" i="2"/>
  <c r="R313" i="2"/>
  <c r="R318" i="2" s="1"/>
  <c r="R321" i="2" s="1"/>
  <c r="O313" i="2"/>
  <c r="O318" i="2" s="1"/>
  <c r="O321" i="2" s="1"/>
  <c r="M313" i="2"/>
  <c r="M318" i="2" s="1"/>
  <c r="M321" i="2" s="1"/>
  <c r="K313" i="2"/>
  <c r="V310" i="2"/>
  <c r="AB309" i="2"/>
  <c r="V309" i="2"/>
  <c r="V311" i="2" s="1"/>
  <c r="V320" i="2" s="1"/>
  <c r="V322" i="2" s="1"/>
  <c r="V326" i="2" s="1"/>
  <c r="S309" i="2"/>
  <c r="K309" i="2"/>
  <c r="AB302" i="2"/>
  <c r="AB305" i="2" s="1"/>
  <c r="Z302" i="2"/>
  <c r="Z305" i="2" s="1"/>
  <c r="X302" i="2"/>
  <c r="X305" i="2" s="1"/>
  <c r="V302" i="2"/>
  <c r="V305" i="2" s="1"/>
  <c r="U302" i="2"/>
  <c r="U305" i="2" s="1"/>
  <c r="AD301" i="2"/>
  <c r="AC301" i="2"/>
  <c r="Y301" i="2"/>
  <c r="M301" i="2"/>
  <c r="AC300" i="2"/>
  <c r="X300" i="2"/>
  <c r="S300" i="2"/>
  <c r="N300" i="2"/>
  <c r="K300" i="2"/>
  <c r="AE299" i="2"/>
  <c r="Y299" i="2"/>
  <c r="AD298" i="2"/>
  <c r="AC298" i="2"/>
  <c r="AB298" i="2"/>
  <c r="Z298" i="2"/>
  <c r="Y298" i="2"/>
  <c r="U298" i="2"/>
  <c r="S298" i="2"/>
  <c r="P298" i="2"/>
  <c r="AE297" i="2"/>
  <c r="AA297" i="2"/>
  <c r="W297" i="2"/>
  <c r="T297" i="2"/>
  <c r="T302" i="2" s="1"/>
  <c r="T305" i="2" s="1"/>
  <c r="O297" i="2"/>
  <c r="AF294" i="2"/>
  <c r="AE294" i="2"/>
  <c r="AA294" i="2"/>
  <c r="Y294" i="2"/>
  <c r="Z293" i="2"/>
  <c r="K293" i="2"/>
  <c r="P292" i="2"/>
  <c r="M292" i="2"/>
  <c r="L292" i="2"/>
  <c r="AE291" i="2"/>
  <c r="AD291" i="2"/>
  <c r="Z291" i="2"/>
  <c r="W290" i="2"/>
  <c r="Y279" i="2"/>
  <c r="Y276" i="2"/>
  <c r="Z275" i="2"/>
  <c r="X275" i="2"/>
  <c r="W275" i="2"/>
  <c r="V275" i="2"/>
  <c r="U275" i="2"/>
  <c r="S275" i="2"/>
  <c r="O275" i="2"/>
  <c r="Z274" i="2"/>
  <c r="X274" i="2"/>
  <c r="V274" i="2"/>
  <c r="U274" i="2"/>
  <c r="Q274" i="2"/>
  <c r="AA273" i="2"/>
  <c r="W273" i="2"/>
  <c r="U273" i="2"/>
  <c r="S273" i="2"/>
  <c r="K273" i="2"/>
  <c r="I273" i="2"/>
  <c r="AB272" i="2"/>
  <c r="X272" i="2"/>
  <c r="W272" i="2"/>
  <c r="W276" i="2" s="1"/>
  <c r="W279" i="2" s="1"/>
  <c r="V272" i="2"/>
  <c r="R272" i="2"/>
  <c r="R276" i="2" s="1"/>
  <c r="R279" i="2" s="1"/>
  <c r="Q272" i="2"/>
  <c r="Q276" i="2" s="1"/>
  <c r="Q279" i="2" s="1"/>
  <c r="N272" i="2"/>
  <c r="K272" i="2"/>
  <c r="I272" i="2"/>
  <c r="R271" i="2"/>
  <c r="Q271" i="2"/>
  <c r="Y269" i="2"/>
  <c r="V269" i="2"/>
  <c r="T269" i="2"/>
  <c r="S269" i="2"/>
  <c r="P269" i="2"/>
  <c r="N269" i="2"/>
  <c r="M269" i="2"/>
  <c r="W261" i="2"/>
  <c r="P261" i="2"/>
  <c r="AC260" i="2"/>
  <c r="Y260" i="2"/>
  <c r="X260" i="2"/>
  <c r="U260" i="2"/>
  <c r="Q260" i="2"/>
  <c r="AB259" i="2"/>
  <c r="Z259" i="2"/>
  <c r="W259" i="2"/>
  <c r="U259" i="2"/>
  <c r="P259" i="2"/>
  <c r="M259" i="2"/>
  <c r="J259" i="2"/>
  <c r="AE258" i="2"/>
  <c r="T258" i="2"/>
  <c r="AB257" i="2"/>
  <c r="W257" i="2"/>
  <c r="U257" i="2"/>
  <c r="L257" i="2"/>
  <c r="AD247" i="2"/>
  <c r="Y247" i="2"/>
  <c r="Q247" i="2"/>
  <c r="M247" i="2"/>
  <c r="K247" i="2"/>
  <c r="W241" i="2"/>
  <c r="AF238" i="2"/>
  <c r="AD238" i="2"/>
  <c r="AA238" i="2"/>
  <c r="U238" i="2"/>
  <c r="R238" i="2"/>
  <c r="M238" i="2"/>
  <c r="AE237" i="2"/>
  <c r="AC237" i="2"/>
  <c r="Y237" i="2"/>
  <c r="X237" i="2"/>
  <c r="S237" i="2"/>
  <c r="Q237" i="2"/>
  <c r="V236" i="2"/>
  <c r="Q236" i="2"/>
  <c r="M236" i="2"/>
  <c r="AD234" i="2"/>
  <c r="AC234" i="2"/>
  <c r="Z234" i="2"/>
  <c r="Y234" i="2"/>
  <c r="V234" i="2"/>
  <c r="V239" i="2" s="1"/>
  <c r="V242" i="2" s="1"/>
  <c r="U234" i="2"/>
  <c r="Y231" i="2"/>
  <c r="W231" i="2"/>
  <c r="Q231" i="2"/>
  <c r="O231" i="2"/>
  <c r="AA230" i="2"/>
  <c r="W230" i="2"/>
  <c r="W232" i="2" s="1"/>
  <c r="V230" i="2"/>
  <c r="U230" i="2"/>
  <c r="N230" i="2"/>
  <c r="AC225" i="2"/>
  <c r="Z225" i="2"/>
  <c r="S223" i="2"/>
  <c r="S226" i="2" s="1"/>
  <c r="AE222" i="2"/>
  <c r="AB222" i="2"/>
  <c r="S222" i="2"/>
  <c r="R222" i="2"/>
  <c r="M222" i="2"/>
  <c r="K222" i="2"/>
  <c r="I222" i="2"/>
  <c r="AE221" i="2"/>
  <c r="AD221" i="2"/>
  <c r="AA221" i="2"/>
  <c r="S221" i="2"/>
  <c r="J221" i="2"/>
  <c r="Y220" i="2"/>
  <c r="U220" i="2"/>
  <c r="S220" i="2"/>
  <c r="P220" i="2"/>
  <c r="N220" i="2"/>
  <c r="AE219" i="2"/>
  <c r="W219" i="2"/>
  <c r="Q219" i="2"/>
  <c r="P219" i="2"/>
  <c r="J219" i="2"/>
  <c r="I219" i="2"/>
  <c r="AA218" i="2"/>
  <c r="Z218" i="2"/>
  <c r="V218" i="2"/>
  <c r="V223" i="2" s="1"/>
  <c r="V226" i="2" s="1"/>
  <c r="K218" i="2"/>
  <c r="AC216" i="2"/>
  <c r="Z216" i="2"/>
  <c r="L216" i="2"/>
  <c r="L225" i="2" s="1"/>
  <c r="AC213" i="2"/>
  <c r="Z213" i="2"/>
  <c r="Y213" i="2"/>
  <c r="W213" i="2"/>
  <c r="S213" i="2"/>
  <c r="L213" i="2"/>
  <c r="K213" i="2"/>
  <c r="AF209" i="2"/>
  <c r="U206" i="2"/>
  <c r="U209" i="2" s="1"/>
  <c r="S206" i="2"/>
  <c r="S209" i="2" s="1"/>
  <c r="AF205" i="2"/>
  <c r="AE205" i="2"/>
  <c r="Z205" i="2"/>
  <c r="U205" i="2"/>
  <c r="T205" i="2"/>
  <c r="R205" i="2"/>
  <c r="P205" i="2"/>
  <c r="J205" i="2"/>
  <c r="AA204" i="2"/>
  <c r="M204" i="2"/>
  <c r="AA203" i="2"/>
  <c r="Y203" i="2"/>
  <c r="V203" i="2"/>
  <c r="V206" i="2" s="1"/>
  <c r="V209" i="2" s="1"/>
  <c r="Q203" i="2"/>
  <c r="P203" i="2"/>
  <c r="K203" i="2"/>
  <c r="X202" i="2"/>
  <c r="W202" i="2"/>
  <c r="W206" i="2" s="1"/>
  <c r="W209" i="2" s="1"/>
  <c r="T202" i="2"/>
  <c r="X201" i="2"/>
  <c r="AC198" i="2"/>
  <c r="AA197" i="2"/>
  <c r="P197" i="2"/>
  <c r="W196" i="2"/>
  <c r="V196" i="2"/>
  <c r="P196" i="2"/>
  <c r="N196" i="2"/>
  <c r="AB195" i="2"/>
  <c r="W195" i="2"/>
  <c r="V195" i="2"/>
  <c r="U195" i="2"/>
  <c r="AF194" i="2"/>
  <c r="AA194" i="2"/>
  <c r="Z194" i="2"/>
  <c r="T194" i="2"/>
  <c r="R194" i="2"/>
  <c r="I194" i="2"/>
  <c r="Y193" i="2"/>
  <c r="U193" i="2"/>
  <c r="S193" i="2"/>
  <c r="P193" i="2"/>
  <c r="K193" i="2"/>
  <c r="I169" i="2"/>
  <c r="I168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AE161" i="2"/>
  <c r="N161" i="2"/>
  <c r="M161" i="2"/>
  <c r="L161" i="2"/>
  <c r="J161" i="2"/>
  <c r="I161" i="2"/>
  <c r="AE156" i="2"/>
  <c r="AD156" i="2"/>
  <c r="AC154" i="2"/>
  <c r="V154" i="2"/>
  <c r="Q154" i="2"/>
  <c r="L154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U147" i="2"/>
  <c r="S147" i="2"/>
  <c r="R147" i="2"/>
  <c r="P147" i="2"/>
  <c r="O147" i="2"/>
  <c r="K147" i="2"/>
  <c r="AF145" i="2"/>
  <c r="AA145" i="2"/>
  <c r="X145" i="2"/>
  <c r="P145" i="2"/>
  <c r="M145" i="2"/>
  <c r="W140" i="2"/>
  <c r="V140" i="2"/>
  <c r="U140" i="2"/>
  <c r="R140" i="2"/>
  <c r="Q140" i="2"/>
  <c r="P140" i="2"/>
  <c r="M140" i="2"/>
  <c r="AE138" i="2"/>
  <c r="AA138" i="2"/>
  <c r="Y138" i="2"/>
  <c r="X138" i="2"/>
  <c r="W138" i="2"/>
  <c r="V138" i="2"/>
  <c r="T138" i="2"/>
  <c r="AA137" i="2"/>
  <c r="W137" i="2"/>
  <c r="V137" i="2"/>
  <c r="T137" i="2"/>
  <c r="S137" i="2"/>
  <c r="R137" i="2"/>
  <c r="Q137" i="2"/>
  <c r="P137" i="2"/>
  <c r="N137" i="2"/>
  <c r="M13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AE114" i="2"/>
  <c r="X114" i="2"/>
  <c r="W114" i="2"/>
  <c r="S114" i="2"/>
  <c r="P114" i="2"/>
  <c r="M114" i="2"/>
  <c r="L114" i="2"/>
  <c r="J114" i="2"/>
  <c r="I114" i="2"/>
  <c r="AF113" i="2"/>
  <c r="AE113" i="2"/>
  <c r="AC113" i="2"/>
  <c r="AB113" i="2"/>
  <c r="P113" i="2"/>
  <c r="O113" i="2"/>
  <c r="K113" i="2"/>
  <c r="J113" i="2"/>
  <c r="AC112" i="2"/>
  <c r="Z112" i="2"/>
  <c r="U112" i="2"/>
  <c r="T112" i="2"/>
  <c r="R112" i="2"/>
  <c r="P112" i="2"/>
  <c r="O112" i="2"/>
  <c r="AD109" i="2"/>
  <c r="V109" i="2"/>
  <c r="V117" i="2" s="1"/>
  <c r="U109" i="2"/>
  <c r="U117" i="2" s="1"/>
  <c r="T109" i="2"/>
  <c r="T117" i="2" s="1"/>
  <c r="AE107" i="2"/>
  <c r="AD107" i="2"/>
  <c r="AB107" i="2"/>
  <c r="AA107" i="2"/>
  <c r="AA110" i="2" s="1"/>
  <c r="AA118" i="2" s="1"/>
  <c r="Z107" i="2"/>
  <c r="U107" i="2"/>
  <c r="P107" i="2"/>
  <c r="N107" i="2"/>
  <c r="I107" i="2"/>
  <c r="AC106" i="2"/>
  <c r="R106" i="2"/>
  <c r="O106" i="2"/>
  <c r="K106" i="2"/>
  <c r="J106" i="2"/>
  <c r="J109" i="2" s="1"/>
  <c r="J117" i="2" s="1"/>
  <c r="I106" i="2"/>
  <c r="AC105" i="2"/>
  <c r="M105" i="2"/>
  <c r="Y104" i="2"/>
  <c r="X104" i="2"/>
  <c r="W104" i="2"/>
  <c r="Q104" i="2"/>
  <c r="O104" i="2"/>
  <c r="M104" i="2"/>
  <c r="AE97" i="2"/>
  <c r="AA97" i="2"/>
  <c r="Z97" i="2"/>
  <c r="Y97" i="2"/>
  <c r="X97" i="2"/>
  <c r="W97" i="2"/>
  <c r="V97" i="2"/>
  <c r="S97" i="2"/>
  <c r="O97" i="2"/>
  <c r="M97" i="2"/>
  <c r="I97" i="2"/>
  <c r="AF96" i="2"/>
  <c r="AC96" i="2"/>
  <c r="AB96" i="2"/>
  <c r="X96" i="2"/>
  <c r="W96" i="2"/>
  <c r="P96" i="2"/>
  <c r="J96" i="2"/>
  <c r="AF95" i="2"/>
  <c r="AD95" i="2"/>
  <c r="AB95" i="2"/>
  <c r="AA95" i="2"/>
  <c r="Y95" i="2"/>
  <c r="X95" i="2"/>
  <c r="U95" i="2"/>
  <c r="J95" i="2"/>
  <c r="AA74" i="2"/>
  <c r="P74" i="2"/>
  <c r="Y73" i="2"/>
  <c r="V73" i="2"/>
  <c r="R73" i="2"/>
  <c r="Q73" i="2"/>
  <c r="O73" i="2"/>
  <c r="AC72" i="2"/>
  <c r="L72" i="2"/>
  <c r="J72" i="2"/>
  <c r="AF71" i="2"/>
  <c r="AF422" i="2" s="1"/>
  <c r="AC71" i="2"/>
  <c r="AC422" i="2" s="1"/>
  <c r="AA71" i="2"/>
  <c r="AA422" i="2" s="1"/>
  <c r="K71" i="2"/>
  <c r="K422" i="2" s="1"/>
  <c r="AA62" i="2"/>
  <c r="W62" i="2"/>
  <c r="W107" i="2" s="1"/>
  <c r="T62" i="2"/>
  <c r="T107" i="2" s="1"/>
  <c r="O62" i="2"/>
  <c r="O107" i="2" s="1"/>
  <c r="AE61" i="2"/>
  <c r="AE106" i="2" s="1"/>
  <c r="AB61" i="2"/>
  <c r="AB106" i="2" s="1"/>
  <c r="AA61" i="2"/>
  <c r="AA106" i="2" s="1"/>
  <c r="Z61" i="2"/>
  <c r="Z106" i="2" s="1"/>
  <c r="Y61" i="2"/>
  <c r="Y106" i="2" s="1"/>
  <c r="Y109" i="2" s="1"/>
  <c r="Y117" i="2" s="1"/>
  <c r="X61" i="2"/>
  <c r="X106" i="2" s="1"/>
  <c r="W61" i="2"/>
  <c r="W106" i="2" s="1"/>
  <c r="R61" i="2"/>
  <c r="AD60" i="2"/>
  <c r="AD105" i="2" s="1"/>
  <c r="Z60" i="2"/>
  <c r="Z105" i="2" s="1"/>
  <c r="Y60" i="2"/>
  <c r="Y105" i="2" s="1"/>
  <c r="X60" i="2"/>
  <c r="X105" i="2" s="1"/>
  <c r="W60" i="2"/>
  <c r="W105" i="2" s="1"/>
  <c r="V60" i="2"/>
  <c r="V105" i="2" s="1"/>
  <c r="U60" i="2"/>
  <c r="U105" i="2" s="1"/>
  <c r="S60" i="2"/>
  <c r="S105" i="2" s="1"/>
  <c r="R60" i="2"/>
  <c r="R105" i="2" s="1"/>
  <c r="Q60" i="2"/>
  <c r="Q105" i="2" s="1"/>
  <c r="P60" i="2"/>
  <c r="P105" i="2" s="1"/>
  <c r="M60" i="2"/>
  <c r="AF59" i="2"/>
  <c r="AF104" i="2" s="1"/>
  <c r="AD59" i="2"/>
  <c r="AD104" i="2" s="1"/>
  <c r="Y59" i="2"/>
  <c r="W59" i="2"/>
  <c r="V59" i="2"/>
  <c r="V104" i="2" s="1"/>
  <c r="V231" i="2" s="1"/>
  <c r="T59" i="2"/>
  <c r="T104" i="2" s="1"/>
  <c r="S59" i="2"/>
  <c r="S104" i="2" s="1"/>
  <c r="I59" i="2"/>
  <c r="AC56" i="2"/>
  <c r="AB56" i="2"/>
  <c r="Y56" i="2"/>
  <c r="X56" i="2"/>
  <c r="M56" i="2"/>
  <c r="L56" i="2"/>
  <c r="AF55" i="2"/>
  <c r="AB55" i="2"/>
  <c r="AA55" i="2"/>
  <c r="M55" i="2"/>
  <c r="I55" i="2"/>
  <c r="AD54" i="2"/>
  <c r="AC54" i="2"/>
  <c r="AB54" i="2"/>
  <c r="Y54" i="2"/>
  <c r="X54" i="2"/>
  <c r="W54" i="2"/>
  <c r="S54" i="2"/>
  <c r="O54" i="2"/>
  <c r="N54" i="2"/>
  <c r="I54" i="2"/>
  <c r="AB53" i="2"/>
  <c r="AB294" i="2" s="1"/>
  <c r="AA53" i="2"/>
  <c r="U53" i="2"/>
  <c r="U294" i="2" s="1"/>
  <c r="R53" i="2"/>
  <c r="R294" i="2" s="1"/>
  <c r="M53" i="2"/>
  <c r="M294" i="2" s="1"/>
  <c r="I53" i="2"/>
  <c r="AE50" i="2"/>
  <c r="AD50" i="2"/>
  <c r="AA50" i="2"/>
  <c r="V50" i="2"/>
  <c r="Q50" i="2"/>
  <c r="O50" i="2"/>
  <c r="L50" i="2"/>
  <c r="AF49" i="2"/>
  <c r="AD49" i="2"/>
  <c r="Z49" i="2"/>
  <c r="U49" i="2"/>
  <c r="Q49" i="2"/>
  <c r="O49" i="2"/>
  <c r="L49" i="2"/>
  <c r="K49" i="2"/>
  <c r="AD48" i="2"/>
  <c r="U48" i="2"/>
  <c r="T48" i="2"/>
  <c r="S48" i="2"/>
  <c r="R48" i="2"/>
  <c r="O48" i="2"/>
  <c r="N48" i="2"/>
  <c r="M48" i="2"/>
  <c r="I48" i="2"/>
  <c r="AE47" i="2"/>
  <c r="AD47" i="2"/>
  <c r="AC47" i="2"/>
  <c r="AA47" i="2"/>
  <c r="AA309" i="2" s="1"/>
  <c r="W47" i="2"/>
  <c r="W309" i="2" s="1"/>
  <c r="U47" i="2"/>
  <c r="U309" i="2" s="1"/>
  <c r="P47" i="2"/>
  <c r="M47" i="2"/>
  <c r="L47" i="2"/>
  <c r="K47" i="2"/>
  <c r="K230" i="2" s="1"/>
  <c r="J47" i="2"/>
  <c r="I47" i="2"/>
  <c r="AE44" i="2"/>
  <c r="AD44" i="2"/>
  <c r="AC44" i="2"/>
  <c r="U44" i="2"/>
  <c r="S44" i="2"/>
  <c r="O44" i="2"/>
  <c r="M44" i="2"/>
  <c r="L44" i="2"/>
  <c r="K44" i="2"/>
  <c r="I44" i="2"/>
  <c r="AE43" i="2"/>
  <c r="AD43" i="2"/>
  <c r="S43" i="2"/>
  <c r="Q43" i="2"/>
  <c r="N43" i="2"/>
  <c r="M43" i="2"/>
  <c r="I43" i="2"/>
  <c r="AE42" i="2"/>
  <c r="AD42" i="2"/>
  <c r="AA42" i="2"/>
  <c r="Y42" i="2"/>
  <c r="W42" i="2"/>
  <c r="S42" i="2"/>
  <c r="R42" i="2"/>
  <c r="N42" i="2"/>
  <c r="I42" i="2"/>
  <c r="AC41" i="2"/>
  <c r="AC293" i="2" s="1"/>
  <c r="Z41" i="2"/>
  <c r="V41" i="2"/>
  <c r="O41" i="2"/>
  <c r="AF38" i="2"/>
  <c r="O38" i="2"/>
  <c r="N38" i="2"/>
  <c r="J38" i="2"/>
  <c r="I38" i="2"/>
  <c r="AF37" i="2"/>
  <c r="AB37" i="2"/>
  <c r="AA37" i="2"/>
  <c r="Z37" i="2"/>
  <c r="X37" i="2"/>
  <c r="V37" i="2"/>
  <c r="T37" i="2"/>
  <c r="S37" i="2"/>
  <c r="L37" i="2"/>
  <c r="AF36" i="2"/>
  <c r="W36" i="2"/>
  <c r="Q36" i="2"/>
  <c r="O36" i="2"/>
  <c r="M36" i="2"/>
  <c r="L36" i="2"/>
  <c r="K36" i="2"/>
  <c r="AF35" i="2"/>
  <c r="AE35" i="2"/>
  <c r="S35" i="2"/>
  <c r="R35" i="2"/>
  <c r="P35" i="2"/>
  <c r="M35" i="2"/>
  <c r="M196" i="2" s="1"/>
  <c r="I35" i="2"/>
  <c r="AF32" i="2"/>
  <c r="AF74" i="2" s="1"/>
  <c r="AA32" i="2"/>
  <c r="V32" i="2"/>
  <c r="V74" i="2" s="1"/>
  <c r="U32" i="2"/>
  <c r="U74" i="2" s="1"/>
  <c r="S32" i="2"/>
  <c r="S74" i="2" s="1"/>
  <c r="N32" i="2"/>
  <c r="N74" i="2" s="1"/>
  <c r="M32" i="2"/>
  <c r="M74" i="2" s="1"/>
  <c r="L32" i="2"/>
  <c r="L74" i="2" s="1"/>
  <c r="Y31" i="2"/>
  <c r="T31" i="2"/>
  <c r="T73" i="2" s="1"/>
  <c r="R31" i="2"/>
  <c r="O31" i="2"/>
  <c r="N31" i="2"/>
  <c r="N73" i="2" s="1"/>
  <c r="K31" i="2"/>
  <c r="K73" i="2" s="1"/>
  <c r="AF30" i="2"/>
  <c r="AF72" i="2" s="1"/>
  <c r="Y30" i="2"/>
  <c r="Y72" i="2" s="1"/>
  <c r="X30" i="2"/>
  <c r="X72" i="2" s="1"/>
  <c r="W30" i="2"/>
  <c r="W72" i="2" s="1"/>
  <c r="U30" i="2"/>
  <c r="U72" i="2" s="1"/>
  <c r="T30" i="2"/>
  <c r="T72" i="2" s="1"/>
  <c r="S30" i="2"/>
  <c r="S72" i="2" s="1"/>
  <c r="R30" i="2"/>
  <c r="R72" i="2" s="1"/>
  <c r="Q30" i="2"/>
  <c r="Q72" i="2" s="1"/>
  <c r="L30" i="2"/>
  <c r="AB29" i="2"/>
  <c r="AB71" i="2" s="1"/>
  <c r="AB422" i="2" s="1"/>
  <c r="W29" i="2"/>
  <c r="W71" i="2" s="1"/>
  <c r="W422" i="2" s="1"/>
  <c r="T29" i="2"/>
  <c r="S29" i="2"/>
  <c r="R29" i="2"/>
  <c r="X26" i="2"/>
  <c r="W26" i="2"/>
  <c r="AE25" i="2"/>
  <c r="AD25" i="2"/>
  <c r="AC25" i="2"/>
  <c r="AB25" i="2"/>
  <c r="Y25" i="2"/>
  <c r="W25" i="2"/>
  <c r="U25" i="2"/>
  <c r="Y24" i="2"/>
  <c r="S24" i="2"/>
  <c r="N24" i="2"/>
  <c r="I24" i="2"/>
  <c r="AD23" i="2"/>
  <c r="AD194" i="2" s="1"/>
  <c r="AC23" i="2"/>
  <c r="AB23" i="2"/>
  <c r="Y23" i="2"/>
  <c r="Y291" i="2" s="1"/>
  <c r="R23" i="2"/>
  <c r="R291" i="2" s="1"/>
  <c r="Q23" i="2"/>
  <c r="P23" i="2"/>
  <c r="P194" i="2" s="1"/>
  <c r="L23" i="2"/>
  <c r="K23" i="2"/>
  <c r="J23" i="2"/>
  <c r="J194" i="2" s="1"/>
  <c r="AE22" i="2"/>
  <c r="AE198" i="2" s="1"/>
  <c r="AC22" i="2"/>
  <c r="AB22" i="2"/>
  <c r="AB198" i="2" s="1"/>
  <c r="L22" i="2"/>
  <c r="L198" i="2" s="1"/>
  <c r="J22" i="2"/>
  <c r="J198" i="2" s="1"/>
  <c r="I22" i="2"/>
  <c r="AF19" i="2"/>
  <c r="AB19" i="2"/>
  <c r="P19" i="2"/>
  <c r="O19" i="2"/>
  <c r="K19" i="2"/>
  <c r="J19" i="2"/>
  <c r="U18" i="2"/>
  <c r="R18" i="2"/>
  <c r="Q18" i="2"/>
  <c r="P18" i="2"/>
  <c r="O18" i="2"/>
  <c r="N18" i="2"/>
  <c r="M18" i="2"/>
  <c r="L18" i="2"/>
  <c r="I18" i="2"/>
  <c r="V17" i="2"/>
  <c r="O17" i="2"/>
  <c r="AC16" i="2"/>
  <c r="AB16" i="2"/>
  <c r="AA16" i="2"/>
  <c r="Z16" i="2"/>
  <c r="T16" i="2"/>
  <c r="R16" i="2"/>
  <c r="O16" i="2"/>
  <c r="K16" i="2"/>
  <c r="AA15" i="2"/>
  <c r="V15" i="2"/>
  <c r="V197" i="2" s="1"/>
  <c r="U15" i="2"/>
  <c r="U197" i="2" s="1"/>
  <c r="R15" i="2"/>
  <c r="R197" i="2" s="1"/>
  <c r="L15" i="2"/>
  <c r="L197" i="2" s="1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AF686" i="1"/>
  <c r="AE686" i="1"/>
  <c r="AA686" i="1"/>
  <c r="Z686" i="1"/>
  <c r="Y686" i="1"/>
  <c r="V686" i="1"/>
  <c r="U686" i="1"/>
  <c r="T686" i="1"/>
  <c r="P686" i="1"/>
  <c r="M686" i="1"/>
  <c r="L686" i="1"/>
  <c r="K686" i="1"/>
  <c r="J686" i="1"/>
  <c r="AF685" i="1"/>
  <c r="AE685" i="1"/>
  <c r="AD685" i="1"/>
  <c r="AD686" i="1" s="1"/>
  <c r="AC685" i="1"/>
  <c r="AC686" i="1" s="1"/>
  <c r="AB685" i="1"/>
  <c r="AB686" i="1" s="1"/>
  <c r="AA685" i="1"/>
  <c r="Z685" i="1"/>
  <c r="Y685" i="1"/>
  <c r="X685" i="1"/>
  <c r="X686" i="1" s="1"/>
  <c r="W685" i="1"/>
  <c r="W686" i="1" s="1"/>
  <c r="V685" i="1"/>
  <c r="U685" i="1"/>
  <c r="T685" i="1"/>
  <c r="S685" i="1"/>
  <c r="S686" i="1" s="1"/>
  <c r="R685" i="1"/>
  <c r="R686" i="1" s="1"/>
  <c r="Q685" i="1"/>
  <c r="Q686" i="1" s="1"/>
  <c r="P685" i="1"/>
  <c r="O685" i="1"/>
  <c r="O686" i="1" s="1"/>
  <c r="N685" i="1"/>
  <c r="N686" i="1" s="1"/>
  <c r="M685" i="1"/>
  <c r="L685" i="1"/>
  <c r="K685" i="1"/>
  <c r="J685" i="1"/>
  <c r="I685" i="1"/>
  <c r="I686" i="1" s="1"/>
  <c r="AF683" i="1"/>
  <c r="AE683" i="1"/>
  <c r="AE367" i="2" s="1"/>
  <c r="AD683" i="1"/>
  <c r="AD367" i="2" s="1"/>
  <c r="AC683" i="1"/>
  <c r="AB683" i="1"/>
  <c r="AB367" i="2" s="1"/>
  <c r="AA683" i="1"/>
  <c r="AA367" i="2" s="1"/>
  <c r="Z683" i="1"/>
  <c r="Z367" i="2" s="1"/>
  <c r="Y683" i="1"/>
  <c r="Y367" i="2" s="1"/>
  <c r="X683" i="1"/>
  <c r="X367" i="2" s="1"/>
  <c r="W683" i="1"/>
  <c r="W367" i="2" s="1"/>
  <c r="V683" i="1"/>
  <c r="V367" i="2" s="1"/>
  <c r="U683" i="1"/>
  <c r="U367" i="2" s="1"/>
  <c r="T683" i="1"/>
  <c r="T367" i="2" s="1"/>
  <c r="S683" i="1"/>
  <c r="S367" i="2" s="1"/>
  <c r="R683" i="1"/>
  <c r="Q683" i="1"/>
  <c r="Q367" i="2" s="1"/>
  <c r="P683" i="1"/>
  <c r="P367" i="2" s="1"/>
  <c r="O683" i="1"/>
  <c r="O367" i="2" s="1"/>
  <c r="N683" i="1"/>
  <c r="M683" i="1"/>
  <c r="M367" i="2" s="1"/>
  <c r="L683" i="1"/>
  <c r="L367" i="2" s="1"/>
  <c r="K683" i="1"/>
  <c r="K367" i="2" s="1"/>
  <c r="J683" i="1"/>
  <c r="J367" i="2" s="1"/>
  <c r="I683" i="1"/>
  <c r="I367" i="2" s="1"/>
  <c r="AF679" i="1"/>
  <c r="AE679" i="1"/>
  <c r="AA679" i="1"/>
  <c r="X679" i="1"/>
  <c r="W679" i="1"/>
  <c r="T679" i="1"/>
  <c r="S679" i="1"/>
  <c r="R679" i="1"/>
  <c r="J679" i="1"/>
  <c r="I679" i="1"/>
  <c r="AF678" i="1"/>
  <c r="AE678" i="1"/>
  <c r="AD678" i="1"/>
  <c r="AD679" i="1" s="1"/>
  <c r="AC678" i="1"/>
  <c r="AC679" i="1" s="1"/>
  <c r="AB678" i="1"/>
  <c r="AB679" i="1" s="1"/>
  <c r="AA678" i="1"/>
  <c r="Z678" i="1"/>
  <c r="Z679" i="1" s="1"/>
  <c r="Y678" i="1"/>
  <c r="Y679" i="1" s="1"/>
  <c r="X678" i="1"/>
  <c r="W678" i="1"/>
  <c r="V678" i="1"/>
  <c r="V679" i="1" s="1"/>
  <c r="U678" i="1"/>
  <c r="U679" i="1" s="1"/>
  <c r="T678" i="1"/>
  <c r="S678" i="1"/>
  <c r="R678" i="1"/>
  <c r="Q678" i="1"/>
  <c r="Q679" i="1" s="1"/>
  <c r="P678" i="1"/>
  <c r="P679" i="1" s="1"/>
  <c r="O678" i="1"/>
  <c r="O679" i="1" s="1"/>
  <c r="N678" i="1"/>
  <c r="N679" i="1" s="1"/>
  <c r="M678" i="1"/>
  <c r="M679" i="1" s="1"/>
  <c r="L678" i="1"/>
  <c r="L679" i="1" s="1"/>
  <c r="K678" i="1"/>
  <c r="K679" i="1" s="1"/>
  <c r="J678" i="1"/>
  <c r="I678" i="1"/>
  <c r="AF676" i="1"/>
  <c r="AF366" i="2" s="1"/>
  <c r="AE676" i="1"/>
  <c r="AE366" i="2" s="1"/>
  <c r="AD676" i="1"/>
  <c r="AD366" i="2" s="1"/>
  <c r="AC676" i="1"/>
  <c r="AC366" i="2" s="1"/>
  <c r="AB676" i="1"/>
  <c r="AA676" i="1"/>
  <c r="AA366" i="2" s="1"/>
  <c r="Z676" i="1"/>
  <c r="Z366" i="2" s="1"/>
  <c r="Y676" i="1"/>
  <c r="Y366" i="2" s="1"/>
  <c r="X676" i="1"/>
  <c r="X366" i="2" s="1"/>
  <c r="W676" i="1"/>
  <c r="W366" i="2" s="1"/>
  <c r="V676" i="1"/>
  <c r="V366" i="2" s="1"/>
  <c r="U676" i="1"/>
  <c r="U366" i="2" s="1"/>
  <c r="T676" i="1"/>
  <c r="T366" i="2" s="1"/>
  <c r="S676" i="1"/>
  <c r="S366" i="2" s="1"/>
  <c r="R676" i="1"/>
  <c r="R366" i="2" s="1"/>
  <c r="Q676" i="1"/>
  <c r="Q366" i="2" s="1"/>
  <c r="Q368" i="2" s="1"/>
  <c r="Q375" i="2" s="1"/>
  <c r="P676" i="1"/>
  <c r="P366" i="2" s="1"/>
  <c r="O676" i="1"/>
  <c r="O366" i="2" s="1"/>
  <c r="N676" i="1"/>
  <c r="N366" i="2" s="1"/>
  <c r="M676" i="1"/>
  <c r="M366" i="2" s="1"/>
  <c r="L676" i="1"/>
  <c r="K676" i="1"/>
  <c r="J676" i="1"/>
  <c r="J366" i="2" s="1"/>
  <c r="I676" i="1"/>
  <c r="I366" i="2" s="1"/>
  <c r="Y672" i="1"/>
  <c r="W672" i="1"/>
  <c r="U672" i="1"/>
  <c r="T672" i="1"/>
  <c r="R672" i="1"/>
  <c r="P672" i="1"/>
  <c r="O672" i="1"/>
  <c r="L672" i="1"/>
  <c r="K672" i="1"/>
  <c r="AF671" i="1"/>
  <c r="AF672" i="1" s="1"/>
  <c r="AE671" i="1"/>
  <c r="AE672" i="1" s="1"/>
  <c r="AD671" i="1"/>
  <c r="AD672" i="1" s="1"/>
  <c r="AC671" i="1"/>
  <c r="AC672" i="1" s="1"/>
  <c r="AB671" i="1"/>
  <c r="AB672" i="1" s="1"/>
  <c r="AA671" i="1"/>
  <c r="AA672" i="1" s="1"/>
  <c r="Z671" i="1"/>
  <c r="Z672" i="1" s="1"/>
  <c r="Y671" i="1"/>
  <c r="X671" i="1"/>
  <c r="X672" i="1" s="1"/>
  <c r="W671" i="1"/>
  <c r="V671" i="1"/>
  <c r="V672" i="1" s="1"/>
  <c r="U671" i="1"/>
  <c r="T671" i="1"/>
  <c r="S671" i="1"/>
  <c r="S672" i="1" s="1"/>
  <c r="R671" i="1"/>
  <c r="Q671" i="1"/>
  <c r="Q672" i="1" s="1"/>
  <c r="P671" i="1"/>
  <c r="O671" i="1"/>
  <c r="N671" i="1"/>
  <c r="N672" i="1" s="1"/>
  <c r="M671" i="1"/>
  <c r="M672" i="1" s="1"/>
  <c r="L671" i="1"/>
  <c r="K671" i="1"/>
  <c r="J671" i="1"/>
  <c r="J672" i="1" s="1"/>
  <c r="I671" i="1"/>
  <c r="I672" i="1" s="1"/>
  <c r="AF669" i="1"/>
  <c r="AF365" i="2" s="1"/>
  <c r="AE669" i="1"/>
  <c r="AE365" i="2" s="1"/>
  <c r="AE368" i="2" s="1"/>
  <c r="AE375" i="2" s="1"/>
  <c r="AD669" i="1"/>
  <c r="AD365" i="2" s="1"/>
  <c r="AC669" i="1"/>
  <c r="AC365" i="2" s="1"/>
  <c r="AB669" i="1"/>
  <c r="AA669" i="1"/>
  <c r="AA365" i="2" s="1"/>
  <c r="Z669" i="1"/>
  <c r="Z365" i="2" s="1"/>
  <c r="Z368" i="2" s="1"/>
  <c r="Z375" i="2" s="1"/>
  <c r="Y669" i="1"/>
  <c r="Y365" i="2" s="1"/>
  <c r="X669" i="1"/>
  <c r="X365" i="2" s="1"/>
  <c r="W669" i="1"/>
  <c r="W365" i="2" s="1"/>
  <c r="V669" i="1"/>
  <c r="V365" i="2" s="1"/>
  <c r="U669" i="1"/>
  <c r="U365" i="2" s="1"/>
  <c r="T669" i="1"/>
  <c r="T365" i="2" s="1"/>
  <c r="S669" i="1"/>
  <c r="S365" i="2" s="1"/>
  <c r="R669" i="1"/>
  <c r="R365" i="2" s="1"/>
  <c r="Q669" i="1"/>
  <c r="P669" i="1"/>
  <c r="P365" i="2" s="1"/>
  <c r="O669" i="1"/>
  <c r="O365" i="2" s="1"/>
  <c r="N669" i="1"/>
  <c r="N365" i="2" s="1"/>
  <c r="M669" i="1"/>
  <c r="M365" i="2" s="1"/>
  <c r="L669" i="1"/>
  <c r="K669" i="1"/>
  <c r="K365" i="2" s="1"/>
  <c r="J669" i="1"/>
  <c r="J365" i="2" s="1"/>
  <c r="I669" i="1"/>
  <c r="I365" i="2" s="1"/>
  <c r="AF665" i="1"/>
  <c r="AE665" i="1"/>
  <c r="AB665" i="1"/>
  <c r="Z665" i="1"/>
  <c r="X665" i="1"/>
  <c r="W665" i="1"/>
  <c r="V665" i="1"/>
  <c r="U665" i="1"/>
  <c r="R665" i="1"/>
  <c r="Q665" i="1"/>
  <c r="P665" i="1"/>
  <c r="J665" i="1"/>
  <c r="I665" i="1"/>
  <c r="AF664" i="1"/>
  <c r="AE664" i="1"/>
  <c r="AD664" i="1"/>
  <c r="AD665" i="1" s="1"/>
  <c r="AC664" i="1"/>
  <c r="AC665" i="1" s="1"/>
  <c r="AB664" i="1"/>
  <c r="AA664" i="1"/>
  <c r="AA665" i="1" s="1"/>
  <c r="Z664" i="1"/>
  <c r="Y664" i="1"/>
  <c r="Y665" i="1" s="1"/>
  <c r="X664" i="1"/>
  <c r="W664" i="1"/>
  <c r="V664" i="1"/>
  <c r="U664" i="1"/>
  <c r="T664" i="1"/>
  <c r="T665" i="1" s="1"/>
  <c r="S664" i="1"/>
  <c r="S665" i="1" s="1"/>
  <c r="R664" i="1"/>
  <c r="Q664" i="1"/>
  <c r="P664" i="1"/>
  <c r="O664" i="1"/>
  <c r="O665" i="1" s="1"/>
  <c r="N664" i="1"/>
  <c r="N665" i="1" s="1"/>
  <c r="M664" i="1"/>
  <c r="M665" i="1" s="1"/>
  <c r="L664" i="1"/>
  <c r="L665" i="1" s="1"/>
  <c r="K664" i="1"/>
  <c r="K665" i="1" s="1"/>
  <c r="J664" i="1"/>
  <c r="I664" i="1"/>
  <c r="AF662" i="1"/>
  <c r="AF364" i="2" s="1"/>
  <c r="AE662" i="1"/>
  <c r="AD662" i="1"/>
  <c r="AC662" i="1"/>
  <c r="AB662" i="1"/>
  <c r="AA662" i="1"/>
  <c r="AA364" i="2" s="1"/>
  <c r="AA368" i="2" s="1"/>
  <c r="AA375" i="2" s="1"/>
  <c r="Z662" i="1"/>
  <c r="Z364" i="2" s="1"/>
  <c r="Y662" i="1"/>
  <c r="Y364" i="2" s="1"/>
  <c r="X662" i="1"/>
  <c r="X364" i="2" s="1"/>
  <c r="W662" i="1"/>
  <c r="W364" i="2" s="1"/>
  <c r="V662" i="1"/>
  <c r="V364" i="2" s="1"/>
  <c r="U662" i="1"/>
  <c r="U364" i="2" s="1"/>
  <c r="T662" i="1"/>
  <c r="T364" i="2" s="1"/>
  <c r="S662" i="1"/>
  <c r="R662" i="1"/>
  <c r="R364" i="2" s="1"/>
  <c r="Q662" i="1"/>
  <c r="Q364" i="2" s="1"/>
  <c r="P662" i="1"/>
  <c r="P364" i="2" s="1"/>
  <c r="O662" i="1"/>
  <c r="O364" i="2" s="1"/>
  <c r="N662" i="1"/>
  <c r="M662" i="1"/>
  <c r="M364" i="2" s="1"/>
  <c r="L662" i="1"/>
  <c r="L364" i="2" s="1"/>
  <c r="K662" i="1"/>
  <c r="J662" i="1"/>
  <c r="J364" i="2" s="1"/>
  <c r="I662" i="1"/>
  <c r="I364" i="2" s="1"/>
  <c r="AE657" i="1"/>
  <c r="AD657" i="1"/>
  <c r="AB657" i="1"/>
  <c r="AA657" i="1"/>
  <c r="X657" i="1"/>
  <c r="W657" i="1"/>
  <c r="T657" i="1"/>
  <c r="S657" i="1"/>
  <c r="R657" i="1"/>
  <c r="K657" i="1"/>
  <c r="J657" i="1"/>
  <c r="I657" i="1"/>
  <c r="AF656" i="1"/>
  <c r="AF657" i="1" s="1"/>
  <c r="AE656" i="1"/>
  <c r="AD656" i="1"/>
  <c r="AC656" i="1"/>
  <c r="AC657" i="1" s="1"/>
  <c r="AB656" i="1"/>
  <c r="AA656" i="1"/>
  <c r="Z656" i="1"/>
  <c r="Z657" i="1" s="1"/>
  <c r="Y656" i="1"/>
  <c r="Y657" i="1" s="1"/>
  <c r="X656" i="1"/>
  <c r="W656" i="1"/>
  <c r="V656" i="1"/>
  <c r="V657" i="1" s="1"/>
  <c r="U656" i="1"/>
  <c r="U657" i="1" s="1"/>
  <c r="T656" i="1"/>
  <c r="S656" i="1"/>
  <c r="R656" i="1"/>
  <c r="Q656" i="1"/>
  <c r="Q657" i="1" s="1"/>
  <c r="P656" i="1"/>
  <c r="P657" i="1" s="1"/>
  <c r="O656" i="1"/>
  <c r="O657" i="1" s="1"/>
  <c r="N656" i="1"/>
  <c r="N657" i="1" s="1"/>
  <c r="M656" i="1"/>
  <c r="M657" i="1" s="1"/>
  <c r="L656" i="1"/>
  <c r="L657" i="1" s="1"/>
  <c r="K656" i="1"/>
  <c r="J656" i="1"/>
  <c r="I656" i="1"/>
  <c r="AF654" i="1"/>
  <c r="AE654" i="1"/>
  <c r="AD654" i="1"/>
  <c r="AC654" i="1"/>
  <c r="AB654" i="1"/>
  <c r="AA654" i="1"/>
  <c r="Z654" i="1"/>
  <c r="Y654" i="1"/>
  <c r="Y360" i="2" s="1"/>
  <c r="X654" i="1"/>
  <c r="W654" i="1"/>
  <c r="W360" i="2" s="1"/>
  <c r="V654" i="1"/>
  <c r="V247" i="2" s="1"/>
  <c r="U654" i="1"/>
  <c r="T654" i="1"/>
  <c r="S654" i="1"/>
  <c r="R654" i="1"/>
  <c r="R247" i="2" s="1"/>
  <c r="Q654" i="1"/>
  <c r="P654" i="1"/>
  <c r="O654" i="1"/>
  <c r="N654" i="1"/>
  <c r="M654" i="1"/>
  <c r="L654" i="1"/>
  <c r="L247" i="2" s="1"/>
  <c r="K654" i="1"/>
  <c r="K360" i="2" s="1"/>
  <c r="J654" i="1"/>
  <c r="J247" i="2" s="1"/>
  <c r="I654" i="1"/>
  <c r="AC650" i="1"/>
  <c r="AB650" i="1"/>
  <c r="Z650" i="1"/>
  <c r="Y650" i="1"/>
  <c r="V650" i="1"/>
  <c r="L650" i="1"/>
  <c r="K650" i="1"/>
  <c r="AF649" i="1"/>
  <c r="AF650" i="1" s="1"/>
  <c r="AE649" i="1"/>
  <c r="AE650" i="1" s="1"/>
  <c r="AD649" i="1"/>
  <c r="AD650" i="1" s="1"/>
  <c r="AC649" i="1"/>
  <c r="AB649" i="1"/>
  <c r="AA649" i="1"/>
  <c r="AA650" i="1" s="1"/>
  <c r="Z649" i="1"/>
  <c r="Y649" i="1"/>
  <c r="X649" i="1"/>
  <c r="X650" i="1" s="1"/>
  <c r="W649" i="1"/>
  <c r="W650" i="1" s="1"/>
  <c r="V649" i="1"/>
  <c r="U649" i="1"/>
  <c r="U650" i="1" s="1"/>
  <c r="T649" i="1"/>
  <c r="T650" i="1" s="1"/>
  <c r="S649" i="1"/>
  <c r="S650" i="1" s="1"/>
  <c r="R649" i="1"/>
  <c r="R650" i="1" s="1"/>
  <c r="Q649" i="1"/>
  <c r="Q650" i="1" s="1"/>
  <c r="P649" i="1"/>
  <c r="P650" i="1" s="1"/>
  <c r="O649" i="1"/>
  <c r="O650" i="1" s="1"/>
  <c r="N649" i="1"/>
  <c r="N650" i="1" s="1"/>
  <c r="M649" i="1"/>
  <c r="M650" i="1" s="1"/>
  <c r="L649" i="1"/>
  <c r="K649" i="1"/>
  <c r="J649" i="1"/>
  <c r="J650" i="1" s="1"/>
  <c r="I649" i="1"/>
  <c r="I650" i="1" s="1"/>
  <c r="AF647" i="1"/>
  <c r="AF359" i="2" s="1"/>
  <c r="AE647" i="1"/>
  <c r="AE359" i="2" s="1"/>
  <c r="AD647" i="1"/>
  <c r="AD359" i="2" s="1"/>
  <c r="AC647" i="1"/>
  <c r="AC359" i="2" s="1"/>
  <c r="AB647" i="1"/>
  <c r="AB359" i="2" s="1"/>
  <c r="AA647" i="1"/>
  <c r="AA359" i="2" s="1"/>
  <c r="Z647" i="1"/>
  <c r="Y647" i="1"/>
  <c r="Y359" i="2" s="1"/>
  <c r="X647" i="1"/>
  <c r="X359" i="2" s="1"/>
  <c r="W647" i="1"/>
  <c r="W359" i="2" s="1"/>
  <c r="V647" i="1"/>
  <c r="V359" i="2" s="1"/>
  <c r="U647" i="1"/>
  <c r="U359" i="2" s="1"/>
  <c r="T647" i="1"/>
  <c r="T359" i="2" s="1"/>
  <c r="S647" i="1"/>
  <c r="S359" i="2" s="1"/>
  <c r="R647" i="1"/>
  <c r="R359" i="2" s="1"/>
  <c r="Q647" i="1"/>
  <c r="Q359" i="2" s="1"/>
  <c r="P647" i="1"/>
  <c r="P359" i="2" s="1"/>
  <c r="O647" i="1"/>
  <c r="O359" i="2" s="1"/>
  <c r="N647" i="1"/>
  <c r="N359" i="2" s="1"/>
  <c r="M647" i="1"/>
  <c r="L647" i="1"/>
  <c r="L359" i="2" s="1"/>
  <c r="K647" i="1"/>
  <c r="K359" i="2" s="1"/>
  <c r="J647" i="1"/>
  <c r="J359" i="2" s="1"/>
  <c r="H359" i="2" s="1"/>
  <c r="I647" i="1"/>
  <c r="I359" i="2" s="1"/>
  <c r="AE643" i="1"/>
  <c r="AD643" i="1"/>
  <c r="AC643" i="1"/>
  <c r="AB643" i="1"/>
  <c r="Y643" i="1"/>
  <c r="X643" i="1"/>
  <c r="T643" i="1"/>
  <c r="S643" i="1"/>
  <c r="R643" i="1"/>
  <c r="Q643" i="1"/>
  <c r="N643" i="1"/>
  <c r="M643" i="1"/>
  <c r="J643" i="1"/>
  <c r="I643" i="1"/>
  <c r="AF642" i="1"/>
  <c r="AF643" i="1" s="1"/>
  <c r="AE642" i="1"/>
  <c r="AD642" i="1"/>
  <c r="AC642" i="1"/>
  <c r="AB642" i="1"/>
  <c r="AA642" i="1"/>
  <c r="AA643" i="1" s="1"/>
  <c r="Z642" i="1"/>
  <c r="Z643" i="1" s="1"/>
  <c r="Y642" i="1"/>
  <c r="X642" i="1"/>
  <c r="W642" i="1"/>
  <c r="W643" i="1" s="1"/>
  <c r="V642" i="1"/>
  <c r="V643" i="1" s="1"/>
  <c r="U642" i="1"/>
  <c r="U643" i="1" s="1"/>
  <c r="T642" i="1"/>
  <c r="S642" i="1"/>
  <c r="R642" i="1"/>
  <c r="Q642" i="1"/>
  <c r="P642" i="1"/>
  <c r="P643" i="1" s="1"/>
  <c r="O642" i="1"/>
  <c r="O643" i="1" s="1"/>
  <c r="N642" i="1"/>
  <c r="M642" i="1"/>
  <c r="L642" i="1"/>
  <c r="L643" i="1" s="1"/>
  <c r="K642" i="1"/>
  <c r="K643" i="1" s="1"/>
  <c r="J642" i="1"/>
  <c r="I642" i="1"/>
  <c r="AF640" i="1"/>
  <c r="AF358" i="2" s="1"/>
  <c r="AE640" i="1"/>
  <c r="AE358" i="2" s="1"/>
  <c r="AD640" i="1"/>
  <c r="AD358" i="2" s="1"/>
  <c r="AC640" i="1"/>
  <c r="AC358" i="2" s="1"/>
  <c r="AB640" i="1"/>
  <c r="AB358" i="2" s="1"/>
  <c r="H358" i="2" s="1"/>
  <c r="AA640" i="1"/>
  <c r="Z640" i="1"/>
  <c r="Z358" i="2" s="1"/>
  <c r="Y640" i="1"/>
  <c r="Y358" i="2" s="1"/>
  <c r="X640" i="1"/>
  <c r="X358" i="2" s="1"/>
  <c r="W640" i="1"/>
  <c r="W358" i="2" s="1"/>
  <c r="V640" i="1"/>
  <c r="U640" i="1"/>
  <c r="T640" i="1"/>
  <c r="S640" i="1"/>
  <c r="S358" i="2" s="1"/>
  <c r="R640" i="1"/>
  <c r="R358" i="2" s="1"/>
  <c r="Q640" i="1"/>
  <c r="Q358" i="2" s="1"/>
  <c r="P640" i="1"/>
  <c r="P358" i="2" s="1"/>
  <c r="O640" i="1"/>
  <c r="O358" i="2" s="1"/>
  <c r="N640" i="1"/>
  <c r="N358" i="2" s="1"/>
  <c r="M640" i="1"/>
  <c r="L640" i="1"/>
  <c r="L358" i="2" s="1"/>
  <c r="K640" i="1"/>
  <c r="K358" i="2" s="1"/>
  <c r="J640" i="1"/>
  <c r="J358" i="2" s="1"/>
  <c r="I640" i="1"/>
  <c r="AF636" i="1"/>
  <c r="AE636" i="1"/>
  <c r="AD636" i="1"/>
  <c r="AA636" i="1"/>
  <c r="Z636" i="1"/>
  <c r="Y636" i="1"/>
  <c r="X636" i="1"/>
  <c r="W636" i="1"/>
  <c r="T636" i="1"/>
  <c r="S636" i="1"/>
  <c r="R636" i="1"/>
  <c r="P636" i="1"/>
  <c r="M636" i="1"/>
  <c r="L636" i="1"/>
  <c r="AF635" i="1"/>
  <c r="AE635" i="1"/>
  <c r="AD635" i="1"/>
  <c r="AC635" i="1"/>
  <c r="AC636" i="1" s="1"/>
  <c r="AB635" i="1"/>
  <c r="AB636" i="1" s="1"/>
  <c r="AA635" i="1"/>
  <c r="Z635" i="1"/>
  <c r="Y635" i="1"/>
  <c r="X635" i="1"/>
  <c r="W635" i="1"/>
  <c r="V635" i="1"/>
  <c r="V636" i="1" s="1"/>
  <c r="U635" i="1"/>
  <c r="U636" i="1" s="1"/>
  <c r="T635" i="1"/>
  <c r="S635" i="1"/>
  <c r="R635" i="1"/>
  <c r="Q635" i="1"/>
  <c r="Q636" i="1" s="1"/>
  <c r="P635" i="1"/>
  <c r="O635" i="1"/>
  <c r="O636" i="1" s="1"/>
  <c r="N635" i="1"/>
  <c r="N636" i="1" s="1"/>
  <c r="M635" i="1"/>
  <c r="L635" i="1"/>
  <c r="K635" i="1"/>
  <c r="K636" i="1" s="1"/>
  <c r="J635" i="1"/>
  <c r="J636" i="1" s="1"/>
  <c r="I635" i="1"/>
  <c r="I636" i="1" s="1"/>
  <c r="AF633" i="1"/>
  <c r="AF357" i="2" s="1"/>
  <c r="AE633" i="1"/>
  <c r="AD633" i="1"/>
  <c r="AC633" i="1"/>
  <c r="AC357" i="2" s="1"/>
  <c r="AB633" i="1"/>
  <c r="AB357" i="2" s="1"/>
  <c r="AA633" i="1"/>
  <c r="AA357" i="2" s="1"/>
  <c r="Z633" i="1"/>
  <c r="Y633" i="1"/>
  <c r="X633" i="1"/>
  <c r="X357" i="2" s="1"/>
  <c r="W633" i="1"/>
  <c r="W357" i="2" s="1"/>
  <c r="V633" i="1"/>
  <c r="V357" i="2" s="1"/>
  <c r="U633" i="1"/>
  <c r="U357" i="2" s="1"/>
  <c r="T633" i="1"/>
  <c r="T357" i="2" s="1"/>
  <c r="S633" i="1"/>
  <c r="S357" i="2" s="1"/>
  <c r="R633" i="1"/>
  <c r="Q633" i="1"/>
  <c r="Q357" i="2" s="1"/>
  <c r="P633" i="1"/>
  <c r="P357" i="2" s="1"/>
  <c r="O633" i="1"/>
  <c r="O357" i="2" s="1"/>
  <c r="N633" i="1"/>
  <c r="N357" i="2" s="1"/>
  <c r="M633" i="1"/>
  <c r="M357" i="2" s="1"/>
  <c r="L633" i="1"/>
  <c r="L357" i="2" s="1"/>
  <c r="K633" i="1"/>
  <c r="K357" i="2" s="1"/>
  <c r="J633" i="1"/>
  <c r="J357" i="2" s="1"/>
  <c r="I633" i="1"/>
  <c r="I357" i="2" s="1"/>
  <c r="AF629" i="1"/>
  <c r="AE629" i="1"/>
  <c r="AD629" i="1"/>
  <c r="AC629" i="1"/>
  <c r="Y629" i="1"/>
  <c r="X629" i="1"/>
  <c r="V629" i="1"/>
  <c r="T629" i="1"/>
  <c r="S629" i="1"/>
  <c r="O629" i="1"/>
  <c r="L629" i="1"/>
  <c r="J629" i="1"/>
  <c r="I629" i="1"/>
  <c r="AF628" i="1"/>
  <c r="AE628" i="1"/>
  <c r="AD628" i="1"/>
  <c r="AC628" i="1"/>
  <c r="AB628" i="1"/>
  <c r="AB629" i="1" s="1"/>
  <c r="AA628" i="1"/>
  <c r="AA629" i="1" s="1"/>
  <c r="Z628" i="1"/>
  <c r="Z629" i="1" s="1"/>
  <c r="Y628" i="1"/>
  <c r="X628" i="1"/>
  <c r="W628" i="1"/>
  <c r="W629" i="1" s="1"/>
  <c r="V628" i="1"/>
  <c r="U628" i="1"/>
  <c r="U629" i="1" s="1"/>
  <c r="T628" i="1"/>
  <c r="S628" i="1"/>
  <c r="R628" i="1"/>
  <c r="R629" i="1" s="1"/>
  <c r="Q628" i="1"/>
  <c r="Q629" i="1" s="1"/>
  <c r="P628" i="1"/>
  <c r="P629" i="1" s="1"/>
  <c r="O628" i="1"/>
  <c r="N628" i="1"/>
  <c r="N629" i="1" s="1"/>
  <c r="M628" i="1"/>
  <c r="M629" i="1" s="1"/>
  <c r="L628" i="1"/>
  <c r="K628" i="1"/>
  <c r="K629" i="1" s="1"/>
  <c r="J628" i="1"/>
  <c r="I628" i="1"/>
  <c r="AF626" i="1"/>
  <c r="AF356" i="2" s="1"/>
  <c r="AE626" i="1"/>
  <c r="AD626" i="1"/>
  <c r="AD356" i="2" s="1"/>
  <c r="AC626" i="1"/>
  <c r="AC356" i="2" s="1"/>
  <c r="AB626" i="1"/>
  <c r="AB356" i="2" s="1"/>
  <c r="AA626" i="1"/>
  <c r="AA356" i="2" s="1"/>
  <c r="Z626" i="1"/>
  <c r="Z356" i="2" s="1"/>
  <c r="Y626" i="1"/>
  <c r="Y356" i="2" s="1"/>
  <c r="X626" i="1"/>
  <c r="X356" i="2" s="1"/>
  <c r="W626" i="1"/>
  <c r="W356" i="2" s="1"/>
  <c r="V626" i="1"/>
  <c r="U626" i="1"/>
  <c r="U356" i="2" s="1"/>
  <c r="T626" i="1"/>
  <c r="T356" i="2" s="1"/>
  <c r="S626" i="1"/>
  <c r="S356" i="2" s="1"/>
  <c r="R626" i="1"/>
  <c r="R356" i="2" s="1"/>
  <c r="Q626" i="1"/>
  <c r="P626" i="1"/>
  <c r="P356" i="2" s="1"/>
  <c r="O626" i="1"/>
  <c r="O356" i="2" s="1"/>
  <c r="N626" i="1"/>
  <c r="N356" i="2" s="1"/>
  <c r="M626" i="1"/>
  <c r="M356" i="2" s="1"/>
  <c r="L626" i="1"/>
  <c r="L356" i="2" s="1"/>
  <c r="K626" i="1"/>
  <c r="K356" i="2" s="1"/>
  <c r="J626" i="1"/>
  <c r="I626" i="1"/>
  <c r="AE622" i="1"/>
  <c r="AC622" i="1"/>
  <c r="Y622" i="1"/>
  <c r="V622" i="1"/>
  <c r="T622" i="1"/>
  <c r="N622" i="1"/>
  <c r="M622" i="1"/>
  <c r="J622" i="1"/>
  <c r="I622" i="1"/>
  <c r="AF621" i="1"/>
  <c r="AF622" i="1" s="1"/>
  <c r="AE621" i="1"/>
  <c r="AD621" i="1"/>
  <c r="AD622" i="1" s="1"/>
  <c r="AC621" i="1"/>
  <c r="AB621" i="1"/>
  <c r="AB622" i="1" s="1"/>
  <c r="AA621" i="1"/>
  <c r="AA622" i="1" s="1"/>
  <c r="Z621" i="1"/>
  <c r="Z622" i="1" s="1"/>
  <c r="Y621" i="1"/>
  <c r="X621" i="1"/>
  <c r="X622" i="1" s="1"/>
  <c r="W621" i="1"/>
  <c r="W622" i="1" s="1"/>
  <c r="V621" i="1"/>
  <c r="U621" i="1"/>
  <c r="U622" i="1" s="1"/>
  <c r="T621" i="1"/>
  <c r="S621" i="1"/>
  <c r="S622" i="1" s="1"/>
  <c r="R621" i="1"/>
  <c r="R622" i="1" s="1"/>
  <c r="Q621" i="1"/>
  <c r="Q622" i="1" s="1"/>
  <c r="P621" i="1"/>
  <c r="P622" i="1" s="1"/>
  <c r="O621" i="1"/>
  <c r="O622" i="1" s="1"/>
  <c r="N621" i="1"/>
  <c r="M621" i="1"/>
  <c r="L621" i="1"/>
  <c r="L622" i="1" s="1"/>
  <c r="K621" i="1"/>
  <c r="K622" i="1" s="1"/>
  <c r="J621" i="1"/>
  <c r="I621" i="1"/>
  <c r="AF619" i="1"/>
  <c r="AF355" i="2" s="1"/>
  <c r="AE619" i="1"/>
  <c r="AE355" i="2" s="1"/>
  <c r="AD619" i="1"/>
  <c r="AD355" i="2" s="1"/>
  <c r="AC619" i="1"/>
  <c r="AC355" i="2" s="1"/>
  <c r="AB619" i="1"/>
  <c r="AB355" i="2" s="1"/>
  <c r="AA619" i="1"/>
  <c r="Z619" i="1"/>
  <c r="Y619" i="1"/>
  <c r="X619" i="1"/>
  <c r="W619" i="1"/>
  <c r="W355" i="2" s="1"/>
  <c r="V619" i="1"/>
  <c r="V355" i="2" s="1"/>
  <c r="U619" i="1"/>
  <c r="U355" i="2" s="1"/>
  <c r="T619" i="1"/>
  <c r="T355" i="2" s="1"/>
  <c r="S619" i="1"/>
  <c r="S355" i="2" s="1"/>
  <c r="R619" i="1"/>
  <c r="R355" i="2" s="1"/>
  <c r="R361" i="2" s="1"/>
  <c r="R374" i="2" s="1"/>
  <c r="Q619" i="1"/>
  <c r="Q355" i="2" s="1"/>
  <c r="P619" i="1"/>
  <c r="P355" i="2" s="1"/>
  <c r="O619" i="1"/>
  <c r="O355" i="2" s="1"/>
  <c r="N619" i="1"/>
  <c r="N355" i="2" s="1"/>
  <c r="M619" i="1"/>
  <c r="M355" i="2" s="1"/>
  <c r="L619" i="1"/>
  <c r="L355" i="2" s="1"/>
  <c r="L361" i="2" s="1"/>
  <c r="L374" i="2" s="1"/>
  <c r="K619" i="1"/>
  <c r="K355" i="2" s="1"/>
  <c r="J619" i="1"/>
  <c r="J355" i="2" s="1"/>
  <c r="H355" i="2" s="1"/>
  <c r="I619" i="1"/>
  <c r="I355" i="2" s="1"/>
  <c r="AF613" i="1"/>
  <c r="Y613" i="1"/>
  <c r="X613" i="1"/>
  <c r="T613" i="1"/>
  <c r="S613" i="1"/>
  <c r="O613" i="1"/>
  <c r="N613" i="1"/>
  <c r="J613" i="1"/>
  <c r="AF612" i="1"/>
  <c r="AE612" i="1"/>
  <c r="AE613" i="1" s="1"/>
  <c r="AD612" i="1"/>
  <c r="AD613" i="1" s="1"/>
  <c r="AC612" i="1"/>
  <c r="AC613" i="1" s="1"/>
  <c r="AB612" i="1"/>
  <c r="AB613" i="1" s="1"/>
  <c r="AA612" i="1"/>
  <c r="AA613" i="1" s="1"/>
  <c r="Z612" i="1"/>
  <c r="Z613" i="1" s="1"/>
  <c r="Y612" i="1"/>
  <c r="X612" i="1"/>
  <c r="W612" i="1"/>
  <c r="W613" i="1" s="1"/>
  <c r="V612" i="1"/>
  <c r="V613" i="1" s="1"/>
  <c r="U612" i="1"/>
  <c r="U613" i="1" s="1"/>
  <c r="T612" i="1"/>
  <c r="S612" i="1"/>
  <c r="R612" i="1"/>
  <c r="R613" i="1" s="1"/>
  <c r="Q612" i="1"/>
  <c r="Q613" i="1" s="1"/>
  <c r="P612" i="1"/>
  <c r="P613" i="1" s="1"/>
  <c r="O612" i="1"/>
  <c r="N612" i="1"/>
  <c r="M612" i="1"/>
  <c r="M613" i="1" s="1"/>
  <c r="L612" i="1"/>
  <c r="L613" i="1" s="1"/>
  <c r="K612" i="1"/>
  <c r="K613" i="1" s="1"/>
  <c r="J612" i="1"/>
  <c r="I612" i="1"/>
  <c r="I613" i="1" s="1"/>
  <c r="AF610" i="1"/>
  <c r="AF317" i="2" s="1"/>
  <c r="AE610" i="1"/>
  <c r="AE317" i="2" s="1"/>
  <c r="AD610" i="1"/>
  <c r="AD317" i="2" s="1"/>
  <c r="AC610" i="1"/>
  <c r="AB610" i="1"/>
  <c r="AB317" i="2" s="1"/>
  <c r="AA610" i="1"/>
  <c r="AA317" i="2" s="1"/>
  <c r="Z610" i="1"/>
  <c r="Z317" i="2" s="1"/>
  <c r="Y610" i="1"/>
  <c r="Y317" i="2" s="1"/>
  <c r="X610" i="1"/>
  <c r="W610" i="1"/>
  <c r="W317" i="2" s="1"/>
  <c r="V610" i="1"/>
  <c r="V317" i="2" s="1"/>
  <c r="U610" i="1"/>
  <c r="T610" i="1"/>
  <c r="S610" i="1"/>
  <c r="S317" i="2" s="1"/>
  <c r="R610" i="1"/>
  <c r="R317" i="2" s="1"/>
  <c r="Q610" i="1"/>
  <c r="Q317" i="2" s="1"/>
  <c r="P610" i="1"/>
  <c r="P317" i="2" s="1"/>
  <c r="O610" i="1"/>
  <c r="N610" i="1"/>
  <c r="M610" i="1"/>
  <c r="M317" i="2" s="1"/>
  <c r="L610" i="1"/>
  <c r="K610" i="1"/>
  <c r="K317" i="2" s="1"/>
  <c r="J610" i="1"/>
  <c r="J317" i="2" s="1"/>
  <c r="I610" i="1"/>
  <c r="I317" i="2" s="1"/>
  <c r="AD606" i="1"/>
  <c r="AC606" i="1"/>
  <c r="Z606" i="1"/>
  <c r="Y606" i="1"/>
  <c r="V606" i="1"/>
  <c r="U606" i="1"/>
  <c r="T606" i="1"/>
  <c r="R606" i="1"/>
  <c r="P606" i="1"/>
  <c r="K606" i="1"/>
  <c r="J606" i="1"/>
  <c r="I606" i="1"/>
  <c r="AF605" i="1"/>
  <c r="AF606" i="1" s="1"/>
  <c r="AE605" i="1"/>
  <c r="AE606" i="1" s="1"/>
  <c r="AD605" i="1"/>
  <c r="AC605" i="1"/>
  <c r="AB605" i="1"/>
  <c r="AB606" i="1" s="1"/>
  <c r="AA605" i="1"/>
  <c r="AA606" i="1" s="1"/>
  <c r="Z605" i="1"/>
  <c r="Y605" i="1"/>
  <c r="X605" i="1"/>
  <c r="X606" i="1" s="1"/>
  <c r="W605" i="1"/>
  <c r="W606" i="1" s="1"/>
  <c r="V605" i="1"/>
  <c r="U605" i="1"/>
  <c r="T605" i="1"/>
  <c r="S605" i="1"/>
  <c r="S606" i="1" s="1"/>
  <c r="R605" i="1"/>
  <c r="Q605" i="1"/>
  <c r="Q606" i="1" s="1"/>
  <c r="P605" i="1"/>
  <c r="O605" i="1"/>
  <c r="O606" i="1" s="1"/>
  <c r="N605" i="1"/>
  <c r="N606" i="1" s="1"/>
  <c r="M605" i="1"/>
  <c r="M606" i="1" s="1"/>
  <c r="L605" i="1"/>
  <c r="L606" i="1" s="1"/>
  <c r="K605" i="1"/>
  <c r="J605" i="1"/>
  <c r="I605" i="1"/>
  <c r="AF603" i="1"/>
  <c r="AF316" i="2" s="1"/>
  <c r="AE603" i="1"/>
  <c r="AE316" i="2" s="1"/>
  <c r="AD603" i="1"/>
  <c r="AD316" i="2" s="1"/>
  <c r="AC603" i="1"/>
  <c r="AB603" i="1"/>
  <c r="AA603" i="1"/>
  <c r="AA316" i="2" s="1"/>
  <c r="Z603" i="1"/>
  <c r="Z316" i="2" s="1"/>
  <c r="Y603" i="1"/>
  <c r="Y316" i="2" s="1"/>
  <c r="X603" i="1"/>
  <c r="X316" i="2" s="1"/>
  <c r="W603" i="1"/>
  <c r="W316" i="2" s="1"/>
  <c r="V603" i="1"/>
  <c r="V316" i="2" s="1"/>
  <c r="U603" i="1"/>
  <c r="U316" i="2" s="1"/>
  <c r="T603" i="1"/>
  <c r="T316" i="2" s="1"/>
  <c r="S603" i="1"/>
  <c r="S316" i="2" s="1"/>
  <c r="R603" i="1"/>
  <c r="R316" i="2" s="1"/>
  <c r="Q603" i="1"/>
  <c r="Q316" i="2" s="1"/>
  <c r="P603" i="1"/>
  <c r="P316" i="2" s="1"/>
  <c r="O603" i="1"/>
  <c r="O316" i="2" s="1"/>
  <c r="N603" i="1"/>
  <c r="N316" i="2" s="1"/>
  <c r="M603" i="1"/>
  <c r="M316" i="2" s="1"/>
  <c r="L603" i="1"/>
  <c r="L316" i="2" s="1"/>
  <c r="K603" i="1"/>
  <c r="K316" i="2" s="1"/>
  <c r="J603" i="1"/>
  <c r="J316" i="2" s="1"/>
  <c r="I603" i="1"/>
  <c r="I316" i="2" s="1"/>
  <c r="AF599" i="1"/>
  <c r="AE599" i="1"/>
  <c r="AB599" i="1"/>
  <c r="Z599" i="1"/>
  <c r="Y599" i="1"/>
  <c r="W599" i="1"/>
  <c r="U599" i="1"/>
  <c r="T599" i="1"/>
  <c r="N599" i="1"/>
  <c r="M599" i="1"/>
  <c r="J599" i="1"/>
  <c r="I599" i="1"/>
  <c r="AF598" i="1"/>
  <c r="AE598" i="1"/>
  <c r="AD598" i="1"/>
  <c r="AD599" i="1" s="1"/>
  <c r="AC598" i="1"/>
  <c r="AC599" i="1" s="1"/>
  <c r="AB598" i="1"/>
  <c r="AA598" i="1"/>
  <c r="AA599" i="1" s="1"/>
  <c r="Z598" i="1"/>
  <c r="Y598" i="1"/>
  <c r="X598" i="1"/>
  <c r="X599" i="1" s="1"/>
  <c r="W598" i="1"/>
  <c r="V598" i="1"/>
  <c r="V599" i="1" s="1"/>
  <c r="U598" i="1"/>
  <c r="T598" i="1"/>
  <c r="S598" i="1"/>
  <c r="S599" i="1" s="1"/>
  <c r="R598" i="1"/>
  <c r="R599" i="1" s="1"/>
  <c r="Q598" i="1"/>
  <c r="Q599" i="1" s="1"/>
  <c r="P598" i="1"/>
  <c r="P599" i="1" s="1"/>
  <c r="O598" i="1"/>
  <c r="O599" i="1" s="1"/>
  <c r="N598" i="1"/>
  <c r="M598" i="1"/>
  <c r="L598" i="1"/>
  <c r="L599" i="1" s="1"/>
  <c r="K598" i="1"/>
  <c r="K599" i="1" s="1"/>
  <c r="J598" i="1"/>
  <c r="I598" i="1"/>
  <c r="AF596" i="1"/>
  <c r="AF315" i="2" s="1"/>
  <c r="AE596" i="1"/>
  <c r="AE315" i="2" s="1"/>
  <c r="AD596" i="1"/>
  <c r="AD315" i="2" s="1"/>
  <c r="AC596" i="1"/>
  <c r="AC315" i="2" s="1"/>
  <c r="AB596" i="1"/>
  <c r="AB315" i="2" s="1"/>
  <c r="AA596" i="1"/>
  <c r="Z596" i="1"/>
  <c r="Z315" i="2" s="1"/>
  <c r="Y596" i="1"/>
  <c r="Y315" i="2" s="1"/>
  <c r="X596" i="1"/>
  <c r="X315" i="2" s="1"/>
  <c r="W596" i="1"/>
  <c r="V596" i="1"/>
  <c r="V315" i="2" s="1"/>
  <c r="U596" i="1"/>
  <c r="U315" i="2" s="1"/>
  <c r="T596" i="1"/>
  <c r="T315" i="2" s="1"/>
  <c r="S596" i="1"/>
  <c r="R596" i="1"/>
  <c r="Q596" i="1"/>
  <c r="P596" i="1"/>
  <c r="P315" i="2" s="1"/>
  <c r="O596" i="1"/>
  <c r="N596" i="1"/>
  <c r="N315" i="2" s="1"/>
  <c r="M596" i="1"/>
  <c r="M315" i="2" s="1"/>
  <c r="L596" i="1"/>
  <c r="L315" i="2" s="1"/>
  <c r="K596" i="1"/>
  <c r="K315" i="2" s="1"/>
  <c r="J596" i="1"/>
  <c r="J315" i="2" s="1"/>
  <c r="I596" i="1"/>
  <c r="I315" i="2" s="1"/>
  <c r="AB592" i="1"/>
  <c r="AA592" i="1"/>
  <c r="Z592" i="1"/>
  <c r="U592" i="1"/>
  <c r="T592" i="1"/>
  <c r="S592" i="1"/>
  <c r="P592" i="1"/>
  <c r="O592" i="1"/>
  <c r="AF591" i="1"/>
  <c r="AF592" i="1" s="1"/>
  <c r="AE591" i="1"/>
  <c r="AE592" i="1" s="1"/>
  <c r="AD591" i="1"/>
  <c r="AD592" i="1" s="1"/>
  <c r="AC591" i="1"/>
  <c r="AC592" i="1" s="1"/>
  <c r="AB591" i="1"/>
  <c r="AA591" i="1"/>
  <c r="Z591" i="1"/>
  <c r="Y591" i="1"/>
  <c r="Y592" i="1" s="1"/>
  <c r="X591" i="1"/>
  <c r="X592" i="1" s="1"/>
  <c r="W591" i="1"/>
  <c r="W592" i="1" s="1"/>
  <c r="V591" i="1"/>
  <c r="V592" i="1" s="1"/>
  <c r="U591" i="1"/>
  <c r="T591" i="1"/>
  <c r="S591" i="1"/>
  <c r="R591" i="1"/>
  <c r="R592" i="1" s="1"/>
  <c r="Q591" i="1"/>
  <c r="Q592" i="1" s="1"/>
  <c r="P591" i="1"/>
  <c r="O591" i="1"/>
  <c r="N591" i="1"/>
  <c r="N592" i="1" s="1"/>
  <c r="M591" i="1"/>
  <c r="M592" i="1" s="1"/>
  <c r="L591" i="1"/>
  <c r="L592" i="1" s="1"/>
  <c r="K591" i="1"/>
  <c r="K592" i="1" s="1"/>
  <c r="J591" i="1"/>
  <c r="J592" i="1" s="1"/>
  <c r="I591" i="1"/>
  <c r="I592" i="1" s="1"/>
  <c r="AF589" i="1"/>
  <c r="AF314" i="2" s="1"/>
  <c r="AE589" i="1"/>
  <c r="AE314" i="2" s="1"/>
  <c r="AD589" i="1"/>
  <c r="AD314" i="2" s="1"/>
  <c r="AC589" i="1"/>
  <c r="AC314" i="2" s="1"/>
  <c r="AB589" i="1"/>
  <c r="AB314" i="2" s="1"/>
  <c r="AA589" i="1"/>
  <c r="AA314" i="2" s="1"/>
  <c r="Z589" i="1"/>
  <c r="Z314" i="2" s="1"/>
  <c r="Y589" i="1"/>
  <c r="Y314" i="2" s="1"/>
  <c r="X589" i="1"/>
  <c r="X314" i="2" s="1"/>
  <c r="W589" i="1"/>
  <c r="W314" i="2" s="1"/>
  <c r="V589" i="1"/>
  <c r="V314" i="2" s="1"/>
  <c r="U589" i="1"/>
  <c r="T589" i="1"/>
  <c r="S589" i="1"/>
  <c r="S314" i="2" s="1"/>
  <c r="R589" i="1"/>
  <c r="Q589" i="1"/>
  <c r="P589" i="1"/>
  <c r="P314" i="2" s="1"/>
  <c r="O589" i="1"/>
  <c r="N589" i="1"/>
  <c r="N314" i="2" s="1"/>
  <c r="M589" i="1"/>
  <c r="M314" i="2" s="1"/>
  <c r="L589" i="1"/>
  <c r="L314" i="2" s="1"/>
  <c r="K589" i="1"/>
  <c r="K314" i="2" s="1"/>
  <c r="J589" i="1"/>
  <c r="J314" i="2" s="1"/>
  <c r="I589" i="1"/>
  <c r="I314" i="2" s="1"/>
  <c r="AF585" i="1"/>
  <c r="AE585" i="1"/>
  <c r="AA585" i="1"/>
  <c r="Z585" i="1"/>
  <c r="V585" i="1"/>
  <c r="U585" i="1"/>
  <c r="Q585" i="1"/>
  <c r="M585" i="1"/>
  <c r="L585" i="1"/>
  <c r="AF584" i="1"/>
  <c r="AE584" i="1"/>
  <c r="AD584" i="1"/>
  <c r="AD585" i="1" s="1"/>
  <c r="AC584" i="1"/>
  <c r="AC585" i="1" s="1"/>
  <c r="AB584" i="1"/>
  <c r="AB585" i="1" s="1"/>
  <c r="AA584" i="1"/>
  <c r="Z584" i="1"/>
  <c r="Y584" i="1"/>
  <c r="Y585" i="1" s="1"/>
  <c r="X584" i="1"/>
  <c r="X585" i="1" s="1"/>
  <c r="W584" i="1"/>
  <c r="W585" i="1" s="1"/>
  <c r="V584" i="1"/>
  <c r="U584" i="1"/>
  <c r="T584" i="1"/>
  <c r="T585" i="1" s="1"/>
  <c r="S584" i="1"/>
  <c r="S585" i="1" s="1"/>
  <c r="R584" i="1"/>
  <c r="R585" i="1" s="1"/>
  <c r="Q584" i="1"/>
  <c r="P584" i="1"/>
  <c r="P585" i="1" s="1"/>
  <c r="O584" i="1"/>
  <c r="O585" i="1" s="1"/>
  <c r="N584" i="1"/>
  <c r="N585" i="1" s="1"/>
  <c r="M584" i="1"/>
  <c r="L584" i="1"/>
  <c r="K584" i="1"/>
  <c r="K585" i="1" s="1"/>
  <c r="J584" i="1"/>
  <c r="J585" i="1" s="1"/>
  <c r="I584" i="1"/>
  <c r="I585" i="1" s="1"/>
  <c r="AF582" i="1"/>
  <c r="AE582" i="1"/>
  <c r="AE313" i="2" s="1"/>
  <c r="AD582" i="1"/>
  <c r="AD313" i="2" s="1"/>
  <c r="AD318" i="2" s="1"/>
  <c r="AD321" i="2" s="1"/>
  <c r="AC582" i="1"/>
  <c r="AC313" i="2" s="1"/>
  <c r="AB582" i="1"/>
  <c r="AB313" i="2" s="1"/>
  <c r="AA582" i="1"/>
  <c r="AA313" i="2" s="1"/>
  <c r="AA318" i="2" s="1"/>
  <c r="AA321" i="2" s="1"/>
  <c r="Z582" i="1"/>
  <c r="Z313" i="2" s="1"/>
  <c r="Z318" i="2" s="1"/>
  <c r="Z321" i="2" s="1"/>
  <c r="Y582" i="1"/>
  <c r="Y313" i="2" s="1"/>
  <c r="Y318" i="2" s="1"/>
  <c r="Y321" i="2" s="1"/>
  <c r="X582" i="1"/>
  <c r="X313" i="2" s="1"/>
  <c r="W582" i="1"/>
  <c r="W313" i="2" s="1"/>
  <c r="V582" i="1"/>
  <c r="V313" i="2" s="1"/>
  <c r="V318" i="2" s="1"/>
  <c r="V321" i="2" s="1"/>
  <c r="U582" i="1"/>
  <c r="U313" i="2" s="1"/>
  <c r="T582" i="1"/>
  <c r="T313" i="2" s="1"/>
  <c r="S582" i="1"/>
  <c r="R582" i="1"/>
  <c r="Q582" i="1"/>
  <c r="Q313" i="2" s="1"/>
  <c r="P582" i="1"/>
  <c r="P313" i="2" s="1"/>
  <c r="O582" i="1"/>
  <c r="N582" i="1"/>
  <c r="N313" i="2" s="1"/>
  <c r="M582" i="1"/>
  <c r="L582" i="1"/>
  <c r="L313" i="2" s="1"/>
  <c r="K582" i="1"/>
  <c r="J582" i="1"/>
  <c r="J313" i="2" s="1"/>
  <c r="I582" i="1"/>
  <c r="I313" i="2" s="1"/>
  <c r="AF577" i="1"/>
  <c r="AD577" i="1"/>
  <c r="AC577" i="1"/>
  <c r="AB577" i="1"/>
  <c r="AA577" i="1"/>
  <c r="U577" i="1"/>
  <c r="R577" i="1"/>
  <c r="O577" i="1"/>
  <c r="K577" i="1"/>
  <c r="J577" i="1"/>
  <c r="AF576" i="1"/>
  <c r="AE576" i="1"/>
  <c r="AE577" i="1" s="1"/>
  <c r="AD576" i="1"/>
  <c r="AC576" i="1"/>
  <c r="AB576" i="1"/>
  <c r="AA576" i="1"/>
  <c r="Z576" i="1"/>
  <c r="Z577" i="1" s="1"/>
  <c r="Y576" i="1"/>
  <c r="Y577" i="1" s="1"/>
  <c r="X576" i="1"/>
  <c r="X577" i="1" s="1"/>
  <c r="W576" i="1"/>
  <c r="W577" i="1" s="1"/>
  <c r="V576" i="1"/>
  <c r="V577" i="1" s="1"/>
  <c r="U576" i="1"/>
  <c r="T576" i="1"/>
  <c r="T577" i="1" s="1"/>
  <c r="S576" i="1"/>
  <c r="S577" i="1" s="1"/>
  <c r="R576" i="1"/>
  <c r="Q576" i="1"/>
  <c r="Q577" i="1" s="1"/>
  <c r="P576" i="1"/>
  <c r="P577" i="1" s="1"/>
  <c r="O576" i="1"/>
  <c r="N576" i="1"/>
  <c r="N577" i="1" s="1"/>
  <c r="M576" i="1"/>
  <c r="M577" i="1" s="1"/>
  <c r="L576" i="1"/>
  <c r="L577" i="1" s="1"/>
  <c r="K576" i="1"/>
  <c r="J576" i="1"/>
  <c r="I576" i="1"/>
  <c r="I577" i="1" s="1"/>
  <c r="AF574" i="1"/>
  <c r="AF301" i="2" s="1"/>
  <c r="AE574" i="1"/>
  <c r="AE301" i="2" s="1"/>
  <c r="AD574" i="1"/>
  <c r="AC574" i="1"/>
  <c r="AB574" i="1"/>
  <c r="AB301" i="2" s="1"/>
  <c r="AA574" i="1"/>
  <c r="AA301" i="2" s="1"/>
  <c r="Z574" i="1"/>
  <c r="Z301" i="2" s="1"/>
  <c r="Y574" i="1"/>
  <c r="X574" i="1"/>
  <c r="X301" i="2" s="1"/>
  <c r="W574" i="1"/>
  <c r="W301" i="2" s="1"/>
  <c r="V574" i="1"/>
  <c r="V301" i="2" s="1"/>
  <c r="U574" i="1"/>
  <c r="U301" i="2" s="1"/>
  <c r="T574" i="1"/>
  <c r="T301" i="2" s="1"/>
  <c r="S574" i="1"/>
  <c r="S301" i="2" s="1"/>
  <c r="R574" i="1"/>
  <c r="R301" i="2" s="1"/>
  <c r="Q574" i="1"/>
  <c r="Q301" i="2" s="1"/>
  <c r="P574" i="1"/>
  <c r="P301" i="2" s="1"/>
  <c r="O574" i="1"/>
  <c r="O301" i="2" s="1"/>
  <c r="N574" i="1"/>
  <c r="N301" i="2" s="1"/>
  <c r="M574" i="1"/>
  <c r="L574" i="1"/>
  <c r="L301" i="2" s="1"/>
  <c r="K574" i="1"/>
  <c r="K301" i="2" s="1"/>
  <c r="J574" i="1"/>
  <c r="J301" i="2" s="1"/>
  <c r="I574" i="1"/>
  <c r="I301" i="2" s="1"/>
  <c r="AD570" i="1"/>
  <c r="AC570" i="1"/>
  <c r="Y570" i="1"/>
  <c r="X570" i="1"/>
  <c r="U570" i="1"/>
  <c r="T570" i="1"/>
  <c r="R570" i="1"/>
  <c r="O570" i="1"/>
  <c r="L570" i="1"/>
  <c r="K570" i="1"/>
  <c r="AF569" i="1"/>
  <c r="AF570" i="1" s="1"/>
  <c r="AE569" i="1"/>
  <c r="AE570" i="1" s="1"/>
  <c r="AD569" i="1"/>
  <c r="AC569" i="1"/>
  <c r="AB569" i="1"/>
  <c r="AB570" i="1" s="1"/>
  <c r="AA569" i="1"/>
  <c r="AA570" i="1" s="1"/>
  <c r="Z569" i="1"/>
  <c r="Z570" i="1" s="1"/>
  <c r="Y569" i="1"/>
  <c r="X569" i="1"/>
  <c r="W569" i="1"/>
  <c r="W570" i="1" s="1"/>
  <c r="V569" i="1"/>
  <c r="V570" i="1" s="1"/>
  <c r="U569" i="1"/>
  <c r="T569" i="1"/>
  <c r="S569" i="1"/>
  <c r="S570" i="1" s="1"/>
  <c r="R569" i="1"/>
  <c r="Q569" i="1"/>
  <c r="Q570" i="1" s="1"/>
  <c r="P569" i="1"/>
  <c r="P570" i="1" s="1"/>
  <c r="O569" i="1"/>
  <c r="N569" i="1"/>
  <c r="N570" i="1" s="1"/>
  <c r="M569" i="1"/>
  <c r="M570" i="1" s="1"/>
  <c r="L569" i="1"/>
  <c r="K569" i="1"/>
  <c r="J569" i="1"/>
  <c r="J570" i="1" s="1"/>
  <c r="I569" i="1"/>
  <c r="I570" i="1" s="1"/>
  <c r="AF567" i="1"/>
  <c r="AF300" i="2" s="1"/>
  <c r="AE567" i="1"/>
  <c r="AE300" i="2" s="1"/>
  <c r="AD567" i="1"/>
  <c r="AD300" i="2" s="1"/>
  <c r="AC567" i="1"/>
  <c r="AB567" i="1"/>
  <c r="AB300" i="2" s="1"/>
  <c r="AA567" i="1"/>
  <c r="AA300" i="2" s="1"/>
  <c r="Z567" i="1"/>
  <c r="Z300" i="2" s="1"/>
  <c r="Y567" i="1"/>
  <c r="Y300" i="2" s="1"/>
  <c r="X567" i="1"/>
  <c r="W567" i="1"/>
  <c r="W300" i="2" s="1"/>
  <c r="V567" i="1"/>
  <c r="V300" i="2" s="1"/>
  <c r="U567" i="1"/>
  <c r="U300" i="2" s="1"/>
  <c r="T567" i="1"/>
  <c r="T300" i="2" s="1"/>
  <c r="S567" i="1"/>
  <c r="R567" i="1"/>
  <c r="R300" i="2" s="1"/>
  <c r="Q567" i="1"/>
  <c r="Q300" i="2" s="1"/>
  <c r="Q302" i="2" s="1"/>
  <c r="Q305" i="2" s="1"/>
  <c r="P567" i="1"/>
  <c r="P300" i="2" s="1"/>
  <c r="O567" i="1"/>
  <c r="O300" i="2" s="1"/>
  <c r="N567" i="1"/>
  <c r="M567" i="1"/>
  <c r="M300" i="2" s="1"/>
  <c r="L567" i="1"/>
  <c r="L300" i="2" s="1"/>
  <c r="K567" i="1"/>
  <c r="J567" i="1"/>
  <c r="J300" i="2" s="1"/>
  <c r="I567" i="1"/>
  <c r="I300" i="2" s="1"/>
  <c r="Z563" i="1"/>
  <c r="Y563" i="1"/>
  <c r="R563" i="1"/>
  <c r="Q563" i="1"/>
  <c r="J563" i="1"/>
  <c r="I563" i="1"/>
  <c r="AF562" i="1"/>
  <c r="AF563" i="1" s="1"/>
  <c r="AE562" i="1"/>
  <c r="AE563" i="1" s="1"/>
  <c r="AD562" i="1"/>
  <c r="AD563" i="1" s="1"/>
  <c r="AC562" i="1"/>
  <c r="AC563" i="1" s="1"/>
  <c r="AB562" i="1"/>
  <c r="AB563" i="1" s="1"/>
  <c r="AA562" i="1"/>
  <c r="AA563" i="1" s="1"/>
  <c r="Z562" i="1"/>
  <c r="Y562" i="1"/>
  <c r="X562" i="1"/>
  <c r="X563" i="1" s="1"/>
  <c r="W562" i="1"/>
  <c r="W563" i="1" s="1"/>
  <c r="V562" i="1"/>
  <c r="V563" i="1" s="1"/>
  <c r="U562" i="1"/>
  <c r="U563" i="1" s="1"/>
  <c r="T562" i="1"/>
  <c r="T563" i="1" s="1"/>
  <c r="S562" i="1"/>
  <c r="S563" i="1" s="1"/>
  <c r="R562" i="1"/>
  <c r="Q562" i="1"/>
  <c r="P562" i="1"/>
  <c r="P563" i="1" s="1"/>
  <c r="O562" i="1"/>
  <c r="O563" i="1" s="1"/>
  <c r="N562" i="1"/>
  <c r="N563" i="1" s="1"/>
  <c r="M562" i="1"/>
  <c r="M563" i="1" s="1"/>
  <c r="L562" i="1"/>
  <c r="L563" i="1" s="1"/>
  <c r="K562" i="1"/>
  <c r="K563" i="1" s="1"/>
  <c r="J562" i="1"/>
  <c r="I562" i="1"/>
  <c r="AF560" i="1"/>
  <c r="AF299" i="2" s="1"/>
  <c r="AE560" i="1"/>
  <c r="AD560" i="1"/>
  <c r="AD299" i="2" s="1"/>
  <c r="AC560" i="1"/>
  <c r="AC299" i="2" s="1"/>
  <c r="AB560" i="1"/>
  <c r="AB299" i="2" s="1"/>
  <c r="AA560" i="1"/>
  <c r="AA299" i="2" s="1"/>
  <c r="Z560" i="1"/>
  <c r="Z299" i="2" s="1"/>
  <c r="Y560" i="1"/>
  <c r="X560" i="1"/>
  <c r="X299" i="2" s="1"/>
  <c r="W560" i="1"/>
  <c r="W299" i="2" s="1"/>
  <c r="V560" i="1"/>
  <c r="V299" i="2" s="1"/>
  <c r="U560" i="1"/>
  <c r="U299" i="2" s="1"/>
  <c r="T560" i="1"/>
  <c r="T299" i="2" s="1"/>
  <c r="S560" i="1"/>
  <c r="S299" i="2" s="1"/>
  <c r="R560" i="1"/>
  <c r="R299" i="2" s="1"/>
  <c r="Q560" i="1"/>
  <c r="Q299" i="2" s="1"/>
  <c r="P560" i="1"/>
  <c r="P299" i="2" s="1"/>
  <c r="O560" i="1"/>
  <c r="O299" i="2" s="1"/>
  <c r="N560" i="1"/>
  <c r="N299" i="2" s="1"/>
  <c r="M560" i="1"/>
  <c r="M299" i="2" s="1"/>
  <c r="L560" i="1"/>
  <c r="L299" i="2" s="1"/>
  <c r="K560" i="1"/>
  <c r="K299" i="2" s="1"/>
  <c r="J560" i="1"/>
  <c r="J299" i="2" s="1"/>
  <c r="I560" i="1"/>
  <c r="I299" i="2" s="1"/>
  <c r="AC556" i="1"/>
  <c r="AB556" i="1"/>
  <c r="AA556" i="1"/>
  <c r="X556" i="1"/>
  <c r="W556" i="1"/>
  <c r="T556" i="1"/>
  <c r="N556" i="1"/>
  <c r="M556" i="1"/>
  <c r="I556" i="1"/>
  <c r="AF555" i="1"/>
  <c r="AF556" i="1" s="1"/>
  <c r="AE555" i="1"/>
  <c r="AE556" i="1" s="1"/>
  <c r="AD555" i="1"/>
  <c r="AD556" i="1" s="1"/>
  <c r="AC555" i="1"/>
  <c r="AB555" i="1"/>
  <c r="AA555" i="1"/>
  <c r="Z555" i="1"/>
  <c r="Z556" i="1" s="1"/>
  <c r="Y555" i="1"/>
  <c r="Y556" i="1" s="1"/>
  <c r="X555" i="1"/>
  <c r="W555" i="1"/>
  <c r="V555" i="1"/>
  <c r="V556" i="1" s="1"/>
  <c r="U555" i="1"/>
  <c r="U556" i="1" s="1"/>
  <c r="T555" i="1"/>
  <c r="S555" i="1"/>
  <c r="S556" i="1" s="1"/>
  <c r="R555" i="1"/>
  <c r="R556" i="1" s="1"/>
  <c r="Q555" i="1"/>
  <c r="Q556" i="1" s="1"/>
  <c r="P555" i="1"/>
  <c r="P556" i="1" s="1"/>
  <c r="O555" i="1"/>
  <c r="O556" i="1" s="1"/>
  <c r="N555" i="1"/>
  <c r="M555" i="1"/>
  <c r="L555" i="1"/>
  <c r="L556" i="1" s="1"/>
  <c r="K555" i="1"/>
  <c r="K556" i="1" s="1"/>
  <c r="J555" i="1"/>
  <c r="J556" i="1" s="1"/>
  <c r="I555" i="1"/>
  <c r="AF553" i="1"/>
  <c r="AF298" i="2" s="1"/>
  <c r="AF302" i="2" s="1"/>
  <c r="AF305" i="2" s="1"/>
  <c r="AE553" i="1"/>
  <c r="AE298" i="2" s="1"/>
  <c r="AD553" i="1"/>
  <c r="AC553" i="1"/>
  <c r="AB553" i="1"/>
  <c r="AA553" i="1"/>
  <c r="AA298" i="2" s="1"/>
  <c r="Z553" i="1"/>
  <c r="Y553" i="1"/>
  <c r="X553" i="1"/>
  <c r="X298" i="2" s="1"/>
  <c r="W553" i="1"/>
  <c r="W298" i="2" s="1"/>
  <c r="V553" i="1"/>
  <c r="V298" i="2" s="1"/>
  <c r="U553" i="1"/>
  <c r="T553" i="1"/>
  <c r="T298" i="2" s="1"/>
  <c r="S553" i="1"/>
  <c r="R553" i="1"/>
  <c r="R298" i="2" s="1"/>
  <c r="Q553" i="1"/>
  <c r="Q298" i="2" s="1"/>
  <c r="P553" i="1"/>
  <c r="O553" i="1"/>
  <c r="O298" i="2" s="1"/>
  <c r="N553" i="1"/>
  <c r="N298" i="2" s="1"/>
  <c r="M553" i="1"/>
  <c r="M298" i="2" s="1"/>
  <c r="L553" i="1"/>
  <c r="L298" i="2" s="1"/>
  <c r="K553" i="1"/>
  <c r="K298" i="2" s="1"/>
  <c r="J553" i="1"/>
  <c r="J298" i="2" s="1"/>
  <c r="I553" i="1"/>
  <c r="I298" i="2" s="1"/>
  <c r="AD549" i="1"/>
  <c r="AC549" i="1"/>
  <c r="Y549" i="1"/>
  <c r="V549" i="1"/>
  <c r="T549" i="1"/>
  <c r="S549" i="1"/>
  <c r="R549" i="1"/>
  <c r="Q549" i="1"/>
  <c r="N549" i="1"/>
  <c r="M549" i="1"/>
  <c r="L549" i="1"/>
  <c r="AF548" i="1"/>
  <c r="AF549" i="1" s="1"/>
  <c r="AE548" i="1"/>
  <c r="AE549" i="1" s="1"/>
  <c r="AD548" i="1"/>
  <c r="AC548" i="1"/>
  <c r="AB548" i="1"/>
  <c r="AB549" i="1" s="1"/>
  <c r="AA548" i="1"/>
  <c r="AA549" i="1" s="1"/>
  <c r="Z548" i="1"/>
  <c r="Z549" i="1" s="1"/>
  <c r="Y548" i="1"/>
  <c r="X548" i="1"/>
  <c r="X549" i="1" s="1"/>
  <c r="W548" i="1"/>
  <c r="W549" i="1" s="1"/>
  <c r="V548" i="1"/>
  <c r="U548" i="1"/>
  <c r="U549" i="1" s="1"/>
  <c r="T548" i="1"/>
  <c r="S548" i="1"/>
  <c r="R548" i="1"/>
  <c r="Q548" i="1"/>
  <c r="P548" i="1"/>
  <c r="P549" i="1" s="1"/>
  <c r="O548" i="1"/>
  <c r="O549" i="1" s="1"/>
  <c r="N548" i="1"/>
  <c r="M548" i="1"/>
  <c r="L548" i="1"/>
  <c r="K548" i="1"/>
  <c r="K549" i="1" s="1"/>
  <c r="J548" i="1"/>
  <c r="J549" i="1" s="1"/>
  <c r="I548" i="1"/>
  <c r="I549" i="1" s="1"/>
  <c r="AF546" i="1"/>
  <c r="AF297" i="2" s="1"/>
  <c r="AE546" i="1"/>
  <c r="AD546" i="1"/>
  <c r="AD297" i="2" s="1"/>
  <c r="AD302" i="2" s="1"/>
  <c r="AD305" i="2" s="1"/>
  <c r="AC546" i="1"/>
  <c r="AC297" i="2" s="1"/>
  <c r="AB546" i="1"/>
  <c r="AB297" i="2" s="1"/>
  <c r="AA546" i="1"/>
  <c r="Z546" i="1"/>
  <c r="Z297" i="2" s="1"/>
  <c r="Y546" i="1"/>
  <c r="Y297" i="2" s="1"/>
  <c r="Y302" i="2" s="1"/>
  <c r="Y305" i="2" s="1"/>
  <c r="X546" i="1"/>
  <c r="X297" i="2" s="1"/>
  <c r="W546" i="1"/>
  <c r="V546" i="1"/>
  <c r="V297" i="2" s="1"/>
  <c r="U546" i="1"/>
  <c r="U297" i="2" s="1"/>
  <c r="T546" i="1"/>
  <c r="S546" i="1"/>
  <c r="S297" i="2" s="1"/>
  <c r="R546" i="1"/>
  <c r="R297" i="2" s="1"/>
  <c r="Q546" i="1"/>
  <c r="Q297" i="2" s="1"/>
  <c r="P546" i="1"/>
  <c r="P297" i="2" s="1"/>
  <c r="O546" i="1"/>
  <c r="N546" i="1"/>
  <c r="N297" i="2" s="1"/>
  <c r="M546" i="1"/>
  <c r="M297" i="2" s="1"/>
  <c r="L546" i="1"/>
  <c r="L297" i="2" s="1"/>
  <c r="K546" i="1"/>
  <c r="K297" i="2" s="1"/>
  <c r="K302" i="2" s="1"/>
  <c r="K305" i="2" s="1"/>
  <c r="J546" i="1"/>
  <c r="J297" i="2" s="1"/>
  <c r="I546" i="1"/>
  <c r="I297" i="2" s="1"/>
  <c r="AF541" i="1"/>
  <c r="Z541" i="1"/>
  <c r="T541" i="1"/>
  <c r="S541" i="1"/>
  <c r="R541" i="1"/>
  <c r="P541" i="1"/>
  <c r="N541" i="1"/>
  <c r="M541" i="1"/>
  <c r="J541" i="1"/>
  <c r="AF540" i="1"/>
  <c r="AE540" i="1"/>
  <c r="AE541" i="1" s="1"/>
  <c r="AD540" i="1"/>
  <c r="AD541" i="1" s="1"/>
  <c r="AC540" i="1"/>
  <c r="AC541" i="1" s="1"/>
  <c r="AB540" i="1"/>
  <c r="AB541" i="1" s="1"/>
  <c r="AA540" i="1"/>
  <c r="AA541" i="1" s="1"/>
  <c r="Z540" i="1"/>
  <c r="Y540" i="1"/>
  <c r="Y541" i="1" s="1"/>
  <c r="X540" i="1"/>
  <c r="X541" i="1" s="1"/>
  <c r="W540" i="1"/>
  <c r="W541" i="1" s="1"/>
  <c r="V540" i="1"/>
  <c r="V541" i="1" s="1"/>
  <c r="U540" i="1"/>
  <c r="U541" i="1" s="1"/>
  <c r="T540" i="1"/>
  <c r="S540" i="1"/>
  <c r="R540" i="1"/>
  <c r="Q540" i="1"/>
  <c r="Q541" i="1" s="1"/>
  <c r="P540" i="1"/>
  <c r="O540" i="1"/>
  <c r="O541" i="1" s="1"/>
  <c r="N540" i="1"/>
  <c r="M540" i="1"/>
  <c r="L540" i="1"/>
  <c r="L541" i="1" s="1"/>
  <c r="K540" i="1"/>
  <c r="K541" i="1" s="1"/>
  <c r="J540" i="1"/>
  <c r="I540" i="1"/>
  <c r="I541" i="1" s="1"/>
  <c r="AF538" i="1"/>
  <c r="AF275" i="2" s="1"/>
  <c r="AE538" i="1"/>
  <c r="AE275" i="2" s="1"/>
  <c r="AD538" i="1"/>
  <c r="AD275" i="2" s="1"/>
  <c r="AC538" i="1"/>
  <c r="AC275" i="2" s="1"/>
  <c r="AB538" i="1"/>
  <c r="AB275" i="2" s="1"/>
  <c r="AA538" i="1"/>
  <c r="AA275" i="2" s="1"/>
  <c r="Z538" i="1"/>
  <c r="Y538" i="1"/>
  <c r="Y275" i="2" s="1"/>
  <c r="X538" i="1"/>
  <c r="W538" i="1"/>
  <c r="V538" i="1"/>
  <c r="U538" i="1"/>
  <c r="T538" i="1"/>
  <c r="T275" i="2" s="1"/>
  <c r="S538" i="1"/>
  <c r="R538" i="1"/>
  <c r="R275" i="2" s="1"/>
  <c r="Q538" i="1"/>
  <c r="Q275" i="2" s="1"/>
  <c r="P538" i="1"/>
  <c r="P275" i="2" s="1"/>
  <c r="O538" i="1"/>
  <c r="N538" i="1"/>
  <c r="N275" i="2" s="1"/>
  <c r="M538" i="1"/>
  <c r="M275" i="2" s="1"/>
  <c r="L538" i="1"/>
  <c r="L275" i="2" s="1"/>
  <c r="K538" i="1"/>
  <c r="K275" i="2" s="1"/>
  <c r="J538" i="1"/>
  <c r="J275" i="2" s="1"/>
  <c r="I538" i="1"/>
  <c r="I275" i="2" s="1"/>
  <c r="AB534" i="1"/>
  <c r="W534" i="1"/>
  <c r="V534" i="1"/>
  <c r="T534" i="1"/>
  <c r="S534" i="1"/>
  <c r="O534" i="1"/>
  <c r="AF533" i="1"/>
  <c r="AF534" i="1" s="1"/>
  <c r="AE533" i="1"/>
  <c r="AE534" i="1" s="1"/>
  <c r="AD533" i="1"/>
  <c r="AD534" i="1" s="1"/>
  <c r="AC533" i="1"/>
  <c r="AC534" i="1" s="1"/>
  <c r="AB533" i="1"/>
  <c r="AA533" i="1"/>
  <c r="AA534" i="1" s="1"/>
  <c r="Z533" i="1"/>
  <c r="Z534" i="1" s="1"/>
  <c r="Y533" i="1"/>
  <c r="Y534" i="1" s="1"/>
  <c r="X533" i="1"/>
  <c r="X534" i="1" s="1"/>
  <c r="W533" i="1"/>
  <c r="V533" i="1"/>
  <c r="U533" i="1"/>
  <c r="U534" i="1" s="1"/>
  <c r="T533" i="1"/>
  <c r="S533" i="1"/>
  <c r="R533" i="1"/>
  <c r="R534" i="1" s="1"/>
  <c r="Q533" i="1"/>
  <c r="Q534" i="1" s="1"/>
  <c r="P533" i="1"/>
  <c r="P534" i="1" s="1"/>
  <c r="O533" i="1"/>
  <c r="N533" i="1"/>
  <c r="N534" i="1" s="1"/>
  <c r="M533" i="1"/>
  <c r="M534" i="1" s="1"/>
  <c r="L533" i="1"/>
  <c r="L534" i="1" s="1"/>
  <c r="K533" i="1"/>
  <c r="K534" i="1" s="1"/>
  <c r="J533" i="1"/>
  <c r="J534" i="1" s="1"/>
  <c r="I533" i="1"/>
  <c r="I534" i="1" s="1"/>
  <c r="AF531" i="1"/>
  <c r="AF274" i="2" s="1"/>
  <c r="AE531" i="1"/>
  <c r="AE274" i="2" s="1"/>
  <c r="AD531" i="1"/>
  <c r="AD274" i="2" s="1"/>
  <c r="AC531" i="1"/>
  <c r="AC274" i="2" s="1"/>
  <c r="AB531" i="1"/>
  <c r="AB274" i="2" s="1"/>
  <c r="AA531" i="1"/>
  <c r="AA274" i="2" s="1"/>
  <c r="Z531" i="1"/>
  <c r="Y531" i="1"/>
  <c r="Y274" i="2" s="1"/>
  <c r="X531" i="1"/>
  <c r="W531" i="1"/>
  <c r="W274" i="2" s="1"/>
  <c r="V531" i="1"/>
  <c r="U531" i="1"/>
  <c r="T531" i="1"/>
  <c r="T274" i="2" s="1"/>
  <c r="S531" i="1"/>
  <c r="S274" i="2" s="1"/>
  <c r="R531" i="1"/>
  <c r="R274" i="2" s="1"/>
  <c r="Q531" i="1"/>
  <c r="P531" i="1"/>
  <c r="P274" i="2" s="1"/>
  <c r="O531" i="1"/>
  <c r="O274" i="2" s="1"/>
  <c r="N531" i="1"/>
  <c r="N274" i="2" s="1"/>
  <c r="M531" i="1"/>
  <c r="M274" i="2" s="1"/>
  <c r="L531" i="1"/>
  <c r="L274" i="2" s="1"/>
  <c r="K531" i="1"/>
  <c r="K274" i="2" s="1"/>
  <c r="J531" i="1"/>
  <c r="J274" i="2" s="1"/>
  <c r="I531" i="1"/>
  <c r="I274" i="2" s="1"/>
  <c r="AE527" i="1"/>
  <c r="Z527" i="1"/>
  <c r="Y527" i="1"/>
  <c r="V527" i="1"/>
  <c r="R527" i="1"/>
  <c r="Q527" i="1"/>
  <c r="I527" i="1"/>
  <c r="AF526" i="1"/>
  <c r="AF527" i="1" s="1"/>
  <c r="AE526" i="1"/>
  <c r="AD526" i="1"/>
  <c r="AD527" i="1" s="1"/>
  <c r="AC526" i="1"/>
  <c r="AC527" i="1" s="1"/>
  <c r="AB526" i="1"/>
  <c r="AB527" i="1" s="1"/>
  <c r="AA526" i="1"/>
  <c r="AA527" i="1" s="1"/>
  <c r="Z526" i="1"/>
  <c r="Y526" i="1"/>
  <c r="X526" i="1"/>
  <c r="X527" i="1" s="1"/>
  <c r="W526" i="1"/>
  <c r="W527" i="1" s="1"/>
  <c r="V526" i="1"/>
  <c r="U526" i="1"/>
  <c r="U527" i="1" s="1"/>
  <c r="T526" i="1"/>
  <c r="T527" i="1" s="1"/>
  <c r="S526" i="1"/>
  <c r="S527" i="1" s="1"/>
  <c r="R526" i="1"/>
  <c r="Q526" i="1"/>
  <c r="P526" i="1"/>
  <c r="P527" i="1" s="1"/>
  <c r="O526" i="1"/>
  <c r="O527" i="1" s="1"/>
  <c r="N526" i="1"/>
  <c r="N527" i="1" s="1"/>
  <c r="M526" i="1"/>
  <c r="M527" i="1" s="1"/>
  <c r="L526" i="1"/>
  <c r="L527" i="1" s="1"/>
  <c r="K526" i="1"/>
  <c r="K527" i="1" s="1"/>
  <c r="J526" i="1"/>
  <c r="J527" i="1" s="1"/>
  <c r="I526" i="1"/>
  <c r="AF524" i="1"/>
  <c r="AF273" i="2" s="1"/>
  <c r="AE524" i="1"/>
  <c r="AE273" i="2" s="1"/>
  <c r="AD524" i="1"/>
  <c r="AD273" i="2" s="1"/>
  <c r="AC524" i="1"/>
  <c r="AC273" i="2" s="1"/>
  <c r="AB524" i="1"/>
  <c r="AB273" i="2" s="1"/>
  <c r="AA524" i="1"/>
  <c r="Z524" i="1"/>
  <c r="Z273" i="2" s="1"/>
  <c r="Y524" i="1"/>
  <c r="Y273" i="2" s="1"/>
  <c r="X524" i="1"/>
  <c r="X273" i="2" s="1"/>
  <c r="W524" i="1"/>
  <c r="V524" i="1"/>
  <c r="V273" i="2" s="1"/>
  <c r="U524" i="1"/>
  <c r="T524" i="1"/>
  <c r="T273" i="2" s="1"/>
  <c r="S524" i="1"/>
  <c r="R524" i="1"/>
  <c r="R273" i="2" s="1"/>
  <c r="Q524" i="1"/>
  <c r="Q273" i="2" s="1"/>
  <c r="P524" i="1"/>
  <c r="P273" i="2" s="1"/>
  <c r="O524" i="1"/>
  <c r="O273" i="2" s="1"/>
  <c r="N524" i="1"/>
  <c r="N273" i="2" s="1"/>
  <c r="M524" i="1"/>
  <c r="M273" i="2" s="1"/>
  <c r="L524" i="1"/>
  <c r="L273" i="2" s="1"/>
  <c r="K524" i="1"/>
  <c r="J524" i="1"/>
  <c r="J273" i="2" s="1"/>
  <c r="I524" i="1"/>
  <c r="AF520" i="1"/>
  <c r="AE520" i="1"/>
  <c r="Z520" i="1"/>
  <c r="Y520" i="1"/>
  <c r="X520" i="1"/>
  <c r="W520" i="1"/>
  <c r="R520" i="1"/>
  <c r="L520" i="1"/>
  <c r="K520" i="1"/>
  <c r="I520" i="1"/>
  <c r="AF519" i="1"/>
  <c r="AE519" i="1"/>
  <c r="AD519" i="1"/>
  <c r="AD520" i="1" s="1"/>
  <c r="AC519" i="1"/>
  <c r="AC520" i="1" s="1"/>
  <c r="AB519" i="1"/>
  <c r="AB520" i="1" s="1"/>
  <c r="AA519" i="1"/>
  <c r="AA520" i="1" s="1"/>
  <c r="Z519" i="1"/>
  <c r="Y519" i="1"/>
  <c r="X519" i="1"/>
  <c r="W519" i="1"/>
  <c r="V519" i="1"/>
  <c r="V520" i="1" s="1"/>
  <c r="U519" i="1"/>
  <c r="U520" i="1" s="1"/>
  <c r="T519" i="1"/>
  <c r="T520" i="1" s="1"/>
  <c r="S519" i="1"/>
  <c r="S520" i="1" s="1"/>
  <c r="R519" i="1"/>
  <c r="Q519" i="1"/>
  <c r="Q520" i="1" s="1"/>
  <c r="P519" i="1"/>
  <c r="P520" i="1" s="1"/>
  <c r="O519" i="1"/>
  <c r="O520" i="1" s="1"/>
  <c r="N519" i="1"/>
  <c r="N520" i="1" s="1"/>
  <c r="M519" i="1"/>
  <c r="M520" i="1" s="1"/>
  <c r="L519" i="1"/>
  <c r="K519" i="1"/>
  <c r="J519" i="1"/>
  <c r="J520" i="1" s="1"/>
  <c r="I519" i="1"/>
  <c r="AF517" i="1"/>
  <c r="AF272" i="2" s="1"/>
  <c r="AE517" i="1"/>
  <c r="AE272" i="2" s="1"/>
  <c r="AD517" i="1"/>
  <c r="AD272" i="2" s="1"/>
  <c r="AC517" i="1"/>
  <c r="AC272" i="2" s="1"/>
  <c r="AB517" i="1"/>
  <c r="AA517" i="1"/>
  <c r="AA272" i="2" s="1"/>
  <c r="Z517" i="1"/>
  <c r="Z272" i="2" s="1"/>
  <c r="Y517" i="1"/>
  <c r="Y272" i="2" s="1"/>
  <c r="X517" i="1"/>
  <c r="W517" i="1"/>
  <c r="V517" i="1"/>
  <c r="U517" i="1"/>
  <c r="U272" i="2" s="1"/>
  <c r="T517" i="1"/>
  <c r="T272" i="2" s="1"/>
  <c r="S517" i="1"/>
  <c r="S272" i="2" s="1"/>
  <c r="R517" i="1"/>
  <c r="Q517" i="1"/>
  <c r="P517" i="1"/>
  <c r="P272" i="2" s="1"/>
  <c r="O517" i="1"/>
  <c r="O272" i="2" s="1"/>
  <c r="N517" i="1"/>
  <c r="M517" i="1"/>
  <c r="M272" i="2" s="1"/>
  <c r="L517" i="1"/>
  <c r="L272" i="2" s="1"/>
  <c r="K517" i="1"/>
  <c r="J517" i="1"/>
  <c r="J272" i="2" s="1"/>
  <c r="I517" i="1"/>
  <c r="AF513" i="1"/>
  <c r="AE513" i="1"/>
  <c r="AD513" i="1"/>
  <c r="AC513" i="1"/>
  <c r="AB513" i="1"/>
  <c r="Z513" i="1"/>
  <c r="W513" i="1"/>
  <c r="U513" i="1"/>
  <c r="T513" i="1"/>
  <c r="R513" i="1"/>
  <c r="Q513" i="1"/>
  <c r="P513" i="1"/>
  <c r="O513" i="1"/>
  <c r="N513" i="1"/>
  <c r="L513" i="1"/>
  <c r="K513" i="1"/>
  <c r="AF512" i="1"/>
  <c r="AE512" i="1"/>
  <c r="AD512" i="1"/>
  <c r="AC512" i="1"/>
  <c r="AB512" i="1"/>
  <c r="AA512" i="1"/>
  <c r="AA513" i="1" s="1"/>
  <c r="Z512" i="1"/>
  <c r="Y512" i="1"/>
  <c r="Y513" i="1" s="1"/>
  <c r="X512" i="1"/>
  <c r="X513" i="1" s="1"/>
  <c r="W512" i="1"/>
  <c r="V512" i="1"/>
  <c r="V513" i="1" s="1"/>
  <c r="U512" i="1"/>
  <c r="T512" i="1"/>
  <c r="S512" i="1"/>
  <c r="S513" i="1" s="1"/>
  <c r="R512" i="1"/>
  <c r="Q512" i="1"/>
  <c r="P512" i="1"/>
  <c r="O512" i="1"/>
  <c r="N512" i="1"/>
  <c r="M512" i="1"/>
  <c r="M513" i="1" s="1"/>
  <c r="L512" i="1"/>
  <c r="K512" i="1"/>
  <c r="J512" i="1"/>
  <c r="J513" i="1" s="1"/>
  <c r="I512" i="1"/>
  <c r="I513" i="1" s="1"/>
  <c r="AF510" i="1"/>
  <c r="AF271" i="2" s="1"/>
  <c r="AE510" i="1"/>
  <c r="AE271" i="2" s="1"/>
  <c r="AD510" i="1"/>
  <c r="AD271" i="2" s="1"/>
  <c r="AC510" i="1"/>
  <c r="AC271" i="2" s="1"/>
  <c r="AB510" i="1"/>
  <c r="AB271" i="2" s="1"/>
  <c r="AA510" i="1"/>
  <c r="AA271" i="2" s="1"/>
  <c r="Z510" i="1"/>
  <c r="Z271" i="2" s="1"/>
  <c r="Y510" i="1"/>
  <c r="Y271" i="2" s="1"/>
  <c r="X510" i="1"/>
  <c r="X271" i="2" s="1"/>
  <c r="X276" i="2" s="1"/>
  <c r="X279" i="2" s="1"/>
  <c r="W510" i="1"/>
  <c r="W271" i="2" s="1"/>
  <c r="V510" i="1"/>
  <c r="V271" i="2" s="1"/>
  <c r="V276" i="2" s="1"/>
  <c r="V279" i="2" s="1"/>
  <c r="U510" i="1"/>
  <c r="U271" i="2" s="1"/>
  <c r="T510" i="1"/>
  <c r="T271" i="2" s="1"/>
  <c r="S510" i="1"/>
  <c r="S271" i="2" s="1"/>
  <c r="R510" i="1"/>
  <c r="Q510" i="1"/>
  <c r="P510" i="1"/>
  <c r="P271" i="2" s="1"/>
  <c r="O510" i="1"/>
  <c r="O271" i="2" s="1"/>
  <c r="O276" i="2" s="1"/>
  <c r="O279" i="2" s="1"/>
  <c r="N510" i="1"/>
  <c r="N271" i="2" s="1"/>
  <c r="M510" i="1"/>
  <c r="M271" i="2" s="1"/>
  <c r="L510" i="1"/>
  <c r="L271" i="2" s="1"/>
  <c r="K510" i="1"/>
  <c r="K271" i="2" s="1"/>
  <c r="J510" i="1"/>
  <c r="J271" i="2" s="1"/>
  <c r="I510" i="1"/>
  <c r="I271" i="2" s="1"/>
  <c r="AA505" i="1"/>
  <c r="V505" i="1"/>
  <c r="U505" i="1"/>
  <c r="Q505" i="1"/>
  <c r="N505" i="1"/>
  <c r="AF504" i="1"/>
  <c r="AF505" i="1" s="1"/>
  <c r="AE504" i="1"/>
  <c r="AE505" i="1" s="1"/>
  <c r="AD504" i="1"/>
  <c r="AD505" i="1" s="1"/>
  <c r="AC504" i="1"/>
  <c r="AC505" i="1" s="1"/>
  <c r="AB504" i="1"/>
  <c r="AB505" i="1" s="1"/>
  <c r="AA504" i="1"/>
  <c r="Z504" i="1"/>
  <c r="Z505" i="1" s="1"/>
  <c r="Y504" i="1"/>
  <c r="Y505" i="1" s="1"/>
  <c r="X504" i="1"/>
  <c r="X505" i="1" s="1"/>
  <c r="W504" i="1"/>
  <c r="W505" i="1" s="1"/>
  <c r="V504" i="1"/>
  <c r="U504" i="1"/>
  <c r="T504" i="1"/>
  <c r="T505" i="1" s="1"/>
  <c r="S504" i="1"/>
  <c r="S505" i="1" s="1"/>
  <c r="R504" i="1"/>
  <c r="R505" i="1" s="1"/>
  <c r="Q504" i="1"/>
  <c r="P504" i="1"/>
  <c r="P505" i="1" s="1"/>
  <c r="O504" i="1"/>
  <c r="O505" i="1" s="1"/>
  <c r="N504" i="1"/>
  <c r="M504" i="1"/>
  <c r="M505" i="1" s="1"/>
  <c r="L504" i="1"/>
  <c r="L505" i="1" s="1"/>
  <c r="K504" i="1"/>
  <c r="K505" i="1" s="1"/>
  <c r="J504" i="1"/>
  <c r="J505" i="1" s="1"/>
  <c r="I504" i="1"/>
  <c r="I505" i="1" s="1"/>
  <c r="AF502" i="1"/>
  <c r="AF261" i="2" s="1"/>
  <c r="AE502" i="1"/>
  <c r="AE261" i="2" s="1"/>
  <c r="AD502" i="1"/>
  <c r="AD261" i="2" s="1"/>
  <c r="AC502" i="1"/>
  <c r="AC261" i="2" s="1"/>
  <c r="AB502" i="1"/>
  <c r="AB261" i="2" s="1"/>
  <c r="AA502" i="1"/>
  <c r="AA261" i="2" s="1"/>
  <c r="Z502" i="1"/>
  <c r="Z261" i="2" s="1"/>
  <c r="Y502" i="1"/>
  <c r="Y261" i="2" s="1"/>
  <c r="X502" i="1"/>
  <c r="X261" i="2" s="1"/>
  <c r="W502" i="1"/>
  <c r="V502" i="1"/>
  <c r="V261" i="2" s="1"/>
  <c r="U502" i="1"/>
  <c r="U261" i="2" s="1"/>
  <c r="T502" i="1"/>
  <c r="T261" i="2" s="1"/>
  <c r="S502" i="1"/>
  <c r="S261" i="2" s="1"/>
  <c r="R502" i="1"/>
  <c r="R261" i="2" s="1"/>
  <c r="Q502" i="1"/>
  <c r="Q261" i="2" s="1"/>
  <c r="P502" i="1"/>
  <c r="O502" i="1"/>
  <c r="O261" i="2" s="1"/>
  <c r="N502" i="1"/>
  <c r="N261" i="2" s="1"/>
  <c r="M502" i="1"/>
  <c r="M261" i="2" s="1"/>
  <c r="L502" i="1"/>
  <c r="L261" i="2" s="1"/>
  <c r="K502" i="1"/>
  <c r="K261" i="2" s="1"/>
  <c r="J502" i="1"/>
  <c r="J261" i="2" s="1"/>
  <c r="I502" i="1"/>
  <c r="I261" i="2" s="1"/>
  <c r="AF498" i="1"/>
  <c r="AD498" i="1"/>
  <c r="AB498" i="1"/>
  <c r="AA498" i="1"/>
  <c r="Z498" i="1"/>
  <c r="W498" i="1"/>
  <c r="V498" i="1"/>
  <c r="Q498" i="1"/>
  <c r="AF497" i="1"/>
  <c r="AE497" i="1"/>
  <c r="AE498" i="1" s="1"/>
  <c r="AD497" i="1"/>
  <c r="AC497" i="1"/>
  <c r="AC498" i="1" s="1"/>
  <c r="AB497" i="1"/>
  <c r="AA497" i="1"/>
  <c r="Z497" i="1"/>
  <c r="Y497" i="1"/>
  <c r="Y498" i="1" s="1"/>
  <c r="X497" i="1"/>
  <c r="X498" i="1" s="1"/>
  <c r="W497" i="1"/>
  <c r="V497" i="1"/>
  <c r="U497" i="1"/>
  <c r="U498" i="1" s="1"/>
  <c r="T497" i="1"/>
  <c r="T498" i="1" s="1"/>
  <c r="S497" i="1"/>
  <c r="S498" i="1" s="1"/>
  <c r="R497" i="1"/>
  <c r="R498" i="1" s="1"/>
  <c r="Q497" i="1"/>
  <c r="P497" i="1"/>
  <c r="P498" i="1" s="1"/>
  <c r="O497" i="1"/>
  <c r="O498" i="1" s="1"/>
  <c r="N497" i="1"/>
  <c r="N498" i="1" s="1"/>
  <c r="M497" i="1"/>
  <c r="M498" i="1" s="1"/>
  <c r="L497" i="1"/>
  <c r="L498" i="1" s="1"/>
  <c r="K497" i="1"/>
  <c r="K498" i="1" s="1"/>
  <c r="J497" i="1"/>
  <c r="J498" i="1" s="1"/>
  <c r="I497" i="1"/>
  <c r="I498" i="1" s="1"/>
  <c r="AF495" i="1"/>
  <c r="AF260" i="2" s="1"/>
  <c r="AE495" i="1"/>
  <c r="AE260" i="2" s="1"/>
  <c r="AD495" i="1"/>
  <c r="AD260" i="2" s="1"/>
  <c r="AC495" i="1"/>
  <c r="AB495" i="1"/>
  <c r="AB260" i="2" s="1"/>
  <c r="AA495" i="1"/>
  <c r="AA260" i="2" s="1"/>
  <c r="Z495" i="1"/>
  <c r="Z260" i="2" s="1"/>
  <c r="Y495" i="1"/>
  <c r="X495" i="1"/>
  <c r="W495" i="1"/>
  <c r="W260" i="2" s="1"/>
  <c r="V495" i="1"/>
  <c r="V260" i="2" s="1"/>
  <c r="U495" i="1"/>
  <c r="T495" i="1"/>
  <c r="T260" i="2" s="1"/>
  <c r="S495" i="1"/>
  <c r="S260" i="2" s="1"/>
  <c r="R495" i="1"/>
  <c r="R260" i="2" s="1"/>
  <c r="Q495" i="1"/>
  <c r="P495" i="1"/>
  <c r="P260" i="2" s="1"/>
  <c r="O495" i="1"/>
  <c r="O260" i="2" s="1"/>
  <c r="N495" i="1"/>
  <c r="N260" i="2" s="1"/>
  <c r="M495" i="1"/>
  <c r="M260" i="2" s="1"/>
  <c r="L495" i="1"/>
  <c r="L260" i="2" s="1"/>
  <c r="K495" i="1"/>
  <c r="K260" i="2" s="1"/>
  <c r="J495" i="1"/>
  <c r="J260" i="2" s="1"/>
  <c r="I495" i="1"/>
  <c r="I260" i="2" s="1"/>
  <c r="AD491" i="1"/>
  <c r="AB491" i="1"/>
  <c r="AA491" i="1"/>
  <c r="Z491" i="1"/>
  <c r="X491" i="1"/>
  <c r="V491" i="1"/>
  <c r="S491" i="1"/>
  <c r="P491" i="1"/>
  <c r="K491" i="1"/>
  <c r="AF490" i="1"/>
  <c r="AF491" i="1" s="1"/>
  <c r="AE490" i="1"/>
  <c r="AE491" i="1" s="1"/>
  <c r="AD490" i="1"/>
  <c r="AC490" i="1"/>
  <c r="AC491" i="1" s="1"/>
  <c r="AB490" i="1"/>
  <c r="AA490" i="1"/>
  <c r="Z490" i="1"/>
  <c r="Y490" i="1"/>
  <c r="Y491" i="1" s="1"/>
  <c r="X490" i="1"/>
  <c r="W490" i="1"/>
  <c r="W491" i="1" s="1"/>
  <c r="V490" i="1"/>
  <c r="U490" i="1"/>
  <c r="U491" i="1" s="1"/>
  <c r="T490" i="1"/>
  <c r="T491" i="1" s="1"/>
  <c r="S490" i="1"/>
  <c r="R490" i="1"/>
  <c r="R491" i="1" s="1"/>
  <c r="Q490" i="1"/>
  <c r="Q491" i="1" s="1"/>
  <c r="P490" i="1"/>
  <c r="O490" i="1"/>
  <c r="O491" i="1" s="1"/>
  <c r="N490" i="1"/>
  <c r="N491" i="1" s="1"/>
  <c r="M490" i="1"/>
  <c r="M491" i="1" s="1"/>
  <c r="L490" i="1"/>
  <c r="L491" i="1" s="1"/>
  <c r="K490" i="1"/>
  <c r="J490" i="1"/>
  <c r="J491" i="1" s="1"/>
  <c r="I490" i="1"/>
  <c r="I491" i="1" s="1"/>
  <c r="AF488" i="1"/>
  <c r="AF259" i="2" s="1"/>
  <c r="AE488" i="1"/>
  <c r="AE259" i="2" s="1"/>
  <c r="AD488" i="1"/>
  <c r="AD259" i="2" s="1"/>
  <c r="AC488" i="1"/>
  <c r="AC259" i="2" s="1"/>
  <c r="AB488" i="1"/>
  <c r="AA488" i="1"/>
  <c r="AA259" i="2" s="1"/>
  <c r="Z488" i="1"/>
  <c r="Y488" i="1"/>
  <c r="Y259" i="2" s="1"/>
  <c r="X488" i="1"/>
  <c r="X259" i="2" s="1"/>
  <c r="W488" i="1"/>
  <c r="V488" i="1"/>
  <c r="V259" i="2" s="1"/>
  <c r="U488" i="1"/>
  <c r="T488" i="1"/>
  <c r="T259" i="2" s="1"/>
  <c r="S488" i="1"/>
  <c r="S259" i="2" s="1"/>
  <c r="R488" i="1"/>
  <c r="R259" i="2" s="1"/>
  <c r="Q488" i="1"/>
  <c r="Q259" i="2" s="1"/>
  <c r="P488" i="1"/>
  <c r="O488" i="1"/>
  <c r="O259" i="2" s="1"/>
  <c r="N488" i="1"/>
  <c r="N259" i="2" s="1"/>
  <c r="M488" i="1"/>
  <c r="L488" i="1"/>
  <c r="L259" i="2" s="1"/>
  <c r="K488" i="1"/>
  <c r="K259" i="2" s="1"/>
  <c r="J488" i="1"/>
  <c r="I488" i="1"/>
  <c r="I259" i="2" s="1"/>
  <c r="AE484" i="1"/>
  <c r="AC484" i="1"/>
  <c r="X484" i="1"/>
  <c r="W484" i="1"/>
  <c r="U484" i="1"/>
  <c r="Q484" i="1"/>
  <c r="M484" i="1"/>
  <c r="I484" i="1"/>
  <c r="AF483" i="1"/>
  <c r="AF484" i="1" s="1"/>
  <c r="AE483" i="1"/>
  <c r="AD483" i="1"/>
  <c r="AD484" i="1" s="1"/>
  <c r="AC483" i="1"/>
  <c r="AB483" i="1"/>
  <c r="AB484" i="1" s="1"/>
  <c r="AA483" i="1"/>
  <c r="AA484" i="1" s="1"/>
  <c r="Z483" i="1"/>
  <c r="Z484" i="1" s="1"/>
  <c r="Y483" i="1"/>
  <c r="Y484" i="1" s="1"/>
  <c r="X483" i="1"/>
  <c r="W483" i="1"/>
  <c r="V483" i="1"/>
  <c r="V484" i="1" s="1"/>
  <c r="U483" i="1"/>
  <c r="T483" i="1"/>
  <c r="T484" i="1" s="1"/>
  <c r="S483" i="1"/>
  <c r="S484" i="1" s="1"/>
  <c r="R483" i="1"/>
  <c r="R484" i="1" s="1"/>
  <c r="Q483" i="1"/>
  <c r="P483" i="1"/>
  <c r="P484" i="1" s="1"/>
  <c r="O483" i="1"/>
  <c r="O484" i="1" s="1"/>
  <c r="N483" i="1"/>
  <c r="N484" i="1" s="1"/>
  <c r="M483" i="1"/>
  <c r="L483" i="1"/>
  <c r="L484" i="1" s="1"/>
  <c r="K483" i="1"/>
  <c r="K484" i="1" s="1"/>
  <c r="J483" i="1"/>
  <c r="J484" i="1" s="1"/>
  <c r="I483" i="1"/>
  <c r="AF481" i="1"/>
  <c r="AF258" i="2" s="1"/>
  <c r="AE481" i="1"/>
  <c r="AD481" i="1"/>
  <c r="AD258" i="2" s="1"/>
  <c r="AC481" i="1"/>
  <c r="AC258" i="2" s="1"/>
  <c r="AB481" i="1"/>
  <c r="AB258" i="2" s="1"/>
  <c r="AA481" i="1"/>
  <c r="AA258" i="2" s="1"/>
  <c r="Z481" i="1"/>
  <c r="Z258" i="2" s="1"/>
  <c r="Y481" i="1"/>
  <c r="Y258" i="2" s="1"/>
  <c r="X481" i="1"/>
  <c r="X258" i="2" s="1"/>
  <c r="W481" i="1"/>
  <c r="W258" i="2" s="1"/>
  <c r="V481" i="1"/>
  <c r="V258" i="2" s="1"/>
  <c r="U481" i="1"/>
  <c r="U258" i="2" s="1"/>
  <c r="T481" i="1"/>
  <c r="S481" i="1"/>
  <c r="S258" i="2" s="1"/>
  <c r="R481" i="1"/>
  <c r="R258" i="2" s="1"/>
  <c r="Q481" i="1"/>
  <c r="Q258" i="2" s="1"/>
  <c r="P481" i="1"/>
  <c r="P258" i="2" s="1"/>
  <c r="O481" i="1"/>
  <c r="O258" i="2" s="1"/>
  <c r="N481" i="1"/>
  <c r="N258" i="2" s="1"/>
  <c r="M481" i="1"/>
  <c r="M258" i="2" s="1"/>
  <c r="L481" i="1"/>
  <c r="L258" i="2" s="1"/>
  <c r="K481" i="1"/>
  <c r="K258" i="2" s="1"/>
  <c r="J481" i="1"/>
  <c r="J258" i="2" s="1"/>
  <c r="I481" i="1"/>
  <c r="I258" i="2" s="1"/>
  <c r="AF477" i="1"/>
  <c r="AD477" i="1"/>
  <c r="AC477" i="1"/>
  <c r="S477" i="1"/>
  <c r="P477" i="1"/>
  <c r="O477" i="1"/>
  <c r="I477" i="1"/>
  <c r="AF476" i="1"/>
  <c r="AE476" i="1"/>
  <c r="AE477" i="1" s="1"/>
  <c r="AD476" i="1"/>
  <c r="AC476" i="1"/>
  <c r="AB476" i="1"/>
  <c r="AB477" i="1" s="1"/>
  <c r="AA476" i="1"/>
  <c r="AA477" i="1" s="1"/>
  <c r="Z476" i="1"/>
  <c r="Z477" i="1" s="1"/>
  <c r="Y476" i="1"/>
  <c r="Y477" i="1" s="1"/>
  <c r="X476" i="1"/>
  <c r="X477" i="1" s="1"/>
  <c r="W476" i="1"/>
  <c r="W477" i="1" s="1"/>
  <c r="V476" i="1"/>
  <c r="V477" i="1" s="1"/>
  <c r="U476" i="1"/>
  <c r="U477" i="1" s="1"/>
  <c r="T476" i="1"/>
  <c r="T477" i="1" s="1"/>
  <c r="S476" i="1"/>
  <c r="R476" i="1"/>
  <c r="R477" i="1" s="1"/>
  <c r="Q476" i="1"/>
  <c r="Q477" i="1" s="1"/>
  <c r="P476" i="1"/>
  <c r="O476" i="1"/>
  <c r="N476" i="1"/>
  <c r="N477" i="1" s="1"/>
  <c r="M476" i="1"/>
  <c r="M477" i="1" s="1"/>
  <c r="L476" i="1"/>
  <c r="L477" i="1" s="1"/>
  <c r="K476" i="1"/>
  <c r="K477" i="1" s="1"/>
  <c r="J476" i="1"/>
  <c r="J477" i="1" s="1"/>
  <c r="I476" i="1"/>
  <c r="AF474" i="1"/>
  <c r="AF257" i="2" s="1"/>
  <c r="AE474" i="1"/>
  <c r="AE257" i="2" s="1"/>
  <c r="AD474" i="1"/>
  <c r="AD257" i="2" s="1"/>
  <c r="AC474" i="1"/>
  <c r="AC257" i="2" s="1"/>
  <c r="AC262" i="2" s="1"/>
  <c r="AC265" i="2" s="1"/>
  <c r="AB474" i="1"/>
  <c r="AA474" i="1"/>
  <c r="AA257" i="2" s="1"/>
  <c r="AA262" i="2" s="1"/>
  <c r="AA265" i="2" s="1"/>
  <c r="Z474" i="1"/>
  <c r="Z257" i="2" s="1"/>
  <c r="Z262" i="2" s="1"/>
  <c r="Z265" i="2" s="1"/>
  <c r="Y474" i="1"/>
  <c r="Y257" i="2" s="1"/>
  <c r="Y262" i="2" s="1"/>
  <c r="Y265" i="2" s="1"/>
  <c r="X474" i="1"/>
  <c r="X257" i="2" s="1"/>
  <c r="X262" i="2" s="1"/>
  <c r="X265" i="2" s="1"/>
  <c r="W474" i="1"/>
  <c r="V474" i="1"/>
  <c r="V257" i="2" s="1"/>
  <c r="U474" i="1"/>
  <c r="T474" i="1"/>
  <c r="T257" i="2" s="1"/>
  <c r="S474" i="1"/>
  <c r="S257" i="2" s="1"/>
  <c r="R474" i="1"/>
  <c r="R257" i="2" s="1"/>
  <c r="Q474" i="1"/>
  <c r="Q257" i="2" s="1"/>
  <c r="P474" i="1"/>
  <c r="P257" i="2" s="1"/>
  <c r="O474" i="1"/>
  <c r="O257" i="2" s="1"/>
  <c r="N474" i="1"/>
  <c r="N257" i="2" s="1"/>
  <c r="M474" i="1"/>
  <c r="M257" i="2" s="1"/>
  <c r="L474" i="1"/>
  <c r="K474" i="1"/>
  <c r="K257" i="2" s="1"/>
  <c r="J474" i="1"/>
  <c r="J257" i="2" s="1"/>
  <c r="J262" i="2" s="1"/>
  <c r="J265" i="2" s="1"/>
  <c r="I474" i="1"/>
  <c r="I257" i="2" s="1"/>
  <c r="AF469" i="1"/>
  <c r="AE469" i="1"/>
  <c r="AB469" i="1"/>
  <c r="AA469" i="1"/>
  <c r="Z469" i="1"/>
  <c r="Y469" i="1"/>
  <c r="X469" i="1"/>
  <c r="U469" i="1"/>
  <c r="T469" i="1"/>
  <c r="M469" i="1"/>
  <c r="AF468" i="1"/>
  <c r="AE468" i="1"/>
  <c r="AD468" i="1"/>
  <c r="AD469" i="1" s="1"/>
  <c r="AC468" i="1"/>
  <c r="AC469" i="1" s="1"/>
  <c r="AB468" i="1"/>
  <c r="AA468" i="1"/>
  <c r="Z468" i="1"/>
  <c r="Y468" i="1"/>
  <c r="X468" i="1"/>
  <c r="W468" i="1"/>
  <c r="W469" i="1" s="1"/>
  <c r="V468" i="1"/>
  <c r="V469" i="1" s="1"/>
  <c r="U468" i="1"/>
  <c r="T468" i="1"/>
  <c r="S468" i="1"/>
  <c r="S469" i="1" s="1"/>
  <c r="R468" i="1"/>
  <c r="R469" i="1" s="1"/>
  <c r="Q468" i="1"/>
  <c r="Q469" i="1" s="1"/>
  <c r="P468" i="1"/>
  <c r="P469" i="1" s="1"/>
  <c r="O468" i="1"/>
  <c r="O469" i="1" s="1"/>
  <c r="N468" i="1"/>
  <c r="N469" i="1" s="1"/>
  <c r="M468" i="1"/>
  <c r="L468" i="1"/>
  <c r="L469" i="1" s="1"/>
  <c r="K468" i="1"/>
  <c r="K469" i="1" s="1"/>
  <c r="J468" i="1"/>
  <c r="J469" i="1" s="1"/>
  <c r="I468" i="1"/>
  <c r="I469" i="1" s="1"/>
  <c r="AF466" i="1"/>
  <c r="AE466" i="1"/>
  <c r="AE238" i="2" s="1"/>
  <c r="AD466" i="1"/>
  <c r="AC466" i="1"/>
  <c r="AC238" i="2" s="1"/>
  <c r="AB466" i="1"/>
  <c r="AB238" i="2" s="1"/>
  <c r="AA466" i="1"/>
  <c r="Z466" i="1"/>
  <c r="Z238" i="2" s="1"/>
  <c r="Y466" i="1"/>
  <c r="Y238" i="2" s="1"/>
  <c r="X466" i="1"/>
  <c r="X238" i="2" s="1"/>
  <c r="W466" i="1"/>
  <c r="W238" i="2" s="1"/>
  <c r="V466" i="1"/>
  <c r="V238" i="2" s="1"/>
  <c r="U466" i="1"/>
  <c r="T466" i="1"/>
  <c r="T238" i="2" s="1"/>
  <c r="S466" i="1"/>
  <c r="S238" i="2" s="1"/>
  <c r="R466" i="1"/>
  <c r="Q466" i="1"/>
  <c r="Q238" i="2" s="1"/>
  <c r="P466" i="1"/>
  <c r="P238" i="2" s="1"/>
  <c r="O466" i="1"/>
  <c r="O238" i="2" s="1"/>
  <c r="N466" i="1"/>
  <c r="N238" i="2" s="1"/>
  <c r="M466" i="1"/>
  <c r="L466" i="1"/>
  <c r="L238" i="2" s="1"/>
  <c r="K466" i="1"/>
  <c r="K238" i="2" s="1"/>
  <c r="J466" i="1"/>
  <c r="J238" i="2" s="1"/>
  <c r="I466" i="1"/>
  <c r="I238" i="2" s="1"/>
  <c r="AE462" i="1"/>
  <c r="AD462" i="1"/>
  <c r="AB462" i="1"/>
  <c r="AA462" i="1"/>
  <c r="Z462" i="1"/>
  <c r="X462" i="1"/>
  <c r="W462" i="1"/>
  <c r="S462" i="1"/>
  <c r="Q462" i="1"/>
  <c r="M462" i="1"/>
  <c r="L462" i="1"/>
  <c r="I462" i="1"/>
  <c r="AF461" i="1"/>
  <c r="AF462" i="1" s="1"/>
  <c r="AE461" i="1"/>
  <c r="AD461" i="1"/>
  <c r="AC461" i="1"/>
  <c r="AC462" i="1" s="1"/>
  <c r="AB461" i="1"/>
  <c r="AA461" i="1"/>
  <c r="Z461" i="1"/>
  <c r="Y461" i="1"/>
  <c r="Y462" i="1" s="1"/>
  <c r="X461" i="1"/>
  <c r="W461" i="1"/>
  <c r="V461" i="1"/>
  <c r="V462" i="1" s="1"/>
  <c r="U461" i="1"/>
  <c r="U462" i="1" s="1"/>
  <c r="T461" i="1"/>
  <c r="T462" i="1" s="1"/>
  <c r="S461" i="1"/>
  <c r="R461" i="1"/>
  <c r="R462" i="1" s="1"/>
  <c r="Q461" i="1"/>
  <c r="P461" i="1"/>
  <c r="P462" i="1" s="1"/>
  <c r="O461" i="1"/>
  <c r="O462" i="1" s="1"/>
  <c r="N461" i="1"/>
  <c r="N462" i="1" s="1"/>
  <c r="M461" i="1"/>
  <c r="L461" i="1"/>
  <c r="K461" i="1"/>
  <c r="K462" i="1" s="1"/>
  <c r="J461" i="1"/>
  <c r="J462" i="1" s="1"/>
  <c r="I461" i="1"/>
  <c r="AF459" i="1"/>
  <c r="AF237" i="2" s="1"/>
  <c r="AE459" i="1"/>
  <c r="AD459" i="1"/>
  <c r="AD237" i="2" s="1"/>
  <c r="AC459" i="1"/>
  <c r="AB459" i="1"/>
  <c r="AB237" i="2" s="1"/>
  <c r="AA459" i="1"/>
  <c r="AA237" i="2" s="1"/>
  <c r="Z459" i="1"/>
  <c r="Z237" i="2" s="1"/>
  <c r="Y459" i="1"/>
  <c r="X459" i="1"/>
  <c r="W459" i="1"/>
  <c r="W237" i="2" s="1"/>
  <c r="V459" i="1"/>
  <c r="V237" i="2" s="1"/>
  <c r="U459" i="1"/>
  <c r="U237" i="2" s="1"/>
  <c r="T459" i="1"/>
  <c r="T237" i="2" s="1"/>
  <c r="S459" i="1"/>
  <c r="R459" i="1"/>
  <c r="R237" i="2" s="1"/>
  <c r="Q459" i="1"/>
  <c r="P459" i="1"/>
  <c r="P237" i="2" s="1"/>
  <c r="O459" i="1"/>
  <c r="O237" i="2" s="1"/>
  <c r="N459" i="1"/>
  <c r="N237" i="2" s="1"/>
  <c r="M459" i="1"/>
  <c r="M237" i="2" s="1"/>
  <c r="L459" i="1"/>
  <c r="L237" i="2" s="1"/>
  <c r="K459" i="1"/>
  <c r="K237" i="2" s="1"/>
  <c r="J459" i="1"/>
  <c r="J237" i="2" s="1"/>
  <c r="I459" i="1"/>
  <c r="I237" i="2" s="1"/>
  <c r="AF455" i="1"/>
  <c r="Z455" i="1"/>
  <c r="X455" i="1"/>
  <c r="W455" i="1"/>
  <c r="V455" i="1"/>
  <c r="U455" i="1"/>
  <c r="O455" i="1"/>
  <c r="K455" i="1"/>
  <c r="J455" i="1"/>
  <c r="AF454" i="1"/>
  <c r="AE454" i="1"/>
  <c r="AE455" i="1" s="1"/>
  <c r="AD454" i="1"/>
  <c r="AD455" i="1" s="1"/>
  <c r="AC454" i="1"/>
  <c r="AC455" i="1" s="1"/>
  <c r="AB454" i="1"/>
  <c r="AB455" i="1" s="1"/>
  <c r="AA454" i="1"/>
  <c r="AA455" i="1" s="1"/>
  <c r="Z454" i="1"/>
  <c r="Y454" i="1"/>
  <c r="Y455" i="1" s="1"/>
  <c r="X454" i="1"/>
  <c r="W454" i="1"/>
  <c r="V454" i="1"/>
  <c r="U454" i="1"/>
  <c r="T454" i="1"/>
  <c r="T455" i="1" s="1"/>
  <c r="S454" i="1"/>
  <c r="S455" i="1" s="1"/>
  <c r="R454" i="1"/>
  <c r="R455" i="1" s="1"/>
  <c r="Q454" i="1"/>
  <c r="Q455" i="1" s="1"/>
  <c r="P454" i="1"/>
  <c r="P455" i="1" s="1"/>
  <c r="O454" i="1"/>
  <c r="N454" i="1"/>
  <c r="N455" i="1" s="1"/>
  <c r="M454" i="1"/>
  <c r="M455" i="1" s="1"/>
  <c r="L454" i="1"/>
  <c r="L455" i="1" s="1"/>
  <c r="K454" i="1"/>
  <c r="J454" i="1"/>
  <c r="I454" i="1"/>
  <c r="I455" i="1" s="1"/>
  <c r="AF452" i="1"/>
  <c r="AF236" i="2" s="1"/>
  <c r="AE452" i="1"/>
  <c r="AE236" i="2" s="1"/>
  <c r="AD452" i="1"/>
  <c r="AD236" i="2" s="1"/>
  <c r="AC452" i="1"/>
  <c r="AC236" i="2" s="1"/>
  <c r="AB452" i="1"/>
  <c r="AB236" i="2" s="1"/>
  <c r="AA452" i="1"/>
  <c r="AA236" i="2" s="1"/>
  <c r="Z452" i="1"/>
  <c r="Z236" i="2" s="1"/>
  <c r="Y452" i="1"/>
  <c r="Y236" i="2" s="1"/>
  <c r="X452" i="1"/>
  <c r="X236" i="2" s="1"/>
  <c r="W452" i="1"/>
  <c r="W236" i="2" s="1"/>
  <c r="V452" i="1"/>
  <c r="U452" i="1"/>
  <c r="U236" i="2" s="1"/>
  <c r="T452" i="1"/>
  <c r="T236" i="2" s="1"/>
  <c r="S452" i="1"/>
  <c r="S236" i="2" s="1"/>
  <c r="R452" i="1"/>
  <c r="R236" i="2" s="1"/>
  <c r="Q452" i="1"/>
  <c r="P452" i="1"/>
  <c r="P236" i="2" s="1"/>
  <c r="O452" i="1"/>
  <c r="O236" i="2" s="1"/>
  <c r="N452" i="1"/>
  <c r="N236" i="2" s="1"/>
  <c r="M452" i="1"/>
  <c r="L452" i="1"/>
  <c r="L236" i="2" s="1"/>
  <c r="K452" i="1"/>
  <c r="K236" i="2" s="1"/>
  <c r="J452" i="1"/>
  <c r="J236" i="2" s="1"/>
  <c r="I452" i="1"/>
  <c r="I236" i="2" s="1"/>
  <c r="AF448" i="1"/>
  <c r="AE448" i="1"/>
  <c r="W448" i="1"/>
  <c r="U448" i="1"/>
  <c r="Q448" i="1"/>
  <c r="L448" i="1"/>
  <c r="AF447" i="1"/>
  <c r="AE447" i="1"/>
  <c r="AD447" i="1"/>
  <c r="AD448" i="1" s="1"/>
  <c r="AC447" i="1"/>
  <c r="AC448" i="1" s="1"/>
  <c r="AB447" i="1"/>
  <c r="AB448" i="1" s="1"/>
  <c r="AA447" i="1"/>
  <c r="AA448" i="1" s="1"/>
  <c r="Z447" i="1"/>
  <c r="Z448" i="1" s="1"/>
  <c r="Y447" i="1"/>
  <c r="Y448" i="1" s="1"/>
  <c r="X447" i="1"/>
  <c r="X448" i="1" s="1"/>
  <c r="W447" i="1"/>
  <c r="V447" i="1"/>
  <c r="V448" i="1" s="1"/>
  <c r="U447" i="1"/>
  <c r="T447" i="1"/>
  <c r="T448" i="1" s="1"/>
  <c r="S447" i="1"/>
  <c r="S448" i="1" s="1"/>
  <c r="R447" i="1"/>
  <c r="R448" i="1" s="1"/>
  <c r="Q447" i="1"/>
  <c r="P447" i="1"/>
  <c r="P448" i="1" s="1"/>
  <c r="O447" i="1"/>
  <c r="O448" i="1" s="1"/>
  <c r="N447" i="1"/>
  <c r="N448" i="1" s="1"/>
  <c r="M447" i="1"/>
  <c r="M448" i="1" s="1"/>
  <c r="L447" i="1"/>
  <c r="K447" i="1"/>
  <c r="K448" i="1" s="1"/>
  <c r="J447" i="1"/>
  <c r="J448" i="1" s="1"/>
  <c r="I447" i="1"/>
  <c r="I448" i="1" s="1"/>
  <c r="AF445" i="1"/>
  <c r="AF235" i="2" s="1"/>
  <c r="AF239" i="2" s="1"/>
  <c r="AF242" i="2" s="1"/>
  <c r="AE445" i="1"/>
  <c r="AE235" i="2" s="1"/>
  <c r="AD445" i="1"/>
  <c r="AD235" i="2" s="1"/>
  <c r="AC445" i="1"/>
  <c r="AC235" i="2" s="1"/>
  <c r="AB445" i="1"/>
  <c r="AB235" i="2" s="1"/>
  <c r="AA445" i="1"/>
  <c r="AA235" i="2" s="1"/>
  <c r="Z445" i="1"/>
  <c r="Z235" i="2" s="1"/>
  <c r="Y445" i="1"/>
  <c r="Y235" i="2" s="1"/>
  <c r="X445" i="1"/>
  <c r="X235" i="2" s="1"/>
  <c r="W445" i="1"/>
  <c r="W235" i="2" s="1"/>
  <c r="V445" i="1"/>
  <c r="V235" i="2" s="1"/>
  <c r="U445" i="1"/>
  <c r="U235" i="2" s="1"/>
  <c r="T445" i="1"/>
  <c r="T235" i="2" s="1"/>
  <c r="S445" i="1"/>
  <c r="S235" i="2" s="1"/>
  <c r="R445" i="1"/>
  <c r="R235" i="2" s="1"/>
  <c r="Q445" i="1"/>
  <c r="Q235" i="2" s="1"/>
  <c r="P445" i="1"/>
  <c r="P235" i="2" s="1"/>
  <c r="O445" i="1"/>
  <c r="O235" i="2" s="1"/>
  <c r="N445" i="1"/>
  <c r="N235" i="2" s="1"/>
  <c r="M445" i="1"/>
  <c r="M235" i="2" s="1"/>
  <c r="L445" i="1"/>
  <c r="L235" i="2" s="1"/>
  <c r="K445" i="1"/>
  <c r="K235" i="2" s="1"/>
  <c r="J445" i="1"/>
  <c r="J235" i="2" s="1"/>
  <c r="I445" i="1"/>
  <c r="I235" i="2" s="1"/>
  <c r="AF441" i="1"/>
  <c r="AE441" i="1"/>
  <c r="AD441" i="1"/>
  <c r="AC441" i="1"/>
  <c r="AA441" i="1"/>
  <c r="X441" i="1"/>
  <c r="W441" i="1"/>
  <c r="T441" i="1"/>
  <c r="S441" i="1"/>
  <c r="N441" i="1"/>
  <c r="J441" i="1"/>
  <c r="I441" i="1"/>
  <c r="AF440" i="1"/>
  <c r="AE440" i="1"/>
  <c r="AD440" i="1"/>
  <c r="AC440" i="1"/>
  <c r="AB440" i="1"/>
  <c r="AB441" i="1" s="1"/>
  <c r="AA440" i="1"/>
  <c r="Z440" i="1"/>
  <c r="Z441" i="1" s="1"/>
  <c r="Y440" i="1"/>
  <c r="Y441" i="1" s="1"/>
  <c r="X440" i="1"/>
  <c r="W440" i="1"/>
  <c r="V440" i="1"/>
  <c r="V441" i="1" s="1"/>
  <c r="U440" i="1"/>
  <c r="U441" i="1" s="1"/>
  <c r="T440" i="1"/>
  <c r="S440" i="1"/>
  <c r="R440" i="1"/>
  <c r="R441" i="1" s="1"/>
  <c r="Q440" i="1"/>
  <c r="Q441" i="1" s="1"/>
  <c r="P440" i="1"/>
  <c r="P441" i="1" s="1"/>
  <c r="O440" i="1"/>
  <c r="O441" i="1" s="1"/>
  <c r="N440" i="1"/>
  <c r="M440" i="1"/>
  <c r="M441" i="1" s="1"/>
  <c r="L440" i="1"/>
  <c r="L441" i="1" s="1"/>
  <c r="K440" i="1"/>
  <c r="K441" i="1" s="1"/>
  <c r="J440" i="1"/>
  <c r="I440" i="1"/>
  <c r="AF438" i="1"/>
  <c r="AF234" i="2" s="1"/>
  <c r="AE438" i="1"/>
  <c r="AE234" i="2" s="1"/>
  <c r="AE239" i="2" s="1"/>
  <c r="AE242" i="2" s="1"/>
  <c r="AD438" i="1"/>
  <c r="AC438" i="1"/>
  <c r="AB438" i="1"/>
  <c r="AB234" i="2" s="1"/>
  <c r="AA438" i="1"/>
  <c r="AA234" i="2" s="1"/>
  <c r="Z438" i="1"/>
  <c r="Y438" i="1"/>
  <c r="X438" i="1"/>
  <c r="X234" i="2" s="1"/>
  <c r="W438" i="1"/>
  <c r="W234" i="2" s="1"/>
  <c r="W239" i="2" s="1"/>
  <c r="W242" i="2" s="1"/>
  <c r="V438" i="1"/>
  <c r="U438" i="1"/>
  <c r="T438" i="1"/>
  <c r="T234" i="2" s="1"/>
  <c r="S438" i="1"/>
  <c r="S234" i="2" s="1"/>
  <c r="R438" i="1"/>
  <c r="R234" i="2" s="1"/>
  <c r="R239" i="2" s="1"/>
  <c r="R242" i="2" s="1"/>
  <c r="Q438" i="1"/>
  <c r="Q234" i="2" s="1"/>
  <c r="P438" i="1"/>
  <c r="P234" i="2" s="1"/>
  <c r="O438" i="1"/>
  <c r="O234" i="2" s="1"/>
  <c r="N438" i="1"/>
  <c r="N234" i="2" s="1"/>
  <c r="M438" i="1"/>
  <c r="M234" i="2" s="1"/>
  <c r="L438" i="1"/>
  <c r="L234" i="2" s="1"/>
  <c r="K438" i="1"/>
  <c r="K234" i="2" s="1"/>
  <c r="J438" i="1"/>
  <c r="J234" i="2" s="1"/>
  <c r="I438" i="1"/>
  <c r="I234" i="2" s="1"/>
  <c r="AD433" i="1"/>
  <c r="AC433" i="1"/>
  <c r="AB433" i="1"/>
  <c r="Z433" i="1"/>
  <c r="W433" i="1"/>
  <c r="V433" i="1"/>
  <c r="U433" i="1"/>
  <c r="T433" i="1"/>
  <c r="O433" i="1"/>
  <c r="K433" i="1"/>
  <c r="AF432" i="1"/>
  <c r="AF433" i="1" s="1"/>
  <c r="AE432" i="1"/>
  <c r="AE433" i="1" s="1"/>
  <c r="AD432" i="1"/>
  <c r="AC432" i="1"/>
  <c r="AB432" i="1"/>
  <c r="AA432" i="1"/>
  <c r="AA433" i="1" s="1"/>
  <c r="Z432" i="1"/>
  <c r="Y432" i="1"/>
  <c r="Y433" i="1" s="1"/>
  <c r="X432" i="1"/>
  <c r="X433" i="1" s="1"/>
  <c r="W432" i="1"/>
  <c r="V432" i="1"/>
  <c r="U432" i="1"/>
  <c r="T432" i="1"/>
  <c r="S432" i="1"/>
  <c r="S433" i="1" s="1"/>
  <c r="R432" i="1"/>
  <c r="R433" i="1" s="1"/>
  <c r="Q432" i="1"/>
  <c r="Q433" i="1" s="1"/>
  <c r="P432" i="1"/>
  <c r="P433" i="1" s="1"/>
  <c r="O432" i="1"/>
  <c r="N432" i="1"/>
  <c r="N433" i="1" s="1"/>
  <c r="M432" i="1"/>
  <c r="M433" i="1" s="1"/>
  <c r="L432" i="1"/>
  <c r="L433" i="1" s="1"/>
  <c r="K432" i="1"/>
  <c r="J432" i="1"/>
  <c r="J433" i="1" s="1"/>
  <c r="I432" i="1"/>
  <c r="I433" i="1" s="1"/>
  <c r="AF430" i="1"/>
  <c r="AF222" i="2" s="1"/>
  <c r="AE430" i="1"/>
  <c r="AD430" i="1"/>
  <c r="AD222" i="2" s="1"/>
  <c r="AC430" i="1"/>
  <c r="AC222" i="2" s="1"/>
  <c r="AB430" i="1"/>
  <c r="AA430" i="1"/>
  <c r="AA222" i="2" s="1"/>
  <c r="Z430" i="1"/>
  <c r="Z222" i="2" s="1"/>
  <c r="Y430" i="1"/>
  <c r="Y222" i="2" s="1"/>
  <c r="X430" i="1"/>
  <c r="X222" i="2" s="1"/>
  <c r="W430" i="1"/>
  <c r="W222" i="2" s="1"/>
  <c r="V430" i="1"/>
  <c r="V222" i="2" s="1"/>
  <c r="U430" i="1"/>
  <c r="U222" i="2" s="1"/>
  <c r="T430" i="1"/>
  <c r="T222" i="2" s="1"/>
  <c r="S430" i="1"/>
  <c r="R430" i="1"/>
  <c r="Q430" i="1"/>
  <c r="Q222" i="2" s="1"/>
  <c r="P430" i="1"/>
  <c r="P222" i="2" s="1"/>
  <c r="O430" i="1"/>
  <c r="O222" i="2" s="1"/>
  <c r="N430" i="1"/>
  <c r="N222" i="2" s="1"/>
  <c r="M430" i="1"/>
  <c r="L430" i="1"/>
  <c r="L222" i="2" s="1"/>
  <c r="K430" i="1"/>
  <c r="J430" i="1"/>
  <c r="J222" i="2" s="1"/>
  <c r="I430" i="1"/>
  <c r="V426" i="1"/>
  <c r="U426" i="1"/>
  <c r="Q426" i="1"/>
  <c r="P426" i="1"/>
  <c r="M426" i="1"/>
  <c r="AF425" i="1"/>
  <c r="AF426" i="1" s="1"/>
  <c r="AE425" i="1"/>
  <c r="AE426" i="1" s="1"/>
  <c r="AD425" i="1"/>
  <c r="AD426" i="1" s="1"/>
  <c r="AC425" i="1"/>
  <c r="AC426" i="1" s="1"/>
  <c r="AB425" i="1"/>
  <c r="AB426" i="1" s="1"/>
  <c r="AA425" i="1"/>
  <c r="AA426" i="1" s="1"/>
  <c r="Z425" i="1"/>
  <c r="Z426" i="1" s="1"/>
  <c r="Y425" i="1"/>
  <c r="Y426" i="1" s="1"/>
  <c r="X425" i="1"/>
  <c r="X426" i="1" s="1"/>
  <c r="W425" i="1"/>
  <c r="W426" i="1" s="1"/>
  <c r="V425" i="1"/>
  <c r="U425" i="1"/>
  <c r="T425" i="1"/>
  <c r="T426" i="1" s="1"/>
  <c r="S425" i="1"/>
  <c r="S426" i="1" s="1"/>
  <c r="R425" i="1"/>
  <c r="R426" i="1" s="1"/>
  <c r="Q425" i="1"/>
  <c r="P425" i="1"/>
  <c r="O425" i="1"/>
  <c r="O426" i="1" s="1"/>
  <c r="N425" i="1"/>
  <c r="N426" i="1" s="1"/>
  <c r="M425" i="1"/>
  <c r="L425" i="1"/>
  <c r="L426" i="1" s="1"/>
  <c r="K425" i="1"/>
  <c r="K426" i="1" s="1"/>
  <c r="J425" i="1"/>
  <c r="J426" i="1" s="1"/>
  <c r="I425" i="1"/>
  <c r="I426" i="1" s="1"/>
  <c r="AF423" i="1"/>
  <c r="AF221" i="2" s="1"/>
  <c r="AE423" i="1"/>
  <c r="AD423" i="1"/>
  <c r="AC423" i="1"/>
  <c r="AC221" i="2" s="1"/>
  <c r="AB423" i="1"/>
  <c r="AB221" i="2" s="1"/>
  <c r="AA423" i="1"/>
  <c r="Z423" i="1"/>
  <c r="Z221" i="2" s="1"/>
  <c r="Y423" i="1"/>
  <c r="Y221" i="2" s="1"/>
  <c r="Y223" i="2" s="1"/>
  <c r="Y226" i="2" s="1"/>
  <c r="X423" i="1"/>
  <c r="X221" i="2" s="1"/>
  <c r="W423" i="1"/>
  <c r="W221" i="2" s="1"/>
  <c r="V423" i="1"/>
  <c r="V221" i="2" s="1"/>
  <c r="U423" i="1"/>
  <c r="U221" i="2" s="1"/>
  <c r="T423" i="1"/>
  <c r="T221" i="2" s="1"/>
  <c r="S423" i="1"/>
  <c r="R423" i="1"/>
  <c r="R221" i="2" s="1"/>
  <c r="Q423" i="1"/>
  <c r="Q221" i="2" s="1"/>
  <c r="P423" i="1"/>
  <c r="P221" i="2" s="1"/>
  <c r="O423" i="1"/>
  <c r="O221" i="2" s="1"/>
  <c r="N423" i="1"/>
  <c r="N221" i="2" s="1"/>
  <c r="M423" i="1"/>
  <c r="M221" i="2" s="1"/>
  <c r="L423" i="1"/>
  <c r="L221" i="2" s="1"/>
  <c r="K423" i="1"/>
  <c r="K221" i="2" s="1"/>
  <c r="J423" i="1"/>
  <c r="I423" i="1"/>
  <c r="I221" i="2" s="1"/>
  <c r="AF419" i="1"/>
  <c r="AE419" i="1"/>
  <c r="AD419" i="1"/>
  <c r="X419" i="1"/>
  <c r="W419" i="1"/>
  <c r="V419" i="1"/>
  <c r="S419" i="1"/>
  <c r="R419" i="1"/>
  <c r="L419" i="1"/>
  <c r="AF418" i="1"/>
  <c r="AE418" i="1"/>
  <c r="AD418" i="1"/>
  <c r="AC418" i="1"/>
  <c r="AC419" i="1" s="1"/>
  <c r="AB418" i="1"/>
  <c r="AB419" i="1" s="1"/>
  <c r="AA418" i="1"/>
  <c r="AA419" i="1" s="1"/>
  <c r="Z418" i="1"/>
  <c r="Z419" i="1" s="1"/>
  <c r="Y418" i="1"/>
  <c r="Y419" i="1" s="1"/>
  <c r="X418" i="1"/>
  <c r="W418" i="1"/>
  <c r="V418" i="1"/>
  <c r="U418" i="1"/>
  <c r="U419" i="1" s="1"/>
  <c r="T418" i="1"/>
  <c r="T419" i="1" s="1"/>
  <c r="S418" i="1"/>
  <c r="R418" i="1"/>
  <c r="Q418" i="1"/>
  <c r="Q419" i="1" s="1"/>
  <c r="P418" i="1"/>
  <c r="P419" i="1" s="1"/>
  <c r="O418" i="1"/>
  <c r="O419" i="1" s="1"/>
  <c r="N418" i="1"/>
  <c r="N419" i="1" s="1"/>
  <c r="M418" i="1"/>
  <c r="M419" i="1" s="1"/>
  <c r="L418" i="1"/>
  <c r="K418" i="1"/>
  <c r="K419" i="1" s="1"/>
  <c r="J418" i="1"/>
  <c r="J419" i="1" s="1"/>
  <c r="I418" i="1"/>
  <c r="I419" i="1" s="1"/>
  <c r="AF416" i="1"/>
  <c r="AF220" i="2" s="1"/>
  <c r="AE416" i="1"/>
  <c r="AE220" i="2" s="1"/>
  <c r="AD416" i="1"/>
  <c r="AD220" i="2" s="1"/>
  <c r="AC416" i="1"/>
  <c r="AC220" i="2" s="1"/>
  <c r="AB416" i="1"/>
  <c r="AB220" i="2" s="1"/>
  <c r="AA416" i="1"/>
  <c r="AA220" i="2" s="1"/>
  <c r="Z416" i="1"/>
  <c r="Z220" i="2" s="1"/>
  <c r="Y416" i="1"/>
  <c r="X416" i="1"/>
  <c r="X220" i="2" s="1"/>
  <c r="W416" i="1"/>
  <c r="W220" i="2" s="1"/>
  <c r="V416" i="1"/>
  <c r="V220" i="2" s="1"/>
  <c r="U416" i="1"/>
  <c r="T416" i="1"/>
  <c r="T220" i="2" s="1"/>
  <c r="S416" i="1"/>
  <c r="R416" i="1"/>
  <c r="R220" i="2" s="1"/>
  <c r="Q416" i="1"/>
  <c r="Q220" i="2" s="1"/>
  <c r="P416" i="1"/>
  <c r="O416" i="1"/>
  <c r="O220" i="2" s="1"/>
  <c r="N416" i="1"/>
  <c r="M416" i="1"/>
  <c r="M220" i="2" s="1"/>
  <c r="L416" i="1"/>
  <c r="L220" i="2" s="1"/>
  <c r="K416" i="1"/>
  <c r="K220" i="2" s="1"/>
  <c r="J416" i="1"/>
  <c r="J220" i="2" s="1"/>
  <c r="I416" i="1"/>
  <c r="I220" i="2" s="1"/>
  <c r="AF412" i="1"/>
  <c r="AE412" i="1"/>
  <c r="AD412" i="1"/>
  <c r="AC412" i="1"/>
  <c r="Z412" i="1"/>
  <c r="Y412" i="1"/>
  <c r="X412" i="1"/>
  <c r="U412" i="1"/>
  <c r="P412" i="1"/>
  <c r="J412" i="1"/>
  <c r="I412" i="1"/>
  <c r="AF411" i="1"/>
  <c r="AE411" i="1"/>
  <c r="AD411" i="1"/>
  <c r="AC411" i="1"/>
  <c r="AB411" i="1"/>
  <c r="AB412" i="1" s="1"/>
  <c r="AA411" i="1"/>
  <c r="AA412" i="1" s="1"/>
  <c r="Z411" i="1"/>
  <c r="Y411" i="1"/>
  <c r="X411" i="1"/>
  <c r="W411" i="1"/>
  <c r="W412" i="1" s="1"/>
  <c r="V411" i="1"/>
  <c r="V412" i="1" s="1"/>
  <c r="U411" i="1"/>
  <c r="T411" i="1"/>
  <c r="T412" i="1" s="1"/>
  <c r="S411" i="1"/>
  <c r="S412" i="1" s="1"/>
  <c r="R411" i="1"/>
  <c r="R412" i="1" s="1"/>
  <c r="Q411" i="1"/>
  <c r="Q412" i="1" s="1"/>
  <c r="P411" i="1"/>
  <c r="O411" i="1"/>
  <c r="O412" i="1" s="1"/>
  <c r="N411" i="1"/>
  <c r="N412" i="1" s="1"/>
  <c r="M411" i="1"/>
  <c r="M412" i="1" s="1"/>
  <c r="L411" i="1"/>
  <c r="L412" i="1" s="1"/>
  <c r="K411" i="1"/>
  <c r="K412" i="1" s="1"/>
  <c r="J411" i="1"/>
  <c r="I411" i="1"/>
  <c r="AF409" i="1"/>
  <c r="AF219" i="2" s="1"/>
  <c r="AE409" i="1"/>
  <c r="AD409" i="1"/>
  <c r="AD219" i="2" s="1"/>
  <c r="AC409" i="1"/>
  <c r="AC219" i="2" s="1"/>
  <c r="AB409" i="1"/>
  <c r="AB219" i="2" s="1"/>
  <c r="AA409" i="1"/>
  <c r="AA219" i="2" s="1"/>
  <c r="Z409" i="1"/>
  <c r="Z219" i="2" s="1"/>
  <c r="Y409" i="1"/>
  <c r="Y219" i="2" s="1"/>
  <c r="X409" i="1"/>
  <c r="X219" i="2" s="1"/>
  <c r="W409" i="1"/>
  <c r="V409" i="1"/>
  <c r="V219" i="2" s="1"/>
  <c r="U409" i="1"/>
  <c r="U219" i="2" s="1"/>
  <c r="T409" i="1"/>
  <c r="T219" i="2" s="1"/>
  <c r="S409" i="1"/>
  <c r="S219" i="2" s="1"/>
  <c r="R409" i="1"/>
  <c r="R219" i="2" s="1"/>
  <c r="Q409" i="1"/>
  <c r="P409" i="1"/>
  <c r="O409" i="1"/>
  <c r="O219" i="2" s="1"/>
  <c r="N409" i="1"/>
  <c r="N219" i="2" s="1"/>
  <c r="M409" i="1"/>
  <c r="M219" i="2" s="1"/>
  <c r="L409" i="1"/>
  <c r="L219" i="2" s="1"/>
  <c r="K409" i="1"/>
  <c r="K219" i="2" s="1"/>
  <c r="J409" i="1"/>
  <c r="I409" i="1"/>
  <c r="AE405" i="1"/>
  <c r="AB405" i="1"/>
  <c r="AA405" i="1"/>
  <c r="Y405" i="1"/>
  <c r="T405" i="1"/>
  <c r="M405" i="1"/>
  <c r="I405" i="1"/>
  <c r="AF404" i="1"/>
  <c r="AF405" i="1" s="1"/>
  <c r="AE404" i="1"/>
  <c r="AD404" i="1"/>
  <c r="AD405" i="1" s="1"/>
  <c r="AC404" i="1"/>
  <c r="AC405" i="1" s="1"/>
  <c r="AB404" i="1"/>
  <c r="AA404" i="1"/>
  <c r="Z404" i="1"/>
  <c r="Z405" i="1" s="1"/>
  <c r="Y404" i="1"/>
  <c r="X404" i="1"/>
  <c r="X405" i="1" s="1"/>
  <c r="W404" i="1"/>
  <c r="W405" i="1" s="1"/>
  <c r="V404" i="1"/>
  <c r="V405" i="1" s="1"/>
  <c r="U404" i="1"/>
  <c r="U405" i="1" s="1"/>
  <c r="T404" i="1"/>
  <c r="S404" i="1"/>
  <c r="S405" i="1" s="1"/>
  <c r="R404" i="1"/>
  <c r="R405" i="1" s="1"/>
  <c r="Q404" i="1"/>
  <c r="Q405" i="1" s="1"/>
  <c r="P404" i="1"/>
  <c r="P405" i="1" s="1"/>
  <c r="O404" i="1"/>
  <c r="O405" i="1" s="1"/>
  <c r="N404" i="1"/>
  <c r="N405" i="1" s="1"/>
  <c r="M404" i="1"/>
  <c r="L404" i="1"/>
  <c r="L405" i="1" s="1"/>
  <c r="K404" i="1"/>
  <c r="K405" i="1" s="1"/>
  <c r="J404" i="1"/>
  <c r="J405" i="1" s="1"/>
  <c r="I404" i="1"/>
  <c r="AF402" i="1"/>
  <c r="AF218" i="2" s="1"/>
  <c r="AF223" i="2" s="1"/>
  <c r="AF226" i="2" s="1"/>
  <c r="AE402" i="1"/>
  <c r="AE218" i="2" s="1"/>
  <c r="AD402" i="1"/>
  <c r="AD218" i="2" s="1"/>
  <c r="AC402" i="1"/>
  <c r="AC218" i="2" s="1"/>
  <c r="AB402" i="1"/>
  <c r="AB218" i="2" s="1"/>
  <c r="AA402" i="1"/>
  <c r="Z402" i="1"/>
  <c r="Y402" i="1"/>
  <c r="Y218" i="2" s="1"/>
  <c r="X402" i="1"/>
  <c r="X218" i="2" s="1"/>
  <c r="X223" i="2" s="1"/>
  <c r="X226" i="2" s="1"/>
  <c r="W402" i="1"/>
  <c r="W218" i="2" s="1"/>
  <c r="V402" i="1"/>
  <c r="U402" i="1"/>
  <c r="U218" i="2" s="1"/>
  <c r="T402" i="1"/>
  <c r="T218" i="2" s="1"/>
  <c r="T223" i="2" s="1"/>
  <c r="T226" i="2" s="1"/>
  <c r="S402" i="1"/>
  <c r="S218" i="2" s="1"/>
  <c r="R402" i="1"/>
  <c r="R218" i="2" s="1"/>
  <c r="Q402" i="1"/>
  <c r="Q218" i="2" s="1"/>
  <c r="P402" i="1"/>
  <c r="P218" i="2" s="1"/>
  <c r="P223" i="2" s="1"/>
  <c r="P226" i="2" s="1"/>
  <c r="O402" i="1"/>
  <c r="O218" i="2" s="1"/>
  <c r="N402" i="1"/>
  <c r="N218" i="2" s="1"/>
  <c r="M402" i="1"/>
  <c r="M218" i="2" s="1"/>
  <c r="M223" i="2" s="1"/>
  <c r="M226" i="2" s="1"/>
  <c r="L402" i="1"/>
  <c r="L218" i="2" s="1"/>
  <c r="K402" i="1"/>
  <c r="J402" i="1"/>
  <c r="J218" i="2" s="1"/>
  <c r="I402" i="1"/>
  <c r="I218" i="2" s="1"/>
  <c r="AD397" i="1"/>
  <c r="Y397" i="1"/>
  <c r="S397" i="1"/>
  <c r="O397" i="1"/>
  <c r="J397" i="1"/>
  <c r="AF396" i="1"/>
  <c r="AF397" i="1" s="1"/>
  <c r="AE396" i="1"/>
  <c r="AE397" i="1" s="1"/>
  <c r="AD396" i="1"/>
  <c r="AC396" i="1"/>
  <c r="AC397" i="1" s="1"/>
  <c r="AB396" i="1"/>
  <c r="AB397" i="1" s="1"/>
  <c r="AA396" i="1"/>
  <c r="AA397" i="1" s="1"/>
  <c r="Z396" i="1"/>
  <c r="Z397" i="1" s="1"/>
  <c r="Y396" i="1"/>
  <c r="X396" i="1"/>
  <c r="X397" i="1" s="1"/>
  <c r="W396" i="1"/>
  <c r="W397" i="1" s="1"/>
  <c r="V396" i="1"/>
  <c r="V397" i="1" s="1"/>
  <c r="U396" i="1"/>
  <c r="U397" i="1" s="1"/>
  <c r="T396" i="1"/>
  <c r="T397" i="1" s="1"/>
  <c r="S396" i="1"/>
  <c r="R396" i="1"/>
  <c r="R397" i="1" s="1"/>
  <c r="Q396" i="1"/>
  <c r="Q397" i="1" s="1"/>
  <c r="P396" i="1"/>
  <c r="P397" i="1" s="1"/>
  <c r="O396" i="1"/>
  <c r="N396" i="1"/>
  <c r="N397" i="1" s="1"/>
  <c r="M396" i="1"/>
  <c r="M397" i="1" s="1"/>
  <c r="L396" i="1"/>
  <c r="L397" i="1" s="1"/>
  <c r="K396" i="1"/>
  <c r="K397" i="1" s="1"/>
  <c r="J396" i="1"/>
  <c r="I396" i="1"/>
  <c r="I397" i="1" s="1"/>
  <c r="AF394" i="1"/>
  <c r="AE394" i="1"/>
  <c r="AD394" i="1"/>
  <c r="AD205" i="2" s="1"/>
  <c r="AC394" i="1"/>
  <c r="AC205" i="2" s="1"/>
  <c r="AB394" i="1"/>
  <c r="AB205" i="2" s="1"/>
  <c r="AA394" i="1"/>
  <c r="AA205" i="2" s="1"/>
  <c r="Z394" i="1"/>
  <c r="Y394" i="1"/>
  <c r="Y205" i="2" s="1"/>
  <c r="X394" i="1"/>
  <c r="X205" i="2" s="1"/>
  <c r="W394" i="1"/>
  <c r="W205" i="2" s="1"/>
  <c r="V394" i="1"/>
  <c r="V205" i="2" s="1"/>
  <c r="U394" i="1"/>
  <c r="T394" i="1"/>
  <c r="S394" i="1"/>
  <c r="S205" i="2" s="1"/>
  <c r="R394" i="1"/>
  <c r="Q394" i="1"/>
  <c r="Q205" i="2" s="1"/>
  <c r="P394" i="1"/>
  <c r="O394" i="1"/>
  <c r="O205" i="2" s="1"/>
  <c r="N394" i="1"/>
  <c r="N205" i="2" s="1"/>
  <c r="M394" i="1"/>
  <c r="M205" i="2" s="1"/>
  <c r="L394" i="1"/>
  <c r="L205" i="2" s="1"/>
  <c r="K394" i="1"/>
  <c r="K205" i="2" s="1"/>
  <c r="J394" i="1"/>
  <c r="I394" i="1"/>
  <c r="I205" i="2" s="1"/>
  <c r="AF390" i="1"/>
  <c r="AE390" i="1"/>
  <c r="AD390" i="1"/>
  <c r="AA390" i="1"/>
  <c r="Y390" i="1"/>
  <c r="X390" i="1"/>
  <c r="V390" i="1"/>
  <c r="U390" i="1"/>
  <c r="L390" i="1"/>
  <c r="K390" i="1"/>
  <c r="J390" i="1"/>
  <c r="AF389" i="1"/>
  <c r="AE389" i="1"/>
  <c r="AD389" i="1"/>
  <c r="AC389" i="1"/>
  <c r="AC390" i="1" s="1"/>
  <c r="AB389" i="1"/>
  <c r="AB390" i="1" s="1"/>
  <c r="AA389" i="1"/>
  <c r="Z389" i="1"/>
  <c r="Z390" i="1" s="1"/>
  <c r="Y389" i="1"/>
  <c r="X389" i="1"/>
  <c r="W389" i="1"/>
  <c r="W390" i="1" s="1"/>
  <c r="V389" i="1"/>
  <c r="U389" i="1"/>
  <c r="T389" i="1"/>
  <c r="T390" i="1" s="1"/>
  <c r="S389" i="1"/>
  <c r="S390" i="1" s="1"/>
  <c r="R389" i="1"/>
  <c r="R390" i="1" s="1"/>
  <c r="Q389" i="1"/>
  <c r="Q390" i="1" s="1"/>
  <c r="P389" i="1"/>
  <c r="P390" i="1" s="1"/>
  <c r="O389" i="1"/>
  <c r="O390" i="1" s="1"/>
  <c r="N389" i="1"/>
  <c r="N390" i="1" s="1"/>
  <c r="M389" i="1"/>
  <c r="M390" i="1" s="1"/>
  <c r="L389" i="1"/>
  <c r="K389" i="1"/>
  <c r="J389" i="1"/>
  <c r="I389" i="1"/>
  <c r="I390" i="1" s="1"/>
  <c r="AF387" i="1"/>
  <c r="AF204" i="2" s="1"/>
  <c r="AE387" i="1"/>
  <c r="AE204" i="2" s="1"/>
  <c r="AD387" i="1"/>
  <c r="AD204" i="2" s="1"/>
  <c r="AC387" i="1"/>
  <c r="AC204" i="2" s="1"/>
  <c r="AB387" i="1"/>
  <c r="AB204" i="2" s="1"/>
  <c r="AA387" i="1"/>
  <c r="Z387" i="1"/>
  <c r="Z204" i="2" s="1"/>
  <c r="Y387" i="1"/>
  <c r="Y204" i="2" s="1"/>
  <c r="X387" i="1"/>
  <c r="X204" i="2" s="1"/>
  <c r="W387" i="1"/>
  <c r="W204" i="2" s="1"/>
  <c r="V387" i="1"/>
  <c r="V204" i="2" s="1"/>
  <c r="U387" i="1"/>
  <c r="U204" i="2" s="1"/>
  <c r="T387" i="1"/>
  <c r="T204" i="2" s="1"/>
  <c r="S387" i="1"/>
  <c r="S204" i="2" s="1"/>
  <c r="R387" i="1"/>
  <c r="R204" i="2" s="1"/>
  <c r="Q387" i="1"/>
  <c r="Q204" i="2" s="1"/>
  <c r="P387" i="1"/>
  <c r="P204" i="2" s="1"/>
  <c r="O387" i="1"/>
  <c r="O204" i="2" s="1"/>
  <c r="N387" i="1"/>
  <c r="N204" i="2" s="1"/>
  <c r="M387" i="1"/>
  <c r="L387" i="1"/>
  <c r="L204" i="2" s="1"/>
  <c r="K387" i="1"/>
  <c r="K204" i="2" s="1"/>
  <c r="J387" i="1"/>
  <c r="J204" i="2" s="1"/>
  <c r="I387" i="1"/>
  <c r="I204" i="2" s="1"/>
  <c r="AE383" i="1"/>
  <c r="AB383" i="1"/>
  <c r="AA383" i="1"/>
  <c r="U383" i="1"/>
  <c r="O383" i="1"/>
  <c r="L383" i="1"/>
  <c r="J383" i="1"/>
  <c r="I383" i="1"/>
  <c r="AF382" i="1"/>
  <c r="AF383" i="1" s="1"/>
  <c r="AE382" i="1"/>
  <c r="AD382" i="1"/>
  <c r="AD383" i="1" s="1"/>
  <c r="AC382" i="1"/>
  <c r="AC383" i="1" s="1"/>
  <c r="AB382" i="1"/>
  <c r="AA382" i="1"/>
  <c r="Z382" i="1"/>
  <c r="Z383" i="1" s="1"/>
  <c r="Y382" i="1"/>
  <c r="Y383" i="1" s="1"/>
  <c r="X382" i="1"/>
  <c r="X383" i="1" s="1"/>
  <c r="W382" i="1"/>
  <c r="W383" i="1" s="1"/>
  <c r="V382" i="1"/>
  <c r="V383" i="1" s="1"/>
  <c r="U382" i="1"/>
  <c r="T382" i="1"/>
  <c r="T383" i="1" s="1"/>
  <c r="S382" i="1"/>
  <c r="S383" i="1" s="1"/>
  <c r="R382" i="1"/>
  <c r="R383" i="1" s="1"/>
  <c r="Q382" i="1"/>
  <c r="Q383" i="1" s="1"/>
  <c r="P382" i="1"/>
  <c r="P383" i="1" s="1"/>
  <c r="O382" i="1"/>
  <c r="N382" i="1"/>
  <c r="N383" i="1" s="1"/>
  <c r="M382" i="1"/>
  <c r="M383" i="1" s="1"/>
  <c r="L382" i="1"/>
  <c r="K382" i="1"/>
  <c r="K383" i="1" s="1"/>
  <c r="J382" i="1"/>
  <c r="I382" i="1"/>
  <c r="AF380" i="1"/>
  <c r="AF203" i="2" s="1"/>
  <c r="AE380" i="1"/>
  <c r="AE203" i="2" s="1"/>
  <c r="AD380" i="1"/>
  <c r="AD203" i="2" s="1"/>
  <c r="AC380" i="1"/>
  <c r="AC203" i="2" s="1"/>
  <c r="AB380" i="1"/>
  <c r="AB203" i="2" s="1"/>
  <c r="AA380" i="1"/>
  <c r="Z380" i="1"/>
  <c r="Z203" i="2" s="1"/>
  <c r="Y380" i="1"/>
  <c r="X380" i="1"/>
  <c r="X203" i="2" s="1"/>
  <c r="W380" i="1"/>
  <c r="W203" i="2" s="1"/>
  <c r="V380" i="1"/>
  <c r="U380" i="1"/>
  <c r="U203" i="2" s="1"/>
  <c r="T380" i="1"/>
  <c r="T203" i="2" s="1"/>
  <c r="S380" i="1"/>
  <c r="S203" i="2" s="1"/>
  <c r="R380" i="1"/>
  <c r="R203" i="2" s="1"/>
  <c r="Q380" i="1"/>
  <c r="P380" i="1"/>
  <c r="O380" i="1"/>
  <c r="O203" i="2" s="1"/>
  <c r="N380" i="1"/>
  <c r="N203" i="2" s="1"/>
  <c r="M380" i="1"/>
  <c r="M203" i="2" s="1"/>
  <c r="L380" i="1"/>
  <c r="L203" i="2" s="1"/>
  <c r="K380" i="1"/>
  <c r="J380" i="1"/>
  <c r="J203" i="2" s="1"/>
  <c r="I380" i="1"/>
  <c r="I203" i="2" s="1"/>
  <c r="AD376" i="1"/>
  <c r="Z376" i="1"/>
  <c r="Y376" i="1"/>
  <c r="U376" i="1"/>
  <c r="T376" i="1"/>
  <c r="S376" i="1"/>
  <c r="Q376" i="1"/>
  <c r="P376" i="1"/>
  <c r="O376" i="1"/>
  <c r="K376" i="1"/>
  <c r="AF375" i="1"/>
  <c r="AF376" i="1" s="1"/>
  <c r="AE375" i="1"/>
  <c r="AE376" i="1" s="1"/>
  <c r="AD375" i="1"/>
  <c r="AC375" i="1"/>
  <c r="AC376" i="1" s="1"/>
  <c r="AB375" i="1"/>
  <c r="AB376" i="1" s="1"/>
  <c r="AA375" i="1"/>
  <c r="AA376" i="1" s="1"/>
  <c r="Z375" i="1"/>
  <c r="Y375" i="1"/>
  <c r="X375" i="1"/>
  <c r="X376" i="1" s="1"/>
  <c r="W375" i="1"/>
  <c r="W376" i="1" s="1"/>
  <c r="V375" i="1"/>
  <c r="V376" i="1" s="1"/>
  <c r="U375" i="1"/>
  <c r="T375" i="1"/>
  <c r="S375" i="1"/>
  <c r="R375" i="1"/>
  <c r="R376" i="1" s="1"/>
  <c r="Q375" i="1"/>
  <c r="P375" i="1"/>
  <c r="O375" i="1"/>
  <c r="N375" i="1"/>
  <c r="N376" i="1" s="1"/>
  <c r="M375" i="1"/>
  <c r="M376" i="1" s="1"/>
  <c r="L375" i="1"/>
  <c r="L376" i="1" s="1"/>
  <c r="K375" i="1"/>
  <c r="J375" i="1"/>
  <c r="J376" i="1" s="1"/>
  <c r="I375" i="1"/>
  <c r="I376" i="1" s="1"/>
  <c r="AF373" i="1"/>
  <c r="AF202" i="2" s="1"/>
  <c r="AE373" i="1"/>
  <c r="AE202" i="2" s="1"/>
  <c r="AD373" i="1"/>
  <c r="AD202" i="2" s="1"/>
  <c r="AC373" i="1"/>
  <c r="AC202" i="2" s="1"/>
  <c r="AB373" i="1"/>
  <c r="AB202" i="2" s="1"/>
  <c r="AA373" i="1"/>
  <c r="AA202" i="2" s="1"/>
  <c r="Z373" i="1"/>
  <c r="Z202" i="2" s="1"/>
  <c r="Y373" i="1"/>
  <c r="Y202" i="2" s="1"/>
  <c r="X373" i="1"/>
  <c r="W373" i="1"/>
  <c r="V373" i="1"/>
  <c r="V202" i="2" s="1"/>
  <c r="U373" i="1"/>
  <c r="U202" i="2" s="1"/>
  <c r="T373" i="1"/>
  <c r="S373" i="1"/>
  <c r="S202" i="2" s="1"/>
  <c r="R373" i="1"/>
  <c r="R202" i="2" s="1"/>
  <c r="Q373" i="1"/>
  <c r="Q202" i="2" s="1"/>
  <c r="P373" i="1"/>
  <c r="P202" i="2" s="1"/>
  <c r="O373" i="1"/>
  <c r="O202" i="2" s="1"/>
  <c r="N373" i="1"/>
  <c r="N202" i="2" s="1"/>
  <c r="M373" i="1"/>
  <c r="M202" i="2" s="1"/>
  <c r="L373" i="1"/>
  <c r="L202" i="2" s="1"/>
  <c r="K373" i="1"/>
  <c r="K202" i="2" s="1"/>
  <c r="J373" i="1"/>
  <c r="J202" i="2" s="1"/>
  <c r="I373" i="1"/>
  <c r="I202" i="2" s="1"/>
  <c r="AF369" i="1"/>
  <c r="AE369" i="1"/>
  <c r="AA369" i="1"/>
  <c r="Z369" i="1"/>
  <c r="U369" i="1"/>
  <c r="T369" i="1"/>
  <c r="R369" i="1"/>
  <c r="Q369" i="1"/>
  <c r="J369" i="1"/>
  <c r="I369" i="1"/>
  <c r="AF368" i="1"/>
  <c r="AE368" i="1"/>
  <c r="AD368" i="1"/>
  <c r="AD369" i="1" s="1"/>
  <c r="AC368" i="1"/>
  <c r="AC369" i="1" s="1"/>
  <c r="AB368" i="1"/>
  <c r="AB369" i="1" s="1"/>
  <c r="AA368" i="1"/>
  <c r="Z368" i="1"/>
  <c r="Y368" i="1"/>
  <c r="Y369" i="1" s="1"/>
  <c r="X368" i="1"/>
  <c r="X369" i="1" s="1"/>
  <c r="W368" i="1"/>
  <c r="W369" i="1" s="1"/>
  <c r="V368" i="1"/>
  <c r="V369" i="1" s="1"/>
  <c r="U368" i="1"/>
  <c r="T368" i="1"/>
  <c r="S368" i="1"/>
  <c r="S369" i="1" s="1"/>
  <c r="R368" i="1"/>
  <c r="Q368" i="1"/>
  <c r="P368" i="1"/>
  <c r="P369" i="1" s="1"/>
  <c r="O368" i="1"/>
  <c r="O369" i="1" s="1"/>
  <c r="N368" i="1"/>
  <c r="N369" i="1" s="1"/>
  <c r="M368" i="1"/>
  <c r="M369" i="1" s="1"/>
  <c r="L368" i="1"/>
  <c r="L369" i="1" s="1"/>
  <c r="K368" i="1"/>
  <c r="K369" i="1" s="1"/>
  <c r="J368" i="1"/>
  <c r="I368" i="1"/>
  <c r="AF366" i="1"/>
  <c r="AF201" i="2" s="1"/>
  <c r="AF206" i="2" s="1"/>
  <c r="AE366" i="1"/>
  <c r="AE201" i="2" s="1"/>
  <c r="AD366" i="1"/>
  <c r="AD201" i="2" s="1"/>
  <c r="AC366" i="1"/>
  <c r="AC201" i="2" s="1"/>
  <c r="AB366" i="1"/>
  <c r="AB201" i="2" s="1"/>
  <c r="AA366" i="1"/>
  <c r="AA201" i="2" s="1"/>
  <c r="Z366" i="1"/>
  <c r="Z201" i="2" s="1"/>
  <c r="Z206" i="2" s="1"/>
  <c r="Z209" i="2" s="1"/>
  <c r="Y366" i="1"/>
  <c r="Y201" i="2" s="1"/>
  <c r="Y206" i="2" s="1"/>
  <c r="Y209" i="2" s="1"/>
  <c r="X366" i="1"/>
  <c r="W366" i="1"/>
  <c r="W201" i="2" s="1"/>
  <c r="V366" i="1"/>
  <c r="V201" i="2" s="1"/>
  <c r="U366" i="1"/>
  <c r="U201" i="2" s="1"/>
  <c r="T366" i="1"/>
  <c r="T201" i="2" s="1"/>
  <c r="S366" i="1"/>
  <c r="S201" i="2" s="1"/>
  <c r="R366" i="1"/>
  <c r="R201" i="2" s="1"/>
  <c r="Q366" i="1"/>
  <c r="Q201" i="2" s="1"/>
  <c r="P366" i="1"/>
  <c r="P201" i="2" s="1"/>
  <c r="O366" i="1"/>
  <c r="O201" i="2" s="1"/>
  <c r="N366" i="1"/>
  <c r="N201" i="2" s="1"/>
  <c r="M366" i="1"/>
  <c r="M201" i="2" s="1"/>
  <c r="L366" i="1"/>
  <c r="L201" i="2" s="1"/>
  <c r="K366" i="1"/>
  <c r="K201" i="2" s="1"/>
  <c r="J366" i="1"/>
  <c r="J201" i="2" s="1"/>
  <c r="J206" i="2" s="1"/>
  <c r="J209" i="2" s="1"/>
  <c r="I366" i="1"/>
  <c r="I201" i="2" s="1"/>
  <c r="K362" i="1"/>
  <c r="K169" i="2" s="1"/>
  <c r="J362" i="1"/>
  <c r="J169" i="2" s="1"/>
  <c r="J361" i="1"/>
  <c r="J168" i="2" s="1"/>
  <c r="AF353" i="1"/>
  <c r="AC353" i="1"/>
  <c r="AB353" i="1"/>
  <c r="Z353" i="1"/>
  <c r="Y353" i="1"/>
  <c r="X353" i="1"/>
  <c r="U353" i="1"/>
  <c r="T353" i="1"/>
  <c r="S353" i="1"/>
  <c r="N353" i="1"/>
  <c r="K353" i="1"/>
  <c r="AF352" i="1"/>
  <c r="AE352" i="1"/>
  <c r="AE353" i="1" s="1"/>
  <c r="AD352" i="1"/>
  <c r="AD353" i="1" s="1"/>
  <c r="AC352" i="1"/>
  <c r="AB352" i="1"/>
  <c r="AA352" i="1"/>
  <c r="AA353" i="1" s="1"/>
  <c r="Z352" i="1"/>
  <c r="Y352" i="1"/>
  <c r="X352" i="1"/>
  <c r="W352" i="1"/>
  <c r="W353" i="1" s="1"/>
  <c r="V352" i="1"/>
  <c r="V353" i="1" s="1"/>
  <c r="U352" i="1"/>
  <c r="T352" i="1"/>
  <c r="S352" i="1"/>
  <c r="R352" i="1"/>
  <c r="R353" i="1" s="1"/>
  <c r="Q352" i="1"/>
  <c r="Q353" i="1" s="1"/>
  <c r="P352" i="1"/>
  <c r="P353" i="1" s="1"/>
  <c r="O352" i="1"/>
  <c r="O353" i="1" s="1"/>
  <c r="N352" i="1"/>
  <c r="M352" i="1"/>
  <c r="M353" i="1" s="1"/>
  <c r="L352" i="1"/>
  <c r="L353" i="1" s="1"/>
  <c r="K352" i="1"/>
  <c r="J352" i="1"/>
  <c r="J353" i="1" s="1"/>
  <c r="I352" i="1"/>
  <c r="I353" i="1" s="1"/>
  <c r="AF350" i="1"/>
  <c r="AF161" i="2" s="1"/>
  <c r="AE350" i="1"/>
  <c r="AD350" i="1"/>
  <c r="AD161" i="2" s="1"/>
  <c r="AC350" i="1"/>
  <c r="AC161" i="2" s="1"/>
  <c r="AB350" i="1"/>
  <c r="AB161" i="2" s="1"/>
  <c r="AA350" i="1"/>
  <c r="AA161" i="2" s="1"/>
  <c r="Z350" i="1"/>
  <c r="Z161" i="2" s="1"/>
  <c r="Y350" i="1"/>
  <c r="Y161" i="2" s="1"/>
  <c r="X350" i="1"/>
  <c r="X161" i="2" s="1"/>
  <c r="W350" i="1"/>
  <c r="W161" i="2" s="1"/>
  <c r="V350" i="1"/>
  <c r="V161" i="2" s="1"/>
  <c r="U350" i="1"/>
  <c r="U161" i="2" s="1"/>
  <c r="T350" i="1"/>
  <c r="T161" i="2" s="1"/>
  <c r="S350" i="1"/>
  <c r="S161" i="2" s="1"/>
  <c r="R350" i="1"/>
  <c r="R161" i="2" s="1"/>
  <c r="Q350" i="1"/>
  <c r="Q161" i="2" s="1"/>
  <c r="P350" i="1"/>
  <c r="P161" i="2" s="1"/>
  <c r="O350" i="1"/>
  <c r="O161" i="2" s="1"/>
  <c r="N350" i="1"/>
  <c r="M350" i="1"/>
  <c r="L350" i="1"/>
  <c r="K350" i="1"/>
  <c r="K161" i="2" s="1"/>
  <c r="J350" i="1"/>
  <c r="I350" i="1"/>
  <c r="AE346" i="1"/>
  <c r="AD346" i="1"/>
  <c r="AB346" i="1"/>
  <c r="W346" i="1"/>
  <c r="U346" i="1"/>
  <c r="T346" i="1"/>
  <c r="M346" i="1"/>
  <c r="I346" i="1"/>
  <c r="AF345" i="1"/>
  <c r="AF346" i="1" s="1"/>
  <c r="AE345" i="1"/>
  <c r="AD345" i="1"/>
  <c r="AC345" i="1"/>
  <c r="AC346" i="1" s="1"/>
  <c r="AB345" i="1"/>
  <c r="AA345" i="1"/>
  <c r="AA346" i="1" s="1"/>
  <c r="Z345" i="1"/>
  <c r="Z346" i="1" s="1"/>
  <c r="Y345" i="1"/>
  <c r="Y346" i="1" s="1"/>
  <c r="X345" i="1"/>
  <c r="X346" i="1" s="1"/>
  <c r="W345" i="1"/>
  <c r="V345" i="1"/>
  <c r="V346" i="1" s="1"/>
  <c r="U345" i="1"/>
  <c r="T345" i="1"/>
  <c r="S345" i="1"/>
  <c r="S346" i="1" s="1"/>
  <c r="R345" i="1"/>
  <c r="R346" i="1" s="1"/>
  <c r="Q345" i="1"/>
  <c r="Q346" i="1" s="1"/>
  <c r="P345" i="1"/>
  <c r="P346" i="1" s="1"/>
  <c r="O345" i="1"/>
  <c r="O346" i="1" s="1"/>
  <c r="N345" i="1"/>
  <c r="N346" i="1" s="1"/>
  <c r="M345" i="1"/>
  <c r="L345" i="1"/>
  <c r="L346" i="1" s="1"/>
  <c r="K345" i="1"/>
  <c r="K346" i="1" s="1"/>
  <c r="J345" i="1"/>
  <c r="J346" i="1" s="1"/>
  <c r="I345" i="1"/>
  <c r="AF343" i="1"/>
  <c r="AF156" i="2" s="1"/>
  <c r="AE343" i="1"/>
  <c r="AD343" i="1"/>
  <c r="AC343" i="1"/>
  <c r="AC156" i="2" s="1"/>
  <c r="AB343" i="1"/>
  <c r="AB156" i="2" s="1"/>
  <c r="AA343" i="1"/>
  <c r="AA156" i="2" s="1"/>
  <c r="Z343" i="1"/>
  <c r="Z156" i="2" s="1"/>
  <c r="Y343" i="1"/>
  <c r="Y156" i="2" s="1"/>
  <c r="X343" i="1"/>
  <c r="X156" i="2" s="1"/>
  <c r="W343" i="1"/>
  <c r="W156" i="2" s="1"/>
  <c r="V343" i="1"/>
  <c r="V156" i="2" s="1"/>
  <c r="U343" i="1"/>
  <c r="U156" i="2" s="1"/>
  <c r="T343" i="1"/>
  <c r="T156" i="2" s="1"/>
  <c r="S343" i="1"/>
  <c r="S156" i="2" s="1"/>
  <c r="R343" i="1"/>
  <c r="R156" i="2" s="1"/>
  <c r="Q343" i="1"/>
  <c r="Q156" i="2" s="1"/>
  <c r="P343" i="1"/>
  <c r="P156" i="2" s="1"/>
  <c r="O343" i="1"/>
  <c r="O156" i="2" s="1"/>
  <c r="N343" i="1"/>
  <c r="N156" i="2" s="1"/>
  <c r="M343" i="1"/>
  <c r="M156" i="2" s="1"/>
  <c r="L343" i="1"/>
  <c r="L156" i="2" s="1"/>
  <c r="K343" i="1"/>
  <c r="K156" i="2" s="1"/>
  <c r="J343" i="1"/>
  <c r="J156" i="2" s="1"/>
  <c r="I343" i="1"/>
  <c r="I156" i="2" s="1"/>
  <c r="AE339" i="1"/>
  <c r="AD339" i="1"/>
  <c r="AC339" i="1"/>
  <c r="AB339" i="1"/>
  <c r="Z339" i="1"/>
  <c r="T339" i="1"/>
  <c r="S339" i="1"/>
  <c r="R339" i="1"/>
  <c r="O339" i="1"/>
  <c r="J339" i="1"/>
  <c r="AF338" i="1"/>
  <c r="AF339" i="1" s="1"/>
  <c r="AE338" i="1"/>
  <c r="AD338" i="1"/>
  <c r="AC338" i="1"/>
  <c r="AB338" i="1"/>
  <c r="AA338" i="1"/>
  <c r="AA339" i="1" s="1"/>
  <c r="Z338" i="1"/>
  <c r="Y338" i="1"/>
  <c r="Y339" i="1" s="1"/>
  <c r="X338" i="1"/>
  <c r="X339" i="1" s="1"/>
  <c r="W338" i="1"/>
  <c r="W339" i="1" s="1"/>
  <c r="V338" i="1"/>
  <c r="V339" i="1" s="1"/>
  <c r="U338" i="1"/>
  <c r="U339" i="1" s="1"/>
  <c r="T338" i="1"/>
  <c r="S338" i="1"/>
  <c r="R338" i="1"/>
  <c r="Q338" i="1"/>
  <c r="Q339" i="1" s="1"/>
  <c r="P338" i="1"/>
  <c r="P339" i="1" s="1"/>
  <c r="O338" i="1"/>
  <c r="N338" i="1"/>
  <c r="N339" i="1" s="1"/>
  <c r="M338" i="1"/>
  <c r="M339" i="1" s="1"/>
  <c r="L338" i="1"/>
  <c r="L339" i="1" s="1"/>
  <c r="K338" i="1"/>
  <c r="K339" i="1" s="1"/>
  <c r="J338" i="1"/>
  <c r="I338" i="1"/>
  <c r="I339" i="1" s="1"/>
  <c r="AF336" i="1"/>
  <c r="AF154" i="2" s="1"/>
  <c r="AE336" i="1"/>
  <c r="AE154" i="2" s="1"/>
  <c r="AD336" i="1"/>
  <c r="AD154" i="2" s="1"/>
  <c r="AC336" i="1"/>
  <c r="AB336" i="1"/>
  <c r="AB154" i="2" s="1"/>
  <c r="AA336" i="1"/>
  <c r="AA154" i="2" s="1"/>
  <c r="Z336" i="1"/>
  <c r="Z154" i="2" s="1"/>
  <c r="Y336" i="1"/>
  <c r="Y154" i="2" s="1"/>
  <c r="X336" i="1"/>
  <c r="X154" i="2" s="1"/>
  <c r="W336" i="1"/>
  <c r="W154" i="2" s="1"/>
  <c r="V336" i="1"/>
  <c r="U336" i="1"/>
  <c r="U154" i="2" s="1"/>
  <c r="T336" i="1"/>
  <c r="T154" i="2" s="1"/>
  <c r="S336" i="1"/>
  <c r="S154" i="2" s="1"/>
  <c r="R336" i="1"/>
  <c r="R154" i="2" s="1"/>
  <c r="Q336" i="1"/>
  <c r="P336" i="1"/>
  <c r="P154" i="2" s="1"/>
  <c r="O336" i="1"/>
  <c r="O154" i="2" s="1"/>
  <c r="N336" i="1"/>
  <c r="N154" i="2" s="1"/>
  <c r="M336" i="1"/>
  <c r="M154" i="2" s="1"/>
  <c r="L336" i="1"/>
  <c r="K336" i="1"/>
  <c r="K154" i="2" s="1"/>
  <c r="J336" i="1"/>
  <c r="J154" i="2" s="1"/>
  <c r="I336" i="1"/>
  <c r="I154" i="2" s="1"/>
  <c r="AF332" i="1"/>
  <c r="AD332" i="1"/>
  <c r="AC332" i="1"/>
  <c r="AB332" i="1"/>
  <c r="AA332" i="1"/>
  <c r="Z332" i="1"/>
  <c r="Y332" i="1"/>
  <c r="X332" i="1"/>
  <c r="U332" i="1"/>
  <c r="T332" i="1"/>
  <c r="R332" i="1"/>
  <c r="Q332" i="1"/>
  <c r="N332" i="1"/>
  <c r="I332" i="1"/>
  <c r="AF331" i="1"/>
  <c r="AE331" i="1"/>
  <c r="AE332" i="1" s="1"/>
  <c r="AD331" i="1"/>
  <c r="AC331" i="1"/>
  <c r="AB331" i="1"/>
  <c r="AA331" i="1"/>
  <c r="Z331" i="1"/>
  <c r="Y331" i="1"/>
  <c r="X331" i="1"/>
  <c r="W331" i="1"/>
  <c r="W332" i="1" s="1"/>
  <c r="V331" i="1"/>
  <c r="V332" i="1" s="1"/>
  <c r="U331" i="1"/>
  <c r="T331" i="1"/>
  <c r="S331" i="1"/>
  <c r="S332" i="1" s="1"/>
  <c r="R331" i="1"/>
  <c r="Q331" i="1"/>
  <c r="P331" i="1"/>
  <c r="P332" i="1" s="1"/>
  <c r="O331" i="1"/>
  <c r="O332" i="1" s="1"/>
  <c r="N331" i="1"/>
  <c r="M331" i="1"/>
  <c r="M332" i="1" s="1"/>
  <c r="L331" i="1"/>
  <c r="L332" i="1" s="1"/>
  <c r="K331" i="1"/>
  <c r="K332" i="1" s="1"/>
  <c r="J331" i="1"/>
  <c r="J332" i="1" s="1"/>
  <c r="I331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AF325" i="1"/>
  <c r="AE325" i="1"/>
  <c r="AD325" i="1"/>
  <c r="AB325" i="1"/>
  <c r="AA325" i="1"/>
  <c r="Z325" i="1"/>
  <c r="X325" i="1"/>
  <c r="W325" i="1"/>
  <c r="U325" i="1"/>
  <c r="T325" i="1"/>
  <c r="R325" i="1"/>
  <c r="N325" i="1"/>
  <c r="M325" i="1"/>
  <c r="I325" i="1"/>
  <c r="AF324" i="1"/>
  <c r="AE324" i="1"/>
  <c r="AD324" i="1"/>
  <c r="AC324" i="1"/>
  <c r="AC325" i="1" s="1"/>
  <c r="AB324" i="1"/>
  <c r="AA324" i="1"/>
  <c r="Z324" i="1"/>
  <c r="Y324" i="1"/>
  <c r="Y325" i="1" s="1"/>
  <c r="X324" i="1"/>
  <c r="W324" i="1"/>
  <c r="V324" i="1"/>
  <c r="V325" i="1" s="1"/>
  <c r="U324" i="1"/>
  <c r="T324" i="1"/>
  <c r="S324" i="1"/>
  <c r="S325" i="1" s="1"/>
  <c r="R324" i="1"/>
  <c r="Q324" i="1"/>
  <c r="Q325" i="1" s="1"/>
  <c r="P324" i="1"/>
  <c r="P325" i="1" s="1"/>
  <c r="O324" i="1"/>
  <c r="O325" i="1" s="1"/>
  <c r="N324" i="1"/>
  <c r="M324" i="1"/>
  <c r="L324" i="1"/>
  <c r="L325" i="1" s="1"/>
  <c r="K324" i="1"/>
  <c r="K325" i="1" s="1"/>
  <c r="J324" i="1"/>
  <c r="J325" i="1" s="1"/>
  <c r="I324" i="1"/>
  <c r="AF322" i="1"/>
  <c r="AF147" i="2" s="1"/>
  <c r="AE322" i="1"/>
  <c r="AE147" i="2" s="1"/>
  <c r="AD322" i="1"/>
  <c r="AD147" i="2" s="1"/>
  <c r="AC322" i="1"/>
  <c r="AC147" i="2" s="1"/>
  <c r="AB322" i="1"/>
  <c r="AB147" i="2" s="1"/>
  <c r="AA322" i="1"/>
  <c r="AA147" i="2" s="1"/>
  <c r="Z322" i="1"/>
  <c r="Z147" i="2" s="1"/>
  <c r="Y322" i="1"/>
  <c r="Y147" i="2" s="1"/>
  <c r="X322" i="1"/>
  <c r="X147" i="2" s="1"/>
  <c r="W322" i="1"/>
  <c r="W147" i="2" s="1"/>
  <c r="V322" i="1"/>
  <c r="V147" i="2" s="1"/>
  <c r="U322" i="1"/>
  <c r="T322" i="1"/>
  <c r="T147" i="2" s="1"/>
  <c r="S322" i="1"/>
  <c r="R322" i="1"/>
  <c r="Q322" i="1"/>
  <c r="Q147" i="2" s="1"/>
  <c r="P322" i="1"/>
  <c r="O322" i="1"/>
  <c r="N322" i="1"/>
  <c r="N147" i="2" s="1"/>
  <c r="M322" i="1"/>
  <c r="M147" i="2" s="1"/>
  <c r="L322" i="1"/>
  <c r="L147" i="2" s="1"/>
  <c r="K322" i="1"/>
  <c r="J322" i="1"/>
  <c r="J147" i="2" s="1"/>
  <c r="I322" i="1"/>
  <c r="I147" i="2" s="1"/>
  <c r="AB318" i="1"/>
  <c r="AA318" i="1"/>
  <c r="Z318" i="1"/>
  <c r="Y318" i="1"/>
  <c r="T318" i="1"/>
  <c r="S318" i="1"/>
  <c r="R318" i="1"/>
  <c r="O318" i="1"/>
  <c r="K318" i="1"/>
  <c r="AF317" i="1"/>
  <c r="AF318" i="1" s="1"/>
  <c r="AE317" i="1"/>
  <c r="AE318" i="1" s="1"/>
  <c r="AD317" i="1"/>
  <c r="AD318" i="1" s="1"/>
  <c r="AC317" i="1"/>
  <c r="AC318" i="1" s="1"/>
  <c r="AB317" i="1"/>
  <c r="AA317" i="1"/>
  <c r="Z317" i="1"/>
  <c r="Y317" i="1"/>
  <c r="X317" i="1"/>
  <c r="X318" i="1" s="1"/>
  <c r="W317" i="1"/>
  <c r="W318" i="1" s="1"/>
  <c r="V317" i="1"/>
  <c r="V318" i="1" s="1"/>
  <c r="U317" i="1"/>
  <c r="U318" i="1" s="1"/>
  <c r="T317" i="1"/>
  <c r="S317" i="1"/>
  <c r="R317" i="1"/>
  <c r="Q317" i="1"/>
  <c r="Q318" i="1" s="1"/>
  <c r="P317" i="1"/>
  <c r="P318" i="1" s="1"/>
  <c r="O317" i="1"/>
  <c r="N317" i="1"/>
  <c r="N318" i="1" s="1"/>
  <c r="M317" i="1"/>
  <c r="M318" i="1" s="1"/>
  <c r="L317" i="1"/>
  <c r="L318" i="1" s="1"/>
  <c r="K317" i="1"/>
  <c r="J317" i="1"/>
  <c r="J318" i="1" s="1"/>
  <c r="I317" i="1"/>
  <c r="I318" i="1" s="1"/>
  <c r="AF315" i="1"/>
  <c r="AF140" i="2" s="1"/>
  <c r="AE315" i="1"/>
  <c r="AE140" i="2" s="1"/>
  <c r="AD315" i="1"/>
  <c r="AD140" i="2" s="1"/>
  <c r="AC315" i="1"/>
  <c r="AC140" i="2" s="1"/>
  <c r="AB315" i="1"/>
  <c r="AB140" i="2" s="1"/>
  <c r="AA315" i="1"/>
  <c r="AA140" i="2" s="1"/>
  <c r="Z315" i="1"/>
  <c r="Z140" i="2" s="1"/>
  <c r="Y315" i="1"/>
  <c r="Y140" i="2" s="1"/>
  <c r="X315" i="1"/>
  <c r="X140" i="2" s="1"/>
  <c r="W315" i="1"/>
  <c r="V315" i="1"/>
  <c r="U315" i="1"/>
  <c r="T315" i="1"/>
  <c r="T140" i="2" s="1"/>
  <c r="S315" i="1"/>
  <c r="S140" i="2" s="1"/>
  <c r="R315" i="1"/>
  <c r="Q315" i="1"/>
  <c r="P315" i="1"/>
  <c r="O315" i="1"/>
  <c r="O140" i="2" s="1"/>
  <c r="N315" i="1"/>
  <c r="N140" i="2" s="1"/>
  <c r="M315" i="1"/>
  <c r="L315" i="1"/>
  <c r="L140" i="2" s="1"/>
  <c r="K315" i="1"/>
  <c r="K140" i="2" s="1"/>
  <c r="J315" i="1"/>
  <c r="J140" i="2" s="1"/>
  <c r="I315" i="1"/>
  <c r="I140" i="2" s="1"/>
  <c r="V310" i="1"/>
  <c r="U310" i="1"/>
  <c r="Q310" i="1"/>
  <c r="AF309" i="1"/>
  <c r="AF310" i="1" s="1"/>
  <c r="AE309" i="1"/>
  <c r="AE310" i="1" s="1"/>
  <c r="AD309" i="1"/>
  <c r="AD310" i="1" s="1"/>
  <c r="AC309" i="1"/>
  <c r="AC310" i="1" s="1"/>
  <c r="AB309" i="1"/>
  <c r="AB310" i="1" s="1"/>
  <c r="AA309" i="1"/>
  <c r="AA310" i="1" s="1"/>
  <c r="Z309" i="1"/>
  <c r="Z310" i="1" s="1"/>
  <c r="Y309" i="1"/>
  <c r="Y310" i="1" s="1"/>
  <c r="X309" i="1"/>
  <c r="X310" i="1" s="1"/>
  <c r="W309" i="1"/>
  <c r="W310" i="1" s="1"/>
  <c r="V309" i="1"/>
  <c r="U309" i="1"/>
  <c r="T309" i="1"/>
  <c r="T310" i="1" s="1"/>
  <c r="S309" i="1"/>
  <c r="S310" i="1" s="1"/>
  <c r="R309" i="1"/>
  <c r="R310" i="1" s="1"/>
  <c r="Q309" i="1"/>
  <c r="P309" i="1"/>
  <c r="P310" i="1" s="1"/>
  <c r="O309" i="1"/>
  <c r="O310" i="1" s="1"/>
  <c r="N309" i="1"/>
  <c r="N310" i="1" s="1"/>
  <c r="M309" i="1"/>
  <c r="M310" i="1" s="1"/>
  <c r="L309" i="1"/>
  <c r="L310" i="1" s="1"/>
  <c r="K309" i="1"/>
  <c r="K310" i="1" s="1"/>
  <c r="J309" i="1"/>
  <c r="J310" i="1" s="1"/>
  <c r="I309" i="1"/>
  <c r="I310" i="1" s="1"/>
  <c r="AF307" i="1"/>
  <c r="AF137" i="2" s="1"/>
  <c r="AE307" i="1"/>
  <c r="AD307" i="1"/>
  <c r="AC307" i="1"/>
  <c r="AB307" i="1"/>
  <c r="AB137" i="2" s="1"/>
  <c r="AA307" i="1"/>
  <c r="Z307" i="1"/>
  <c r="Z137" i="2" s="1"/>
  <c r="Y307" i="1"/>
  <c r="X307" i="1"/>
  <c r="X137" i="2" s="1"/>
  <c r="W307" i="1"/>
  <c r="W145" i="2" s="1"/>
  <c r="V307" i="1"/>
  <c r="V145" i="2" s="1"/>
  <c r="U307" i="1"/>
  <c r="T307" i="1"/>
  <c r="T145" i="2" s="1"/>
  <c r="S307" i="1"/>
  <c r="S145" i="2" s="1"/>
  <c r="R307" i="1"/>
  <c r="R145" i="2" s="1"/>
  <c r="Q307" i="1"/>
  <c r="Q145" i="2" s="1"/>
  <c r="P307" i="1"/>
  <c r="O307" i="1"/>
  <c r="N307" i="1"/>
  <c r="N145" i="2" s="1"/>
  <c r="M307" i="1"/>
  <c r="L307" i="1"/>
  <c r="K307" i="1"/>
  <c r="J307" i="1"/>
  <c r="I307" i="1"/>
  <c r="AF303" i="1"/>
  <c r="AE303" i="1"/>
  <c r="AD303" i="1"/>
  <c r="AB303" i="1"/>
  <c r="AA303" i="1"/>
  <c r="Z303" i="1"/>
  <c r="X303" i="1"/>
  <c r="W303" i="1"/>
  <c r="T303" i="1"/>
  <c r="Q303" i="1"/>
  <c r="K303" i="1"/>
  <c r="J303" i="1"/>
  <c r="AF302" i="1"/>
  <c r="AE302" i="1"/>
  <c r="AD302" i="1"/>
  <c r="AC302" i="1"/>
  <c r="AC303" i="1" s="1"/>
  <c r="AB302" i="1"/>
  <c r="AA302" i="1"/>
  <c r="Z302" i="1"/>
  <c r="Y302" i="1"/>
  <c r="Y303" i="1" s="1"/>
  <c r="X302" i="1"/>
  <c r="W302" i="1"/>
  <c r="V302" i="1"/>
  <c r="V303" i="1" s="1"/>
  <c r="U302" i="1"/>
  <c r="U303" i="1" s="1"/>
  <c r="T302" i="1"/>
  <c r="S302" i="1"/>
  <c r="S303" i="1" s="1"/>
  <c r="R302" i="1"/>
  <c r="R303" i="1" s="1"/>
  <c r="Q302" i="1"/>
  <c r="P302" i="1"/>
  <c r="P303" i="1" s="1"/>
  <c r="O302" i="1"/>
  <c r="O303" i="1" s="1"/>
  <c r="N302" i="1"/>
  <c r="N303" i="1" s="1"/>
  <c r="M302" i="1"/>
  <c r="M303" i="1" s="1"/>
  <c r="L302" i="1"/>
  <c r="L303" i="1" s="1"/>
  <c r="K302" i="1"/>
  <c r="J302" i="1"/>
  <c r="I302" i="1"/>
  <c r="I303" i="1" s="1"/>
  <c r="AF300" i="1"/>
  <c r="AF138" i="2" s="1"/>
  <c r="AE300" i="1"/>
  <c r="AD300" i="1"/>
  <c r="AD138" i="2" s="1"/>
  <c r="AC300" i="1"/>
  <c r="AC138" i="2" s="1"/>
  <c r="AB300" i="1"/>
  <c r="AB138" i="2" s="1"/>
  <c r="AA300" i="1"/>
  <c r="Z300" i="1"/>
  <c r="Z138" i="2" s="1"/>
  <c r="Y300" i="1"/>
  <c r="X300" i="1"/>
  <c r="W300" i="1"/>
  <c r="V300" i="1"/>
  <c r="U300" i="1"/>
  <c r="U138" i="2" s="1"/>
  <c r="T300" i="1"/>
  <c r="S300" i="1"/>
  <c r="S138" i="2" s="1"/>
  <c r="R300" i="1"/>
  <c r="R138" i="2" s="1"/>
  <c r="Q300" i="1"/>
  <c r="Q138" i="2" s="1"/>
  <c r="P300" i="1"/>
  <c r="P138" i="2" s="1"/>
  <c r="O300" i="1"/>
  <c r="O138" i="2" s="1"/>
  <c r="N300" i="1"/>
  <c r="N138" i="2" s="1"/>
  <c r="M300" i="1"/>
  <c r="M138" i="2" s="1"/>
  <c r="L300" i="1"/>
  <c r="L138" i="2" s="1"/>
  <c r="K300" i="1"/>
  <c r="K138" i="2" s="1"/>
  <c r="J300" i="1"/>
  <c r="J138" i="2" s="1"/>
  <c r="I300" i="1"/>
  <c r="I138" i="2" s="1"/>
  <c r="AF289" i="1"/>
  <c r="AD289" i="1"/>
  <c r="AC289" i="1"/>
  <c r="Y289" i="1"/>
  <c r="X289" i="1"/>
  <c r="V289" i="1"/>
  <c r="R289" i="1"/>
  <c r="K289" i="1"/>
  <c r="J289" i="1"/>
  <c r="AF288" i="1"/>
  <c r="AE288" i="1"/>
  <c r="AE289" i="1" s="1"/>
  <c r="AD288" i="1"/>
  <c r="AC288" i="1"/>
  <c r="AB288" i="1"/>
  <c r="AB289" i="1" s="1"/>
  <c r="AA288" i="1"/>
  <c r="AA289" i="1" s="1"/>
  <c r="Z288" i="1"/>
  <c r="Z289" i="1" s="1"/>
  <c r="Y288" i="1"/>
  <c r="X288" i="1"/>
  <c r="W288" i="1"/>
  <c r="W289" i="1" s="1"/>
  <c r="V288" i="1"/>
  <c r="U288" i="1"/>
  <c r="U289" i="1" s="1"/>
  <c r="T288" i="1"/>
  <c r="T289" i="1" s="1"/>
  <c r="S288" i="1"/>
  <c r="S289" i="1" s="1"/>
  <c r="R288" i="1"/>
  <c r="Q288" i="1"/>
  <c r="Q289" i="1" s="1"/>
  <c r="P288" i="1"/>
  <c r="P289" i="1" s="1"/>
  <c r="O288" i="1"/>
  <c r="O289" i="1" s="1"/>
  <c r="N288" i="1"/>
  <c r="N289" i="1" s="1"/>
  <c r="M288" i="1"/>
  <c r="M289" i="1" s="1"/>
  <c r="L288" i="1"/>
  <c r="L289" i="1" s="1"/>
  <c r="K288" i="1"/>
  <c r="J288" i="1"/>
  <c r="I288" i="1"/>
  <c r="I289" i="1" s="1"/>
  <c r="AF286" i="1"/>
  <c r="AF114" i="2" s="1"/>
  <c r="AE286" i="1"/>
  <c r="AD286" i="1"/>
  <c r="AD114" i="2" s="1"/>
  <c r="AC286" i="1"/>
  <c r="AC114" i="2" s="1"/>
  <c r="AB286" i="1"/>
  <c r="AB114" i="2" s="1"/>
  <c r="AA286" i="1"/>
  <c r="AA114" i="2" s="1"/>
  <c r="Z286" i="1"/>
  <c r="Z114" i="2" s="1"/>
  <c r="Y286" i="1"/>
  <c r="Y114" i="2" s="1"/>
  <c r="X286" i="1"/>
  <c r="W286" i="1"/>
  <c r="V286" i="1"/>
  <c r="V114" i="2" s="1"/>
  <c r="U286" i="1"/>
  <c r="U114" i="2" s="1"/>
  <c r="T286" i="1"/>
  <c r="T114" i="2" s="1"/>
  <c r="S286" i="1"/>
  <c r="R286" i="1"/>
  <c r="R114" i="2" s="1"/>
  <c r="Q286" i="1"/>
  <c r="Q114" i="2" s="1"/>
  <c r="P286" i="1"/>
  <c r="O286" i="1"/>
  <c r="O114" i="2" s="1"/>
  <c r="N286" i="1"/>
  <c r="N114" i="2" s="1"/>
  <c r="M286" i="1"/>
  <c r="L286" i="1"/>
  <c r="K286" i="1"/>
  <c r="K114" i="2" s="1"/>
  <c r="J286" i="1"/>
  <c r="I286" i="1"/>
  <c r="Q282" i="1"/>
  <c r="N282" i="1"/>
  <c r="M282" i="1"/>
  <c r="I282" i="1"/>
  <c r="AF281" i="1"/>
  <c r="AF282" i="1" s="1"/>
  <c r="AE281" i="1"/>
  <c r="AE282" i="1" s="1"/>
  <c r="AD281" i="1"/>
  <c r="AD282" i="1" s="1"/>
  <c r="AC281" i="1"/>
  <c r="AC282" i="1" s="1"/>
  <c r="AB281" i="1"/>
  <c r="AB282" i="1" s="1"/>
  <c r="AA281" i="1"/>
  <c r="AA282" i="1" s="1"/>
  <c r="Z281" i="1"/>
  <c r="Z282" i="1" s="1"/>
  <c r="Y281" i="1"/>
  <c r="Y282" i="1" s="1"/>
  <c r="X281" i="1"/>
  <c r="X282" i="1" s="1"/>
  <c r="W281" i="1"/>
  <c r="W282" i="1" s="1"/>
  <c r="V281" i="1"/>
  <c r="V282" i="1" s="1"/>
  <c r="U281" i="1"/>
  <c r="U282" i="1" s="1"/>
  <c r="T281" i="1"/>
  <c r="T282" i="1" s="1"/>
  <c r="S281" i="1"/>
  <c r="S282" i="1" s="1"/>
  <c r="R281" i="1"/>
  <c r="R282" i="1" s="1"/>
  <c r="Q281" i="1"/>
  <c r="P281" i="1"/>
  <c r="P282" i="1" s="1"/>
  <c r="O281" i="1"/>
  <c r="O282" i="1" s="1"/>
  <c r="N281" i="1"/>
  <c r="M281" i="1"/>
  <c r="L281" i="1"/>
  <c r="L282" i="1" s="1"/>
  <c r="K281" i="1"/>
  <c r="K282" i="1" s="1"/>
  <c r="J281" i="1"/>
  <c r="J282" i="1" s="1"/>
  <c r="I281" i="1"/>
  <c r="AF279" i="1"/>
  <c r="AE279" i="1"/>
  <c r="AD279" i="1"/>
  <c r="AD113" i="2" s="1"/>
  <c r="AC279" i="1"/>
  <c r="AB279" i="1"/>
  <c r="AA279" i="1"/>
  <c r="AA113" i="2" s="1"/>
  <c r="Z279" i="1"/>
  <c r="Z113" i="2" s="1"/>
  <c r="Y279" i="1"/>
  <c r="Y113" i="2" s="1"/>
  <c r="X279" i="1"/>
  <c r="X113" i="2" s="1"/>
  <c r="W279" i="1"/>
  <c r="W113" i="2" s="1"/>
  <c r="V279" i="1"/>
  <c r="V113" i="2" s="1"/>
  <c r="U279" i="1"/>
  <c r="U113" i="2" s="1"/>
  <c r="T279" i="1"/>
  <c r="T113" i="2" s="1"/>
  <c r="S279" i="1"/>
  <c r="S113" i="2" s="1"/>
  <c r="R279" i="1"/>
  <c r="R113" i="2" s="1"/>
  <c r="Q279" i="1"/>
  <c r="Q113" i="2" s="1"/>
  <c r="P279" i="1"/>
  <c r="O279" i="1"/>
  <c r="N279" i="1"/>
  <c r="N113" i="2" s="1"/>
  <c r="M279" i="1"/>
  <c r="M113" i="2" s="1"/>
  <c r="L279" i="1"/>
  <c r="L113" i="2" s="1"/>
  <c r="K279" i="1"/>
  <c r="J279" i="1"/>
  <c r="I279" i="1"/>
  <c r="I113" i="2" s="1"/>
  <c r="AF275" i="1"/>
  <c r="AE275" i="1"/>
  <c r="AD275" i="1"/>
  <c r="AB275" i="1"/>
  <c r="AA275" i="1"/>
  <c r="Y275" i="1"/>
  <c r="X275" i="1"/>
  <c r="W275" i="1"/>
  <c r="T275" i="1"/>
  <c r="S275" i="1"/>
  <c r="R275" i="1"/>
  <c r="M275" i="1"/>
  <c r="J275" i="1"/>
  <c r="AF274" i="1"/>
  <c r="AE274" i="1"/>
  <c r="AD274" i="1"/>
  <c r="AC274" i="1"/>
  <c r="AC275" i="1" s="1"/>
  <c r="AB274" i="1"/>
  <c r="AA274" i="1"/>
  <c r="Z274" i="1"/>
  <c r="Z275" i="1" s="1"/>
  <c r="Y274" i="1"/>
  <c r="X274" i="1"/>
  <c r="W274" i="1"/>
  <c r="V274" i="1"/>
  <c r="V275" i="1" s="1"/>
  <c r="U274" i="1"/>
  <c r="U275" i="1" s="1"/>
  <c r="T274" i="1"/>
  <c r="S274" i="1"/>
  <c r="R274" i="1"/>
  <c r="Q274" i="1"/>
  <c r="Q275" i="1" s="1"/>
  <c r="P274" i="1"/>
  <c r="P275" i="1" s="1"/>
  <c r="O274" i="1"/>
  <c r="O275" i="1" s="1"/>
  <c r="N274" i="1"/>
  <c r="N275" i="1" s="1"/>
  <c r="M274" i="1"/>
  <c r="L274" i="1"/>
  <c r="L275" i="1" s="1"/>
  <c r="K274" i="1"/>
  <c r="K275" i="1" s="1"/>
  <c r="J274" i="1"/>
  <c r="I274" i="1"/>
  <c r="I275" i="1" s="1"/>
  <c r="AF272" i="1"/>
  <c r="AF112" i="2" s="1"/>
  <c r="AE272" i="1"/>
  <c r="AE112" i="2" s="1"/>
  <c r="AD272" i="1"/>
  <c r="AD112" i="2" s="1"/>
  <c r="AC272" i="1"/>
  <c r="AB272" i="1"/>
  <c r="AB112" i="2" s="1"/>
  <c r="AA272" i="1"/>
  <c r="AA112" i="2" s="1"/>
  <c r="Z272" i="1"/>
  <c r="Y272" i="1"/>
  <c r="Y112" i="2" s="1"/>
  <c r="X272" i="1"/>
  <c r="X112" i="2" s="1"/>
  <c r="W272" i="1"/>
  <c r="W112" i="2" s="1"/>
  <c r="V272" i="1"/>
  <c r="V112" i="2" s="1"/>
  <c r="U272" i="1"/>
  <c r="T272" i="1"/>
  <c r="S272" i="1"/>
  <c r="S112" i="2" s="1"/>
  <c r="R272" i="1"/>
  <c r="Q272" i="1"/>
  <c r="Q112" i="2" s="1"/>
  <c r="P272" i="1"/>
  <c r="O272" i="1"/>
  <c r="N272" i="1"/>
  <c r="N112" i="2" s="1"/>
  <c r="M272" i="1"/>
  <c r="M112" i="2" s="1"/>
  <c r="L272" i="1"/>
  <c r="L112" i="2" s="1"/>
  <c r="K272" i="1"/>
  <c r="K112" i="2" s="1"/>
  <c r="J272" i="1"/>
  <c r="J112" i="2" s="1"/>
  <c r="I272" i="1"/>
  <c r="I112" i="2" s="1"/>
  <c r="AF267" i="1"/>
  <c r="AD267" i="1"/>
  <c r="AC267" i="1"/>
  <c r="Y267" i="1"/>
  <c r="X267" i="1"/>
  <c r="V267" i="1"/>
  <c r="Q267" i="1"/>
  <c r="L267" i="1"/>
  <c r="I267" i="1"/>
  <c r="AF266" i="1"/>
  <c r="AE266" i="1"/>
  <c r="AE267" i="1" s="1"/>
  <c r="AD266" i="1"/>
  <c r="AC266" i="1"/>
  <c r="AB266" i="1"/>
  <c r="AB267" i="1" s="1"/>
  <c r="AA266" i="1"/>
  <c r="AA267" i="1" s="1"/>
  <c r="Z266" i="1"/>
  <c r="Z267" i="1" s="1"/>
  <c r="Y266" i="1"/>
  <c r="X266" i="1"/>
  <c r="W266" i="1"/>
  <c r="W267" i="1" s="1"/>
  <c r="V266" i="1"/>
  <c r="U266" i="1"/>
  <c r="U267" i="1" s="1"/>
  <c r="T266" i="1"/>
  <c r="T267" i="1" s="1"/>
  <c r="S266" i="1"/>
  <c r="S267" i="1" s="1"/>
  <c r="R266" i="1"/>
  <c r="R267" i="1" s="1"/>
  <c r="Q266" i="1"/>
  <c r="P266" i="1"/>
  <c r="P267" i="1" s="1"/>
  <c r="O266" i="1"/>
  <c r="O267" i="1" s="1"/>
  <c r="N266" i="1"/>
  <c r="N267" i="1" s="1"/>
  <c r="M266" i="1"/>
  <c r="M267" i="1" s="1"/>
  <c r="L266" i="1"/>
  <c r="K266" i="1"/>
  <c r="K267" i="1" s="1"/>
  <c r="J266" i="1"/>
  <c r="J267" i="1" s="1"/>
  <c r="I266" i="1"/>
  <c r="AF264" i="1"/>
  <c r="AF97" i="2" s="1"/>
  <c r="AE264" i="1"/>
  <c r="AD264" i="1"/>
  <c r="AD97" i="2" s="1"/>
  <c r="AC264" i="1"/>
  <c r="AC97" i="2" s="1"/>
  <c r="AB264" i="1"/>
  <c r="AB97" i="2" s="1"/>
  <c r="AA264" i="1"/>
  <c r="Z264" i="1"/>
  <c r="Y264" i="1"/>
  <c r="X264" i="1"/>
  <c r="W264" i="1"/>
  <c r="V264" i="1"/>
  <c r="U264" i="1"/>
  <c r="U97" i="2" s="1"/>
  <c r="T264" i="1"/>
  <c r="T97" i="2" s="1"/>
  <c r="S264" i="1"/>
  <c r="R264" i="1"/>
  <c r="R97" i="2" s="1"/>
  <c r="Q264" i="1"/>
  <c r="Q97" i="2" s="1"/>
  <c r="P264" i="1"/>
  <c r="P97" i="2" s="1"/>
  <c r="O264" i="1"/>
  <c r="N264" i="1"/>
  <c r="N97" i="2" s="1"/>
  <c r="M264" i="1"/>
  <c r="L264" i="1"/>
  <c r="L97" i="2" s="1"/>
  <c r="K264" i="1"/>
  <c r="K97" i="2" s="1"/>
  <c r="J264" i="1"/>
  <c r="J97" i="2" s="1"/>
  <c r="I264" i="1"/>
  <c r="AF260" i="1"/>
  <c r="AE260" i="1"/>
  <c r="AD260" i="1"/>
  <c r="AA260" i="1"/>
  <c r="Z260" i="1"/>
  <c r="U260" i="1"/>
  <c r="N260" i="1"/>
  <c r="M260" i="1"/>
  <c r="J260" i="1"/>
  <c r="I260" i="1"/>
  <c r="AF259" i="1"/>
  <c r="AE259" i="1"/>
  <c r="AD259" i="1"/>
  <c r="AC259" i="1"/>
  <c r="AC260" i="1" s="1"/>
  <c r="AB259" i="1"/>
  <c r="AB260" i="1" s="1"/>
  <c r="AA259" i="1"/>
  <c r="Z259" i="1"/>
  <c r="Y259" i="1"/>
  <c r="Y260" i="1" s="1"/>
  <c r="X259" i="1"/>
  <c r="X260" i="1" s="1"/>
  <c r="W259" i="1"/>
  <c r="W260" i="1" s="1"/>
  <c r="V259" i="1"/>
  <c r="V260" i="1" s="1"/>
  <c r="U259" i="1"/>
  <c r="T259" i="1"/>
  <c r="T260" i="1" s="1"/>
  <c r="S259" i="1"/>
  <c r="S260" i="1" s="1"/>
  <c r="R259" i="1"/>
  <c r="R260" i="1" s="1"/>
  <c r="Q259" i="1"/>
  <c r="Q260" i="1" s="1"/>
  <c r="P259" i="1"/>
  <c r="P260" i="1" s="1"/>
  <c r="O259" i="1"/>
  <c r="O260" i="1" s="1"/>
  <c r="N259" i="1"/>
  <c r="M259" i="1"/>
  <c r="L259" i="1"/>
  <c r="L260" i="1" s="1"/>
  <c r="K259" i="1"/>
  <c r="K260" i="1" s="1"/>
  <c r="J259" i="1"/>
  <c r="I259" i="1"/>
  <c r="AF257" i="1"/>
  <c r="AE257" i="1"/>
  <c r="AE96" i="2" s="1"/>
  <c r="AD257" i="1"/>
  <c r="AD96" i="2" s="1"/>
  <c r="AC257" i="1"/>
  <c r="AB257" i="1"/>
  <c r="AA257" i="1"/>
  <c r="AA96" i="2" s="1"/>
  <c r="Z257" i="1"/>
  <c r="Z96" i="2" s="1"/>
  <c r="Y257" i="1"/>
  <c r="Y96" i="2" s="1"/>
  <c r="X257" i="1"/>
  <c r="W257" i="1"/>
  <c r="V257" i="1"/>
  <c r="V96" i="2" s="1"/>
  <c r="U257" i="1"/>
  <c r="U96" i="2" s="1"/>
  <c r="T257" i="1"/>
  <c r="T96" i="2" s="1"/>
  <c r="S257" i="1"/>
  <c r="S96" i="2" s="1"/>
  <c r="R257" i="1"/>
  <c r="R96" i="2" s="1"/>
  <c r="Q257" i="1"/>
  <c r="Q96" i="2" s="1"/>
  <c r="P257" i="1"/>
  <c r="O257" i="1"/>
  <c r="O96" i="2" s="1"/>
  <c r="N257" i="1"/>
  <c r="N96" i="2" s="1"/>
  <c r="M257" i="1"/>
  <c r="M96" i="2" s="1"/>
  <c r="L257" i="1"/>
  <c r="L96" i="2" s="1"/>
  <c r="K257" i="1"/>
  <c r="K96" i="2" s="1"/>
  <c r="J257" i="1"/>
  <c r="I257" i="1"/>
  <c r="I96" i="2" s="1"/>
  <c r="AB253" i="1"/>
  <c r="AA253" i="1"/>
  <c r="Z253" i="1"/>
  <c r="W253" i="1"/>
  <c r="V253" i="1"/>
  <c r="U253" i="1"/>
  <c r="T253" i="1"/>
  <c r="S253" i="1"/>
  <c r="R253" i="1"/>
  <c r="P253" i="1"/>
  <c r="O253" i="1"/>
  <c r="K253" i="1"/>
  <c r="AF252" i="1"/>
  <c r="AF253" i="1" s="1"/>
  <c r="AE252" i="1"/>
  <c r="AE253" i="1" s="1"/>
  <c r="AD252" i="1"/>
  <c r="AD253" i="1" s="1"/>
  <c r="AC252" i="1"/>
  <c r="AC253" i="1" s="1"/>
  <c r="AB252" i="1"/>
  <c r="AA252" i="1"/>
  <c r="Z252" i="1"/>
  <c r="Y252" i="1"/>
  <c r="Y253" i="1" s="1"/>
  <c r="X252" i="1"/>
  <c r="X253" i="1" s="1"/>
  <c r="W252" i="1"/>
  <c r="V252" i="1"/>
  <c r="U252" i="1"/>
  <c r="T252" i="1"/>
  <c r="S252" i="1"/>
  <c r="R252" i="1"/>
  <c r="Q252" i="1"/>
  <c r="Q253" i="1" s="1"/>
  <c r="P252" i="1"/>
  <c r="O252" i="1"/>
  <c r="N252" i="1"/>
  <c r="N253" i="1" s="1"/>
  <c r="M252" i="1"/>
  <c r="M253" i="1" s="1"/>
  <c r="L252" i="1"/>
  <c r="L253" i="1" s="1"/>
  <c r="K252" i="1"/>
  <c r="J252" i="1"/>
  <c r="J253" i="1" s="1"/>
  <c r="I252" i="1"/>
  <c r="I253" i="1" s="1"/>
  <c r="AF250" i="1"/>
  <c r="AE250" i="1"/>
  <c r="AE95" i="2" s="1"/>
  <c r="AD250" i="1"/>
  <c r="AC250" i="1"/>
  <c r="AC95" i="2" s="1"/>
  <c r="AB250" i="1"/>
  <c r="AA250" i="1"/>
  <c r="Z250" i="1"/>
  <c r="Z95" i="2" s="1"/>
  <c r="Y250" i="1"/>
  <c r="X250" i="1"/>
  <c r="W250" i="1"/>
  <c r="W95" i="2" s="1"/>
  <c r="V250" i="1"/>
  <c r="V95" i="2" s="1"/>
  <c r="U250" i="1"/>
  <c r="T250" i="1"/>
  <c r="T95" i="2" s="1"/>
  <c r="S250" i="1"/>
  <c r="S95" i="2" s="1"/>
  <c r="R250" i="1"/>
  <c r="R95" i="2" s="1"/>
  <c r="Q250" i="1"/>
  <c r="Q95" i="2" s="1"/>
  <c r="P250" i="1"/>
  <c r="P95" i="2" s="1"/>
  <c r="O250" i="1"/>
  <c r="O95" i="2" s="1"/>
  <c r="N250" i="1"/>
  <c r="N95" i="2" s="1"/>
  <c r="M250" i="1"/>
  <c r="M95" i="2" s="1"/>
  <c r="L250" i="1"/>
  <c r="L95" i="2" s="1"/>
  <c r="K250" i="1"/>
  <c r="K95" i="2" s="1"/>
  <c r="J250" i="1"/>
  <c r="I250" i="1"/>
  <c r="I95" i="2" s="1"/>
  <c r="AB245" i="1"/>
  <c r="AA245" i="1"/>
  <c r="Y245" i="1"/>
  <c r="X245" i="1"/>
  <c r="V245" i="1"/>
  <c r="U245" i="1"/>
  <c r="T245" i="1"/>
  <c r="R245" i="1"/>
  <c r="O245" i="1"/>
  <c r="M245" i="1"/>
  <c r="L245" i="1"/>
  <c r="AF244" i="1"/>
  <c r="AF245" i="1" s="1"/>
  <c r="AE244" i="1"/>
  <c r="AE245" i="1" s="1"/>
  <c r="AD244" i="1"/>
  <c r="AD245" i="1" s="1"/>
  <c r="AC244" i="1"/>
  <c r="AC245" i="1" s="1"/>
  <c r="AB244" i="1"/>
  <c r="AA244" i="1"/>
  <c r="Z244" i="1"/>
  <c r="Z245" i="1" s="1"/>
  <c r="Y244" i="1"/>
  <c r="X244" i="1"/>
  <c r="W244" i="1"/>
  <c r="W245" i="1" s="1"/>
  <c r="V244" i="1"/>
  <c r="U244" i="1"/>
  <c r="T244" i="1"/>
  <c r="S244" i="1"/>
  <c r="S245" i="1" s="1"/>
  <c r="R244" i="1"/>
  <c r="Q244" i="1"/>
  <c r="Q245" i="1" s="1"/>
  <c r="P244" i="1"/>
  <c r="P245" i="1" s="1"/>
  <c r="O244" i="1"/>
  <c r="N244" i="1"/>
  <c r="N245" i="1" s="1"/>
  <c r="M244" i="1"/>
  <c r="L244" i="1"/>
  <c r="K244" i="1"/>
  <c r="K245" i="1" s="1"/>
  <c r="J244" i="1"/>
  <c r="J245" i="1" s="1"/>
  <c r="I244" i="1"/>
  <c r="I245" i="1" s="1"/>
  <c r="AF242" i="1"/>
  <c r="AF62" i="2" s="1"/>
  <c r="AF107" i="2" s="1"/>
  <c r="AE242" i="1"/>
  <c r="AE62" i="2" s="1"/>
  <c r="AD242" i="1"/>
  <c r="AD62" i="2" s="1"/>
  <c r="AC242" i="1"/>
  <c r="AC62" i="2" s="1"/>
  <c r="AC107" i="2" s="1"/>
  <c r="AB242" i="1"/>
  <c r="AB62" i="2" s="1"/>
  <c r="AA242" i="1"/>
  <c r="Z242" i="1"/>
  <c r="Z62" i="2" s="1"/>
  <c r="Y242" i="1"/>
  <c r="Y62" i="2" s="1"/>
  <c r="Y107" i="2" s="1"/>
  <c r="X242" i="1"/>
  <c r="X62" i="2" s="1"/>
  <c r="X107" i="2" s="1"/>
  <c r="W242" i="1"/>
  <c r="V242" i="1"/>
  <c r="V62" i="2" s="1"/>
  <c r="V107" i="2" s="1"/>
  <c r="U242" i="1"/>
  <c r="U62" i="2" s="1"/>
  <c r="T242" i="1"/>
  <c r="S242" i="1"/>
  <c r="S62" i="2" s="1"/>
  <c r="S107" i="2" s="1"/>
  <c r="R242" i="1"/>
  <c r="R62" i="2" s="1"/>
  <c r="R107" i="2" s="1"/>
  <c r="Q242" i="1"/>
  <c r="Q62" i="2" s="1"/>
  <c r="Q107" i="2" s="1"/>
  <c r="P242" i="1"/>
  <c r="P62" i="2" s="1"/>
  <c r="O242" i="1"/>
  <c r="N242" i="1"/>
  <c r="N62" i="2" s="1"/>
  <c r="M242" i="1"/>
  <c r="M62" i="2" s="1"/>
  <c r="M107" i="2" s="1"/>
  <c r="L242" i="1"/>
  <c r="L62" i="2" s="1"/>
  <c r="L107" i="2" s="1"/>
  <c r="K242" i="1"/>
  <c r="K62" i="2" s="1"/>
  <c r="K107" i="2" s="1"/>
  <c r="K110" i="2" s="1"/>
  <c r="K118" i="2" s="1"/>
  <c r="J242" i="1"/>
  <c r="J62" i="2" s="1"/>
  <c r="J107" i="2" s="1"/>
  <c r="I242" i="1"/>
  <c r="I62" i="2" s="1"/>
  <c r="AE238" i="1"/>
  <c r="AD238" i="1"/>
  <c r="AB238" i="1"/>
  <c r="AA238" i="1"/>
  <c r="X238" i="1"/>
  <c r="W238" i="1"/>
  <c r="V238" i="1"/>
  <c r="U238" i="1"/>
  <c r="P238" i="1"/>
  <c r="K238" i="1"/>
  <c r="I238" i="1"/>
  <c r="AF237" i="1"/>
  <c r="AF238" i="1" s="1"/>
  <c r="AE237" i="1"/>
  <c r="AD237" i="1"/>
  <c r="AC237" i="1"/>
  <c r="AC238" i="1" s="1"/>
  <c r="AB237" i="1"/>
  <c r="AA237" i="1"/>
  <c r="Z237" i="1"/>
  <c r="Z238" i="1" s="1"/>
  <c r="Y237" i="1"/>
  <c r="Y238" i="1" s="1"/>
  <c r="X237" i="1"/>
  <c r="W237" i="1"/>
  <c r="V237" i="1"/>
  <c r="U237" i="1"/>
  <c r="T237" i="1"/>
  <c r="T238" i="1" s="1"/>
  <c r="S237" i="1"/>
  <c r="S238" i="1" s="1"/>
  <c r="R237" i="1"/>
  <c r="R238" i="1" s="1"/>
  <c r="Q237" i="1"/>
  <c r="Q238" i="1" s="1"/>
  <c r="P237" i="1"/>
  <c r="O237" i="1"/>
  <c r="O238" i="1" s="1"/>
  <c r="N237" i="1"/>
  <c r="N238" i="1" s="1"/>
  <c r="M237" i="1"/>
  <c r="M238" i="1" s="1"/>
  <c r="L237" i="1"/>
  <c r="L238" i="1" s="1"/>
  <c r="K237" i="1"/>
  <c r="J237" i="1"/>
  <c r="J238" i="1" s="1"/>
  <c r="I237" i="1"/>
  <c r="AF235" i="1"/>
  <c r="AF61" i="2" s="1"/>
  <c r="AF106" i="2" s="1"/>
  <c r="AE235" i="1"/>
  <c r="AD235" i="1"/>
  <c r="AD61" i="2" s="1"/>
  <c r="AD106" i="2" s="1"/>
  <c r="AC235" i="1"/>
  <c r="AC61" i="2" s="1"/>
  <c r="AB235" i="1"/>
  <c r="AA235" i="1"/>
  <c r="Z235" i="1"/>
  <c r="Y235" i="1"/>
  <c r="X235" i="1"/>
  <c r="W235" i="1"/>
  <c r="V235" i="1"/>
  <c r="V61" i="2" s="1"/>
  <c r="V106" i="2" s="1"/>
  <c r="U235" i="1"/>
  <c r="U61" i="2" s="1"/>
  <c r="U106" i="2" s="1"/>
  <c r="T235" i="1"/>
  <c r="T61" i="2" s="1"/>
  <c r="T106" i="2" s="1"/>
  <c r="S235" i="1"/>
  <c r="S61" i="2" s="1"/>
  <c r="S106" i="2" s="1"/>
  <c r="R235" i="1"/>
  <c r="Q235" i="1"/>
  <c r="Q61" i="2" s="1"/>
  <c r="Q106" i="2" s="1"/>
  <c r="P235" i="1"/>
  <c r="P61" i="2" s="1"/>
  <c r="P106" i="2" s="1"/>
  <c r="O235" i="1"/>
  <c r="O61" i="2" s="1"/>
  <c r="N235" i="1"/>
  <c r="N61" i="2" s="1"/>
  <c r="N106" i="2" s="1"/>
  <c r="M235" i="1"/>
  <c r="M61" i="2" s="1"/>
  <c r="M106" i="2" s="1"/>
  <c r="L235" i="1"/>
  <c r="L61" i="2" s="1"/>
  <c r="L106" i="2" s="1"/>
  <c r="K235" i="1"/>
  <c r="K61" i="2" s="1"/>
  <c r="J235" i="1"/>
  <c r="J61" i="2" s="1"/>
  <c r="I235" i="1"/>
  <c r="I61" i="2" s="1"/>
  <c r="AC231" i="1"/>
  <c r="W231" i="1"/>
  <c r="V231" i="1"/>
  <c r="U231" i="1"/>
  <c r="T231" i="1"/>
  <c r="Q231" i="1"/>
  <c r="P231" i="1"/>
  <c r="O231" i="1"/>
  <c r="K231" i="1"/>
  <c r="AF230" i="1"/>
  <c r="AF231" i="1" s="1"/>
  <c r="AE230" i="1"/>
  <c r="AE231" i="1" s="1"/>
  <c r="AD230" i="1"/>
  <c r="AD231" i="1" s="1"/>
  <c r="AC230" i="1"/>
  <c r="AB230" i="1"/>
  <c r="AB231" i="1" s="1"/>
  <c r="AA230" i="1"/>
  <c r="AA231" i="1" s="1"/>
  <c r="Z230" i="1"/>
  <c r="Z231" i="1" s="1"/>
  <c r="Y230" i="1"/>
  <c r="Y231" i="1" s="1"/>
  <c r="X230" i="1"/>
  <c r="X231" i="1" s="1"/>
  <c r="W230" i="1"/>
  <c r="V230" i="1"/>
  <c r="U230" i="1"/>
  <c r="T230" i="1"/>
  <c r="S230" i="1"/>
  <c r="S231" i="1" s="1"/>
  <c r="R230" i="1"/>
  <c r="R231" i="1" s="1"/>
  <c r="Q230" i="1"/>
  <c r="P230" i="1"/>
  <c r="O230" i="1"/>
  <c r="N230" i="1"/>
  <c r="N231" i="1" s="1"/>
  <c r="M230" i="1"/>
  <c r="M231" i="1" s="1"/>
  <c r="L230" i="1"/>
  <c r="L231" i="1" s="1"/>
  <c r="K230" i="1"/>
  <c r="J230" i="1"/>
  <c r="J231" i="1" s="1"/>
  <c r="I230" i="1"/>
  <c r="I231" i="1" s="1"/>
  <c r="AF228" i="1"/>
  <c r="AF60" i="2" s="1"/>
  <c r="AF105" i="2" s="1"/>
  <c r="AE228" i="1"/>
  <c r="AE60" i="2" s="1"/>
  <c r="AE105" i="2" s="1"/>
  <c r="AD228" i="1"/>
  <c r="AC228" i="1"/>
  <c r="AC60" i="2" s="1"/>
  <c r="AB228" i="1"/>
  <c r="AB60" i="2" s="1"/>
  <c r="AB105" i="2" s="1"/>
  <c r="AA228" i="1"/>
  <c r="AA60" i="2" s="1"/>
  <c r="AA105" i="2" s="1"/>
  <c r="Z228" i="1"/>
  <c r="Y228" i="1"/>
  <c r="X228" i="1"/>
  <c r="W228" i="1"/>
  <c r="V228" i="1"/>
  <c r="U228" i="1"/>
  <c r="T228" i="1"/>
  <c r="T60" i="2" s="1"/>
  <c r="T105" i="2" s="1"/>
  <c r="S228" i="1"/>
  <c r="R228" i="1"/>
  <c r="Q228" i="1"/>
  <c r="P228" i="1"/>
  <c r="O228" i="1"/>
  <c r="O60" i="2" s="1"/>
  <c r="O105" i="2" s="1"/>
  <c r="N228" i="1"/>
  <c r="N60" i="2" s="1"/>
  <c r="N105" i="2" s="1"/>
  <c r="M228" i="1"/>
  <c r="L228" i="1"/>
  <c r="L60" i="2" s="1"/>
  <c r="L105" i="2" s="1"/>
  <c r="K228" i="1"/>
  <c r="K60" i="2" s="1"/>
  <c r="K105" i="2" s="1"/>
  <c r="K108" i="2" s="1"/>
  <c r="K116" i="2" s="1"/>
  <c r="J228" i="1"/>
  <c r="J60" i="2" s="1"/>
  <c r="J105" i="2" s="1"/>
  <c r="I228" i="1"/>
  <c r="I60" i="2" s="1"/>
  <c r="I105" i="2" s="1"/>
  <c r="AD224" i="1"/>
  <c r="AC224" i="1"/>
  <c r="Y224" i="1"/>
  <c r="X224" i="1"/>
  <c r="V224" i="1"/>
  <c r="U224" i="1"/>
  <c r="R224" i="1"/>
  <c r="Q224" i="1"/>
  <c r="P224" i="1"/>
  <c r="K224" i="1"/>
  <c r="J224" i="1"/>
  <c r="AF223" i="1"/>
  <c r="AF224" i="1" s="1"/>
  <c r="AE223" i="1"/>
  <c r="AE224" i="1" s="1"/>
  <c r="AD223" i="1"/>
  <c r="AC223" i="1"/>
  <c r="AB223" i="1"/>
  <c r="AB224" i="1" s="1"/>
  <c r="AA223" i="1"/>
  <c r="AA224" i="1" s="1"/>
  <c r="Z223" i="1"/>
  <c r="Z224" i="1" s="1"/>
  <c r="Y223" i="1"/>
  <c r="X223" i="1"/>
  <c r="W223" i="1"/>
  <c r="W224" i="1" s="1"/>
  <c r="V223" i="1"/>
  <c r="U223" i="1"/>
  <c r="T223" i="1"/>
  <c r="T224" i="1" s="1"/>
  <c r="S223" i="1"/>
  <c r="S224" i="1" s="1"/>
  <c r="R223" i="1"/>
  <c r="Q223" i="1"/>
  <c r="P223" i="1"/>
  <c r="O223" i="1"/>
  <c r="O224" i="1" s="1"/>
  <c r="N223" i="1"/>
  <c r="N224" i="1" s="1"/>
  <c r="M223" i="1"/>
  <c r="M224" i="1" s="1"/>
  <c r="L223" i="1"/>
  <c r="L224" i="1" s="1"/>
  <c r="K223" i="1"/>
  <c r="J223" i="1"/>
  <c r="I223" i="1"/>
  <c r="I224" i="1" s="1"/>
  <c r="AF221" i="1"/>
  <c r="AE221" i="1"/>
  <c r="AE59" i="2" s="1"/>
  <c r="AE104" i="2" s="1"/>
  <c r="AD221" i="1"/>
  <c r="AC221" i="1"/>
  <c r="AC59" i="2" s="1"/>
  <c r="AC104" i="2" s="1"/>
  <c r="AB221" i="1"/>
  <c r="AB59" i="2" s="1"/>
  <c r="AB104" i="2" s="1"/>
  <c r="AA221" i="1"/>
  <c r="AA59" i="2" s="1"/>
  <c r="AA104" i="2" s="1"/>
  <c r="Z221" i="1"/>
  <c r="Z59" i="2" s="1"/>
  <c r="Z104" i="2" s="1"/>
  <c r="Y221" i="1"/>
  <c r="X221" i="1"/>
  <c r="X59" i="2" s="1"/>
  <c r="W221" i="1"/>
  <c r="V221" i="1"/>
  <c r="U221" i="1"/>
  <c r="U59" i="2" s="1"/>
  <c r="U104" i="2" s="1"/>
  <c r="T221" i="1"/>
  <c r="S221" i="1"/>
  <c r="R221" i="1"/>
  <c r="R59" i="2" s="1"/>
  <c r="R104" i="2" s="1"/>
  <c r="Q221" i="1"/>
  <c r="Q59" i="2" s="1"/>
  <c r="P221" i="1"/>
  <c r="P59" i="2" s="1"/>
  <c r="P104" i="2" s="1"/>
  <c r="P109" i="2" s="1"/>
  <c r="P117" i="2" s="1"/>
  <c r="O221" i="1"/>
  <c r="O59" i="2" s="1"/>
  <c r="N221" i="1"/>
  <c r="N59" i="2" s="1"/>
  <c r="N104" i="2" s="1"/>
  <c r="N109" i="2" s="1"/>
  <c r="N117" i="2" s="1"/>
  <c r="M221" i="1"/>
  <c r="M59" i="2" s="1"/>
  <c r="L221" i="1"/>
  <c r="L59" i="2" s="1"/>
  <c r="L104" i="2" s="1"/>
  <c r="K221" i="1"/>
  <c r="K59" i="2" s="1"/>
  <c r="K104" i="2" s="1"/>
  <c r="J221" i="1"/>
  <c r="J59" i="2" s="1"/>
  <c r="J104" i="2" s="1"/>
  <c r="I221" i="1"/>
  <c r="AF216" i="1"/>
  <c r="AE216" i="1"/>
  <c r="AD216" i="1"/>
  <c r="AB216" i="1"/>
  <c r="AA216" i="1"/>
  <c r="Z216" i="1"/>
  <c r="W216" i="1"/>
  <c r="V216" i="1"/>
  <c r="Q216" i="1"/>
  <c r="P216" i="1"/>
  <c r="L216" i="1"/>
  <c r="K216" i="1"/>
  <c r="J216" i="1"/>
  <c r="I216" i="1"/>
  <c r="AF215" i="1"/>
  <c r="AE215" i="1"/>
  <c r="AD215" i="1"/>
  <c r="AC215" i="1"/>
  <c r="AC216" i="1" s="1"/>
  <c r="AB215" i="1"/>
  <c r="AA215" i="1"/>
  <c r="Z215" i="1"/>
  <c r="Y215" i="1"/>
  <c r="Y216" i="1" s="1"/>
  <c r="X215" i="1"/>
  <c r="X216" i="1" s="1"/>
  <c r="W215" i="1"/>
  <c r="V215" i="1"/>
  <c r="U215" i="1"/>
  <c r="U216" i="1" s="1"/>
  <c r="T215" i="1"/>
  <c r="T216" i="1" s="1"/>
  <c r="S215" i="1"/>
  <c r="S216" i="1" s="1"/>
  <c r="R215" i="1"/>
  <c r="R216" i="1" s="1"/>
  <c r="Q215" i="1"/>
  <c r="P215" i="1"/>
  <c r="O215" i="1"/>
  <c r="O216" i="1" s="1"/>
  <c r="N215" i="1"/>
  <c r="N216" i="1" s="1"/>
  <c r="M215" i="1"/>
  <c r="M216" i="1" s="1"/>
  <c r="L215" i="1"/>
  <c r="K215" i="1"/>
  <c r="J215" i="1"/>
  <c r="I215" i="1"/>
  <c r="AF213" i="1"/>
  <c r="AF56" i="2" s="1"/>
  <c r="AE213" i="1"/>
  <c r="AE56" i="2" s="1"/>
  <c r="AD213" i="1"/>
  <c r="AD56" i="2" s="1"/>
  <c r="AC213" i="1"/>
  <c r="AB213" i="1"/>
  <c r="AA213" i="1"/>
  <c r="AA56" i="2" s="1"/>
  <c r="Z213" i="1"/>
  <c r="Z56" i="2" s="1"/>
  <c r="Y213" i="1"/>
  <c r="X213" i="1"/>
  <c r="W213" i="1"/>
  <c r="W56" i="2" s="1"/>
  <c r="V213" i="1"/>
  <c r="V56" i="2" s="1"/>
  <c r="U213" i="1"/>
  <c r="U56" i="2" s="1"/>
  <c r="T213" i="1"/>
  <c r="T56" i="2" s="1"/>
  <c r="S213" i="1"/>
  <c r="S56" i="2" s="1"/>
  <c r="R213" i="1"/>
  <c r="R56" i="2" s="1"/>
  <c r="Q213" i="1"/>
  <c r="Q56" i="2" s="1"/>
  <c r="P213" i="1"/>
  <c r="P56" i="2" s="1"/>
  <c r="O213" i="1"/>
  <c r="O56" i="2" s="1"/>
  <c r="N213" i="1"/>
  <c r="N56" i="2" s="1"/>
  <c r="M213" i="1"/>
  <c r="L213" i="1"/>
  <c r="K213" i="1"/>
  <c r="K56" i="2" s="1"/>
  <c r="J213" i="1"/>
  <c r="J56" i="2" s="1"/>
  <c r="I213" i="1"/>
  <c r="I56" i="2" s="1"/>
  <c r="AC209" i="1"/>
  <c r="Z209" i="1"/>
  <c r="Y209" i="1"/>
  <c r="M209" i="1"/>
  <c r="K209" i="1"/>
  <c r="AF208" i="1"/>
  <c r="AF209" i="1" s="1"/>
  <c r="AE208" i="1"/>
  <c r="AE209" i="1" s="1"/>
  <c r="AD208" i="1"/>
  <c r="AD209" i="1" s="1"/>
  <c r="AC208" i="1"/>
  <c r="AB208" i="1"/>
  <c r="AB209" i="1" s="1"/>
  <c r="AA208" i="1"/>
  <c r="AA209" i="1" s="1"/>
  <c r="Z208" i="1"/>
  <c r="Y208" i="1"/>
  <c r="X208" i="1"/>
  <c r="X209" i="1" s="1"/>
  <c r="W208" i="1"/>
  <c r="W209" i="1" s="1"/>
  <c r="V208" i="1"/>
  <c r="V209" i="1" s="1"/>
  <c r="U208" i="1"/>
  <c r="U209" i="1" s="1"/>
  <c r="T208" i="1"/>
  <c r="T209" i="1" s="1"/>
  <c r="S208" i="1"/>
  <c r="S209" i="1" s="1"/>
  <c r="R208" i="1"/>
  <c r="R209" i="1" s="1"/>
  <c r="Q208" i="1"/>
  <c r="Q209" i="1" s="1"/>
  <c r="P208" i="1"/>
  <c r="P209" i="1" s="1"/>
  <c r="O208" i="1"/>
  <c r="O209" i="1" s="1"/>
  <c r="N208" i="1"/>
  <c r="N209" i="1" s="1"/>
  <c r="M208" i="1"/>
  <c r="L208" i="1"/>
  <c r="L209" i="1" s="1"/>
  <c r="K208" i="1"/>
  <c r="J208" i="1"/>
  <c r="J209" i="1" s="1"/>
  <c r="I208" i="1"/>
  <c r="I209" i="1" s="1"/>
  <c r="AF206" i="1"/>
  <c r="AE206" i="1"/>
  <c r="AE55" i="2" s="1"/>
  <c r="AD206" i="1"/>
  <c r="AD55" i="2" s="1"/>
  <c r="AC206" i="1"/>
  <c r="AC55" i="2" s="1"/>
  <c r="AB206" i="1"/>
  <c r="AA206" i="1"/>
  <c r="Z206" i="1"/>
  <c r="Z55" i="2" s="1"/>
  <c r="Y206" i="1"/>
  <c r="Y55" i="2" s="1"/>
  <c r="X206" i="1"/>
  <c r="X55" i="2" s="1"/>
  <c r="W206" i="1"/>
  <c r="W55" i="2" s="1"/>
  <c r="V206" i="1"/>
  <c r="V55" i="2" s="1"/>
  <c r="U206" i="1"/>
  <c r="U55" i="2" s="1"/>
  <c r="T206" i="1"/>
  <c r="T55" i="2" s="1"/>
  <c r="S206" i="1"/>
  <c r="S55" i="2" s="1"/>
  <c r="R206" i="1"/>
  <c r="R55" i="2" s="1"/>
  <c r="Q206" i="1"/>
  <c r="Q55" i="2" s="1"/>
  <c r="P206" i="1"/>
  <c r="P55" i="2" s="1"/>
  <c r="O206" i="1"/>
  <c r="O55" i="2" s="1"/>
  <c r="N206" i="1"/>
  <c r="N55" i="2" s="1"/>
  <c r="M206" i="1"/>
  <c r="L206" i="1"/>
  <c r="L55" i="2" s="1"/>
  <c r="K206" i="1"/>
  <c r="K55" i="2" s="1"/>
  <c r="J206" i="1"/>
  <c r="J55" i="2" s="1"/>
  <c r="I206" i="1"/>
  <c r="AF202" i="1"/>
  <c r="AE202" i="1"/>
  <c r="Z202" i="1"/>
  <c r="Y202" i="1"/>
  <c r="X202" i="1"/>
  <c r="W202" i="1"/>
  <c r="V202" i="1"/>
  <c r="U202" i="1"/>
  <c r="T202" i="1"/>
  <c r="R202" i="1"/>
  <c r="Q202" i="1"/>
  <c r="P202" i="1"/>
  <c r="M202" i="1"/>
  <c r="L202" i="1"/>
  <c r="I202" i="1"/>
  <c r="AF201" i="1"/>
  <c r="AE201" i="1"/>
  <c r="AD201" i="1"/>
  <c r="AD202" i="1" s="1"/>
  <c r="AC201" i="1"/>
  <c r="AC202" i="1" s="1"/>
  <c r="AB201" i="1"/>
  <c r="AB202" i="1" s="1"/>
  <c r="AA201" i="1"/>
  <c r="AA202" i="1" s="1"/>
  <c r="Z201" i="1"/>
  <c r="Y201" i="1"/>
  <c r="X201" i="1"/>
  <c r="W201" i="1"/>
  <c r="V201" i="1"/>
  <c r="U201" i="1"/>
  <c r="T201" i="1"/>
  <c r="S201" i="1"/>
  <c r="S202" i="1" s="1"/>
  <c r="R201" i="1"/>
  <c r="Q201" i="1"/>
  <c r="P201" i="1"/>
  <c r="O201" i="1"/>
  <c r="O202" i="1" s="1"/>
  <c r="N201" i="1"/>
  <c r="N202" i="1" s="1"/>
  <c r="M201" i="1"/>
  <c r="L201" i="1"/>
  <c r="K201" i="1"/>
  <c r="K202" i="1" s="1"/>
  <c r="J201" i="1"/>
  <c r="J202" i="1" s="1"/>
  <c r="I201" i="1"/>
  <c r="AF199" i="1"/>
  <c r="AF54" i="2" s="1"/>
  <c r="AE199" i="1"/>
  <c r="AE54" i="2" s="1"/>
  <c r="AD199" i="1"/>
  <c r="AC199" i="1"/>
  <c r="AB199" i="1"/>
  <c r="AA199" i="1"/>
  <c r="AA54" i="2" s="1"/>
  <c r="Z199" i="1"/>
  <c r="Z54" i="2" s="1"/>
  <c r="Y199" i="1"/>
  <c r="X199" i="1"/>
  <c r="W199" i="1"/>
  <c r="V199" i="1"/>
  <c r="V54" i="2" s="1"/>
  <c r="U199" i="1"/>
  <c r="U54" i="2" s="1"/>
  <c r="T199" i="1"/>
  <c r="T54" i="2" s="1"/>
  <c r="S199" i="1"/>
  <c r="R199" i="1"/>
  <c r="R54" i="2" s="1"/>
  <c r="Q199" i="1"/>
  <c r="Q54" i="2" s="1"/>
  <c r="P199" i="1"/>
  <c r="P54" i="2" s="1"/>
  <c r="O199" i="1"/>
  <c r="N199" i="1"/>
  <c r="M199" i="1"/>
  <c r="M54" i="2" s="1"/>
  <c r="L199" i="1"/>
  <c r="L54" i="2" s="1"/>
  <c r="K199" i="1"/>
  <c r="K54" i="2" s="1"/>
  <c r="J199" i="1"/>
  <c r="J54" i="2" s="1"/>
  <c r="I199" i="1"/>
  <c r="AF195" i="1"/>
  <c r="AB195" i="1"/>
  <c r="AA195" i="1"/>
  <c r="Z195" i="1"/>
  <c r="Y195" i="1"/>
  <c r="X195" i="1"/>
  <c r="W195" i="1"/>
  <c r="V195" i="1"/>
  <c r="T195" i="1"/>
  <c r="S195" i="1"/>
  <c r="R195" i="1"/>
  <c r="P195" i="1"/>
  <c r="O195" i="1"/>
  <c r="K195" i="1"/>
  <c r="AF194" i="1"/>
  <c r="AE194" i="1"/>
  <c r="AE195" i="1" s="1"/>
  <c r="AD194" i="1"/>
  <c r="AD195" i="1" s="1"/>
  <c r="AC194" i="1"/>
  <c r="AC195" i="1" s="1"/>
  <c r="AB194" i="1"/>
  <c r="AA194" i="1"/>
  <c r="Z194" i="1"/>
  <c r="Y194" i="1"/>
  <c r="X194" i="1"/>
  <c r="W194" i="1"/>
  <c r="V194" i="1"/>
  <c r="U194" i="1"/>
  <c r="U195" i="1" s="1"/>
  <c r="T194" i="1"/>
  <c r="S194" i="1"/>
  <c r="R194" i="1"/>
  <c r="Q194" i="1"/>
  <c r="Q195" i="1" s="1"/>
  <c r="P194" i="1"/>
  <c r="O194" i="1"/>
  <c r="N194" i="1"/>
  <c r="N195" i="1" s="1"/>
  <c r="M194" i="1"/>
  <c r="M195" i="1" s="1"/>
  <c r="L194" i="1"/>
  <c r="L195" i="1" s="1"/>
  <c r="K194" i="1"/>
  <c r="J194" i="1"/>
  <c r="J195" i="1" s="1"/>
  <c r="I194" i="1"/>
  <c r="I195" i="1" s="1"/>
  <c r="AF192" i="1"/>
  <c r="AF53" i="2" s="1"/>
  <c r="AE192" i="1"/>
  <c r="AE53" i="2" s="1"/>
  <c r="AD192" i="1"/>
  <c r="AD53" i="2" s="1"/>
  <c r="AD294" i="2" s="1"/>
  <c r="AC192" i="1"/>
  <c r="AC53" i="2" s="1"/>
  <c r="AC294" i="2" s="1"/>
  <c r="AB192" i="1"/>
  <c r="AA192" i="1"/>
  <c r="Z192" i="1"/>
  <c r="Z53" i="2" s="1"/>
  <c r="Z294" i="2" s="1"/>
  <c r="Y192" i="1"/>
  <c r="Y53" i="2" s="1"/>
  <c r="X192" i="1"/>
  <c r="X53" i="2" s="1"/>
  <c r="X294" i="2" s="1"/>
  <c r="W192" i="1"/>
  <c r="W53" i="2" s="1"/>
  <c r="W294" i="2" s="1"/>
  <c r="V192" i="1"/>
  <c r="V53" i="2" s="1"/>
  <c r="V294" i="2" s="1"/>
  <c r="U192" i="1"/>
  <c r="T192" i="1"/>
  <c r="T53" i="2" s="1"/>
  <c r="T294" i="2" s="1"/>
  <c r="S192" i="1"/>
  <c r="S53" i="2" s="1"/>
  <c r="S294" i="2" s="1"/>
  <c r="R192" i="1"/>
  <c r="Q192" i="1"/>
  <c r="Q53" i="2" s="1"/>
  <c r="Q294" i="2" s="1"/>
  <c r="P192" i="1"/>
  <c r="P53" i="2" s="1"/>
  <c r="P294" i="2" s="1"/>
  <c r="O192" i="1"/>
  <c r="O53" i="2" s="1"/>
  <c r="O294" i="2" s="1"/>
  <c r="N192" i="1"/>
  <c r="N53" i="2" s="1"/>
  <c r="N294" i="2" s="1"/>
  <c r="M192" i="1"/>
  <c r="L192" i="1"/>
  <c r="L53" i="2" s="1"/>
  <c r="L294" i="2" s="1"/>
  <c r="K192" i="1"/>
  <c r="K53" i="2" s="1"/>
  <c r="K294" i="2" s="1"/>
  <c r="J192" i="1"/>
  <c r="J53" i="2" s="1"/>
  <c r="J294" i="2" s="1"/>
  <c r="I192" i="1"/>
  <c r="AE187" i="1"/>
  <c r="AD187" i="1"/>
  <c r="AC187" i="1"/>
  <c r="Z187" i="1"/>
  <c r="Y187" i="1"/>
  <c r="X187" i="1"/>
  <c r="V187" i="1"/>
  <c r="U187" i="1"/>
  <c r="T187" i="1"/>
  <c r="S187" i="1"/>
  <c r="P187" i="1"/>
  <c r="O187" i="1"/>
  <c r="J187" i="1"/>
  <c r="I187" i="1"/>
  <c r="AF186" i="1"/>
  <c r="AF187" i="1" s="1"/>
  <c r="AE186" i="1"/>
  <c r="AD186" i="1"/>
  <c r="AC186" i="1"/>
  <c r="AB186" i="1"/>
  <c r="AB187" i="1" s="1"/>
  <c r="AA186" i="1"/>
  <c r="AA187" i="1" s="1"/>
  <c r="Z186" i="1"/>
  <c r="Y186" i="1"/>
  <c r="X186" i="1"/>
  <c r="W186" i="1"/>
  <c r="W187" i="1" s="1"/>
  <c r="V186" i="1"/>
  <c r="U186" i="1"/>
  <c r="T186" i="1"/>
  <c r="S186" i="1"/>
  <c r="R186" i="1"/>
  <c r="R187" i="1" s="1"/>
  <c r="Q186" i="1"/>
  <c r="Q187" i="1" s="1"/>
  <c r="P186" i="1"/>
  <c r="O186" i="1"/>
  <c r="N186" i="1"/>
  <c r="N187" i="1" s="1"/>
  <c r="M186" i="1"/>
  <c r="M187" i="1" s="1"/>
  <c r="L186" i="1"/>
  <c r="L187" i="1" s="1"/>
  <c r="K186" i="1"/>
  <c r="K187" i="1" s="1"/>
  <c r="J186" i="1"/>
  <c r="I186" i="1"/>
  <c r="AF184" i="1"/>
  <c r="AF50" i="2" s="1"/>
  <c r="AE184" i="1"/>
  <c r="AD184" i="1"/>
  <c r="AC184" i="1"/>
  <c r="AC50" i="2" s="1"/>
  <c r="AB184" i="1"/>
  <c r="AB50" i="2" s="1"/>
  <c r="AA184" i="1"/>
  <c r="Z184" i="1"/>
  <c r="Z50" i="2" s="1"/>
  <c r="Y184" i="1"/>
  <c r="Y50" i="2" s="1"/>
  <c r="X184" i="1"/>
  <c r="X50" i="2" s="1"/>
  <c r="W184" i="1"/>
  <c r="W50" i="2" s="1"/>
  <c r="V184" i="1"/>
  <c r="U184" i="1"/>
  <c r="U50" i="2" s="1"/>
  <c r="T184" i="1"/>
  <c r="T50" i="2" s="1"/>
  <c r="S184" i="1"/>
  <c r="S50" i="2" s="1"/>
  <c r="R184" i="1"/>
  <c r="R50" i="2" s="1"/>
  <c r="Q184" i="1"/>
  <c r="P184" i="1"/>
  <c r="P50" i="2" s="1"/>
  <c r="O184" i="1"/>
  <c r="N184" i="1"/>
  <c r="N50" i="2" s="1"/>
  <c r="M184" i="1"/>
  <c r="M50" i="2" s="1"/>
  <c r="L184" i="1"/>
  <c r="K184" i="1"/>
  <c r="K50" i="2" s="1"/>
  <c r="J184" i="1"/>
  <c r="J50" i="2" s="1"/>
  <c r="I184" i="1"/>
  <c r="I50" i="2" s="1"/>
  <c r="AF180" i="1"/>
  <c r="AE180" i="1"/>
  <c r="AB180" i="1"/>
  <c r="AA180" i="1"/>
  <c r="Z180" i="1"/>
  <c r="Y180" i="1"/>
  <c r="X180" i="1"/>
  <c r="V180" i="1"/>
  <c r="U180" i="1"/>
  <c r="S180" i="1"/>
  <c r="O180" i="1"/>
  <c r="M180" i="1"/>
  <c r="J180" i="1"/>
  <c r="I180" i="1"/>
  <c r="AF179" i="1"/>
  <c r="AE179" i="1"/>
  <c r="AD179" i="1"/>
  <c r="AD180" i="1" s="1"/>
  <c r="AC179" i="1"/>
  <c r="AC180" i="1" s="1"/>
  <c r="AB179" i="1"/>
  <c r="AA179" i="1"/>
  <c r="Z179" i="1"/>
  <c r="Y179" i="1"/>
  <c r="X179" i="1"/>
  <c r="W179" i="1"/>
  <c r="W180" i="1" s="1"/>
  <c r="V179" i="1"/>
  <c r="U179" i="1"/>
  <c r="T179" i="1"/>
  <c r="T180" i="1" s="1"/>
  <c r="S179" i="1"/>
  <c r="R179" i="1"/>
  <c r="R180" i="1" s="1"/>
  <c r="Q179" i="1"/>
  <c r="Q180" i="1" s="1"/>
  <c r="P179" i="1"/>
  <c r="P180" i="1" s="1"/>
  <c r="O179" i="1"/>
  <c r="N179" i="1"/>
  <c r="N180" i="1" s="1"/>
  <c r="M179" i="1"/>
  <c r="L179" i="1"/>
  <c r="L180" i="1" s="1"/>
  <c r="K179" i="1"/>
  <c r="K180" i="1" s="1"/>
  <c r="J179" i="1"/>
  <c r="I179" i="1"/>
  <c r="AF177" i="1"/>
  <c r="AE177" i="1"/>
  <c r="AE49" i="2" s="1"/>
  <c r="AD177" i="1"/>
  <c r="AC177" i="1"/>
  <c r="AC49" i="2" s="1"/>
  <c r="AB177" i="1"/>
  <c r="AB49" i="2" s="1"/>
  <c r="AA177" i="1"/>
  <c r="AA49" i="2" s="1"/>
  <c r="Z177" i="1"/>
  <c r="Y177" i="1"/>
  <c r="Y49" i="2" s="1"/>
  <c r="X177" i="1"/>
  <c r="X49" i="2" s="1"/>
  <c r="W177" i="1"/>
  <c r="W49" i="2" s="1"/>
  <c r="V177" i="1"/>
  <c r="V49" i="2" s="1"/>
  <c r="U177" i="1"/>
  <c r="T177" i="1"/>
  <c r="T49" i="2" s="1"/>
  <c r="S177" i="1"/>
  <c r="S49" i="2" s="1"/>
  <c r="R177" i="1"/>
  <c r="R49" i="2" s="1"/>
  <c r="Q177" i="1"/>
  <c r="P177" i="1"/>
  <c r="P49" i="2" s="1"/>
  <c r="O177" i="1"/>
  <c r="N177" i="1"/>
  <c r="N49" i="2" s="1"/>
  <c r="M177" i="1"/>
  <c r="M49" i="2" s="1"/>
  <c r="L177" i="1"/>
  <c r="K177" i="1"/>
  <c r="J177" i="1"/>
  <c r="J49" i="2" s="1"/>
  <c r="I177" i="1"/>
  <c r="I49" i="2" s="1"/>
  <c r="AA173" i="1"/>
  <c r="Z173" i="1"/>
  <c r="Y173" i="1"/>
  <c r="X173" i="1"/>
  <c r="U173" i="1"/>
  <c r="T173" i="1"/>
  <c r="S173" i="1"/>
  <c r="R173" i="1"/>
  <c r="O173" i="1"/>
  <c r="N173" i="1"/>
  <c r="L173" i="1"/>
  <c r="K173" i="1"/>
  <c r="AF172" i="1"/>
  <c r="AF173" i="1" s="1"/>
  <c r="AE172" i="1"/>
  <c r="AE173" i="1" s="1"/>
  <c r="AD172" i="1"/>
  <c r="AD173" i="1" s="1"/>
  <c r="AC172" i="1"/>
  <c r="AC173" i="1" s="1"/>
  <c r="AB172" i="1"/>
  <c r="AB173" i="1" s="1"/>
  <c r="AA172" i="1"/>
  <c r="Z172" i="1"/>
  <c r="Y172" i="1"/>
  <c r="X172" i="1"/>
  <c r="W172" i="1"/>
  <c r="W173" i="1" s="1"/>
  <c r="V172" i="1"/>
  <c r="V173" i="1" s="1"/>
  <c r="U172" i="1"/>
  <c r="T172" i="1"/>
  <c r="S172" i="1"/>
  <c r="R172" i="1"/>
  <c r="Q172" i="1"/>
  <c r="Q173" i="1" s="1"/>
  <c r="P172" i="1"/>
  <c r="P173" i="1" s="1"/>
  <c r="O172" i="1"/>
  <c r="N172" i="1"/>
  <c r="M172" i="1"/>
  <c r="M173" i="1" s="1"/>
  <c r="L172" i="1"/>
  <c r="K172" i="1"/>
  <c r="J172" i="1"/>
  <c r="J173" i="1" s="1"/>
  <c r="I172" i="1"/>
  <c r="I173" i="1" s="1"/>
  <c r="AF170" i="1"/>
  <c r="AF48" i="2" s="1"/>
  <c r="AE170" i="1"/>
  <c r="AE48" i="2" s="1"/>
  <c r="AD170" i="1"/>
  <c r="AC170" i="1"/>
  <c r="AC48" i="2" s="1"/>
  <c r="AB170" i="1"/>
  <c r="AB48" i="2" s="1"/>
  <c r="AA170" i="1"/>
  <c r="AA48" i="2" s="1"/>
  <c r="Z170" i="1"/>
  <c r="Z48" i="2" s="1"/>
  <c r="Y170" i="1"/>
  <c r="Y48" i="2" s="1"/>
  <c r="X170" i="1"/>
  <c r="X48" i="2" s="1"/>
  <c r="W170" i="1"/>
  <c r="W48" i="2" s="1"/>
  <c r="V170" i="1"/>
  <c r="V48" i="2" s="1"/>
  <c r="U170" i="1"/>
  <c r="T170" i="1"/>
  <c r="S170" i="1"/>
  <c r="R170" i="1"/>
  <c r="Q170" i="1"/>
  <c r="Q48" i="2" s="1"/>
  <c r="P170" i="1"/>
  <c r="P48" i="2" s="1"/>
  <c r="O170" i="1"/>
  <c r="N170" i="1"/>
  <c r="M170" i="1"/>
  <c r="L170" i="1"/>
  <c r="L48" i="2" s="1"/>
  <c r="K170" i="1"/>
  <c r="K48" i="2" s="1"/>
  <c r="J170" i="1"/>
  <c r="J48" i="2" s="1"/>
  <c r="I170" i="1"/>
  <c r="AB166" i="1"/>
  <c r="Z166" i="1"/>
  <c r="Y166" i="1"/>
  <c r="X166" i="1"/>
  <c r="V166" i="1"/>
  <c r="U166" i="1"/>
  <c r="T166" i="1"/>
  <c r="N166" i="1"/>
  <c r="K166" i="1"/>
  <c r="J166" i="1"/>
  <c r="AF165" i="1"/>
  <c r="AF166" i="1" s="1"/>
  <c r="AE165" i="1"/>
  <c r="AE166" i="1" s="1"/>
  <c r="AD165" i="1"/>
  <c r="AD166" i="1" s="1"/>
  <c r="AC165" i="1"/>
  <c r="AC166" i="1" s="1"/>
  <c r="AB165" i="1"/>
  <c r="AA165" i="1"/>
  <c r="AA166" i="1" s="1"/>
  <c r="Z165" i="1"/>
  <c r="Y165" i="1"/>
  <c r="X165" i="1"/>
  <c r="W165" i="1"/>
  <c r="W166" i="1" s="1"/>
  <c r="V165" i="1"/>
  <c r="U165" i="1"/>
  <c r="T165" i="1"/>
  <c r="S165" i="1"/>
  <c r="S166" i="1" s="1"/>
  <c r="R165" i="1"/>
  <c r="R166" i="1" s="1"/>
  <c r="Q165" i="1"/>
  <c r="Q166" i="1" s="1"/>
  <c r="P165" i="1"/>
  <c r="P166" i="1" s="1"/>
  <c r="O165" i="1"/>
  <c r="O166" i="1" s="1"/>
  <c r="N165" i="1"/>
  <c r="M165" i="1"/>
  <c r="M166" i="1" s="1"/>
  <c r="L165" i="1"/>
  <c r="L166" i="1" s="1"/>
  <c r="K165" i="1"/>
  <c r="J165" i="1"/>
  <c r="I165" i="1"/>
  <c r="I166" i="1" s="1"/>
  <c r="AF163" i="1"/>
  <c r="AF47" i="2" s="1"/>
  <c r="AE163" i="1"/>
  <c r="AD163" i="1"/>
  <c r="AC163" i="1"/>
  <c r="AB163" i="1"/>
  <c r="AB47" i="2" s="1"/>
  <c r="AB230" i="2" s="1"/>
  <c r="AA163" i="1"/>
  <c r="Z163" i="1"/>
  <c r="Z47" i="2" s="1"/>
  <c r="Y163" i="1"/>
  <c r="Y47" i="2" s="1"/>
  <c r="X163" i="1"/>
  <c r="X47" i="2" s="1"/>
  <c r="W163" i="1"/>
  <c r="V163" i="1"/>
  <c r="V47" i="2" s="1"/>
  <c r="U163" i="1"/>
  <c r="T163" i="1"/>
  <c r="T47" i="2" s="1"/>
  <c r="T230" i="2" s="1"/>
  <c r="S163" i="1"/>
  <c r="S47" i="2" s="1"/>
  <c r="S230" i="2" s="1"/>
  <c r="R163" i="1"/>
  <c r="R47" i="2" s="1"/>
  <c r="Q163" i="1"/>
  <c r="Q47" i="2" s="1"/>
  <c r="P163" i="1"/>
  <c r="O163" i="1"/>
  <c r="O47" i="2" s="1"/>
  <c r="N163" i="1"/>
  <c r="N47" i="2" s="1"/>
  <c r="N309" i="2" s="1"/>
  <c r="M163" i="1"/>
  <c r="L163" i="1"/>
  <c r="K163" i="1"/>
  <c r="J163" i="1"/>
  <c r="I163" i="1"/>
  <c r="AE158" i="1"/>
  <c r="AB158" i="1"/>
  <c r="AA158" i="1"/>
  <c r="Z158" i="1"/>
  <c r="X158" i="1"/>
  <c r="W158" i="1"/>
  <c r="V158" i="1"/>
  <c r="T158" i="1"/>
  <c r="S158" i="1"/>
  <c r="R158" i="1"/>
  <c r="Q158" i="1"/>
  <c r="N158" i="1"/>
  <c r="K158" i="1"/>
  <c r="I158" i="1"/>
  <c r="AF157" i="1"/>
  <c r="AF158" i="1" s="1"/>
  <c r="AE157" i="1"/>
  <c r="AD157" i="1"/>
  <c r="AD158" i="1" s="1"/>
  <c r="AC157" i="1"/>
  <c r="AC158" i="1" s="1"/>
  <c r="AB157" i="1"/>
  <c r="AA157" i="1"/>
  <c r="Z157" i="1"/>
  <c r="Y157" i="1"/>
  <c r="Y158" i="1" s="1"/>
  <c r="X157" i="1"/>
  <c r="W157" i="1"/>
  <c r="V157" i="1"/>
  <c r="U157" i="1"/>
  <c r="U158" i="1" s="1"/>
  <c r="T157" i="1"/>
  <c r="S157" i="1"/>
  <c r="R157" i="1"/>
  <c r="Q157" i="1"/>
  <c r="P157" i="1"/>
  <c r="P158" i="1" s="1"/>
  <c r="O157" i="1"/>
  <c r="O158" i="1" s="1"/>
  <c r="N157" i="1"/>
  <c r="M157" i="1"/>
  <c r="M158" i="1" s="1"/>
  <c r="L157" i="1"/>
  <c r="L158" i="1" s="1"/>
  <c r="K157" i="1"/>
  <c r="J157" i="1"/>
  <c r="J158" i="1" s="1"/>
  <c r="I157" i="1"/>
  <c r="AF155" i="1"/>
  <c r="AF44" i="2" s="1"/>
  <c r="AE155" i="1"/>
  <c r="AD155" i="1"/>
  <c r="AC155" i="1"/>
  <c r="AB155" i="1"/>
  <c r="AB44" i="2" s="1"/>
  <c r="AA155" i="1"/>
  <c r="AA44" i="2" s="1"/>
  <c r="Z155" i="1"/>
  <c r="Z44" i="2" s="1"/>
  <c r="Y155" i="1"/>
  <c r="Y44" i="2" s="1"/>
  <c r="X155" i="1"/>
  <c r="X44" i="2" s="1"/>
  <c r="W155" i="1"/>
  <c r="W44" i="2" s="1"/>
  <c r="V155" i="1"/>
  <c r="V44" i="2" s="1"/>
  <c r="U155" i="1"/>
  <c r="T155" i="1"/>
  <c r="T44" i="2" s="1"/>
  <c r="S155" i="1"/>
  <c r="R155" i="1"/>
  <c r="R44" i="2" s="1"/>
  <c r="Q155" i="1"/>
  <c r="Q44" i="2" s="1"/>
  <c r="P155" i="1"/>
  <c r="P44" i="2" s="1"/>
  <c r="O155" i="1"/>
  <c r="N155" i="1"/>
  <c r="N44" i="2" s="1"/>
  <c r="M155" i="1"/>
  <c r="L155" i="1"/>
  <c r="K155" i="1"/>
  <c r="J155" i="1"/>
  <c r="J44" i="2" s="1"/>
  <c r="I155" i="1"/>
  <c r="AC151" i="1"/>
  <c r="AB151" i="1"/>
  <c r="AA151" i="1"/>
  <c r="Z151" i="1"/>
  <c r="X151" i="1"/>
  <c r="W151" i="1"/>
  <c r="V151" i="1"/>
  <c r="U151" i="1"/>
  <c r="S151" i="1"/>
  <c r="P151" i="1"/>
  <c r="O151" i="1"/>
  <c r="N151" i="1"/>
  <c r="L151" i="1"/>
  <c r="K151" i="1"/>
  <c r="AF150" i="1"/>
  <c r="AF151" i="1" s="1"/>
  <c r="AE150" i="1"/>
  <c r="AE151" i="1" s="1"/>
  <c r="AD150" i="1"/>
  <c r="AD151" i="1" s="1"/>
  <c r="AC150" i="1"/>
  <c r="AB150" i="1"/>
  <c r="AA150" i="1"/>
  <c r="Z150" i="1"/>
  <c r="Y150" i="1"/>
  <c r="Y151" i="1" s="1"/>
  <c r="X150" i="1"/>
  <c r="W150" i="1"/>
  <c r="V150" i="1"/>
  <c r="U150" i="1"/>
  <c r="T150" i="1"/>
  <c r="T151" i="1" s="1"/>
  <c r="S150" i="1"/>
  <c r="R150" i="1"/>
  <c r="R151" i="1" s="1"/>
  <c r="Q150" i="1"/>
  <c r="Q151" i="1" s="1"/>
  <c r="P150" i="1"/>
  <c r="O150" i="1"/>
  <c r="N150" i="1"/>
  <c r="M150" i="1"/>
  <c r="M151" i="1" s="1"/>
  <c r="L150" i="1"/>
  <c r="K150" i="1"/>
  <c r="J150" i="1"/>
  <c r="J151" i="1" s="1"/>
  <c r="I150" i="1"/>
  <c r="I151" i="1" s="1"/>
  <c r="AF148" i="1"/>
  <c r="AF43" i="2" s="1"/>
  <c r="AE148" i="1"/>
  <c r="AD148" i="1"/>
  <c r="AC148" i="1"/>
  <c r="AC43" i="2" s="1"/>
  <c r="AB148" i="1"/>
  <c r="AB43" i="2" s="1"/>
  <c r="AA148" i="1"/>
  <c r="AA43" i="2" s="1"/>
  <c r="Z148" i="1"/>
  <c r="Z43" i="2" s="1"/>
  <c r="Y148" i="1"/>
  <c r="Y43" i="2" s="1"/>
  <c r="X148" i="1"/>
  <c r="X43" i="2" s="1"/>
  <c r="W148" i="1"/>
  <c r="W43" i="2" s="1"/>
  <c r="V148" i="1"/>
  <c r="V43" i="2" s="1"/>
  <c r="U148" i="1"/>
  <c r="U43" i="2" s="1"/>
  <c r="T148" i="1"/>
  <c r="T43" i="2" s="1"/>
  <c r="S148" i="1"/>
  <c r="R148" i="1"/>
  <c r="R43" i="2" s="1"/>
  <c r="Q148" i="1"/>
  <c r="P148" i="1"/>
  <c r="P43" i="2" s="1"/>
  <c r="O148" i="1"/>
  <c r="O43" i="2" s="1"/>
  <c r="N148" i="1"/>
  <c r="M148" i="1"/>
  <c r="L148" i="1"/>
  <c r="L43" i="2" s="1"/>
  <c r="K148" i="1"/>
  <c r="K43" i="2" s="1"/>
  <c r="J148" i="1"/>
  <c r="J43" i="2" s="1"/>
  <c r="I148" i="1"/>
  <c r="AD144" i="1"/>
  <c r="AC144" i="1"/>
  <c r="AA144" i="1"/>
  <c r="Z144" i="1"/>
  <c r="Y144" i="1"/>
  <c r="X144" i="1"/>
  <c r="V144" i="1"/>
  <c r="U144" i="1"/>
  <c r="T144" i="1"/>
  <c r="R144" i="1"/>
  <c r="Q144" i="1"/>
  <c r="P144" i="1"/>
  <c r="M144" i="1"/>
  <c r="L144" i="1"/>
  <c r="AF143" i="1"/>
  <c r="AF144" i="1" s="1"/>
  <c r="AE143" i="1"/>
  <c r="AE144" i="1" s="1"/>
  <c r="AD143" i="1"/>
  <c r="AC143" i="1"/>
  <c r="AB143" i="1"/>
  <c r="AB144" i="1" s="1"/>
  <c r="AA143" i="1"/>
  <c r="Z143" i="1"/>
  <c r="Y143" i="1"/>
  <c r="X143" i="1"/>
  <c r="W143" i="1"/>
  <c r="W144" i="1" s="1"/>
  <c r="V143" i="1"/>
  <c r="U143" i="1"/>
  <c r="T143" i="1"/>
  <c r="S143" i="1"/>
  <c r="S144" i="1" s="1"/>
  <c r="R143" i="1"/>
  <c r="Q143" i="1"/>
  <c r="P143" i="1"/>
  <c r="O143" i="1"/>
  <c r="O144" i="1" s="1"/>
  <c r="N143" i="1"/>
  <c r="N144" i="1" s="1"/>
  <c r="M143" i="1"/>
  <c r="L143" i="1"/>
  <c r="K143" i="1"/>
  <c r="K144" i="1" s="1"/>
  <c r="J143" i="1"/>
  <c r="J144" i="1" s="1"/>
  <c r="I143" i="1"/>
  <c r="I144" i="1" s="1"/>
  <c r="AF141" i="1"/>
  <c r="AF42" i="2" s="1"/>
  <c r="AE141" i="1"/>
  <c r="AD141" i="1"/>
  <c r="AC141" i="1"/>
  <c r="AC42" i="2" s="1"/>
  <c r="AB141" i="1"/>
  <c r="AB42" i="2" s="1"/>
  <c r="AA141" i="1"/>
  <c r="Z141" i="1"/>
  <c r="Z42" i="2" s="1"/>
  <c r="Y141" i="1"/>
  <c r="X141" i="1"/>
  <c r="X42" i="2" s="1"/>
  <c r="W141" i="1"/>
  <c r="V141" i="1"/>
  <c r="V42" i="2" s="1"/>
  <c r="U141" i="1"/>
  <c r="U42" i="2" s="1"/>
  <c r="T141" i="1"/>
  <c r="T42" i="2" s="1"/>
  <c r="S141" i="1"/>
  <c r="R141" i="1"/>
  <c r="Q141" i="1"/>
  <c r="Q42" i="2" s="1"/>
  <c r="P141" i="1"/>
  <c r="P42" i="2" s="1"/>
  <c r="O141" i="1"/>
  <c r="O42" i="2" s="1"/>
  <c r="N141" i="1"/>
  <c r="M141" i="1"/>
  <c r="M42" i="2" s="1"/>
  <c r="L141" i="1"/>
  <c r="L42" i="2" s="1"/>
  <c r="K141" i="1"/>
  <c r="K42" i="2" s="1"/>
  <c r="J141" i="1"/>
  <c r="J42" i="2" s="1"/>
  <c r="I141" i="1"/>
  <c r="AD137" i="1"/>
  <c r="AC137" i="1"/>
  <c r="AB137" i="1"/>
  <c r="AA137" i="1"/>
  <c r="W137" i="1"/>
  <c r="V137" i="1"/>
  <c r="T137" i="1"/>
  <c r="S137" i="1"/>
  <c r="Q137" i="1"/>
  <c r="P137" i="1"/>
  <c r="O137" i="1"/>
  <c r="N137" i="1"/>
  <c r="M137" i="1"/>
  <c r="L137" i="1"/>
  <c r="AF136" i="1"/>
  <c r="AF137" i="1" s="1"/>
  <c r="AE136" i="1"/>
  <c r="AE137" i="1" s="1"/>
  <c r="AD136" i="1"/>
  <c r="AC136" i="1"/>
  <c r="AB136" i="1"/>
  <c r="AA136" i="1"/>
  <c r="Z136" i="1"/>
  <c r="Z137" i="1" s="1"/>
  <c r="Y136" i="1"/>
  <c r="Y137" i="1" s="1"/>
  <c r="X136" i="1"/>
  <c r="X137" i="1" s="1"/>
  <c r="W136" i="1"/>
  <c r="V136" i="1"/>
  <c r="U136" i="1"/>
  <c r="U137" i="1" s="1"/>
  <c r="T136" i="1"/>
  <c r="S136" i="1"/>
  <c r="R136" i="1"/>
  <c r="R137" i="1" s="1"/>
  <c r="Q136" i="1"/>
  <c r="P136" i="1"/>
  <c r="O136" i="1"/>
  <c r="N136" i="1"/>
  <c r="M136" i="1"/>
  <c r="L136" i="1"/>
  <c r="K136" i="1"/>
  <c r="K137" i="1" s="1"/>
  <c r="J136" i="1"/>
  <c r="J137" i="1" s="1"/>
  <c r="I136" i="1"/>
  <c r="I137" i="1" s="1"/>
  <c r="AF134" i="1"/>
  <c r="AF41" i="2" s="1"/>
  <c r="AF216" i="2" s="1"/>
  <c r="AF225" i="2" s="1"/>
  <c r="AE134" i="1"/>
  <c r="AE41" i="2" s="1"/>
  <c r="AD134" i="1"/>
  <c r="AD41" i="2" s="1"/>
  <c r="AC134" i="1"/>
  <c r="AB134" i="1"/>
  <c r="AB41" i="2" s="1"/>
  <c r="AB293" i="2" s="1"/>
  <c r="AA134" i="1"/>
  <c r="AA41" i="2" s="1"/>
  <c r="Z134" i="1"/>
  <c r="Y134" i="1"/>
  <c r="Y41" i="2" s="1"/>
  <c r="X134" i="1"/>
  <c r="X41" i="2" s="1"/>
  <c r="W134" i="1"/>
  <c r="W41" i="2" s="1"/>
  <c r="V134" i="1"/>
  <c r="U134" i="1"/>
  <c r="U41" i="2" s="1"/>
  <c r="T134" i="1"/>
  <c r="T41" i="2" s="1"/>
  <c r="S134" i="1"/>
  <c r="S41" i="2" s="1"/>
  <c r="R134" i="1"/>
  <c r="R41" i="2" s="1"/>
  <c r="Q134" i="1"/>
  <c r="Q41" i="2" s="1"/>
  <c r="P134" i="1"/>
  <c r="P41" i="2" s="1"/>
  <c r="O134" i="1"/>
  <c r="N134" i="1"/>
  <c r="N41" i="2" s="1"/>
  <c r="M134" i="1"/>
  <c r="M41" i="2" s="1"/>
  <c r="M293" i="2" s="1"/>
  <c r="L134" i="1"/>
  <c r="L41" i="2" s="1"/>
  <c r="L293" i="2" s="1"/>
  <c r="K134" i="1"/>
  <c r="K41" i="2" s="1"/>
  <c r="J134" i="1"/>
  <c r="J41" i="2" s="1"/>
  <c r="I134" i="1"/>
  <c r="I41" i="2" s="1"/>
  <c r="AD129" i="1"/>
  <c r="AC129" i="1"/>
  <c r="Z129" i="1"/>
  <c r="W129" i="1"/>
  <c r="U129" i="1"/>
  <c r="T129" i="1"/>
  <c r="S129" i="1"/>
  <c r="R129" i="1"/>
  <c r="P129" i="1"/>
  <c r="O129" i="1"/>
  <c r="N129" i="1"/>
  <c r="M129" i="1"/>
  <c r="K129" i="1"/>
  <c r="AF128" i="1"/>
  <c r="AF129" i="1" s="1"/>
  <c r="AE128" i="1"/>
  <c r="AE129" i="1" s="1"/>
  <c r="AD128" i="1"/>
  <c r="AC128" i="1"/>
  <c r="AB128" i="1"/>
  <c r="AB129" i="1" s="1"/>
  <c r="AA128" i="1"/>
  <c r="AA129" i="1" s="1"/>
  <c r="Z128" i="1"/>
  <c r="Y128" i="1"/>
  <c r="Y129" i="1" s="1"/>
  <c r="X128" i="1"/>
  <c r="X129" i="1" s="1"/>
  <c r="W128" i="1"/>
  <c r="V128" i="1"/>
  <c r="V129" i="1" s="1"/>
  <c r="U128" i="1"/>
  <c r="T128" i="1"/>
  <c r="S128" i="1"/>
  <c r="R128" i="1"/>
  <c r="Q128" i="1"/>
  <c r="Q129" i="1" s="1"/>
  <c r="P128" i="1"/>
  <c r="O128" i="1"/>
  <c r="N128" i="1"/>
  <c r="M128" i="1"/>
  <c r="L128" i="1"/>
  <c r="L129" i="1" s="1"/>
  <c r="K128" i="1"/>
  <c r="J128" i="1"/>
  <c r="J129" i="1" s="1"/>
  <c r="I128" i="1"/>
  <c r="I129" i="1" s="1"/>
  <c r="AF126" i="1"/>
  <c r="AE126" i="1"/>
  <c r="AE38" i="2" s="1"/>
  <c r="AD126" i="1"/>
  <c r="AD38" i="2" s="1"/>
  <c r="AC126" i="1"/>
  <c r="AC38" i="2" s="1"/>
  <c r="AB126" i="1"/>
  <c r="AB38" i="2" s="1"/>
  <c r="AA126" i="1"/>
  <c r="AA38" i="2" s="1"/>
  <c r="Z126" i="1"/>
  <c r="Z38" i="2" s="1"/>
  <c r="Y126" i="1"/>
  <c r="Y38" i="2" s="1"/>
  <c r="X126" i="1"/>
  <c r="X38" i="2" s="1"/>
  <c r="W126" i="1"/>
  <c r="W38" i="2" s="1"/>
  <c r="V126" i="1"/>
  <c r="V38" i="2" s="1"/>
  <c r="U126" i="1"/>
  <c r="U38" i="2" s="1"/>
  <c r="T126" i="1"/>
  <c r="T38" i="2" s="1"/>
  <c r="S126" i="1"/>
  <c r="S38" i="2" s="1"/>
  <c r="R126" i="1"/>
  <c r="R38" i="2" s="1"/>
  <c r="Q126" i="1"/>
  <c r="Q38" i="2" s="1"/>
  <c r="P126" i="1"/>
  <c r="P38" i="2" s="1"/>
  <c r="O126" i="1"/>
  <c r="N126" i="1"/>
  <c r="M126" i="1"/>
  <c r="M38" i="2" s="1"/>
  <c r="L126" i="1"/>
  <c r="L38" i="2" s="1"/>
  <c r="K126" i="1"/>
  <c r="K38" i="2" s="1"/>
  <c r="J126" i="1"/>
  <c r="I126" i="1"/>
  <c r="AE122" i="1"/>
  <c r="AD122" i="1"/>
  <c r="AC122" i="1"/>
  <c r="Z122" i="1"/>
  <c r="Y122" i="1"/>
  <c r="W122" i="1"/>
  <c r="V122" i="1"/>
  <c r="U122" i="1"/>
  <c r="T122" i="1"/>
  <c r="S122" i="1"/>
  <c r="R122" i="1"/>
  <c r="Q122" i="1"/>
  <c r="P122" i="1"/>
  <c r="N122" i="1"/>
  <c r="M122" i="1"/>
  <c r="J122" i="1"/>
  <c r="I122" i="1"/>
  <c r="AF121" i="1"/>
  <c r="AF122" i="1" s="1"/>
  <c r="AE121" i="1"/>
  <c r="AD121" i="1"/>
  <c r="AC121" i="1"/>
  <c r="AB121" i="1"/>
  <c r="AB122" i="1" s="1"/>
  <c r="AA121" i="1"/>
  <c r="AA122" i="1" s="1"/>
  <c r="Z121" i="1"/>
  <c r="Y121" i="1"/>
  <c r="X121" i="1"/>
  <c r="X122" i="1" s="1"/>
  <c r="W121" i="1"/>
  <c r="V121" i="1"/>
  <c r="U121" i="1"/>
  <c r="T121" i="1"/>
  <c r="S121" i="1"/>
  <c r="R121" i="1"/>
  <c r="Q121" i="1"/>
  <c r="P121" i="1"/>
  <c r="O121" i="1"/>
  <c r="O122" i="1" s="1"/>
  <c r="N121" i="1"/>
  <c r="M121" i="1"/>
  <c r="L121" i="1"/>
  <c r="L122" i="1" s="1"/>
  <c r="K121" i="1"/>
  <c r="K122" i="1" s="1"/>
  <c r="J121" i="1"/>
  <c r="I121" i="1"/>
  <c r="AF119" i="1"/>
  <c r="AE119" i="1"/>
  <c r="AE37" i="2" s="1"/>
  <c r="AD119" i="1"/>
  <c r="AD37" i="2" s="1"/>
  <c r="AC119" i="1"/>
  <c r="AC37" i="2" s="1"/>
  <c r="AB119" i="1"/>
  <c r="AA119" i="1"/>
  <c r="Z119" i="1"/>
  <c r="Y119" i="1"/>
  <c r="Y37" i="2" s="1"/>
  <c r="X119" i="1"/>
  <c r="W119" i="1"/>
  <c r="W37" i="2" s="1"/>
  <c r="V119" i="1"/>
  <c r="U119" i="1"/>
  <c r="U37" i="2" s="1"/>
  <c r="T119" i="1"/>
  <c r="S119" i="1"/>
  <c r="R119" i="1"/>
  <c r="R37" i="2" s="1"/>
  <c r="Q119" i="1"/>
  <c r="Q37" i="2" s="1"/>
  <c r="P119" i="1"/>
  <c r="P37" i="2" s="1"/>
  <c r="O119" i="1"/>
  <c r="O37" i="2" s="1"/>
  <c r="N119" i="1"/>
  <c r="N37" i="2" s="1"/>
  <c r="M119" i="1"/>
  <c r="M37" i="2" s="1"/>
  <c r="L119" i="1"/>
  <c r="K119" i="1"/>
  <c r="K37" i="2" s="1"/>
  <c r="J119" i="1"/>
  <c r="J37" i="2" s="1"/>
  <c r="I119" i="1"/>
  <c r="I37" i="2" s="1"/>
  <c r="AF115" i="1"/>
  <c r="AC115" i="1"/>
  <c r="AB115" i="1"/>
  <c r="AA115" i="1"/>
  <c r="Z115" i="1"/>
  <c r="W115" i="1"/>
  <c r="V115" i="1"/>
  <c r="T115" i="1"/>
  <c r="S115" i="1"/>
  <c r="R115" i="1"/>
  <c r="P115" i="1"/>
  <c r="O115" i="1"/>
  <c r="J115" i="1"/>
  <c r="I115" i="1"/>
  <c r="AF114" i="1"/>
  <c r="AE114" i="1"/>
  <c r="AE115" i="1" s="1"/>
  <c r="AD114" i="1"/>
  <c r="AD115" i="1" s="1"/>
  <c r="AC114" i="1"/>
  <c r="AB114" i="1"/>
  <c r="AA114" i="1"/>
  <c r="Z114" i="1"/>
  <c r="Y114" i="1"/>
  <c r="Y115" i="1" s="1"/>
  <c r="X114" i="1"/>
  <c r="X115" i="1" s="1"/>
  <c r="W114" i="1"/>
  <c r="V114" i="1"/>
  <c r="U114" i="1"/>
  <c r="U115" i="1" s="1"/>
  <c r="T114" i="1"/>
  <c r="S114" i="1"/>
  <c r="R114" i="1"/>
  <c r="Q114" i="1"/>
  <c r="Q115" i="1" s="1"/>
  <c r="P114" i="1"/>
  <c r="O114" i="1"/>
  <c r="N114" i="1"/>
  <c r="N115" i="1" s="1"/>
  <c r="M114" i="1"/>
  <c r="M115" i="1" s="1"/>
  <c r="L114" i="1"/>
  <c r="L115" i="1" s="1"/>
  <c r="K114" i="1"/>
  <c r="K115" i="1" s="1"/>
  <c r="J114" i="1"/>
  <c r="I114" i="1"/>
  <c r="AF112" i="1"/>
  <c r="AE112" i="1"/>
  <c r="AE36" i="2" s="1"/>
  <c r="AD112" i="1"/>
  <c r="AD36" i="2" s="1"/>
  <c r="AC112" i="1"/>
  <c r="AC36" i="2" s="1"/>
  <c r="AB112" i="1"/>
  <c r="AB36" i="2" s="1"/>
  <c r="AA112" i="1"/>
  <c r="AA36" i="2" s="1"/>
  <c r="Z112" i="1"/>
  <c r="Z36" i="2" s="1"/>
  <c r="Y112" i="1"/>
  <c r="Y36" i="2" s="1"/>
  <c r="X112" i="1"/>
  <c r="X36" i="2" s="1"/>
  <c r="W112" i="1"/>
  <c r="V112" i="1"/>
  <c r="V36" i="2" s="1"/>
  <c r="U112" i="1"/>
  <c r="U36" i="2" s="1"/>
  <c r="T112" i="1"/>
  <c r="T36" i="2" s="1"/>
  <c r="S112" i="1"/>
  <c r="S36" i="2" s="1"/>
  <c r="R112" i="1"/>
  <c r="R36" i="2" s="1"/>
  <c r="Q112" i="1"/>
  <c r="P112" i="1"/>
  <c r="P36" i="2" s="1"/>
  <c r="O112" i="1"/>
  <c r="N112" i="1"/>
  <c r="N36" i="2" s="1"/>
  <c r="M112" i="1"/>
  <c r="L112" i="1"/>
  <c r="K112" i="1"/>
  <c r="J112" i="1"/>
  <c r="J36" i="2" s="1"/>
  <c r="I112" i="1"/>
  <c r="I36" i="2" s="1"/>
  <c r="AF108" i="1"/>
  <c r="AE108" i="1"/>
  <c r="AD108" i="1"/>
  <c r="AC108" i="1"/>
  <c r="Z108" i="1"/>
  <c r="U108" i="1"/>
  <c r="T108" i="1"/>
  <c r="S108" i="1"/>
  <c r="P108" i="1"/>
  <c r="O108" i="1"/>
  <c r="L108" i="1"/>
  <c r="K108" i="1"/>
  <c r="AF107" i="1"/>
  <c r="AE107" i="1"/>
  <c r="AD107" i="1"/>
  <c r="AC107" i="1"/>
  <c r="AB107" i="1"/>
  <c r="AB108" i="1" s="1"/>
  <c r="AA107" i="1"/>
  <c r="AA108" i="1" s="1"/>
  <c r="Z107" i="1"/>
  <c r="Y107" i="1"/>
  <c r="Y108" i="1" s="1"/>
  <c r="X107" i="1"/>
  <c r="X108" i="1" s="1"/>
  <c r="W107" i="1"/>
  <c r="W108" i="1" s="1"/>
  <c r="V107" i="1"/>
  <c r="V108" i="1" s="1"/>
  <c r="U107" i="1"/>
  <c r="T107" i="1"/>
  <c r="S107" i="1"/>
  <c r="R107" i="1"/>
  <c r="R108" i="1" s="1"/>
  <c r="Q107" i="1"/>
  <c r="Q108" i="1" s="1"/>
  <c r="P107" i="1"/>
  <c r="O107" i="1"/>
  <c r="N107" i="1"/>
  <c r="N108" i="1" s="1"/>
  <c r="M107" i="1"/>
  <c r="M108" i="1" s="1"/>
  <c r="L107" i="1"/>
  <c r="K107" i="1"/>
  <c r="J107" i="1"/>
  <c r="J108" i="1" s="1"/>
  <c r="I107" i="1"/>
  <c r="I108" i="1" s="1"/>
  <c r="AF105" i="1"/>
  <c r="AE105" i="1"/>
  <c r="AD105" i="1"/>
  <c r="AD35" i="2" s="1"/>
  <c r="AC105" i="1"/>
  <c r="AC35" i="2" s="1"/>
  <c r="AB105" i="1"/>
  <c r="AB35" i="2" s="1"/>
  <c r="AA105" i="1"/>
  <c r="AA35" i="2" s="1"/>
  <c r="Z105" i="1"/>
  <c r="Z35" i="2" s="1"/>
  <c r="Y105" i="1"/>
  <c r="Y35" i="2" s="1"/>
  <c r="X105" i="1"/>
  <c r="X35" i="2" s="1"/>
  <c r="X292" i="2" s="1"/>
  <c r="W105" i="1"/>
  <c r="W35" i="2" s="1"/>
  <c r="W292" i="2" s="1"/>
  <c r="V105" i="1"/>
  <c r="V35" i="2" s="1"/>
  <c r="V292" i="2" s="1"/>
  <c r="U105" i="1"/>
  <c r="U35" i="2" s="1"/>
  <c r="T105" i="1"/>
  <c r="T35" i="2" s="1"/>
  <c r="S105" i="1"/>
  <c r="R105" i="1"/>
  <c r="Q105" i="1"/>
  <c r="Q35" i="2" s="1"/>
  <c r="P105" i="1"/>
  <c r="O105" i="1"/>
  <c r="O35" i="2" s="1"/>
  <c r="O292" i="2" s="1"/>
  <c r="N105" i="1"/>
  <c r="N35" i="2" s="1"/>
  <c r="N292" i="2" s="1"/>
  <c r="M105" i="1"/>
  <c r="L105" i="1"/>
  <c r="L35" i="2" s="1"/>
  <c r="L196" i="2" s="1"/>
  <c r="K105" i="1"/>
  <c r="K35" i="2" s="1"/>
  <c r="J105" i="1"/>
  <c r="J35" i="2" s="1"/>
  <c r="I105" i="1"/>
  <c r="AF100" i="1"/>
  <c r="AE100" i="1"/>
  <c r="Y100" i="1"/>
  <c r="V100" i="1"/>
  <c r="U100" i="1"/>
  <c r="T100" i="1"/>
  <c r="N100" i="1"/>
  <c r="M100" i="1"/>
  <c r="AF99" i="1"/>
  <c r="AE99" i="1"/>
  <c r="AD99" i="1"/>
  <c r="AD100" i="1" s="1"/>
  <c r="AC99" i="1"/>
  <c r="AC100" i="1" s="1"/>
  <c r="AB99" i="1"/>
  <c r="AB100" i="1" s="1"/>
  <c r="AA99" i="1"/>
  <c r="AA100" i="1" s="1"/>
  <c r="Z99" i="1"/>
  <c r="Z100" i="1" s="1"/>
  <c r="Y99" i="1"/>
  <c r="X99" i="1"/>
  <c r="X100" i="1" s="1"/>
  <c r="W99" i="1"/>
  <c r="W100" i="1" s="1"/>
  <c r="V99" i="1"/>
  <c r="U99" i="1"/>
  <c r="T99" i="1"/>
  <c r="S99" i="1"/>
  <c r="S100" i="1" s="1"/>
  <c r="R99" i="1"/>
  <c r="R100" i="1" s="1"/>
  <c r="Q99" i="1"/>
  <c r="Q100" i="1" s="1"/>
  <c r="P99" i="1"/>
  <c r="P100" i="1" s="1"/>
  <c r="O99" i="1"/>
  <c r="O100" i="1" s="1"/>
  <c r="N99" i="1"/>
  <c r="M99" i="1"/>
  <c r="L99" i="1"/>
  <c r="L100" i="1" s="1"/>
  <c r="K99" i="1"/>
  <c r="K100" i="1" s="1"/>
  <c r="J99" i="1"/>
  <c r="J100" i="1" s="1"/>
  <c r="I99" i="1"/>
  <c r="I100" i="1" s="1"/>
  <c r="AF97" i="1"/>
  <c r="AE97" i="1"/>
  <c r="AE32" i="2" s="1"/>
  <c r="AE74" i="2" s="1"/>
  <c r="AD97" i="1"/>
  <c r="AD32" i="2" s="1"/>
  <c r="AD74" i="2" s="1"/>
  <c r="AC97" i="1"/>
  <c r="AC32" i="2" s="1"/>
  <c r="AC74" i="2" s="1"/>
  <c r="AB97" i="1"/>
  <c r="AB32" i="2" s="1"/>
  <c r="AB74" i="2" s="1"/>
  <c r="AA97" i="1"/>
  <c r="Z97" i="1"/>
  <c r="Z32" i="2" s="1"/>
  <c r="Z74" i="2" s="1"/>
  <c r="Y97" i="1"/>
  <c r="Y32" i="2" s="1"/>
  <c r="Y74" i="2" s="1"/>
  <c r="X97" i="1"/>
  <c r="X32" i="2" s="1"/>
  <c r="X74" i="2" s="1"/>
  <c r="W97" i="1"/>
  <c r="W32" i="2" s="1"/>
  <c r="W74" i="2" s="1"/>
  <c r="V97" i="1"/>
  <c r="U97" i="1"/>
  <c r="T97" i="1"/>
  <c r="T32" i="2" s="1"/>
  <c r="T74" i="2" s="1"/>
  <c r="S97" i="1"/>
  <c r="R97" i="1"/>
  <c r="R32" i="2" s="1"/>
  <c r="R74" i="2" s="1"/>
  <c r="Q97" i="1"/>
  <c r="Q32" i="2" s="1"/>
  <c r="Q74" i="2" s="1"/>
  <c r="P97" i="1"/>
  <c r="P32" i="2" s="1"/>
  <c r="O97" i="1"/>
  <c r="O32" i="2" s="1"/>
  <c r="O74" i="2" s="1"/>
  <c r="N97" i="1"/>
  <c r="M97" i="1"/>
  <c r="L97" i="1"/>
  <c r="K97" i="1"/>
  <c r="K32" i="2" s="1"/>
  <c r="K74" i="2" s="1"/>
  <c r="J97" i="1"/>
  <c r="J32" i="2" s="1"/>
  <c r="J74" i="2" s="1"/>
  <c r="I97" i="1"/>
  <c r="I32" i="2" s="1"/>
  <c r="I74" i="2" s="1"/>
  <c r="AF93" i="1"/>
  <c r="AE93" i="1"/>
  <c r="AD93" i="1"/>
  <c r="AB93" i="1"/>
  <c r="AA93" i="1"/>
  <c r="Z93" i="1"/>
  <c r="W93" i="1"/>
  <c r="R93" i="1"/>
  <c r="O93" i="1"/>
  <c r="I93" i="1"/>
  <c r="AF92" i="1"/>
  <c r="AE92" i="1"/>
  <c r="AD92" i="1"/>
  <c r="AC92" i="1"/>
  <c r="AC93" i="1" s="1"/>
  <c r="AB92" i="1"/>
  <c r="AA92" i="1"/>
  <c r="Z92" i="1"/>
  <c r="Y92" i="1"/>
  <c r="Y93" i="1" s="1"/>
  <c r="X92" i="1"/>
  <c r="X93" i="1" s="1"/>
  <c r="W92" i="1"/>
  <c r="V92" i="1"/>
  <c r="V93" i="1" s="1"/>
  <c r="U92" i="1"/>
  <c r="U93" i="1" s="1"/>
  <c r="T92" i="1"/>
  <c r="T93" i="1" s="1"/>
  <c r="S92" i="1"/>
  <c r="S93" i="1" s="1"/>
  <c r="R92" i="1"/>
  <c r="Q92" i="1"/>
  <c r="Q93" i="1" s="1"/>
  <c r="P92" i="1"/>
  <c r="P93" i="1" s="1"/>
  <c r="O92" i="1"/>
  <c r="N92" i="1"/>
  <c r="N93" i="1" s="1"/>
  <c r="M92" i="1"/>
  <c r="M93" i="1" s="1"/>
  <c r="L92" i="1"/>
  <c r="L93" i="1" s="1"/>
  <c r="K92" i="1"/>
  <c r="K93" i="1" s="1"/>
  <c r="J92" i="1"/>
  <c r="J93" i="1" s="1"/>
  <c r="I92" i="1"/>
  <c r="AF90" i="1"/>
  <c r="AF31" i="2" s="1"/>
  <c r="AF73" i="2" s="1"/>
  <c r="AE90" i="1"/>
  <c r="AE31" i="2" s="1"/>
  <c r="AE73" i="2" s="1"/>
  <c r="AD90" i="1"/>
  <c r="AD31" i="2" s="1"/>
  <c r="AD73" i="2" s="1"/>
  <c r="AC90" i="1"/>
  <c r="AC31" i="2" s="1"/>
  <c r="AC73" i="2" s="1"/>
  <c r="AB90" i="1"/>
  <c r="AB31" i="2" s="1"/>
  <c r="AB73" i="2" s="1"/>
  <c r="AA90" i="1"/>
  <c r="AA31" i="2" s="1"/>
  <c r="AA73" i="2" s="1"/>
  <c r="Z90" i="1"/>
  <c r="Z31" i="2" s="1"/>
  <c r="Z73" i="2" s="1"/>
  <c r="Y90" i="1"/>
  <c r="X90" i="1"/>
  <c r="X31" i="2" s="1"/>
  <c r="X73" i="2" s="1"/>
  <c r="W90" i="1"/>
  <c r="W31" i="2" s="1"/>
  <c r="W73" i="2" s="1"/>
  <c r="V90" i="1"/>
  <c r="V31" i="2" s="1"/>
  <c r="U90" i="1"/>
  <c r="U31" i="2" s="1"/>
  <c r="U73" i="2" s="1"/>
  <c r="T90" i="1"/>
  <c r="S90" i="1"/>
  <c r="S31" i="2" s="1"/>
  <c r="S73" i="2" s="1"/>
  <c r="R90" i="1"/>
  <c r="Q90" i="1"/>
  <c r="Q31" i="2" s="1"/>
  <c r="P90" i="1"/>
  <c r="P31" i="2" s="1"/>
  <c r="P73" i="2" s="1"/>
  <c r="O90" i="1"/>
  <c r="N90" i="1"/>
  <c r="M90" i="1"/>
  <c r="M31" i="2" s="1"/>
  <c r="M73" i="2" s="1"/>
  <c r="L90" i="1"/>
  <c r="L31" i="2" s="1"/>
  <c r="L73" i="2" s="1"/>
  <c r="K90" i="1"/>
  <c r="J90" i="1"/>
  <c r="J31" i="2" s="1"/>
  <c r="J73" i="2" s="1"/>
  <c r="I90" i="1"/>
  <c r="I31" i="2" s="1"/>
  <c r="I73" i="2" s="1"/>
  <c r="AF86" i="1"/>
  <c r="AE86" i="1"/>
  <c r="AC86" i="1"/>
  <c r="AB86" i="1"/>
  <c r="AA86" i="1"/>
  <c r="Y86" i="1"/>
  <c r="X86" i="1"/>
  <c r="V86" i="1"/>
  <c r="R86" i="1"/>
  <c r="O86" i="1"/>
  <c r="K86" i="1"/>
  <c r="J86" i="1"/>
  <c r="AF85" i="1"/>
  <c r="AE85" i="1"/>
  <c r="AD85" i="1"/>
  <c r="AD86" i="1" s="1"/>
  <c r="AC85" i="1"/>
  <c r="AB85" i="1"/>
  <c r="AA85" i="1"/>
  <c r="Z85" i="1"/>
  <c r="Z86" i="1" s="1"/>
  <c r="Y85" i="1"/>
  <c r="X85" i="1"/>
  <c r="W85" i="1"/>
  <c r="W86" i="1" s="1"/>
  <c r="V85" i="1"/>
  <c r="U85" i="1"/>
  <c r="U86" i="1" s="1"/>
  <c r="T85" i="1"/>
  <c r="T86" i="1" s="1"/>
  <c r="S85" i="1"/>
  <c r="S86" i="1" s="1"/>
  <c r="R85" i="1"/>
  <c r="Q85" i="1"/>
  <c r="Q86" i="1" s="1"/>
  <c r="P85" i="1"/>
  <c r="P86" i="1" s="1"/>
  <c r="O85" i="1"/>
  <c r="N85" i="1"/>
  <c r="N86" i="1" s="1"/>
  <c r="M85" i="1"/>
  <c r="M86" i="1" s="1"/>
  <c r="L85" i="1"/>
  <c r="L86" i="1" s="1"/>
  <c r="K85" i="1"/>
  <c r="J85" i="1"/>
  <c r="I85" i="1"/>
  <c r="I86" i="1" s="1"/>
  <c r="AF83" i="1"/>
  <c r="AE83" i="1"/>
  <c r="AE30" i="2" s="1"/>
  <c r="AE72" i="2" s="1"/>
  <c r="AD83" i="1"/>
  <c r="AD30" i="2" s="1"/>
  <c r="AD72" i="2" s="1"/>
  <c r="AC83" i="1"/>
  <c r="AC30" i="2" s="1"/>
  <c r="AB83" i="1"/>
  <c r="AB30" i="2" s="1"/>
  <c r="AB72" i="2" s="1"/>
  <c r="AA83" i="1"/>
  <c r="AA30" i="2" s="1"/>
  <c r="AA72" i="2" s="1"/>
  <c r="Z83" i="1"/>
  <c r="Z30" i="2" s="1"/>
  <c r="Z72" i="2" s="1"/>
  <c r="Y83" i="1"/>
  <c r="X83" i="1"/>
  <c r="W83" i="1"/>
  <c r="V83" i="1"/>
  <c r="V30" i="2" s="1"/>
  <c r="V72" i="2" s="1"/>
  <c r="U83" i="1"/>
  <c r="T83" i="1"/>
  <c r="S83" i="1"/>
  <c r="R83" i="1"/>
  <c r="Q83" i="1"/>
  <c r="P83" i="1"/>
  <c r="P30" i="2" s="1"/>
  <c r="P72" i="2" s="1"/>
  <c r="O83" i="1"/>
  <c r="O30" i="2" s="1"/>
  <c r="O72" i="2" s="1"/>
  <c r="N83" i="1"/>
  <c r="N30" i="2" s="1"/>
  <c r="N72" i="2" s="1"/>
  <c r="M83" i="1"/>
  <c r="M30" i="2" s="1"/>
  <c r="M72" i="2" s="1"/>
  <c r="L83" i="1"/>
  <c r="K83" i="1"/>
  <c r="K30" i="2" s="1"/>
  <c r="K72" i="2" s="1"/>
  <c r="J83" i="1"/>
  <c r="J30" i="2" s="1"/>
  <c r="I83" i="1"/>
  <c r="I30" i="2" s="1"/>
  <c r="I72" i="2" s="1"/>
  <c r="AA79" i="1"/>
  <c r="U79" i="1"/>
  <c r="P79" i="1"/>
  <c r="I79" i="1"/>
  <c r="AF78" i="1"/>
  <c r="AF79" i="1" s="1"/>
  <c r="AE78" i="1"/>
  <c r="AE79" i="1" s="1"/>
  <c r="AD78" i="1"/>
  <c r="AD79" i="1" s="1"/>
  <c r="AC78" i="1"/>
  <c r="AC79" i="1" s="1"/>
  <c r="AB78" i="1"/>
  <c r="AB79" i="1" s="1"/>
  <c r="AA78" i="1"/>
  <c r="Z78" i="1"/>
  <c r="Z79" i="1" s="1"/>
  <c r="Y78" i="1"/>
  <c r="Y79" i="1" s="1"/>
  <c r="X78" i="1"/>
  <c r="X79" i="1" s="1"/>
  <c r="W78" i="1"/>
  <c r="W79" i="1" s="1"/>
  <c r="V78" i="1"/>
  <c r="V79" i="1" s="1"/>
  <c r="U78" i="1"/>
  <c r="T78" i="1"/>
  <c r="T79" i="1" s="1"/>
  <c r="S78" i="1"/>
  <c r="S79" i="1" s="1"/>
  <c r="R78" i="1"/>
  <c r="R79" i="1" s="1"/>
  <c r="Q78" i="1"/>
  <c r="Q79" i="1" s="1"/>
  <c r="P78" i="1"/>
  <c r="O78" i="1"/>
  <c r="O79" i="1" s="1"/>
  <c r="N78" i="1"/>
  <c r="N79" i="1" s="1"/>
  <c r="M78" i="1"/>
  <c r="M79" i="1" s="1"/>
  <c r="L78" i="1"/>
  <c r="L79" i="1" s="1"/>
  <c r="K78" i="1"/>
  <c r="K79" i="1" s="1"/>
  <c r="J78" i="1"/>
  <c r="J79" i="1" s="1"/>
  <c r="I78" i="1"/>
  <c r="AF76" i="1"/>
  <c r="AF29" i="2" s="1"/>
  <c r="AF195" i="2" s="1"/>
  <c r="AE76" i="1"/>
  <c r="AE29" i="2" s="1"/>
  <c r="AE195" i="2" s="1"/>
  <c r="AD76" i="1"/>
  <c r="AD29" i="2" s="1"/>
  <c r="AD71" i="2" s="1"/>
  <c r="AD422" i="2" s="1"/>
  <c r="AC76" i="1"/>
  <c r="AC29" i="2" s="1"/>
  <c r="AC195" i="2" s="1"/>
  <c r="AB76" i="1"/>
  <c r="AA76" i="1"/>
  <c r="AA29" i="2" s="1"/>
  <c r="AA195" i="2" s="1"/>
  <c r="Z76" i="1"/>
  <c r="Z29" i="2" s="1"/>
  <c r="Y76" i="1"/>
  <c r="Y29" i="2" s="1"/>
  <c r="X76" i="1"/>
  <c r="X29" i="2" s="1"/>
  <c r="W76" i="1"/>
  <c r="V76" i="1"/>
  <c r="V29" i="2" s="1"/>
  <c r="V71" i="2" s="1"/>
  <c r="U76" i="1"/>
  <c r="U29" i="2" s="1"/>
  <c r="U71" i="2" s="1"/>
  <c r="U422" i="2" s="1"/>
  <c r="T76" i="1"/>
  <c r="S76" i="1"/>
  <c r="R76" i="1"/>
  <c r="Q76" i="1"/>
  <c r="Q29" i="2" s="1"/>
  <c r="P76" i="1"/>
  <c r="P29" i="2" s="1"/>
  <c r="O76" i="1"/>
  <c r="O29" i="2" s="1"/>
  <c r="N76" i="1"/>
  <c r="N29" i="2" s="1"/>
  <c r="M76" i="1"/>
  <c r="M29" i="2" s="1"/>
  <c r="L76" i="1"/>
  <c r="L29" i="2" s="1"/>
  <c r="K76" i="1"/>
  <c r="K29" i="2" s="1"/>
  <c r="K195" i="2" s="1"/>
  <c r="J76" i="1"/>
  <c r="J29" i="2" s="1"/>
  <c r="I76" i="1"/>
  <c r="I29" i="2" s="1"/>
  <c r="AF71" i="1"/>
  <c r="AA71" i="1"/>
  <c r="Z71" i="1"/>
  <c r="V71" i="1"/>
  <c r="M71" i="1"/>
  <c r="AF70" i="1"/>
  <c r="AE70" i="1"/>
  <c r="AE71" i="1" s="1"/>
  <c r="AD70" i="1"/>
  <c r="AD71" i="1" s="1"/>
  <c r="AC70" i="1"/>
  <c r="AC71" i="1" s="1"/>
  <c r="AB70" i="1"/>
  <c r="AB71" i="1" s="1"/>
  <c r="AA70" i="1"/>
  <c r="Z70" i="1"/>
  <c r="Y70" i="1"/>
  <c r="Y71" i="1" s="1"/>
  <c r="X70" i="1"/>
  <c r="X71" i="1" s="1"/>
  <c r="W70" i="1"/>
  <c r="W71" i="1" s="1"/>
  <c r="V70" i="1"/>
  <c r="U70" i="1"/>
  <c r="U71" i="1" s="1"/>
  <c r="T70" i="1"/>
  <c r="T71" i="1" s="1"/>
  <c r="S70" i="1"/>
  <c r="S71" i="1" s="1"/>
  <c r="R70" i="1"/>
  <c r="R71" i="1" s="1"/>
  <c r="Q70" i="1"/>
  <c r="Q71" i="1" s="1"/>
  <c r="P70" i="1"/>
  <c r="P71" i="1" s="1"/>
  <c r="O70" i="1"/>
  <c r="O71" i="1" s="1"/>
  <c r="N70" i="1"/>
  <c r="N71" i="1" s="1"/>
  <c r="M70" i="1"/>
  <c r="L70" i="1"/>
  <c r="L71" i="1" s="1"/>
  <c r="K70" i="1"/>
  <c r="K71" i="1" s="1"/>
  <c r="J70" i="1"/>
  <c r="J71" i="1" s="1"/>
  <c r="I70" i="1"/>
  <c r="I71" i="1" s="1"/>
  <c r="AF68" i="1"/>
  <c r="AF26" i="2" s="1"/>
  <c r="AE68" i="1"/>
  <c r="AE26" i="2" s="1"/>
  <c r="AD68" i="1"/>
  <c r="AD26" i="2" s="1"/>
  <c r="AC68" i="1"/>
  <c r="AC26" i="2" s="1"/>
  <c r="AB68" i="1"/>
  <c r="AB26" i="2" s="1"/>
  <c r="AA68" i="1"/>
  <c r="AA26" i="2" s="1"/>
  <c r="Z68" i="1"/>
  <c r="Z26" i="2" s="1"/>
  <c r="Y68" i="1"/>
  <c r="Y26" i="2" s="1"/>
  <c r="X68" i="1"/>
  <c r="W68" i="1"/>
  <c r="V68" i="1"/>
  <c r="V26" i="2" s="1"/>
  <c r="U68" i="1"/>
  <c r="U26" i="2" s="1"/>
  <c r="T68" i="1"/>
  <c r="T26" i="2" s="1"/>
  <c r="S68" i="1"/>
  <c r="S26" i="2" s="1"/>
  <c r="R68" i="1"/>
  <c r="R26" i="2" s="1"/>
  <c r="Q68" i="1"/>
  <c r="Q26" i="2" s="1"/>
  <c r="P68" i="1"/>
  <c r="P26" i="2" s="1"/>
  <c r="O68" i="1"/>
  <c r="O26" i="2" s="1"/>
  <c r="N68" i="1"/>
  <c r="N26" i="2" s="1"/>
  <c r="M68" i="1"/>
  <c r="M26" i="2" s="1"/>
  <c r="L68" i="1"/>
  <c r="L26" i="2" s="1"/>
  <c r="K68" i="1"/>
  <c r="K26" i="2" s="1"/>
  <c r="J68" i="1"/>
  <c r="J26" i="2" s="1"/>
  <c r="I68" i="1"/>
  <c r="I26" i="2" s="1"/>
  <c r="AF64" i="1"/>
  <c r="AB64" i="1"/>
  <c r="AA64" i="1"/>
  <c r="Y64" i="1"/>
  <c r="W64" i="1"/>
  <c r="V64" i="1"/>
  <c r="U64" i="1"/>
  <c r="T64" i="1"/>
  <c r="S64" i="1"/>
  <c r="R64" i="1"/>
  <c r="Q64" i="1"/>
  <c r="P64" i="1"/>
  <c r="K64" i="1"/>
  <c r="AF63" i="1"/>
  <c r="AE63" i="1"/>
  <c r="AE64" i="1" s="1"/>
  <c r="AD63" i="1"/>
  <c r="AD64" i="1" s="1"/>
  <c r="AC63" i="1"/>
  <c r="AC64" i="1" s="1"/>
  <c r="AB63" i="1"/>
  <c r="AA63" i="1"/>
  <c r="Z63" i="1"/>
  <c r="Z64" i="1" s="1"/>
  <c r="Y63" i="1"/>
  <c r="X63" i="1"/>
  <c r="X64" i="1" s="1"/>
  <c r="W63" i="1"/>
  <c r="V63" i="1"/>
  <c r="U63" i="1"/>
  <c r="T63" i="1"/>
  <c r="S63" i="1"/>
  <c r="R63" i="1"/>
  <c r="Q63" i="1"/>
  <c r="P63" i="1"/>
  <c r="O63" i="1"/>
  <c r="O64" i="1" s="1"/>
  <c r="N63" i="1"/>
  <c r="N64" i="1" s="1"/>
  <c r="M63" i="1"/>
  <c r="M64" i="1" s="1"/>
  <c r="L63" i="1"/>
  <c r="L64" i="1" s="1"/>
  <c r="K63" i="1"/>
  <c r="J63" i="1"/>
  <c r="J64" i="1" s="1"/>
  <c r="I63" i="1"/>
  <c r="I64" i="1" s="1"/>
  <c r="AF61" i="1"/>
  <c r="AF25" i="2" s="1"/>
  <c r="AE61" i="1"/>
  <c r="AD61" i="1"/>
  <c r="AC61" i="1"/>
  <c r="AB61" i="1"/>
  <c r="AA61" i="1"/>
  <c r="AA25" i="2" s="1"/>
  <c r="Z61" i="1"/>
  <c r="Z25" i="2" s="1"/>
  <c r="Y61" i="1"/>
  <c r="X61" i="1"/>
  <c r="X25" i="2" s="1"/>
  <c r="W61" i="1"/>
  <c r="V61" i="1"/>
  <c r="V25" i="2" s="1"/>
  <c r="U61" i="1"/>
  <c r="T61" i="1"/>
  <c r="T25" i="2" s="1"/>
  <c r="S61" i="1"/>
  <c r="S25" i="2" s="1"/>
  <c r="R61" i="1"/>
  <c r="R25" i="2" s="1"/>
  <c r="Q61" i="1"/>
  <c r="Q25" i="2" s="1"/>
  <c r="P61" i="1"/>
  <c r="P25" i="2" s="1"/>
  <c r="O61" i="1"/>
  <c r="O25" i="2" s="1"/>
  <c r="N61" i="1"/>
  <c r="N25" i="2" s="1"/>
  <c r="M61" i="1"/>
  <c r="M25" i="2" s="1"/>
  <c r="L61" i="1"/>
  <c r="L25" i="2" s="1"/>
  <c r="K61" i="1"/>
  <c r="K25" i="2" s="1"/>
  <c r="J61" i="1"/>
  <c r="J25" i="2" s="1"/>
  <c r="I61" i="1"/>
  <c r="I25" i="2" s="1"/>
  <c r="AC57" i="1"/>
  <c r="AB57" i="1"/>
  <c r="AA57" i="1"/>
  <c r="X57" i="1"/>
  <c r="W57" i="1"/>
  <c r="V57" i="1"/>
  <c r="U57" i="1"/>
  <c r="T57" i="1"/>
  <c r="Q57" i="1"/>
  <c r="P57" i="1"/>
  <c r="N57" i="1"/>
  <c r="L57" i="1"/>
  <c r="AF56" i="1"/>
  <c r="AF57" i="1" s="1"/>
  <c r="AE56" i="1"/>
  <c r="AE57" i="1" s="1"/>
  <c r="AD56" i="1"/>
  <c r="AD57" i="1" s="1"/>
  <c r="AC56" i="1"/>
  <c r="AB56" i="1"/>
  <c r="AA56" i="1"/>
  <c r="Z56" i="1"/>
  <c r="Z57" i="1" s="1"/>
  <c r="Y56" i="1"/>
  <c r="Y57" i="1" s="1"/>
  <c r="X56" i="1"/>
  <c r="W56" i="1"/>
  <c r="V56" i="1"/>
  <c r="U56" i="1"/>
  <c r="T56" i="1"/>
  <c r="S56" i="1"/>
  <c r="S57" i="1" s="1"/>
  <c r="R56" i="1"/>
  <c r="R57" i="1" s="1"/>
  <c r="Q56" i="1"/>
  <c r="P56" i="1"/>
  <c r="O56" i="1"/>
  <c r="O57" i="1" s="1"/>
  <c r="N56" i="1"/>
  <c r="M56" i="1"/>
  <c r="M57" i="1" s="1"/>
  <c r="L56" i="1"/>
  <c r="K56" i="1"/>
  <c r="K57" i="1" s="1"/>
  <c r="J56" i="1"/>
  <c r="J57" i="1" s="1"/>
  <c r="I56" i="1"/>
  <c r="I57" i="1" s="1"/>
  <c r="AF54" i="1"/>
  <c r="AF24" i="2" s="1"/>
  <c r="AE54" i="1"/>
  <c r="AE24" i="2" s="1"/>
  <c r="AD54" i="1"/>
  <c r="AD24" i="2" s="1"/>
  <c r="AC54" i="1"/>
  <c r="AC24" i="2" s="1"/>
  <c r="AB54" i="1"/>
  <c r="AB24" i="2" s="1"/>
  <c r="AA54" i="1"/>
  <c r="AA24" i="2" s="1"/>
  <c r="Z54" i="1"/>
  <c r="Z24" i="2" s="1"/>
  <c r="Y54" i="1"/>
  <c r="X54" i="1"/>
  <c r="X24" i="2" s="1"/>
  <c r="W54" i="1"/>
  <c r="W24" i="2" s="1"/>
  <c r="V54" i="1"/>
  <c r="V24" i="2" s="1"/>
  <c r="U54" i="1"/>
  <c r="U24" i="2" s="1"/>
  <c r="T54" i="1"/>
  <c r="T24" i="2" s="1"/>
  <c r="S54" i="1"/>
  <c r="R54" i="1"/>
  <c r="R24" i="2" s="1"/>
  <c r="Q54" i="1"/>
  <c r="Q24" i="2" s="1"/>
  <c r="P54" i="1"/>
  <c r="P24" i="2" s="1"/>
  <c r="O54" i="1"/>
  <c r="O24" i="2" s="1"/>
  <c r="N54" i="1"/>
  <c r="M54" i="1"/>
  <c r="M24" i="2" s="1"/>
  <c r="L54" i="1"/>
  <c r="L24" i="2" s="1"/>
  <c r="K54" i="1"/>
  <c r="K24" i="2" s="1"/>
  <c r="J54" i="1"/>
  <c r="J24" i="2" s="1"/>
  <c r="I54" i="1"/>
  <c r="AF50" i="1"/>
  <c r="AE50" i="1"/>
  <c r="AD50" i="1"/>
  <c r="AC50" i="1"/>
  <c r="AA50" i="1"/>
  <c r="Z50" i="1"/>
  <c r="Y50" i="1"/>
  <c r="X50" i="1"/>
  <c r="W50" i="1"/>
  <c r="V50" i="1"/>
  <c r="T50" i="1"/>
  <c r="R50" i="1"/>
  <c r="N50" i="1"/>
  <c r="M50" i="1"/>
  <c r="J50" i="1"/>
  <c r="I50" i="1"/>
  <c r="AF49" i="1"/>
  <c r="AE49" i="1"/>
  <c r="AD49" i="1"/>
  <c r="AC49" i="1"/>
  <c r="AB49" i="1"/>
  <c r="AB50" i="1" s="1"/>
  <c r="AA49" i="1"/>
  <c r="Z49" i="1"/>
  <c r="Y49" i="1"/>
  <c r="X49" i="1"/>
  <c r="W49" i="1"/>
  <c r="V49" i="1"/>
  <c r="U49" i="1"/>
  <c r="U50" i="1" s="1"/>
  <c r="T49" i="1"/>
  <c r="S49" i="1"/>
  <c r="S50" i="1" s="1"/>
  <c r="R49" i="1"/>
  <c r="Q49" i="1"/>
  <c r="Q50" i="1" s="1"/>
  <c r="P49" i="1"/>
  <c r="P50" i="1" s="1"/>
  <c r="O49" i="1"/>
  <c r="O50" i="1" s="1"/>
  <c r="N49" i="1"/>
  <c r="M49" i="1"/>
  <c r="L49" i="1"/>
  <c r="L50" i="1" s="1"/>
  <c r="K49" i="1"/>
  <c r="K50" i="1" s="1"/>
  <c r="J49" i="1"/>
  <c r="I49" i="1"/>
  <c r="AF47" i="1"/>
  <c r="AF23" i="2" s="1"/>
  <c r="AF291" i="2" s="1"/>
  <c r="AE47" i="1"/>
  <c r="AE23" i="2" s="1"/>
  <c r="AE194" i="2" s="1"/>
  <c r="AD47" i="1"/>
  <c r="AC47" i="1"/>
  <c r="AB47" i="1"/>
  <c r="AA47" i="1"/>
  <c r="AA23" i="2" s="1"/>
  <c r="AA291" i="2" s="1"/>
  <c r="Z47" i="1"/>
  <c r="Z23" i="2" s="1"/>
  <c r="Y47" i="1"/>
  <c r="X47" i="1"/>
  <c r="X23" i="2" s="1"/>
  <c r="X194" i="2" s="1"/>
  <c r="W47" i="1"/>
  <c r="W23" i="2" s="1"/>
  <c r="V47" i="1"/>
  <c r="V23" i="2" s="1"/>
  <c r="U47" i="1"/>
  <c r="U23" i="2" s="1"/>
  <c r="T47" i="1"/>
  <c r="T23" i="2" s="1"/>
  <c r="T291" i="2" s="1"/>
  <c r="S47" i="1"/>
  <c r="S23" i="2" s="1"/>
  <c r="R47" i="1"/>
  <c r="Q47" i="1"/>
  <c r="P47" i="1"/>
  <c r="O47" i="1"/>
  <c r="O23" i="2" s="1"/>
  <c r="N47" i="1"/>
  <c r="N23" i="2" s="1"/>
  <c r="M47" i="1"/>
  <c r="M23" i="2" s="1"/>
  <c r="L47" i="1"/>
  <c r="K47" i="1"/>
  <c r="J47" i="1"/>
  <c r="I47" i="1"/>
  <c r="I23" i="2" s="1"/>
  <c r="I291" i="2" s="1"/>
  <c r="AF43" i="1"/>
  <c r="AC43" i="1"/>
  <c r="AB43" i="1"/>
  <c r="X43" i="1"/>
  <c r="W43" i="1"/>
  <c r="U43" i="1"/>
  <c r="S43" i="1"/>
  <c r="L43" i="1"/>
  <c r="K43" i="1"/>
  <c r="AF42" i="1"/>
  <c r="AE42" i="1"/>
  <c r="AE43" i="1" s="1"/>
  <c r="AD42" i="1"/>
  <c r="AD43" i="1" s="1"/>
  <c r="AC42" i="1"/>
  <c r="AB42" i="1"/>
  <c r="AA42" i="1"/>
  <c r="AA43" i="1" s="1"/>
  <c r="Z42" i="1"/>
  <c r="Z43" i="1" s="1"/>
  <c r="Y42" i="1"/>
  <c r="Y43" i="1" s="1"/>
  <c r="X42" i="1"/>
  <c r="W42" i="1"/>
  <c r="V42" i="1"/>
  <c r="V43" i="1" s="1"/>
  <c r="U42" i="1"/>
  <c r="T42" i="1"/>
  <c r="T43" i="1" s="1"/>
  <c r="S42" i="1"/>
  <c r="R42" i="1"/>
  <c r="R43" i="1" s="1"/>
  <c r="Q42" i="1"/>
  <c r="Q43" i="1" s="1"/>
  <c r="P42" i="1"/>
  <c r="P43" i="1" s="1"/>
  <c r="O42" i="1"/>
  <c r="O43" i="1" s="1"/>
  <c r="N42" i="1"/>
  <c r="N43" i="1" s="1"/>
  <c r="M42" i="1"/>
  <c r="M43" i="1" s="1"/>
  <c r="L42" i="1"/>
  <c r="K42" i="1"/>
  <c r="J42" i="1"/>
  <c r="J43" i="1" s="1"/>
  <c r="I42" i="1"/>
  <c r="I43" i="1" s="1"/>
  <c r="AF40" i="1"/>
  <c r="AF22" i="2" s="1"/>
  <c r="AF198" i="2" s="1"/>
  <c r="AE40" i="1"/>
  <c r="AD40" i="1"/>
  <c r="AD22" i="2" s="1"/>
  <c r="AD198" i="2" s="1"/>
  <c r="AC40" i="1"/>
  <c r="AB40" i="1"/>
  <c r="AA40" i="1"/>
  <c r="AA22" i="2" s="1"/>
  <c r="AA198" i="2" s="1"/>
  <c r="Z40" i="1"/>
  <c r="Z22" i="2" s="1"/>
  <c r="Z198" i="2" s="1"/>
  <c r="Y40" i="1"/>
  <c r="Y22" i="2" s="1"/>
  <c r="Y198" i="2" s="1"/>
  <c r="X40" i="1"/>
  <c r="X22" i="2" s="1"/>
  <c r="X198" i="2" s="1"/>
  <c r="W40" i="1"/>
  <c r="W22" i="2" s="1"/>
  <c r="W198" i="2" s="1"/>
  <c r="V40" i="1"/>
  <c r="V22" i="2" s="1"/>
  <c r="V198" i="2" s="1"/>
  <c r="U40" i="1"/>
  <c r="U22" i="2" s="1"/>
  <c r="U198" i="2" s="1"/>
  <c r="T40" i="1"/>
  <c r="T22" i="2" s="1"/>
  <c r="T198" i="2" s="1"/>
  <c r="S40" i="1"/>
  <c r="S22" i="2" s="1"/>
  <c r="S198" i="2" s="1"/>
  <c r="R40" i="1"/>
  <c r="R22" i="2" s="1"/>
  <c r="R198" i="2" s="1"/>
  <c r="Q40" i="1"/>
  <c r="Q22" i="2" s="1"/>
  <c r="Q198" i="2" s="1"/>
  <c r="P40" i="1"/>
  <c r="P22" i="2" s="1"/>
  <c r="P198" i="2" s="1"/>
  <c r="O40" i="1"/>
  <c r="O22" i="2" s="1"/>
  <c r="O198" i="2" s="1"/>
  <c r="N40" i="1"/>
  <c r="N22" i="2" s="1"/>
  <c r="N198" i="2" s="1"/>
  <c r="M40" i="1"/>
  <c r="M22" i="2" s="1"/>
  <c r="M198" i="2" s="1"/>
  <c r="L40" i="1"/>
  <c r="K40" i="1"/>
  <c r="K22" i="2" s="1"/>
  <c r="K198" i="2" s="1"/>
  <c r="J40" i="1"/>
  <c r="I40" i="1"/>
  <c r="AD35" i="1"/>
  <c r="AC35" i="1"/>
  <c r="Z35" i="1"/>
  <c r="X35" i="1"/>
  <c r="W35" i="1"/>
  <c r="V35" i="1"/>
  <c r="U35" i="1"/>
  <c r="T35" i="1"/>
  <c r="S35" i="1"/>
  <c r="R35" i="1"/>
  <c r="Q35" i="1"/>
  <c r="P35" i="1"/>
  <c r="N35" i="1"/>
  <c r="M35" i="1"/>
  <c r="I35" i="1"/>
  <c r="AF34" i="1"/>
  <c r="AF35" i="1" s="1"/>
  <c r="AE34" i="1"/>
  <c r="AE35" i="1" s="1"/>
  <c r="AD34" i="1"/>
  <c r="AC34" i="1"/>
  <c r="AB34" i="1"/>
  <c r="AB35" i="1" s="1"/>
  <c r="AA34" i="1"/>
  <c r="AA35" i="1" s="1"/>
  <c r="Z34" i="1"/>
  <c r="Y34" i="1"/>
  <c r="Y35" i="1" s="1"/>
  <c r="X34" i="1"/>
  <c r="W34" i="1"/>
  <c r="V34" i="1"/>
  <c r="U34" i="1"/>
  <c r="T34" i="1"/>
  <c r="S34" i="1"/>
  <c r="R34" i="1"/>
  <c r="Q34" i="1"/>
  <c r="P34" i="1"/>
  <c r="O34" i="1"/>
  <c r="O35" i="1" s="1"/>
  <c r="N34" i="1"/>
  <c r="M34" i="1"/>
  <c r="L34" i="1"/>
  <c r="L35" i="1" s="1"/>
  <c r="K34" i="1"/>
  <c r="K35" i="1" s="1"/>
  <c r="J34" i="1"/>
  <c r="J35" i="1" s="1"/>
  <c r="I34" i="1"/>
  <c r="AF32" i="1"/>
  <c r="AE32" i="1"/>
  <c r="AE19" i="2" s="1"/>
  <c r="AD32" i="1"/>
  <c r="AD19" i="2" s="1"/>
  <c r="AC32" i="1"/>
  <c r="AC19" i="2" s="1"/>
  <c r="AB32" i="1"/>
  <c r="AA32" i="1"/>
  <c r="AA19" i="2" s="1"/>
  <c r="Z32" i="1"/>
  <c r="Z19" i="2" s="1"/>
  <c r="Y32" i="1"/>
  <c r="Y19" i="2" s="1"/>
  <c r="X32" i="1"/>
  <c r="X19" i="2" s="1"/>
  <c r="W32" i="1"/>
  <c r="W19" i="2" s="1"/>
  <c r="V32" i="1"/>
  <c r="V19" i="2" s="1"/>
  <c r="U32" i="1"/>
  <c r="U19" i="2" s="1"/>
  <c r="T32" i="1"/>
  <c r="T19" i="2" s="1"/>
  <c r="S32" i="1"/>
  <c r="S19" i="2" s="1"/>
  <c r="R32" i="1"/>
  <c r="R19" i="2" s="1"/>
  <c r="Q32" i="1"/>
  <c r="Q19" i="2" s="1"/>
  <c r="P32" i="1"/>
  <c r="O32" i="1"/>
  <c r="N32" i="1"/>
  <c r="N19" i="2" s="1"/>
  <c r="M32" i="1"/>
  <c r="M19" i="2" s="1"/>
  <c r="L32" i="1"/>
  <c r="L19" i="2" s="1"/>
  <c r="K32" i="1"/>
  <c r="J32" i="1"/>
  <c r="I32" i="1"/>
  <c r="I19" i="2" s="1"/>
  <c r="AF28" i="1"/>
  <c r="AE28" i="1"/>
  <c r="AC28" i="1"/>
  <c r="AB28" i="1"/>
  <c r="AA28" i="1"/>
  <c r="Z28" i="1"/>
  <c r="Y28" i="1"/>
  <c r="X28" i="1"/>
  <c r="W28" i="1"/>
  <c r="V28" i="1"/>
  <c r="U28" i="1"/>
  <c r="T28" i="1"/>
  <c r="S28" i="1"/>
  <c r="R28" i="1"/>
  <c r="N28" i="1"/>
  <c r="M28" i="1"/>
  <c r="J28" i="1"/>
  <c r="AF27" i="1"/>
  <c r="AE27" i="1"/>
  <c r="AD27" i="1"/>
  <c r="AD28" i="1" s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Q28" i="1" s="1"/>
  <c r="P27" i="1"/>
  <c r="P28" i="1" s="1"/>
  <c r="O27" i="1"/>
  <c r="O28" i="1" s="1"/>
  <c r="N27" i="1"/>
  <c r="M27" i="1"/>
  <c r="L27" i="1"/>
  <c r="L28" i="1" s="1"/>
  <c r="K27" i="1"/>
  <c r="K28" i="1" s="1"/>
  <c r="J27" i="1"/>
  <c r="I27" i="1"/>
  <c r="I28" i="1" s="1"/>
  <c r="AF25" i="1"/>
  <c r="AF18" i="2" s="1"/>
  <c r="AE25" i="1"/>
  <c r="AE18" i="2" s="1"/>
  <c r="AD25" i="1"/>
  <c r="AD18" i="2" s="1"/>
  <c r="AC25" i="1"/>
  <c r="AC18" i="2" s="1"/>
  <c r="AB25" i="1"/>
  <c r="AB18" i="2" s="1"/>
  <c r="AA25" i="1"/>
  <c r="AA18" i="2" s="1"/>
  <c r="Z25" i="1"/>
  <c r="Z18" i="2" s="1"/>
  <c r="Y25" i="1"/>
  <c r="Y18" i="2" s="1"/>
  <c r="X25" i="1"/>
  <c r="X18" i="2" s="1"/>
  <c r="W25" i="1"/>
  <c r="W18" i="2" s="1"/>
  <c r="V25" i="1"/>
  <c r="V18" i="2" s="1"/>
  <c r="U25" i="1"/>
  <c r="T25" i="1"/>
  <c r="T18" i="2" s="1"/>
  <c r="S25" i="1"/>
  <c r="S18" i="2" s="1"/>
  <c r="R25" i="1"/>
  <c r="Q25" i="1"/>
  <c r="P25" i="1"/>
  <c r="O25" i="1"/>
  <c r="N25" i="1"/>
  <c r="M25" i="1"/>
  <c r="L25" i="1"/>
  <c r="K25" i="1"/>
  <c r="K18" i="2" s="1"/>
  <c r="J25" i="1"/>
  <c r="J18" i="2" s="1"/>
  <c r="I25" i="1"/>
  <c r="AF21" i="1"/>
  <c r="AE21" i="1"/>
  <c r="AD21" i="1"/>
  <c r="AC21" i="1"/>
  <c r="AB21" i="1"/>
  <c r="AA21" i="1"/>
  <c r="Z21" i="1"/>
  <c r="Y21" i="1"/>
  <c r="X21" i="1"/>
  <c r="V21" i="1"/>
  <c r="U21" i="1"/>
  <c r="T21" i="1"/>
  <c r="Q21" i="1"/>
  <c r="M21" i="1"/>
  <c r="L21" i="1"/>
  <c r="AF20" i="1"/>
  <c r="AE20" i="1"/>
  <c r="AD20" i="1"/>
  <c r="AC20" i="1"/>
  <c r="AB20" i="1"/>
  <c r="AA20" i="1"/>
  <c r="Z20" i="1"/>
  <c r="Y20" i="1"/>
  <c r="X20" i="1"/>
  <c r="W20" i="1"/>
  <c r="W21" i="1" s="1"/>
  <c r="V20" i="1"/>
  <c r="U20" i="1"/>
  <c r="T20" i="1"/>
  <c r="S20" i="1"/>
  <c r="S21" i="1" s="1"/>
  <c r="R20" i="1"/>
  <c r="R21" i="1" s="1"/>
  <c r="Q20" i="1"/>
  <c r="P20" i="1"/>
  <c r="P21" i="1" s="1"/>
  <c r="O20" i="1"/>
  <c r="O21" i="1" s="1"/>
  <c r="N20" i="1"/>
  <c r="N21" i="1" s="1"/>
  <c r="M20" i="1"/>
  <c r="L20" i="1"/>
  <c r="K20" i="1"/>
  <c r="K21" i="1" s="1"/>
  <c r="J20" i="1"/>
  <c r="J21" i="1" s="1"/>
  <c r="I20" i="1"/>
  <c r="I21" i="1" s="1"/>
  <c r="AF18" i="1"/>
  <c r="AF17" i="2" s="1"/>
  <c r="AE18" i="1"/>
  <c r="AE17" i="2" s="1"/>
  <c r="AD18" i="1"/>
  <c r="AD17" i="2" s="1"/>
  <c r="AC18" i="1"/>
  <c r="AC17" i="2" s="1"/>
  <c r="AB18" i="1"/>
  <c r="AB17" i="2" s="1"/>
  <c r="AA18" i="1"/>
  <c r="AA17" i="2" s="1"/>
  <c r="Z18" i="1"/>
  <c r="Z17" i="2" s="1"/>
  <c r="Y18" i="1"/>
  <c r="Y17" i="2" s="1"/>
  <c r="X18" i="1"/>
  <c r="X17" i="2" s="1"/>
  <c r="W18" i="1"/>
  <c r="W17" i="2" s="1"/>
  <c r="V18" i="1"/>
  <c r="U18" i="1"/>
  <c r="U17" i="2" s="1"/>
  <c r="T18" i="1"/>
  <c r="T17" i="2" s="1"/>
  <c r="S18" i="1"/>
  <c r="S17" i="2" s="1"/>
  <c r="R18" i="1"/>
  <c r="R17" i="2" s="1"/>
  <c r="Q18" i="1"/>
  <c r="Q17" i="2" s="1"/>
  <c r="P18" i="1"/>
  <c r="P17" i="2" s="1"/>
  <c r="O18" i="1"/>
  <c r="N18" i="1"/>
  <c r="N17" i="2" s="1"/>
  <c r="M18" i="1"/>
  <c r="M17" i="2" s="1"/>
  <c r="L18" i="1"/>
  <c r="L17" i="2" s="1"/>
  <c r="K18" i="1"/>
  <c r="K17" i="2" s="1"/>
  <c r="J18" i="1"/>
  <c r="J17" i="2" s="1"/>
  <c r="I18" i="1"/>
  <c r="I17" i="2" s="1"/>
  <c r="AE14" i="1"/>
  <c r="AA14" i="1"/>
  <c r="Z14" i="1"/>
  <c r="Y14" i="1"/>
  <c r="W14" i="1"/>
  <c r="V14" i="1"/>
  <c r="U14" i="1"/>
  <c r="P14" i="1"/>
  <c r="O14" i="1"/>
  <c r="I14" i="1"/>
  <c r="AF13" i="1"/>
  <c r="AF14" i="1" s="1"/>
  <c r="AE13" i="1"/>
  <c r="AD13" i="1"/>
  <c r="AD14" i="1" s="1"/>
  <c r="AC13" i="1"/>
  <c r="AC14" i="1" s="1"/>
  <c r="AB13" i="1"/>
  <c r="AB14" i="1" s="1"/>
  <c r="AA13" i="1"/>
  <c r="Z13" i="1"/>
  <c r="Y13" i="1"/>
  <c r="X13" i="1"/>
  <c r="X14" i="1" s="1"/>
  <c r="W13" i="1"/>
  <c r="V13" i="1"/>
  <c r="U13" i="1"/>
  <c r="T13" i="1"/>
  <c r="T14" i="1" s="1"/>
  <c r="S13" i="1"/>
  <c r="S14" i="1" s="1"/>
  <c r="R13" i="1"/>
  <c r="R14" i="1" s="1"/>
  <c r="Q13" i="1"/>
  <c r="Q14" i="1" s="1"/>
  <c r="P13" i="1"/>
  <c r="O13" i="1"/>
  <c r="N13" i="1"/>
  <c r="N14" i="1" s="1"/>
  <c r="M13" i="1"/>
  <c r="M14" i="1" s="1"/>
  <c r="L13" i="1"/>
  <c r="L14" i="1" s="1"/>
  <c r="K13" i="1"/>
  <c r="K14" i="1" s="1"/>
  <c r="J13" i="1"/>
  <c r="J14" i="1" s="1"/>
  <c r="I13" i="1"/>
  <c r="AF11" i="1"/>
  <c r="AF16" i="2" s="1"/>
  <c r="AE11" i="1"/>
  <c r="AE16" i="2" s="1"/>
  <c r="AD11" i="1"/>
  <c r="AD16" i="2" s="1"/>
  <c r="AC11" i="1"/>
  <c r="AB11" i="1"/>
  <c r="AA11" i="1"/>
  <c r="Z11" i="1"/>
  <c r="Y11" i="1"/>
  <c r="Y16" i="2" s="1"/>
  <c r="X11" i="1"/>
  <c r="X16" i="2" s="1"/>
  <c r="W11" i="1"/>
  <c r="W16" i="2" s="1"/>
  <c r="W193" i="2" s="1"/>
  <c r="V11" i="1"/>
  <c r="V16" i="2" s="1"/>
  <c r="U11" i="1"/>
  <c r="U16" i="2" s="1"/>
  <c r="T11" i="1"/>
  <c r="S11" i="1"/>
  <c r="S16" i="2" s="1"/>
  <c r="R11" i="1"/>
  <c r="Q11" i="1"/>
  <c r="Q16" i="2" s="1"/>
  <c r="P11" i="1"/>
  <c r="P16" i="2" s="1"/>
  <c r="O11" i="1"/>
  <c r="N11" i="1"/>
  <c r="N16" i="2" s="1"/>
  <c r="M11" i="1"/>
  <c r="M16" i="2" s="1"/>
  <c r="L11" i="1"/>
  <c r="L16" i="2" s="1"/>
  <c r="K11" i="1"/>
  <c r="J11" i="1"/>
  <c r="J16" i="2" s="1"/>
  <c r="I11" i="1"/>
  <c r="I16" i="2" s="1"/>
  <c r="AF7" i="1"/>
  <c r="Y7" i="1"/>
  <c r="T7" i="1"/>
  <c r="Q7" i="1"/>
  <c r="O7" i="1"/>
  <c r="J7" i="1"/>
  <c r="AF6" i="1"/>
  <c r="AE6" i="1"/>
  <c r="AE7" i="1" s="1"/>
  <c r="AD6" i="1"/>
  <c r="AD7" i="1" s="1"/>
  <c r="AC6" i="1"/>
  <c r="AC7" i="1" s="1"/>
  <c r="AB6" i="1"/>
  <c r="AB7" i="1" s="1"/>
  <c r="AA6" i="1"/>
  <c r="AA7" i="1" s="1"/>
  <c r="Z6" i="1"/>
  <c r="Z7" i="1" s="1"/>
  <c r="Y6" i="1"/>
  <c r="X6" i="1"/>
  <c r="X7" i="1" s="1"/>
  <c r="W6" i="1"/>
  <c r="W7" i="1" s="1"/>
  <c r="V6" i="1"/>
  <c r="V7" i="1" s="1"/>
  <c r="U6" i="1"/>
  <c r="U7" i="1" s="1"/>
  <c r="T6" i="1"/>
  <c r="S6" i="1"/>
  <c r="S7" i="1" s="1"/>
  <c r="R6" i="1"/>
  <c r="R7" i="1" s="1"/>
  <c r="Q6" i="1"/>
  <c r="P6" i="1"/>
  <c r="P7" i="1" s="1"/>
  <c r="O6" i="1"/>
  <c r="N6" i="1"/>
  <c r="N7" i="1" s="1"/>
  <c r="M6" i="1"/>
  <c r="M7" i="1" s="1"/>
  <c r="L6" i="1"/>
  <c r="L7" i="1" s="1"/>
  <c r="K6" i="1"/>
  <c r="K7" i="1" s="1"/>
  <c r="J6" i="1"/>
  <c r="I6" i="1"/>
  <c r="I7" i="1" s="1"/>
  <c r="AF4" i="1"/>
  <c r="AF15" i="2" s="1"/>
  <c r="AF197" i="2" s="1"/>
  <c r="AE4" i="1"/>
  <c r="AE15" i="2" s="1"/>
  <c r="AE197" i="2" s="1"/>
  <c r="AD4" i="1"/>
  <c r="AD15" i="2" s="1"/>
  <c r="AD197" i="2" s="1"/>
  <c r="AC4" i="1"/>
  <c r="AC15" i="2" s="1"/>
  <c r="AC197" i="2" s="1"/>
  <c r="AB4" i="1"/>
  <c r="AB15" i="2" s="1"/>
  <c r="AB197" i="2" s="1"/>
  <c r="AA4" i="1"/>
  <c r="Z4" i="1"/>
  <c r="Z15" i="2" s="1"/>
  <c r="Z197" i="2" s="1"/>
  <c r="Y4" i="1"/>
  <c r="Y15" i="2" s="1"/>
  <c r="Y197" i="2" s="1"/>
  <c r="X4" i="1"/>
  <c r="X15" i="2" s="1"/>
  <c r="X197" i="2" s="1"/>
  <c r="W4" i="1"/>
  <c r="W15" i="2" s="1"/>
  <c r="W197" i="2" s="1"/>
  <c r="V4" i="1"/>
  <c r="U4" i="1"/>
  <c r="T4" i="1"/>
  <c r="T15" i="2" s="1"/>
  <c r="T197" i="2" s="1"/>
  <c r="S4" i="1"/>
  <c r="S15" i="2" s="1"/>
  <c r="S197" i="2" s="1"/>
  <c r="R4" i="1"/>
  <c r="Q4" i="1"/>
  <c r="Q15" i="2" s="1"/>
  <c r="Q197" i="2" s="1"/>
  <c r="P4" i="1"/>
  <c r="P15" i="2" s="1"/>
  <c r="O4" i="1"/>
  <c r="O15" i="2" s="1"/>
  <c r="O197" i="2" s="1"/>
  <c r="N4" i="1"/>
  <c r="N15" i="2" s="1"/>
  <c r="N197" i="2" s="1"/>
  <c r="M4" i="1"/>
  <c r="M15" i="2" s="1"/>
  <c r="M197" i="2" s="1"/>
  <c r="L4" i="1"/>
  <c r="K4" i="1"/>
  <c r="K15" i="2" s="1"/>
  <c r="K197" i="2" s="1"/>
  <c r="J4" i="1"/>
  <c r="J15" i="2" s="1"/>
  <c r="J197" i="2" s="1"/>
  <c r="I4" i="1"/>
  <c r="I15" i="2" s="1"/>
  <c r="J1" i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H197" i="2" l="1"/>
  <c r="H15" i="2"/>
  <c r="I197" i="2"/>
  <c r="R216" i="2"/>
  <c r="R225" i="2" s="1"/>
  <c r="R227" i="2" s="1"/>
  <c r="R248" i="2" s="1"/>
  <c r="R293" i="2"/>
  <c r="H30" i="2"/>
  <c r="H31" i="2"/>
  <c r="H32" i="2"/>
  <c r="I71" i="2"/>
  <c r="I195" i="2"/>
  <c r="H29" i="2"/>
  <c r="J195" i="2"/>
  <c r="J71" i="2"/>
  <c r="J422" i="2" s="1"/>
  <c r="M195" i="2"/>
  <c r="M71" i="2"/>
  <c r="M422" i="2" s="1"/>
  <c r="AE262" i="2"/>
  <c r="AE265" i="2" s="1"/>
  <c r="V90" i="2"/>
  <c r="P71" i="2"/>
  <c r="P422" i="2" s="1"/>
  <c r="P195" i="2"/>
  <c r="P293" i="2"/>
  <c r="P216" i="2"/>
  <c r="P225" i="2" s="1"/>
  <c r="P227" i="2" s="1"/>
  <c r="P248" i="2" s="1"/>
  <c r="AA239" i="2"/>
  <c r="AA242" i="2" s="1"/>
  <c r="Q293" i="2"/>
  <c r="Q216" i="2"/>
  <c r="Q225" i="2" s="1"/>
  <c r="Q227" i="2" s="1"/>
  <c r="Q248" i="2" s="1"/>
  <c r="S293" i="2"/>
  <c r="S87" i="2"/>
  <c r="S216" i="2"/>
  <c r="S225" i="2" s="1"/>
  <c r="S227" i="2" s="1"/>
  <c r="S248" i="2" s="1"/>
  <c r="T216" i="2"/>
  <c r="T225" i="2" s="1"/>
  <c r="T227" i="2" s="1"/>
  <c r="T248" i="2" s="1"/>
  <c r="T293" i="2"/>
  <c r="U216" i="2"/>
  <c r="U225" i="2" s="1"/>
  <c r="U227" i="2" s="1"/>
  <c r="U248" i="2" s="1"/>
  <c r="U293" i="2"/>
  <c r="W216" i="2"/>
  <c r="W225" i="2" s="1"/>
  <c r="W293" i="2"/>
  <c r="AD90" i="2"/>
  <c r="AD290" i="2"/>
  <c r="AD193" i="2"/>
  <c r="AD87" i="2"/>
  <c r="AD88" i="2"/>
  <c r="N195" i="2"/>
  <c r="N71" i="2"/>
  <c r="N422" i="2" s="1"/>
  <c r="AE290" i="2"/>
  <c r="AE295" i="2" s="1"/>
  <c r="AE304" i="2" s="1"/>
  <c r="AE193" i="2"/>
  <c r="AE199" i="2" s="1"/>
  <c r="AE208" i="2" s="1"/>
  <c r="AE87" i="2"/>
  <c r="O195" i="2"/>
  <c r="O71" i="2"/>
  <c r="O422" i="2" s="1"/>
  <c r="AF290" i="2"/>
  <c r="AF295" i="2" s="1"/>
  <c r="AF304" i="2" s="1"/>
  <c r="AF306" i="2" s="1"/>
  <c r="AF325" i="2" s="1"/>
  <c r="AF88" i="2"/>
  <c r="AF87" i="2"/>
  <c r="AF193" i="2"/>
  <c r="AF90" i="2"/>
  <c r="V89" i="2"/>
  <c r="Q195" i="2"/>
  <c r="Q71" i="2"/>
  <c r="Q422" i="2" s="1"/>
  <c r="AD361" i="2"/>
  <c r="AD374" i="2" s="1"/>
  <c r="S361" i="2"/>
  <c r="S374" i="2" s="1"/>
  <c r="AC90" i="2"/>
  <c r="V291" i="2"/>
  <c r="V194" i="2"/>
  <c r="I290" i="2"/>
  <c r="I87" i="2"/>
  <c r="H16" i="2"/>
  <c r="I193" i="2"/>
  <c r="U231" i="2"/>
  <c r="U241" i="2" s="1"/>
  <c r="U110" i="2"/>
  <c r="U118" i="2" s="1"/>
  <c r="U310" i="2"/>
  <c r="U108" i="2"/>
  <c r="U116" i="2" s="1"/>
  <c r="K196" i="2"/>
  <c r="K292" i="2"/>
  <c r="Z145" i="2"/>
  <c r="AC145" i="2"/>
  <c r="AC137" i="2"/>
  <c r="J318" i="2"/>
  <c r="J321" i="2" s="1"/>
  <c r="AE206" i="2"/>
  <c r="AE209" i="2" s="1"/>
  <c r="AD262" i="2"/>
  <c r="AD265" i="2" s="1"/>
  <c r="AA360" i="2"/>
  <c r="AA247" i="2"/>
  <c r="AA193" i="2"/>
  <c r="AA199" i="2" s="1"/>
  <c r="AA208" i="2" s="1"/>
  <c r="AA210" i="2" s="1"/>
  <c r="AA246" i="2" s="1"/>
  <c r="AA88" i="2"/>
  <c r="AA290" i="2"/>
  <c r="AA295" i="2" s="1"/>
  <c r="AA304" i="2" s="1"/>
  <c r="AA306" i="2" s="1"/>
  <c r="AA325" i="2" s="1"/>
  <c r="AA327" i="2" s="1"/>
  <c r="AA334" i="2" s="1"/>
  <c r="H53" i="2"/>
  <c r="H54" i="2"/>
  <c r="H55" i="2"/>
  <c r="H56" i="2"/>
  <c r="I294" i="2"/>
  <c r="H294" i="2" s="1"/>
  <c r="H60" i="2"/>
  <c r="M231" i="2"/>
  <c r="M110" i="2"/>
  <c r="M118" i="2" s="1"/>
  <c r="M108" i="2"/>
  <c r="M116" i="2" s="1"/>
  <c r="M109" i="2"/>
  <c r="M117" i="2" s="1"/>
  <c r="M310" i="2"/>
  <c r="U269" i="2"/>
  <c r="AB310" i="2"/>
  <c r="AB311" i="2" s="1"/>
  <c r="AB320" i="2" s="1"/>
  <c r="AB322" i="2" s="1"/>
  <c r="AB326" i="2" s="1"/>
  <c r="AB269" i="2"/>
  <c r="AB108" i="2"/>
  <c r="AB116" i="2" s="1"/>
  <c r="AB109" i="2"/>
  <c r="AB117" i="2" s="1"/>
  <c r="AB110" i="2"/>
  <c r="AB118" i="2" s="1"/>
  <c r="AB231" i="2"/>
  <c r="AB232" i="2" s="1"/>
  <c r="K137" i="2"/>
  <c r="K145" i="2"/>
  <c r="I262" i="2"/>
  <c r="I265" i="2" s="1"/>
  <c r="AB360" i="2"/>
  <c r="AB361" i="2" s="1"/>
  <c r="AB374" i="2" s="1"/>
  <c r="AB377" i="2" s="1"/>
  <c r="AB472" i="2" s="1"/>
  <c r="AB247" i="2"/>
  <c r="AB213" i="2"/>
  <c r="L368" i="2"/>
  <c r="L375" i="2" s="1"/>
  <c r="AB193" i="2"/>
  <c r="AB290" i="2"/>
  <c r="AB87" i="2"/>
  <c r="AB90" i="2" s="1"/>
  <c r="AB291" i="2"/>
  <c r="AB194" i="2"/>
  <c r="O269" i="2"/>
  <c r="O310" i="2"/>
  <c r="O108" i="2"/>
  <c r="O116" i="2" s="1"/>
  <c r="O110" i="2"/>
  <c r="O118" i="2" s="1"/>
  <c r="T318" i="2"/>
  <c r="T321" i="2" s="1"/>
  <c r="M206" i="2"/>
  <c r="M209" i="2" s="1"/>
  <c r="O206" i="2"/>
  <c r="O209" i="2" s="1"/>
  <c r="J239" i="2"/>
  <c r="J242" i="2" s="1"/>
  <c r="N302" i="2"/>
  <c r="N305" i="2" s="1"/>
  <c r="X318" i="2"/>
  <c r="X321" i="2" s="1"/>
  <c r="H17" i="2"/>
  <c r="AD195" i="2"/>
  <c r="AA213" i="2"/>
  <c r="Z239" i="2"/>
  <c r="Z242" i="2" s="1"/>
  <c r="Y309" i="2"/>
  <c r="Y230" i="2"/>
  <c r="J223" i="2"/>
  <c r="J226" i="2" s="1"/>
  <c r="W194" i="2"/>
  <c r="W199" i="2" s="1"/>
  <c r="W208" i="2" s="1"/>
  <c r="W210" i="2" s="1"/>
  <c r="W246" i="2" s="1"/>
  <c r="W87" i="2"/>
  <c r="W89" i="2" s="1"/>
  <c r="Y145" i="2"/>
  <c r="Y137" i="2"/>
  <c r="U199" i="2"/>
  <c r="U208" i="2" s="1"/>
  <c r="U210" i="2" s="1"/>
  <c r="U246" i="2" s="1"/>
  <c r="W278" i="2"/>
  <c r="W280" i="2" s="1"/>
  <c r="W284" i="2" s="1"/>
  <c r="W243" i="2"/>
  <c r="W249" i="2" s="1"/>
  <c r="Q88" i="2"/>
  <c r="AA223" i="2"/>
  <c r="AA226" i="2" s="1"/>
  <c r="O193" i="2"/>
  <c r="O87" i="2"/>
  <c r="O89" i="2" s="1"/>
  <c r="O88" i="2"/>
  <c r="O290" i="2"/>
  <c r="O295" i="2" s="1"/>
  <c r="O304" i="2" s="1"/>
  <c r="O306" i="2" s="1"/>
  <c r="O325" i="2" s="1"/>
  <c r="AC292" i="2"/>
  <c r="AC196" i="2"/>
  <c r="N361" i="2"/>
  <c r="N374" i="2" s="1"/>
  <c r="N377" i="2" s="1"/>
  <c r="N472" i="2" s="1"/>
  <c r="AD292" i="2"/>
  <c r="AD196" i="2"/>
  <c r="AC206" i="2"/>
  <c r="AC209" i="2" s="1"/>
  <c r="N241" i="2"/>
  <c r="N232" i="2"/>
  <c r="L362" i="1"/>
  <c r="T108" i="2"/>
  <c r="T116" i="2" s="1"/>
  <c r="J196" i="2"/>
  <c r="J292" i="2"/>
  <c r="H35" i="2"/>
  <c r="V241" i="2"/>
  <c r="V232" i="2"/>
  <c r="N223" i="2"/>
  <c r="N226" i="2" s="1"/>
  <c r="N318" i="2"/>
  <c r="N321" i="2" s="1"/>
  <c r="H365" i="2"/>
  <c r="M89" i="2"/>
  <c r="AD117" i="2"/>
  <c r="AF318" i="2"/>
  <c r="AF321" i="2" s="1"/>
  <c r="R87" i="2"/>
  <c r="R88" i="2" s="1"/>
  <c r="R290" i="2"/>
  <c r="R295" i="2" s="1"/>
  <c r="R304" i="2" s="1"/>
  <c r="R306" i="2" s="1"/>
  <c r="R325" i="2" s="1"/>
  <c r="AD145" i="2"/>
  <c r="AD137" i="2"/>
  <c r="I318" i="2"/>
  <c r="I321" i="2" s="1"/>
  <c r="T193" i="2"/>
  <c r="T290" i="2"/>
  <c r="Q194" i="2"/>
  <c r="Q291" i="2"/>
  <c r="AD231" i="2"/>
  <c r="AD110" i="2"/>
  <c r="AD118" i="2" s="1"/>
  <c r="AD310" i="2"/>
  <c r="AD269" i="2"/>
  <c r="AD108" i="2"/>
  <c r="AD116" i="2" s="1"/>
  <c r="AB145" i="2"/>
  <c r="AE137" i="2"/>
  <c r="AE145" i="2"/>
  <c r="AD206" i="2"/>
  <c r="AD209" i="2" s="1"/>
  <c r="J368" i="2"/>
  <c r="J375" i="2" s="1"/>
  <c r="AF368" i="2"/>
  <c r="AF375" i="2" s="1"/>
  <c r="Z193" i="2"/>
  <c r="Z290" i="2"/>
  <c r="AF108" i="2"/>
  <c r="AF116" i="2" s="1"/>
  <c r="AF269" i="2"/>
  <c r="AF310" i="2"/>
  <c r="AF110" i="2"/>
  <c r="AF118" i="2" s="1"/>
  <c r="AF231" i="2"/>
  <c r="AF109" i="2"/>
  <c r="AF117" i="2" s="1"/>
  <c r="T89" i="2"/>
  <c r="H26" i="2"/>
  <c r="J137" i="2"/>
  <c r="J145" i="2"/>
  <c r="I206" i="2"/>
  <c r="I209" i="2" s="1"/>
  <c r="AF262" i="2"/>
  <c r="AF265" i="2" s="1"/>
  <c r="M368" i="2"/>
  <c r="M375" i="2" s="1"/>
  <c r="AC193" i="2"/>
  <c r="AC290" i="2"/>
  <c r="AC295" i="2" s="1"/>
  <c r="AC304" i="2" s="1"/>
  <c r="AC89" i="2"/>
  <c r="AC291" i="2"/>
  <c r="AC194" i="2"/>
  <c r="AE196" i="2"/>
  <c r="AE292" i="2"/>
  <c r="I309" i="2"/>
  <c r="H49" i="2"/>
  <c r="H48" i="2"/>
  <c r="H47" i="2"/>
  <c r="H50" i="2"/>
  <c r="I230" i="2"/>
  <c r="Q269" i="2"/>
  <c r="Q110" i="2"/>
  <c r="Q118" i="2" s="1"/>
  <c r="Q109" i="2"/>
  <c r="Q117" i="2" s="1"/>
  <c r="Q108" i="2"/>
  <c r="Q116" i="2" s="1"/>
  <c r="L206" i="2"/>
  <c r="L209" i="2" s="1"/>
  <c r="J342" i="2"/>
  <c r="P342" i="2"/>
  <c r="P344" i="2" s="1"/>
  <c r="O342" i="2"/>
  <c r="K342" i="2"/>
  <c r="Q342" i="2"/>
  <c r="R342" i="2"/>
  <c r="R344" i="2" s="1"/>
  <c r="N342" i="2"/>
  <c r="U1" i="2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S342" i="2"/>
  <c r="L342" i="2"/>
  <c r="L344" i="2" s="1"/>
  <c r="M342" i="2"/>
  <c r="M344" i="2" s="1"/>
  <c r="I342" i="2"/>
  <c r="I344" i="2" s="1"/>
  <c r="AF196" i="2"/>
  <c r="AF292" i="2"/>
  <c r="L262" i="2"/>
  <c r="L265" i="2" s="1"/>
  <c r="X293" i="2"/>
  <c r="X216" i="2"/>
  <c r="X225" i="2" s="1"/>
  <c r="X227" i="2" s="1"/>
  <c r="X248" i="2" s="1"/>
  <c r="O309" i="2"/>
  <c r="O230" i="2"/>
  <c r="AE269" i="2"/>
  <c r="AE310" i="2"/>
  <c r="AE110" i="2"/>
  <c r="AE118" i="2" s="1"/>
  <c r="AE109" i="2"/>
  <c r="AE117" i="2" s="1"/>
  <c r="AE108" i="2"/>
  <c r="AE116" i="2" s="1"/>
  <c r="AE231" i="2"/>
  <c r="Z276" i="2"/>
  <c r="Z279" i="2" s="1"/>
  <c r="L302" i="2"/>
  <c r="L305" i="2" s="1"/>
  <c r="I360" i="2"/>
  <c r="I213" i="2"/>
  <c r="AE213" i="2"/>
  <c r="AE247" i="2"/>
  <c r="AE360" i="2"/>
  <c r="O368" i="2"/>
  <c r="O375" i="2" s="1"/>
  <c r="H24" i="2"/>
  <c r="H36" i="2"/>
  <c r="AA90" i="2"/>
  <c r="X110" i="2"/>
  <c r="X118" i="2" s="1"/>
  <c r="X109" i="2"/>
  <c r="X117" i="2" s="1"/>
  <c r="X108" i="2"/>
  <c r="X116" i="2" s="1"/>
  <c r="X310" i="2"/>
  <c r="X269" i="2"/>
  <c r="X231" i="2"/>
  <c r="U262" i="2"/>
  <c r="U265" i="2" s="1"/>
  <c r="M291" i="2"/>
  <c r="M194" i="2"/>
  <c r="T292" i="2"/>
  <c r="T196" i="2"/>
  <c r="Y216" i="2"/>
  <c r="Y225" i="2" s="1"/>
  <c r="Y227" i="2" s="1"/>
  <c r="Y248" i="2" s="1"/>
  <c r="Y293" i="2"/>
  <c r="N206" i="2"/>
  <c r="N209" i="2" s="1"/>
  <c r="W223" i="2"/>
  <c r="W226" i="2" s="1"/>
  <c r="I239" i="2"/>
  <c r="I242" i="2" s="1"/>
  <c r="M262" i="2"/>
  <c r="M265" i="2" s="1"/>
  <c r="AA276" i="2"/>
  <c r="AA279" i="2" s="1"/>
  <c r="M302" i="2"/>
  <c r="M305" i="2" s="1"/>
  <c r="J360" i="2"/>
  <c r="J361" i="2" s="1"/>
  <c r="J374" i="2" s="1"/>
  <c r="J377" i="2" s="1"/>
  <c r="J472" i="2" s="1"/>
  <c r="J213" i="2"/>
  <c r="AF360" i="2"/>
  <c r="AF361" i="2" s="1"/>
  <c r="AF374" i="2" s="1"/>
  <c r="AF377" i="2" s="1"/>
  <c r="AF472" i="2" s="1"/>
  <c r="AF247" i="2"/>
  <c r="P368" i="2"/>
  <c r="P375" i="2" s="1"/>
  <c r="H25" i="2"/>
  <c r="O216" i="2"/>
  <c r="O225" i="2" s="1"/>
  <c r="O293" i="2"/>
  <c r="Y239" i="2"/>
  <c r="Y242" i="2" s="1"/>
  <c r="I247" i="2"/>
  <c r="W262" i="2"/>
  <c r="W265" i="2" s="1"/>
  <c r="N291" i="2"/>
  <c r="N194" i="2"/>
  <c r="U292" i="2"/>
  <c r="U196" i="2"/>
  <c r="Q230" i="2"/>
  <c r="Q309" i="2"/>
  <c r="K231" i="2"/>
  <c r="K241" i="2" s="1"/>
  <c r="K269" i="2"/>
  <c r="K109" i="2"/>
  <c r="K117" i="2" s="1"/>
  <c r="K310" i="2"/>
  <c r="K311" i="2" s="1"/>
  <c r="K320" i="2" s="1"/>
  <c r="K322" i="2" s="1"/>
  <c r="K326" i="2" s="1"/>
  <c r="O291" i="2"/>
  <c r="O194" i="2"/>
  <c r="R309" i="2"/>
  <c r="R230" i="2"/>
  <c r="L310" i="2"/>
  <c r="L231" i="2"/>
  <c r="L109" i="2"/>
  <c r="L117" i="2" s="1"/>
  <c r="L269" i="2"/>
  <c r="L110" i="2"/>
  <c r="L118" i="2" s="1"/>
  <c r="L108" i="2"/>
  <c r="L116" i="2" s="1"/>
  <c r="K361" i="1"/>
  <c r="P206" i="2"/>
  <c r="P209" i="2" s="1"/>
  <c r="K239" i="2"/>
  <c r="K242" i="2" s="1"/>
  <c r="AC276" i="2"/>
  <c r="AC279" i="2" s="1"/>
  <c r="H22" i="2"/>
  <c r="AB262" i="2"/>
  <c r="AB265" i="2" s="1"/>
  <c r="S311" i="2"/>
  <c r="S320" i="2" s="1"/>
  <c r="S322" i="2" s="1"/>
  <c r="S326" i="2" s="1"/>
  <c r="X361" i="2"/>
  <c r="X374" i="2" s="1"/>
  <c r="X377" i="2" s="1"/>
  <c r="X472" i="2" s="1"/>
  <c r="X290" i="2"/>
  <c r="X295" i="2" s="1"/>
  <c r="X304" i="2" s="1"/>
  <c r="X306" i="2" s="1"/>
  <c r="X325" i="2" s="1"/>
  <c r="X327" i="2" s="1"/>
  <c r="X334" i="2" s="1"/>
  <c r="X193" i="2"/>
  <c r="X199" i="2" s="1"/>
  <c r="X208" i="2" s="1"/>
  <c r="X210" i="2" s="1"/>
  <c r="X246" i="2" s="1"/>
  <c r="X88" i="2"/>
  <c r="X87" i="2"/>
  <c r="X90" i="2"/>
  <c r="X89" i="2"/>
  <c r="L239" i="2"/>
  <c r="L242" i="2" s="1"/>
  <c r="P239" i="2"/>
  <c r="P242" i="2" s="1"/>
  <c r="AD276" i="2"/>
  <c r="AD279" i="2" s="1"/>
  <c r="P302" i="2"/>
  <c r="P305" i="2" s="1"/>
  <c r="I198" i="2"/>
  <c r="H198" i="2"/>
  <c r="P87" i="2"/>
  <c r="O196" i="2"/>
  <c r="AF213" i="2"/>
  <c r="AC239" i="2"/>
  <c r="AC242" i="2" s="1"/>
  <c r="T309" i="2"/>
  <c r="T311" i="2" s="1"/>
  <c r="T320" i="2" s="1"/>
  <c r="T322" i="2" s="1"/>
  <c r="T326" i="2" s="1"/>
  <c r="Y361" i="2"/>
  <c r="Y374" i="2" s="1"/>
  <c r="Y377" i="2" s="1"/>
  <c r="Y472" i="2" s="1"/>
  <c r="AB223" i="2"/>
  <c r="AB226" i="2" s="1"/>
  <c r="AF276" i="2"/>
  <c r="AF279" i="2" s="1"/>
  <c r="U318" i="2"/>
  <c r="U321" i="2" s="1"/>
  <c r="O360" i="2"/>
  <c r="O361" i="2" s="1"/>
  <c r="O374" i="2" s="1"/>
  <c r="O213" i="2"/>
  <c r="O247" i="2"/>
  <c r="H19" i="2"/>
  <c r="M216" i="2"/>
  <c r="M225" i="2" s="1"/>
  <c r="M227" i="2" s="1"/>
  <c r="M248" i="2" s="1"/>
  <c r="S291" i="2"/>
  <c r="S194" i="2"/>
  <c r="K262" i="2"/>
  <c r="K265" i="2" s="1"/>
  <c r="S71" i="2"/>
  <c r="S422" i="2" s="1"/>
  <c r="S195" i="2"/>
  <c r="S199" i="2" s="1"/>
  <c r="S208" i="2" s="1"/>
  <c r="S210" i="2" s="1"/>
  <c r="S246" i="2" s="1"/>
  <c r="Z87" i="2"/>
  <c r="Z88" i="2" s="1"/>
  <c r="O109" i="2"/>
  <c r="O117" i="2" s="1"/>
  <c r="Q310" i="2"/>
  <c r="L276" i="2"/>
  <c r="L279" i="2" s="1"/>
  <c r="L377" i="2"/>
  <c r="L472" i="2" s="1"/>
  <c r="V293" i="2"/>
  <c r="V216" i="2"/>
  <c r="V225" i="2" s="1"/>
  <c r="V227" i="2" s="1"/>
  <c r="V248" i="2" s="1"/>
  <c r="AD309" i="2"/>
  <c r="AD230" i="2"/>
  <c r="AA87" i="2"/>
  <c r="P199" i="2"/>
  <c r="P208" i="2" s="1"/>
  <c r="X196" i="2"/>
  <c r="W291" i="2"/>
  <c r="J193" i="2"/>
  <c r="J290" i="2"/>
  <c r="J87" i="2"/>
  <c r="J90" i="2"/>
  <c r="N293" i="2"/>
  <c r="N216" i="2"/>
  <c r="N225" i="2" s="1"/>
  <c r="N227" i="2" s="1"/>
  <c r="N248" i="2" s="1"/>
  <c r="L223" i="2"/>
  <c r="L226" i="2" s="1"/>
  <c r="L227" i="2" s="1"/>
  <c r="L248" i="2" s="1"/>
  <c r="L290" i="2"/>
  <c r="L87" i="2"/>
  <c r="L88" i="2" s="1"/>
  <c r="L193" i="2"/>
  <c r="L199" i="2" s="1"/>
  <c r="L208" i="2" s="1"/>
  <c r="L210" i="2" s="1"/>
  <c r="L246" i="2" s="1"/>
  <c r="L195" i="2"/>
  <c r="L71" i="2"/>
  <c r="L422" i="2" s="1"/>
  <c r="AE318" i="2"/>
  <c r="AE321" i="2" s="1"/>
  <c r="I137" i="2"/>
  <c r="I145" i="2"/>
  <c r="AC269" i="2"/>
  <c r="AC310" i="2"/>
  <c r="AC109" i="2"/>
  <c r="AC117" i="2" s="1"/>
  <c r="AC110" i="2"/>
  <c r="AC118" i="2" s="1"/>
  <c r="AC108" i="2"/>
  <c r="AC116" i="2" s="1"/>
  <c r="AC231" i="2"/>
  <c r="L145" i="2"/>
  <c r="L137" i="2"/>
  <c r="K206" i="2"/>
  <c r="K209" i="2" s="1"/>
  <c r="AB239" i="2"/>
  <c r="AB242" i="2" s="1"/>
  <c r="Y87" i="2"/>
  <c r="Y88" i="2" s="1"/>
  <c r="Y290" i="2"/>
  <c r="T232" i="2"/>
  <c r="T241" i="2"/>
  <c r="N310" i="2"/>
  <c r="N311" i="2" s="1"/>
  <c r="N320" i="2" s="1"/>
  <c r="N322" i="2" s="1"/>
  <c r="N326" i="2" s="1"/>
  <c r="N231" i="2"/>
  <c r="N108" i="2"/>
  <c r="N116" i="2" s="1"/>
  <c r="N110" i="2"/>
  <c r="N118" i="2" s="1"/>
  <c r="R206" i="2"/>
  <c r="R209" i="2" s="1"/>
  <c r="M239" i="2"/>
  <c r="M242" i="2" s="1"/>
  <c r="I276" i="2"/>
  <c r="I279" i="2" s="1"/>
  <c r="AE276" i="2"/>
  <c r="AE279" i="2" s="1"/>
  <c r="AE361" i="2"/>
  <c r="AE374" i="2" s="1"/>
  <c r="AE377" i="2" s="1"/>
  <c r="AE472" i="2" s="1"/>
  <c r="N247" i="2"/>
  <c r="N213" i="2"/>
  <c r="N360" i="2"/>
  <c r="AD239" i="2"/>
  <c r="AD242" i="2" s="1"/>
  <c r="H18" i="2"/>
  <c r="Y292" i="2"/>
  <c r="Y196" i="2"/>
  <c r="N239" i="2"/>
  <c r="N242" i="2" s="1"/>
  <c r="J276" i="2"/>
  <c r="J279" i="2" s="1"/>
  <c r="H366" i="2"/>
  <c r="T87" i="2"/>
  <c r="T88" i="2" s="1"/>
  <c r="Z196" i="2"/>
  <c r="Z292" i="2"/>
  <c r="P231" i="2"/>
  <c r="P310" i="2"/>
  <c r="P108" i="2"/>
  <c r="P116" i="2" s="1"/>
  <c r="P110" i="2"/>
  <c r="P118" i="2" s="1"/>
  <c r="T206" i="2"/>
  <c r="T209" i="2" s="1"/>
  <c r="AC223" i="2"/>
  <c r="AC226" i="2" s="1"/>
  <c r="AC227" i="2" s="1"/>
  <c r="AC248" i="2" s="1"/>
  <c r="O239" i="2"/>
  <c r="O242" i="2" s="1"/>
  <c r="K276" i="2"/>
  <c r="K279" i="2" s="1"/>
  <c r="AC318" i="2"/>
  <c r="AC321" i="2" s="1"/>
  <c r="P291" i="2"/>
  <c r="AA292" i="2"/>
  <c r="AA196" i="2"/>
  <c r="U291" i="2"/>
  <c r="U194" i="2"/>
  <c r="AB196" i="2"/>
  <c r="AB292" i="2"/>
  <c r="K216" i="2"/>
  <c r="K225" i="2" s="1"/>
  <c r="H41" i="2"/>
  <c r="X230" i="2"/>
  <c r="X309" i="2"/>
  <c r="X311" i="2" s="1"/>
  <c r="X320" i="2" s="1"/>
  <c r="X322" i="2" s="1"/>
  <c r="X326" i="2" s="1"/>
  <c r="R269" i="2"/>
  <c r="R231" i="2"/>
  <c r="R108" i="2"/>
  <c r="R116" i="2" s="1"/>
  <c r="R110" i="2"/>
  <c r="R118" i="2" s="1"/>
  <c r="R310" i="2"/>
  <c r="I223" i="2"/>
  <c r="I226" i="2" s="1"/>
  <c r="AE223" i="2"/>
  <c r="AE226" i="2" s="1"/>
  <c r="M276" i="2"/>
  <c r="M279" i="2" s="1"/>
  <c r="AE309" i="2"/>
  <c r="AE311" i="2" s="1"/>
  <c r="AE320" i="2" s="1"/>
  <c r="AE230" i="2"/>
  <c r="H59" i="2"/>
  <c r="AE71" i="2"/>
  <c r="AE422" i="2" s="1"/>
  <c r="AC87" i="2"/>
  <c r="R109" i="2"/>
  <c r="R117" i="2" s="1"/>
  <c r="R193" i="2"/>
  <c r="X291" i="2"/>
  <c r="K318" i="2"/>
  <c r="K321" i="2" s="1"/>
  <c r="R71" i="2"/>
  <c r="R422" i="2" s="1"/>
  <c r="R195" i="2"/>
  <c r="W310" i="2"/>
  <c r="W269" i="2"/>
  <c r="W110" i="2"/>
  <c r="W118" i="2" s="1"/>
  <c r="W109" i="2"/>
  <c r="W117" i="2" s="1"/>
  <c r="W108" i="2"/>
  <c r="W116" i="2" s="1"/>
  <c r="Q360" i="2"/>
  <c r="Q361" i="2" s="1"/>
  <c r="Q374" i="2" s="1"/>
  <c r="Q377" i="2" s="1"/>
  <c r="Q472" i="2" s="1"/>
  <c r="Q213" i="2"/>
  <c r="AD293" i="2"/>
  <c r="AD216" i="2"/>
  <c r="AD225" i="2" s="1"/>
  <c r="S239" i="2"/>
  <c r="S242" i="2" s="1"/>
  <c r="P262" i="2"/>
  <c r="P265" i="2" s="1"/>
  <c r="U368" i="2"/>
  <c r="U375" i="2" s="1"/>
  <c r="M309" i="2"/>
  <c r="M230" i="2"/>
  <c r="T110" i="2"/>
  <c r="T118" i="2" s="1"/>
  <c r="W247" i="2"/>
  <c r="T195" i="2"/>
  <c r="T71" i="2"/>
  <c r="T422" i="2" s="1"/>
  <c r="J309" i="2"/>
  <c r="J311" i="2" s="1"/>
  <c r="J320" i="2" s="1"/>
  <c r="J230" i="2"/>
  <c r="H62" i="2"/>
  <c r="H61" i="2"/>
  <c r="I104" i="2"/>
  <c r="Y310" i="2"/>
  <c r="Y108" i="2"/>
  <c r="Y116" i="2" s="1"/>
  <c r="W302" i="2"/>
  <c r="W305" i="2" s="1"/>
  <c r="M290" i="2"/>
  <c r="M295" i="2" s="1"/>
  <c r="M304" i="2" s="1"/>
  <c r="M306" i="2" s="1"/>
  <c r="M325" i="2" s="1"/>
  <c r="M87" i="2"/>
  <c r="Z309" i="2"/>
  <c r="Z311" i="2" s="1"/>
  <c r="Z320" i="2" s="1"/>
  <c r="Z322" i="2" s="1"/>
  <c r="Z326" i="2" s="1"/>
  <c r="Z230" i="2"/>
  <c r="Q223" i="2"/>
  <c r="Q226" i="2" s="1"/>
  <c r="Q239" i="2"/>
  <c r="Q242" i="2" s="1"/>
  <c r="N262" i="2"/>
  <c r="N265" i="2" s="1"/>
  <c r="P276" i="2"/>
  <c r="P279" i="2" s="1"/>
  <c r="P213" i="2"/>
  <c r="P247" i="2"/>
  <c r="I292" i="2"/>
  <c r="I196" i="2"/>
  <c r="H38" i="2"/>
  <c r="AB216" i="2"/>
  <c r="AB225" i="2" s="1"/>
  <c r="AB227" i="2" s="1"/>
  <c r="AB248" i="2" s="1"/>
  <c r="AA361" i="2"/>
  <c r="AA374" i="2" s="1"/>
  <c r="AA377" i="2" s="1"/>
  <c r="AA472" i="2" s="1"/>
  <c r="N290" i="2"/>
  <c r="N295" i="2" s="1"/>
  <c r="N304" i="2" s="1"/>
  <c r="N306" i="2" s="1"/>
  <c r="N325" i="2" s="1"/>
  <c r="N193" i="2"/>
  <c r="N199" i="2" s="1"/>
  <c r="N208" i="2" s="1"/>
  <c r="N210" i="2" s="1"/>
  <c r="N246" i="2" s="1"/>
  <c r="N88" i="2"/>
  <c r="N87" i="2"/>
  <c r="N89" i="2" s="1"/>
  <c r="N90" i="2"/>
  <c r="O137" i="2"/>
  <c r="O145" i="2"/>
  <c r="R223" i="2"/>
  <c r="R226" i="2" s="1"/>
  <c r="O262" i="2"/>
  <c r="O265" i="2" s="1"/>
  <c r="L318" i="2"/>
  <c r="L321" i="2" s="1"/>
  <c r="W361" i="2"/>
  <c r="W374" i="2" s="1"/>
  <c r="L230" i="2"/>
  <c r="L309" i="2"/>
  <c r="L311" i="2" s="1"/>
  <c r="L320" i="2" s="1"/>
  <c r="L322" i="2" s="1"/>
  <c r="L326" i="2" s="1"/>
  <c r="P290" i="2"/>
  <c r="P295" i="2" s="1"/>
  <c r="P304" i="2" s="1"/>
  <c r="P306" i="2" s="1"/>
  <c r="P325" i="2" s="1"/>
  <c r="P89" i="2"/>
  <c r="P88" i="2"/>
  <c r="Z269" i="2"/>
  <c r="Z110" i="2"/>
  <c r="Z118" i="2" s="1"/>
  <c r="Z231" i="2"/>
  <c r="Z310" i="2"/>
  <c r="Z108" i="2"/>
  <c r="Z116" i="2" s="1"/>
  <c r="Z109" i="2"/>
  <c r="Z117" i="2" s="1"/>
  <c r="T239" i="2"/>
  <c r="T242" i="2" s="1"/>
  <c r="S276" i="2"/>
  <c r="S279" i="2" s="1"/>
  <c r="H357" i="2"/>
  <c r="V108" i="2"/>
  <c r="V116" i="2" s="1"/>
  <c r="X206" i="2"/>
  <c r="X209" i="2" s="1"/>
  <c r="Q193" i="2"/>
  <c r="Q199" i="2" s="1"/>
  <c r="Q208" i="2" s="1"/>
  <c r="Q210" i="2" s="1"/>
  <c r="Q246" i="2" s="1"/>
  <c r="Q87" i="2"/>
  <c r="Q90" i="2"/>
  <c r="Q89" i="2"/>
  <c r="Q290" i="2"/>
  <c r="J216" i="2"/>
  <c r="J225" i="2" s="1"/>
  <c r="J227" i="2" s="1"/>
  <c r="J248" i="2" s="1"/>
  <c r="J293" i="2"/>
  <c r="AF227" i="2"/>
  <c r="AF248" i="2" s="1"/>
  <c r="AA310" i="2"/>
  <c r="AA311" i="2" s="1"/>
  <c r="AA320" i="2" s="1"/>
  <c r="AA322" i="2" s="1"/>
  <c r="AA326" i="2" s="1"/>
  <c r="AA231" i="2"/>
  <c r="AA232" i="2" s="1"/>
  <c r="AA108" i="2"/>
  <c r="AA116" i="2" s="1"/>
  <c r="AA109" i="2"/>
  <c r="AA117" i="2" s="1"/>
  <c r="AA269" i="2"/>
  <c r="U223" i="2"/>
  <c r="U226" i="2" s="1"/>
  <c r="R262" i="2"/>
  <c r="R265" i="2" s="1"/>
  <c r="T276" i="2"/>
  <c r="T279" i="2" s="1"/>
  <c r="H367" i="2"/>
  <c r="H23" i="2"/>
  <c r="H37" i="2"/>
  <c r="P309" i="2"/>
  <c r="P230" i="2"/>
  <c r="S110" i="2"/>
  <c r="S118" i="2" s="1"/>
  <c r="S109" i="2"/>
  <c r="S117" i="2" s="1"/>
  <c r="S108" i="2"/>
  <c r="S116" i="2" s="1"/>
  <c r="S231" i="2"/>
  <c r="S241" i="2" s="1"/>
  <c r="S310" i="2"/>
  <c r="V110" i="2"/>
  <c r="V118" i="2" s="1"/>
  <c r="K223" i="2"/>
  <c r="K226" i="2" s="1"/>
  <c r="W295" i="2"/>
  <c r="W304" i="2" s="1"/>
  <c r="AF293" i="2"/>
  <c r="P360" i="2"/>
  <c r="P361" i="2" s="1"/>
  <c r="P374" i="2" s="1"/>
  <c r="P377" i="2" s="1"/>
  <c r="P472" i="2" s="1"/>
  <c r="S262" i="2"/>
  <c r="S265" i="2" s="1"/>
  <c r="U276" i="2"/>
  <c r="U279" i="2" s="1"/>
  <c r="P318" i="2"/>
  <c r="P321" i="2" s="1"/>
  <c r="T231" i="2"/>
  <c r="T310" i="2"/>
  <c r="M88" i="2"/>
  <c r="Y110" i="2"/>
  <c r="Y118" i="2" s="1"/>
  <c r="S290" i="2"/>
  <c r="X195" i="2"/>
  <c r="X71" i="2"/>
  <c r="X422" i="2" s="1"/>
  <c r="V213" i="2"/>
  <c r="V360" i="2"/>
  <c r="K291" i="2"/>
  <c r="K194" i="2"/>
  <c r="H194" i="2" s="1"/>
  <c r="K87" i="2"/>
  <c r="R292" i="2"/>
  <c r="R196" i="2"/>
  <c r="U311" i="2"/>
  <c r="U320" i="2" s="1"/>
  <c r="U322" i="2" s="1"/>
  <c r="U326" i="2" s="1"/>
  <c r="Z223" i="2"/>
  <c r="Z226" i="2" s="1"/>
  <c r="Z227" i="2" s="1"/>
  <c r="Z248" i="2" s="1"/>
  <c r="Y195" i="2"/>
  <c r="Y71" i="2"/>
  <c r="Y422" i="2" s="1"/>
  <c r="AF230" i="2"/>
  <c r="AF309" i="2"/>
  <c r="T262" i="2"/>
  <c r="T265" i="2" s="1"/>
  <c r="Q318" i="2"/>
  <c r="Q321" i="2" s="1"/>
  <c r="U145" i="2"/>
  <c r="U137" i="2"/>
  <c r="AA206" i="2"/>
  <c r="AA209" i="2" s="1"/>
  <c r="X239" i="2"/>
  <c r="X242" i="2" s="1"/>
  <c r="L194" i="2"/>
  <c r="L291" i="2"/>
  <c r="S292" i="2"/>
  <c r="S196" i="2"/>
  <c r="W311" i="2"/>
  <c r="W320" i="2" s="1"/>
  <c r="K199" i="2"/>
  <c r="K208" i="2" s="1"/>
  <c r="K210" i="2" s="1"/>
  <c r="K246" i="2" s="1"/>
  <c r="U87" i="2"/>
  <c r="U88" i="2" s="1"/>
  <c r="U290" i="2"/>
  <c r="U90" i="2"/>
  <c r="Z71" i="2"/>
  <c r="Z422" i="2" s="1"/>
  <c r="Z195" i="2"/>
  <c r="AB206" i="2"/>
  <c r="AB209" i="2" s="1"/>
  <c r="V262" i="2"/>
  <c r="V265" i="2" s="1"/>
  <c r="X247" i="2"/>
  <c r="X360" i="2"/>
  <c r="X213" i="2"/>
  <c r="V87" i="2"/>
  <c r="V193" i="2"/>
  <c r="V290" i="2"/>
  <c r="V88" i="2"/>
  <c r="J310" i="2"/>
  <c r="J269" i="2"/>
  <c r="J231" i="2"/>
  <c r="J108" i="2"/>
  <c r="J116" i="2" s="1"/>
  <c r="J110" i="2"/>
  <c r="J118" i="2" s="1"/>
  <c r="AC302" i="2"/>
  <c r="AC305" i="2" s="1"/>
  <c r="I361" i="2"/>
  <c r="M193" i="2"/>
  <c r="M199" i="2" s="1"/>
  <c r="M208" i="2" s="1"/>
  <c r="R213" i="2"/>
  <c r="U239" i="2"/>
  <c r="U242" i="2" s="1"/>
  <c r="J291" i="2"/>
  <c r="H291" i="2" s="1"/>
  <c r="S360" i="2"/>
  <c r="S247" i="2"/>
  <c r="R368" i="2"/>
  <c r="R375" i="2" s="1"/>
  <c r="R377" i="2" s="1"/>
  <c r="R472" i="2" s="1"/>
  <c r="S318" i="2"/>
  <c r="S321" i="2" s="1"/>
  <c r="H356" i="2"/>
  <c r="H371" i="2"/>
  <c r="J376" i="2"/>
  <c r="H376" i="2" s="1"/>
  <c r="T360" i="2"/>
  <c r="T361" i="2" s="1"/>
  <c r="T374" i="2" s="1"/>
  <c r="T377" i="2" s="1"/>
  <c r="T472" i="2" s="1"/>
  <c r="T247" i="2"/>
  <c r="T213" i="2"/>
  <c r="R302" i="2"/>
  <c r="R305" i="2" s="1"/>
  <c r="W318" i="2"/>
  <c r="W321" i="2" s="1"/>
  <c r="V361" i="2"/>
  <c r="V374" i="2" s="1"/>
  <c r="V377" i="2" s="1"/>
  <c r="V472" i="2" s="1"/>
  <c r="U213" i="2"/>
  <c r="U247" i="2"/>
  <c r="U360" i="2"/>
  <c r="U361" i="2" s="1"/>
  <c r="U374" i="2" s="1"/>
  <c r="U377" i="2" s="1"/>
  <c r="U472" i="2" s="1"/>
  <c r="AC309" i="2"/>
  <c r="AC311" i="2" s="1"/>
  <c r="AC320" i="2" s="1"/>
  <c r="AC322" i="2" s="1"/>
  <c r="AC326" i="2" s="1"/>
  <c r="AC230" i="2"/>
  <c r="AB318" i="2"/>
  <c r="AB321" i="2" s="1"/>
  <c r="X368" i="2"/>
  <c r="X375" i="2" s="1"/>
  <c r="I216" i="2"/>
  <c r="H44" i="2"/>
  <c r="H43" i="2"/>
  <c r="H42" i="2"/>
  <c r="I293" i="2"/>
  <c r="AE293" i="2"/>
  <c r="AE216" i="2"/>
  <c r="AE225" i="2" s="1"/>
  <c r="AE227" i="2" s="1"/>
  <c r="AE248" i="2" s="1"/>
  <c r="Q206" i="2"/>
  <c r="Q209" i="2" s="1"/>
  <c r="AD223" i="2"/>
  <c r="AD226" i="2" s="1"/>
  <c r="AB276" i="2"/>
  <c r="AB279" i="2" s="1"/>
  <c r="Z247" i="2"/>
  <c r="Z360" i="2"/>
  <c r="Z361" i="2" s="1"/>
  <c r="Z374" i="2" s="1"/>
  <c r="Z377" i="2" s="1"/>
  <c r="Z472" i="2" s="1"/>
  <c r="Y368" i="2"/>
  <c r="Y375" i="2" s="1"/>
  <c r="Y194" i="2"/>
  <c r="Y199" i="2" s="1"/>
  <c r="Y208" i="2" s="1"/>
  <c r="Y210" i="2" s="1"/>
  <c r="Y246" i="2" s="1"/>
  <c r="K290" i="2"/>
  <c r="K295" i="2" s="1"/>
  <c r="K304" i="2" s="1"/>
  <c r="K306" i="2" s="1"/>
  <c r="K325" i="2" s="1"/>
  <c r="K89" i="2"/>
  <c r="K90" i="2"/>
  <c r="AD368" i="2"/>
  <c r="AD375" i="2" s="1"/>
  <c r="Q292" i="2"/>
  <c r="Q196" i="2"/>
  <c r="K361" i="2"/>
  <c r="K374" i="2" s="1"/>
  <c r="K377" i="2" s="1"/>
  <c r="K472" i="2" s="1"/>
  <c r="O302" i="2"/>
  <c r="O305" i="2" s="1"/>
  <c r="AA302" i="2"/>
  <c r="AA305" i="2" s="1"/>
  <c r="AA293" i="2"/>
  <c r="AA216" i="2"/>
  <c r="AA225" i="2" s="1"/>
  <c r="M213" i="2"/>
  <c r="M360" i="2"/>
  <c r="M361" i="2" s="1"/>
  <c r="M374" i="2" s="1"/>
  <c r="M377" i="2" s="1"/>
  <c r="M472" i="2" s="1"/>
  <c r="Q262" i="2"/>
  <c r="Q265" i="2" s="1"/>
  <c r="N276" i="2"/>
  <c r="N279" i="2" s="1"/>
  <c r="O223" i="2"/>
  <c r="O226" i="2" s="1"/>
  <c r="S302" i="2"/>
  <c r="S305" i="2" s="1"/>
  <c r="I368" i="2"/>
  <c r="H364" i="2"/>
  <c r="AE302" i="2"/>
  <c r="AE305" i="2" s="1"/>
  <c r="S368" i="2"/>
  <c r="S375" i="2" s="1"/>
  <c r="I302" i="2"/>
  <c r="I305" i="2" s="1"/>
  <c r="AC247" i="2"/>
  <c r="AC360" i="2"/>
  <c r="AC361" i="2" s="1"/>
  <c r="AC374" i="2" s="1"/>
  <c r="AC377" i="2" s="1"/>
  <c r="AC472" i="2" s="1"/>
  <c r="W368" i="2"/>
  <c r="W375" i="2" s="1"/>
  <c r="J302" i="2"/>
  <c r="J305" i="2" s="1"/>
  <c r="AD360" i="2"/>
  <c r="AD213" i="2"/>
  <c r="S243" i="2" l="1"/>
  <c r="S249" i="2" s="1"/>
  <c r="S250" i="2" s="1"/>
  <c r="S332" i="2" s="1"/>
  <c r="S278" i="2"/>
  <c r="S280" i="2" s="1"/>
  <c r="S284" i="2" s="1"/>
  <c r="U278" i="2"/>
  <c r="U280" i="2" s="1"/>
  <c r="U284" i="2" s="1"/>
  <c r="U243" i="2"/>
  <c r="U249" i="2" s="1"/>
  <c r="R89" i="2"/>
  <c r="T90" i="2"/>
  <c r="V243" i="2"/>
  <c r="V249" i="2" s="1"/>
  <c r="V278" i="2"/>
  <c r="V280" i="2" s="1"/>
  <c r="V284" i="2" s="1"/>
  <c r="AB89" i="2"/>
  <c r="AB92" i="2" s="1"/>
  <c r="AB100" i="2" s="1"/>
  <c r="AB122" i="2" s="1"/>
  <c r="AB130" i="2" s="1"/>
  <c r="AC241" i="2"/>
  <c r="AC232" i="2"/>
  <c r="U295" i="2"/>
  <c r="U304" i="2" s="1"/>
  <c r="U306" i="2" s="1"/>
  <c r="U325" i="2" s="1"/>
  <c r="U327" i="2" s="1"/>
  <c r="U334" i="2" s="1"/>
  <c r="K278" i="2"/>
  <c r="K280" i="2" s="1"/>
  <c r="K284" i="2" s="1"/>
  <c r="K243" i="2"/>
  <c r="K249" i="2" s="1"/>
  <c r="R90" i="2"/>
  <c r="R93" i="2" s="1"/>
  <c r="R101" i="2" s="1"/>
  <c r="R123" i="2" s="1"/>
  <c r="R131" i="2" s="1"/>
  <c r="I269" i="2"/>
  <c r="I110" i="2"/>
  <c r="I109" i="2"/>
  <c r="I310" i="2"/>
  <c r="H310" i="2" s="1"/>
  <c r="H107" i="2"/>
  <c r="H105" i="2"/>
  <c r="H106" i="2"/>
  <c r="I108" i="2"/>
  <c r="H104" i="2"/>
  <c r="I231" i="2"/>
  <c r="Q311" i="2"/>
  <c r="Q320" i="2" s="1"/>
  <c r="Q322" i="2" s="1"/>
  <c r="Q326" i="2" s="1"/>
  <c r="K327" i="2"/>
  <c r="K334" i="2" s="1"/>
  <c r="W306" i="2"/>
  <c r="W325" i="2" s="1"/>
  <c r="W327" i="2" s="1"/>
  <c r="W334" i="2" s="1"/>
  <c r="Q241" i="2"/>
  <c r="Q232" i="2"/>
  <c r="I232" i="2"/>
  <c r="H230" i="2"/>
  <c r="I241" i="2"/>
  <c r="P92" i="2"/>
  <c r="P100" i="2" s="1"/>
  <c r="P122" i="2" s="1"/>
  <c r="P130" i="2" s="1"/>
  <c r="P255" i="2"/>
  <c r="P264" i="2" s="1"/>
  <c r="P266" i="2" s="1"/>
  <c r="P93" i="2"/>
  <c r="P101" i="2" s="1"/>
  <c r="P123" i="2" s="1"/>
  <c r="P131" i="2" s="1"/>
  <c r="P91" i="2"/>
  <c r="P99" i="2" s="1"/>
  <c r="P121" i="2" s="1"/>
  <c r="I375" i="2"/>
  <c r="H375" i="2" s="1"/>
  <c r="H368" i="2"/>
  <c r="AB241" i="2"/>
  <c r="W255" i="2"/>
  <c r="W264" i="2" s="1"/>
  <c r="W266" i="2" s="1"/>
  <c r="W92" i="2"/>
  <c r="W100" i="2" s="1"/>
  <c r="W122" i="2" s="1"/>
  <c r="W130" i="2" s="1"/>
  <c r="W93" i="2"/>
  <c r="W101" i="2" s="1"/>
  <c r="W123" i="2" s="1"/>
  <c r="W131" i="2" s="1"/>
  <c r="H196" i="2"/>
  <c r="I422" i="2"/>
  <c r="I75" i="2"/>
  <c r="I423" i="2" s="1"/>
  <c r="H292" i="2"/>
  <c r="Q255" i="2"/>
  <c r="Q264" i="2" s="1"/>
  <c r="Q266" i="2" s="1"/>
  <c r="Q93" i="2"/>
  <c r="Q101" i="2" s="1"/>
  <c r="Q123" i="2" s="1"/>
  <c r="Q131" i="2" s="1"/>
  <c r="Q92" i="2"/>
  <c r="Q100" i="2" s="1"/>
  <c r="Q122" i="2" s="1"/>
  <c r="Q130" i="2" s="1"/>
  <c r="Q91" i="2"/>
  <c r="Q99" i="2" s="1"/>
  <c r="Q121" i="2" s="1"/>
  <c r="L361" i="1"/>
  <c r="K168" i="2"/>
  <c r="H313" i="2"/>
  <c r="H309" i="2"/>
  <c r="H318" i="2"/>
  <c r="H317" i="2"/>
  <c r="H316" i="2"/>
  <c r="H315" i="2"/>
  <c r="H314" i="2"/>
  <c r="S377" i="2"/>
  <c r="S472" i="2" s="1"/>
  <c r="S255" i="2"/>
  <c r="S264" i="2" s="1"/>
  <c r="S266" i="2" s="1"/>
  <c r="S92" i="2"/>
  <c r="S100" i="2" s="1"/>
  <c r="S122" i="2" s="1"/>
  <c r="S130" i="2" s="1"/>
  <c r="K341" i="2"/>
  <c r="AE341" i="2"/>
  <c r="O341" i="2"/>
  <c r="N341" i="2"/>
  <c r="I341" i="2"/>
  <c r="I343" i="2" s="1"/>
  <c r="I345" i="2" s="1"/>
  <c r="J341" i="2"/>
  <c r="AD341" i="2"/>
  <c r="AD343" i="2" s="1"/>
  <c r="AD345" i="2" s="1"/>
  <c r="X341" i="2"/>
  <c r="X343" i="2" s="1"/>
  <c r="X345" i="2" s="1"/>
  <c r="U341" i="2"/>
  <c r="U343" i="2" s="1"/>
  <c r="U345" i="2" s="1"/>
  <c r="Q341" i="2"/>
  <c r="Q343" i="2" s="1"/>
  <c r="Q345" i="2" s="1"/>
  <c r="AC341" i="2"/>
  <c r="V341" i="2"/>
  <c r="T341" i="2"/>
  <c r="T343" i="2" s="1"/>
  <c r="M341" i="2"/>
  <c r="M343" i="2" s="1"/>
  <c r="M345" i="2" s="1"/>
  <c r="AB341" i="2"/>
  <c r="AB343" i="2" s="1"/>
  <c r="AB345" i="2" s="1"/>
  <c r="Z341" i="2"/>
  <c r="R341" i="2"/>
  <c r="P341" i="2"/>
  <c r="S341" i="2"/>
  <c r="S343" i="2" s="1"/>
  <c r="L341" i="2"/>
  <c r="L343" i="2" s="1"/>
  <c r="L345" i="2" s="1"/>
  <c r="AA341" i="2"/>
  <c r="AA343" i="2" s="1"/>
  <c r="AA345" i="2" s="1"/>
  <c r="Y341" i="2"/>
  <c r="W341" i="2"/>
  <c r="Y232" i="2"/>
  <c r="Y241" i="2"/>
  <c r="W377" i="2"/>
  <c r="W472" i="2" s="1"/>
  <c r="R199" i="2"/>
  <c r="R208" i="2" s="1"/>
  <c r="R210" i="2" s="1"/>
  <c r="R246" i="2" s="1"/>
  <c r="AA241" i="2"/>
  <c r="T295" i="2"/>
  <c r="T304" i="2" s="1"/>
  <c r="T306" i="2" s="1"/>
  <c r="T325" i="2" s="1"/>
  <c r="T327" i="2" s="1"/>
  <c r="T334" i="2" s="1"/>
  <c r="Y311" i="2"/>
  <c r="Y320" i="2" s="1"/>
  <c r="Y322" i="2" s="1"/>
  <c r="Y326" i="2" s="1"/>
  <c r="AA91" i="2"/>
  <c r="AA99" i="2" s="1"/>
  <c r="AA121" i="2" s="1"/>
  <c r="AA255" i="2"/>
  <c r="AA264" i="2" s="1"/>
  <c r="AA266" i="2" s="1"/>
  <c r="AA93" i="2"/>
  <c r="AA101" i="2" s="1"/>
  <c r="AA123" i="2" s="1"/>
  <c r="AA131" i="2" s="1"/>
  <c r="AA92" i="2"/>
  <c r="AA100" i="2" s="1"/>
  <c r="AA122" i="2" s="1"/>
  <c r="AA130" i="2" s="1"/>
  <c r="Y90" i="2"/>
  <c r="Y93" i="2" s="1"/>
  <c r="Y101" i="2" s="1"/>
  <c r="Y123" i="2" s="1"/>
  <c r="Y131" i="2" s="1"/>
  <c r="AC92" i="2"/>
  <c r="AC100" i="2" s="1"/>
  <c r="AC122" i="2" s="1"/>
  <c r="AC130" i="2" s="1"/>
  <c r="AC93" i="2"/>
  <c r="AC101" i="2" s="1"/>
  <c r="AC123" i="2" s="1"/>
  <c r="AC131" i="2" s="1"/>
  <c r="AC255" i="2"/>
  <c r="AC264" i="2" s="1"/>
  <c r="AC266" i="2" s="1"/>
  <c r="Y89" i="2"/>
  <c r="AD241" i="2"/>
  <c r="AD232" i="2"/>
  <c r="Q344" i="2"/>
  <c r="H293" i="2"/>
  <c r="V91" i="2"/>
  <c r="V99" i="2" s="1"/>
  <c r="V121" i="2" s="1"/>
  <c r="V255" i="2"/>
  <c r="V264" i="2" s="1"/>
  <c r="V266" i="2" s="1"/>
  <c r="V93" i="2"/>
  <c r="V101" i="2" s="1"/>
  <c r="V123" i="2" s="1"/>
  <c r="V131" i="2" s="1"/>
  <c r="V92" i="2"/>
  <c r="V100" i="2" s="1"/>
  <c r="V122" i="2" s="1"/>
  <c r="V130" i="2" s="1"/>
  <c r="S88" i="2"/>
  <c r="H88" i="2" s="1"/>
  <c r="M232" i="2"/>
  <c r="M241" i="2"/>
  <c r="AD311" i="2"/>
  <c r="AD320" i="2" s="1"/>
  <c r="AD322" i="2" s="1"/>
  <c r="AD326" i="2" s="1"/>
  <c r="S232" i="2"/>
  <c r="K344" i="2"/>
  <c r="T199" i="2"/>
  <c r="T208" i="2" s="1"/>
  <c r="T210" i="2" s="1"/>
  <c r="T246" i="2" s="1"/>
  <c r="T250" i="2" s="1"/>
  <c r="T332" i="2" s="1"/>
  <c r="AD255" i="2"/>
  <c r="AD264" i="2" s="1"/>
  <c r="AD266" i="2" s="1"/>
  <c r="AD93" i="2"/>
  <c r="AD101" i="2" s="1"/>
  <c r="AD123" i="2" s="1"/>
  <c r="AD131" i="2" s="1"/>
  <c r="AD91" i="2"/>
  <c r="AD99" i="2" s="1"/>
  <c r="AD121" i="2" s="1"/>
  <c r="M327" i="2"/>
  <c r="M334" i="2" s="1"/>
  <c r="R255" i="2"/>
  <c r="R264" i="2" s="1"/>
  <c r="R266" i="2" s="1"/>
  <c r="R92" i="2"/>
  <c r="R100" i="2" s="1"/>
  <c r="R122" i="2" s="1"/>
  <c r="R130" i="2" s="1"/>
  <c r="R91" i="2"/>
  <c r="R99" i="2" s="1"/>
  <c r="R121" i="2" s="1"/>
  <c r="Z255" i="2"/>
  <c r="Z264" i="2" s="1"/>
  <c r="Z266" i="2" s="1"/>
  <c r="Z91" i="2"/>
  <c r="Z99" i="2" s="1"/>
  <c r="Z121" i="2" s="1"/>
  <c r="Z92" i="2"/>
  <c r="Z100" i="2" s="1"/>
  <c r="Z122" i="2" s="1"/>
  <c r="Z130" i="2" s="1"/>
  <c r="L169" i="2"/>
  <c r="M362" i="1"/>
  <c r="M210" i="2"/>
  <c r="M246" i="2" s="1"/>
  <c r="I374" i="2"/>
  <c r="H361" i="2"/>
  <c r="J91" i="2"/>
  <c r="J99" i="2" s="1"/>
  <c r="J121" i="2" s="1"/>
  <c r="J255" i="2"/>
  <c r="J264" i="2" s="1"/>
  <c r="J266" i="2" s="1"/>
  <c r="J93" i="2"/>
  <c r="J101" i="2" s="1"/>
  <c r="J123" i="2" s="1"/>
  <c r="J131" i="2" s="1"/>
  <c r="U250" i="2"/>
  <c r="U332" i="2" s="1"/>
  <c r="J88" i="2"/>
  <c r="N278" i="2"/>
  <c r="N280" i="2" s="1"/>
  <c r="N284" i="2" s="1"/>
  <c r="N243" i="2"/>
  <c r="N249" i="2" s="1"/>
  <c r="N250" i="2" s="1"/>
  <c r="N332" i="2" s="1"/>
  <c r="J295" i="2"/>
  <c r="J304" i="2" s="1"/>
  <c r="J306" i="2" s="1"/>
  <c r="J325" i="2" s="1"/>
  <c r="H195" i="2"/>
  <c r="T255" i="2"/>
  <c r="T264" i="2" s="1"/>
  <c r="T266" i="2" s="1"/>
  <c r="T93" i="2"/>
  <c r="T101" i="2" s="1"/>
  <c r="T123" i="2" s="1"/>
  <c r="T131" i="2" s="1"/>
  <c r="T92" i="2"/>
  <c r="T100" i="2" s="1"/>
  <c r="T122" i="2" s="1"/>
  <c r="T130" i="2" s="1"/>
  <c r="T91" i="2"/>
  <c r="T99" i="2" s="1"/>
  <c r="T121" i="2" s="1"/>
  <c r="W250" i="2"/>
  <c r="W332" i="2" s="1"/>
  <c r="L241" i="2"/>
  <c r="L232" i="2"/>
  <c r="K227" i="2"/>
  <c r="K248" i="2" s="1"/>
  <c r="K250" i="2" s="1"/>
  <c r="K332" i="2" s="1"/>
  <c r="T278" i="2"/>
  <c r="T280" i="2" s="1"/>
  <c r="T284" i="2" s="1"/>
  <c r="T243" i="2"/>
  <c r="T249" i="2" s="1"/>
  <c r="AB255" i="2"/>
  <c r="AB264" i="2" s="1"/>
  <c r="AB266" i="2" s="1"/>
  <c r="AB93" i="2"/>
  <c r="AB101" i="2" s="1"/>
  <c r="AB123" i="2" s="1"/>
  <c r="AB131" i="2" s="1"/>
  <c r="AB88" i="2"/>
  <c r="AB91" i="2" s="1"/>
  <c r="AB99" i="2" s="1"/>
  <c r="AB121" i="2" s="1"/>
  <c r="P210" i="2"/>
  <c r="P246" i="2" s="1"/>
  <c r="N344" i="2"/>
  <c r="AB295" i="2"/>
  <c r="AB304" i="2" s="1"/>
  <c r="AB306" i="2" s="1"/>
  <c r="AB325" i="2" s="1"/>
  <c r="AB327" i="2" s="1"/>
  <c r="AB334" i="2" s="1"/>
  <c r="AD377" i="2"/>
  <c r="AD472" i="2" s="1"/>
  <c r="V295" i="2"/>
  <c r="V304" i="2" s="1"/>
  <c r="V306" i="2" s="1"/>
  <c r="V325" i="2" s="1"/>
  <c r="V327" i="2" s="1"/>
  <c r="V334" i="2" s="1"/>
  <c r="P232" i="2"/>
  <c r="P241" i="2"/>
  <c r="H247" i="2"/>
  <c r="AB199" i="2"/>
  <c r="AB208" i="2" s="1"/>
  <c r="AB210" i="2" s="1"/>
  <c r="AB246" i="2" s="1"/>
  <c r="S89" i="2"/>
  <c r="V199" i="2"/>
  <c r="V208" i="2" s="1"/>
  <c r="V210" i="2" s="1"/>
  <c r="V246" i="2" s="1"/>
  <c r="P311" i="2"/>
  <c r="P320" i="2" s="1"/>
  <c r="P322" i="2" s="1"/>
  <c r="P326" i="2" s="1"/>
  <c r="P327" i="2" s="1"/>
  <c r="P334" i="2" s="1"/>
  <c r="AA227" i="2"/>
  <c r="AA248" i="2" s="1"/>
  <c r="W88" i="2"/>
  <c r="W91" i="2" s="1"/>
  <c r="W99" i="2" s="1"/>
  <c r="W121" i="2" s="1"/>
  <c r="S295" i="2"/>
  <c r="S304" i="2" s="1"/>
  <c r="S306" i="2" s="1"/>
  <c r="S325" i="2" s="1"/>
  <c r="S327" i="2" s="1"/>
  <c r="S334" i="2" s="1"/>
  <c r="Z241" i="2"/>
  <c r="Z232" i="2"/>
  <c r="M311" i="2"/>
  <c r="M320" i="2" s="1"/>
  <c r="M322" i="2" s="1"/>
  <c r="M326" i="2" s="1"/>
  <c r="Y295" i="2"/>
  <c r="Y304" i="2" s="1"/>
  <c r="Y306" i="2" s="1"/>
  <c r="Y325" i="2" s="1"/>
  <c r="O344" i="2"/>
  <c r="P90" i="2"/>
  <c r="Z295" i="2"/>
  <c r="Z304" i="2" s="1"/>
  <c r="Z306" i="2" s="1"/>
  <c r="Z325" i="2" s="1"/>
  <c r="Z327" i="2" s="1"/>
  <c r="Z334" i="2" s="1"/>
  <c r="O90" i="2"/>
  <c r="AD89" i="2"/>
  <c r="AD92" i="2" s="1"/>
  <c r="AD100" i="2" s="1"/>
  <c r="AD122" i="2" s="1"/>
  <c r="AD130" i="2" s="1"/>
  <c r="AF327" i="2"/>
  <c r="AF334" i="2" s="1"/>
  <c r="I91" i="2"/>
  <c r="H87" i="2"/>
  <c r="I255" i="2"/>
  <c r="I93" i="2"/>
  <c r="U93" i="2"/>
  <c r="U101" i="2" s="1"/>
  <c r="U123" i="2" s="1"/>
  <c r="U131" i="2" s="1"/>
  <c r="U255" i="2"/>
  <c r="U264" i="2" s="1"/>
  <c r="U266" i="2" s="1"/>
  <c r="U91" i="2"/>
  <c r="U99" i="2" s="1"/>
  <c r="U121" i="2" s="1"/>
  <c r="U92" i="2"/>
  <c r="U100" i="2" s="1"/>
  <c r="U122" i="2" s="1"/>
  <c r="U130" i="2" s="1"/>
  <c r="Z90" i="2"/>
  <c r="Z93" i="2" s="1"/>
  <c r="Z101" i="2" s="1"/>
  <c r="Z123" i="2" s="1"/>
  <c r="Z131" i="2" s="1"/>
  <c r="AE255" i="2"/>
  <c r="AE264" i="2" s="1"/>
  <c r="AE266" i="2" s="1"/>
  <c r="AE89" i="2"/>
  <c r="AE92" i="2" s="1"/>
  <c r="AE100" i="2" s="1"/>
  <c r="AE122" i="2" s="1"/>
  <c r="AE130" i="2" s="1"/>
  <c r="J89" i="2"/>
  <c r="J92" i="2" s="1"/>
  <c r="J100" i="2" s="1"/>
  <c r="J122" i="2" s="1"/>
  <c r="J130" i="2" s="1"/>
  <c r="AE88" i="2"/>
  <c r="AE91" i="2" s="1"/>
  <c r="AE99" i="2" s="1"/>
  <c r="AE121" i="2" s="1"/>
  <c r="W322" i="2"/>
  <c r="W326" i="2" s="1"/>
  <c r="Q295" i="2"/>
  <c r="Q304" i="2" s="1"/>
  <c r="Q306" i="2" s="1"/>
  <c r="Q325" i="2" s="1"/>
  <c r="J232" i="2"/>
  <c r="J241" i="2"/>
  <c r="AE90" i="2"/>
  <c r="AE93" i="2" s="1"/>
  <c r="AE101" i="2" s="1"/>
  <c r="AE123" i="2" s="1"/>
  <c r="AE131" i="2" s="1"/>
  <c r="K255" i="2"/>
  <c r="K264" i="2" s="1"/>
  <c r="K266" i="2" s="1"/>
  <c r="K93" i="2"/>
  <c r="K101" i="2" s="1"/>
  <c r="K123" i="2" s="1"/>
  <c r="K131" i="2" s="1"/>
  <c r="K92" i="2"/>
  <c r="K100" i="2" s="1"/>
  <c r="K122" i="2" s="1"/>
  <c r="K130" i="2" s="1"/>
  <c r="K91" i="2"/>
  <c r="K99" i="2" s="1"/>
  <c r="K121" i="2" s="1"/>
  <c r="J322" i="2"/>
  <c r="J326" i="2" s="1"/>
  <c r="J199" i="2"/>
  <c r="J208" i="2" s="1"/>
  <c r="J210" i="2" s="1"/>
  <c r="J246" i="2" s="1"/>
  <c r="AE210" i="2"/>
  <c r="AE246" i="2" s="1"/>
  <c r="H360" i="2"/>
  <c r="AE232" i="2"/>
  <c r="AE241" i="2"/>
  <c r="Y255" i="2"/>
  <c r="Y264" i="2" s="1"/>
  <c r="Y266" i="2" s="1"/>
  <c r="Y91" i="2"/>
  <c r="Y99" i="2" s="1"/>
  <c r="Y121" i="2" s="1"/>
  <c r="Y92" i="2"/>
  <c r="Y100" i="2" s="1"/>
  <c r="Y122" i="2" s="1"/>
  <c r="Y130" i="2" s="1"/>
  <c r="Z89" i="2"/>
  <c r="O327" i="2"/>
  <c r="O334" i="2" s="1"/>
  <c r="AD199" i="2"/>
  <c r="AD208" i="2" s="1"/>
  <c r="AD210" i="2" s="1"/>
  <c r="AD246" i="2" s="1"/>
  <c r="AE322" i="2"/>
  <c r="AE326" i="2" s="1"/>
  <c r="L255" i="2"/>
  <c r="L264" i="2" s="1"/>
  <c r="L266" i="2" s="1"/>
  <c r="L91" i="2"/>
  <c r="L99" i="2" s="1"/>
  <c r="L121" i="2" s="1"/>
  <c r="L93" i="2"/>
  <c r="L101" i="2" s="1"/>
  <c r="L123" i="2" s="1"/>
  <c r="L131" i="2" s="1"/>
  <c r="L89" i="2"/>
  <c r="L92" i="2" s="1"/>
  <c r="L100" i="2" s="1"/>
  <c r="L122" i="2" s="1"/>
  <c r="L130" i="2" s="1"/>
  <c r="R311" i="2"/>
  <c r="R320" i="2" s="1"/>
  <c r="R322" i="2" s="1"/>
  <c r="R326" i="2" s="1"/>
  <c r="R327" i="2" s="1"/>
  <c r="R334" i="2" s="1"/>
  <c r="O232" i="2"/>
  <c r="O241" i="2"/>
  <c r="AC306" i="2"/>
  <c r="AC325" i="2" s="1"/>
  <c r="AC327" i="2" s="1"/>
  <c r="AC334" i="2" s="1"/>
  <c r="AD295" i="2"/>
  <c r="AD304" i="2" s="1"/>
  <c r="AD306" i="2" s="1"/>
  <c r="AD325" i="2" s="1"/>
  <c r="AD327" i="2" s="1"/>
  <c r="AD334" i="2" s="1"/>
  <c r="I225" i="2"/>
  <c r="H222" i="2"/>
  <c r="H216" i="2"/>
  <c r="H223" i="2"/>
  <c r="H221" i="2"/>
  <c r="H219" i="2"/>
  <c r="H218" i="2"/>
  <c r="H220" i="2"/>
  <c r="O311" i="2"/>
  <c r="O320" i="2" s="1"/>
  <c r="O322" i="2" s="1"/>
  <c r="O326" i="2" s="1"/>
  <c r="W90" i="2"/>
  <c r="U232" i="2"/>
  <c r="U89" i="2"/>
  <c r="AF311" i="2"/>
  <c r="AF320" i="2" s="1"/>
  <c r="AF322" i="2" s="1"/>
  <c r="AF326" i="2" s="1"/>
  <c r="M255" i="2"/>
  <c r="M264" i="2" s="1"/>
  <c r="M266" i="2" s="1"/>
  <c r="M92" i="2"/>
  <c r="M100" i="2" s="1"/>
  <c r="M122" i="2" s="1"/>
  <c r="M130" i="2" s="1"/>
  <c r="M91" i="2"/>
  <c r="M99" i="2" s="1"/>
  <c r="M121" i="2" s="1"/>
  <c r="AD227" i="2"/>
  <c r="AD248" i="2" s="1"/>
  <c r="L295" i="2"/>
  <c r="L304" i="2" s="1"/>
  <c r="L306" i="2" s="1"/>
  <c r="L325" i="2" s="1"/>
  <c r="L327" i="2" s="1"/>
  <c r="L334" i="2" s="1"/>
  <c r="AC88" i="2"/>
  <c r="AC91" i="2" s="1"/>
  <c r="AC99" i="2" s="1"/>
  <c r="AC121" i="2" s="1"/>
  <c r="I78" i="2"/>
  <c r="AF91" i="2"/>
  <c r="AF99" i="2" s="1"/>
  <c r="AF121" i="2" s="1"/>
  <c r="AF255" i="2"/>
  <c r="AF264" i="2" s="1"/>
  <c r="AF266" i="2" s="1"/>
  <c r="AF92" i="2"/>
  <c r="AF100" i="2" s="1"/>
  <c r="AF122" i="2" s="1"/>
  <c r="AF130" i="2" s="1"/>
  <c r="AF93" i="2"/>
  <c r="AF101" i="2" s="1"/>
  <c r="AF123" i="2" s="1"/>
  <c r="AF131" i="2" s="1"/>
  <c r="I199" i="2"/>
  <c r="H193" i="2"/>
  <c r="N327" i="2"/>
  <c r="N334" i="2" s="1"/>
  <c r="I90" i="2"/>
  <c r="I295" i="2"/>
  <c r="H290" i="2"/>
  <c r="K232" i="2"/>
  <c r="X241" i="2"/>
  <c r="X232" i="2"/>
  <c r="H213" i="2"/>
  <c r="AE306" i="2"/>
  <c r="AE325" i="2" s="1"/>
  <c r="AE327" i="2" s="1"/>
  <c r="AE334" i="2" s="1"/>
  <c r="S344" i="2"/>
  <c r="T344" i="2"/>
  <c r="S90" i="2"/>
  <c r="S93" i="2" s="1"/>
  <c r="S101" i="2" s="1"/>
  <c r="S123" i="2" s="1"/>
  <c r="S131" i="2" s="1"/>
  <c r="O377" i="2"/>
  <c r="O472" i="2" s="1"/>
  <c r="R232" i="2"/>
  <c r="R241" i="2"/>
  <c r="O227" i="2"/>
  <c r="O248" i="2" s="1"/>
  <c r="J344" i="2"/>
  <c r="Z199" i="2"/>
  <c r="Z208" i="2" s="1"/>
  <c r="Z210" i="2" s="1"/>
  <c r="Z246" i="2" s="1"/>
  <c r="L90" i="2"/>
  <c r="AC199" i="2"/>
  <c r="AC208" i="2" s="1"/>
  <c r="AC210" i="2" s="1"/>
  <c r="AC246" i="2" s="1"/>
  <c r="O93" i="2"/>
  <c r="O101" i="2" s="1"/>
  <c r="O123" i="2" s="1"/>
  <c r="O131" i="2" s="1"/>
  <c r="O92" i="2"/>
  <c r="O100" i="2" s="1"/>
  <c r="O122" i="2" s="1"/>
  <c r="O130" i="2" s="1"/>
  <c r="O255" i="2"/>
  <c r="O264" i="2" s="1"/>
  <c r="O266" i="2" s="1"/>
  <c r="O91" i="2"/>
  <c r="O99" i="2" s="1"/>
  <c r="O121" i="2" s="1"/>
  <c r="AF199" i="2"/>
  <c r="AF208" i="2" s="1"/>
  <c r="AF210" i="2" s="1"/>
  <c r="AF246" i="2" s="1"/>
  <c r="AF241" i="2"/>
  <c r="AF232" i="2"/>
  <c r="N255" i="2"/>
  <c r="N264" i="2" s="1"/>
  <c r="N266" i="2" s="1"/>
  <c r="N92" i="2"/>
  <c r="N100" i="2" s="1"/>
  <c r="N122" i="2" s="1"/>
  <c r="N130" i="2" s="1"/>
  <c r="N93" i="2"/>
  <c r="N101" i="2" s="1"/>
  <c r="N123" i="2" s="1"/>
  <c r="N131" i="2" s="1"/>
  <c r="N91" i="2"/>
  <c r="N99" i="2" s="1"/>
  <c r="N121" i="2" s="1"/>
  <c r="M90" i="2"/>
  <c r="M93" i="2" s="1"/>
  <c r="M101" i="2" s="1"/>
  <c r="M123" i="2" s="1"/>
  <c r="M131" i="2" s="1"/>
  <c r="I89" i="2"/>
  <c r="H90" i="2" s="1"/>
  <c r="K88" i="2"/>
  <c r="X92" i="2"/>
  <c r="X100" i="2" s="1"/>
  <c r="X122" i="2" s="1"/>
  <c r="X130" i="2" s="1"/>
  <c r="X255" i="2"/>
  <c r="X264" i="2" s="1"/>
  <c r="X266" i="2" s="1"/>
  <c r="X93" i="2"/>
  <c r="X101" i="2" s="1"/>
  <c r="X123" i="2" s="1"/>
  <c r="X131" i="2" s="1"/>
  <c r="X91" i="2"/>
  <c r="X99" i="2" s="1"/>
  <c r="X121" i="2" s="1"/>
  <c r="O199" i="2"/>
  <c r="O208" i="2" s="1"/>
  <c r="O210" i="2" s="1"/>
  <c r="O246" i="2" s="1"/>
  <c r="AA89" i="2"/>
  <c r="I88" i="2"/>
  <c r="AF89" i="2"/>
  <c r="W227" i="2"/>
  <c r="W248" i="2" s="1"/>
  <c r="AE155" i="2" l="1"/>
  <c r="L153" i="2"/>
  <c r="AE160" i="2"/>
  <c r="AE162" i="2" s="1"/>
  <c r="AE180" i="2" s="1"/>
  <c r="AE349" i="2"/>
  <c r="AE144" i="2"/>
  <c r="AE146" i="2" s="1"/>
  <c r="AE148" i="2" s="1"/>
  <c r="AE178" i="2" s="1"/>
  <c r="AE437" i="2" s="1"/>
  <c r="AE129" i="2"/>
  <c r="AE136" i="2"/>
  <c r="AE139" i="2" s="1"/>
  <c r="AE141" i="2" s="1"/>
  <c r="AE177" i="2" s="1"/>
  <c r="AE350" i="2"/>
  <c r="R155" i="2"/>
  <c r="W129" i="2"/>
  <c r="W349" i="2"/>
  <c r="W136" i="2"/>
  <c r="W139" i="2" s="1"/>
  <c r="W141" i="2" s="1"/>
  <c r="W177" i="2" s="1"/>
  <c r="W350" i="2"/>
  <c r="W160" i="2"/>
  <c r="W162" i="2" s="1"/>
  <c r="W180" i="2" s="1"/>
  <c r="W144" i="2"/>
  <c r="W146" i="2" s="1"/>
  <c r="W148" i="2" s="1"/>
  <c r="W178" i="2" s="1"/>
  <c r="W437" i="2" s="1"/>
  <c r="Z155" i="2"/>
  <c r="AB153" i="2"/>
  <c r="AC349" i="2"/>
  <c r="AC136" i="2"/>
  <c r="AC139" i="2" s="1"/>
  <c r="AC141" i="2" s="1"/>
  <c r="AC177" i="2" s="1"/>
  <c r="AC160" i="2"/>
  <c r="AC162" i="2" s="1"/>
  <c r="AC180" i="2" s="1"/>
  <c r="AC350" i="2"/>
  <c r="AC129" i="2"/>
  <c r="AC144" i="2"/>
  <c r="AC146" i="2" s="1"/>
  <c r="AC148" i="2" s="1"/>
  <c r="AC178" i="2" s="1"/>
  <c r="AC437" i="2" s="1"/>
  <c r="AB350" i="2"/>
  <c r="AB349" i="2"/>
  <c r="AB136" i="2"/>
  <c r="AB139" i="2" s="1"/>
  <c r="AB141" i="2" s="1"/>
  <c r="AB177" i="2" s="1"/>
  <c r="AB160" i="2"/>
  <c r="AB162" i="2" s="1"/>
  <c r="AB180" i="2" s="1"/>
  <c r="AB144" i="2"/>
  <c r="AB146" i="2" s="1"/>
  <c r="AB148" i="2" s="1"/>
  <c r="AB178" i="2" s="1"/>
  <c r="AB437" i="2" s="1"/>
  <c r="AB129" i="2"/>
  <c r="S155" i="2"/>
  <c r="M155" i="2"/>
  <c r="M173" i="2"/>
  <c r="M443" i="2" s="1"/>
  <c r="J172" i="2"/>
  <c r="J442" i="2" s="1"/>
  <c r="J444" i="2" s="1"/>
  <c r="J449" i="2" s="1"/>
  <c r="J153" i="2"/>
  <c r="AE153" i="2"/>
  <c r="Y155" i="2"/>
  <c r="AD153" i="2"/>
  <c r="S335" i="2"/>
  <c r="Q470" i="2"/>
  <c r="Q390" i="2"/>
  <c r="Q463" i="2"/>
  <c r="Q397" i="2"/>
  <c r="L168" i="2"/>
  <c r="L172" i="2" s="1"/>
  <c r="L442" i="2" s="1"/>
  <c r="L444" i="2" s="1"/>
  <c r="L449" i="2" s="1"/>
  <c r="M361" i="1"/>
  <c r="M129" i="2"/>
  <c r="M160" i="2"/>
  <c r="M162" i="2" s="1"/>
  <c r="M180" i="2" s="1"/>
  <c r="M350" i="2"/>
  <c r="M136" i="2"/>
  <c r="M139" i="2" s="1"/>
  <c r="M141" i="2" s="1"/>
  <c r="M177" i="2" s="1"/>
  <c r="M144" i="2"/>
  <c r="M146" i="2" s="1"/>
  <c r="M148" i="2" s="1"/>
  <c r="M178" i="2" s="1"/>
  <c r="M437" i="2" s="1"/>
  <c r="Q350" i="2"/>
  <c r="Q349" i="2"/>
  <c r="Q136" i="2"/>
  <c r="Q139" i="2" s="1"/>
  <c r="Q141" i="2" s="1"/>
  <c r="Q177" i="2" s="1"/>
  <c r="Q160" i="2"/>
  <c r="Q162" i="2" s="1"/>
  <c r="Q180" i="2" s="1"/>
  <c r="Q144" i="2"/>
  <c r="Q146" i="2" s="1"/>
  <c r="Q148" i="2" s="1"/>
  <c r="Q178" i="2" s="1"/>
  <c r="Q437" i="2" s="1"/>
  <c r="Q129" i="2"/>
  <c r="N333" i="2"/>
  <c r="N335" i="2" s="1"/>
  <c r="N283" i="2"/>
  <c r="N285" i="2" s="1"/>
  <c r="M153" i="2"/>
  <c r="L173" i="2"/>
  <c r="L443" i="2" s="1"/>
  <c r="L155" i="2"/>
  <c r="I99" i="2"/>
  <c r="T283" i="2"/>
  <c r="T285" i="2" s="1"/>
  <c r="T333" i="2"/>
  <c r="Z333" i="2"/>
  <c r="Z283" i="2"/>
  <c r="Z285" i="2" s="1"/>
  <c r="V155" i="2"/>
  <c r="R250" i="2"/>
  <c r="R332" i="2" s="1"/>
  <c r="R335" i="2" s="1"/>
  <c r="X243" i="2"/>
  <c r="X249" i="2" s="1"/>
  <c r="X250" i="2" s="1"/>
  <c r="X332" i="2" s="1"/>
  <c r="X335" i="2" s="1"/>
  <c r="X278" i="2"/>
  <c r="X280" i="2" s="1"/>
  <c r="X284" i="2" s="1"/>
  <c r="L349" i="2"/>
  <c r="L144" i="2"/>
  <c r="L146" i="2" s="1"/>
  <c r="L148" i="2" s="1"/>
  <c r="L178" i="2" s="1"/>
  <c r="L437" i="2" s="1"/>
  <c r="L129" i="2"/>
  <c r="L160" i="2"/>
  <c r="L162" i="2" s="1"/>
  <c r="L180" i="2" s="1"/>
  <c r="L136" i="2"/>
  <c r="L139" i="2" s="1"/>
  <c r="L141" i="2" s="1"/>
  <c r="L177" i="2" s="1"/>
  <c r="L350" i="2"/>
  <c r="J278" i="2"/>
  <c r="J280" i="2" s="1"/>
  <c r="J284" i="2" s="1"/>
  <c r="J243" i="2"/>
  <c r="J249" i="2" s="1"/>
  <c r="J250" i="2" s="1"/>
  <c r="J332" i="2" s="1"/>
  <c r="J335" i="2" s="1"/>
  <c r="V283" i="2"/>
  <c r="V285" i="2" s="1"/>
  <c r="V333" i="2"/>
  <c r="N343" i="2"/>
  <c r="N345" i="2" s="1"/>
  <c r="Q155" i="2"/>
  <c r="AF278" i="2"/>
  <c r="AF280" i="2" s="1"/>
  <c r="AF284" i="2" s="1"/>
  <c r="AF243" i="2"/>
  <c r="AF249" i="2" s="1"/>
  <c r="M283" i="2"/>
  <c r="M285" i="2" s="1"/>
  <c r="M333" i="2"/>
  <c r="I77" i="2"/>
  <c r="I81" i="2" s="1"/>
  <c r="J69" i="2" s="1"/>
  <c r="J327" i="2"/>
  <c r="J334" i="2" s="1"/>
  <c r="R349" i="2"/>
  <c r="R350" i="2"/>
  <c r="R136" i="2"/>
  <c r="R139" i="2" s="1"/>
  <c r="R141" i="2" s="1"/>
  <c r="R177" i="2" s="1"/>
  <c r="R144" i="2"/>
  <c r="R146" i="2" s="1"/>
  <c r="R148" i="2" s="1"/>
  <c r="R178" i="2" s="1"/>
  <c r="R437" i="2" s="1"/>
  <c r="R160" i="2"/>
  <c r="R162" i="2" s="1"/>
  <c r="R180" i="2" s="1"/>
  <c r="R129" i="2"/>
  <c r="V350" i="2"/>
  <c r="V144" i="2"/>
  <c r="V146" i="2" s="1"/>
  <c r="V148" i="2" s="1"/>
  <c r="V178" i="2" s="1"/>
  <c r="V437" i="2" s="1"/>
  <c r="V160" i="2"/>
  <c r="V162" i="2" s="1"/>
  <c r="V180" i="2" s="1"/>
  <c r="V136" i="2"/>
  <c r="V139" i="2" s="1"/>
  <c r="V141" i="2" s="1"/>
  <c r="V177" i="2" s="1"/>
  <c r="V349" i="2"/>
  <c r="V129" i="2"/>
  <c r="Y278" i="2"/>
  <c r="Y280" i="2" s="1"/>
  <c r="Y284" i="2" s="1"/>
  <c r="Y243" i="2"/>
  <c r="Y249" i="2" s="1"/>
  <c r="Y250" i="2" s="1"/>
  <c r="Y332" i="2" s="1"/>
  <c r="O343" i="2"/>
  <c r="O345" i="2" s="1"/>
  <c r="Q333" i="2"/>
  <c r="Q283" i="2"/>
  <c r="Q285" i="2" s="1"/>
  <c r="H232" i="2"/>
  <c r="AF250" i="2"/>
  <c r="AF332" i="2" s="1"/>
  <c r="AF335" i="2" s="1"/>
  <c r="L333" i="2"/>
  <c r="L283" i="2"/>
  <c r="L285" i="2" s="1"/>
  <c r="Q327" i="2"/>
  <c r="Q334" i="2" s="1"/>
  <c r="R153" i="2"/>
  <c r="AF343" i="2"/>
  <c r="AF345" i="2" s="1"/>
  <c r="AE343" i="2"/>
  <c r="AE345" i="2" s="1"/>
  <c r="O350" i="2"/>
  <c r="O349" i="2"/>
  <c r="O160" i="2"/>
  <c r="O162" i="2" s="1"/>
  <c r="O180" i="2" s="1"/>
  <c r="O144" i="2"/>
  <c r="O146" i="2" s="1"/>
  <c r="O148" i="2" s="1"/>
  <c r="O178" i="2" s="1"/>
  <c r="O437" i="2" s="1"/>
  <c r="O136" i="2"/>
  <c r="O139" i="2" s="1"/>
  <c r="O141" i="2" s="1"/>
  <c r="O177" i="2" s="1"/>
  <c r="O129" i="2"/>
  <c r="W343" i="2"/>
  <c r="W345" i="2" s="1"/>
  <c r="K343" i="2"/>
  <c r="K345" i="2" s="1"/>
  <c r="Q278" i="2"/>
  <c r="Q280" i="2" s="1"/>
  <c r="Q284" i="2" s="1"/>
  <c r="Q243" i="2"/>
  <c r="Q249" i="2" s="1"/>
  <c r="Q250" i="2" s="1"/>
  <c r="Q332" i="2" s="1"/>
  <c r="I463" i="2"/>
  <c r="I470" i="2"/>
  <c r="I390" i="2"/>
  <c r="I397" i="2"/>
  <c r="I424" i="2"/>
  <c r="H89" i="2"/>
  <c r="Y160" i="2"/>
  <c r="Y162" i="2" s="1"/>
  <c r="Y180" i="2" s="1"/>
  <c r="Y136" i="2"/>
  <c r="Y139" i="2" s="1"/>
  <c r="Y141" i="2" s="1"/>
  <c r="Y177" i="2" s="1"/>
  <c r="Y350" i="2"/>
  <c r="Y144" i="2"/>
  <c r="Y146" i="2" s="1"/>
  <c r="Y148" i="2" s="1"/>
  <c r="Y178" i="2" s="1"/>
  <c r="Y437" i="2" s="1"/>
  <c r="Y349" i="2"/>
  <c r="Y129" i="2"/>
  <c r="AB283" i="2"/>
  <c r="AB333" i="2"/>
  <c r="AD349" i="2"/>
  <c r="AD350" i="2"/>
  <c r="AD160" i="2"/>
  <c r="AD162" i="2" s="1"/>
  <c r="AD180" i="2" s="1"/>
  <c r="AD144" i="2"/>
  <c r="AD146" i="2" s="1"/>
  <c r="AD148" i="2" s="1"/>
  <c r="AD178" i="2" s="1"/>
  <c r="AD437" i="2" s="1"/>
  <c r="AD136" i="2"/>
  <c r="AD139" i="2" s="1"/>
  <c r="AD141" i="2" s="1"/>
  <c r="AD177" i="2" s="1"/>
  <c r="AD129" i="2"/>
  <c r="AC333" i="2"/>
  <c r="AC283" i="2"/>
  <c r="P343" i="2"/>
  <c r="P345" i="2" s="1"/>
  <c r="S91" i="2"/>
  <c r="S99" i="2" s="1"/>
  <c r="S121" i="2" s="1"/>
  <c r="I79" i="2"/>
  <c r="J67" i="2" s="1"/>
  <c r="H97" i="2"/>
  <c r="I101" i="2"/>
  <c r="H93" i="2"/>
  <c r="K349" i="2"/>
  <c r="K350" i="2"/>
  <c r="K136" i="2"/>
  <c r="K139" i="2" s="1"/>
  <c r="K141" i="2" s="1"/>
  <c r="K177" i="2" s="1"/>
  <c r="K144" i="2"/>
  <c r="K146" i="2" s="1"/>
  <c r="K148" i="2" s="1"/>
  <c r="K178" i="2" s="1"/>
  <c r="K437" i="2" s="1"/>
  <c r="K160" i="2"/>
  <c r="K162" i="2" s="1"/>
  <c r="K180" i="2" s="1"/>
  <c r="K129" i="2"/>
  <c r="I92" i="2"/>
  <c r="M243" i="2"/>
  <c r="M249" i="2" s="1"/>
  <c r="M250" i="2" s="1"/>
  <c r="M332" i="2" s="1"/>
  <c r="M335" i="2" s="1"/>
  <c r="M278" i="2"/>
  <c r="M280" i="2" s="1"/>
  <c r="M284" i="2" s="1"/>
  <c r="P350" i="2"/>
  <c r="P129" i="2"/>
  <c r="P136" i="2"/>
  <c r="P139" i="2" s="1"/>
  <c r="P141" i="2" s="1"/>
  <c r="P177" i="2" s="1"/>
  <c r="P144" i="2"/>
  <c r="P146" i="2" s="1"/>
  <c r="P148" i="2" s="1"/>
  <c r="P178" i="2" s="1"/>
  <c r="P437" i="2" s="1"/>
  <c r="P160" i="2"/>
  <c r="P162" i="2" s="1"/>
  <c r="P180" i="2" s="1"/>
  <c r="K172" i="2"/>
  <c r="K442" i="2" s="1"/>
  <c r="K153" i="2"/>
  <c r="P278" i="2"/>
  <c r="P280" i="2" s="1"/>
  <c r="P284" i="2" s="1"/>
  <c r="P243" i="2"/>
  <c r="P249" i="2" s="1"/>
  <c r="P250" i="2" s="1"/>
  <c r="P332" i="2" s="1"/>
  <c r="P335" i="2" s="1"/>
  <c r="K173" i="2"/>
  <c r="K443" i="2" s="1"/>
  <c r="K155" i="2"/>
  <c r="Z153" i="2"/>
  <c r="N153" i="2"/>
  <c r="Z350" i="2"/>
  <c r="Z349" i="2"/>
  <c r="Z160" i="2"/>
  <c r="Z162" i="2" s="1"/>
  <c r="Z180" i="2" s="1"/>
  <c r="Z144" i="2"/>
  <c r="Z146" i="2" s="1"/>
  <c r="Z148" i="2" s="1"/>
  <c r="Z178" i="2" s="1"/>
  <c r="Z437" i="2" s="1"/>
  <c r="Z136" i="2"/>
  <c r="Z139" i="2" s="1"/>
  <c r="Z141" i="2" s="1"/>
  <c r="Z177" i="2" s="1"/>
  <c r="Z129" i="2"/>
  <c r="AA278" i="2"/>
  <c r="AA280" i="2" s="1"/>
  <c r="AA284" i="2" s="1"/>
  <c r="AA243" i="2"/>
  <c r="AA249" i="2" s="1"/>
  <c r="AA250" i="2" s="1"/>
  <c r="AA332" i="2" s="1"/>
  <c r="I278" i="2"/>
  <c r="I243" i="2"/>
  <c r="H241" i="2"/>
  <c r="H242" i="2"/>
  <c r="O333" i="2"/>
  <c r="O283" i="2"/>
  <c r="O285" i="2" s="1"/>
  <c r="AA463" i="2"/>
  <c r="AA390" i="2"/>
  <c r="AA470" i="2"/>
  <c r="AA397" i="2"/>
  <c r="I82" i="2"/>
  <c r="J70" i="2" s="1"/>
  <c r="O155" i="2"/>
  <c r="AB155" i="2"/>
  <c r="L397" i="2"/>
  <c r="L463" i="2"/>
  <c r="L390" i="2"/>
  <c r="L470" i="2"/>
  <c r="AE283" i="2"/>
  <c r="AE333" i="2"/>
  <c r="S345" i="2"/>
  <c r="S333" i="2"/>
  <c r="S283" i="2"/>
  <c r="S285" i="2" s="1"/>
  <c r="H237" i="2"/>
  <c r="H236" i="2"/>
  <c r="H231" i="2"/>
  <c r="H238" i="2"/>
  <c r="H234" i="2"/>
  <c r="H239" i="2"/>
  <c r="H235" i="2"/>
  <c r="Y333" i="2"/>
  <c r="Y283" i="2"/>
  <c r="Y285" i="2" s="1"/>
  <c r="Z243" i="2"/>
  <c r="Z249" i="2" s="1"/>
  <c r="Z250" i="2" s="1"/>
  <c r="Z332" i="2" s="1"/>
  <c r="Z335" i="2" s="1"/>
  <c r="Z278" i="2"/>
  <c r="Z280" i="2" s="1"/>
  <c r="Z284" i="2" s="1"/>
  <c r="J173" i="2"/>
  <c r="J443" i="2" s="1"/>
  <c r="J155" i="2"/>
  <c r="AD155" i="2"/>
  <c r="AC155" i="2"/>
  <c r="R343" i="2"/>
  <c r="R345" i="2" s="1"/>
  <c r="I116" i="2"/>
  <c r="H116" i="2" s="1"/>
  <c r="H108" i="2"/>
  <c r="H112" i="2"/>
  <c r="AA350" i="2"/>
  <c r="AA129" i="2"/>
  <c r="AA144" i="2"/>
  <c r="AA146" i="2" s="1"/>
  <c r="AA148" i="2" s="1"/>
  <c r="AA178" i="2" s="1"/>
  <c r="AA437" i="2" s="1"/>
  <c r="AA160" i="2"/>
  <c r="AA162" i="2" s="1"/>
  <c r="AA180" i="2" s="1"/>
  <c r="AA136" i="2"/>
  <c r="AA139" i="2" s="1"/>
  <c r="AA141" i="2" s="1"/>
  <c r="AA177" i="2" s="1"/>
  <c r="AA349" i="2"/>
  <c r="H276" i="2"/>
  <c r="H272" i="2"/>
  <c r="H273" i="2"/>
  <c r="H274" i="2"/>
  <c r="H269" i="2"/>
  <c r="H275" i="2"/>
  <c r="H271" i="2"/>
  <c r="O278" i="2"/>
  <c r="O280" i="2" s="1"/>
  <c r="O284" i="2" s="1"/>
  <c r="O243" i="2"/>
  <c r="O249" i="2" s="1"/>
  <c r="O250" i="2" s="1"/>
  <c r="O332" i="2" s="1"/>
  <c r="O335" i="2" s="1"/>
  <c r="M169" i="2"/>
  <c r="N362" i="1"/>
  <c r="N136" i="2"/>
  <c r="N139" i="2" s="1"/>
  <c r="N141" i="2" s="1"/>
  <c r="N177" i="2" s="1"/>
  <c r="N129" i="2"/>
  <c r="N144" i="2"/>
  <c r="N146" i="2" s="1"/>
  <c r="N148" i="2" s="1"/>
  <c r="N178" i="2" s="1"/>
  <c r="N437" i="2" s="1"/>
  <c r="N350" i="2"/>
  <c r="N160" i="2"/>
  <c r="N162" i="2" s="1"/>
  <c r="N180" i="2" s="1"/>
  <c r="N349" i="2"/>
  <c r="H259" i="2"/>
  <c r="H257" i="2"/>
  <c r="H260" i="2"/>
  <c r="H258" i="2"/>
  <c r="H262" i="2"/>
  <c r="H255" i="2"/>
  <c r="I264" i="2"/>
  <c r="H261" i="2"/>
  <c r="T350" i="2"/>
  <c r="T160" i="2"/>
  <c r="T162" i="2" s="1"/>
  <c r="T180" i="2" s="1"/>
  <c r="T144" i="2"/>
  <c r="T146" i="2" s="1"/>
  <c r="T148" i="2" s="1"/>
  <c r="T178" i="2" s="1"/>
  <c r="T437" i="2" s="1"/>
  <c r="T129" i="2"/>
  <c r="T349" i="2"/>
  <c r="T136" i="2"/>
  <c r="T139" i="2" s="1"/>
  <c r="T141" i="2" s="1"/>
  <c r="T177" i="2" s="1"/>
  <c r="P155" i="2"/>
  <c r="N155" i="2"/>
  <c r="T153" i="2"/>
  <c r="P333" i="2"/>
  <c r="P283" i="2"/>
  <c r="T155" i="2"/>
  <c r="V153" i="2"/>
  <c r="J343" i="2"/>
  <c r="J345" i="2" s="1"/>
  <c r="P153" i="2"/>
  <c r="Q153" i="2"/>
  <c r="I304" i="2"/>
  <c r="H301" i="2"/>
  <c r="H300" i="2"/>
  <c r="H298" i="2"/>
  <c r="H302" i="2"/>
  <c r="H299" i="2"/>
  <c r="H297" i="2"/>
  <c r="H295" i="2"/>
  <c r="R333" i="2"/>
  <c r="R283" i="2"/>
  <c r="R285" i="2" s="1"/>
  <c r="Y343" i="2"/>
  <c r="Y345" i="2" s="1"/>
  <c r="AC243" i="2"/>
  <c r="AC249" i="2" s="1"/>
  <c r="AC278" i="2"/>
  <c r="AC280" i="2" s="1"/>
  <c r="AC284" i="2" s="1"/>
  <c r="O153" i="2"/>
  <c r="AD243" i="2"/>
  <c r="AD249" i="2" s="1"/>
  <c r="AD250" i="2" s="1"/>
  <c r="AD332" i="2" s="1"/>
  <c r="AD335" i="2" s="1"/>
  <c r="AD278" i="2"/>
  <c r="AD280" i="2" s="1"/>
  <c r="AD284" i="2" s="1"/>
  <c r="Y327" i="2"/>
  <c r="Y334" i="2" s="1"/>
  <c r="S153" i="2"/>
  <c r="AC250" i="2"/>
  <c r="AC332" i="2" s="1"/>
  <c r="AC335" i="2" s="1"/>
  <c r="Y153" i="2"/>
  <c r="H202" i="2"/>
  <c r="H205" i="2"/>
  <c r="I208" i="2"/>
  <c r="H201" i="2"/>
  <c r="H199" i="2"/>
  <c r="H204" i="2"/>
  <c r="H206" i="2"/>
  <c r="H203" i="2"/>
  <c r="AD283" i="2"/>
  <c r="AD333" i="2"/>
  <c r="Z343" i="2"/>
  <c r="Z345" i="2" s="1"/>
  <c r="I311" i="2"/>
  <c r="U390" i="2"/>
  <c r="U397" i="2"/>
  <c r="U470" i="2"/>
  <c r="U463" i="2"/>
  <c r="X397" i="2"/>
  <c r="X390" i="2"/>
  <c r="X463" i="2"/>
  <c r="X470" i="2"/>
  <c r="AD463" i="2"/>
  <c r="AD397" i="2"/>
  <c r="AD390" i="2"/>
  <c r="AD470" i="2"/>
  <c r="K333" i="2"/>
  <c r="K335" i="2" s="1"/>
  <c r="K283" i="2"/>
  <c r="K285" i="2" s="1"/>
  <c r="X350" i="2"/>
  <c r="X160" i="2"/>
  <c r="X162" i="2" s="1"/>
  <c r="X180" i="2" s="1"/>
  <c r="X136" i="2"/>
  <c r="X139" i="2" s="1"/>
  <c r="X141" i="2" s="1"/>
  <c r="X177" i="2" s="1"/>
  <c r="X349" i="2"/>
  <c r="X144" i="2"/>
  <c r="X146" i="2" s="1"/>
  <c r="X148" i="2" s="1"/>
  <c r="X178" i="2" s="1"/>
  <c r="X437" i="2" s="1"/>
  <c r="X129" i="2"/>
  <c r="AF155" i="2"/>
  <c r="AE243" i="2"/>
  <c r="AE249" i="2" s="1"/>
  <c r="AE250" i="2" s="1"/>
  <c r="AE332" i="2" s="1"/>
  <c r="AE335" i="2" s="1"/>
  <c r="AE278" i="2"/>
  <c r="AE280" i="2" s="1"/>
  <c r="AE284" i="2" s="1"/>
  <c r="J333" i="2"/>
  <c r="J283" i="2"/>
  <c r="J285" i="2" s="1"/>
  <c r="AC153" i="2"/>
  <c r="AB470" i="2"/>
  <c r="AB463" i="2"/>
  <c r="AB390" i="2"/>
  <c r="AB397" i="2"/>
  <c r="W155" i="2"/>
  <c r="X155" i="2"/>
  <c r="R243" i="2"/>
  <c r="R249" i="2" s="1"/>
  <c r="R278" i="2"/>
  <c r="R280" i="2" s="1"/>
  <c r="R284" i="2" s="1"/>
  <c r="AF153" i="2"/>
  <c r="U153" i="2"/>
  <c r="J349" i="2"/>
  <c r="J350" i="2"/>
  <c r="J136" i="2"/>
  <c r="J139" i="2" s="1"/>
  <c r="J141" i="2" s="1"/>
  <c r="J177" i="2" s="1"/>
  <c r="J144" i="2"/>
  <c r="J146" i="2" s="1"/>
  <c r="J148" i="2" s="1"/>
  <c r="J178" i="2" s="1"/>
  <c r="J437" i="2" s="1"/>
  <c r="J129" i="2"/>
  <c r="J160" i="2"/>
  <c r="J162" i="2" s="1"/>
  <c r="J180" i="2" s="1"/>
  <c r="T335" i="2"/>
  <c r="M390" i="2"/>
  <c r="M470" i="2"/>
  <c r="M463" i="2"/>
  <c r="M397" i="2"/>
  <c r="W153" i="2"/>
  <c r="X333" i="2"/>
  <c r="X283" i="2"/>
  <c r="AF283" i="2"/>
  <c r="AF333" i="2"/>
  <c r="U350" i="2"/>
  <c r="U349" i="2"/>
  <c r="U129" i="2"/>
  <c r="U144" i="2"/>
  <c r="U146" i="2" s="1"/>
  <c r="U148" i="2" s="1"/>
  <c r="U178" i="2" s="1"/>
  <c r="U437" i="2" s="1"/>
  <c r="U136" i="2"/>
  <c r="U139" i="2" s="1"/>
  <c r="U141" i="2" s="1"/>
  <c r="U177" i="2" s="1"/>
  <c r="U160" i="2"/>
  <c r="U162" i="2" s="1"/>
  <c r="U180" i="2" s="1"/>
  <c r="AA153" i="2"/>
  <c r="T345" i="2"/>
  <c r="W283" i="2"/>
  <c r="W285" i="2" s="1"/>
  <c r="W333" i="2"/>
  <c r="W335" i="2" s="1"/>
  <c r="X153" i="2"/>
  <c r="AF349" i="2"/>
  <c r="AF350" i="2"/>
  <c r="AF160" i="2"/>
  <c r="AF162" i="2" s="1"/>
  <c r="AF180" i="2" s="1"/>
  <c r="AF136" i="2"/>
  <c r="AF139" i="2" s="1"/>
  <c r="AF141" i="2" s="1"/>
  <c r="AF177" i="2" s="1"/>
  <c r="AF144" i="2"/>
  <c r="AF146" i="2" s="1"/>
  <c r="AF148" i="2" s="1"/>
  <c r="AF178" i="2" s="1"/>
  <c r="AF437" i="2" s="1"/>
  <c r="AF129" i="2"/>
  <c r="H226" i="2"/>
  <c r="H225" i="2"/>
  <c r="I227" i="2"/>
  <c r="U283" i="2"/>
  <c r="U285" i="2" s="1"/>
  <c r="U333" i="2"/>
  <c r="U335" i="2" s="1"/>
  <c r="V250" i="2"/>
  <c r="V332" i="2" s="1"/>
  <c r="V335" i="2" s="1"/>
  <c r="H374" i="2"/>
  <c r="I377" i="2"/>
  <c r="AA155" i="2"/>
  <c r="V343" i="2"/>
  <c r="V345" i="2" s="1"/>
  <c r="AB278" i="2"/>
  <c r="AB280" i="2" s="1"/>
  <c r="AB284" i="2" s="1"/>
  <c r="AB243" i="2"/>
  <c r="AB249" i="2" s="1"/>
  <c r="AB250" i="2" s="1"/>
  <c r="AB332" i="2" s="1"/>
  <c r="AB335" i="2" s="1"/>
  <c r="H109" i="2"/>
  <c r="H113" i="2"/>
  <c r="I117" i="2"/>
  <c r="H117" i="2" s="1"/>
  <c r="I76" i="2"/>
  <c r="I80" i="2" s="1"/>
  <c r="J68" i="2" s="1"/>
  <c r="U155" i="2"/>
  <c r="L278" i="2"/>
  <c r="L280" i="2" s="1"/>
  <c r="L284" i="2" s="1"/>
  <c r="L243" i="2"/>
  <c r="L249" i="2" s="1"/>
  <c r="L250" i="2" s="1"/>
  <c r="L332" i="2" s="1"/>
  <c r="AA283" i="2"/>
  <c r="AA285" i="2" s="1"/>
  <c r="AA333" i="2"/>
  <c r="AC343" i="2"/>
  <c r="AC345" i="2" s="1"/>
  <c r="H110" i="2"/>
  <c r="H114" i="2"/>
  <c r="I118" i="2"/>
  <c r="H118" i="2" s="1"/>
  <c r="O461" i="2" l="1"/>
  <c r="O395" i="2"/>
  <c r="O431" i="2"/>
  <c r="O388" i="2"/>
  <c r="AE431" i="2"/>
  <c r="AE461" i="2"/>
  <c r="AE388" i="2"/>
  <c r="AE395" i="2"/>
  <c r="Z461" i="2"/>
  <c r="Z388" i="2"/>
  <c r="Z395" i="2"/>
  <c r="Z431" i="2"/>
  <c r="P395" i="2"/>
  <c r="P431" i="2"/>
  <c r="P461" i="2"/>
  <c r="P388" i="2"/>
  <c r="U395" i="2"/>
  <c r="U461" i="2"/>
  <c r="U431" i="2"/>
  <c r="U388" i="2"/>
  <c r="W388" i="2"/>
  <c r="W461" i="2"/>
  <c r="W395" i="2"/>
  <c r="W431" i="2"/>
  <c r="AB395" i="2"/>
  <c r="AB388" i="2"/>
  <c r="AB431" i="2"/>
  <c r="AB461" i="2"/>
  <c r="AD431" i="2"/>
  <c r="AD395" i="2"/>
  <c r="AD388" i="2"/>
  <c r="AD461" i="2"/>
  <c r="J461" i="2"/>
  <c r="J395" i="2"/>
  <c r="J388" i="2"/>
  <c r="J431" i="2"/>
  <c r="N395" i="2"/>
  <c r="N461" i="2"/>
  <c r="N431" i="2"/>
  <c r="N388" i="2"/>
  <c r="K431" i="2"/>
  <c r="K388" i="2"/>
  <c r="K461" i="2"/>
  <c r="K395" i="2"/>
  <c r="M388" i="2"/>
  <c r="M461" i="2"/>
  <c r="M431" i="2"/>
  <c r="M395" i="2"/>
  <c r="AE463" i="2"/>
  <c r="AE470" i="2"/>
  <c r="AE397" i="2"/>
  <c r="AE390" i="2"/>
  <c r="N432" i="2"/>
  <c r="P453" i="2"/>
  <c r="P171" i="2"/>
  <c r="P151" i="2"/>
  <c r="P157" i="2" s="1"/>
  <c r="P179" i="2" s="1"/>
  <c r="P438" i="2" s="1"/>
  <c r="Y335" i="2"/>
  <c r="N390" i="2"/>
  <c r="N470" i="2"/>
  <c r="N397" i="2"/>
  <c r="N463" i="2"/>
  <c r="I121" i="2"/>
  <c r="H99" i="2"/>
  <c r="AC439" i="2"/>
  <c r="AC448" i="2" s="1"/>
  <c r="AE439" i="2"/>
  <c r="AE448" i="2" s="1"/>
  <c r="Y453" i="2"/>
  <c r="Y151" i="2"/>
  <c r="Y157" i="2" s="1"/>
  <c r="Y179" i="2" s="1"/>
  <c r="Y438" i="2" s="1"/>
  <c r="Y171" i="2"/>
  <c r="K432" i="2"/>
  <c r="T431" i="2"/>
  <c r="T395" i="2"/>
  <c r="T388" i="2"/>
  <c r="T461" i="2"/>
  <c r="AF397" i="2"/>
  <c r="AF470" i="2"/>
  <c r="AF463" i="2"/>
  <c r="AF390" i="2"/>
  <c r="J453" i="2"/>
  <c r="J171" i="2"/>
  <c r="J151" i="2"/>
  <c r="J157" i="2" s="1"/>
  <c r="J179" i="2" s="1"/>
  <c r="J438" i="2" s="1"/>
  <c r="J439" i="2" s="1"/>
  <c r="J448" i="2" s="1"/>
  <c r="M439" i="2"/>
  <c r="M448" i="2" s="1"/>
  <c r="V390" i="2"/>
  <c r="V470" i="2"/>
  <c r="V463" i="2"/>
  <c r="V397" i="2"/>
  <c r="H101" i="2"/>
  <c r="I123" i="2"/>
  <c r="J432" i="2"/>
  <c r="J75" i="2"/>
  <c r="J423" i="2" s="1"/>
  <c r="J424" i="2" s="1"/>
  <c r="J80" i="2"/>
  <c r="K68" i="2" s="1"/>
  <c r="J77" i="2"/>
  <c r="J81" i="2"/>
  <c r="K69" i="2" s="1"/>
  <c r="J76" i="2"/>
  <c r="AB171" i="2"/>
  <c r="AB453" i="2"/>
  <c r="AB151" i="2"/>
  <c r="AB157" i="2" s="1"/>
  <c r="AB179" i="2" s="1"/>
  <c r="AB438" i="2" s="1"/>
  <c r="I472" i="2"/>
  <c r="H472" i="2" s="1"/>
  <c r="I348" i="2"/>
  <c r="H377" i="2"/>
  <c r="H390" i="2"/>
  <c r="AB439" i="2"/>
  <c r="AB448" i="2" s="1"/>
  <c r="P463" i="2"/>
  <c r="P397" i="2"/>
  <c r="P390" i="2"/>
  <c r="P470" i="2"/>
  <c r="AD285" i="2"/>
  <c r="AB432" i="2"/>
  <c r="P439" i="2"/>
  <c r="P448" i="2" s="1"/>
  <c r="AE432" i="2"/>
  <c r="AE181" i="2"/>
  <c r="AE185" i="2" s="1"/>
  <c r="X432" i="2"/>
  <c r="N453" i="2"/>
  <c r="N151" i="2"/>
  <c r="N157" i="2" s="1"/>
  <c r="N179" i="2" s="1"/>
  <c r="N438" i="2" s="1"/>
  <c r="N439" i="2" s="1"/>
  <c r="N448" i="2" s="1"/>
  <c r="N171" i="2"/>
  <c r="H243" i="2"/>
  <c r="I249" i="2"/>
  <c r="H249" i="2" s="1"/>
  <c r="H91" i="2"/>
  <c r="AE453" i="2"/>
  <c r="AE151" i="2"/>
  <c r="AE157" i="2" s="1"/>
  <c r="AE179" i="2" s="1"/>
  <c r="AE438" i="2" s="1"/>
  <c r="AE171" i="2"/>
  <c r="AD432" i="2"/>
  <c r="AD181" i="2"/>
  <c r="AD185" i="2" s="1"/>
  <c r="H227" i="2"/>
  <c r="I248" i="2"/>
  <c r="H248" i="2" s="1"/>
  <c r="N169" i="2"/>
  <c r="N173" i="2" s="1"/>
  <c r="N443" i="2" s="1"/>
  <c r="O362" i="1"/>
  <c r="AA335" i="2"/>
  <c r="K463" i="2"/>
  <c r="K390" i="2"/>
  <c r="K397" i="2"/>
  <c r="K470" i="2"/>
  <c r="AC151" i="2"/>
  <c r="AC157" i="2" s="1"/>
  <c r="AC179" i="2" s="1"/>
  <c r="AC438" i="2" s="1"/>
  <c r="AC171" i="2"/>
  <c r="AC453" i="2"/>
  <c r="R453" i="2"/>
  <c r="R151" i="2"/>
  <c r="R157" i="2" s="1"/>
  <c r="R179" i="2" s="1"/>
  <c r="R438" i="2" s="1"/>
  <c r="R439" i="2" s="1"/>
  <c r="R448" i="2" s="1"/>
  <c r="R171" i="2"/>
  <c r="L439" i="2"/>
  <c r="L448" i="2" s="1"/>
  <c r="Y439" i="2"/>
  <c r="Y448" i="2" s="1"/>
  <c r="Q432" i="2"/>
  <c r="W439" i="2"/>
  <c r="W448" i="2" s="1"/>
  <c r="Y432" i="2"/>
  <c r="Y181" i="2"/>
  <c r="Y185" i="2" s="1"/>
  <c r="W432" i="2"/>
  <c r="AA453" i="2"/>
  <c r="AA151" i="2"/>
  <c r="AA157" i="2" s="1"/>
  <c r="AA179" i="2" s="1"/>
  <c r="AA438" i="2" s="1"/>
  <c r="AA171" i="2"/>
  <c r="W453" i="2"/>
  <c r="W171" i="2"/>
  <c r="W151" i="2"/>
  <c r="W157" i="2" s="1"/>
  <c r="W179" i="2" s="1"/>
  <c r="W438" i="2" s="1"/>
  <c r="Z390" i="2"/>
  <c r="Z397" i="2"/>
  <c r="Z463" i="2"/>
  <c r="Z470" i="2"/>
  <c r="P285" i="2"/>
  <c r="S349" i="2"/>
  <c r="S350" i="2"/>
  <c r="S144" i="2"/>
  <c r="S146" i="2" s="1"/>
  <c r="S148" i="2" s="1"/>
  <c r="S178" i="2" s="1"/>
  <c r="S437" i="2" s="1"/>
  <c r="S160" i="2"/>
  <c r="S162" i="2" s="1"/>
  <c r="S180" i="2" s="1"/>
  <c r="S136" i="2"/>
  <c r="S139" i="2" s="1"/>
  <c r="S141" i="2" s="1"/>
  <c r="S177" i="2" s="1"/>
  <c r="S129" i="2"/>
  <c r="X453" i="2"/>
  <c r="X151" i="2"/>
  <c r="X157" i="2" s="1"/>
  <c r="X179" i="2" s="1"/>
  <c r="X438" i="2" s="1"/>
  <c r="X171" i="2"/>
  <c r="K444" i="2"/>
  <c r="K449" i="2" s="1"/>
  <c r="V395" i="2"/>
  <c r="V431" i="2"/>
  <c r="V388" i="2"/>
  <c r="V461" i="2"/>
  <c r="Y397" i="2"/>
  <c r="Y470" i="2"/>
  <c r="Y390" i="2"/>
  <c r="Y463" i="2"/>
  <c r="AC285" i="2"/>
  <c r="N361" i="1"/>
  <c r="M168" i="2"/>
  <c r="M172" i="2" s="1"/>
  <c r="M442" i="2" s="1"/>
  <c r="M444" i="2" s="1"/>
  <c r="M449" i="2" s="1"/>
  <c r="U151" i="2"/>
  <c r="U157" i="2" s="1"/>
  <c r="U179" i="2" s="1"/>
  <c r="U438" i="2" s="1"/>
  <c r="U439" i="2" s="1"/>
  <c r="U448" i="2" s="1"/>
  <c r="U171" i="2"/>
  <c r="U453" i="2"/>
  <c r="Q335" i="2"/>
  <c r="H95" i="2"/>
  <c r="AC463" i="2"/>
  <c r="AC470" i="2"/>
  <c r="AC397" i="2"/>
  <c r="AC390" i="2"/>
  <c r="P432" i="2"/>
  <c r="AD453" i="2"/>
  <c r="AD171" i="2"/>
  <c r="AD151" i="2"/>
  <c r="AD157" i="2" s="1"/>
  <c r="AD179" i="2" s="1"/>
  <c r="AD438" i="2" s="1"/>
  <c r="AD439" i="2" s="1"/>
  <c r="AD448" i="2" s="1"/>
  <c r="O470" i="2"/>
  <c r="O397" i="2"/>
  <c r="O463" i="2"/>
  <c r="O390" i="2"/>
  <c r="R397" i="2"/>
  <c r="R470" i="2"/>
  <c r="R463" i="2"/>
  <c r="R390" i="2"/>
  <c r="S470" i="2"/>
  <c r="S397" i="2"/>
  <c r="S463" i="2"/>
  <c r="S390" i="2"/>
  <c r="I280" i="2"/>
  <c r="H279" i="2"/>
  <c r="H278" i="2"/>
  <c r="AF285" i="2"/>
  <c r="AE285" i="2"/>
  <c r="P349" i="2"/>
  <c r="W390" i="2"/>
  <c r="W470" i="2"/>
  <c r="W397" i="2"/>
  <c r="W463" i="2"/>
  <c r="V453" i="2"/>
  <c r="V171" i="2"/>
  <c r="V151" i="2"/>
  <c r="V157" i="2" s="1"/>
  <c r="V179" i="2" s="1"/>
  <c r="V438" i="2" s="1"/>
  <c r="L171" i="2"/>
  <c r="L453" i="2"/>
  <c r="L151" i="2"/>
  <c r="L157" i="2" s="1"/>
  <c r="L179" i="2" s="1"/>
  <c r="L438" i="2" s="1"/>
  <c r="R432" i="2"/>
  <c r="J397" i="2"/>
  <c r="J470" i="2"/>
  <c r="H470" i="2" s="1"/>
  <c r="J463" i="2"/>
  <c r="H463" i="2" s="1"/>
  <c r="J390" i="2"/>
  <c r="R395" i="2"/>
  <c r="R388" i="2"/>
  <c r="R431" i="2"/>
  <c r="R461" i="2"/>
  <c r="T470" i="2"/>
  <c r="T390" i="2"/>
  <c r="T463" i="2"/>
  <c r="T397" i="2"/>
  <c r="M432" i="2"/>
  <c r="M181" i="2"/>
  <c r="M185" i="2" s="1"/>
  <c r="AA439" i="2"/>
  <c r="AA448" i="2" s="1"/>
  <c r="H311" i="2"/>
  <c r="I320" i="2"/>
  <c r="AF461" i="2"/>
  <c r="AF431" i="2"/>
  <c r="AF388" i="2"/>
  <c r="AF395" i="2"/>
  <c r="M349" i="2"/>
  <c r="L335" i="2"/>
  <c r="X285" i="2"/>
  <c r="H208" i="2"/>
  <c r="H209" i="2"/>
  <c r="I210" i="2"/>
  <c r="T432" i="2"/>
  <c r="S388" i="2"/>
  <c r="S395" i="2"/>
  <c r="S461" i="2"/>
  <c r="S431" i="2"/>
  <c r="AF453" i="2"/>
  <c r="AF151" i="2"/>
  <c r="AF157" i="2" s="1"/>
  <c r="AF179" i="2" s="1"/>
  <c r="AF438" i="2" s="1"/>
  <c r="AF171" i="2"/>
  <c r="O453" i="2"/>
  <c r="O171" i="2"/>
  <c r="O151" i="2"/>
  <c r="O157" i="2" s="1"/>
  <c r="O179" i="2" s="1"/>
  <c r="O438" i="2" s="1"/>
  <c r="AF439" i="2"/>
  <c r="AF448" i="2" s="1"/>
  <c r="T151" i="2"/>
  <c r="T157" i="2" s="1"/>
  <c r="T179" i="2" s="1"/>
  <c r="T438" i="2" s="1"/>
  <c r="T453" i="2"/>
  <c r="T171" i="2"/>
  <c r="Z439" i="2"/>
  <c r="Z448" i="2" s="1"/>
  <c r="AF181" i="2"/>
  <c r="AF185" i="2" s="1"/>
  <c r="AF432" i="2"/>
  <c r="T439" i="2"/>
  <c r="T448" i="2" s="1"/>
  <c r="H92" i="2"/>
  <c r="H96" i="2"/>
  <c r="I100" i="2"/>
  <c r="O439" i="2"/>
  <c r="O448" i="2" s="1"/>
  <c r="V439" i="2"/>
  <c r="V448" i="2" s="1"/>
  <c r="L432" i="2"/>
  <c r="AC388" i="2"/>
  <c r="AC431" i="2"/>
  <c r="AC461" i="2"/>
  <c r="AC395" i="2"/>
  <c r="H265" i="2"/>
  <c r="I266" i="2"/>
  <c r="H264" i="2"/>
  <c r="X388" i="2"/>
  <c r="X461" i="2"/>
  <c r="X395" i="2"/>
  <c r="X431" i="2"/>
  <c r="AA432" i="2"/>
  <c r="AA181" i="2"/>
  <c r="AA185" i="2" s="1"/>
  <c r="U432" i="2"/>
  <c r="M171" i="2"/>
  <c r="M151" i="2"/>
  <c r="M157" i="2" s="1"/>
  <c r="M179" i="2" s="1"/>
  <c r="M438" i="2" s="1"/>
  <c r="M453" i="2"/>
  <c r="X439" i="2"/>
  <c r="X448" i="2" s="1"/>
  <c r="Z151" i="2"/>
  <c r="Z157" i="2" s="1"/>
  <c r="Z179" i="2" s="1"/>
  <c r="Z438" i="2" s="1"/>
  <c r="Z171" i="2"/>
  <c r="Z453" i="2"/>
  <c r="Z432" i="2"/>
  <c r="Z181" i="2"/>
  <c r="Z185" i="2" s="1"/>
  <c r="V432" i="2"/>
  <c r="V181" i="2"/>
  <c r="V185" i="2" s="1"/>
  <c r="AC432" i="2"/>
  <c r="O432" i="2"/>
  <c r="O181" i="2"/>
  <c r="O185" i="2" s="1"/>
  <c r="H305" i="2"/>
  <c r="I306" i="2"/>
  <c r="H304" i="2"/>
  <c r="K453" i="2"/>
  <c r="K151" i="2"/>
  <c r="K157" i="2" s="1"/>
  <c r="K179" i="2" s="1"/>
  <c r="K438" i="2" s="1"/>
  <c r="K439" i="2" s="1"/>
  <c r="K448" i="2" s="1"/>
  <c r="K171" i="2"/>
  <c r="AB285" i="2"/>
  <c r="Q453" i="2"/>
  <c r="Q171" i="2"/>
  <c r="Q151" i="2"/>
  <c r="Q157" i="2" s="1"/>
  <c r="Q179" i="2" s="1"/>
  <c r="Q438" i="2" s="1"/>
  <c r="Q439" i="2" s="1"/>
  <c r="Q448" i="2" s="1"/>
  <c r="T382" i="2" l="1"/>
  <c r="T384" i="2" s="1"/>
  <c r="L382" i="2"/>
  <c r="L384" i="2" s="1"/>
  <c r="L174" i="2"/>
  <c r="L184" i="2" s="1"/>
  <c r="X181" i="2"/>
  <c r="X185" i="2" s="1"/>
  <c r="AB382" i="2"/>
  <c r="AB384" i="2" s="1"/>
  <c r="AC181" i="2"/>
  <c r="AC185" i="2" s="1"/>
  <c r="I283" i="2"/>
  <c r="I333" i="2"/>
  <c r="H333" i="2" s="1"/>
  <c r="H266" i="2"/>
  <c r="H320" i="2"/>
  <c r="I322" i="2"/>
  <c r="H321" i="2"/>
  <c r="Y431" i="2"/>
  <c r="Y388" i="2"/>
  <c r="Y461" i="2"/>
  <c r="Y395" i="2"/>
  <c r="O382" i="2"/>
  <c r="O384" i="2" s="1"/>
  <c r="V382" i="2"/>
  <c r="V384" i="2" s="1"/>
  <c r="W382" i="2"/>
  <c r="W384" i="2" s="1"/>
  <c r="J78" i="2"/>
  <c r="P382" i="2"/>
  <c r="P384" i="2" s="1"/>
  <c r="W181" i="2"/>
  <c r="W185" i="2" s="1"/>
  <c r="U382" i="2"/>
  <c r="U384" i="2" s="1"/>
  <c r="J174" i="2"/>
  <c r="J184" i="2" s="1"/>
  <c r="J186" i="2" s="1"/>
  <c r="J382" i="2"/>
  <c r="J384" i="2" s="1"/>
  <c r="AF382" i="2"/>
  <c r="AF384" i="2" s="1"/>
  <c r="AA382" i="2"/>
  <c r="AA384" i="2" s="1"/>
  <c r="N181" i="2"/>
  <c r="N185" i="2" s="1"/>
  <c r="J79" i="2"/>
  <c r="K67" i="2" s="1"/>
  <c r="Z382" i="2"/>
  <c r="Z384" i="2" s="1"/>
  <c r="L181" i="2"/>
  <c r="L185" i="2" s="1"/>
  <c r="P181" i="2"/>
  <c r="P185" i="2" s="1"/>
  <c r="J82" i="2"/>
  <c r="K70" i="2" s="1"/>
  <c r="K174" i="2"/>
  <c r="K184" i="2" s="1"/>
  <c r="K186" i="2" s="1"/>
  <c r="K382" i="2"/>
  <c r="K384" i="2" s="1"/>
  <c r="R382" i="2"/>
  <c r="R384" i="2" s="1"/>
  <c r="I350" i="2"/>
  <c r="I351" i="2" s="1"/>
  <c r="I160" i="2"/>
  <c r="I129" i="2"/>
  <c r="I349" i="2"/>
  <c r="H125" i="2"/>
  <c r="I144" i="2"/>
  <c r="I136" i="2"/>
  <c r="H121" i="2"/>
  <c r="H306" i="2"/>
  <c r="I325" i="2"/>
  <c r="R181" i="2"/>
  <c r="R185" i="2" s="1"/>
  <c r="N168" i="2"/>
  <c r="N172" i="2" s="1"/>
  <c r="N442" i="2" s="1"/>
  <c r="N444" i="2" s="1"/>
  <c r="N449" i="2" s="1"/>
  <c r="O361" i="1"/>
  <c r="N382" i="2"/>
  <c r="N384" i="2" s="1"/>
  <c r="N174" i="2"/>
  <c r="N184" i="2" s="1"/>
  <c r="N186" i="2" s="1"/>
  <c r="AC382" i="2"/>
  <c r="AC384" i="2" s="1"/>
  <c r="AD382" i="2"/>
  <c r="AD384" i="2" s="1"/>
  <c r="AA388" i="2"/>
  <c r="AA461" i="2"/>
  <c r="AA431" i="2"/>
  <c r="AA395" i="2"/>
  <c r="AB181" i="2"/>
  <c r="AB185" i="2" s="1"/>
  <c r="O169" i="2"/>
  <c r="O173" i="2" s="1"/>
  <c r="O443" i="2" s="1"/>
  <c r="P362" i="1"/>
  <c r="X382" i="2"/>
  <c r="X384" i="2" s="1"/>
  <c r="K181" i="2"/>
  <c r="K185" i="2" s="1"/>
  <c r="L461" i="2"/>
  <c r="L431" i="2"/>
  <c r="L388" i="2"/>
  <c r="L395" i="2"/>
  <c r="J181" i="2"/>
  <c r="J185" i="2" s="1"/>
  <c r="T181" i="2"/>
  <c r="T185" i="2" s="1"/>
  <c r="Q382" i="2"/>
  <c r="Q384" i="2" s="1"/>
  <c r="I122" i="2"/>
  <c r="H100" i="2"/>
  <c r="S453" i="2"/>
  <c r="S151" i="2"/>
  <c r="S157" i="2" s="1"/>
  <c r="S179" i="2" s="1"/>
  <c r="S438" i="2" s="1"/>
  <c r="S439" i="2" s="1"/>
  <c r="S448" i="2" s="1"/>
  <c r="S171" i="2"/>
  <c r="H127" i="2"/>
  <c r="H123" i="2"/>
  <c r="I131" i="2"/>
  <c r="Y382" i="2"/>
  <c r="Y384" i="2" s="1"/>
  <c r="M382" i="2"/>
  <c r="M384" i="2" s="1"/>
  <c r="M174" i="2"/>
  <c r="M184" i="2" s="1"/>
  <c r="M186" i="2" s="1"/>
  <c r="I246" i="2"/>
  <c r="H210" i="2"/>
  <c r="I284" i="2"/>
  <c r="H284" i="2" s="1"/>
  <c r="H280" i="2"/>
  <c r="S432" i="2"/>
  <c r="Q181" i="2"/>
  <c r="Q185" i="2" s="1"/>
  <c r="AE382" i="2"/>
  <c r="AE384" i="2" s="1"/>
  <c r="U181" i="2"/>
  <c r="U185" i="2" s="1"/>
  <c r="O425" i="2"/>
  <c r="M425" i="2"/>
  <c r="J425" i="2"/>
  <c r="J426" i="2" s="1"/>
  <c r="J471" i="2" s="1"/>
  <c r="R425" i="2"/>
  <c r="AD425" i="2"/>
  <c r="AC425" i="2"/>
  <c r="Y425" i="2"/>
  <c r="W425" i="2"/>
  <c r="AE425" i="2"/>
  <c r="AB425" i="2"/>
  <c r="AA425" i="2"/>
  <c r="V425" i="2"/>
  <c r="T425" i="2"/>
  <c r="L425" i="2"/>
  <c r="AF425" i="2"/>
  <c r="Z425" i="2"/>
  <c r="X425" i="2"/>
  <c r="P425" i="2"/>
  <c r="K425" i="2"/>
  <c r="S425" i="2"/>
  <c r="N425" i="2"/>
  <c r="U425" i="2"/>
  <c r="Q425" i="2"/>
  <c r="I425" i="2"/>
  <c r="I426" i="2" s="1"/>
  <c r="I471" i="2" s="1"/>
  <c r="Q461" i="2"/>
  <c r="Q431" i="2"/>
  <c r="Q395" i="2"/>
  <c r="Q388" i="2"/>
  <c r="I462" i="2" l="1"/>
  <c r="I396" i="2"/>
  <c r="I389" i="2"/>
  <c r="J348" i="2"/>
  <c r="J387" i="2"/>
  <c r="J394" i="2"/>
  <c r="J460" i="2"/>
  <c r="I326" i="2"/>
  <c r="H326" i="2" s="1"/>
  <c r="H322" i="2"/>
  <c r="S181" i="2"/>
  <c r="S185" i="2" s="1"/>
  <c r="H126" i="2"/>
  <c r="H122" i="2"/>
  <c r="I130" i="2"/>
  <c r="I285" i="2"/>
  <c r="H285" i="2" s="1"/>
  <c r="H283" i="2"/>
  <c r="N387" i="2"/>
  <c r="N394" i="2"/>
  <c r="N460" i="2"/>
  <c r="S382" i="2"/>
  <c r="S384" i="2" s="1"/>
  <c r="H246" i="2"/>
  <c r="I250" i="2"/>
  <c r="O168" i="2"/>
  <c r="O172" i="2" s="1"/>
  <c r="P361" i="1"/>
  <c r="M460" i="2"/>
  <c r="M394" i="2"/>
  <c r="M387" i="2"/>
  <c r="L186" i="2"/>
  <c r="I327" i="2"/>
  <c r="H325" i="2"/>
  <c r="I453" i="2"/>
  <c r="I151" i="2"/>
  <c r="H129" i="2"/>
  <c r="I171" i="2"/>
  <c r="H160" i="2"/>
  <c r="I162" i="2"/>
  <c r="H161" i="2"/>
  <c r="K387" i="2"/>
  <c r="K394" i="2"/>
  <c r="K460" i="2"/>
  <c r="K75" i="2"/>
  <c r="K423" i="2" s="1"/>
  <c r="K424" i="2" s="1"/>
  <c r="K426" i="2" s="1"/>
  <c r="K471" i="2" s="1"/>
  <c r="K76" i="2"/>
  <c r="K78" i="2"/>
  <c r="I139" i="2"/>
  <c r="H138" i="2"/>
  <c r="H137" i="2"/>
  <c r="H136" i="2"/>
  <c r="I155" i="2"/>
  <c r="I173" i="2"/>
  <c r="H131" i="2"/>
  <c r="P169" i="2"/>
  <c r="P173" i="2" s="1"/>
  <c r="P443" i="2" s="1"/>
  <c r="Q362" i="1"/>
  <c r="H145" i="2"/>
  <c r="H144" i="2"/>
  <c r="I146" i="2"/>
  <c r="K82" i="2" l="1"/>
  <c r="L70" i="2" s="1"/>
  <c r="H162" i="2"/>
  <c r="I180" i="2"/>
  <c r="H180" i="2" s="1"/>
  <c r="L394" i="2"/>
  <c r="L460" i="2"/>
  <c r="L387" i="2"/>
  <c r="K79" i="2"/>
  <c r="L67" i="2" s="1"/>
  <c r="I443" i="2"/>
  <c r="I148" i="2"/>
  <c r="H147" i="2"/>
  <c r="H146" i="2"/>
  <c r="K77" i="2"/>
  <c r="K81" i="2" s="1"/>
  <c r="L69" i="2" s="1"/>
  <c r="H327" i="2"/>
  <c r="I334" i="2"/>
  <c r="H334" i="2" s="1"/>
  <c r="Q169" i="2"/>
  <c r="Q173" i="2" s="1"/>
  <c r="Q443" i="2" s="1"/>
  <c r="R362" i="1"/>
  <c r="H156" i="2"/>
  <c r="H155" i="2"/>
  <c r="I172" i="2"/>
  <c r="I174" i="2" s="1"/>
  <c r="H130" i="2"/>
  <c r="I153" i="2"/>
  <c r="H171" i="2"/>
  <c r="I382" i="2"/>
  <c r="K80" i="2"/>
  <c r="L68" i="2" s="1"/>
  <c r="H140" i="2"/>
  <c r="H139" i="2"/>
  <c r="I141" i="2"/>
  <c r="P168" i="2"/>
  <c r="P172" i="2" s="1"/>
  <c r="Q361" i="1"/>
  <c r="H151" i="2"/>
  <c r="I157" i="2"/>
  <c r="H152" i="2"/>
  <c r="O442" i="2"/>
  <c r="O444" i="2" s="1"/>
  <c r="O449" i="2" s="1"/>
  <c r="O174" i="2"/>
  <c r="O184" i="2" s="1"/>
  <c r="O186" i="2" s="1"/>
  <c r="J351" i="2"/>
  <c r="K348" i="2"/>
  <c r="I332" i="2"/>
  <c r="H250" i="2"/>
  <c r="I469" i="2"/>
  <c r="I184" i="2" l="1"/>
  <c r="I384" i="2"/>
  <c r="H382" i="2"/>
  <c r="H153" i="2"/>
  <c r="H154" i="2"/>
  <c r="H148" i="2"/>
  <c r="I178" i="2"/>
  <c r="L75" i="2"/>
  <c r="L423" i="2" s="1"/>
  <c r="L424" i="2" s="1"/>
  <c r="L426" i="2" s="1"/>
  <c r="L471" i="2" s="1"/>
  <c r="L79" i="2"/>
  <c r="M67" i="2" s="1"/>
  <c r="L78" i="2"/>
  <c r="L82" i="2" s="1"/>
  <c r="M70" i="2" s="1"/>
  <c r="L76" i="2"/>
  <c r="L80" i="2" s="1"/>
  <c r="M68" i="2" s="1"/>
  <c r="L77" i="2"/>
  <c r="L81" i="2" s="1"/>
  <c r="M69" i="2" s="1"/>
  <c r="I335" i="2"/>
  <c r="H332" i="2"/>
  <c r="K351" i="2"/>
  <c r="L348" i="2"/>
  <c r="J389" i="2"/>
  <c r="J396" i="2"/>
  <c r="J398" i="2" s="1"/>
  <c r="J462" i="2"/>
  <c r="O387" i="2"/>
  <c r="O394" i="2"/>
  <c r="O460" i="2"/>
  <c r="H141" i="2"/>
  <c r="I177" i="2"/>
  <c r="I442" i="2"/>
  <c r="I444" i="2" s="1"/>
  <c r="I449" i="2" s="1"/>
  <c r="I179" i="2"/>
  <c r="H157" i="2"/>
  <c r="R361" i="1"/>
  <c r="Q168" i="2"/>
  <c r="Q172" i="2" s="1"/>
  <c r="R169" i="2"/>
  <c r="R173" i="2" s="1"/>
  <c r="S362" i="1"/>
  <c r="P442" i="2"/>
  <c r="P444" i="2" s="1"/>
  <c r="P449" i="2" s="1"/>
  <c r="P174" i="2"/>
  <c r="P184" i="2" s="1"/>
  <c r="P186" i="2" s="1"/>
  <c r="L351" i="2" l="1"/>
  <c r="J391" i="2"/>
  <c r="S169" i="2"/>
  <c r="S173" i="2" s="1"/>
  <c r="S443" i="2" s="1"/>
  <c r="T362" i="1"/>
  <c r="K462" i="2"/>
  <c r="K396" i="2"/>
  <c r="K398" i="2" s="1"/>
  <c r="K389" i="2"/>
  <c r="K391" i="2" s="1"/>
  <c r="I431" i="2"/>
  <c r="I461" i="2"/>
  <c r="H461" i="2" s="1"/>
  <c r="H335" i="2"/>
  <c r="I395" i="2"/>
  <c r="I388" i="2"/>
  <c r="H388" i="2" s="1"/>
  <c r="R168" i="2"/>
  <c r="R172" i="2" s="1"/>
  <c r="S361" i="1"/>
  <c r="I438" i="2"/>
  <c r="H179" i="2"/>
  <c r="P394" i="2"/>
  <c r="P460" i="2"/>
  <c r="P387" i="2"/>
  <c r="Q442" i="2"/>
  <c r="Q444" i="2" s="1"/>
  <c r="Q449" i="2" s="1"/>
  <c r="Q174" i="2"/>
  <c r="Q184" i="2" s="1"/>
  <c r="Q186" i="2" s="1"/>
  <c r="I432" i="2"/>
  <c r="H177" i="2"/>
  <c r="I181" i="2"/>
  <c r="J469" i="2"/>
  <c r="J464" i="2"/>
  <c r="J467" i="2" s="1"/>
  <c r="R443" i="2"/>
  <c r="M75" i="2"/>
  <c r="M423" i="2" s="1"/>
  <c r="M424" i="2" s="1"/>
  <c r="M426" i="2" s="1"/>
  <c r="M471" i="2" s="1"/>
  <c r="M76" i="2"/>
  <c r="M77" i="2"/>
  <c r="I437" i="2"/>
  <c r="I439" i="2" s="1"/>
  <c r="I448" i="2" s="1"/>
  <c r="H178" i="2"/>
  <c r="H384" i="2"/>
  <c r="J399" i="2"/>
  <c r="J400" i="2" s="1"/>
  <c r="J401" i="2" s="1"/>
  <c r="I186" i="2"/>
  <c r="J433" i="2" l="1"/>
  <c r="J434" i="2" s="1"/>
  <c r="J447" i="2" s="1"/>
  <c r="J450" i="2" s="1"/>
  <c r="J454" i="2" s="1"/>
  <c r="J455" i="2" s="1"/>
  <c r="M82" i="2"/>
  <c r="N70" i="2" s="1"/>
  <c r="M79" i="2"/>
  <c r="N67" i="2" s="1"/>
  <c r="M78" i="2"/>
  <c r="R442" i="2"/>
  <c r="R444" i="2" s="1"/>
  <c r="R449" i="2" s="1"/>
  <c r="R174" i="2"/>
  <c r="I460" i="2"/>
  <c r="I387" i="2"/>
  <c r="I394" i="2"/>
  <c r="I398" i="2" s="1"/>
  <c r="K417" i="2"/>
  <c r="K404" i="2"/>
  <c r="K406" i="2" s="1"/>
  <c r="K399" i="2"/>
  <c r="K400" i="2" s="1"/>
  <c r="K401" i="2" s="1"/>
  <c r="K469" i="2"/>
  <c r="K464" i="2"/>
  <c r="K467" i="2" s="1"/>
  <c r="I185" i="2"/>
  <c r="H185" i="2" s="1"/>
  <c r="H181" i="2"/>
  <c r="U362" i="1"/>
  <c r="T169" i="2"/>
  <c r="T173" i="2" s="1"/>
  <c r="S168" i="2"/>
  <c r="S172" i="2" s="1"/>
  <c r="T361" i="1"/>
  <c r="Q394" i="2"/>
  <c r="Q387" i="2"/>
  <c r="Q460" i="2"/>
  <c r="L462" i="2"/>
  <c r="L396" i="2"/>
  <c r="L398" i="2" s="1"/>
  <c r="L389" i="2"/>
  <c r="L391" i="2" s="1"/>
  <c r="M81" i="2"/>
  <c r="N69" i="2" s="1"/>
  <c r="M80" i="2"/>
  <c r="N68" i="2" s="1"/>
  <c r="J404" i="2"/>
  <c r="J406" i="2" s="1"/>
  <c r="J409" i="2" s="1"/>
  <c r="J411" i="2" s="1"/>
  <c r="J417" i="2"/>
  <c r="M348" i="2"/>
  <c r="J468" i="2" l="1"/>
  <c r="J473" i="2" s="1"/>
  <c r="J414" i="2"/>
  <c r="J416" i="2" s="1"/>
  <c r="J418" i="2" s="1"/>
  <c r="K409" i="2"/>
  <c r="K411" i="2" s="1"/>
  <c r="K433" i="2"/>
  <c r="K434" i="2" s="1"/>
  <c r="K447" i="2" s="1"/>
  <c r="K450" i="2" s="1"/>
  <c r="K454" i="2" s="1"/>
  <c r="K455" i="2" s="1"/>
  <c r="I391" i="2"/>
  <c r="I399" i="2"/>
  <c r="I400" i="2" s="1"/>
  <c r="I401" i="2" s="1"/>
  <c r="L417" i="2"/>
  <c r="L404" i="2"/>
  <c r="L406" i="2" s="1"/>
  <c r="I464" i="2"/>
  <c r="L399" i="2"/>
  <c r="L400" i="2" s="1"/>
  <c r="L401" i="2" s="1"/>
  <c r="L469" i="2"/>
  <c r="L464" i="2"/>
  <c r="L467" i="2" s="1"/>
  <c r="R184" i="2"/>
  <c r="T168" i="2"/>
  <c r="T172" i="2" s="1"/>
  <c r="U361" i="1"/>
  <c r="N348" i="2"/>
  <c r="M351" i="2"/>
  <c r="S442" i="2"/>
  <c r="S444" i="2" s="1"/>
  <c r="S449" i="2" s="1"/>
  <c r="S174" i="2"/>
  <c r="S184" i="2" s="1"/>
  <c r="S186" i="2" s="1"/>
  <c r="N75" i="2"/>
  <c r="N423" i="2" s="1"/>
  <c r="N424" i="2" s="1"/>
  <c r="N426" i="2" s="1"/>
  <c r="N471" i="2" s="1"/>
  <c r="N79" i="2"/>
  <c r="O67" i="2" s="1"/>
  <c r="N78" i="2"/>
  <c r="N77" i="2"/>
  <c r="N76" i="2"/>
  <c r="T443" i="2"/>
  <c r="U169" i="2"/>
  <c r="U173" i="2" s="1"/>
  <c r="U443" i="2" s="1"/>
  <c r="V362" i="1"/>
  <c r="L433" i="2" l="1"/>
  <c r="L434" i="2" s="1"/>
  <c r="L447" i="2" s="1"/>
  <c r="L450" i="2" s="1"/>
  <c r="L454" i="2" s="1"/>
  <c r="L455" i="2" s="1"/>
  <c r="L409" i="2"/>
  <c r="L411" i="2" s="1"/>
  <c r="I433" i="2"/>
  <c r="I434" i="2" s="1"/>
  <c r="I447" i="2" s="1"/>
  <c r="I450" i="2" s="1"/>
  <c r="I454" i="2" s="1"/>
  <c r="I455" i="2" s="1"/>
  <c r="V169" i="2"/>
  <c r="V173" i="2" s="1"/>
  <c r="V443" i="2" s="1"/>
  <c r="W362" i="1"/>
  <c r="R186" i="2"/>
  <c r="S394" i="2"/>
  <c r="S460" i="2"/>
  <c r="S387" i="2"/>
  <c r="I404" i="2"/>
  <c r="I417" i="2"/>
  <c r="M389" i="2"/>
  <c r="M462" i="2"/>
  <c r="M396" i="2"/>
  <c r="M398" i="2" s="1"/>
  <c r="I467" i="2"/>
  <c r="K414" i="2"/>
  <c r="K416" i="2" s="1"/>
  <c r="K418" i="2" s="1"/>
  <c r="K468" i="2"/>
  <c r="K473" i="2" s="1"/>
  <c r="O75" i="2"/>
  <c r="O423" i="2" s="1"/>
  <c r="O424" i="2" s="1"/>
  <c r="O426" i="2" s="1"/>
  <c r="O471" i="2" s="1"/>
  <c r="O79" i="2"/>
  <c r="P67" i="2" s="1"/>
  <c r="N80" i="2"/>
  <c r="O68" i="2" s="1"/>
  <c r="O76" i="2" s="1"/>
  <c r="N82" i="2"/>
  <c r="O70" i="2" s="1"/>
  <c r="N81" i="2"/>
  <c r="O69" i="2" s="1"/>
  <c r="O77" i="2" s="1"/>
  <c r="N351" i="2"/>
  <c r="V361" i="1"/>
  <c r="U168" i="2"/>
  <c r="U172" i="2" s="1"/>
  <c r="T442" i="2"/>
  <c r="T444" i="2" s="1"/>
  <c r="T449" i="2" s="1"/>
  <c r="T174" i="2"/>
  <c r="N462" i="2" l="1"/>
  <c r="N396" i="2"/>
  <c r="N398" i="2" s="1"/>
  <c r="N389" i="2"/>
  <c r="N391" i="2" s="1"/>
  <c r="T184" i="2"/>
  <c r="U442" i="2"/>
  <c r="U444" i="2" s="1"/>
  <c r="U449" i="2" s="1"/>
  <c r="U174" i="2"/>
  <c r="U184" i="2" s="1"/>
  <c r="U186" i="2" s="1"/>
  <c r="M469" i="2"/>
  <c r="M464" i="2"/>
  <c r="O348" i="2"/>
  <c r="W361" i="1"/>
  <c r="V168" i="2"/>
  <c r="V172" i="2" s="1"/>
  <c r="M391" i="2"/>
  <c r="I406" i="2"/>
  <c r="O78" i="2"/>
  <c r="O82" i="2" s="1"/>
  <c r="P70" i="2" s="1"/>
  <c r="O81" i="2"/>
  <c r="P69" i="2" s="1"/>
  <c r="P75" i="2"/>
  <c r="P423" i="2" s="1"/>
  <c r="P424" i="2" s="1"/>
  <c r="P426" i="2" s="1"/>
  <c r="P471" i="2" s="1"/>
  <c r="P79" i="2"/>
  <c r="Q67" i="2" s="1"/>
  <c r="R394" i="2"/>
  <c r="R460" i="2"/>
  <c r="R387" i="2"/>
  <c r="O80" i="2"/>
  <c r="P68" i="2" s="1"/>
  <c r="W169" i="2"/>
  <c r="W173" i="2" s="1"/>
  <c r="X362" i="1"/>
  <c r="M399" i="2"/>
  <c r="M400" i="2" s="1"/>
  <c r="M401" i="2" s="1"/>
  <c r="L414" i="2"/>
  <c r="L416" i="2" s="1"/>
  <c r="L418" i="2" s="1"/>
  <c r="L468" i="2"/>
  <c r="L473" i="2" s="1"/>
  <c r="P78" i="2" l="1"/>
  <c r="P82" i="2" s="1"/>
  <c r="Q70" i="2" s="1"/>
  <c r="M433" i="2"/>
  <c r="M434" i="2" s="1"/>
  <c r="M447" i="2" s="1"/>
  <c r="M450" i="2" s="1"/>
  <c r="M454" i="2" s="1"/>
  <c r="M455" i="2" s="1"/>
  <c r="P81" i="2"/>
  <c r="Q69" i="2" s="1"/>
  <c r="V442" i="2"/>
  <c r="V444" i="2" s="1"/>
  <c r="V449" i="2" s="1"/>
  <c r="V174" i="2"/>
  <c r="V184" i="2" s="1"/>
  <c r="V186" i="2" s="1"/>
  <c r="I409" i="2"/>
  <c r="I411" i="2" s="1"/>
  <c r="Y362" i="1"/>
  <c r="X169" i="2"/>
  <c r="X173" i="2" s="1"/>
  <c r="X443" i="2" s="1"/>
  <c r="X361" i="1"/>
  <c r="W168" i="2"/>
  <c r="W172" i="2" s="1"/>
  <c r="O351" i="2"/>
  <c r="P348" i="2"/>
  <c r="M467" i="2"/>
  <c r="P77" i="2"/>
  <c r="U460" i="2"/>
  <c r="U387" i="2"/>
  <c r="U394" i="2"/>
  <c r="M404" i="2"/>
  <c r="M417" i="2"/>
  <c r="W443" i="2"/>
  <c r="Q75" i="2"/>
  <c r="Q423" i="2" s="1"/>
  <c r="Q424" i="2" s="1"/>
  <c r="Q426" i="2" s="1"/>
  <c r="Q471" i="2" s="1"/>
  <c r="Q79" i="2"/>
  <c r="R67" i="2" s="1"/>
  <c r="Q77" i="2"/>
  <c r="Q81" i="2" s="1"/>
  <c r="R69" i="2" s="1"/>
  <c r="T186" i="2"/>
  <c r="P76" i="2"/>
  <c r="P80" i="2" s="1"/>
  <c r="Q68" i="2" s="1"/>
  <c r="N417" i="2"/>
  <c r="N404" i="2"/>
  <c r="N406" i="2" s="1"/>
  <c r="N401" i="2"/>
  <c r="N399" i="2"/>
  <c r="N400" i="2" s="1"/>
  <c r="N469" i="2"/>
  <c r="N464" i="2"/>
  <c r="N467" i="2" s="1"/>
  <c r="Q76" i="2" l="1"/>
  <c r="Q80" i="2"/>
  <c r="R68" i="2" s="1"/>
  <c r="Q78" i="2"/>
  <c r="Q82" i="2" s="1"/>
  <c r="R70" i="2" s="1"/>
  <c r="T460" i="2"/>
  <c r="T387" i="2"/>
  <c r="T394" i="2"/>
  <c r="W442" i="2"/>
  <c r="W444" i="2" s="1"/>
  <c r="W449" i="2" s="1"/>
  <c r="W174" i="2"/>
  <c r="W184" i="2" s="1"/>
  <c r="W186" i="2" s="1"/>
  <c r="I414" i="2"/>
  <c r="I416" i="2" s="1"/>
  <c r="I418" i="2" s="1"/>
  <c r="I468" i="2"/>
  <c r="I473" i="2" s="1"/>
  <c r="V387" i="2"/>
  <c r="V460" i="2"/>
  <c r="V394" i="2"/>
  <c r="R79" i="2"/>
  <c r="S67" i="2" s="1"/>
  <c r="R80" i="2"/>
  <c r="S68" i="2" s="1"/>
  <c r="R75" i="2"/>
  <c r="R423" i="2" s="1"/>
  <c r="R424" i="2" s="1"/>
  <c r="R426" i="2" s="1"/>
  <c r="R471" i="2" s="1"/>
  <c r="R76" i="2"/>
  <c r="X168" i="2"/>
  <c r="X172" i="2" s="1"/>
  <c r="Y361" i="1"/>
  <c r="O462" i="2"/>
  <c r="O396" i="2"/>
  <c r="O398" i="2" s="1"/>
  <c r="O389" i="2"/>
  <c r="O391" i="2" s="1"/>
  <c r="M406" i="2"/>
  <c r="N409" i="2"/>
  <c r="N411" i="2" s="1"/>
  <c r="N433" i="2"/>
  <c r="N434" i="2" s="1"/>
  <c r="N447" i="2" s="1"/>
  <c r="N450" i="2" s="1"/>
  <c r="N454" i="2" s="1"/>
  <c r="N455" i="2" s="1"/>
  <c r="P351" i="2"/>
  <c r="Q348" i="2"/>
  <c r="Z362" i="1"/>
  <c r="Y169" i="2"/>
  <c r="Y173" i="2" s="1"/>
  <c r="Y443" i="2" s="1"/>
  <c r="R78" i="2" l="1"/>
  <c r="R82" i="2"/>
  <c r="S70" i="2" s="1"/>
  <c r="Z169" i="2"/>
  <c r="Z173" i="2" s="1"/>
  <c r="Z443" i="2" s="1"/>
  <c r="AA362" i="1"/>
  <c r="S75" i="2"/>
  <c r="S423" i="2" s="1"/>
  <c r="S424" i="2" s="1"/>
  <c r="S426" i="2" s="1"/>
  <c r="S471" i="2" s="1"/>
  <c r="S79" i="2"/>
  <c r="T67" i="2" s="1"/>
  <c r="S77" i="2"/>
  <c r="S81" i="2"/>
  <c r="T69" i="2" s="1"/>
  <c r="S76" i="2"/>
  <c r="S78" i="2"/>
  <c r="Q351" i="2"/>
  <c r="R348" i="2" s="1"/>
  <c r="N468" i="2"/>
  <c r="N473" i="2" s="1"/>
  <c r="N414" i="2"/>
  <c r="N416" i="2" s="1"/>
  <c r="N418" i="2" s="1"/>
  <c r="M409" i="2"/>
  <c r="M411" i="2" s="1"/>
  <c r="O404" i="2"/>
  <c r="O417" i="2"/>
  <c r="O399" i="2"/>
  <c r="O400" i="2" s="1"/>
  <c r="O401" i="2" s="1"/>
  <c r="O469" i="2"/>
  <c r="O464" i="2"/>
  <c r="Y168" i="2"/>
  <c r="Y172" i="2" s="1"/>
  <c r="Z361" i="1"/>
  <c r="X442" i="2"/>
  <c r="X444" i="2" s="1"/>
  <c r="X449" i="2" s="1"/>
  <c r="X174" i="2"/>
  <c r="X184" i="2" s="1"/>
  <c r="P396" i="2"/>
  <c r="P398" i="2" s="1"/>
  <c r="P389" i="2"/>
  <c r="P391" i="2" s="1"/>
  <c r="P462" i="2"/>
  <c r="W394" i="2"/>
  <c r="W387" i="2"/>
  <c r="W460" i="2"/>
  <c r="R77" i="2"/>
  <c r="R81" i="2" s="1"/>
  <c r="S69" i="2" s="1"/>
  <c r="O433" i="2" l="1"/>
  <c r="O434" i="2" s="1"/>
  <c r="O447" i="2" s="1"/>
  <c r="O450" i="2" s="1"/>
  <c r="O454" i="2" s="1"/>
  <c r="O455" i="2" s="1"/>
  <c r="R351" i="2"/>
  <c r="S348" i="2" s="1"/>
  <c r="X186" i="2"/>
  <c r="AA361" i="1"/>
  <c r="Z168" i="2"/>
  <c r="Z172" i="2" s="1"/>
  <c r="T75" i="2"/>
  <c r="T423" i="2" s="1"/>
  <c r="T424" i="2" s="1"/>
  <c r="T426" i="2" s="1"/>
  <c r="T471" i="2" s="1"/>
  <c r="T77" i="2"/>
  <c r="T81" i="2" s="1"/>
  <c r="U69" i="2" s="1"/>
  <c r="O467" i="2"/>
  <c r="S82" i="2"/>
  <c r="T70" i="2" s="1"/>
  <c r="T78" i="2" s="1"/>
  <c r="S80" i="2"/>
  <c r="T68" i="2" s="1"/>
  <c r="T76" i="2" s="1"/>
  <c r="P469" i="2"/>
  <c r="P464" i="2"/>
  <c r="P467" i="2" s="1"/>
  <c r="P404" i="2"/>
  <c r="P406" i="2" s="1"/>
  <c r="P417" i="2"/>
  <c r="Q396" i="2"/>
  <c r="Q398" i="2" s="1"/>
  <c r="Q389" i="2"/>
  <c r="Q391" i="2" s="1"/>
  <c r="Q462" i="2"/>
  <c r="Y442" i="2"/>
  <c r="Y444" i="2" s="1"/>
  <c r="Y449" i="2" s="1"/>
  <c r="Y174" i="2"/>
  <c r="Y184" i="2" s="1"/>
  <c r="Y186" i="2" s="1"/>
  <c r="AA169" i="2"/>
  <c r="AA173" i="2" s="1"/>
  <c r="AA443" i="2" s="1"/>
  <c r="AB362" i="1"/>
  <c r="O406" i="2"/>
  <c r="P399" i="2"/>
  <c r="P400" i="2" s="1"/>
  <c r="P401" i="2" s="1"/>
  <c r="M414" i="2"/>
  <c r="M416" i="2" s="1"/>
  <c r="M418" i="2" s="1"/>
  <c r="M468" i="2"/>
  <c r="M473" i="2" s="1"/>
  <c r="S351" i="2" l="1"/>
  <c r="P409" i="2"/>
  <c r="P411" i="2" s="1"/>
  <c r="P433" i="2"/>
  <c r="P434" i="2" s="1"/>
  <c r="P447" i="2" s="1"/>
  <c r="P450" i="2" s="1"/>
  <c r="P454" i="2" s="1"/>
  <c r="P455" i="2" s="1"/>
  <c r="T80" i="2"/>
  <c r="U68" i="2" s="1"/>
  <c r="T79" i="2"/>
  <c r="U67" i="2" s="1"/>
  <c r="T82" i="2"/>
  <c r="U70" i="2" s="1"/>
  <c r="Z442" i="2"/>
  <c r="Z444" i="2" s="1"/>
  <c r="Z449" i="2" s="1"/>
  <c r="Z174" i="2"/>
  <c r="Z184" i="2" s="1"/>
  <c r="Z186" i="2" s="1"/>
  <c r="Y394" i="2"/>
  <c r="Y460" i="2"/>
  <c r="Y387" i="2"/>
  <c r="AA168" i="2"/>
  <c r="AA172" i="2" s="1"/>
  <c r="AB361" i="1"/>
  <c r="Q469" i="2"/>
  <c r="Q464" i="2"/>
  <c r="X387" i="2"/>
  <c r="X460" i="2"/>
  <c r="X394" i="2"/>
  <c r="Q404" i="2"/>
  <c r="Q417" i="2"/>
  <c r="AB169" i="2"/>
  <c r="AB173" i="2" s="1"/>
  <c r="AB443" i="2" s="1"/>
  <c r="AC362" i="1"/>
  <c r="R396" i="2"/>
  <c r="R398" i="2" s="1"/>
  <c r="R389" i="2"/>
  <c r="R391" i="2" s="1"/>
  <c r="R462" i="2"/>
  <c r="Q399" i="2"/>
  <c r="Q400" i="2" s="1"/>
  <c r="Q401" i="2" s="1"/>
  <c r="O409" i="2"/>
  <c r="O411" i="2" s="1"/>
  <c r="Q433" i="2" l="1"/>
  <c r="Q434" i="2" s="1"/>
  <c r="Q447" i="2" s="1"/>
  <c r="Q450" i="2" s="1"/>
  <c r="Q454" i="2" s="1"/>
  <c r="Q455" i="2" s="1"/>
  <c r="O414" i="2"/>
  <c r="O416" i="2" s="1"/>
  <c r="O418" i="2" s="1"/>
  <c r="O468" i="2"/>
  <c r="O473" i="2" s="1"/>
  <c r="Q467" i="2"/>
  <c r="AA442" i="2"/>
  <c r="AA444" i="2" s="1"/>
  <c r="AA449" i="2" s="1"/>
  <c r="AA174" i="2"/>
  <c r="AA184" i="2" s="1"/>
  <c r="AA186" i="2" s="1"/>
  <c r="U75" i="2"/>
  <c r="U423" i="2" s="1"/>
  <c r="U424" i="2" s="1"/>
  <c r="U426" i="2" s="1"/>
  <c r="U471" i="2" s="1"/>
  <c r="U78" i="2"/>
  <c r="AC169" i="2"/>
  <c r="AC173" i="2" s="1"/>
  <c r="AC443" i="2" s="1"/>
  <c r="AD362" i="1"/>
  <c r="AB168" i="2"/>
  <c r="AB172" i="2" s="1"/>
  <c r="AC361" i="1"/>
  <c r="Z460" i="2"/>
  <c r="Z394" i="2"/>
  <c r="Z387" i="2"/>
  <c r="R469" i="2"/>
  <c r="R464" i="2"/>
  <c r="R467" i="2" s="1"/>
  <c r="R417" i="2"/>
  <c r="R404" i="2"/>
  <c r="R406" i="2" s="1"/>
  <c r="R399" i="2"/>
  <c r="R400" i="2" s="1"/>
  <c r="R401" i="2" s="1"/>
  <c r="P414" i="2"/>
  <c r="P416" i="2" s="1"/>
  <c r="P418" i="2" s="1"/>
  <c r="P468" i="2"/>
  <c r="P473" i="2" s="1"/>
  <c r="S396" i="2"/>
  <c r="S398" i="2" s="1"/>
  <c r="S462" i="2"/>
  <c r="S389" i="2"/>
  <c r="S391" i="2" s="1"/>
  <c r="Q406" i="2"/>
  <c r="T348" i="2"/>
  <c r="R409" i="2" l="1"/>
  <c r="R411" i="2" s="1"/>
  <c r="R433" i="2"/>
  <c r="R434" i="2" s="1"/>
  <c r="R447" i="2" s="1"/>
  <c r="R450" i="2" s="1"/>
  <c r="R454" i="2" s="1"/>
  <c r="R455" i="2" s="1"/>
  <c r="S417" i="2"/>
  <c r="S404" i="2"/>
  <c r="S406" i="2" s="1"/>
  <c r="S469" i="2"/>
  <c r="S464" i="2"/>
  <c r="S467" i="2" s="1"/>
  <c r="U82" i="2"/>
  <c r="V70" i="2" s="1"/>
  <c r="U76" i="2"/>
  <c r="U80" i="2" s="1"/>
  <c r="V68" i="2" s="1"/>
  <c r="U81" i="2"/>
  <c r="V69" i="2" s="1"/>
  <c r="U79" i="2"/>
  <c r="V67" i="2" s="1"/>
  <c r="AC168" i="2"/>
  <c r="AC172" i="2" s="1"/>
  <c r="AD361" i="1"/>
  <c r="S399" i="2"/>
  <c r="S400" i="2" s="1"/>
  <c r="S401" i="2" s="1"/>
  <c r="AA394" i="2"/>
  <c r="AA460" i="2"/>
  <c r="AA387" i="2"/>
  <c r="AB442" i="2"/>
  <c r="AB444" i="2" s="1"/>
  <c r="AB449" i="2" s="1"/>
  <c r="AB174" i="2"/>
  <c r="AB184" i="2" s="1"/>
  <c r="AB186" i="2" s="1"/>
  <c r="AD169" i="2"/>
  <c r="AD173" i="2" s="1"/>
  <c r="AD443" i="2" s="1"/>
  <c r="AE362" i="1"/>
  <c r="T351" i="2"/>
  <c r="U348" i="2"/>
  <c r="U77" i="2"/>
  <c r="Q409" i="2"/>
  <c r="Q411" i="2" s="1"/>
  <c r="S409" i="2" l="1"/>
  <c r="S411" i="2" s="1"/>
  <c r="S433" i="2"/>
  <c r="S434" i="2" s="1"/>
  <c r="S447" i="2" s="1"/>
  <c r="S450" i="2" s="1"/>
  <c r="S454" i="2" s="1"/>
  <c r="S455" i="2" s="1"/>
  <c r="Q414" i="2"/>
  <c r="Q416" i="2" s="1"/>
  <c r="Q418" i="2" s="1"/>
  <c r="Q468" i="2"/>
  <c r="Q473" i="2" s="1"/>
  <c r="V75" i="2"/>
  <c r="V423" i="2" s="1"/>
  <c r="V424" i="2" s="1"/>
  <c r="V426" i="2" s="1"/>
  <c r="V471" i="2" s="1"/>
  <c r="V79" i="2"/>
  <c r="W67" i="2" s="1"/>
  <c r="V76" i="2"/>
  <c r="V80" i="2" s="1"/>
  <c r="W68" i="2" s="1"/>
  <c r="V78" i="2"/>
  <c r="V82" i="2" s="1"/>
  <c r="W70" i="2" s="1"/>
  <c r="V77" i="2"/>
  <c r="V81" i="2" s="1"/>
  <c r="W69" i="2" s="1"/>
  <c r="AB387" i="2"/>
  <c r="AB394" i="2"/>
  <c r="AB460" i="2"/>
  <c r="U351" i="2"/>
  <c r="V348" i="2"/>
  <c r="T462" i="2"/>
  <c r="T396" i="2"/>
  <c r="T398" i="2" s="1"/>
  <c r="T389" i="2"/>
  <c r="T391" i="2" s="1"/>
  <c r="AF362" i="1"/>
  <c r="AF169" i="2" s="1"/>
  <c r="AF173" i="2" s="1"/>
  <c r="AE169" i="2"/>
  <c r="AE173" i="2" s="1"/>
  <c r="AE443" i="2" s="1"/>
  <c r="AD168" i="2"/>
  <c r="AD172" i="2" s="1"/>
  <c r="AE361" i="1"/>
  <c r="AC442" i="2"/>
  <c r="AC444" i="2" s="1"/>
  <c r="AC449" i="2" s="1"/>
  <c r="AC174" i="2"/>
  <c r="AC184" i="2" s="1"/>
  <c r="AC186" i="2" s="1"/>
  <c r="R414" i="2"/>
  <c r="R416" i="2" s="1"/>
  <c r="R418" i="2" s="1"/>
  <c r="R468" i="2"/>
  <c r="R473" i="2" s="1"/>
  <c r="U462" i="2" l="1"/>
  <c r="U396" i="2"/>
  <c r="U398" i="2" s="1"/>
  <c r="U389" i="2"/>
  <c r="U391" i="2" s="1"/>
  <c r="AC460" i="2"/>
  <c r="AC387" i="2"/>
  <c r="AC394" i="2"/>
  <c r="W75" i="2"/>
  <c r="W423" i="2" s="1"/>
  <c r="W424" i="2" s="1"/>
  <c r="W426" i="2" s="1"/>
  <c r="W471" i="2" s="1"/>
  <c r="W79" i="2"/>
  <c r="X67" i="2" s="1"/>
  <c r="W77" i="2"/>
  <c r="W81" i="2" s="1"/>
  <c r="X69" i="2" s="1"/>
  <c r="W78" i="2"/>
  <c r="W82" i="2" s="1"/>
  <c r="X70" i="2" s="1"/>
  <c r="W76" i="2"/>
  <c r="W80" i="2" s="1"/>
  <c r="X68" i="2" s="1"/>
  <c r="AE168" i="2"/>
  <c r="AE172" i="2" s="1"/>
  <c r="AF361" i="1"/>
  <c r="AF168" i="2" s="1"/>
  <c r="AF172" i="2" s="1"/>
  <c r="AD442" i="2"/>
  <c r="AD444" i="2" s="1"/>
  <c r="AD449" i="2" s="1"/>
  <c r="AD174" i="2"/>
  <c r="AD184" i="2" s="1"/>
  <c r="AD186" i="2" s="1"/>
  <c r="V351" i="2"/>
  <c r="W348" i="2"/>
  <c r="AF443" i="2"/>
  <c r="H173" i="2"/>
  <c r="T404" i="2"/>
  <c r="T406" i="2" s="1"/>
  <c r="T417" i="2"/>
  <c r="T399" i="2"/>
  <c r="T400" i="2" s="1"/>
  <c r="T401" i="2" s="1"/>
  <c r="T469" i="2"/>
  <c r="T464" i="2"/>
  <c r="T467" i="2" s="1"/>
  <c r="S414" i="2"/>
  <c r="S416" i="2" s="1"/>
  <c r="S418" i="2" s="1"/>
  <c r="S468" i="2"/>
  <c r="S473" i="2" s="1"/>
  <c r="T433" i="2" l="1"/>
  <c r="T434" i="2" s="1"/>
  <c r="T447" i="2" s="1"/>
  <c r="T450" i="2" s="1"/>
  <c r="T454" i="2" s="1"/>
  <c r="T455" i="2" s="1"/>
  <c r="T409" i="2"/>
  <c r="T411" i="2" s="1"/>
  <c r="V462" i="2"/>
  <c r="V396" i="2"/>
  <c r="V398" i="2" s="1"/>
  <c r="V389" i="2"/>
  <c r="V391" i="2" s="1"/>
  <c r="AD387" i="2"/>
  <c r="AD460" i="2"/>
  <c r="AD394" i="2"/>
  <c r="AE442" i="2"/>
  <c r="AE444" i="2" s="1"/>
  <c r="AE449" i="2" s="1"/>
  <c r="AE174" i="2"/>
  <c r="AE184" i="2" s="1"/>
  <c r="AE186" i="2" s="1"/>
  <c r="W351" i="2"/>
  <c r="X348" i="2"/>
  <c r="AF442" i="2"/>
  <c r="AF444" i="2" s="1"/>
  <c r="AF449" i="2" s="1"/>
  <c r="AF174" i="2"/>
  <c r="H172" i="2"/>
  <c r="X82" i="2"/>
  <c r="Y70" i="2" s="1"/>
  <c r="X80" i="2"/>
  <c r="Y68" i="2" s="1"/>
  <c r="X81" i="2"/>
  <c r="Y69" i="2" s="1"/>
  <c r="X75" i="2"/>
  <c r="X423" i="2" s="1"/>
  <c r="X424" i="2" s="1"/>
  <c r="X426" i="2" s="1"/>
  <c r="X471" i="2" s="1"/>
  <c r="X79" i="2"/>
  <c r="Y67" i="2" s="1"/>
  <c r="X78" i="2"/>
  <c r="X76" i="2"/>
  <c r="X77" i="2"/>
  <c r="U417" i="2"/>
  <c r="U404" i="2"/>
  <c r="U406" i="2" s="1"/>
  <c r="U399" i="2"/>
  <c r="U400" i="2" s="1"/>
  <c r="U401" i="2"/>
  <c r="U469" i="2"/>
  <c r="U464" i="2"/>
  <c r="U467" i="2" s="1"/>
  <c r="AF184" i="2" l="1"/>
  <c r="H174" i="2"/>
  <c r="W396" i="2"/>
  <c r="W398" i="2" s="1"/>
  <c r="W389" i="2"/>
  <c r="W391" i="2" s="1"/>
  <c r="W462" i="2"/>
  <c r="AE387" i="2"/>
  <c r="AE460" i="2"/>
  <c r="AE394" i="2"/>
  <c r="Y75" i="2"/>
  <c r="Y423" i="2" s="1"/>
  <c r="Y424" i="2" s="1"/>
  <c r="Y426" i="2" s="1"/>
  <c r="Y471" i="2" s="1"/>
  <c r="Y79" i="2"/>
  <c r="Z67" i="2" s="1"/>
  <c r="Y78" i="2"/>
  <c r="Y77" i="2"/>
  <c r="Y81" i="2" s="1"/>
  <c r="Z69" i="2" s="1"/>
  <c r="Y76" i="2"/>
  <c r="Y80" i="2" s="1"/>
  <c r="Z68" i="2" s="1"/>
  <c r="T468" i="2"/>
  <c r="T473" i="2" s="1"/>
  <c r="T414" i="2"/>
  <c r="T416" i="2" s="1"/>
  <c r="T418" i="2" s="1"/>
  <c r="X351" i="2"/>
  <c r="Y348" i="2"/>
  <c r="U433" i="2"/>
  <c r="U434" i="2" s="1"/>
  <c r="U447" i="2" s="1"/>
  <c r="U450" i="2" s="1"/>
  <c r="U454" i="2" s="1"/>
  <c r="U455" i="2" s="1"/>
  <c r="U409" i="2"/>
  <c r="U411" i="2" s="1"/>
  <c r="V404" i="2"/>
  <c r="V406" i="2" s="1"/>
  <c r="V417" i="2"/>
  <c r="V399" i="2"/>
  <c r="V400" i="2" s="1"/>
  <c r="V401" i="2" s="1"/>
  <c r="V469" i="2"/>
  <c r="V464" i="2"/>
  <c r="V467" i="2" s="1"/>
  <c r="V409" i="2" l="1"/>
  <c r="V411" i="2" s="1"/>
  <c r="V433" i="2"/>
  <c r="V434" i="2" s="1"/>
  <c r="V447" i="2" s="1"/>
  <c r="V450" i="2" s="1"/>
  <c r="V454" i="2" s="1"/>
  <c r="V455" i="2" s="1"/>
  <c r="Z79" i="2"/>
  <c r="AA67" i="2" s="1"/>
  <c r="Z80" i="2"/>
  <c r="AA68" i="2" s="1"/>
  <c r="Z75" i="2"/>
  <c r="Z423" i="2" s="1"/>
  <c r="Z424" i="2" s="1"/>
  <c r="Z426" i="2" s="1"/>
  <c r="Z471" i="2" s="1"/>
  <c r="Z76" i="2"/>
  <c r="Z77" i="2"/>
  <c r="Z81" i="2" s="1"/>
  <c r="AA69" i="2" s="1"/>
  <c r="Y82" i="2"/>
  <c r="Z70" i="2" s="1"/>
  <c r="W404" i="2"/>
  <c r="W406" i="2" s="1"/>
  <c r="W417" i="2"/>
  <c r="W399" i="2"/>
  <c r="W400" i="2" s="1"/>
  <c r="W401" i="2" s="1"/>
  <c r="W469" i="2"/>
  <c r="W464" i="2"/>
  <c r="W467" i="2" s="1"/>
  <c r="AF186" i="2"/>
  <c r="H184" i="2"/>
  <c r="U414" i="2"/>
  <c r="U416" i="2" s="1"/>
  <c r="U418" i="2" s="1"/>
  <c r="U468" i="2"/>
  <c r="U473" i="2" s="1"/>
  <c r="Y351" i="2"/>
  <c r="Z348" i="2"/>
  <c r="X389" i="2"/>
  <c r="X391" i="2" s="1"/>
  <c r="X396" i="2"/>
  <c r="X398" i="2" s="1"/>
  <c r="X462" i="2"/>
  <c r="W433" i="2" l="1"/>
  <c r="W434" i="2" s="1"/>
  <c r="W447" i="2" s="1"/>
  <c r="W450" i="2" s="1"/>
  <c r="W454" i="2" s="1"/>
  <c r="W455" i="2" s="1"/>
  <c r="W409" i="2"/>
  <c r="W411" i="2" s="1"/>
  <c r="AF387" i="2"/>
  <c r="AF460" i="2"/>
  <c r="AF394" i="2"/>
  <c r="H186" i="2"/>
  <c r="Z78" i="2"/>
  <c r="Z82" i="2" s="1"/>
  <c r="AA70" i="2" s="1"/>
  <c r="X469" i="2"/>
  <c r="X464" i="2"/>
  <c r="X467" i="2" s="1"/>
  <c r="X401" i="2"/>
  <c r="X399" i="2"/>
  <c r="X400" i="2" s="1"/>
  <c r="X417" i="2"/>
  <c r="X404" i="2"/>
  <c r="X406" i="2" s="1"/>
  <c r="AA75" i="2"/>
  <c r="AA423" i="2" s="1"/>
  <c r="AA424" i="2" s="1"/>
  <c r="AA426" i="2" s="1"/>
  <c r="AA471" i="2" s="1"/>
  <c r="AA79" i="2"/>
  <c r="AB67" i="2" s="1"/>
  <c r="AA77" i="2"/>
  <c r="Z351" i="2"/>
  <c r="AA348" i="2"/>
  <c r="Y389" i="2"/>
  <c r="Y391" i="2" s="1"/>
  <c r="Y396" i="2"/>
  <c r="Y398" i="2" s="1"/>
  <c r="Y462" i="2"/>
  <c r="V468" i="2"/>
  <c r="V473" i="2" s="1"/>
  <c r="V414" i="2"/>
  <c r="V416" i="2" s="1"/>
  <c r="V418" i="2" s="1"/>
  <c r="AA78" i="2" l="1"/>
  <c r="AA82" i="2" s="1"/>
  <c r="AB70" i="2" s="1"/>
  <c r="AB78" i="2" s="1"/>
  <c r="AA81" i="2"/>
  <c r="AB69" i="2" s="1"/>
  <c r="X433" i="2"/>
  <c r="X434" i="2" s="1"/>
  <c r="X447" i="2" s="1"/>
  <c r="X450" i="2" s="1"/>
  <c r="X454" i="2" s="1"/>
  <c r="X455" i="2" s="1"/>
  <c r="X409" i="2"/>
  <c r="X411" i="2" s="1"/>
  <c r="AB75" i="2"/>
  <c r="AB423" i="2" s="1"/>
  <c r="AB424" i="2" s="1"/>
  <c r="AB426" i="2" s="1"/>
  <c r="AB471" i="2" s="1"/>
  <c r="AB77" i="2"/>
  <c r="Y469" i="2"/>
  <c r="Y464" i="2"/>
  <c r="Y467" i="2" s="1"/>
  <c r="H460" i="2"/>
  <c r="Y399" i="2"/>
  <c r="Y400" i="2" s="1"/>
  <c r="Y401" i="2" s="1"/>
  <c r="H387" i="2"/>
  <c r="Y404" i="2"/>
  <c r="Y406" i="2" s="1"/>
  <c r="Y417" i="2"/>
  <c r="AA351" i="2"/>
  <c r="W468" i="2"/>
  <c r="W473" i="2" s="1"/>
  <c r="W414" i="2"/>
  <c r="W416" i="2" s="1"/>
  <c r="W418" i="2" s="1"/>
  <c r="Z389" i="2"/>
  <c r="Z391" i="2" s="1"/>
  <c r="Z396" i="2"/>
  <c r="Z398" i="2" s="1"/>
  <c r="Z462" i="2"/>
  <c r="AA76" i="2"/>
  <c r="AA80" i="2" s="1"/>
  <c r="AB68" i="2" s="1"/>
  <c r="AB76" i="2" s="1"/>
  <c r="Y433" i="2" l="1"/>
  <c r="Y434" i="2" s="1"/>
  <c r="Y447" i="2" s="1"/>
  <c r="Y450" i="2" s="1"/>
  <c r="Y454" i="2" s="1"/>
  <c r="Y455" i="2" s="1"/>
  <c r="Y409" i="2"/>
  <c r="Y411" i="2" s="1"/>
  <c r="Z469" i="2"/>
  <c r="Z464" i="2"/>
  <c r="Z467" i="2" s="1"/>
  <c r="Z399" i="2"/>
  <c r="Z400" i="2" s="1"/>
  <c r="Z401" i="2" s="1"/>
  <c r="AB81" i="2"/>
  <c r="AC69" i="2" s="1"/>
  <c r="Z417" i="2"/>
  <c r="Z404" i="2"/>
  <c r="Z406" i="2" s="1"/>
  <c r="AB82" i="2"/>
  <c r="AC70" i="2" s="1"/>
  <c r="AB79" i="2"/>
  <c r="AC67" i="2" s="1"/>
  <c r="AB80" i="2"/>
  <c r="AC68" i="2" s="1"/>
  <c r="AA462" i="2"/>
  <c r="AA396" i="2"/>
  <c r="AA398" i="2" s="1"/>
  <c r="AA389" i="2"/>
  <c r="AA391" i="2" s="1"/>
  <c r="X468" i="2"/>
  <c r="X473" i="2" s="1"/>
  <c r="X414" i="2"/>
  <c r="X416" i="2" s="1"/>
  <c r="X418" i="2" s="1"/>
  <c r="AB348" i="2"/>
  <c r="Z409" i="2" l="1"/>
  <c r="Z411" i="2" s="1"/>
  <c r="Z433" i="2"/>
  <c r="Z434" i="2" s="1"/>
  <c r="Z447" i="2" s="1"/>
  <c r="Z450" i="2" s="1"/>
  <c r="Z454" i="2" s="1"/>
  <c r="Z455" i="2" s="1"/>
  <c r="AB351" i="2"/>
  <c r="AA401" i="2"/>
  <c r="AA399" i="2"/>
  <c r="AA400" i="2" s="1"/>
  <c r="AC75" i="2"/>
  <c r="AC423" i="2" s="1"/>
  <c r="AC424" i="2" s="1"/>
  <c r="AC426" i="2" s="1"/>
  <c r="AC471" i="2" s="1"/>
  <c r="AC79" i="2"/>
  <c r="AD67" i="2" s="1"/>
  <c r="AC78" i="2"/>
  <c r="AC82" i="2" s="1"/>
  <c r="AD70" i="2" s="1"/>
  <c r="AC76" i="2"/>
  <c r="AA417" i="2"/>
  <c r="AA404" i="2"/>
  <c r="AA406" i="2" s="1"/>
  <c r="AA469" i="2"/>
  <c r="AA464" i="2"/>
  <c r="AA467" i="2" s="1"/>
  <c r="Y468" i="2"/>
  <c r="Y473" i="2" s="1"/>
  <c r="Y414" i="2"/>
  <c r="Y416" i="2" s="1"/>
  <c r="Y418" i="2" s="1"/>
  <c r="AC77" i="2" l="1"/>
  <c r="AC81" i="2" s="1"/>
  <c r="AD69" i="2" s="1"/>
  <c r="AD75" i="2"/>
  <c r="AD423" i="2" s="1"/>
  <c r="AD424" i="2" s="1"/>
  <c r="AD426" i="2" s="1"/>
  <c r="AD471" i="2" s="1"/>
  <c r="AD77" i="2"/>
  <c r="AC80" i="2"/>
  <c r="AD68" i="2" s="1"/>
  <c r="AB462" i="2"/>
  <c r="AB396" i="2"/>
  <c r="AB398" i="2" s="1"/>
  <c r="AB389" i="2"/>
  <c r="AB391" i="2" s="1"/>
  <c r="AA433" i="2"/>
  <c r="AA434" i="2" s="1"/>
  <c r="AA447" i="2" s="1"/>
  <c r="AA450" i="2" s="1"/>
  <c r="AA454" i="2" s="1"/>
  <c r="AA455" i="2" s="1"/>
  <c r="AA409" i="2"/>
  <c r="AA411" i="2" s="1"/>
  <c r="AC348" i="2"/>
  <c r="Z468" i="2"/>
  <c r="Z473" i="2" s="1"/>
  <c r="Z414" i="2"/>
  <c r="Z416" i="2" s="1"/>
  <c r="Z418" i="2" s="1"/>
  <c r="AA468" i="2" l="1"/>
  <c r="AA473" i="2" s="1"/>
  <c r="AA414" i="2"/>
  <c r="AA416" i="2" s="1"/>
  <c r="AA418" i="2" s="1"/>
  <c r="AB417" i="2"/>
  <c r="AB404" i="2"/>
  <c r="AB406" i="2" s="1"/>
  <c r="AD76" i="2"/>
  <c r="AD80" i="2" s="1"/>
  <c r="AE68" i="2" s="1"/>
  <c r="AD81" i="2"/>
  <c r="AE69" i="2" s="1"/>
  <c r="AD78" i="2"/>
  <c r="AD82" i="2" s="1"/>
  <c r="AE70" i="2" s="1"/>
  <c r="AC351" i="2"/>
  <c r="AB399" i="2"/>
  <c r="AB400" i="2" s="1"/>
  <c r="AB401" i="2" s="1"/>
  <c r="AB469" i="2"/>
  <c r="AB464" i="2"/>
  <c r="AB467" i="2" s="1"/>
  <c r="AD79" i="2"/>
  <c r="AE67" i="2" s="1"/>
  <c r="AB433" i="2" l="1"/>
  <c r="AB434" i="2" s="1"/>
  <c r="AB447" i="2" s="1"/>
  <c r="AB450" i="2" s="1"/>
  <c r="AB454" i="2" s="1"/>
  <c r="AB455" i="2" s="1"/>
  <c r="AB409" i="2"/>
  <c r="AB411" i="2" s="1"/>
  <c r="AE75" i="2"/>
  <c r="AE423" i="2" s="1"/>
  <c r="AE424" i="2" s="1"/>
  <c r="AE426" i="2" s="1"/>
  <c r="AE471" i="2" s="1"/>
  <c r="AE77" i="2"/>
  <c r="AE81" i="2" s="1"/>
  <c r="AF69" i="2" s="1"/>
  <c r="AE78" i="2"/>
  <c r="AE82" i="2" s="1"/>
  <c r="AF70" i="2" s="1"/>
  <c r="AE76" i="2"/>
  <c r="AC396" i="2"/>
  <c r="AC398" i="2" s="1"/>
  <c r="AC462" i="2"/>
  <c r="AC389" i="2"/>
  <c r="AC391" i="2" s="1"/>
  <c r="AD348" i="2"/>
  <c r="AD351" i="2" l="1"/>
  <c r="AE348" i="2"/>
  <c r="AC399" i="2"/>
  <c r="AC400" i="2" s="1"/>
  <c r="AC401" i="2" s="1"/>
  <c r="AC417" i="2"/>
  <c r="AC404" i="2"/>
  <c r="AC406" i="2" s="1"/>
  <c r="AC469" i="2"/>
  <c r="AC464" i="2"/>
  <c r="AC467" i="2" s="1"/>
  <c r="AE80" i="2"/>
  <c r="AF68" i="2" s="1"/>
  <c r="AE79" i="2"/>
  <c r="AF67" i="2" s="1"/>
  <c r="AB468" i="2"/>
  <c r="AB473" i="2" s="1"/>
  <c r="AB414" i="2"/>
  <c r="AB416" i="2" s="1"/>
  <c r="AB418" i="2" s="1"/>
  <c r="AC409" i="2" l="1"/>
  <c r="AC411" i="2" s="1"/>
  <c r="AC433" i="2"/>
  <c r="AC434" i="2" s="1"/>
  <c r="AC447" i="2" s="1"/>
  <c r="AC450" i="2" s="1"/>
  <c r="AC454" i="2" s="1"/>
  <c r="AC455" i="2" s="1"/>
  <c r="AF75" i="2"/>
  <c r="AF423" i="2" s="1"/>
  <c r="AF424" i="2" s="1"/>
  <c r="AF426" i="2" s="1"/>
  <c r="AF471" i="2" s="1"/>
  <c r="H471" i="2" s="1"/>
  <c r="AF76" i="2"/>
  <c r="AF77" i="2"/>
  <c r="AE351" i="2"/>
  <c r="AD462" i="2"/>
  <c r="AD389" i="2"/>
  <c r="AD391" i="2" s="1"/>
  <c r="AD396" i="2"/>
  <c r="AD398" i="2" s="1"/>
  <c r="AD399" i="2" l="1"/>
  <c r="AD400" i="2" s="1"/>
  <c r="AD401" i="2"/>
  <c r="AD469" i="2"/>
  <c r="AD464" i="2"/>
  <c r="AD467" i="2" s="1"/>
  <c r="AF82" i="2"/>
  <c r="AD417" i="2"/>
  <c r="AD404" i="2"/>
  <c r="AD406" i="2" s="1"/>
  <c r="AE462" i="2"/>
  <c r="AE389" i="2"/>
  <c r="AE391" i="2" s="1"/>
  <c r="AE396" i="2"/>
  <c r="AE398" i="2" s="1"/>
  <c r="AF348" i="2"/>
  <c r="AF351" i="2" s="1"/>
  <c r="AF78" i="2"/>
  <c r="AF80" i="2"/>
  <c r="AF81" i="2"/>
  <c r="AF79" i="2"/>
  <c r="AC468" i="2"/>
  <c r="AC473" i="2" s="1"/>
  <c r="AC414" i="2"/>
  <c r="AC416" i="2" s="1"/>
  <c r="AC418" i="2" s="1"/>
  <c r="AF462" i="2" l="1"/>
  <c r="AF389" i="2"/>
  <c r="AF396" i="2"/>
  <c r="AF398" i="2" s="1"/>
  <c r="AE404" i="2"/>
  <c r="AE406" i="2" s="1"/>
  <c r="AE417" i="2"/>
  <c r="AE469" i="2"/>
  <c r="AE464" i="2"/>
  <c r="AE467" i="2" s="1"/>
  <c r="AE399" i="2"/>
  <c r="AE400" i="2" s="1"/>
  <c r="AE401" i="2" s="1"/>
  <c r="AD433" i="2"/>
  <c r="AD434" i="2" s="1"/>
  <c r="AD447" i="2" s="1"/>
  <c r="AD450" i="2" s="1"/>
  <c r="AD454" i="2" s="1"/>
  <c r="AD455" i="2" s="1"/>
  <c r="AD409" i="2"/>
  <c r="AD411" i="2" s="1"/>
  <c r="AE433" i="2" l="1"/>
  <c r="AE434" i="2" s="1"/>
  <c r="AE447" i="2" s="1"/>
  <c r="AE450" i="2" s="1"/>
  <c r="AE454" i="2" s="1"/>
  <c r="AE455" i="2" s="1"/>
  <c r="AE409" i="2"/>
  <c r="AE411" i="2" s="1"/>
  <c r="AD468" i="2"/>
  <c r="AD473" i="2" s="1"/>
  <c r="AD414" i="2"/>
  <c r="AD416" i="2" s="1"/>
  <c r="AD418" i="2" s="1"/>
  <c r="AF399" i="2"/>
  <c r="AF400" i="2" s="1"/>
  <c r="AF401" i="2"/>
  <c r="H389" i="2"/>
  <c r="AF391" i="2"/>
  <c r="AF469" i="2"/>
  <c r="H469" i="2" s="1"/>
  <c r="H462" i="2"/>
  <c r="AF464" i="2"/>
  <c r="AF404" i="2" l="1"/>
  <c r="AF417" i="2"/>
  <c r="H417" i="2" s="1"/>
  <c r="H391" i="2"/>
  <c r="AF433" i="2"/>
  <c r="AF434" i="2" s="1"/>
  <c r="AF447" i="2" s="1"/>
  <c r="AF450" i="2" s="1"/>
  <c r="AF454" i="2" s="1"/>
  <c r="AF455" i="2" s="1"/>
  <c r="H401" i="2"/>
  <c r="AE414" i="2"/>
  <c r="AE416" i="2" s="1"/>
  <c r="AE418" i="2" s="1"/>
  <c r="AE468" i="2"/>
  <c r="AE473" i="2" s="1"/>
  <c r="AF467" i="2"/>
  <c r="H464" i="2"/>
  <c r="H467" i="2" l="1"/>
  <c r="AF406" i="2"/>
  <c r="H404" i="2"/>
  <c r="H406" i="2" l="1"/>
  <c r="AF409" i="2"/>
  <c r="AF411" i="2" s="1"/>
  <c r="AF414" i="2" l="1"/>
  <c r="AF416" i="2" s="1"/>
  <c r="AF418" i="2" s="1"/>
  <c r="H418" i="2" s="1"/>
  <c r="AF468" i="2"/>
  <c r="AF473" i="2" s="1"/>
  <c r="E476" i="2" l="1"/>
  <c r="F476" i="2"/>
  <c r="H473" i="2"/>
</calcChain>
</file>

<file path=xl/sharedStrings.xml><?xml version="1.0" encoding="utf-8"?>
<sst xmlns="http://schemas.openxmlformats.org/spreadsheetml/2006/main" count="1859" uniqueCount="300">
  <si>
    <t>Units</t>
  </si>
  <si>
    <t>Average / Total</t>
  </si>
  <si>
    <t>Production</t>
    <phoneticPr fontId="0" type="noConversion"/>
  </si>
  <si>
    <t>Units</t>
    <phoneticPr fontId="0" type="noConversion"/>
  </si>
  <si>
    <t>Average / Total</t>
    <phoneticPr fontId="0" type="noConversion"/>
  </si>
  <si>
    <t>Candelaria Open Pit to Candelaria Plant</t>
    <phoneticPr fontId="0" type="noConversion"/>
  </si>
  <si>
    <t>Candelaria Open Pit Waste Mined</t>
    <phoneticPr fontId="0" type="noConversion"/>
  </si>
  <si>
    <t>Base Case</t>
    <phoneticPr fontId="0" type="noConversion"/>
  </si>
  <si>
    <t>Kt</t>
    <phoneticPr fontId="0" type="noConversion"/>
  </si>
  <si>
    <t>Base Case + 10%</t>
    <phoneticPr fontId="0" type="noConversion"/>
  </si>
  <si>
    <t>Base Case - 10%</t>
    <phoneticPr fontId="0" type="noConversion"/>
  </si>
  <si>
    <t>Free #1</t>
    <phoneticPr fontId="0" type="noConversion"/>
  </si>
  <si>
    <t>Free #2</t>
    <phoneticPr fontId="0" type="noConversion"/>
  </si>
  <si>
    <t>Candelaria Open Pit Ore to Mill</t>
    <phoneticPr fontId="0" type="noConversion"/>
  </si>
  <si>
    <t>Cu Grade</t>
    <phoneticPr fontId="0" type="noConversion"/>
  </si>
  <si>
    <t>Cu (%)</t>
    <phoneticPr fontId="0" type="noConversion"/>
  </si>
  <si>
    <t>Au Grade</t>
    <phoneticPr fontId="0" type="noConversion"/>
  </si>
  <si>
    <t>Au (g/t)</t>
    <phoneticPr fontId="0" type="noConversion"/>
  </si>
  <si>
    <t>Ag Grade</t>
    <phoneticPr fontId="0" type="noConversion"/>
  </si>
  <si>
    <t>Ag (g/t)</t>
    <phoneticPr fontId="0" type="noConversion"/>
  </si>
  <si>
    <t>Espanola to Candelaria Plant</t>
    <phoneticPr fontId="0" type="noConversion"/>
  </si>
  <si>
    <t>Espanola Open Pit Waste Mined</t>
    <phoneticPr fontId="0" type="noConversion"/>
  </si>
  <si>
    <t>Espanola Open Pit Ore to Mill</t>
    <phoneticPr fontId="0" type="noConversion"/>
  </si>
  <si>
    <t>Candelaria Open Pit + Espanola to WIP</t>
    <phoneticPr fontId="0" type="noConversion"/>
  </si>
  <si>
    <t>Candelaria Open Pit + Espanola Ore to WIP</t>
    <phoneticPr fontId="0" type="noConversion"/>
  </si>
  <si>
    <t>WIP Rehandle to Candelaria Plant</t>
    <phoneticPr fontId="0" type="noConversion"/>
  </si>
  <si>
    <t>WIP Rehandle Ore to Mill</t>
    <phoneticPr fontId="0" type="noConversion"/>
  </si>
  <si>
    <t>Candelaria Underground Ore to Candelaria Plant</t>
    <phoneticPr fontId="0" type="noConversion"/>
  </si>
  <si>
    <t>Candelaria Underground Ore to Mill</t>
    <phoneticPr fontId="0" type="noConversion"/>
  </si>
  <si>
    <t>Santos to Candelaria Plant</t>
    <phoneticPr fontId="0" type="noConversion"/>
  </si>
  <si>
    <t>Alcaparrosa to Candelaria Plant</t>
    <phoneticPr fontId="0" type="noConversion"/>
  </si>
  <si>
    <t>Alcaparrosa Ore to Mill</t>
    <phoneticPr fontId="0" type="noConversion"/>
  </si>
  <si>
    <t>Santos to PAC Plant</t>
    <phoneticPr fontId="0" type="noConversion"/>
  </si>
  <si>
    <t>Santos Ore to Mill</t>
    <phoneticPr fontId="0" type="noConversion"/>
  </si>
  <si>
    <t>Candelaria Plant Recovery</t>
    <phoneticPr fontId="0" type="noConversion"/>
  </si>
  <si>
    <t>Cu Recovery</t>
    <phoneticPr fontId="0" type="noConversion"/>
  </si>
  <si>
    <t xml:space="preserve">% Cu </t>
    <phoneticPr fontId="0" type="noConversion"/>
  </si>
  <si>
    <t>Au Recovery</t>
    <phoneticPr fontId="0" type="noConversion"/>
  </si>
  <si>
    <t>% Au</t>
    <phoneticPr fontId="0" type="noConversion"/>
  </si>
  <si>
    <t>Ag Recovery</t>
    <phoneticPr fontId="0" type="noConversion"/>
  </si>
  <si>
    <t>% Ag</t>
    <phoneticPr fontId="0" type="noConversion"/>
  </si>
  <si>
    <t>PAC Plant Recovery</t>
    <phoneticPr fontId="0" type="noConversion"/>
  </si>
  <si>
    <t>hardcode</t>
    <phoneticPr fontId="0" type="noConversion"/>
  </si>
  <si>
    <t>Treatment and Refining Charges</t>
    <phoneticPr fontId="0" type="noConversion"/>
  </si>
  <si>
    <t>Payability</t>
    <phoneticPr fontId="0" type="noConversion"/>
  </si>
  <si>
    <t>Payability Cu</t>
    <phoneticPr fontId="0" type="noConversion"/>
  </si>
  <si>
    <t>Payability Au</t>
    <phoneticPr fontId="0" type="noConversion"/>
  </si>
  <si>
    <t>Payability Ag</t>
    <phoneticPr fontId="0" type="noConversion"/>
  </si>
  <si>
    <t>Concentrate Characteristics</t>
    <phoneticPr fontId="0" type="noConversion"/>
  </si>
  <si>
    <t>Concentrate Moisture</t>
    <phoneticPr fontId="0" type="noConversion"/>
  </si>
  <si>
    <t>%</t>
    <phoneticPr fontId="0" type="noConversion"/>
  </si>
  <si>
    <t>Concentrate Copper Grade</t>
    <phoneticPr fontId="0" type="noConversion"/>
  </si>
  <si>
    <t>% Cu</t>
    <phoneticPr fontId="0" type="noConversion"/>
  </si>
  <si>
    <t>Down Stream Costs</t>
    <phoneticPr fontId="0" type="noConversion"/>
  </si>
  <si>
    <t>Concentrate Freight Cost</t>
    <phoneticPr fontId="0" type="noConversion"/>
  </si>
  <si>
    <t>$US / wmt</t>
    <phoneticPr fontId="0" type="noConversion"/>
  </si>
  <si>
    <t>Smelting Cost</t>
    <phoneticPr fontId="0" type="noConversion"/>
  </si>
  <si>
    <t>$US / dmt</t>
    <phoneticPr fontId="0" type="noConversion"/>
  </si>
  <si>
    <t>Cu Refining Cost</t>
    <phoneticPr fontId="0" type="noConversion"/>
  </si>
  <si>
    <t>$US / lb Cu</t>
    <phoneticPr fontId="0" type="noConversion"/>
  </si>
  <si>
    <t>Au Refining Cost</t>
    <phoneticPr fontId="0" type="noConversion"/>
  </si>
  <si>
    <t>$US / oz Au</t>
  </si>
  <si>
    <t>Ag Refining Cost</t>
    <phoneticPr fontId="0" type="noConversion"/>
  </si>
  <si>
    <t>$US / oz Ag</t>
  </si>
  <si>
    <t>Freight To Market and Sales Cost</t>
    <phoneticPr fontId="0" type="noConversion"/>
  </si>
  <si>
    <t>Franco Neveda Stream Terms</t>
    <phoneticPr fontId="0" type="noConversion"/>
  </si>
  <si>
    <t>Franco Neveda Stream Terms</t>
  </si>
  <si>
    <t>% Au sold through France Nevada Stream</t>
  </si>
  <si>
    <t>% Ag sold through France Nevada Stream</t>
  </si>
  <si>
    <t>Au Price - Franco Nevada Stream</t>
  </si>
  <si>
    <t>Ag Price - Franco Nevada Stream</t>
  </si>
  <si>
    <t>Operation Expense</t>
    <phoneticPr fontId="0" type="noConversion"/>
  </si>
  <si>
    <t>Candelaria Open Pit Mining Cost</t>
  </si>
  <si>
    <t>Labor</t>
    <phoneticPr fontId="0" type="noConversion"/>
  </si>
  <si>
    <t>$US / t moved</t>
    <phoneticPr fontId="0" type="noConversion"/>
  </si>
  <si>
    <t>Contractors</t>
    <phoneticPr fontId="0" type="noConversion"/>
  </si>
  <si>
    <t>Supplies</t>
    <phoneticPr fontId="0" type="noConversion"/>
  </si>
  <si>
    <t>Energy</t>
    <phoneticPr fontId="0" type="noConversion"/>
  </si>
  <si>
    <t>Others</t>
    <phoneticPr fontId="0" type="noConversion"/>
  </si>
  <si>
    <t>Candelaria Underground Mining Cost</t>
  </si>
  <si>
    <t>$US / t ore mined</t>
    <phoneticPr fontId="0" type="noConversion"/>
  </si>
  <si>
    <t>Ojos de Salado Mining Cost</t>
  </si>
  <si>
    <t>Minera Candelaria Processing Cost</t>
    <phoneticPr fontId="0" type="noConversion"/>
  </si>
  <si>
    <t>$US / t processed</t>
    <phoneticPr fontId="0" type="noConversion"/>
  </si>
  <si>
    <t>Minera Ojos de Salado Processing Cost</t>
  </si>
  <si>
    <t>Minera Candelaria G&amp;A Cost</t>
  </si>
  <si>
    <t>Minera Ojos de Salado G&amp;A Cost</t>
  </si>
  <si>
    <t>Capex</t>
    <phoneticPr fontId="0" type="noConversion"/>
  </si>
  <si>
    <t>Forecast Capex on Minera Candelaria</t>
    <phoneticPr fontId="0" type="noConversion"/>
  </si>
  <si>
    <t>Mine Open Pit</t>
    <phoneticPr fontId="0" type="noConversion"/>
  </si>
  <si>
    <t>$M</t>
    <phoneticPr fontId="0" type="noConversion"/>
  </si>
  <si>
    <t>Mine Underground</t>
    <phoneticPr fontId="0" type="noConversion"/>
  </si>
  <si>
    <t>Mill</t>
    <phoneticPr fontId="0" type="noConversion"/>
  </si>
  <si>
    <t>Tailings</t>
    <phoneticPr fontId="0" type="noConversion"/>
  </si>
  <si>
    <t>General &amp; Administrative</t>
    <phoneticPr fontId="0" type="noConversion"/>
  </si>
  <si>
    <t>Seems to be calculated</t>
    <phoneticPr fontId="0" type="noConversion"/>
  </si>
  <si>
    <t>Capitalized Stripping</t>
    <phoneticPr fontId="0" type="noConversion"/>
  </si>
  <si>
    <t>Forecast Capex on Minera Ojos de Salado</t>
    <phoneticPr fontId="0" type="noConversion"/>
  </si>
  <si>
    <t>Price Deck</t>
    <phoneticPr fontId="0" type="noConversion"/>
  </si>
  <si>
    <t>Average/Total</t>
    <phoneticPr fontId="0" type="noConversion"/>
  </si>
  <si>
    <t>Live Price Deck</t>
    <phoneticPr fontId="0" type="noConversion"/>
  </si>
  <si>
    <t>Cu</t>
    <phoneticPr fontId="0" type="noConversion"/>
  </si>
  <si>
    <t>Au</t>
    <phoneticPr fontId="0" type="noConversion"/>
  </si>
  <si>
    <t>Ag</t>
    <phoneticPr fontId="0" type="noConversion"/>
  </si>
  <si>
    <t>Mine Plan</t>
    <phoneticPr fontId="0" type="noConversion"/>
  </si>
  <si>
    <t>Ore to Candelaria Plant</t>
    <phoneticPr fontId="0" type="noConversion"/>
  </si>
  <si>
    <t>Cu</t>
  </si>
  <si>
    <t>Au</t>
  </si>
  <si>
    <t>g/t</t>
    <phoneticPr fontId="0" type="noConversion"/>
  </si>
  <si>
    <t>Ag</t>
  </si>
  <si>
    <t>Espanola Ore to Mill</t>
    <phoneticPr fontId="0" type="noConversion"/>
  </si>
  <si>
    <t>Espanola Open Pit Waste Mined</t>
  </si>
  <si>
    <t>Candelaria Open Pit + Espanola to WIP</t>
  </si>
  <si>
    <t>Candelaria Underground Ore to Mill</t>
  </si>
  <si>
    <t>Santos Ore to Candelaria Mill</t>
    <phoneticPr fontId="0" type="noConversion"/>
  </si>
  <si>
    <t>Santos Ore to PAC Mill</t>
    <phoneticPr fontId="0" type="noConversion"/>
  </si>
  <si>
    <t>Ore to PAC Plant</t>
    <phoneticPr fontId="0" type="noConversion"/>
  </si>
  <si>
    <t>Inventory Movement</t>
    <phoneticPr fontId="0" type="noConversion"/>
  </si>
  <si>
    <t>WIP Movement</t>
    <phoneticPr fontId="0" type="noConversion"/>
  </si>
  <si>
    <t>Beginning WIP Balance</t>
    <phoneticPr fontId="0" type="noConversion"/>
  </si>
  <si>
    <t>WIP Inflow</t>
    <phoneticPr fontId="0" type="noConversion"/>
  </si>
  <si>
    <t>WIP Outflow</t>
    <phoneticPr fontId="0" type="noConversion"/>
  </si>
  <si>
    <t>Ending WIP Balance</t>
    <phoneticPr fontId="0" type="noConversion"/>
  </si>
  <si>
    <t>Mill Production</t>
    <phoneticPr fontId="0" type="noConversion"/>
  </si>
  <si>
    <t>Total Ore to Candelaria Plant</t>
    <phoneticPr fontId="0" type="noConversion"/>
  </si>
  <si>
    <t>Total Cu in Concentrate to Candelaria Plant</t>
  </si>
  <si>
    <t>Kt</t>
  </si>
  <si>
    <t>Total Au in Concentrate to Candelaria Plant</t>
  </si>
  <si>
    <t>Koz</t>
  </si>
  <si>
    <t>Total Ag in Concentrate to Candelaria Plant</t>
  </si>
  <si>
    <t>Cu Recovery - Candelaria Plant</t>
    <phoneticPr fontId="0" type="noConversion"/>
  </si>
  <si>
    <t>Au Recovery - Candelaria Plant</t>
    <phoneticPr fontId="0" type="noConversion"/>
  </si>
  <si>
    <t>Ag Recovery - Candelaria Plant</t>
    <phoneticPr fontId="0" type="noConversion"/>
  </si>
  <si>
    <t>Recovered Cu in Concentrate - Candelaria Plant</t>
    <phoneticPr fontId="0" type="noConversion"/>
  </si>
  <si>
    <t>Recovered Au in Concentrate - Candelaria Plant</t>
    <phoneticPr fontId="0" type="noConversion"/>
  </si>
  <si>
    <t>Koz</t>
    <phoneticPr fontId="0" type="noConversion"/>
  </si>
  <si>
    <t>Recovered Ag in Concentrate - Candelaria Plant</t>
    <phoneticPr fontId="0" type="noConversion"/>
  </si>
  <si>
    <t>Total Ore to PAC</t>
    <phoneticPr fontId="0" type="noConversion"/>
  </si>
  <si>
    <t>Total Cu in Concentrate to PAC Plant</t>
  </si>
  <si>
    <t>Total Au in Concentrate to PAC Plant</t>
  </si>
  <si>
    <t>Total Ag in Concentrate to PAC Plant</t>
  </si>
  <si>
    <t>Cu Recovery - PAC Plant</t>
    <phoneticPr fontId="0" type="noConversion"/>
  </si>
  <si>
    <t>Au Recovery - PAC Plant</t>
    <phoneticPr fontId="0" type="noConversion"/>
  </si>
  <si>
    <t>Ag Recovery - PAC Plant</t>
    <phoneticPr fontId="0" type="noConversion"/>
  </si>
  <si>
    <t>Recovered Cu in Concentrate - PAC Plant</t>
    <phoneticPr fontId="0" type="noConversion"/>
  </si>
  <si>
    <t>Recovered Au in Concentrate - PAC Plant</t>
    <phoneticPr fontId="0" type="noConversion"/>
  </si>
  <si>
    <t>Recovered Ag in Concentrate - PAC Plant</t>
    <phoneticPr fontId="0" type="noConversion"/>
  </si>
  <si>
    <t>Payable Metals</t>
    <phoneticPr fontId="0" type="noConversion"/>
  </si>
  <si>
    <t>Total Cu in Concentrate</t>
    <phoneticPr fontId="0" type="noConversion"/>
  </si>
  <si>
    <t>Total Au in Concentrate</t>
    <phoneticPr fontId="0" type="noConversion"/>
  </si>
  <si>
    <t>Total Ag in Concentrate</t>
    <phoneticPr fontId="0" type="noConversion"/>
  </si>
  <si>
    <t>Payability - Cu</t>
    <phoneticPr fontId="0" type="noConversion"/>
  </si>
  <si>
    <t>Payability - Au</t>
    <phoneticPr fontId="0" type="noConversion"/>
  </si>
  <si>
    <t>Payability - Ag</t>
    <phoneticPr fontId="0" type="noConversion"/>
  </si>
  <si>
    <t>Payable Cu</t>
    <phoneticPr fontId="0" type="noConversion"/>
  </si>
  <si>
    <t>Payable Au</t>
    <phoneticPr fontId="0" type="noConversion"/>
  </si>
  <si>
    <t>Payable Ag</t>
    <phoneticPr fontId="0" type="noConversion"/>
  </si>
  <si>
    <t>Revenue</t>
    <phoneticPr fontId="0" type="noConversion"/>
  </si>
  <si>
    <t>Copper Contained In Concentrate</t>
    <phoneticPr fontId="0" type="noConversion"/>
  </si>
  <si>
    <t>kT</t>
    <phoneticPr fontId="0" type="noConversion"/>
  </si>
  <si>
    <t>Wet Metric Tonnes of Copper</t>
    <phoneticPr fontId="0" type="noConversion"/>
  </si>
  <si>
    <t>Dry Metric Tonnes of Copper</t>
    <phoneticPr fontId="0" type="noConversion"/>
  </si>
  <si>
    <t>Refining Cost</t>
    <phoneticPr fontId="0" type="noConversion"/>
  </si>
  <si>
    <t>Payable Cu In Concentrate</t>
  </si>
  <si>
    <t>Cu Refining Cost</t>
  </si>
  <si>
    <t>Payable Au In Concentrate</t>
    <phoneticPr fontId="0" type="noConversion"/>
  </si>
  <si>
    <t>Au Refining Cost</t>
  </si>
  <si>
    <t>$US / oz Au</t>
    <phoneticPr fontId="0" type="noConversion"/>
  </si>
  <si>
    <t>Payable Ag In Concentrate</t>
    <phoneticPr fontId="0" type="noConversion"/>
  </si>
  <si>
    <t>Ag Refining Cost</t>
  </si>
  <si>
    <t>$US / oz Ag</t>
    <phoneticPr fontId="0" type="noConversion"/>
  </si>
  <si>
    <t>Freight to Market Cost</t>
    <phoneticPr fontId="0" type="noConversion"/>
  </si>
  <si>
    <t>Gross Revenue</t>
    <phoneticPr fontId="0" type="noConversion"/>
  </si>
  <si>
    <t>% Au Sold at Stream Price</t>
    <phoneticPr fontId="0" type="noConversion"/>
  </si>
  <si>
    <t>% Ag Sold at Stream Price</t>
    <phoneticPr fontId="0" type="noConversion"/>
  </si>
  <si>
    <t>Au Stream Price</t>
    <phoneticPr fontId="0" type="noConversion"/>
  </si>
  <si>
    <t>$/oz</t>
    <phoneticPr fontId="0" type="noConversion"/>
  </si>
  <si>
    <t>Ag Stream Price</t>
    <phoneticPr fontId="0" type="noConversion"/>
  </si>
  <si>
    <t>Cu Sales</t>
    <phoneticPr fontId="0" type="noConversion"/>
  </si>
  <si>
    <t>Au Sales</t>
    <phoneticPr fontId="0" type="noConversion"/>
  </si>
  <si>
    <t>Ag Sales</t>
    <phoneticPr fontId="0" type="noConversion"/>
  </si>
  <si>
    <t>Total Treatment and Refining Charge</t>
    <phoneticPr fontId="0" type="noConversion"/>
  </si>
  <si>
    <t>Concentrate Freight Cost</t>
  </si>
  <si>
    <t>Smelting Cost</t>
  </si>
  <si>
    <t>Refining Cost</t>
  </si>
  <si>
    <t>Freight to Market Cost</t>
  </si>
  <si>
    <t>Net Revenue</t>
    <phoneticPr fontId="0" type="noConversion"/>
  </si>
  <si>
    <t>Less: Treatment and Refining Charge</t>
    <phoneticPr fontId="0" type="noConversion"/>
  </si>
  <si>
    <t>Operating Expense</t>
    <phoneticPr fontId="0" type="noConversion"/>
  </si>
  <si>
    <t>Mining Cost</t>
    <phoneticPr fontId="0" type="noConversion"/>
  </si>
  <si>
    <t>Candelaria Open Pit Mining Cost</t>
    <phoneticPr fontId="0" type="noConversion"/>
  </si>
  <si>
    <t>Candelaria Open Pit Ore to Mill</t>
  </si>
  <si>
    <t>Espanola Ore to Mill</t>
  </si>
  <si>
    <t>WIP Rehandle Ore to Mill</t>
  </si>
  <si>
    <t>Ores Mined from Candelaria Open Pit</t>
    <phoneticPr fontId="0" type="noConversion"/>
  </si>
  <si>
    <t>Labor</t>
  </si>
  <si>
    <t>Contractors</t>
  </si>
  <si>
    <t>Supplies</t>
  </si>
  <si>
    <t>Energy</t>
  </si>
  <si>
    <t>Others</t>
  </si>
  <si>
    <t>Candelaria Open Pit Material Moved</t>
    <phoneticPr fontId="0" type="noConversion"/>
  </si>
  <si>
    <t>Capitalized Stripping</t>
  </si>
  <si>
    <t>Candelaria Underground Mining Cost</t>
    <phoneticPr fontId="0" type="noConversion"/>
  </si>
  <si>
    <t>Ores Mined from Candelaria Underground</t>
    <phoneticPr fontId="0" type="noConversion"/>
  </si>
  <si>
    <t>$US / t mined</t>
    <phoneticPr fontId="0" type="noConversion"/>
  </si>
  <si>
    <t>Candelaria Underground Ores Mined</t>
    <phoneticPr fontId="0" type="noConversion"/>
  </si>
  <si>
    <t>$US / t ores mined</t>
  </si>
  <si>
    <t>Ojos de Salado Mining Cost</t>
    <phoneticPr fontId="0" type="noConversion"/>
  </si>
  <si>
    <t>Ores Mined from Ojos de Salado</t>
    <phoneticPr fontId="0" type="noConversion"/>
  </si>
  <si>
    <t>Ores Mined from Ojos de Salado</t>
  </si>
  <si>
    <t>Less: Capitalized Stripping</t>
    <phoneticPr fontId="0" type="noConversion"/>
  </si>
  <si>
    <t>$M</t>
  </si>
  <si>
    <t>Total Mining Cost</t>
    <phoneticPr fontId="0" type="noConversion"/>
  </si>
  <si>
    <t>Processing Cost</t>
    <phoneticPr fontId="0" type="noConversion"/>
  </si>
  <si>
    <t>Minera Candelaria Processing Cost</t>
  </si>
  <si>
    <t>Total Ore to Candelaria Plant</t>
  </si>
  <si>
    <t>Total Ore to PAC Plant</t>
    <phoneticPr fontId="0" type="noConversion"/>
  </si>
  <si>
    <t>General and Administrative Cost</t>
    <phoneticPr fontId="0" type="noConversion"/>
  </si>
  <si>
    <t>Alcaparrosa to Mill</t>
  </si>
  <si>
    <t>Total Ore Milled by Minera Cadelaria</t>
    <phoneticPr fontId="0" type="noConversion"/>
  </si>
  <si>
    <t>Total Ore Milled by Minera Ojos de Salado</t>
    <phoneticPr fontId="0" type="noConversion"/>
  </si>
  <si>
    <t>General and Administrative Cost</t>
  </si>
  <si>
    <t>Operating Cost</t>
    <phoneticPr fontId="0" type="noConversion"/>
  </si>
  <si>
    <t>Mining Cost</t>
  </si>
  <si>
    <t>Processing Cost</t>
  </si>
  <si>
    <t>Total Operating Expense</t>
    <phoneticPr fontId="0" type="noConversion"/>
  </si>
  <si>
    <t>Depletion, Depretiation, and Reclamation Accretion</t>
    <phoneticPr fontId="0" type="noConversion"/>
  </si>
  <si>
    <t>Minera Candelaria Reclaimation Liability</t>
    <phoneticPr fontId="0" type="noConversion"/>
  </si>
  <si>
    <t>Discount rate</t>
    <phoneticPr fontId="0" type="noConversion"/>
  </si>
  <si>
    <t>PV of Reclaimation Liability - Minera Candelaria</t>
    <phoneticPr fontId="0" type="noConversion"/>
  </si>
  <si>
    <t>PV of Reclaimation Liability - Minera Ojos de Salado</t>
    <phoneticPr fontId="0" type="noConversion"/>
  </si>
  <si>
    <t>Reclaimation Accretion Minera Candelaria</t>
    <phoneticPr fontId="0" type="noConversion"/>
  </si>
  <si>
    <t>Reclaimation Accretion Minera Ojos de Salado</t>
    <phoneticPr fontId="0" type="noConversion"/>
  </si>
  <si>
    <t>Overall Reclaimation Accretion</t>
    <phoneticPr fontId="0" type="noConversion"/>
  </si>
  <si>
    <t>Depletion &amp; Depreciation Expense - Units of Production</t>
    <phoneticPr fontId="0" type="noConversion"/>
  </si>
  <si>
    <t>Property, Plant, and Equipment</t>
    <phoneticPr fontId="0" type="noConversion"/>
  </si>
  <si>
    <t>Copper to be Extracted in Remaining Mine Life</t>
    <phoneticPr fontId="0" type="noConversion"/>
  </si>
  <si>
    <t>Copper Extracted</t>
    <phoneticPr fontId="0" type="noConversion"/>
  </si>
  <si>
    <t>Depreciation</t>
    <phoneticPr fontId="0" type="noConversion"/>
  </si>
  <si>
    <t>Capital Expense</t>
    <phoneticPr fontId="0" type="noConversion"/>
  </si>
  <si>
    <t>Minera Candelaria Capital Expense</t>
  </si>
  <si>
    <t>Minera Candelaria Capital Expense</t>
    <phoneticPr fontId="0" type="noConversion"/>
  </si>
  <si>
    <t>Exploration Expense</t>
    <phoneticPr fontId="0" type="noConversion"/>
  </si>
  <si>
    <t>Exploration Expense</t>
  </si>
  <si>
    <t>Total Capital Expense</t>
    <phoneticPr fontId="0" type="noConversion"/>
  </si>
  <si>
    <t>Minera Ojos de Salado Capital Expense</t>
    <phoneticPr fontId="0" type="noConversion"/>
  </si>
  <si>
    <t>Tax Expense</t>
    <phoneticPr fontId="0" type="noConversion"/>
  </si>
  <si>
    <t>Royalty - Ad-valorem Component</t>
    <phoneticPr fontId="0" type="noConversion"/>
  </si>
  <si>
    <t>Income from Copper Sales</t>
    <phoneticPr fontId="0" type="noConversion"/>
  </si>
  <si>
    <t>Ad-Valorem Tax Rate</t>
    <phoneticPr fontId="0" type="noConversion"/>
  </si>
  <si>
    <t>Ad-valorem Royalty</t>
    <phoneticPr fontId="0" type="noConversion"/>
  </si>
  <si>
    <t>Operating Income</t>
    <phoneticPr fontId="0" type="noConversion"/>
  </si>
  <si>
    <t>Operating Expenses</t>
    <phoneticPr fontId="0" type="noConversion"/>
  </si>
  <si>
    <t>Depletion and Depreciation Expense</t>
    <phoneticPr fontId="0" type="noConversion"/>
  </si>
  <si>
    <t>Closure Accretion Expense</t>
    <phoneticPr fontId="0" type="noConversion"/>
  </si>
  <si>
    <t>RIOMA</t>
    <phoneticPr fontId="0" type="noConversion"/>
  </si>
  <si>
    <t>Less: Operating Cost</t>
    <phoneticPr fontId="0" type="noConversion"/>
  </si>
  <si>
    <t>Less: Depreciation and Amortization</t>
    <phoneticPr fontId="0" type="noConversion"/>
  </si>
  <si>
    <t>Accretion Expense</t>
    <phoneticPr fontId="0" type="noConversion"/>
  </si>
  <si>
    <t>MOM</t>
    <phoneticPr fontId="0" type="noConversion"/>
  </si>
  <si>
    <t>Effective rate</t>
    <phoneticPr fontId="0" type="noConversion"/>
  </si>
  <si>
    <t>Royalty</t>
    <phoneticPr fontId="0" type="noConversion"/>
  </si>
  <si>
    <t>Corporate Tax</t>
    <phoneticPr fontId="0" type="noConversion"/>
  </si>
  <si>
    <t>Chilean Corporate Income Tax Rate</t>
    <phoneticPr fontId="0" type="noConversion"/>
  </si>
  <si>
    <t>Chilean Corporate Income Tax</t>
    <phoneticPr fontId="0" type="noConversion"/>
  </si>
  <si>
    <t>Applied Combined Tax Rate</t>
    <phoneticPr fontId="0" type="noConversion"/>
  </si>
  <si>
    <t>Effective Tax Rate</t>
    <phoneticPr fontId="0" type="noConversion"/>
  </si>
  <si>
    <t>Maximum Effective Tax Rate</t>
    <phoneticPr fontId="0" type="noConversion"/>
  </si>
  <si>
    <t>Applied Combined Rate</t>
    <phoneticPr fontId="0" type="noConversion"/>
  </si>
  <si>
    <t>Royalty Paid</t>
    <phoneticPr fontId="0" type="noConversion"/>
  </si>
  <si>
    <t>Corporate</t>
    <phoneticPr fontId="0" type="noConversion"/>
  </si>
  <si>
    <t>Applied Royalty Rate</t>
    <phoneticPr fontId="0" type="noConversion"/>
  </si>
  <si>
    <t>Net Working Capital Movement</t>
    <phoneticPr fontId="0" type="noConversion"/>
  </si>
  <si>
    <t>Net Flow of WIP Ore</t>
    <phoneticPr fontId="0" type="noConversion"/>
  </si>
  <si>
    <t>WIP Ore Value</t>
    <phoneticPr fontId="0" type="noConversion"/>
  </si>
  <si>
    <t>$US / Kt</t>
    <phoneticPr fontId="0" type="noConversion"/>
  </si>
  <si>
    <t>WIP Value Flow</t>
    <phoneticPr fontId="0" type="noConversion"/>
  </si>
  <si>
    <t>Cash Cost</t>
    <phoneticPr fontId="0" type="noConversion"/>
  </si>
  <si>
    <t>Production Cost</t>
    <phoneticPr fontId="0" type="noConversion"/>
  </si>
  <si>
    <t>Freight Cost</t>
    <phoneticPr fontId="0" type="noConversion"/>
  </si>
  <si>
    <t>Royalties</t>
    <phoneticPr fontId="0" type="noConversion"/>
  </si>
  <si>
    <t>Gross</t>
    <phoneticPr fontId="0" type="noConversion"/>
  </si>
  <si>
    <t>Treatment and Refiing Charges</t>
  </si>
  <si>
    <t>Treatment and Refiing Charges</t>
    <phoneticPr fontId="0" type="noConversion"/>
  </si>
  <si>
    <t>By-Product Credit</t>
    <phoneticPr fontId="0" type="noConversion"/>
  </si>
  <si>
    <t>Cash Cost</t>
  </si>
  <si>
    <t>Unit Cash Cost</t>
    <phoneticPr fontId="0" type="noConversion"/>
  </si>
  <si>
    <t>Payable Copper</t>
    <phoneticPr fontId="0" type="noConversion"/>
  </si>
  <si>
    <t>Mlb</t>
    <phoneticPr fontId="0" type="noConversion"/>
  </si>
  <si>
    <t>$ / lb Cu</t>
    <phoneticPr fontId="0" type="noConversion"/>
  </si>
  <si>
    <t>Cash Flow</t>
    <phoneticPr fontId="0" type="noConversion"/>
  </si>
  <si>
    <t>EBIT</t>
    <phoneticPr fontId="0" type="noConversion"/>
  </si>
  <si>
    <t>FCFF</t>
    <phoneticPr fontId="0" type="noConversion"/>
  </si>
  <si>
    <t>Tax rate</t>
    <phoneticPr fontId="0" type="noConversion"/>
  </si>
  <si>
    <t>Add: Depletion and Depreciation</t>
    <phoneticPr fontId="0" type="noConversion"/>
  </si>
  <si>
    <t>Add: Closure Accretion</t>
    <phoneticPr fontId="0" type="noConversion"/>
  </si>
  <si>
    <t>Less: Increase in NWC</t>
    <phoneticPr fontId="0" type="noConversion"/>
  </si>
  <si>
    <t>Less: Capex</t>
    <phoneticPr fontId="0" type="noConversion"/>
  </si>
  <si>
    <t>Discount Rate</t>
    <phoneticPr fontId="0" type="noConversion"/>
  </si>
  <si>
    <t>NAV - 80% Basis - As at Beginning of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</si>
</sst>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0.00_ "/>
    <numFmt numFmtId="167" formatCode="0.0000"/>
    <numFmt numFmtId="168" formatCode="0_ "/>
    <numFmt numFmtId="169" formatCode="0.0_ "/>
  </numFmts>
  <fonts count="13">
    <font>
      <sz val="12"/>
      <color theme="1"/>
      <name val="Arial"/>
      <family val="2"/>
      <charset val="136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  <charset val="136"/>
    </font>
    <font>
      <sz val="12"/>
      <color rgb="FF0000FF"/>
      <name val="Arial"/>
      <family val="2"/>
      <charset val="136"/>
    </font>
    <font>
      <sz val="12"/>
      <name val="Arial"/>
      <family val="2"/>
      <charset val="136"/>
    </font>
    <font>
      <sz val="9"/>
      <color rgb="FF0000FF"/>
      <name val="Aptos"/>
      <family val="2"/>
    </font>
    <font>
      <sz val="12"/>
      <color theme="4"/>
      <name val="Arial"/>
      <family val="2"/>
      <charset val="136"/>
    </font>
    <font>
      <b/>
      <u/>
      <sz val="12"/>
      <color theme="1"/>
      <name val="Arial"/>
      <family val="2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sz val="12"/>
      <color rgb="FF00B050"/>
      <name val="Arial"/>
      <family val="2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1" fontId="4" fillId="0" borderId="0" xfId="0" applyNumberFormat="1" applyFont="1">
      <alignment vertical="center"/>
    </xf>
    <xf numFmtId="9" fontId="4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10" fontId="0" fillId="0" borderId="1" xfId="1" applyNumberFormat="1" applyFont="1" applyBorder="1">
      <alignment vertical="center"/>
    </xf>
    <xf numFmtId="10" fontId="4" fillId="0" borderId="0" xfId="1" applyNumberFormat="1" applyFont="1">
      <alignment vertical="center"/>
    </xf>
    <xf numFmtId="10" fontId="5" fillId="0" borderId="0" xfId="1" applyNumberFormat="1" applyFont="1">
      <alignment vertical="center"/>
    </xf>
    <xf numFmtId="2" fontId="0" fillId="0" borderId="1" xfId="0" applyNumberFormat="1" applyBorder="1">
      <alignment vertical="center"/>
    </xf>
    <xf numFmtId="2" fontId="4" fillId="0" borderId="0" xfId="0" applyNumberFormat="1" applyFont="1">
      <alignment vertical="center"/>
    </xf>
    <xf numFmtId="2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9" fontId="2" fillId="4" borderId="0" xfId="1" applyFont="1" applyFill="1">
      <alignment vertical="center"/>
    </xf>
    <xf numFmtId="9" fontId="7" fillId="0" borderId="0" xfId="0" applyNumberFormat="1" applyFont="1">
      <alignment vertical="center"/>
    </xf>
    <xf numFmtId="2" fontId="7" fillId="0" borderId="0" xfId="0" applyNumberFormat="1" applyFont="1">
      <alignment vertical="center"/>
    </xf>
    <xf numFmtId="166" fontId="0" fillId="0" borderId="0" xfId="0" applyNumberFormat="1">
      <alignment vertical="center"/>
    </xf>
    <xf numFmtId="0" fontId="0" fillId="5" borderId="0" xfId="0" applyFill="1">
      <alignment vertical="center"/>
    </xf>
    <xf numFmtId="2" fontId="0" fillId="0" borderId="0" xfId="0" applyNumberFormat="1">
      <alignment vertical="center"/>
    </xf>
    <xf numFmtId="0" fontId="2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0" fillId="4" borderId="0" xfId="0" applyFont="1" applyFill="1">
      <alignment vertical="center"/>
    </xf>
    <xf numFmtId="0" fontId="10" fillId="4" borderId="0" xfId="0" applyFont="1" applyFill="1" applyAlignment="1">
      <alignment horizontal="right" vertical="center"/>
    </xf>
    <xf numFmtId="0" fontId="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10" fontId="1" fillId="0" borderId="0" xfId="1" applyNumberFormat="1" applyFont="1" applyBorder="1">
      <alignment vertical="center"/>
    </xf>
    <xf numFmtId="10" fontId="1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11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2" fontId="1" fillId="0" borderId="0" xfId="1" applyNumberFormat="1" applyFont="1" applyAlignment="1">
      <alignment horizontal="right" vertical="center"/>
    </xf>
    <xf numFmtId="2" fontId="1" fillId="0" borderId="1" xfId="1" applyNumberFormat="1" applyFont="1" applyBorder="1" applyAlignment="1">
      <alignment horizontal="right"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0" fontId="1" fillId="0" borderId="0" xfId="1" applyNumberFormat="1" applyFont="1">
      <alignment vertical="center"/>
    </xf>
    <xf numFmtId="2" fontId="1" fillId="0" borderId="1" xfId="0" applyNumberFormat="1" applyFont="1" applyBorder="1">
      <alignment vertical="center"/>
    </xf>
    <xf numFmtId="166" fontId="1" fillId="0" borderId="0" xfId="0" applyNumberFormat="1" applyFont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  <xf numFmtId="166" fontId="11" fillId="0" borderId="1" xfId="0" applyNumberFormat="1" applyFont="1" applyBorder="1" applyAlignment="1">
      <alignment horizontal="right" vertical="center"/>
    </xf>
    <xf numFmtId="2" fontId="11" fillId="0" borderId="1" xfId="0" applyNumberFormat="1" applyFont="1" applyBorder="1" applyAlignment="1">
      <alignment horizontal="right" vertical="center"/>
    </xf>
    <xf numFmtId="0" fontId="12" fillId="0" borderId="0" xfId="0" applyFont="1">
      <alignment vertical="center"/>
    </xf>
    <xf numFmtId="0" fontId="12" fillId="0" borderId="1" xfId="0" applyFont="1" applyBorder="1">
      <alignment vertical="center"/>
    </xf>
    <xf numFmtId="0" fontId="1" fillId="0" borderId="1" xfId="0" applyFont="1" applyBorder="1">
      <alignment vertical="center"/>
    </xf>
    <xf numFmtId="9" fontId="11" fillId="0" borderId="0" xfId="1" applyFont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0" fontId="2" fillId="6" borderId="0" xfId="0" applyFont="1" applyFill="1">
      <alignment vertical="center"/>
    </xf>
    <xf numFmtId="0" fontId="10" fillId="6" borderId="0" xfId="0" applyFont="1" applyFill="1">
      <alignment vertical="center"/>
    </xf>
    <xf numFmtId="0" fontId="10" fillId="6" borderId="0" xfId="0" applyFont="1" applyFill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0" fontId="9" fillId="0" borderId="0" xfId="1" applyNumberFormat="1" applyFont="1">
      <alignment vertical="center"/>
    </xf>
    <xf numFmtId="166" fontId="9" fillId="0" borderId="0" xfId="0" applyNumberFormat="1" applyFont="1" applyAlignment="1">
      <alignment horizontal="right" vertical="center"/>
    </xf>
    <xf numFmtId="166" fontId="9" fillId="0" borderId="1" xfId="0" applyNumberFormat="1" applyFont="1" applyBorder="1">
      <alignment vertical="center"/>
    </xf>
    <xf numFmtId="166" fontId="9" fillId="0" borderId="1" xfId="0" applyNumberFormat="1" applyFont="1" applyBorder="1" applyAlignment="1">
      <alignment horizontal="right" vertical="center"/>
    </xf>
    <xf numFmtId="166" fontId="9" fillId="0" borderId="0" xfId="0" applyNumberFormat="1" applyFont="1">
      <alignment vertical="center"/>
    </xf>
    <xf numFmtId="168" fontId="1" fillId="0" borderId="0" xfId="0" applyNumberFormat="1" applyFont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2" fontId="9" fillId="0" borderId="0" xfId="0" applyNumberFormat="1" applyFont="1">
      <alignment vertical="center"/>
    </xf>
    <xf numFmtId="2" fontId="12" fillId="0" borderId="1" xfId="0" applyNumberFormat="1" applyFont="1" applyBorder="1">
      <alignment vertical="center"/>
    </xf>
    <xf numFmtId="166" fontId="12" fillId="0" borderId="1" xfId="0" applyNumberFormat="1" applyFont="1" applyBorder="1" applyAlignment="1">
      <alignment horizontal="right" vertical="center"/>
    </xf>
    <xf numFmtId="0" fontId="0" fillId="7" borderId="0" xfId="0" applyFill="1">
      <alignment vertical="center"/>
    </xf>
    <xf numFmtId="2" fontId="9" fillId="0" borderId="1" xfId="0" applyNumberFormat="1" applyFont="1" applyBorder="1">
      <alignment vertical="center"/>
    </xf>
    <xf numFmtId="10" fontId="9" fillId="0" borderId="1" xfId="1" applyNumberFormat="1" applyFont="1" applyBorder="1" applyAlignment="1">
      <alignment horizontal="right" vertical="center"/>
    </xf>
    <xf numFmtId="166" fontId="1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2" fontId="1" fillId="0" borderId="2" xfId="0" applyNumberFormat="1" applyFont="1" applyBorder="1">
      <alignment vertical="center"/>
    </xf>
    <xf numFmtId="166" fontId="1" fillId="0" borderId="2" xfId="0" applyNumberFormat="1" applyFont="1" applyBorder="1" applyAlignment="1">
      <alignment horizontal="right" vertical="center"/>
    </xf>
    <xf numFmtId="10" fontId="1" fillId="0" borderId="0" xfId="1" applyNumberFormat="1" applyFont="1" applyBorder="1" applyAlignment="1">
      <alignment horizontal="right" vertical="center"/>
    </xf>
    <xf numFmtId="10" fontId="1" fillId="0" borderId="1" xfId="1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10" fontId="9" fillId="0" borderId="0" xfId="1" applyNumberFormat="1" applyFont="1" applyBorder="1">
      <alignment vertical="center"/>
    </xf>
    <xf numFmtId="0" fontId="9" fillId="0" borderId="1" xfId="0" applyFont="1" applyBorder="1">
      <alignment vertical="center"/>
    </xf>
    <xf numFmtId="166" fontId="12" fillId="0" borderId="0" xfId="0" applyNumberFormat="1" applyFont="1">
      <alignment vertical="center"/>
    </xf>
    <xf numFmtId="166" fontId="12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right"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D1B8-CBA6-484C-9979-90535B0E87F0}">
  <dimension ref="A1:AJ749"/>
  <sheetViews>
    <sheetView zoomScaleNormal="100" workbookViewId="0">
      <pane ySplit="1" topLeftCell="A2" activePane="bottomLeft" state="frozen"/>
      <selection pane="bottomLeft" activeCell="I30" sqref="I30"/>
      <selection activeCell="I30" sqref="I30"/>
    </sheetView>
  </sheetViews>
  <sheetFormatPr defaultRowHeight="15.6"/>
  <cols>
    <col min="1" max="3" width="2.625" customWidth="1"/>
    <col min="4" max="4" width="50.625" customWidth="1"/>
    <col min="7" max="8" width="15.625" customWidth="1"/>
  </cols>
  <sheetData>
    <row r="1" spans="4:36">
      <c r="D1" s="1"/>
      <c r="E1" s="1"/>
      <c r="F1" s="1"/>
      <c r="G1" s="1" t="s">
        <v>0</v>
      </c>
      <c r="H1" s="1" t="s">
        <v>1</v>
      </c>
      <c r="I1" s="1">
        <v>2023</v>
      </c>
      <c r="J1" s="1">
        <f t="shared" ref="J1:AF1" si="0">I1+1</f>
        <v>2024</v>
      </c>
      <c r="K1" s="1">
        <f t="shared" si="0"/>
        <v>2025</v>
      </c>
      <c r="L1" s="1">
        <f t="shared" si="0"/>
        <v>2026</v>
      </c>
      <c r="M1" s="1">
        <f t="shared" si="0"/>
        <v>2027</v>
      </c>
      <c r="N1" s="1">
        <f t="shared" si="0"/>
        <v>2028</v>
      </c>
      <c r="O1" s="1">
        <f t="shared" si="0"/>
        <v>2029</v>
      </c>
      <c r="P1" s="1">
        <f t="shared" si="0"/>
        <v>2030</v>
      </c>
      <c r="Q1" s="1">
        <f t="shared" si="0"/>
        <v>2031</v>
      </c>
      <c r="R1" s="1">
        <f t="shared" si="0"/>
        <v>2032</v>
      </c>
      <c r="S1" s="1">
        <f t="shared" si="0"/>
        <v>2033</v>
      </c>
      <c r="T1" s="1">
        <f t="shared" si="0"/>
        <v>2034</v>
      </c>
      <c r="U1" s="1">
        <f t="shared" si="0"/>
        <v>2035</v>
      </c>
      <c r="V1" s="1">
        <f t="shared" si="0"/>
        <v>2036</v>
      </c>
      <c r="W1" s="1">
        <f t="shared" si="0"/>
        <v>2037</v>
      </c>
      <c r="X1" s="1">
        <f t="shared" si="0"/>
        <v>2038</v>
      </c>
      <c r="Y1" s="1">
        <f t="shared" si="0"/>
        <v>2039</v>
      </c>
      <c r="Z1" s="1">
        <f t="shared" si="0"/>
        <v>2040</v>
      </c>
      <c r="AA1" s="1">
        <f t="shared" si="0"/>
        <v>2041</v>
      </c>
      <c r="AB1" s="1">
        <f t="shared" si="0"/>
        <v>2042</v>
      </c>
      <c r="AC1" s="1">
        <f t="shared" si="0"/>
        <v>2043</v>
      </c>
      <c r="AD1" s="1">
        <f t="shared" si="0"/>
        <v>2044</v>
      </c>
      <c r="AE1" s="1">
        <f t="shared" si="0"/>
        <v>2045</v>
      </c>
      <c r="AF1" s="1">
        <f t="shared" si="0"/>
        <v>2046</v>
      </c>
      <c r="AG1" s="2"/>
      <c r="AH1" s="2"/>
      <c r="AI1" s="2"/>
      <c r="AJ1" s="2"/>
    </row>
    <row r="2" spans="4:36">
      <c r="D2" s="3" t="s">
        <v>2</v>
      </c>
      <c r="E2" s="3"/>
      <c r="F2" s="3"/>
      <c r="G2" s="3" t="s">
        <v>3</v>
      </c>
      <c r="H2" s="3" t="s">
        <v>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2"/>
      <c r="AH2" s="2"/>
      <c r="AI2" s="2"/>
      <c r="AJ2" s="2"/>
    </row>
    <row r="3" spans="4:36">
      <c r="D3" s="4" t="s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2"/>
      <c r="AH3" s="2"/>
      <c r="AI3" s="2"/>
      <c r="AJ3" s="2"/>
    </row>
    <row r="4" spans="4:36">
      <c r="D4" s="5" t="s">
        <v>6</v>
      </c>
      <c r="E4" s="5" t="s">
        <v>7</v>
      </c>
      <c r="F4" s="5"/>
      <c r="G4" s="5"/>
      <c r="H4" s="5"/>
      <c r="I4" s="5">
        <f>INDEX(I5:I9,MATCH($E4,$D5:$D9,0))</f>
        <v>72094</v>
      </c>
      <c r="J4" s="5">
        <f t="shared" ref="J4:AF4" si="1">INDEX(J5:J9,MATCH($E4,$D5:$D9,0))</f>
        <v>67516</v>
      </c>
      <c r="K4" s="5">
        <f t="shared" si="1"/>
        <v>64748</v>
      </c>
      <c r="L4" s="5">
        <f t="shared" si="1"/>
        <v>52918</v>
      </c>
      <c r="M4" s="5">
        <f t="shared" si="1"/>
        <v>61881</v>
      </c>
      <c r="N4" s="5">
        <f t="shared" si="1"/>
        <v>75416</v>
      </c>
      <c r="O4" s="5">
        <f t="shared" si="1"/>
        <v>73631</v>
      </c>
      <c r="P4" s="5">
        <f t="shared" si="1"/>
        <v>66729</v>
      </c>
      <c r="Q4" s="5">
        <f t="shared" si="1"/>
        <v>54220</v>
      </c>
      <c r="R4" s="5">
        <f t="shared" si="1"/>
        <v>37531</v>
      </c>
      <c r="S4" s="5">
        <f t="shared" si="1"/>
        <v>30774</v>
      </c>
      <c r="T4" s="5">
        <f t="shared" si="1"/>
        <v>21924</v>
      </c>
      <c r="U4" s="5">
        <f t="shared" si="1"/>
        <v>16842</v>
      </c>
      <c r="V4" s="5">
        <f t="shared" si="1"/>
        <v>13896</v>
      </c>
      <c r="W4" s="5">
        <f t="shared" si="1"/>
        <v>11263</v>
      </c>
      <c r="X4" s="5">
        <f t="shared" si="1"/>
        <v>10226</v>
      </c>
      <c r="Y4" s="5">
        <f t="shared" si="1"/>
        <v>7752</v>
      </c>
      <c r="Z4" s="5">
        <f t="shared" si="1"/>
        <v>8992</v>
      </c>
      <c r="AA4" s="5">
        <f t="shared" si="1"/>
        <v>5230</v>
      </c>
      <c r="AB4" s="5">
        <f t="shared" si="1"/>
        <v>0</v>
      </c>
      <c r="AC4" s="5">
        <f t="shared" si="1"/>
        <v>0</v>
      </c>
      <c r="AD4" s="5">
        <f t="shared" si="1"/>
        <v>0</v>
      </c>
      <c r="AE4" s="5">
        <f t="shared" si="1"/>
        <v>0</v>
      </c>
      <c r="AF4" s="5">
        <f t="shared" si="1"/>
        <v>0</v>
      </c>
    </row>
    <row r="5" spans="4:36">
      <c r="D5" t="s">
        <v>7</v>
      </c>
      <c r="E5" s="6"/>
      <c r="G5" t="s">
        <v>8</v>
      </c>
      <c r="I5" s="7">
        <v>72094</v>
      </c>
      <c r="J5" s="7">
        <v>67516</v>
      </c>
      <c r="K5" s="7">
        <v>64748</v>
      </c>
      <c r="L5" s="7">
        <v>52918</v>
      </c>
      <c r="M5" s="7">
        <v>61881</v>
      </c>
      <c r="N5" s="7">
        <v>75416</v>
      </c>
      <c r="O5" s="7">
        <v>73631</v>
      </c>
      <c r="P5" s="7">
        <v>66729</v>
      </c>
      <c r="Q5" s="7">
        <v>54220</v>
      </c>
      <c r="R5" s="7">
        <v>37531</v>
      </c>
      <c r="S5" s="7">
        <v>30774</v>
      </c>
      <c r="T5" s="7">
        <v>21924</v>
      </c>
      <c r="U5" s="7">
        <v>16842</v>
      </c>
      <c r="V5" s="7">
        <v>13896</v>
      </c>
      <c r="W5" s="7">
        <v>11263</v>
      </c>
      <c r="X5" s="7">
        <v>10226</v>
      </c>
      <c r="Y5" s="7">
        <v>7752</v>
      </c>
      <c r="Z5" s="7">
        <v>8992</v>
      </c>
      <c r="AA5" s="7">
        <v>5230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</row>
    <row r="6" spans="4:36">
      <c r="D6" t="s">
        <v>9</v>
      </c>
      <c r="E6" s="8">
        <v>0.1</v>
      </c>
      <c r="G6" t="s">
        <v>8</v>
      </c>
      <c r="I6" s="9">
        <f>I5*(1+$E6)</f>
        <v>79303.400000000009</v>
      </c>
      <c r="J6" s="9">
        <f t="shared" ref="J6:AF7" si="2">J5*(1+$E6)</f>
        <v>74267.600000000006</v>
      </c>
      <c r="K6" s="9">
        <f t="shared" si="2"/>
        <v>71222.8</v>
      </c>
      <c r="L6" s="9">
        <f t="shared" si="2"/>
        <v>58209.8</v>
      </c>
      <c r="M6" s="9">
        <f t="shared" si="2"/>
        <v>68069.100000000006</v>
      </c>
      <c r="N6" s="9">
        <f t="shared" si="2"/>
        <v>82957.600000000006</v>
      </c>
      <c r="O6" s="9">
        <f t="shared" si="2"/>
        <v>80994.100000000006</v>
      </c>
      <c r="P6" s="9">
        <f t="shared" si="2"/>
        <v>73401.900000000009</v>
      </c>
      <c r="Q6" s="9">
        <f t="shared" si="2"/>
        <v>59642.000000000007</v>
      </c>
      <c r="R6" s="9">
        <f t="shared" si="2"/>
        <v>41284.100000000006</v>
      </c>
      <c r="S6" s="9">
        <f t="shared" si="2"/>
        <v>33851.4</v>
      </c>
      <c r="T6" s="9">
        <f t="shared" si="2"/>
        <v>24116.400000000001</v>
      </c>
      <c r="U6" s="9">
        <f t="shared" si="2"/>
        <v>18526.2</v>
      </c>
      <c r="V6" s="9">
        <f t="shared" si="2"/>
        <v>15285.6</v>
      </c>
      <c r="W6" s="9">
        <f t="shared" si="2"/>
        <v>12389.300000000001</v>
      </c>
      <c r="X6" s="9">
        <f t="shared" si="2"/>
        <v>11248.6</v>
      </c>
      <c r="Y6" s="9">
        <f t="shared" si="2"/>
        <v>8527.2000000000007</v>
      </c>
      <c r="Z6" s="9">
        <f t="shared" si="2"/>
        <v>9891.2000000000007</v>
      </c>
      <c r="AA6" s="9">
        <f t="shared" si="2"/>
        <v>5753.0000000000009</v>
      </c>
      <c r="AB6" s="9">
        <f t="shared" si="2"/>
        <v>0</v>
      </c>
      <c r="AC6" s="9">
        <f t="shared" si="2"/>
        <v>0</v>
      </c>
      <c r="AD6" s="9">
        <f t="shared" si="2"/>
        <v>0</v>
      </c>
      <c r="AE6" s="9">
        <f t="shared" si="2"/>
        <v>0</v>
      </c>
      <c r="AF6" s="9">
        <f t="shared" si="2"/>
        <v>0</v>
      </c>
    </row>
    <row r="7" spans="4:36">
      <c r="D7" t="s">
        <v>10</v>
      </c>
      <c r="E7" s="8">
        <v>-0.1</v>
      </c>
      <c r="G7" t="s">
        <v>8</v>
      </c>
      <c r="I7" s="9">
        <f>I6*(1+$E7)</f>
        <v>71373.060000000012</v>
      </c>
      <c r="J7" s="9">
        <f t="shared" si="2"/>
        <v>66840.840000000011</v>
      </c>
      <c r="K7" s="9">
        <f t="shared" si="2"/>
        <v>64100.520000000004</v>
      </c>
      <c r="L7" s="9">
        <f t="shared" si="2"/>
        <v>52388.820000000007</v>
      </c>
      <c r="M7" s="9">
        <f t="shared" si="2"/>
        <v>61262.19000000001</v>
      </c>
      <c r="N7" s="9">
        <f t="shared" si="2"/>
        <v>74661.840000000011</v>
      </c>
      <c r="O7" s="9">
        <f t="shared" si="2"/>
        <v>72894.69</v>
      </c>
      <c r="P7" s="9">
        <f t="shared" si="2"/>
        <v>66061.710000000006</v>
      </c>
      <c r="Q7" s="9">
        <f t="shared" si="2"/>
        <v>53677.80000000001</v>
      </c>
      <c r="R7" s="9">
        <f t="shared" si="2"/>
        <v>37155.69000000001</v>
      </c>
      <c r="S7" s="9">
        <f t="shared" si="2"/>
        <v>30466.260000000002</v>
      </c>
      <c r="T7" s="9">
        <f t="shared" si="2"/>
        <v>21704.760000000002</v>
      </c>
      <c r="U7" s="9">
        <f t="shared" si="2"/>
        <v>16673.580000000002</v>
      </c>
      <c r="V7" s="9">
        <f t="shared" si="2"/>
        <v>13757.04</v>
      </c>
      <c r="W7" s="9">
        <f t="shared" si="2"/>
        <v>11150.37</v>
      </c>
      <c r="X7" s="9">
        <f t="shared" si="2"/>
        <v>10123.74</v>
      </c>
      <c r="Y7" s="9">
        <f t="shared" si="2"/>
        <v>7674.4800000000005</v>
      </c>
      <c r="Z7" s="9">
        <f t="shared" si="2"/>
        <v>8902.0800000000017</v>
      </c>
      <c r="AA7" s="9">
        <f t="shared" si="2"/>
        <v>5177.7000000000007</v>
      </c>
      <c r="AB7" s="9">
        <f t="shared" si="2"/>
        <v>0</v>
      </c>
      <c r="AC7" s="9">
        <f t="shared" si="2"/>
        <v>0</v>
      </c>
      <c r="AD7" s="9">
        <f t="shared" si="2"/>
        <v>0</v>
      </c>
      <c r="AE7" s="9">
        <f t="shared" si="2"/>
        <v>0</v>
      </c>
      <c r="AF7" s="9">
        <f t="shared" si="2"/>
        <v>0</v>
      </c>
    </row>
    <row r="8" spans="4:36">
      <c r="D8" t="s">
        <v>11</v>
      </c>
      <c r="E8" s="8"/>
      <c r="G8" t="s">
        <v>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</row>
    <row r="9" spans="4:36">
      <c r="D9" t="s">
        <v>12</v>
      </c>
      <c r="E9" s="8"/>
      <c r="G9" t="s">
        <v>8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</row>
    <row r="11" spans="4:36">
      <c r="D11" s="5" t="s">
        <v>13</v>
      </c>
      <c r="E11" s="5" t="s">
        <v>7</v>
      </c>
      <c r="F11" s="5"/>
      <c r="G11" s="5"/>
      <c r="H11" s="5"/>
      <c r="I11" s="5">
        <f>INDEX(I12:I16,MATCH($E11,$D12:$D16,0))</f>
        <v>13723</v>
      </c>
      <c r="J11" s="5">
        <f t="shared" ref="J11:AF11" si="3">INDEX(J12:J16,MATCH($E11,$D12:$D16,0))</f>
        <v>17280</v>
      </c>
      <c r="K11" s="5">
        <f t="shared" si="3"/>
        <v>19122</v>
      </c>
      <c r="L11" s="5">
        <f t="shared" si="3"/>
        <v>16053</v>
      </c>
      <c r="M11" s="5">
        <f t="shared" si="3"/>
        <v>15601</v>
      </c>
      <c r="N11" s="5">
        <f t="shared" si="3"/>
        <v>12155</v>
      </c>
      <c r="O11" s="5">
        <f t="shared" si="3"/>
        <v>6100</v>
      </c>
      <c r="P11" s="5">
        <f t="shared" si="3"/>
        <v>2725</v>
      </c>
      <c r="Q11" s="5">
        <f t="shared" si="3"/>
        <v>3343</v>
      </c>
      <c r="R11" s="5">
        <f t="shared" si="3"/>
        <v>8965</v>
      </c>
      <c r="S11" s="5">
        <f t="shared" si="3"/>
        <v>9686</v>
      </c>
      <c r="T11" s="5">
        <f t="shared" si="3"/>
        <v>7530</v>
      </c>
      <c r="U11" s="5">
        <f t="shared" si="3"/>
        <v>7571</v>
      </c>
      <c r="V11" s="5">
        <f t="shared" si="3"/>
        <v>8568</v>
      </c>
      <c r="W11" s="5">
        <f t="shared" si="3"/>
        <v>12517</v>
      </c>
      <c r="X11" s="5">
        <f t="shared" si="3"/>
        <v>13499</v>
      </c>
      <c r="Y11" s="5">
        <f t="shared" si="3"/>
        <v>16352</v>
      </c>
      <c r="Z11" s="5">
        <f t="shared" si="3"/>
        <v>8973</v>
      </c>
      <c r="AA11" s="5">
        <f t="shared" si="3"/>
        <v>4771</v>
      </c>
      <c r="AB11" s="5">
        <f t="shared" si="3"/>
        <v>0</v>
      </c>
      <c r="AC11" s="5">
        <f t="shared" si="3"/>
        <v>0</v>
      </c>
      <c r="AD11" s="5">
        <f t="shared" si="3"/>
        <v>0</v>
      </c>
      <c r="AE11" s="5">
        <f t="shared" si="3"/>
        <v>0</v>
      </c>
      <c r="AF11" s="5">
        <f t="shared" si="3"/>
        <v>0</v>
      </c>
    </row>
    <row r="12" spans="4:36">
      <c r="D12" t="s">
        <v>7</v>
      </c>
      <c r="E12" s="6"/>
      <c r="G12" t="s">
        <v>8</v>
      </c>
      <c r="I12" s="7">
        <v>13723</v>
      </c>
      <c r="J12" s="7">
        <v>17280</v>
      </c>
      <c r="K12" s="7">
        <v>19122</v>
      </c>
      <c r="L12" s="7">
        <v>16053</v>
      </c>
      <c r="M12" s="7">
        <v>15601</v>
      </c>
      <c r="N12" s="7">
        <v>12155</v>
      </c>
      <c r="O12" s="7">
        <v>6100</v>
      </c>
      <c r="P12" s="7">
        <v>2725</v>
      </c>
      <c r="Q12" s="7">
        <v>3343</v>
      </c>
      <c r="R12" s="7">
        <v>8965</v>
      </c>
      <c r="S12" s="7">
        <v>9686</v>
      </c>
      <c r="T12" s="7">
        <v>7530</v>
      </c>
      <c r="U12" s="7">
        <v>7571</v>
      </c>
      <c r="V12" s="7">
        <v>8568</v>
      </c>
      <c r="W12" s="7">
        <v>12517</v>
      </c>
      <c r="X12" s="7">
        <v>13499</v>
      </c>
      <c r="Y12" s="7">
        <v>16352</v>
      </c>
      <c r="Z12" s="7">
        <v>8973</v>
      </c>
      <c r="AA12" s="7">
        <v>4771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</row>
    <row r="13" spans="4:36">
      <c r="D13" t="s">
        <v>9</v>
      </c>
      <c r="E13" s="8">
        <v>0.1</v>
      </c>
      <c r="G13" t="s">
        <v>8</v>
      </c>
      <c r="I13" s="9">
        <f>I12*(1+$E13)</f>
        <v>15095.300000000001</v>
      </c>
      <c r="J13" s="9">
        <f t="shared" ref="J13:AF14" si="4">J12*(1+$E13)</f>
        <v>19008</v>
      </c>
      <c r="K13" s="9">
        <f t="shared" si="4"/>
        <v>21034.2</v>
      </c>
      <c r="L13" s="9">
        <f t="shared" si="4"/>
        <v>17658.300000000003</v>
      </c>
      <c r="M13" s="9">
        <f t="shared" si="4"/>
        <v>17161.100000000002</v>
      </c>
      <c r="N13" s="9">
        <f t="shared" si="4"/>
        <v>13370.500000000002</v>
      </c>
      <c r="O13" s="9">
        <f t="shared" si="4"/>
        <v>6710.0000000000009</v>
      </c>
      <c r="P13" s="9">
        <f t="shared" si="4"/>
        <v>2997.5000000000005</v>
      </c>
      <c r="Q13" s="9">
        <f t="shared" si="4"/>
        <v>3677.3</v>
      </c>
      <c r="R13" s="9">
        <f t="shared" si="4"/>
        <v>9861.5</v>
      </c>
      <c r="S13" s="9">
        <f t="shared" si="4"/>
        <v>10654.6</v>
      </c>
      <c r="T13" s="9">
        <f t="shared" si="4"/>
        <v>8283</v>
      </c>
      <c r="U13" s="9">
        <f t="shared" si="4"/>
        <v>8328.1</v>
      </c>
      <c r="V13" s="9">
        <f t="shared" si="4"/>
        <v>9424.8000000000011</v>
      </c>
      <c r="W13" s="9">
        <f t="shared" si="4"/>
        <v>13768.7</v>
      </c>
      <c r="X13" s="9">
        <f t="shared" si="4"/>
        <v>14848.900000000001</v>
      </c>
      <c r="Y13" s="9">
        <f t="shared" si="4"/>
        <v>17987.2</v>
      </c>
      <c r="Z13" s="9">
        <f t="shared" si="4"/>
        <v>9870.3000000000011</v>
      </c>
      <c r="AA13" s="9">
        <f t="shared" si="4"/>
        <v>5248.1</v>
      </c>
      <c r="AB13" s="9">
        <f t="shared" si="4"/>
        <v>0</v>
      </c>
      <c r="AC13" s="9">
        <f t="shared" si="4"/>
        <v>0</v>
      </c>
      <c r="AD13" s="9">
        <f t="shared" si="4"/>
        <v>0</v>
      </c>
      <c r="AE13" s="9">
        <f t="shared" si="4"/>
        <v>0</v>
      </c>
      <c r="AF13" s="9">
        <f t="shared" si="4"/>
        <v>0</v>
      </c>
    </row>
    <row r="14" spans="4:36">
      <c r="D14" t="s">
        <v>10</v>
      </c>
      <c r="E14" s="8">
        <v>-0.1</v>
      </c>
      <c r="G14" t="s">
        <v>8</v>
      </c>
      <c r="I14" s="9">
        <f>I13*(1+$E14)</f>
        <v>13585.77</v>
      </c>
      <c r="J14" s="9">
        <f t="shared" si="4"/>
        <v>17107.2</v>
      </c>
      <c r="K14" s="9">
        <f t="shared" si="4"/>
        <v>18930.780000000002</v>
      </c>
      <c r="L14" s="9">
        <f t="shared" si="4"/>
        <v>15892.470000000003</v>
      </c>
      <c r="M14" s="9">
        <f t="shared" si="4"/>
        <v>15444.990000000002</v>
      </c>
      <c r="N14" s="9">
        <f t="shared" si="4"/>
        <v>12033.450000000003</v>
      </c>
      <c r="O14" s="9">
        <f t="shared" si="4"/>
        <v>6039.0000000000009</v>
      </c>
      <c r="P14" s="9">
        <f t="shared" si="4"/>
        <v>2697.7500000000005</v>
      </c>
      <c r="Q14" s="9">
        <f t="shared" si="4"/>
        <v>3309.57</v>
      </c>
      <c r="R14" s="9">
        <f t="shared" si="4"/>
        <v>8875.35</v>
      </c>
      <c r="S14" s="9">
        <f t="shared" si="4"/>
        <v>9589.1400000000012</v>
      </c>
      <c r="T14" s="9">
        <f t="shared" si="4"/>
        <v>7454.7</v>
      </c>
      <c r="U14" s="9">
        <f t="shared" si="4"/>
        <v>7495.2900000000009</v>
      </c>
      <c r="V14" s="9">
        <f t="shared" si="4"/>
        <v>8482.3200000000015</v>
      </c>
      <c r="W14" s="9">
        <f t="shared" si="4"/>
        <v>12391.830000000002</v>
      </c>
      <c r="X14" s="9">
        <f t="shared" si="4"/>
        <v>13364.010000000002</v>
      </c>
      <c r="Y14" s="9">
        <f t="shared" si="4"/>
        <v>16188.480000000001</v>
      </c>
      <c r="Z14" s="9">
        <f t="shared" si="4"/>
        <v>8883.27</v>
      </c>
      <c r="AA14" s="9">
        <f t="shared" si="4"/>
        <v>4723.2900000000009</v>
      </c>
      <c r="AB14" s="9">
        <f t="shared" si="4"/>
        <v>0</v>
      </c>
      <c r="AC14" s="9">
        <f t="shared" si="4"/>
        <v>0</v>
      </c>
      <c r="AD14" s="9">
        <f t="shared" si="4"/>
        <v>0</v>
      </c>
      <c r="AE14" s="9">
        <f t="shared" si="4"/>
        <v>0</v>
      </c>
      <c r="AF14" s="9">
        <f t="shared" si="4"/>
        <v>0</v>
      </c>
    </row>
    <row r="15" spans="4:36">
      <c r="D15" t="s">
        <v>11</v>
      </c>
      <c r="E15" s="8"/>
      <c r="G15" t="s">
        <v>8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</row>
    <row r="16" spans="4:36">
      <c r="D16" t="s">
        <v>12</v>
      </c>
      <c r="E16" s="8"/>
      <c r="G16" t="s">
        <v>8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</row>
    <row r="18" spans="4:32">
      <c r="D18" s="5" t="s">
        <v>14</v>
      </c>
      <c r="E18" s="5" t="s">
        <v>7</v>
      </c>
      <c r="F18" s="5"/>
      <c r="G18" s="5"/>
      <c r="H18" s="10"/>
      <c r="I18" s="10">
        <f>INDEX(I19:I23,MATCH($E18,$D19:$D23,0))</f>
        <v>5.7000000000000002E-3</v>
      </c>
      <c r="J18" s="10">
        <f t="shared" ref="J18:AF18" si="5">INDEX(J19:J23,MATCH($E18,$D19:$D23,0))</f>
        <v>6.4000000000000003E-3</v>
      </c>
      <c r="K18" s="10">
        <f t="shared" si="5"/>
        <v>5.1000000000000004E-3</v>
      </c>
      <c r="L18" s="10">
        <f t="shared" si="5"/>
        <v>5.7999999999999996E-3</v>
      </c>
      <c r="M18" s="10">
        <f t="shared" si="5"/>
        <v>5.7999999999999996E-3</v>
      </c>
      <c r="N18" s="10">
        <f t="shared" si="5"/>
        <v>5.8999999999999999E-3</v>
      </c>
      <c r="O18" s="10">
        <f t="shared" si="5"/>
        <v>5.4000000000000003E-3</v>
      </c>
      <c r="P18" s="10">
        <f t="shared" si="5"/>
        <v>4.5999999999999999E-3</v>
      </c>
      <c r="Q18" s="10">
        <f t="shared" si="5"/>
        <v>9.1000000000000004E-3</v>
      </c>
      <c r="R18" s="10">
        <f t="shared" si="5"/>
        <v>8.3999999999999995E-3</v>
      </c>
      <c r="S18" s="10">
        <f t="shared" si="5"/>
        <v>5.8999999999999999E-3</v>
      </c>
      <c r="T18" s="10">
        <f t="shared" si="5"/>
        <v>4.8999999999999998E-3</v>
      </c>
      <c r="U18" s="10">
        <f t="shared" si="5"/>
        <v>5.0000000000000001E-3</v>
      </c>
      <c r="V18" s="10">
        <f t="shared" si="5"/>
        <v>5.7000000000000002E-3</v>
      </c>
      <c r="W18" s="10">
        <f t="shared" si="5"/>
        <v>6.8999999999999999E-3</v>
      </c>
      <c r="X18" s="10">
        <f t="shared" si="5"/>
        <v>7.6E-3</v>
      </c>
      <c r="Y18" s="10">
        <f t="shared" si="5"/>
        <v>6.4999999999999997E-3</v>
      </c>
      <c r="Z18" s="10">
        <f t="shared" si="5"/>
        <v>5.4000000000000003E-3</v>
      </c>
      <c r="AA18" s="10">
        <f t="shared" si="5"/>
        <v>5.4999999999999997E-3</v>
      </c>
      <c r="AB18" s="10">
        <f t="shared" si="5"/>
        <v>0</v>
      </c>
      <c r="AC18" s="10">
        <f t="shared" si="5"/>
        <v>0</v>
      </c>
      <c r="AD18" s="10">
        <f t="shared" si="5"/>
        <v>0</v>
      </c>
      <c r="AE18" s="10">
        <f t="shared" si="5"/>
        <v>0</v>
      </c>
      <c r="AF18" s="10">
        <f t="shared" si="5"/>
        <v>0</v>
      </c>
    </row>
    <row r="19" spans="4:32">
      <c r="D19" t="s">
        <v>7</v>
      </c>
      <c r="E19" s="6"/>
      <c r="G19" t="s">
        <v>15</v>
      </c>
      <c r="I19" s="11">
        <v>5.7000000000000002E-3</v>
      </c>
      <c r="J19" s="11">
        <v>6.4000000000000003E-3</v>
      </c>
      <c r="K19" s="11">
        <v>5.1000000000000004E-3</v>
      </c>
      <c r="L19" s="11">
        <v>5.7999999999999996E-3</v>
      </c>
      <c r="M19" s="11">
        <v>5.7999999999999996E-3</v>
      </c>
      <c r="N19" s="11">
        <v>5.8999999999999999E-3</v>
      </c>
      <c r="O19" s="11">
        <v>5.4000000000000003E-3</v>
      </c>
      <c r="P19" s="11">
        <v>4.5999999999999999E-3</v>
      </c>
      <c r="Q19" s="11">
        <v>9.1000000000000004E-3</v>
      </c>
      <c r="R19" s="11">
        <v>8.3999999999999995E-3</v>
      </c>
      <c r="S19" s="11">
        <v>5.8999999999999999E-3</v>
      </c>
      <c r="T19" s="11">
        <v>4.8999999999999998E-3</v>
      </c>
      <c r="U19" s="11">
        <v>5.0000000000000001E-3</v>
      </c>
      <c r="V19" s="11">
        <v>5.7000000000000002E-3</v>
      </c>
      <c r="W19" s="11">
        <v>6.8999999999999999E-3</v>
      </c>
      <c r="X19" s="11">
        <v>7.6E-3</v>
      </c>
      <c r="Y19" s="11">
        <v>6.4999999999999997E-3</v>
      </c>
      <c r="Z19" s="11">
        <v>5.4000000000000003E-3</v>
      </c>
      <c r="AA19" s="11">
        <v>5.4999999999999997E-3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</row>
    <row r="20" spans="4:32">
      <c r="D20" t="s">
        <v>9</v>
      </c>
      <c r="E20" s="8">
        <v>0.1</v>
      </c>
      <c r="G20" t="s">
        <v>15</v>
      </c>
      <c r="I20" s="12">
        <f>I19*(1+$E20)</f>
        <v>6.2700000000000004E-3</v>
      </c>
      <c r="J20" s="12">
        <f t="shared" ref="J20:AF21" si="6">J19*(1+$E20)</f>
        <v>7.0400000000000011E-3</v>
      </c>
      <c r="K20" s="12">
        <f t="shared" si="6"/>
        <v>5.6100000000000013E-3</v>
      </c>
      <c r="L20" s="12">
        <f t="shared" si="6"/>
        <v>6.3800000000000003E-3</v>
      </c>
      <c r="M20" s="12">
        <f t="shared" si="6"/>
        <v>6.3800000000000003E-3</v>
      </c>
      <c r="N20" s="12">
        <f t="shared" si="6"/>
        <v>6.4900000000000001E-3</v>
      </c>
      <c r="O20" s="12">
        <f t="shared" si="6"/>
        <v>5.9400000000000008E-3</v>
      </c>
      <c r="P20" s="12">
        <f t="shared" si="6"/>
        <v>5.0600000000000003E-3</v>
      </c>
      <c r="Q20" s="12">
        <f t="shared" si="6"/>
        <v>1.0010000000000002E-2</v>
      </c>
      <c r="R20" s="12">
        <f t="shared" si="6"/>
        <v>9.2399999999999999E-3</v>
      </c>
      <c r="S20" s="12">
        <f t="shared" si="6"/>
        <v>6.4900000000000001E-3</v>
      </c>
      <c r="T20" s="12">
        <f t="shared" si="6"/>
        <v>5.3900000000000007E-3</v>
      </c>
      <c r="U20" s="12">
        <f t="shared" si="6"/>
        <v>5.5000000000000005E-3</v>
      </c>
      <c r="V20" s="12">
        <f t="shared" si="6"/>
        <v>6.2700000000000004E-3</v>
      </c>
      <c r="W20" s="12">
        <f t="shared" si="6"/>
        <v>7.5900000000000004E-3</v>
      </c>
      <c r="X20" s="12">
        <f t="shared" si="6"/>
        <v>8.3600000000000011E-3</v>
      </c>
      <c r="Y20" s="12">
        <f t="shared" si="6"/>
        <v>7.1500000000000001E-3</v>
      </c>
      <c r="Z20" s="12">
        <f t="shared" si="6"/>
        <v>5.9400000000000008E-3</v>
      </c>
      <c r="AA20" s="12">
        <f t="shared" si="6"/>
        <v>6.0499999999999998E-3</v>
      </c>
      <c r="AB20" s="12">
        <f t="shared" si="6"/>
        <v>0</v>
      </c>
      <c r="AC20" s="12">
        <f t="shared" si="6"/>
        <v>0</v>
      </c>
      <c r="AD20" s="12">
        <f t="shared" si="6"/>
        <v>0</v>
      </c>
      <c r="AE20" s="12">
        <f t="shared" si="6"/>
        <v>0</v>
      </c>
      <c r="AF20" s="12">
        <f t="shared" si="6"/>
        <v>0</v>
      </c>
    </row>
    <row r="21" spans="4:32">
      <c r="D21" t="s">
        <v>10</v>
      </c>
      <c r="E21" s="8">
        <v>-0.1</v>
      </c>
      <c r="G21" t="s">
        <v>15</v>
      </c>
      <c r="I21" s="12">
        <f>I20*(1+$E21)</f>
        <v>5.6430000000000004E-3</v>
      </c>
      <c r="J21" s="12">
        <f t="shared" si="6"/>
        <v>6.3360000000000014E-3</v>
      </c>
      <c r="K21" s="12">
        <f t="shared" si="6"/>
        <v>5.0490000000000014E-3</v>
      </c>
      <c r="L21" s="12">
        <f t="shared" si="6"/>
        <v>5.7420000000000006E-3</v>
      </c>
      <c r="M21" s="12">
        <f t="shared" si="6"/>
        <v>5.7420000000000006E-3</v>
      </c>
      <c r="N21" s="12">
        <f t="shared" si="6"/>
        <v>5.8409999999999998E-3</v>
      </c>
      <c r="O21" s="12">
        <f t="shared" si="6"/>
        <v>5.3460000000000009E-3</v>
      </c>
      <c r="P21" s="12">
        <f t="shared" si="6"/>
        <v>4.5540000000000008E-3</v>
      </c>
      <c r="Q21" s="12">
        <f t="shared" si="6"/>
        <v>9.0090000000000014E-3</v>
      </c>
      <c r="R21" s="12">
        <f t="shared" si="6"/>
        <v>8.3160000000000005E-3</v>
      </c>
      <c r="S21" s="12">
        <f t="shared" si="6"/>
        <v>5.8409999999999998E-3</v>
      </c>
      <c r="T21" s="12">
        <f t="shared" si="6"/>
        <v>4.8510000000000011E-3</v>
      </c>
      <c r="U21" s="12">
        <f t="shared" si="6"/>
        <v>4.9500000000000004E-3</v>
      </c>
      <c r="V21" s="12">
        <f t="shared" si="6"/>
        <v>5.6430000000000004E-3</v>
      </c>
      <c r="W21" s="12">
        <f t="shared" si="6"/>
        <v>6.8310000000000003E-3</v>
      </c>
      <c r="X21" s="12">
        <f t="shared" si="6"/>
        <v>7.5240000000000012E-3</v>
      </c>
      <c r="Y21" s="12">
        <f t="shared" si="6"/>
        <v>6.4350000000000006E-3</v>
      </c>
      <c r="Z21" s="12">
        <f t="shared" si="6"/>
        <v>5.3460000000000009E-3</v>
      </c>
      <c r="AA21" s="12">
        <f t="shared" si="6"/>
        <v>5.4450000000000002E-3</v>
      </c>
      <c r="AB21" s="12">
        <f t="shared" si="6"/>
        <v>0</v>
      </c>
      <c r="AC21" s="12">
        <f t="shared" si="6"/>
        <v>0</v>
      </c>
      <c r="AD21" s="12">
        <f t="shared" si="6"/>
        <v>0</v>
      </c>
      <c r="AE21" s="12">
        <f t="shared" si="6"/>
        <v>0</v>
      </c>
      <c r="AF21" s="12">
        <f t="shared" si="6"/>
        <v>0</v>
      </c>
    </row>
    <row r="22" spans="4:32">
      <c r="D22" t="s">
        <v>11</v>
      </c>
      <c r="E22" s="8"/>
      <c r="G22" t="s">
        <v>15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</row>
    <row r="23" spans="4:32">
      <c r="D23" t="s">
        <v>12</v>
      </c>
      <c r="E23" s="8"/>
      <c r="G23" t="s">
        <v>15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</row>
    <row r="25" spans="4:32">
      <c r="D25" s="5" t="s">
        <v>16</v>
      </c>
      <c r="E25" s="5" t="s">
        <v>7</v>
      </c>
      <c r="F25" s="5"/>
      <c r="G25" s="5"/>
      <c r="H25" s="13"/>
      <c r="I25" s="13">
        <f>INDEX(I26:I30,MATCH($E25,$D26:$D30,0))</f>
        <v>0.13</v>
      </c>
      <c r="J25" s="13">
        <f t="shared" ref="J25:AF25" si="7">INDEX(J26:J30,MATCH($E25,$D26:$D30,0))</f>
        <v>0.16</v>
      </c>
      <c r="K25" s="13">
        <f t="shared" si="7"/>
        <v>0.12</v>
      </c>
      <c r="L25" s="13">
        <f t="shared" si="7"/>
        <v>0.13</v>
      </c>
      <c r="M25" s="13">
        <f t="shared" si="7"/>
        <v>0.13</v>
      </c>
      <c r="N25" s="13">
        <f t="shared" si="7"/>
        <v>0.13</v>
      </c>
      <c r="O25" s="13">
        <f t="shared" si="7"/>
        <v>0.12</v>
      </c>
      <c r="P25" s="13">
        <f t="shared" si="7"/>
        <v>0.11</v>
      </c>
      <c r="Q25" s="13">
        <f t="shared" si="7"/>
        <v>0.2</v>
      </c>
      <c r="R25" s="13">
        <f t="shared" si="7"/>
        <v>0.19</v>
      </c>
      <c r="S25" s="13">
        <f t="shared" si="7"/>
        <v>0.15</v>
      </c>
      <c r="T25" s="13">
        <f t="shared" si="7"/>
        <v>0.13</v>
      </c>
      <c r="U25" s="13">
        <f t="shared" si="7"/>
        <v>0.12</v>
      </c>
      <c r="V25" s="13">
        <f t="shared" si="7"/>
        <v>0.13</v>
      </c>
      <c r="W25" s="13">
        <f t="shared" si="7"/>
        <v>0.15</v>
      </c>
      <c r="X25" s="13">
        <f t="shared" si="7"/>
        <v>0.17</v>
      </c>
      <c r="Y25" s="13">
        <f t="shared" si="7"/>
        <v>0.14000000000000001</v>
      </c>
      <c r="Z25" s="13">
        <f t="shared" si="7"/>
        <v>0.12</v>
      </c>
      <c r="AA25" s="13">
        <f t="shared" si="7"/>
        <v>0.13</v>
      </c>
      <c r="AB25" s="13">
        <f t="shared" si="7"/>
        <v>0</v>
      </c>
      <c r="AC25" s="13">
        <f t="shared" si="7"/>
        <v>0</v>
      </c>
      <c r="AD25" s="13">
        <f t="shared" si="7"/>
        <v>0</v>
      </c>
      <c r="AE25" s="13">
        <f t="shared" si="7"/>
        <v>0</v>
      </c>
      <c r="AF25" s="13">
        <f t="shared" si="7"/>
        <v>0</v>
      </c>
    </row>
    <row r="26" spans="4:32">
      <c r="D26" t="s">
        <v>7</v>
      </c>
      <c r="E26" s="6"/>
      <c r="G26" t="s">
        <v>17</v>
      </c>
      <c r="I26" s="14">
        <v>0.13</v>
      </c>
      <c r="J26" s="14">
        <v>0.16</v>
      </c>
      <c r="K26" s="14">
        <v>0.12</v>
      </c>
      <c r="L26" s="14">
        <v>0.13</v>
      </c>
      <c r="M26" s="14">
        <v>0.13</v>
      </c>
      <c r="N26" s="14">
        <v>0.13</v>
      </c>
      <c r="O26" s="14">
        <v>0.12</v>
      </c>
      <c r="P26" s="14">
        <v>0.11</v>
      </c>
      <c r="Q26" s="14">
        <v>0.2</v>
      </c>
      <c r="R26" s="14">
        <v>0.19</v>
      </c>
      <c r="S26" s="14">
        <v>0.15</v>
      </c>
      <c r="T26" s="14">
        <v>0.13</v>
      </c>
      <c r="U26" s="14">
        <v>0.12</v>
      </c>
      <c r="V26" s="14">
        <v>0.13</v>
      </c>
      <c r="W26" s="14">
        <v>0.15</v>
      </c>
      <c r="X26" s="14">
        <v>0.17</v>
      </c>
      <c r="Y26" s="14">
        <v>0.14000000000000001</v>
      </c>
      <c r="Z26" s="14">
        <v>0.12</v>
      </c>
      <c r="AA26" s="14">
        <v>0.13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</row>
    <row r="27" spans="4:32">
      <c r="D27" t="s">
        <v>9</v>
      </c>
      <c r="E27" s="8">
        <v>0.1</v>
      </c>
      <c r="G27" t="s">
        <v>17</v>
      </c>
      <c r="I27" s="15">
        <f>I26*(1+$E27)</f>
        <v>0.14300000000000002</v>
      </c>
      <c r="J27" s="15">
        <f t="shared" ref="J27:AF28" si="8">J26*(1+$E27)</f>
        <v>0.17600000000000002</v>
      </c>
      <c r="K27" s="15">
        <f t="shared" si="8"/>
        <v>0.13200000000000001</v>
      </c>
      <c r="L27" s="15">
        <f t="shared" si="8"/>
        <v>0.14300000000000002</v>
      </c>
      <c r="M27" s="15">
        <f t="shared" si="8"/>
        <v>0.14300000000000002</v>
      </c>
      <c r="N27" s="15">
        <f t="shared" si="8"/>
        <v>0.14300000000000002</v>
      </c>
      <c r="O27" s="15">
        <f t="shared" si="8"/>
        <v>0.13200000000000001</v>
      </c>
      <c r="P27" s="15">
        <f t="shared" si="8"/>
        <v>0.12100000000000001</v>
      </c>
      <c r="Q27" s="15">
        <f t="shared" si="8"/>
        <v>0.22000000000000003</v>
      </c>
      <c r="R27" s="15">
        <f t="shared" si="8"/>
        <v>0.20900000000000002</v>
      </c>
      <c r="S27" s="15">
        <f t="shared" si="8"/>
        <v>0.16500000000000001</v>
      </c>
      <c r="T27" s="15">
        <f t="shared" si="8"/>
        <v>0.14300000000000002</v>
      </c>
      <c r="U27" s="15">
        <f t="shared" si="8"/>
        <v>0.13200000000000001</v>
      </c>
      <c r="V27" s="15">
        <f t="shared" si="8"/>
        <v>0.14300000000000002</v>
      </c>
      <c r="W27" s="15">
        <f t="shared" si="8"/>
        <v>0.16500000000000001</v>
      </c>
      <c r="X27" s="15">
        <f t="shared" si="8"/>
        <v>0.18700000000000003</v>
      </c>
      <c r="Y27" s="15">
        <f t="shared" si="8"/>
        <v>0.15400000000000003</v>
      </c>
      <c r="Z27" s="15">
        <f t="shared" si="8"/>
        <v>0.13200000000000001</v>
      </c>
      <c r="AA27" s="15">
        <f t="shared" si="8"/>
        <v>0.14300000000000002</v>
      </c>
      <c r="AB27" s="15">
        <f t="shared" si="8"/>
        <v>0</v>
      </c>
      <c r="AC27" s="15">
        <f t="shared" si="8"/>
        <v>0</v>
      </c>
      <c r="AD27" s="15">
        <f t="shared" si="8"/>
        <v>0</v>
      </c>
      <c r="AE27" s="15">
        <f t="shared" si="8"/>
        <v>0</v>
      </c>
      <c r="AF27" s="15">
        <f t="shared" si="8"/>
        <v>0</v>
      </c>
    </row>
    <row r="28" spans="4:32">
      <c r="D28" t="s">
        <v>10</v>
      </c>
      <c r="E28" s="8">
        <v>-0.1</v>
      </c>
      <c r="G28" t="s">
        <v>17</v>
      </c>
      <c r="I28" s="15">
        <f>I27*(1+$E28)</f>
        <v>0.12870000000000001</v>
      </c>
      <c r="J28" s="15">
        <f t="shared" si="8"/>
        <v>0.15840000000000001</v>
      </c>
      <c r="K28" s="15">
        <f t="shared" si="8"/>
        <v>0.1188</v>
      </c>
      <c r="L28" s="15">
        <f t="shared" si="8"/>
        <v>0.12870000000000001</v>
      </c>
      <c r="M28" s="15">
        <f t="shared" si="8"/>
        <v>0.12870000000000001</v>
      </c>
      <c r="N28" s="15">
        <f t="shared" si="8"/>
        <v>0.12870000000000001</v>
      </c>
      <c r="O28" s="15">
        <f t="shared" si="8"/>
        <v>0.1188</v>
      </c>
      <c r="P28" s="15">
        <f t="shared" si="8"/>
        <v>0.10890000000000001</v>
      </c>
      <c r="Q28" s="15">
        <f t="shared" si="8"/>
        <v>0.19800000000000004</v>
      </c>
      <c r="R28" s="15">
        <f t="shared" si="8"/>
        <v>0.18810000000000002</v>
      </c>
      <c r="S28" s="15">
        <f t="shared" si="8"/>
        <v>0.14850000000000002</v>
      </c>
      <c r="T28" s="15">
        <f t="shared" si="8"/>
        <v>0.12870000000000001</v>
      </c>
      <c r="U28" s="15">
        <f t="shared" si="8"/>
        <v>0.1188</v>
      </c>
      <c r="V28" s="15">
        <f t="shared" si="8"/>
        <v>0.12870000000000001</v>
      </c>
      <c r="W28" s="15">
        <f t="shared" si="8"/>
        <v>0.14850000000000002</v>
      </c>
      <c r="X28" s="15">
        <f t="shared" si="8"/>
        <v>0.16830000000000003</v>
      </c>
      <c r="Y28" s="15">
        <f t="shared" si="8"/>
        <v>0.13860000000000003</v>
      </c>
      <c r="Z28" s="15">
        <f t="shared" si="8"/>
        <v>0.1188</v>
      </c>
      <c r="AA28" s="15">
        <f t="shared" si="8"/>
        <v>0.12870000000000001</v>
      </c>
      <c r="AB28" s="15">
        <f t="shared" si="8"/>
        <v>0</v>
      </c>
      <c r="AC28" s="15">
        <f t="shared" si="8"/>
        <v>0</v>
      </c>
      <c r="AD28" s="15">
        <f t="shared" si="8"/>
        <v>0</v>
      </c>
      <c r="AE28" s="15">
        <f t="shared" si="8"/>
        <v>0</v>
      </c>
      <c r="AF28" s="15">
        <f t="shared" si="8"/>
        <v>0</v>
      </c>
    </row>
    <row r="29" spans="4:32">
      <c r="D29" t="s">
        <v>11</v>
      </c>
      <c r="E29" s="8"/>
      <c r="G29" t="s">
        <v>17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</row>
    <row r="30" spans="4:32">
      <c r="D30" t="s">
        <v>12</v>
      </c>
      <c r="E30" s="8"/>
      <c r="G30" t="s">
        <v>17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</row>
    <row r="32" spans="4:32">
      <c r="D32" s="5" t="s">
        <v>18</v>
      </c>
      <c r="E32" s="5" t="s">
        <v>7</v>
      </c>
      <c r="F32" s="5"/>
      <c r="G32" s="5"/>
      <c r="H32" s="13"/>
      <c r="I32" s="13">
        <f>INDEX(I33:I37,MATCH($E32,$D33:$D37,0))</f>
        <v>1.46</v>
      </c>
      <c r="J32" s="13">
        <f t="shared" ref="J32:AF32" si="9">INDEX(J33:J37,MATCH($E32,$D33:$D37,0))</f>
        <v>2.74</v>
      </c>
      <c r="K32" s="13">
        <f t="shared" si="9"/>
        <v>2.0299999999999998</v>
      </c>
      <c r="L32" s="13">
        <f t="shared" si="9"/>
        <v>1.8</v>
      </c>
      <c r="M32" s="13">
        <f t="shared" si="9"/>
        <v>1.71</v>
      </c>
      <c r="N32" s="13">
        <f t="shared" si="9"/>
        <v>1.94</v>
      </c>
      <c r="O32" s="13">
        <f t="shared" si="9"/>
        <v>1.49</v>
      </c>
      <c r="P32" s="13">
        <f t="shared" si="9"/>
        <v>1.26</v>
      </c>
      <c r="Q32" s="13">
        <f t="shared" si="9"/>
        <v>2.73</v>
      </c>
      <c r="R32" s="13">
        <f t="shared" si="9"/>
        <v>2.29</v>
      </c>
      <c r="S32" s="13">
        <f t="shared" si="9"/>
        <v>1.55</v>
      </c>
      <c r="T32" s="13">
        <f t="shared" si="9"/>
        <v>1.19</v>
      </c>
      <c r="U32" s="13">
        <f t="shared" si="9"/>
        <v>1.1399999999999999</v>
      </c>
      <c r="V32" s="13">
        <f t="shared" si="9"/>
        <v>1.22</v>
      </c>
      <c r="W32" s="13">
        <f t="shared" si="9"/>
        <v>1.7</v>
      </c>
      <c r="X32" s="13">
        <f t="shared" si="9"/>
        <v>2.4</v>
      </c>
      <c r="Y32" s="13">
        <f t="shared" si="9"/>
        <v>2.2240000000000002</v>
      </c>
      <c r="Z32" s="13">
        <f t="shared" si="9"/>
        <v>1.53</v>
      </c>
      <c r="AA32" s="13">
        <f t="shared" si="9"/>
        <v>1.27</v>
      </c>
      <c r="AB32" s="13">
        <f t="shared" si="9"/>
        <v>0</v>
      </c>
      <c r="AC32" s="13">
        <f t="shared" si="9"/>
        <v>0</v>
      </c>
      <c r="AD32" s="13">
        <f t="shared" si="9"/>
        <v>0</v>
      </c>
      <c r="AE32" s="13">
        <f t="shared" si="9"/>
        <v>0</v>
      </c>
      <c r="AF32" s="13">
        <f t="shared" si="9"/>
        <v>0</v>
      </c>
    </row>
    <row r="33" spans="4:32">
      <c r="D33" t="s">
        <v>7</v>
      </c>
      <c r="E33" s="6"/>
      <c r="G33" t="s">
        <v>19</v>
      </c>
      <c r="I33" s="14">
        <v>1.46</v>
      </c>
      <c r="J33" s="14">
        <v>2.74</v>
      </c>
      <c r="K33" s="14">
        <v>2.0299999999999998</v>
      </c>
      <c r="L33" s="14">
        <v>1.8</v>
      </c>
      <c r="M33" s="14">
        <v>1.71</v>
      </c>
      <c r="N33" s="14">
        <v>1.94</v>
      </c>
      <c r="O33" s="14">
        <v>1.49</v>
      </c>
      <c r="P33" s="14">
        <v>1.26</v>
      </c>
      <c r="Q33" s="14">
        <v>2.73</v>
      </c>
      <c r="R33" s="14">
        <v>2.29</v>
      </c>
      <c r="S33" s="14">
        <v>1.55</v>
      </c>
      <c r="T33" s="14">
        <v>1.19</v>
      </c>
      <c r="U33" s="14">
        <v>1.1399999999999999</v>
      </c>
      <c r="V33" s="14">
        <v>1.22</v>
      </c>
      <c r="W33" s="14">
        <v>1.7</v>
      </c>
      <c r="X33" s="14">
        <v>2.4</v>
      </c>
      <c r="Y33" s="14">
        <v>2.2240000000000002</v>
      </c>
      <c r="Z33" s="14">
        <v>1.53</v>
      </c>
      <c r="AA33" s="14">
        <v>1.27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</row>
    <row r="34" spans="4:32">
      <c r="D34" t="s">
        <v>9</v>
      </c>
      <c r="E34" s="8">
        <v>0.1</v>
      </c>
      <c r="G34" t="s">
        <v>19</v>
      </c>
      <c r="I34" s="15">
        <f>I33*(1+$E34)</f>
        <v>1.6060000000000001</v>
      </c>
      <c r="J34" s="15">
        <f t="shared" ref="J34:AF35" si="10">J33*(1+$E34)</f>
        <v>3.0140000000000007</v>
      </c>
      <c r="K34" s="15">
        <f t="shared" si="10"/>
        <v>2.2330000000000001</v>
      </c>
      <c r="L34" s="15">
        <f t="shared" si="10"/>
        <v>1.9800000000000002</v>
      </c>
      <c r="M34" s="15">
        <f t="shared" si="10"/>
        <v>1.881</v>
      </c>
      <c r="N34" s="15">
        <f t="shared" si="10"/>
        <v>2.1339999999999999</v>
      </c>
      <c r="O34" s="15">
        <f t="shared" si="10"/>
        <v>1.639</v>
      </c>
      <c r="P34" s="15">
        <f t="shared" si="10"/>
        <v>1.3860000000000001</v>
      </c>
      <c r="Q34" s="15">
        <f t="shared" si="10"/>
        <v>3.0030000000000001</v>
      </c>
      <c r="R34" s="15">
        <f t="shared" si="10"/>
        <v>2.5190000000000001</v>
      </c>
      <c r="S34" s="15">
        <f t="shared" si="10"/>
        <v>1.7050000000000003</v>
      </c>
      <c r="T34" s="15">
        <f t="shared" si="10"/>
        <v>1.3089999999999999</v>
      </c>
      <c r="U34" s="15">
        <f t="shared" si="10"/>
        <v>1.254</v>
      </c>
      <c r="V34" s="15">
        <f t="shared" si="10"/>
        <v>1.3420000000000001</v>
      </c>
      <c r="W34" s="15">
        <f t="shared" si="10"/>
        <v>1.87</v>
      </c>
      <c r="X34" s="15">
        <f t="shared" si="10"/>
        <v>2.64</v>
      </c>
      <c r="Y34" s="15">
        <f t="shared" si="10"/>
        <v>2.4464000000000006</v>
      </c>
      <c r="Z34" s="15">
        <f t="shared" si="10"/>
        <v>1.6830000000000003</v>
      </c>
      <c r="AA34" s="15">
        <f t="shared" si="10"/>
        <v>1.3970000000000002</v>
      </c>
      <c r="AB34" s="15">
        <f t="shared" si="10"/>
        <v>0</v>
      </c>
      <c r="AC34" s="15">
        <f t="shared" si="10"/>
        <v>0</v>
      </c>
      <c r="AD34" s="15">
        <f t="shared" si="10"/>
        <v>0</v>
      </c>
      <c r="AE34" s="15">
        <f t="shared" si="10"/>
        <v>0</v>
      </c>
      <c r="AF34" s="15">
        <f t="shared" si="10"/>
        <v>0</v>
      </c>
    </row>
    <row r="35" spans="4:32">
      <c r="D35" t="s">
        <v>10</v>
      </c>
      <c r="E35" s="8">
        <v>-0.1</v>
      </c>
      <c r="G35" t="s">
        <v>19</v>
      </c>
      <c r="I35" s="15">
        <f>I34*(1+$E35)</f>
        <v>1.4454</v>
      </c>
      <c r="J35" s="15">
        <f t="shared" si="10"/>
        <v>2.7126000000000006</v>
      </c>
      <c r="K35" s="15">
        <f t="shared" si="10"/>
        <v>2.0097</v>
      </c>
      <c r="L35" s="15">
        <f t="shared" si="10"/>
        <v>1.7820000000000003</v>
      </c>
      <c r="M35" s="15">
        <f t="shared" si="10"/>
        <v>1.6929000000000001</v>
      </c>
      <c r="N35" s="15">
        <f t="shared" si="10"/>
        <v>1.9205999999999999</v>
      </c>
      <c r="O35" s="15">
        <f t="shared" si="10"/>
        <v>1.4751000000000001</v>
      </c>
      <c r="P35" s="15">
        <f t="shared" si="10"/>
        <v>1.2474000000000001</v>
      </c>
      <c r="Q35" s="15">
        <f t="shared" si="10"/>
        <v>2.7027000000000001</v>
      </c>
      <c r="R35" s="15">
        <f t="shared" si="10"/>
        <v>2.2671000000000001</v>
      </c>
      <c r="S35" s="15">
        <f t="shared" si="10"/>
        <v>1.5345000000000002</v>
      </c>
      <c r="T35" s="15">
        <f t="shared" si="10"/>
        <v>1.1780999999999999</v>
      </c>
      <c r="U35" s="15">
        <f t="shared" si="10"/>
        <v>1.1286</v>
      </c>
      <c r="V35" s="15">
        <f t="shared" si="10"/>
        <v>1.2078000000000002</v>
      </c>
      <c r="W35" s="15">
        <f t="shared" si="10"/>
        <v>1.6830000000000001</v>
      </c>
      <c r="X35" s="15">
        <f t="shared" si="10"/>
        <v>2.3760000000000003</v>
      </c>
      <c r="Y35" s="15">
        <f t="shared" si="10"/>
        <v>2.2017600000000006</v>
      </c>
      <c r="Z35" s="15">
        <f t="shared" si="10"/>
        <v>1.5147000000000004</v>
      </c>
      <c r="AA35" s="15">
        <f t="shared" si="10"/>
        <v>1.2573000000000003</v>
      </c>
      <c r="AB35" s="15">
        <f t="shared" si="10"/>
        <v>0</v>
      </c>
      <c r="AC35" s="15">
        <f t="shared" si="10"/>
        <v>0</v>
      </c>
      <c r="AD35" s="15">
        <f t="shared" si="10"/>
        <v>0</v>
      </c>
      <c r="AE35" s="15">
        <f t="shared" si="10"/>
        <v>0</v>
      </c>
      <c r="AF35" s="15">
        <f t="shared" si="10"/>
        <v>0</v>
      </c>
    </row>
    <row r="36" spans="4:32">
      <c r="D36" t="s">
        <v>11</v>
      </c>
      <c r="E36" s="8"/>
      <c r="G36" t="s">
        <v>19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</row>
    <row r="37" spans="4:32">
      <c r="D37" t="s">
        <v>12</v>
      </c>
      <c r="E37" s="8"/>
      <c r="G37" t="s">
        <v>19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</row>
    <row r="39" spans="4:32">
      <c r="D39" s="4" t="s">
        <v>20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4:32">
      <c r="D40" s="5" t="s">
        <v>21</v>
      </c>
      <c r="E40" s="5" t="s">
        <v>7</v>
      </c>
      <c r="F40" s="5"/>
      <c r="G40" s="5"/>
      <c r="H40" s="5"/>
      <c r="I40" s="5">
        <f>INDEX(I41:I45,MATCH($E40,$D41:$D45,0))</f>
        <v>0</v>
      </c>
      <c r="J40" s="5">
        <f t="shared" ref="J40:AF40" si="11">INDEX(J41:J45,MATCH($E40,$D41:$D45,0))</f>
        <v>9655</v>
      </c>
      <c r="K40" s="5">
        <f t="shared" si="11"/>
        <v>17090</v>
      </c>
      <c r="L40" s="5">
        <f t="shared" si="11"/>
        <v>19267</v>
      </c>
      <c r="M40" s="5">
        <f t="shared" si="11"/>
        <v>17113</v>
      </c>
      <c r="N40" s="5">
        <f t="shared" si="11"/>
        <v>15524</v>
      </c>
      <c r="O40" s="5">
        <f t="shared" si="11"/>
        <v>13588</v>
      </c>
      <c r="P40" s="5">
        <f t="shared" si="11"/>
        <v>12084</v>
      </c>
      <c r="Q40" s="5">
        <f t="shared" si="11"/>
        <v>10635</v>
      </c>
      <c r="R40" s="5">
        <f t="shared" si="11"/>
        <v>9952</v>
      </c>
      <c r="S40" s="5">
        <f t="shared" si="11"/>
        <v>6643</v>
      </c>
      <c r="T40" s="5">
        <f t="shared" si="11"/>
        <v>3865</v>
      </c>
      <c r="U40" s="5">
        <f t="shared" si="11"/>
        <v>1424</v>
      </c>
      <c r="V40" s="5">
        <f t="shared" si="11"/>
        <v>2049</v>
      </c>
      <c r="W40" s="5">
        <f t="shared" si="11"/>
        <v>0</v>
      </c>
      <c r="X40" s="5">
        <f t="shared" si="11"/>
        <v>0</v>
      </c>
      <c r="Y40" s="5">
        <f t="shared" si="11"/>
        <v>0</v>
      </c>
      <c r="Z40" s="5">
        <f t="shared" si="11"/>
        <v>0</v>
      </c>
      <c r="AA40" s="5">
        <f t="shared" si="11"/>
        <v>0</v>
      </c>
      <c r="AB40" s="5">
        <f t="shared" si="11"/>
        <v>0</v>
      </c>
      <c r="AC40" s="5">
        <f t="shared" si="11"/>
        <v>0</v>
      </c>
      <c r="AD40" s="5">
        <f t="shared" si="11"/>
        <v>0</v>
      </c>
      <c r="AE40" s="5">
        <f t="shared" si="11"/>
        <v>0</v>
      </c>
      <c r="AF40" s="5">
        <f t="shared" si="11"/>
        <v>0</v>
      </c>
    </row>
    <row r="41" spans="4:32">
      <c r="D41" t="s">
        <v>7</v>
      </c>
      <c r="E41" s="6"/>
      <c r="G41" t="s">
        <v>8</v>
      </c>
      <c r="I41" s="7">
        <v>0</v>
      </c>
      <c r="J41" s="7">
        <v>9655</v>
      </c>
      <c r="K41" s="7">
        <v>17090</v>
      </c>
      <c r="L41" s="7">
        <v>19267</v>
      </c>
      <c r="M41" s="7">
        <v>17113</v>
      </c>
      <c r="N41" s="7">
        <v>15524</v>
      </c>
      <c r="O41" s="7">
        <v>13588</v>
      </c>
      <c r="P41" s="7">
        <v>12084</v>
      </c>
      <c r="Q41" s="7">
        <v>10635</v>
      </c>
      <c r="R41" s="7">
        <v>9952</v>
      </c>
      <c r="S41" s="7">
        <v>6643</v>
      </c>
      <c r="T41" s="7">
        <v>3865</v>
      </c>
      <c r="U41" s="7">
        <v>1424</v>
      </c>
      <c r="V41" s="7">
        <v>2049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</row>
    <row r="42" spans="4:32">
      <c r="D42" t="s">
        <v>9</v>
      </c>
      <c r="E42" s="8">
        <v>0.1</v>
      </c>
      <c r="G42" t="s">
        <v>8</v>
      </c>
      <c r="I42" s="9">
        <f>I41*(1+$E42)</f>
        <v>0</v>
      </c>
      <c r="J42" s="9">
        <f t="shared" ref="J42:AF43" si="12">J41*(1+$E42)</f>
        <v>10620.5</v>
      </c>
      <c r="K42" s="9">
        <f t="shared" si="12"/>
        <v>18799</v>
      </c>
      <c r="L42" s="9">
        <f t="shared" si="12"/>
        <v>21193.7</v>
      </c>
      <c r="M42" s="9">
        <f t="shared" si="12"/>
        <v>18824.300000000003</v>
      </c>
      <c r="N42" s="9">
        <f t="shared" si="12"/>
        <v>17076.400000000001</v>
      </c>
      <c r="O42" s="9">
        <f t="shared" si="12"/>
        <v>14946.800000000001</v>
      </c>
      <c r="P42" s="9">
        <f t="shared" si="12"/>
        <v>13292.400000000001</v>
      </c>
      <c r="Q42" s="9">
        <f t="shared" si="12"/>
        <v>11698.500000000002</v>
      </c>
      <c r="R42" s="9">
        <f t="shared" si="12"/>
        <v>10947.2</v>
      </c>
      <c r="S42" s="9">
        <f t="shared" si="12"/>
        <v>7307.3</v>
      </c>
      <c r="T42" s="9">
        <f t="shared" si="12"/>
        <v>4251.5</v>
      </c>
      <c r="U42" s="9">
        <f t="shared" si="12"/>
        <v>1566.4</v>
      </c>
      <c r="V42" s="9">
        <f t="shared" si="12"/>
        <v>2253.9</v>
      </c>
      <c r="W42" s="9">
        <f t="shared" si="12"/>
        <v>0</v>
      </c>
      <c r="X42" s="9">
        <f t="shared" si="12"/>
        <v>0</v>
      </c>
      <c r="Y42" s="9">
        <f t="shared" si="12"/>
        <v>0</v>
      </c>
      <c r="Z42" s="9">
        <f t="shared" si="12"/>
        <v>0</v>
      </c>
      <c r="AA42" s="9">
        <f t="shared" si="12"/>
        <v>0</v>
      </c>
      <c r="AB42" s="9">
        <f t="shared" si="12"/>
        <v>0</v>
      </c>
      <c r="AC42" s="9">
        <f t="shared" si="12"/>
        <v>0</v>
      </c>
      <c r="AD42" s="9">
        <f t="shared" si="12"/>
        <v>0</v>
      </c>
      <c r="AE42" s="9">
        <f t="shared" si="12"/>
        <v>0</v>
      </c>
      <c r="AF42" s="9">
        <f t="shared" si="12"/>
        <v>0</v>
      </c>
    </row>
    <row r="43" spans="4:32">
      <c r="D43" t="s">
        <v>10</v>
      </c>
      <c r="E43" s="8">
        <v>-0.1</v>
      </c>
      <c r="G43" t="s">
        <v>8</v>
      </c>
      <c r="I43" s="9">
        <f>I42*(1+$E43)</f>
        <v>0</v>
      </c>
      <c r="J43" s="9">
        <f t="shared" si="12"/>
        <v>9558.4500000000007</v>
      </c>
      <c r="K43" s="9">
        <f t="shared" si="12"/>
        <v>16919.100000000002</v>
      </c>
      <c r="L43" s="9">
        <f t="shared" si="12"/>
        <v>19074.330000000002</v>
      </c>
      <c r="M43" s="9">
        <f t="shared" si="12"/>
        <v>16941.870000000003</v>
      </c>
      <c r="N43" s="9">
        <f t="shared" si="12"/>
        <v>15368.760000000002</v>
      </c>
      <c r="O43" s="9">
        <f t="shared" si="12"/>
        <v>13452.12</v>
      </c>
      <c r="P43" s="9">
        <f t="shared" si="12"/>
        <v>11963.160000000002</v>
      </c>
      <c r="Q43" s="9">
        <f t="shared" si="12"/>
        <v>10528.650000000001</v>
      </c>
      <c r="R43" s="9">
        <f t="shared" si="12"/>
        <v>9852.4800000000014</v>
      </c>
      <c r="S43" s="9">
        <f t="shared" si="12"/>
        <v>6576.5700000000006</v>
      </c>
      <c r="T43" s="9">
        <f t="shared" si="12"/>
        <v>3826.35</v>
      </c>
      <c r="U43" s="9">
        <f t="shared" si="12"/>
        <v>1409.7600000000002</v>
      </c>
      <c r="V43" s="9">
        <f t="shared" si="12"/>
        <v>2028.5100000000002</v>
      </c>
      <c r="W43" s="9">
        <f t="shared" si="12"/>
        <v>0</v>
      </c>
      <c r="X43" s="9">
        <f t="shared" si="12"/>
        <v>0</v>
      </c>
      <c r="Y43" s="9">
        <f t="shared" si="12"/>
        <v>0</v>
      </c>
      <c r="Z43" s="9">
        <f t="shared" si="12"/>
        <v>0</v>
      </c>
      <c r="AA43" s="9">
        <f t="shared" si="12"/>
        <v>0</v>
      </c>
      <c r="AB43" s="9">
        <f t="shared" si="12"/>
        <v>0</v>
      </c>
      <c r="AC43" s="9">
        <f t="shared" si="12"/>
        <v>0</v>
      </c>
      <c r="AD43" s="9">
        <f t="shared" si="12"/>
        <v>0</v>
      </c>
      <c r="AE43" s="9">
        <f t="shared" si="12"/>
        <v>0</v>
      </c>
      <c r="AF43" s="9">
        <f t="shared" si="12"/>
        <v>0</v>
      </c>
    </row>
    <row r="44" spans="4:32">
      <c r="D44" t="s">
        <v>11</v>
      </c>
      <c r="E44" s="8"/>
      <c r="G44" t="s">
        <v>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</row>
    <row r="45" spans="4:32">
      <c r="D45" t="s">
        <v>12</v>
      </c>
      <c r="E45" s="8"/>
      <c r="G45" t="s">
        <v>8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</row>
    <row r="47" spans="4:32">
      <c r="D47" s="5" t="s">
        <v>22</v>
      </c>
      <c r="E47" s="5" t="s">
        <v>7</v>
      </c>
      <c r="F47" s="5"/>
      <c r="G47" s="5"/>
      <c r="H47" s="5"/>
      <c r="I47" s="5">
        <f>INDEX(I48:I52,MATCH($E47,$D48:$D52,0))</f>
        <v>0</v>
      </c>
      <c r="J47" s="5">
        <f t="shared" ref="J47:AF47" si="13">INDEX(J48:J52,MATCH($E47,$D48:$D52,0))</f>
        <v>0</v>
      </c>
      <c r="K47" s="5">
        <f t="shared" si="13"/>
        <v>0</v>
      </c>
      <c r="L47" s="5">
        <f t="shared" si="13"/>
        <v>2395</v>
      </c>
      <c r="M47" s="5">
        <f t="shared" si="13"/>
        <v>3965</v>
      </c>
      <c r="N47" s="5">
        <f t="shared" si="13"/>
        <v>424</v>
      </c>
      <c r="O47" s="5">
        <f t="shared" si="13"/>
        <v>6162</v>
      </c>
      <c r="P47" s="5">
        <f t="shared" si="13"/>
        <v>7707</v>
      </c>
      <c r="Q47" s="5">
        <f t="shared" si="13"/>
        <v>7927</v>
      </c>
      <c r="R47" s="5">
        <f t="shared" si="13"/>
        <v>6143</v>
      </c>
      <c r="S47" s="5">
        <f t="shared" si="13"/>
        <v>6855</v>
      </c>
      <c r="T47" s="5">
        <f t="shared" si="13"/>
        <v>4792</v>
      </c>
      <c r="U47" s="5">
        <f t="shared" si="13"/>
        <v>2049</v>
      </c>
      <c r="V47" s="5">
        <f t="shared" si="13"/>
        <v>290</v>
      </c>
      <c r="W47" s="5">
        <f t="shared" si="13"/>
        <v>0</v>
      </c>
      <c r="X47" s="5">
        <f t="shared" si="13"/>
        <v>0</v>
      </c>
      <c r="Y47" s="5">
        <f t="shared" si="13"/>
        <v>0</v>
      </c>
      <c r="Z47" s="5">
        <f t="shared" si="13"/>
        <v>0</v>
      </c>
      <c r="AA47" s="5">
        <f t="shared" si="13"/>
        <v>0</v>
      </c>
      <c r="AB47" s="5">
        <f t="shared" si="13"/>
        <v>0</v>
      </c>
      <c r="AC47" s="5">
        <f t="shared" si="13"/>
        <v>0</v>
      </c>
      <c r="AD47" s="5">
        <f t="shared" si="13"/>
        <v>0</v>
      </c>
      <c r="AE47" s="5">
        <f t="shared" si="13"/>
        <v>0</v>
      </c>
      <c r="AF47" s="5">
        <f t="shared" si="13"/>
        <v>0</v>
      </c>
    </row>
    <row r="48" spans="4:32">
      <c r="D48" t="s">
        <v>7</v>
      </c>
      <c r="E48" s="6"/>
      <c r="G48" t="s">
        <v>8</v>
      </c>
      <c r="I48" s="7">
        <v>0</v>
      </c>
      <c r="J48" s="7">
        <v>0</v>
      </c>
      <c r="K48" s="7">
        <v>0</v>
      </c>
      <c r="L48" s="7">
        <v>2395</v>
      </c>
      <c r="M48" s="7">
        <v>3965</v>
      </c>
      <c r="N48" s="7">
        <v>424</v>
      </c>
      <c r="O48" s="7">
        <v>6162</v>
      </c>
      <c r="P48" s="7">
        <v>7707</v>
      </c>
      <c r="Q48" s="7">
        <v>7927</v>
      </c>
      <c r="R48" s="7">
        <v>6143</v>
      </c>
      <c r="S48" s="7">
        <v>6855</v>
      </c>
      <c r="T48" s="7">
        <v>4792</v>
      </c>
      <c r="U48" s="7">
        <v>2049</v>
      </c>
      <c r="V48" s="7">
        <v>290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</row>
    <row r="49" spans="4:32">
      <c r="D49" t="s">
        <v>9</v>
      </c>
      <c r="E49" s="8">
        <v>0.1</v>
      </c>
      <c r="G49" t="s">
        <v>8</v>
      </c>
      <c r="I49" s="9">
        <f>I48*(1+$E49)</f>
        <v>0</v>
      </c>
      <c r="J49" s="9">
        <f t="shared" ref="J49:AF50" si="14">J48*(1+$E49)</f>
        <v>0</v>
      </c>
      <c r="K49" s="9">
        <f t="shared" si="14"/>
        <v>0</v>
      </c>
      <c r="L49" s="9">
        <f t="shared" si="14"/>
        <v>2634.5</v>
      </c>
      <c r="M49" s="9">
        <f t="shared" si="14"/>
        <v>4361.5</v>
      </c>
      <c r="N49" s="9">
        <f t="shared" si="14"/>
        <v>466.40000000000003</v>
      </c>
      <c r="O49" s="9">
        <f t="shared" si="14"/>
        <v>6778.2000000000007</v>
      </c>
      <c r="P49" s="9">
        <f t="shared" si="14"/>
        <v>8477.7000000000007</v>
      </c>
      <c r="Q49" s="9">
        <f t="shared" si="14"/>
        <v>8719.7000000000007</v>
      </c>
      <c r="R49" s="9">
        <f t="shared" si="14"/>
        <v>6757.3</v>
      </c>
      <c r="S49" s="9">
        <f t="shared" si="14"/>
        <v>7540.5000000000009</v>
      </c>
      <c r="T49" s="9">
        <f t="shared" si="14"/>
        <v>5271.2000000000007</v>
      </c>
      <c r="U49" s="9">
        <f t="shared" si="14"/>
        <v>2253.9</v>
      </c>
      <c r="V49" s="9">
        <f t="shared" si="14"/>
        <v>319</v>
      </c>
      <c r="W49" s="9">
        <f t="shared" si="14"/>
        <v>0</v>
      </c>
      <c r="X49" s="9">
        <f t="shared" si="14"/>
        <v>0</v>
      </c>
      <c r="Y49" s="9">
        <f t="shared" si="14"/>
        <v>0</v>
      </c>
      <c r="Z49" s="9">
        <f t="shared" si="14"/>
        <v>0</v>
      </c>
      <c r="AA49" s="9">
        <f t="shared" si="14"/>
        <v>0</v>
      </c>
      <c r="AB49" s="9">
        <f t="shared" si="14"/>
        <v>0</v>
      </c>
      <c r="AC49" s="9">
        <f t="shared" si="14"/>
        <v>0</v>
      </c>
      <c r="AD49" s="9">
        <f t="shared" si="14"/>
        <v>0</v>
      </c>
      <c r="AE49" s="9">
        <f t="shared" si="14"/>
        <v>0</v>
      </c>
      <c r="AF49" s="9">
        <f t="shared" si="14"/>
        <v>0</v>
      </c>
    </row>
    <row r="50" spans="4:32">
      <c r="D50" t="s">
        <v>10</v>
      </c>
      <c r="E50" s="8">
        <v>-0.1</v>
      </c>
      <c r="G50" t="s">
        <v>8</v>
      </c>
      <c r="I50" s="9">
        <f>I49*(1+$E50)</f>
        <v>0</v>
      </c>
      <c r="J50" s="9">
        <f t="shared" si="14"/>
        <v>0</v>
      </c>
      <c r="K50" s="9">
        <f t="shared" si="14"/>
        <v>0</v>
      </c>
      <c r="L50" s="9">
        <f t="shared" si="14"/>
        <v>2371.0500000000002</v>
      </c>
      <c r="M50" s="9">
        <f t="shared" si="14"/>
        <v>3925.35</v>
      </c>
      <c r="N50" s="9">
        <f t="shared" si="14"/>
        <v>419.76000000000005</v>
      </c>
      <c r="O50" s="9">
        <f t="shared" si="14"/>
        <v>6100.380000000001</v>
      </c>
      <c r="P50" s="9">
        <f t="shared" si="14"/>
        <v>7629.9300000000012</v>
      </c>
      <c r="Q50" s="9">
        <f t="shared" si="14"/>
        <v>7847.7300000000005</v>
      </c>
      <c r="R50" s="9">
        <f t="shared" si="14"/>
        <v>6081.5700000000006</v>
      </c>
      <c r="S50" s="9">
        <f t="shared" si="14"/>
        <v>6786.4500000000007</v>
      </c>
      <c r="T50" s="9">
        <f t="shared" si="14"/>
        <v>4744.0800000000008</v>
      </c>
      <c r="U50" s="9">
        <f t="shared" si="14"/>
        <v>2028.5100000000002</v>
      </c>
      <c r="V50" s="9">
        <f t="shared" si="14"/>
        <v>287.10000000000002</v>
      </c>
      <c r="W50" s="9">
        <f t="shared" si="14"/>
        <v>0</v>
      </c>
      <c r="X50" s="9">
        <f t="shared" si="14"/>
        <v>0</v>
      </c>
      <c r="Y50" s="9">
        <f t="shared" si="14"/>
        <v>0</v>
      </c>
      <c r="Z50" s="9">
        <f t="shared" si="14"/>
        <v>0</v>
      </c>
      <c r="AA50" s="9">
        <f t="shared" si="14"/>
        <v>0</v>
      </c>
      <c r="AB50" s="9">
        <f t="shared" si="14"/>
        <v>0</v>
      </c>
      <c r="AC50" s="9">
        <f t="shared" si="14"/>
        <v>0</v>
      </c>
      <c r="AD50" s="9">
        <f t="shared" si="14"/>
        <v>0</v>
      </c>
      <c r="AE50" s="9">
        <f t="shared" si="14"/>
        <v>0</v>
      </c>
      <c r="AF50" s="9">
        <f t="shared" si="14"/>
        <v>0</v>
      </c>
    </row>
    <row r="51" spans="4:32">
      <c r="D51" t="s">
        <v>11</v>
      </c>
      <c r="E51" s="8"/>
      <c r="G51" t="s">
        <v>8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</row>
    <row r="52" spans="4:32">
      <c r="D52" t="s">
        <v>12</v>
      </c>
      <c r="E52" s="8"/>
      <c r="G52" t="s">
        <v>8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</row>
    <row r="54" spans="4:32">
      <c r="D54" s="5" t="s">
        <v>14</v>
      </c>
      <c r="E54" s="5" t="s">
        <v>7</v>
      </c>
      <c r="F54" s="5"/>
      <c r="G54" s="5"/>
      <c r="H54" s="10"/>
      <c r="I54" s="10">
        <f>INDEX(I55:I59,MATCH($E54,$D55:$D59,0))</f>
        <v>0</v>
      </c>
      <c r="J54" s="10">
        <f t="shared" ref="J54:AF54" si="15">INDEX(J55:J59,MATCH($E54,$D55:$D59,0))</f>
        <v>0</v>
      </c>
      <c r="K54" s="10">
        <f t="shared" si="15"/>
        <v>0</v>
      </c>
      <c r="L54" s="10">
        <f t="shared" si="15"/>
        <v>4.1999999999999997E-3</v>
      </c>
      <c r="M54" s="10">
        <f t="shared" si="15"/>
        <v>4.0000000000000001E-3</v>
      </c>
      <c r="N54" s="10">
        <f t="shared" si="15"/>
        <v>4.3E-3</v>
      </c>
      <c r="O54" s="10">
        <f t="shared" si="15"/>
        <v>4.1999999999999997E-3</v>
      </c>
      <c r="P54" s="10">
        <f t="shared" si="15"/>
        <v>4.4000000000000003E-3</v>
      </c>
      <c r="Q54" s="10">
        <f t="shared" si="15"/>
        <v>4.0000000000000001E-3</v>
      </c>
      <c r="R54" s="10">
        <f t="shared" si="15"/>
        <v>4.1000000000000003E-3</v>
      </c>
      <c r="S54" s="10">
        <f t="shared" si="15"/>
        <v>4.4999999999999997E-3</v>
      </c>
      <c r="T54" s="10">
        <f t="shared" si="15"/>
        <v>4.7000000000000002E-3</v>
      </c>
      <c r="U54" s="10">
        <f t="shared" si="15"/>
        <v>4.0000000000000001E-3</v>
      </c>
      <c r="V54" s="10">
        <f t="shared" si="15"/>
        <v>4.0000000000000001E-3</v>
      </c>
      <c r="W54" s="10">
        <f t="shared" si="15"/>
        <v>0</v>
      </c>
      <c r="X54" s="10">
        <f t="shared" si="15"/>
        <v>0</v>
      </c>
      <c r="Y54" s="10">
        <f t="shared" si="15"/>
        <v>0</v>
      </c>
      <c r="Z54" s="10">
        <f t="shared" si="15"/>
        <v>0</v>
      </c>
      <c r="AA54" s="10">
        <f t="shared" si="15"/>
        <v>0</v>
      </c>
      <c r="AB54" s="10">
        <f t="shared" si="15"/>
        <v>0</v>
      </c>
      <c r="AC54" s="10">
        <f t="shared" si="15"/>
        <v>0</v>
      </c>
      <c r="AD54" s="10">
        <f t="shared" si="15"/>
        <v>0</v>
      </c>
      <c r="AE54" s="10">
        <f t="shared" si="15"/>
        <v>0</v>
      </c>
      <c r="AF54" s="10">
        <f t="shared" si="15"/>
        <v>0</v>
      </c>
    </row>
    <row r="55" spans="4:32">
      <c r="D55" t="s">
        <v>7</v>
      </c>
      <c r="E55" s="6"/>
      <c r="G55" t="s">
        <v>15</v>
      </c>
      <c r="I55" s="11">
        <v>0</v>
      </c>
      <c r="J55" s="11">
        <v>0</v>
      </c>
      <c r="K55" s="11">
        <v>0</v>
      </c>
      <c r="L55" s="11">
        <v>4.1999999999999997E-3</v>
      </c>
      <c r="M55" s="11">
        <v>4.0000000000000001E-3</v>
      </c>
      <c r="N55" s="11">
        <v>4.3E-3</v>
      </c>
      <c r="O55" s="11">
        <v>4.1999999999999997E-3</v>
      </c>
      <c r="P55" s="11">
        <v>4.4000000000000003E-3</v>
      </c>
      <c r="Q55" s="11">
        <v>4.0000000000000001E-3</v>
      </c>
      <c r="R55" s="11">
        <v>4.1000000000000003E-3</v>
      </c>
      <c r="S55" s="11">
        <v>4.4999999999999997E-3</v>
      </c>
      <c r="T55" s="11">
        <v>4.7000000000000002E-3</v>
      </c>
      <c r="U55" s="11">
        <v>4.0000000000000001E-3</v>
      </c>
      <c r="V55" s="11">
        <v>4.0000000000000001E-3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</row>
    <row r="56" spans="4:32">
      <c r="D56" t="s">
        <v>9</v>
      </c>
      <c r="E56" s="8">
        <v>0.1</v>
      </c>
      <c r="G56" t="s">
        <v>15</v>
      </c>
      <c r="I56" s="12">
        <f>I55*(1+$E56)</f>
        <v>0</v>
      </c>
      <c r="J56" s="12">
        <f t="shared" ref="J56:AF57" si="16">J55*(1+$E56)</f>
        <v>0</v>
      </c>
      <c r="K56" s="12">
        <f t="shared" si="16"/>
        <v>0</v>
      </c>
      <c r="L56" s="12">
        <f t="shared" si="16"/>
        <v>4.62E-3</v>
      </c>
      <c r="M56" s="12">
        <f t="shared" si="16"/>
        <v>4.4000000000000003E-3</v>
      </c>
      <c r="N56" s="12">
        <f t="shared" si="16"/>
        <v>4.7300000000000007E-3</v>
      </c>
      <c r="O56" s="12">
        <f t="shared" si="16"/>
        <v>4.62E-3</v>
      </c>
      <c r="P56" s="12">
        <f t="shared" si="16"/>
        <v>4.8400000000000006E-3</v>
      </c>
      <c r="Q56" s="12">
        <f t="shared" si="16"/>
        <v>4.4000000000000003E-3</v>
      </c>
      <c r="R56" s="12">
        <f t="shared" si="16"/>
        <v>4.510000000000001E-3</v>
      </c>
      <c r="S56" s="12">
        <f t="shared" si="16"/>
        <v>4.9500000000000004E-3</v>
      </c>
      <c r="T56" s="12">
        <f t="shared" si="16"/>
        <v>5.170000000000001E-3</v>
      </c>
      <c r="U56" s="12">
        <f t="shared" si="16"/>
        <v>4.4000000000000003E-3</v>
      </c>
      <c r="V56" s="12">
        <f t="shared" si="16"/>
        <v>4.4000000000000003E-3</v>
      </c>
      <c r="W56" s="12">
        <f t="shared" si="16"/>
        <v>0</v>
      </c>
      <c r="X56" s="12">
        <f t="shared" si="16"/>
        <v>0</v>
      </c>
      <c r="Y56" s="12">
        <f t="shared" si="16"/>
        <v>0</v>
      </c>
      <c r="Z56" s="12">
        <f t="shared" si="16"/>
        <v>0</v>
      </c>
      <c r="AA56" s="12">
        <f t="shared" si="16"/>
        <v>0</v>
      </c>
      <c r="AB56" s="12">
        <f t="shared" si="16"/>
        <v>0</v>
      </c>
      <c r="AC56" s="12">
        <f t="shared" si="16"/>
        <v>0</v>
      </c>
      <c r="AD56" s="12">
        <f t="shared" si="16"/>
        <v>0</v>
      </c>
      <c r="AE56" s="12">
        <f t="shared" si="16"/>
        <v>0</v>
      </c>
      <c r="AF56" s="12">
        <f t="shared" si="16"/>
        <v>0</v>
      </c>
    </row>
    <row r="57" spans="4:32">
      <c r="D57" t="s">
        <v>10</v>
      </c>
      <c r="E57" s="8">
        <v>-0.1</v>
      </c>
      <c r="G57" t="s">
        <v>15</v>
      </c>
      <c r="I57" s="12">
        <f>I56*(1+$E57)</f>
        <v>0</v>
      </c>
      <c r="J57" s="12">
        <f t="shared" si="16"/>
        <v>0</v>
      </c>
      <c r="K57" s="12">
        <f t="shared" si="16"/>
        <v>0</v>
      </c>
      <c r="L57" s="12">
        <f t="shared" si="16"/>
        <v>4.1580000000000002E-3</v>
      </c>
      <c r="M57" s="12">
        <f t="shared" si="16"/>
        <v>3.96E-3</v>
      </c>
      <c r="N57" s="12">
        <f t="shared" si="16"/>
        <v>4.2570000000000004E-3</v>
      </c>
      <c r="O57" s="12">
        <f t="shared" si="16"/>
        <v>4.1580000000000002E-3</v>
      </c>
      <c r="P57" s="12">
        <f t="shared" si="16"/>
        <v>4.3560000000000005E-3</v>
      </c>
      <c r="Q57" s="12">
        <f t="shared" si="16"/>
        <v>3.96E-3</v>
      </c>
      <c r="R57" s="12">
        <f t="shared" si="16"/>
        <v>4.059000000000001E-3</v>
      </c>
      <c r="S57" s="12">
        <f t="shared" si="16"/>
        <v>4.4550000000000006E-3</v>
      </c>
      <c r="T57" s="12">
        <f t="shared" si="16"/>
        <v>4.6530000000000009E-3</v>
      </c>
      <c r="U57" s="12">
        <f t="shared" si="16"/>
        <v>3.96E-3</v>
      </c>
      <c r="V57" s="12">
        <f t="shared" si="16"/>
        <v>3.96E-3</v>
      </c>
      <c r="W57" s="12">
        <f t="shared" si="16"/>
        <v>0</v>
      </c>
      <c r="X57" s="12">
        <f t="shared" si="16"/>
        <v>0</v>
      </c>
      <c r="Y57" s="12">
        <f t="shared" si="16"/>
        <v>0</v>
      </c>
      <c r="Z57" s="12">
        <f t="shared" si="16"/>
        <v>0</v>
      </c>
      <c r="AA57" s="12">
        <f t="shared" si="16"/>
        <v>0</v>
      </c>
      <c r="AB57" s="12">
        <f t="shared" si="16"/>
        <v>0</v>
      </c>
      <c r="AC57" s="12">
        <f t="shared" si="16"/>
        <v>0</v>
      </c>
      <c r="AD57" s="12">
        <f t="shared" si="16"/>
        <v>0</v>
      </c>
      <c r="AE57" s="12">
        <f t="shared" si="16"/>
        <v>0</v>
      </c>
      <c r="AF57" s="12">
        <f t="shared" si="16"/>
        <v>0</v>
      </c>
    </row>
    <row r="58" spans="4:32">
      <c r="D58" t="s">
        <v>11</v>
      </c>
      <c r="E58" s="8"/>
      <c r="G58" t="s">
        <v>15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</row>
    <row r="59" spans="4:32">
      <c r="D59" t="s">
        <v>12</v>
      </c>
      <c r="E59" s="8"/>
      <c r="G59" t="s">
        <v>15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</row>
    <row r="61" spans="4:32">
      <c r="D61" s="5" t="s">
        <v>16</v>
      </c>
      <c r="E61" s="5" t="s">
        <v>7</v>
      </c>
      <c r="F61" s="5"/>
      <c r="G61" s="5"/>
      <c r="H61" s="13"/>
      <c r="I61" s="13">
        <f>INDEX(I62:I66,MATCH($E61,$D62:$D66,0))</f>
        <v>0</v>
      </c>
      <c r="J61" s="13">
        <f t="shared" ref="J61:AF61" si="17">INDEX(J62:J66,MATCH($E61,$D62:$D66,0))</f>
        <v>0</v>
      </c>
      <c r="K61" s="13">
        <f t="shared" si="17"/>
        <v>0</v>
      </c>
      <c r="L61" s="13">
        <f t="shared" si="17"/>
        <v>0.09</v>
      </c>
      <c r="M61" s="13">
        <f t="shared" si="17"/>
        <v>0.08</v>
      </c>
      <c r="N61" s="13">
        <f t="shared" si="17"/>
        <v>0.09</v>
      </c>
      <c r="O61" s="13">
        <f t="shared" si="17"/>
        <v>0.09</v>
      </c>
      <c r="P61" s="13">
        <f t="shared" si="17"/>
        <v>0.09</v>
      </c>
      <c r="Q61" s="13">
        <f t="shared" si="17"/>
        <v>0.09</v>
      </c>
      <c r="R61" s="13">
        <f t="shared" si="17"/>
        <v>0.09</v>
      </c>
      <c r="S61" s="13">
        <f t="shared" si="17"/>
        <v>0.09</v>
      </c>
      <c r="T61" s="13">
        <f t="shared" si="17"/>
        <v>0.09</v>
      </c>
      <c r="U61" s="13">
        <f t="shared" si="17"/>
        <v>0.08</v>
      </c>
      <c r="V61" s="13">
        <f t="shared" si="17"/>
        <v>0.1</v>
      </c>
      <c r="W61" s="13">
        <f t="shared" si="17"/>
        <v>0</v>
      </c>
      <c r="X61" s="13">
        <f t="shared" si="17"/>
        <v>0</v>
      </c>
      <c r="Y61" s="13">
        <f t="shared" si="17"/>
        <v>0</v>
      </c>
      <c r="Z61" s="13">
        <f t="shared" si="17"/>
        <v>0</v>
      </c>
      <c r="AA61" s="13">
        <f t="shared" si="17"/>
        <v>0</v>
      </c>
      <c r="AB61" s="13">
        <f t="shared" si="17"/>
        <v>0</v>
      </c>
      <c r="AC61" s="13">
        <f t="shared" si="17"/>
        <v>0</v>
      </c>
      <c r="AD61" s="13">
        <f t="shared" si="17"/>
        <v>0</v>
      </c>
      <c r="AE61" s="13">
        <f t="shared" si="17"/>
        <v>0</v>
      </c>
      <c r="AF61" s="13">
        <f t="shared" si="17"/>
        <v>0</v>
      </c>
    </row>
    <row r="62" spans="4:32">
      <c r="D62" t="s">
        <v>7</v>
      </c>
      <c r="E62" s="6"/>
      <c r="G62" t="s">
        <v>17</v>
      </c>
      <c r="I62" s="14">
        <v>0</v>
      </c>
      <c r="J62" s="14">
        <v>0</v>
      </c>
      <c r="K62" s="14">
        <v>0</v>
      </c>
      <c r="L62" s="14">
        <v>0.09</v>
      </c>
      <c r="M62" s="14">
        <v>0.08</v>
      </c>
      <c r="N62" s="14">
        <v>0.09</v>
      </c>
      <c r="O62" s="14">
        <v>0.09</v>
      </c>
      <c r="P62" s="14">
        <v>0.09</v>
      </c>
      <c r="Q62" s="14">
        <v>0.09</v>
      </c>
      <c r="R62" s="14">
        <v>0.09</v>
      </c>
      <c r="S62" s="14">
        <v>0.09</v>
      </c>
      <c r="T62" s="14">
        <v>0.09</v>
      </c>
      <c r="U62" s="14">
        <v>0.08</v>
      </c>
      <c r="V62" s="14">
        <v>0.1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</row>
    <row r="63" spans="4:32">
      <c r="D63" t="s">
        <v>9</v>
      </c>
      <c r="E63" s="8">
        <v>0.1</v>
      </c>
      <c r="G63" t="s">
        <v>17</v>
      </c>
      <c r="I63" s="15">
        <f>I62*(1+$E63)</f>
        <v>0</v>
      </c>
      <c r="J63" s="15">
        <f t="shared" ref="J63:AF64" si="18">J62*(1+$E63)</f>
        <v>0</v>
      </c>
      <c r="K63" s="15">
        <f t="shared" si="18"/>
        <v>0</v>
      </c>
      <c r="L63" s="15">
        <f t="shared" si="18"/>
        <v>9.9000000000000005E-2</v>
      </c>
      <c r="M63" s="15">
        <f t="shared" si="18"/>
        <v>8.8000000000000009E-2</v>
      </c>
      <c r="N63" s="15">
        <f t="shared" si="18"/>
        <v>9.9000000000000005E-2</v>
      </c>
      <c r="O63" s="15">
        <f t="shared" si="18"/>
        <v>9.9000000000000005E-2</v>
      </c>
      <c r="P63" s="15">
        <f t="shared" si="18"/>
        <v>9.9000000000000005E-2</v>
      </c>
      <c r="Q63" s="15">
        <f t="shared" si="18"/>
        <v>9.9000000000000005E-2</v>
      </c>
      <c r="R63" s="15">
        <f t="shared" si="18"/>
        <v>9.9000000000000005E-2</v>
      </c>
      <c r="S63" s="15">
        <f t="shared" si="18"/>
        <v>9.9000000000000005E-2</v>
      </c>
      <c r="T63" s="15">
        <f t="shared" si="18"/>
        <v>9.9000000000000005E-2</v>
      </c>
      <c r="U63" s="15">
        <f t="shared" si="18"/>
        <v>8.8000000000000009E-2</v>
      </c>
      <c r="V63" s="15">
        <f t="shared" si="18"/>
        <v>0.11000000000000001</v>
      </c>
      <c r="W63" s="15">
        <f t="shared" si="18"/>
        <v>0</v>
      </c>
      <c r="X63" s="15">
        <f t="shared" si="18"/>
        <v>0</v>
      </c>
      <c r="Y63" s="15">
        <f t="shared" si="18"/>
        <v>0</v>
      </c>
      <c r="Z63" s="15">
        <f t="shared" si="18"/>
        <v>0</v>
      </c>
      <c r="AA63" s="15">
        <f t="shared" si="18"/>
        <v>0</v>
      </c>
      <c r="AB63" s="15">
        <f t="shared" si="18"/>
        <v>0</v>
      </c>
      <c r="AC63" s="15">
        <f t="shared" si="18"/>
        <v>0</v>
      </c>
      <c r="AD63" s="15">
        <f t="shared" si="18"/>
        <v>0</v>
      </c>
      <c r="AE63" s="15">
        <f t="shared" si="18"/>
        <v>0</v>
      </c>
      <c r="AF63" s="15">
        <f t="shared" si="18"/>
        <v>0</v>
      </c>
    </row>
    <row r="64" spans="4:32">
      <c r="D64" t="s">
        <v>10</v>
      </c>
      <c r="E64" s="8">
        <v>-0.1</v>
      </c>
      <c r="G64" t="s">
        <v>17</v>
      </c>
      <c r="I64" s="15">
        <f>I63*(1+$E64)</f>
        <v>0</v>
      </c>
      <c r="J64" s="15">
        <f t="shared" si="18"/>
        <v>0</v>
      </c>
      <c r="K64" s="15">
        <f t="shared" si="18"/>
        <v>0</v>
      </c>
      <c r="L64" s="15">
        <f t="shared" si="18"/>
        <v>8.9100000000000013E-2</v>
      </c>
      <c r="M64" s="15">
        <f t="shared" si="18"/>
        <v>7.9200000000000007E-2</v>
      </c>
      <c r="N64" s="15">
        <f t="shared" si="18"/>
        <v>8.9100000000000013E-2</v>
      </c>
      <c r="O64" s="15">
        <f t="shared" si="18"/>
        <v>8.9100000000000013E-2</v>
      </c>
      <c r="P64" s="15">
        <f t="shared" si="18"/>
        <v>8.9100000000000013E-2</v>
      </c>
      <c r="Q64" s="15">
        <f t="shared" si="18"/>
        <v>8.9100000000000013E-2</v>
      </c>
      <c r="R64" s="15">
        <f t="shared" si="18"/>
        <v>8.9100000000000013E-2</v>
      </c>
      <c r="S64" s="15">
        <f t="shared" si="18"/>
        <v>8.9100000000000013E-2</v>
      </c>
      <c r="T64" s="15">
        <f t="shared" si="18"/>
        <v>8.9100000000000013E-2</v>
      </c>
      <c r="U64" s="15">
        <f t="shared" si="18"/>
        <v>7.9200000000000007E-2</v>
      </c>
      <c r="V64" s="15">
        <f t="shared" si="18"/>
        <v>9.9000000000000019E-2</v>
      </c>
      <c r="W64" s="15">
        <f t="shared" si="18"/>
        <v>0</v>
      </c>
      <c r="X64" s="15">
        <f t="shared" si="18"/>
        <v>0</v>
      </c>
      <c r="Y64" s="15">
        <f t="shared" si="18"/>
        <v>0</v>
      </c>
      <c r="Z64" s="15">
        <f t="shared" si="18"/>
        <v>0</v>
      </c>
      <c r="AA64" s="15">
        <f t="shared" si="18"/>
        <v>0</v>
      </c>
      <c r="AB64" s="15">
        <f t="shared" si="18"/>
        <v>0</v>
      </c>
      <c r="AC64" s="15">
        <f t="shared" si="18"/>
        <v>0</v>
      </c>
      <c r="AD64" s="15">
        <f t="shared" si="18"/>
        <v>0</v>
      </c>
      <c r="AE64" s="15">
        <f t="shared" si="18"/>
        <v>0</v>
      </c>
      <c r="AF64" s="15">
        <f t="shared" si="18"/>
        <v>0</v>
      </c>
    </row>
    <row r="65" spans="4:32">
      <c r="D65" t="s">
        <v>11</v>
      </c>
      <c r="E65" s="8"/>
      <c r="G65" t="s">
        <v>17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</row>
    <row r="66" spans="4:32">
      <c r="D66" t="s">
        <v>12</v>
      </c>
      <c r="E66" s="8"/>
      <c r="G66" t="s">
        <v>17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</row>
    <row r="68" spans="4:32">
      <c r="D68" s="5" t="s">
        <v>18</v>
      </c>
      <c r="E68" s="5" t="s">
        <v>7</v>
      </c>
      <c r="F68" s="5"/>
      <c r="G68" s="5"/>
      <c r="H68" s="13"/>
      <c r="I68" s="13">
        <f>INDEX(I69:I73,MATCH($E68,$D69:$D73,0))</f>
        <v>0</v>
      </c>
      <c r="J68" s="13">
        <f t="shared" ref="J68:AF68" si="19">INDEX(J69:J73,MATCH($E68,$D69:$D73,0))</f>
        <v>0</v>
      </c>
      <c r="K68" s="13">
        <f t="shared" si="19"/>
        <v>0</v>
      </c>
      <c r="L68" s="13">
        <f t="shared" si="19"/>
        <v>0.35</v>
      </c>
      <c r="M68" s="13">
        <f t="shared" si="19"/>
        <v>0.37</v>
      </c>
      <c r="N68" s="13">
        <f t="shared" si="19"/>
        <v>0.36</v>
      </c>
      <c r="O68" s="13">
        <f t="shared" si="19"/>
        <v>0.33</v>
      </c>
      <c r="P68" s="13">
        <f t="shared" si="19"/>
        <v>0.36</v>
      </c>
      <c r="Q68" s="13">
        <f t="shared" si="19"/>
        <v>0.4</v>
      </c>
      <c r="R68" s="13">
        <f t="shared" si="19"/>
        <v>0.56000000000000005</v>
      </c>
      <c r="S68" s="13">
        <f t="shared" si="19"/>
        <v>0.4</v>
      </c>
      <c r="T68" s="13">
        <f t="shared" si="19"/>
        <v>0.37</v>
      </c>
      <c r="U68" s="13">
        <f t="shared" si="19"/>
        <v>0.34</v>
      </c>
      <c r="V68" s="13">
        <f t="shared" si="19"/>
        <v>0.28000000000000003</v>
      </c>
      <c r="W68" s="13">
        <f t="shared" si="19"/>
        <v>0</v>
      </c>
      <c r="X68" s="13">
        <f t="shared" si="19"/>
        <v>0</v>
      </c>
      <c r="Y68" s="13">
        <f t="shared" si="19"/>
        <v>0</v>
      </c>
      <c r="Z68" s="13">
        <f t="shared" si="19"/>
        <v>0</v>
      </c>
      <c r="AA68" s="13">
        <f t="shared" si="19"/>
        <v>0</v>
      </c>
      <c r="AB68" s="13">
        <f t="shared" si="19"/>
        <v>0</v>
      </c>
      <c r="AC68" s="13">
        <f t="shared" si="19"/>
        <v>0</v>
      </c>
      <c r="AD68" s="13">
        <f t="shared" si="19"/>
        <v>0</v>
      </c>
      <c r="AE68" s="13">
        <f t="shared" si="19"/>
        <v>0</v>
      </c>
      <c r="AF68" s="13">
        <f t="shared" si="19"/>
        <v>0</v>
      </c>
    </row>
    <row r="69" spans="4:32">
      <c r="D69" t="s">
        <v>7</v>
      </c>
      <c r="E69" s="6"/>
      <c r="G69" t="s">
        <v>19</v>
      </c>
      <c r="I69" s="14">
        <v>0</v>
      </c>
      <c r="J69" s="14">
        <v>0</v>
      </c>
      <c r="K69" s="14">
        <v>0</v>
      </c>
      <c r="L69" s="14">
        <v>0.35</v>
      </c>
      <c r="M69" s="14">
        <v>0.37</v>
      </c>
      <c r="N69" s="14">
        <v>0.36</v>
      </c>
      <c r="O69" s="14">
        <v>0.33</v>
      </c>
      <c r="P69" s="14">
        <v>0.36</v>
      </c>
      <c r="Q69" s="14">
        <v>0.4</v>
      </c>
      <c r="R69" s="14">
        <v>0.56000000000000005</v>
      </c>
      <c r="S69" s="14">
        <v>0.4</v>
      </c>
      <c r="T69" s="14">
        <v>0.37</v>
      </c>
      <c r="U69" s="14">
        <v>0.34</v>
      </c>
      <c r="V69" s="14">
        <v>0.28000000000000003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</row>
    <row r="70" spans="4:32">
      <c r="D70" t="s">
        <v>9</v>
      </c>
      <c r="E70" s="8">
        <v>0.1</v>
      </c>
      <c r="G70" t="s">
        <v>19</v>
      </c>
      <c r="I70" s="15">
        <f>I69*(1+$E70)</f>
        <v>0</v>
      </c>
      <c r="J70" s="15">
        <f t="shared" ref="J70:AF71" si="20">J69*(1+$E70)</f>
        <v>0</v>
      </c>
      <c r="K70" s="15">
        <f t="shared" si="20"/>
        <v>0</v>
      </c>
      <c r="L70" s="15">
        <f t="shared" si="20"/>
        <v>0.38500000000000001</v>
      </c>
      <c r="M70" s="15">
        <f t="shared" si="20"/>
        <v>0.40700000000000003</v>
      </c>
      <c r="N70" s="15">
        <f t="shared" si="20"/>
        <v>0.39600000000000002</v>
      </c>
      <c r="O70" s="15">
        <f t="shared" si="20"/>
        <v>0.36300000000000004</v>
      </c>
      <c r="P70" s="15">
        <f t="shared" si="20"/>
        <v>0.39600000000000002</v>
      </c>
      <c r="Q70" s="15">
        <f t="shared" si="20"/>
        <v>0.44000000000000006</v>
      </c>
      <c r="R70" s="15">
        <f t="shared" si="20"/>
        <v>0.6160000000000001</v>
      </c>
      <c r="S70" s="15">
        <f t="shared" si="20"/>
        <v>0.44000000000000006</v>
      </c>
      <c r="T70" s="15">
        <f t="shared" si="20"/>
        <v>0.40700000000000003</v>
      </c>
      <c r="U70" s="15">
        <f t="shared" si="20"/>
        <v>0.37400000000000005</v>
      </c>
      <c r="V70" s="15">
        <f t="shared" si="20"/>
        <v>0.30800000000000005</v>
      </c>
      <c r="W70" s="15">
        <f t="shared" si="20"/>
        <v>0</v>
      </c>
      <c r="X70" s="15">
        <f t="shared" si="20"/>
        <v>0</v>
      </c>
      <c r="Y70" s="15">
        <f t="shared" si="20"/>
        <v>0</v>
      </c>
      <c r="Z70" s="15">
        <f t="shared" si="20"/>
        <v>0</v>
      </c>
      <c r="AA70" s="15">
        <f t="shared" si="20"/>
        <v>0</v>
      </c>
      <c r="AB70" s="15">
        <f t="shared" si="20"/>
        <v>0</v>
      </c>
      <c r="AC70" s="15">
        <f t="shared" si="20"/>
        <v>0</v>
      </c>
      <c r="AD70" s="15">
        <f t="shared" si="20"/>
        <v>0</v>
      </c>
      <c r="AE70" s="15">
        <f t="shared" si="20"/>
        <v>0</v>
      </c>
      <c r="AF70" s="15">
        <f t="shared" si="20"/>
        <v>0</v>
      </c>
    </row>
    <row r="71" spans="4:32">
      <c r="D71" t="s">
        <v>10</v>
      </c>
      <c r="E71" s="8">
        <v>-0.1</v>
      </c>
      <c r="G71" t="s">
        <v>19</v>
      </c>
      <c r="I71" s="15">
        <f>I70*(1+$E71)</f>
        <v>0</v>
      </c>
      <c r="J71" s="15">
        <f t="shared" si="20"/>
        <v>0</v>
      </c>
      <c r="K71" s="15">
        <f t="shared" si="20"/>
        <v>0</v>
      </c>
      <c r="L71" s="15">
        <f t="shared" si="20"/>
        <v>0.34650000000000003</v>
      </c>
      <c r="M71" s="15">
        <f t="shared" si="20"/>
        <v>0.36630000000000001</v>
      </c>
      <c r="N71" s="15">
        <f t="shared" si="20"/>
        <v>0.35640000000000005</v>
      </c>
      <c r="O71" s="15">
        <f t="shared" si="20"/>
        <v>0.32670000000000005</v>
      </c>
      <c r="P71" s="15">
        <f t="shared" si="20"/>
        <v>0.35640000000000005</v>
      </c>
      <c r="Q71" s="15">
        <f t="shared" si="20"/>
        <v>0.39600000000000007</v>
      </c>
      <c r="R71" s="15">
        <f t="shared" si="20"/>
        <v>0.55440000000000011</v>
      </c>
      <c r="S71" s="15">
        <f t="shared" si="20"/>
        <v>0.39600000000000007</v>
      </c>
      <c r="T71" s="15">
        <f t="shared" si="20"/>
        <v>0.36630000000000001</v>
      </c>
      <c r="U71" s="15">
        <f t="shared" si="20"/>
        <v>0.33660000000000007</v>
      </c>
      <c r="V71" s="15">
        <f t="shared" si="20"/>
        <v>0.27720000000000006</v>
      </c>
      <c r="W71" s="15">
        <f t="shared" si="20"/>
        <v>0</v>
      </c>
      <c r="X71" s="15">
        <f t="shared" si="20"/>
        <v>0</v>
      </c>
      <c r="Y71" s="15">
        <f t="shared" si="20"/>
        <v>0</v>
      </c>
      <c r="Z71" s="15">
        <f t="shared" si="20"/>
        <v>0</v>
      </c>
      <c r="AA71" s="15">
        <f t="shared" si="20"/>
        <v>0</v>
      </c>
      <c r="AB71" s="15">
        <f t="shared" si="20"/>
        <v>0</v>
      </c>
      <c r="AC71" s="15">
        <f t="shared" si="20"/>
        <v>0</v>
      </c>
      <c r="AD71" s="15">
        <f t="shared" si="20"/>
        <v>0</v>
      </c>
      <c r="AE71" s="15">
        <f t="shared" si="20"/>
        <v>0</v>
      </c>
      <c r="AF71" s="15">
        <f t="shared" si="20"/>
        <v>0</v>
      </c>
    </row>
    <row r="72" spans="4:32">
      <c r="D72" t="s">
        <v>11</v>
      </c>
      <c r="E72" s="8"/>
      <c r="G72" t="s">
        <v>19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</row>
    <row r="73" spans="4:32">
      <c r="D73" t="s">
        <v>12</v>
      </c>
      <c r="E73" s="8"/>
      <c r="G73" t="s">
        <v>19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</row>
    <row r="75" spans="4:32">
      <c r="D75" s="4" t="s">
        <v>23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4:32">
      <c r="D76" s="5" t="s">
        <v>24</v>
      </c>
      <c r="E76" s="5" t="s">
        <v>7</v>
      </c>
      <c r="F76" s="5"/>
      <c r="G76" s="5"/>
      <c r="H76" s="5"/>
      <c r="I76" s="5">
        <f t="shared" ref="I76:AF76" si="21">INDEX(I77:I81,MATCH($E76,$D77:$D81,0))</f>
        <v>4610</v>
      </c>
      <c r="J76" s="5">
        <f t="shared" si="21"/>
        <v>12464</v>
      </c>
      <c r="K76" s="5">
        <f t="shared" si="21"/>
        <v>13998</v>
      </c>
      <c r="L76" s="5">
        <f t="shared" si="21"/>
        <v>19387</v>
      </c>
      <c r="M76" s="5">
        <f t="shared" si="21"/>
        <v>13281</v>
      </c>
      <c r="N76" s="5">
        <f t="shared" si="21"/>
        <v>13553</v>
      </c>
      <c r="O76" s="5">
        <f t="shared" si="21"/>
        <v>10012</v>
      </c>
      <c r="P76" s="5">
        <f t="shared" si="21"/>
        <v>7480</v>
      </c>
      <c r="Q76" s="5">
        <f t="shared" si="21"/>
        <v>4394</v>
      </c>
      <c r="R76" s="5">
        <f t="shared" si="21"/>
        <v>6158</v>
      </c>
      <c r="S76" s="5">
        <f t="shared" si="21"/>
        <v>10541</v>
      </c>
      <c r="T76" s="5">
        <f t="shared" si="21"/>
        <v>12189</v>
      </c>
      <c r="U76" s="5">
        <f t="shared" si="21"/>
        <v>11421</v>
      </c>
      <c r="V76" s="5">
        <f t="shared" si="21"/>
        <v>7643</v>
      </c>
      <c r="W76" s="5">
        <f t="shared" si="21"/>
        <v>6220</v>
      </c>
      <c r="X76" s="5">
        <f t="shared" si="21"/>
        <v>5775</v>
      </c>
      <c r="Y76" s="5">
        <f t="shared" si="21"/>
        <v>5192</v>
      </c>
      <c r="Z76" s="5">
        <f t="shared" si="21"/>
        <v>7136</v>
      </c>
      <c r="AA76" s="5">
        <f t="shared" si="21"/>
        <v>2872</v>
      </c>
      <c r="AB76" s="5">
        <f t="shared" si="21"/>
        <v>0</v>
      </c>
      <c r="AC76" s="5">
        <f t="shared" si="21"/>
        <v>0</v>
      </c>
      <c r="AD76" s="5">
        <f t="shared" si="21"/>
        <v>0</v>
      </c>
      <c r="AE76" s="5">
        <f t="shared" si="21"/>
        <v>0</v>
      </c>
      <c r="AF76" s="5">
        <f t="shared" si="21"/>
        <v>0</v>
      </c>
    </row>
    <row r="77" spans="4:32">
      <c r="D77" t="s">
        <v>7</v>
      </c>
      <c r="E77" s="6"/>
      <c r="G77" t="s">
        <v>8</v>
      </c>
      <c r="I77" s="7">
        <v>4610</v>
      </c>
      <c r="J77" s="7">
        <v>12464</v>
      </c>
      <c r="K77" s="7">
        <v>13998</v>
      </c>
      <c r="L77" s="7">
        <v>19387</v>
      </c>
      <c r="M77" s="7">
        <v>13281</v>
      </c>
      <c r="N77" s="7">
        <v>13553</v>
      </c>
      <c r="O77" s="7">
        <v>10012</v>
      </c>
      <c r="P77" s="7">
        <v>7480</v>
      </c>
      <c r="Q77" s="7">
        <v>4394</v>
      </c>
      <c r="R77" s="7">
        <v>6158</v>
      </c>
      <c r="S77" s="7">
        <v>10541</v>
      </c>
      <c r="T77" s="7">
        <v>12189</v>
      </c>
      <c r="U77" s="7">
        <v>11421</v>
      </c>
      <c r="V77" s="7">
        <v>7643</v>
      </c>
      <c r="W77" s="7">
        <v>6220</v>
      </c>
      <c r="X77" s="7">
        <v>5775</v>
      </c>
      <c r="Y77" s="7">
        <v>5192</v>
      </c>
      <c r="Z77" s="7">
        <v>7136</v>
      </c>
      <c r="AA77" s="7">
        <v>2872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</row>
    <row r="78" spans="4:32">
      <c r="D78" t="s">
        <v>9</v>
      </c>
      <c r="E78" s="8">
        <v>0.1</v>
      </c>
      <c r="G78" t="s">
        <v>8</v>
      </c>
      <c r="I78" s="9">
        <f t="shared" ref="I78:AF79" si="22">I77*(1+$E78)</f>
        <v>5071</v>
      </c>
      <c r="J78" s="9">
        <f t="shared" si="22"/>
        <v>13710.400000000001</v>
      </c>
      <c r="K78" s="9">
        <f t="shared" si="22"/>
        <v>15397.800000000001</v>
      </c>
      <c r="L78" s="9">
        <f t="shared" si="22"/>
        <v>21325.7</v>
      </c>
      <c r="M78" s="9">
        <f t="shared" si="22"/>
        <v>14609.1</v>
      </c>
      <c r="N78" s="9">
        <f t="shared" si="22"/>
        <v>14908.300000000001</v>
      </c>
      <c r="O78" s="9">
        <f t="shared" si="22"/>
        <v>11013.2</v>
      </c>
      <c r="P78" s="9">
        <f t="shared" si="22"/>
        <v>8228</v>
      </c>
      <c r="Q78" s="9">
        <f t="shared" si="22"/>
        <v>4833.4000000000005</v>
      </c>
      <c r="R78" s="9">
        <f t="shared" si="22"/>
        <v>6773.8</v>
      </c>
      <c r="S78" s="9">
        <f t="shared" si="22"/>
        <v>11595.1</v>
      </c>
      <c r="T78" s="9">
        <f t="shared" si="22"/>
        <v>13407.900000000001</v>
      </c>
      <c r="U78" s="9">
        <f t="shared" si="22"/>
        <v>12563.1</v>
      </c>
      <c r="V78" s="9">
        <f t="shared" si="22"/>
        <v>8407.3000000000011</v>
      </c>
      <c r="W78" s="9">
        <f t="shared" si="22"/>
        <v>6842.0000000000009</v>
      </c>
      <c r="X78" s="9">
        <f t="shared" si="22"/>
        <v>6352.5000000000009</v>
      </c>
      <c r="Y78" s="9">
        <f t="shared" si="22"/>
        <v>5711.2000000000007</v>
      </c>
      <c r="Z78" s="9">
        <f t="shared" si="22"/>
        <v>7849.6</v>
      </c>
      <c r="AA78" s="9">
        <f t="shared" si="22"/>
        <v>3159.2000000000003</v>
      </c>
      <c r="AB78" s="9">
        <f t="shared" si="22"/>
        <v>0</v>
      </c>
      <c r="AC78" s="9">
        <f t="shared" si="22"/>
        <v>0</v>
      </c>
      <c r="AD78" s="9">
        <f t="shared" si="22"/>
        <v>0</v>
      </c>
      <c r="AE78" s="9">
        <f t="shared" si="22"/>
        <v>0</v>
      </c>
      <c r="AF78" s="9">
        <f t="shared" si="22"/>
        <v>0</v>
      </c>
    </row>
    <row r="79" spans="4:32">
      <c r="D79" t="s">
        <v>10</v>
      </c>
      <c r="E79" s="8">
        <v>-0.1</v>
      </c>
      <c r="G79" t="s">
        <v>8</v>
      </c>
      <c r="I79" s="9">
        <f t="shared" si="22"/>
        <v>4563.9000000000005</v>
      </c>
      <c r="J79" s="9">
        <f t="shared" si="22"/>
        <v>12339.360000000002</v>
      </c>
      <c r="K79" s="9">
        <f t="shared" si="22"/>
        <v>13858.02</v>
      </c>
      <c r="L79" s="9">
        <f t="shared" si="22"/>
        <v>19193.13</v>
      </c>
      <c r="M79" s="9">
        <f t="shared" si="22"/>
        <v>13148.19</v>
      </c>
      <c r="N79" s="9">
        <f t="shared" si="22"/>
        <v>13417.470000000001</v>
      </c>
      <c r="O79" s="9">
        <f t="shared" si="22"/>
        <v>9911.880000000001</v>
      </c>
      <c r="P79" s="9">
        <f t="shared" si="22"/>
        <v>7405.2</v>
      </c>
      <c r="Q79" s="9">
        <f t="shared" si="22"/>
        <v>4350.0600000000004</v>
      </c>
      <c r="R79" s="9">
        <f t="shared" si="22"/>
        <v>6096.42</v>
      </c>
      <c r="S79" s="9">
        <f t="shared" si="22"/>
        <v>10435.59</v>
      </c>
      <c r="T79" s="9">
        <f t="shared" si="22"/>
        <v>12067.110000000002</v>
      </c>
      <c r="U79" s="9">
        <f t="shared" si="22"/>
        <v>11306.79</v>
      </c>
      <c r="V79" s="9">
        <f t="shared" si="22"/>
        <v>7566.5700000000015</v>
      </c>
      <c r="W79" s="9">
        <f t="shared" si="22"/>
        <v>6157.8000000000011</v>
      </c>
      <c r="X79" s="9">
        <f t="shared" si="22"/>
        <v>5717.2500000000009</v>
      </c>
      <c r="Y79" s="9">
        <f t="shared" si="22"/>
        <v>5140.0800000000008</v>
      </c>
      <c r="Z79" s="9">
        <f t="shared" si="22"/>
        <v>7064.64</v>
      </c>
      <c r="AA79" s="9">
        <f t="shared" si="22"/>
        <v>2843.28</v>
      </c>
      <c r="AB79" s="9">
        <f t="shared" si="22"/>
        <v>0</v>
      </c>
      <c r="AC79" s="9">
        <f t="shared" si="22"/>
        <v>0</v>
      </c>
      <c r="AD79" s="9">
        <f t="shared" si="22"/>
        <v>0</v>
      </c>
      <c r="AE79" s="9">
        <f t="shared" si="22"/>
        <v>0</v>
      </c>
      <c r="AF79" s="9">
        <f t="shared" si="22"/>
        <v>0</v>
      </c>
    </row>
    <row r="80" spans="4:32">
      <c r="D80" t="s">
        <v>11</v>
      </c>
      <c r="E80" s="8"/>
      <c r="G80" t="s">
        <v>8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</row>
    <row r="81" spans="4:32">
      <c r="D81" t="s">
        <v>12</v>
      </c>
      <c r="E81" s="8"/>
      <c r="G81" t="s">
        <v>8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</row>
    <row r="83" spans="4:32">
      <c r="D83" s="5" t="s">
        <v>14</v>
      </c>
      <c r="E83" s="5" t="s">
        <v>7</v>
      </c>
      <c r="F83" s="5"/>
      <c r="G83" s="5"/>
      <c r="H83" s="10"/>
      <c r="I83" s="10">
        <f>INDEX(I84:I88,MATCH($E83,$D84:$D88,0))</f>
        <v>2E-3</v>
      </c>
      <c r="J83" s="10">
        <f t="shared" ref="J83:AF83" si="23">INDEX(J84:J88,MATCH($E83,$D84:$D88,0))</f>
        <v>2.2000000000000001E-3</v>
      </c>
      <c r="K83" s="10">
        <f t="shared" si="23"/>
        <v>2.3E-3</v>
      </c>
      <c r="L83" s="10">
        <f t="shared" si="23"/>
        <v>2.3999999999999998E-3</v>
      </c>
      <c r="M83" s="10">
        <f t="shared" si="23"/>
        <v>2.5000000000000001E-3</v>
      </c>
      <c r="N83" s="10">
        <f t="shared" si="23"/>
        <v>2.8999999999999998E-3</v>
      </c>
      <c r="O83" s="10">
        <f t="shared" si="23"/>
        <v>2.3999999999999998E-3</v>
      </c>
      <c r="P83" s="10">
        <f t="shared" si="23"/>
        <v>2.3E-3</v>
      </c>
      <c r="Q83" s="10">
        <f t="shared" si="23"/>
        <v>2.5000000000000001E-3</v>
      </c>
      <c r="R83" s="10">
        <f t="shared" si="23"/>
        <v>2.2000000000000001E-3</v>
      </c>
      <c r="S83" s="10">
        <f t="shared" si="23"/>
        <v>2.3999999999999998E-3</v>
      </c>
      <c r="T83" s="10">
        <f t="shared" si="23"/>
        <v>2.0999999999999999E-3</v>
      </c>
      <c r="U83" s="10">
        <f t="shared" si="23"/>
        <v>2.0999999999999999E-3</v>
      </c>
      <c r="V83" s="10">
        <f t="shared" si="23"/>
        <v>2.0999999999999999E-3</v>
      </c>
      <c r="W83" s="10">
        <f t="shared" si="23"/>
        <v>2.2000000000000001E-3</v>
      </c>
      <c r="X83" s="10">
        <f t="shared" si="23"/>
        <v>2.0999999999999999E-3</v>
      </c>
      <c r="Y83" s="10">
        <f t="shared" si="23"/>
        <v>2.2000000000000001E-3</v>
      </c>
      <c r="Z83" s="10">
        <f t="shared" si="23"/>
        <v>2.0999999999999999E-3</v>
      </c>
      <c r="AA83" s="10">
        <f t="shared" si="23"/>
        <v>2.2000000000000001E-3</v>
      </c>
      <c r="AB83" s="10">
        <f t="shared" si="23"/>
        <v>0</v>
      </c>
      <c r="AC83" s="10">
        <f t="shared" si="23"/>
        <v>0</v>
      </c>
      <c r="AD83" s="10">
        <f t="shared" si="23"/>
        <v>0</v>
      </c>
      <c r="AE83" s="10">
        <f t="shared" si="23"/>
        <v>0</v>
      </c>
      <c r="AF83" s="10">
        <f t="shared" si="23"/>
        <v>0</v>
      </c>
    </row>
    <row r="84" spans="4:32">
      <c r="D84" t="s">
        <v>7</v>
      </c>
      <c r="E84" s="6"/>
      <c r="G84" t="s">
        <v>15</v>
      </c>
      <c r="I84" s="11">
        <v>2E-3</v>
      </c>
      <c r="J84" s="11">
        <v>2.2000000000000001E-3</v>
      </c>
      <c r="K84" s="11">
        <v>2.3E-3</v>
      </c>
      <c r="L84" s="11">
        <v>2.3999999999999998E-3</v>
      </c>
      <c r="M84" s="11">
        <v>2.5000000000000001E-3</v>
      </c>
      <c r="N84" s="11">
        <v>2.8999999999999998E-3</v>
      </c>
      <c r="O84" s="11">
        <v>2.3999999999999998E-3</v>
      </c>
      <c r="P84" s="11">
        <v>2.3E-3</v>
      </c>
      <c r="Q84" s="11">
        <v>2.5000000000000001E-3</v>
      </c>
      <c r="R84" s="11">
        <v>2.2000000000000001E-3</v>
      </c>
      <c r="S84" s="11">
        <v>2.3999999999999998E-3</v>
      </c>
      <c r="T84" s="11">
        <v>2.0999999999999999E-3</v>
      </c>
      <c r="U84" s="11">
        <v>2.0999999999999999E-3</v>
      </c>
      <c r="V84" s="11">
        <v>2.0999999999999999E-3</v>
      </c>
      <c r="W84" s="11">
        <v>2.2000000000000001E-3</v>
      </c>
      <c r="X84" s="11">
        <v>2.0999999999999999E-3</v>
      </c>
      <c r="Y84" s="11">
        <v>2.2000000000000001E-3</v>
      </c>
      <c r="Z84" s="11">
        <v>2.0999999999999999E-3</v>
      </c>
      <c r="AA84" s="11">
        <v>2.2000000000000001E-3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</row>
    <row r="85" spans="4:32">
      <c r="D85" t="s">
        <v>9</v>
      </c>
      <c r="E85" s="8">
        <v>0.1</v>
      </c>
      <c r="G85" t="s">
        <v>15</v>
      </c>
      <c r="I85" s="12">
        <f>I84*(1+$E85)</f>
        <v>2.2000000000000001E-3</v>
      </c>
      <c r="J85" s="12">
        <f t="shared" ref="J85:AF86" si="24">J84*(1+$E85)</f>
        <v>2.4200000000000003E-3</v>
      </c>
      <c r="K85" s="12">
        <f t="shared" si="24"/>
        <v>2.5300000000000001E-3</v>
      </c>
      <c r="L85" s="12">
        <f t="shared" si="24"/>
        <v>2.64E-3</v>
      </c>
      <c r="M85" s="12">
        <f t="shared" si="24"/>
        <v>2.7500000000000003E-3</v>
      </c>
      <c r="N85" s="12">
        <f t="shared" si="24"/>
        <v>3.1900000000000001E-3</v>
      </c>
      <c r="O85" s="12">
        <f t="shared" si="24"/>
        <v>2.64E-3</v>
      </c>
      <c r="P85" s="12">
        <f t="shared" si="24"/>
        <v>2.5300000000000001E-3</v>
      </c>
      <c r="Q85" s="12">
        <f t="shared" si="24"/>
        <v>2.7500000000000003E-3</v>
      </c>
      <c r="R85" s="12">
        <f t="shared" si="24"/>
        <v>2.4200000000000003E-3</v>
      </c>
      <c r="S85" s="12">
        <f t="shared" si="24"/>
        <v>2.64E-3</v>
      </c>
      <c r="T85" s="12">
        <f t="shared" si="24"/>
        <v>2.31E-3</v>
      </c>
      <c r="U85" s="12">
        <f t="shared" si="24"/>
        <v>2.31E-3</v>
      </c>
      <c r="V85" s="12">
        <f t="shared" si="24"/>
        <v>2.31E-3</v>
      </c>
      <c r="W85" s="12">
        <f t="shared" si="24"/>
        <v>2.4200000000000003E-3</v>
      </c>
      <c r="X85" s="12">
        <f t="shared" si="24"/>
        <v>2.31E-3</v>
      </c>
      <c r="Y85" s="12">
        <f t="shared" si="24"/>
        <v>2.4200000000000003E-3</v>
      </c>
      <c r="Z85" s="12">
        <f t="shared" si="24"/>
        <v>2.31E-3</v>
      </c>
      <c r="AA85" s="12">
        <f t="shared" si="24"/>
        <v>2.4200000000000003E-3</v>
      </c>
      <c r="AB85" s="12">
        <f t="shared" si="24"/>
        <v>0</v>
      </c>
      <c r="AC85" s="12">
        <f t="shared" si="24"/>
        <v>0</v>
      </c>
      <c r="AD85" s="12">
        <f t="shared" si="24"/>
        <v>0</v>
      </c>
      <c r="AE85" s="12">
        <f t="shared" si="24"/>
        <v>0</v>
      </c>
      <c r="AF85" s="12">
        <f t="shared" si="24"/>
        <v>0</v>
      </c>
    </row>
    <row r="86" spans="4:32">
      <c r="D86" t="s">
        <v>10</v>
      </c>
      <c r="E86" s="8">
        <v>-0.1</v>
      </c>
      <c r="G86" t="s">
        <v>15</v>
      </c>
      <c r="I86" s="12">
        <f>I85*(1+$E86)</f>
        <v>1.98E-3</v>
      </c>
      <c r="J86" s="12">
        <f t="shared" si="24"/>
        <v>2.1780000000000002E-3</v>
      </c>
      <c r="K86" s="12">
        <f t="shared" si="24"/>
        <v>2.2770000000000004E-3</v>
      </c>
      <c r="L86" s="12">
        <f t="shared" si="24"/>
        <v>2.3760000000000001E-3</v>
      </c>
      <c r="M86" s="12">
        <f t="shared" si="24"/>
        <v>2.4750000000000002E-3</v>
      </c>
      <c r="N86" s="12">
        <f t="shared" si="24"/>
        <v>2.8710000000000003E-3</v>
      </c>
      <c r="O86" s="12">
        <f t="shared" si="24"/>
        <v>2.3760000000000001E-3</v>
      </c>
      <c r="P86" s="12">
        <f t="shared" si="24"/>
        <v>2.2770000000000004E-3</v>
      </c>
      <c r="Q86" s="12">
        <f t="shared" si="24"/>
        <v>2.4750000000000002E-3</v>
      </c>
      <c r="R86" s="12">
        <f t="shared" si="24"/>
        <v>2.1780000000000002E-3</v>
      </c>
      <c r="S86" s="12">
        <f t="shared" si="24"/>
        <v>2.3760000000000001E-3</v>
      </c>
      <c r="T86" s="12">
        <f t="shared" si="24"/>
        <v>2.0790000000000001E-3</v>
      </c>
      <c r="U86" s="12">
        <f t="shared" si="24"/>
        <v>2.0790000000000001E-3</v>
      </c>
      <c r="V86" s="12">
        <f t="shared" si="24"/>
        <v>2.0790000000000001E-3</v>
      </c>
      <c r="W86" s="12">
        <f t="shared" si="24"/>
        <v>2.1780000000000002E-3</v>
      </c>
      <c r="X86" s="12">
        <f t="shared" si="24"/>
        <v>2.0790000000000001E-3</v>
      </c>
      <c r="Y86" s="12">
        <f t="shared" si="24"/>
        <v>2.1780000000000002E-3</v>
      </c>
      <c r="Z86" s="12">
        <f t="shared" si="24"/>
        <v>2.0790000000000001E-3</v>
      </c>
      <c r="AA86" s="12">
        <f t="shared" si="24"/>
        <v>2.1780000000000002E-3</v>
      </c>
      <c r="AB86" s="12">
        <f t="shared" si="24"/>
        <v>0</v>
      </c>
      <c r="AC86" s="12">
        <f t="shared" si="24"/>
        <v>0</v>
      </c>
      <c r="AD86" s="12">
        <f t="shared" si="24"/>
        <v>0</v>
      </c>
      <c r="AE86" s="12">
        <f t="shared" si="24"/>
        <v>0</v>
      </c>
      <c r="AF86" s="12">
        <f t="shared" si="24"/>
        <v>0</v>
      </c>
    </row>
    <row r="87" spans="4:32">
      <c r="D87" t="s">
        <v>11</v>
      </c>
      <c r="E87" s="8"/>
      <c r="G87" t="s">
        <v>15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</row>
    <row r="88" spans="4:32">
      <c r="D88" t="s">
        <v>12</v>
      </c>
      <c r="E88" s="8"/>
      <c r="G88" t="s">
        <v>15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</row>
    <row r="90" spans="4:32">
      <c r="D90" s="5" t="s">
        <v>16</v>
      </c>
      <c r="E90" s="5" t="s">
        <v>7</v>
      </c>
      <c r="F90" s="5"/>
      <c r="G90" s="5"/>
      <c r="H90" s="13"/>
      <c r="I90" s="13">
        <f>INDEX(I91:I95,MATCH($E90,$D91:$D95,0))</f>
        <v>0.06</v>
      </c>
      <c r="J90" s="13">
        <f t="shared" ref="J90:AF90" si="25">INDEX(J91:J95,MATCH($E90,$D91:$D95,0))</f>
        <v>7.0000000000000007E-2</v>
      </c>
      <c r="K90" s="13">
        <f t="shared" si="25"/>
        <v>0.06</v>
      </c>
      <c r="L90" s="13">
        <f t="shared" si="25"/>
        <v>7.0000000000000007E-2</v>
      </c>
      <c r="M90" s="13">
        <f t="shared" si="25"/>
        <v>7.0000000000000007E-2</v>
      </c>
      <c r="N90" s="13">
        <f t="shared" si="25"/>
        <v>7.0000000000000007E-2</v>
      </c>
      <c r="O90" s="13">
        <f t="shared" si="25"/>
        <v>0.06</v>
      </c>
      <c r="P90" s="13">
        <f t="shared" si="25"/>
        <v>0.06</v>
      </c>
      <c r="Q90" s="13">
        <f t="shared" si="25"/>
        <v>7.0000000000000007E-2</v>
      </c>
      <c r="R90" s="13">
        <f t="shared" si="25"/>
        <v>0.06</v>
      </c>
      <c r="S90" s="13">
        <f t="shared" si="25"/>
        <v>0.06</v>
      </c>
      <c r="T90" s="13">
        <f t="shared" si="25"/>
        <v>0.06</v>
      </c>
      <c r="U90" s="13">
        <f t="shared" si="25"/>
        <v>0.05</v>
      </c>
      <c r="V90" s="13">
        <f t="shared" si="25"/>
        <v>0.05</v>
      </c>
      <c r="W90" s="13">
        <f t="shared" si="25"/>
        <v>0.06</v>
      </c>
      <c r="X90" s="13">
        <f t="shared" si="25"/>
        <v>0.06</v>
      </c>
      <c r="Y90" s="13">
        <f t="shared" si="25"/>
        <v>0.06</v>
      </c>
      <c r="Z90" s="13">
        <f t="shared" si="25"/>
        <v>0.06</v>
      </c>
      <c r="AA90" s="13">
        <f t="shared" si="25"/>
        <v>7.0000000000000007E-2</v>
      </c>
      <c r="AB90" s="13">
        <f t="shared" si="25"/>
        <v>0</v>
      </c>
      <c r="AC90" s="13">
        <f t="shared" si="25"/>
        <v>0</v>
      </c>
      <c r="AD90" s="13">
        <f t="shared" si="25"/>
        <v>0</v>
      </c>
      <c r="AE90" s="13">
        <f t="shared" si="25"/>
        <v>0</v>
      </c>
      <c r="AF90" s="13">
        <f t="shared" si="25"/>
        <v>0</v>
      </c>
    </row>
    <row r="91" spans="4:32">
      <c r="D91" t="s">
        <v>7</v>
      </c>
      <c r="E91" s="6"/>
      <c r="G91" t="s">
        <v>17</v>
      </c>
      <c r="I91" s="14">
        <v>0.06</v>
      </c>
      <c r="J91" s="14">
        <v>7.0000000000000007E-2</v>
      </c>
      <c r="K91" s="14">
        <v>0.06</v>
      </c>
      <c r="L91" s="14">
        <v>7.0000000000000007E-2</v>
      </c>
      <c r="M91" s="14">
        <v>7.0000000000000007E-2</v>
      </c>
      <c r="N91" s="14">
        <v>7.0000000000000007E-2</v>
      </c>
      <c r="O91" s="14">
        <v>0.06</v>
      </c>
      <c r="P91" s="14">
        <v>0.06</v>
      </c>
      <c r="Q91" s="14">
        <v>7.0000000000000007E-2</v>
      </c>
      <c r="R91" s="14">
        <v>0.06</v>
      </c>
      <c r="S91" s="14">
        <v>0.06</v>
      </c>
      <c r="T91" s="14">
        <v>0.06</v>
      </c>
      <c r="U91" s="14">
        <v>0.05</v>
      </c>
      <c r="V91" s="14">
        <v>0.05</v>
      </c>
      <c r="W91" s="14">
        <v>0.06</v>
      </c>
      <c r="X91" s="14">
        <v>0.06</v>
      </c>
      <c r="Y91" s="14">
        <v>0.06</v>
      </c>
      <c r="Z91" s="14">
        <v>0.06</v>
      </c>
      <c r="AA91" s="14">
        <v>7.0000000000000007E-2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</row>
    <row r="92" spans="4:32">
      <c r="D92" t="s">
        <v>9</v>
      </c>
      <c r="E92" s="8">
        <v>0.1</v>
      </c>
      <c r="G92" t="s">
        <v>17</v>
      </c>
      <c r="I92" s="15">
        <f>I91*(1+$E92)</f>
        <v>6.6000000000000003E-2</v>
      </c>
      <c r="J92" s="15">
        <f t="shared" ref="J92:AF93" si="26">J91*(1+$E92)</f>
        <v>7.7000000000000013E-2</v>
      </c>
      <c r="K92" s="15">
        <f t="shared" si="26"/>
        <v>6.6000000000000003E-2</v>
      </c>
      <c r="L92" s="15">
        <f t="shared" si="26"/>
        <v>7.7000000000000013E-2</v>
      </c>
      <c r="M92" s="15">
        <f t="shared" si="26"/>
        <v>7.7000000000000013E-2</v>
      </c>
      <c r="N92" s="15">
        <f t="shared" si="26"/>
        <v>7.7000000000000013E-2</v>
      </c>
      <c r="O92" s="15">
        <f t="shared" si="26"/>
        <v>6.6000000000000003E-2</v>
      </c>
      <c r="P92" s="15">
        <f t="shared" si="26"/>
        <v>6.6000000000000003E-2</v>
      </c>
      <c r="Q92" s="15">
        <f t="shared" si="26"/>
        <v>7.7000000000000013E-2</v>
      </c>
      <c r="R92" s="15">
        <f t="shared" si="26"/>
        <v>6.6000000000000003E-2</v>
      </c>
      <c r="S92" s="15">
        <f t="shared" si="26"/>
        <v>6.6000000000000003E-2</v>
      </c>
      <c r="T92" s="15">
        <f t="shared" si="26"/>
        <v>6.6000000000000003E-2</v>
      </c>
      <c r="U92" s="15">
        <f t="shared" si="26"/>
        <v>5.5000000000000007E-2</v>
      </c>
      <c r="V92" s="15">
        <f t="shared" si="26"/>
        <v>5.5000000000000007E-2</v>
      </c>
      <c r="W92" s="15">
        <f t="shared" si="26"/>
        <v>6.6000000000000003E-2</v>
      </c>
      <c r="X92" s="15">
        <f t="shared" si="26"/>
        <v>6.6000000000000003E-2</v>
      </c>
      <c r="Y92" s="15">
        <f t="shared" si="26"/>
        <v>6.6000000000000003E-2</v>
      </c>
      <c r="Z92" s="15">
        <f t="shared" si="26"/>
        <v>6.6000000000000003E-2</v>
      </c>
      <c r="AA92" s="15">
        <f t="shared" si="26"/>
        <v>7.7000000000000013E-2</v>
      </c>
      <c r="AB92" s="15">
        <f t="shared" si="26"/>
        <v>0</v>
      </c>
      <c r="AC92" s="15">
        <f t="shared" si="26"/>
        <v>0</v>
      </c>
      <c r="AD92" s="15">
        <f t="shared" si="26"/>
        <v>0</v>
      </c>
      <c r="AE92" s="15">
        <f t="shared" si="26"/>
        <v>0</v>
      </c>
      <c r="AF92" s="15">
        <f t="shared" si="26"/>
        <v>0</v>
      </c>
    </row>
    <row r="93" spans="4:32">
      <c r="D93" t="s">
        <v>10</v>
      </c>
      <c r="E93" s="8">
        <v>-0.1</v>
      </c>
      <c r="G93" t="s">
        <v>17</v>
      </c>
      <c r="I93" s="15">
        <f>I92*(1+$E93)</f>
        <v>5.9400000000000001E-2</v>
      </c>
      <c r="J93" s="15">
        <f t="shared" si="26"/>
        <v>6.9300000000000014E-2</v>
      </c>
      <c r="K93" s="15">
        <f t="shared" si="26"/>
        <v>5.9400000000000001E-2</v>
      </c>
      <c r="L93" s="15">
        <f t="shared" si="26"/>
        <v>6.9300000000000014E-2</v>
      </c>
      <c r="M93" s="15">
        <f t="shared" si="26"/>
        <v>6.9300000000000014E-2</v>
      </c>
      <c r="N93" s="15">
        <f t="shared" si="26"/>
        <v>6.9300000000000014E-2</v>
      </c>
      <c r="O93" s="15">
        <f t="shared" si="26"/>
        <v>5.9400000000000001E-2</v>
      </c>
      <c r="P93" s="15">
        <f t="shared" si="26"/>
        <v>5.9400000000000001E-2</v>
      </c>
      <c r="Q93" s="15">
        <f t="shared" si="26"/>
        <v>6.9300000000000014E-2</v>
      </c>
      <c r="R93" s="15">
        <f t="shared" si="26"/>
        <v>5.9400000000000001E-2</v>
      </c>
      <c r="S93" s="15">
        <f t="shared" si="26"/>
        <v>5.9400000000000001E-2</v>
      </c>
      <c r="T93" s="15">
        <f t="shared" si="26"/>
        <v>5.9400000000000001E-2</v>
      </c>
      <c r="U93" s="15">
        <f t="shared" si="26"/>
        <v>4.9500000000000009E-2</v>
      </c>
      <c r="V93" s="15">
        <f t="shared" si="26"/>
        <v>4.9500000000000009E-2</v>
      </c>
      <c r="W93" s="15">
        <f t="shared" si="26"/>
        <v>5.9400000000000001E-2</v>
      </c>
      <c r="X93" s="15">
        <f t="shared" si="26"/>
        <v>5.9400000000000001E-2</v>
      </c>
      <c r="Y93" s="15">
        <f t="shared" si="26"/>
        <v>5.9400000000000001E-2</v>
      </c>
      <c r="Z93" s="15">
        <f t="shared" si="26"/>
        <v>5.9400000000000001E-2</v>
      </c>
      <c r="AA93" s="15">
        <f t="shared" si="26"/>
        <v>6.9300000000000014E-2</v>
      </c>
      <c r="AB93" s="15">
        <f t="shared" si="26"/>
        <v>0</v>
      </c>
      <c r="AC93" s="15">
        <f t="shared" si="26"/>
        <v>0</v>
      </c>
      <c r="AD93" s="15">
        <f t="shared" si="26"/>
        <v>0</v>
      </c>
      <c r="AE93" s="15">
        <f t="shared" si="26"/>
        <v>0</v>
      </c>
      <c r="AF93" s="15">
        <f t="shared" si="26"/>
        <v>0</v>
      </c>
    </row>
    <row r="94" spans="4:32">
      <c r="D94" t="s">
        <v>11</v>
      </c>
      <c r="E94" s="8"/>
      <c r="G94" t="s">
        <v>17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</row>
    <row r="95" spans="4:32">
      <c r="D95" t="s">
        <v>12</v>
      </c>
      <c r="E95" s="8"/>
      <c r="G95" t="s">
        <v>17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</row>
    <row r="97" spans="4:32">
      <c r="D97" s="5" t="s">
        <v>18</v>
      </c>
      <c r="E97" s="5" t="s">
        <v>7</v>
      </c>
      <c r="F97" s="5"/>
      <c r="G97" s="5"/>
      <c r="H97" s="13"/>
      <c r="I97" s="13">
        <f>INDEX(I98:I102,MATCH($E97,$D98:$D102,0))</f>
        <v>0.95</v>
      </c>
      <c r="J97" s="13">
        <f t="shared" ref="J97:AF97" si="27">INDEX(J98:J102,MATCH($E97,$D98:$D102,0))</f>
        <v>1.26</v>
      </c>
      <c r="K97" s="13">
        <f t="shared" si="27"/>
        <v>1.07</v>
      </c>
      <c r="L97" s="13">
        <f t="shared" si="27"/>
        <v>1.25</v>
      </c>
      <c r="M97" s="13">
        <f t="shared" si="27"/>
        <v>0.98</v>
      </c>
      <c r="N97" s="13">
        <f t="shared" si="27"/>
        <v>0.75</v>
      </c>
      <c r="O97" s="13">
        <f t="shared" si="27"/>
        <v>0.83</v>
      </c>
      <c r="P97" s="13">
        <f t="shared" si="27"/>
        <v>0.67</v>
      </c>
      <c r="Q97" s="13">
        <f t="shared" si="27"/>
        <v>0.73</v>
      </c>
      <c r="R97" s="13">
        <f t="shared" si="27"/>
        <v>0.95</v>
      </c>
      <c r="S97" s="13">
        <f t="shared" si="27"/>
        <v>0.75</v>
      </c>
      <c r="T97" s="13">
        <f t="shared" si="27"/>
        <v>0.65</v>
      </c>
      <c r="U97" s="13">
        <f t="shared" si="27"/>
        <v>0.56000000000000005</v>
      </c>
      <c r="V97" s="13">
        <f t="shared" si="27"/>
        <v>0.6</v>
      </c>
      <c r="W97" s="13">
        <f t="shared" si="27"/>
        <v>0.59</v>
      </c>
      <c r="X97" s="13">
        <f t="shared" si="27"/>
        <v>0.98</v>
      </c>
      <c r="Y97" s="13">
        <f t="shared" si="27"/>
        <v>1.24</v>
      </c>
      <c r="Z97" s="13">
        <f t="shared" si="27"/>
        <v>0.73</v>
      </c>
      <c r="AA97" s="13">
        <f t="shared" si="27"/>
        <v>0.65</v>
      </c>
      <c r="AB97" s="13">
        <f t="shared" si="27"/>
        <v>0</v>
      </c>
      <c r="AC97" s="13">
        <f t="shared" si="27"/>
        <v>0</v>
      </c>
      <c r="AD97" s="13">
        <f t="shared" si="27"/>
        <v>0</v>
      </c>
      <c r="AE97" s="13">
        <f t="shared" si="27"/>
        <v>0</v>
      </c>
      <c r="AF97" s="13">
        <f t="shared" si="27"/>
        <v>0</v>
      </c>
    </row>
    <row r="98" spans="4:32">
      <c r="D98" t="s">
        <v>7</v>
      </c>
      <c r="E98" s="6"/>
      <c r="G98" t="s">
        <v>19</v>
      </c>
      <c r="I98" s="14">
        <v>0.95</v>
      </c>
      <c r="J98" s="14">
        <v>1.26</v>
      </c>
      <c r="K98" s="14">
        <v>1.07</v>
      </c>
      <c r="L98" s="14">
        <v>1.25</v>
      </c>
      <c r="M98" s="14">
        <v>0.98</v>
      </c>
      <c r="N98" s="14">
        <v>0.75</v>
      </c>
      <c r="O98" s="14">
        <v>0.83</v>
      </c>
      <c r="P98" s="14">
        <v>0.67</v>
      </c>
      <c r="Q98" s="14">
        <v>0.73</v>
      </c>
      <c r="R98" s="14">
        <v>0.95</v>
      </c>
      <c r="S98" s="14">
        <v>0.75</v>
      </c>
      <c r="T98" s="14">
        <v>0.65</v>
      </c>
      <c r="U98" s="14">
        <v>0.56000000000000005</v>
      </c>
      <c r="V98" s="14">
        <v>0.6</v>
      </c>
      <c r="W98" s="14">
        <v>0.59</v>
      </c>
      <c r="X98" s="14">
        <v>0.98</v>
      </c>
      <c r="Y98" s="14">
        <v>1.24</v>
      </c>
      <c r="Z98" s="14">
        <v>0.73</v>
      </c>
      <c r="AA98" s="14">
        <v>0.65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</row>
    <row r="99" spans="4:32">
      <c r="D99" t="s">
        <v>9</v>
      </c>
      <c r="E99" s="8">
        <v>0.1</v>
      </c>
      <c r="G99" t="s">
        <v>19</v>
      </c>
      <c r="I99" s="15">
        <f>I98*(1+$E99)</f>
        <v>1.0449999999999999</v>
      </c>
      <c r="J99" s="15">
        <f t="shared" ref="J99:AF100" si="28">J98*(1+$E99)</f>
        <v>1.3860000000000001</v>
      </c>
      <c r="K99" s="15">
        <f t="shared" si="28"/>
        <v>1.1770000000000003</v>
      </c>
      <c r="L99" s="15">
        <f t="shared" si="28"/>
        <v>1.375</v>
      </c>
      <c r="M99" s="15">
        <f t="shared" si="28"/>
        <v>1.0780000000000001</v>
      </c>
      <c r="N99" s="15">
        <f t="shared" si="28"/>
        <v>0.82500000000000007</v>
      </c>
      <c r="O99" s="15">
        <f t="shared" si="28"/>
        <v>0.91300000000000003</v>
      </c>
      <c r="P99" s="15">
        <f t="shared" si="28"/>
        <v>0.7370000000000001</v>
      </c>
      <c r="Q99" s="15">
        <f t="shared" si="28"/>
        <v>0.80300000000000005</v>
      </c>
      <c r="R99" s="15">
        <f t="shared" si="28"/>
        <v>1.0449999999999999</v>
      </c>
      <c r="S99" s="15">
        <f t="shared" si="28"/>
        <v>0.82500000000000007</v>
      </c>
      <c r="T99" s="15">
        <f t="shared" si="28"/>
        <v>0.71500000000000008</v>
      </c>
      <c r="U99" s="15">
        <f t="shared" si="28"/>
        <v>0.6160000000000001</v>
      </c>
      <c r="V99" s="15">
        <f t="shared" si="28"/>
        <v>0.66</v>
      </c>
      <c r="W99" s="15">
        <f t="shared" si="28"/>
        <v>0.64900000000000002</v>
      </c>
      <c r="X99" s="15">
        <f t="shared" si="28"/>
        <v>1.0780000000000001</v>
      </c>
      <c r="Y99" s="15">
        <f t="shared" si="28"/>
        <v>1.3640000000000001</v>
      </c>
      <c r="Z99" s="15">
        <f t="shared" si="28"/>
        <v>0.80300000000000005</v>
      </c>
      <c r="AA99" s="15">
        <f t="shared" si="28"/>
        <v>0.71500000000000008</v>
      </c>
      <c r="AB99" s="15">
        <f t="shared" si="28"/>
        <v>0</v>
      </c>
      <c r="AC99" s="15">
        <f t="shared" si="28"/>
        <v>0</v>
      </c>
      <c r="AD99" s="15">
        <f t="shared" si="28"/>
        <v>0</v>
      </c>
      <c r="AE99" s="15">
        <f t="shared" si="28"/>
        <v>0</v>
      </c>
      <c r="AF99" s="15">
        <f t="shared" si="28"/>
        <v>0</v>
      </c>
    </row>
    <row r="100" spans="4:32">
      <c r="D100" t="s">
        <v>10</v>
      </c>
      <c r="E100" s="8">
        <v>-0.1</v>
      </c>
      <c r="G100" t="s">
        <v>19</v>
      </c>
      <c r="I100" s="15">
        <f>I99*(1+$E100)</f>
        <v>0.9405</v>
      </c>
      <c r="J100" s="15">
        <f t="shared" si="28"/>
        <v>1.2474000000000001</v>
      </c>
      <c r="K100" s="15">
        <f t="shared" si="28"/>
        <v>1.0593000000000004</v>
      </c>
      <c r="L100" s="15">
        <f t="shared" si="28"/>
        <v>1.2375</v>
      </c>
      <c r="M100" s="15">
        <f t="shared" si="28"/>
        <v>0.97020000000000006</v>
      </c>
      <c r="N100" s="15">
        <f t="shared" si="28"/>
        <v>0.74250000000000005</v>
      </c>
      <c r="O100" s="15">
        <f t="shared" si="28"/>
        <v>0.8217000000000001</v>
      </c>
      <c r="P100" s="15">
        <f t="shared" si="28"/>
        <v>0.66330000000000011</v>
      </c>
      <c r="Q100" s="15">
        <f t="shared" si="28"/>
        <v>0.72270000000000001</v>
      </c>
      <c r="R100" s="15">
        <f t="shared" si="28"/>
        <v>0.9405</v>
      </c>
      <c r="S100" s="15">
        <f t="shared" si="28"/>
        <v>0.74250000000000005</v>
      </c>
      <c r="T100" s="15">
        <f t="shared" si="28"/>
        <v>0.64350000000000007</v>
      </c>
      <c r="U100" s="15">
        <f t="shared" si="28"/>
        <v>0.55440000000000011</v>
      </c>
      <c r="V100" s="15">
        <f t="shared" si="28"/>
        <v>0.59400000000000008</v>
      </c>
      <c r="W100" s="15">
        <f t="shared" si="28"/>
        <v>0.58410000000000006</v>
      </c>
      <c r="X100" s="15">
        <f t="shared" si="28"/>
        <v>0.97020000000000006</v>
      </c>
      <c r="Y100" s="15">
        <f t="shared" si="28"/>
        <v>1.2276</v>
      </c>
      <c r="Z100" s="15">
        <f t="shared" si="28"/>
        <v>0.72270000000000001</v>
      </c>
      <c r="AA100" s="15">
        <f t="shared" si="28"/>
        <v>0.64350000000000007</v>
      </c>
      <c r="AB100" s="15">
        <f t="shared" si="28"/>
        <v>0</v>
      </c>
      <c r="AC100" s="15">
        <f t="shared" si="28"/>
        <v>0</v>
      </c>
      <c r="AD100" s="15">
        <f t="shared" si="28"/>
        <v>0</v>
      </c>
      <c r="AE100" s="15">
        <f t="shared" si="28"/>
        <v>0</v>
      </c>
      <c r="AF100" s="15">
        <f t="shared" si="28"/>
        <v>0</v>
      </c>
    </row>
    <row r="101" spans="4:32">
      <c r="D101" t="s">
        <v>11</v>
      </c>
      <c r="E101" s="8"/>
      <c r="G101" t="s">
        <v>19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</row>
    <row r="102" spans="4:32">
      <c r="D102" t="s">
        <v>12</v>
      </c>
      <c r="E102" s="8"/>
      <c r="G102" t="s">
        <v>19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</row>
    <row r="104" spans="4:32">
      <c r="D104" s="4" t="s">
        <v>25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4:32">
      <c r="D105" s="5" t="s">
        <v>26</v>
      </c>
      <c r="E105" s="5" t="s">
        <v>7</v>
      </c>
      <c r="F105" s="5"/>
      <c r="G105" s="5"/>
      <c r="H105" s="5"/>
      <c r="I105" s="5">
        <f t="shared" ref="I105:AF105" si="29">INDEX(I106:I110,MATCH($E105,$D106:$D110,0))</f>
        <v>7133</v>
      </c>
      <c r="J105" s="5">
        <f t="shared" si="29"/>
        <v>3106</v>
      </c>
      <c r="K105" s="5">
        <f t="shared" si="29"/>
        <v>2395</v>
      </c>
      <c r="L105" s="5">
        <f t="shared" si="29"/>
        <v>3673</v>
      </c>
      <c r="M105" s="5">
        <f t="shared" si="29"/>
        <v>2612</v>
      </c>
      <c r="N105" s="5">
        <f t="shared" si="29"/>
        <v>9639</v>
      </c>
      <c r="O105" s="5">
        <f t="shared" si="29"/>
        <v>9784</v>
      </c>
      <c r="P105" s="5">
        <f t="shared" si="29"/>
        <v>11540</v>
      </c>
      <c r="Q105" s="5">
        <f t="shared" si="29"/>
        <v>10162</v>
      </c>
      <c r="R105" s="5">
        <f t="shared" si="29"/>
        <v>6818</v>
      </c>
      <c r="S105" s="5">
        <f t="shared" si="29"/>
        <v>5475</v>
      </c>
      <c r="T105" s="5">
        <f t="shared" si="29"/>
        <v>9725</v>
      </c>
      <c r="U105" s="5">
        <f t="shared" si="29"/>
        <v>12427</v>
      </c>
      <c r="V105" s="5">
        <f t="shared" si="29"/>
        <v>13286</v>
      </c>
      <c r="W105" s="5">
        <f t="shared" si="29"/>
        <v>9623</v>
      </c>
      <c r="X105" s="5">
        <f t="shared" si="29"/>
        <v>8312</v>
      </c>
      <c r="Y105" s="5">
        <f t="shared" si="29"/>
        <v>5475</v>
      </c>
      <c r="Z105" s="5">
        <f t="shared" si="29"/>
        <v>12778</v>
      </c>
      <c r="AA105" s="5">
        <f t="shared" si="29"/>
        <v>16730</v>
      </c>
      <c r="AB105" s="5">
        <f t="shared" si="29"/>
        <v>22170</v>
      </c>
      <c r="AC105" s="5">
        <f t="shared" si="29"/>
        <v>22170</v>
      </c>
      <c r="AD105" s="5">
        <f t="shared" si="29"/>
        <v>22231</v>
      </c>
      <c r="AE105" s="5">
        <f t="shared" si="29"/>
        <v>22170</v>
      </c>
      <c r="AF105" s="5">
        <f t="shared" si="29"/>
        <v>3235</v>
      </c>
    </row>
    <row r="106" spans="4:32">
      <c r="D106" t="s">
        <v>7</v>
      </c>
      <c r="E106" s="6"/>
      <c r="G106" t="s">
        <v>8</v>
      </c>
      <c r="I106" s="7">
        <v>7133</v>
      </c>
      <c r="J106" s="7">
        <v>3106</v>
      </c>
      <c r="K106" s="7">
        <v>2395</v>
      </c>
      <c r="L106" s="7">
        <v>3673</v>
      </c>
      <c r="M106" s="7">
        <v>2612</v>
      </c>
      <c r="N106" s="7">
        <v>9639</v>
      </c>
      <c r="O106" s="7">
        <v>9784</v>
      </c>
      <c r="P106" s="7">
        <v>11540</v>
      </c>
      <c r="Q106" s="7">
        <v>10162</v>
      </c>
      <c r="R106" s="7">
        <v>6818</v>
      </c>
      <c r="S106" s="7">
        <v>5475</v>
      </c>
      <c r="T106" s="7">
        <v>9725</v>
      </c>
      <c r="U106" s="7">
        <v>12427</v>
      </c>
      <c r="V106" s="7">
        <v>13286</v>
      </c>
      <c r="W106" s="7">
        <v>9623</v>
      </c>
      <c r="X106" s="7">
        <v>8312</v>
      </c>
      <c r="Y106" s="7">
        <v>5475</v>
      </c>
      <c r="Z106" s="7">
        <v>12778</v>
      </c>
      <c r="AA106" s="7">
        <v>16730</v>
      </c>
      <c r="AB106" s="7">
        <v>22170</v>
      </c>
      <c r="AC106" s="7">
        <v>22170</v>
      </c>
      <c r="AD106" s="7">
        <v>22231</v>
      </c>
      <c r="AE106" s="7">
        <v>22170</v>
      </c>
      <c r="AF106" s="7">
        <v>3235</v>
      </c>
    </row>
    <row r="107" spans="4:32">
      <c r="D107" t="s">
        <v>9</v>
      </c>
      <c r="E107" s="8">
        <v>0.1</v>
      </c>
      <c r="G107" t="s">
        <v>8</v>
      </c>
      <c r="I107" s="9">
        <f t="shared" ref="I107:AF108" si="30">I106*(1+$E107)</f>
        <v>7846.3</v>
      </c>
      <c r="J107" s="9">
        <f t="shared" si="30"/>
        <v>3416.6000000000004</v>
      </c>
      <c r="K107" s="9">
        <f t="shared" si="30"/>
        <v>2634.5</v>
      </c>
      <c r="L107" s="9">
        <f t="shared" si="30"/>
        <v>4040.3</v>
      </c>
      <c r="M107" s="9">
        <f t="shared" si="30"/>
        <v>2873.2000000000003</v>
      </c>
      <c r="N107" s="9">
        <f t="shared" si="30"/>
        <v>10602.900000000001</v>
      </c>
      <c r="O107" s="9">
        <f t="shared" si="30"/>
        <v>10762.400000000001</v>
      </c>
      <c r="P107" s="9">
        <f t="shared" si="30"/>
        <v>12694.000000000002</v>
      </c>
      <c r="Q107" s="9">
        <f t="shared" si="30"/>
        <v>11178.2</v>
      </c>
      <c r="R107" s="9">
        <f t="shared" si="30"/>
        <v>7499.8</v>
      </c>
      <c r="S107" s="9">
        <f t="shared" si="30"/>
        <v>6022.5000000000009</v>
      </c>
      <c r="T107" s="9">
        <f t="shared" si="30"/>
        <v>10697.5</v>
      </c>
      <c r="U107" s="9">
        <f t="shared" si="30"/>
        <v>13669.7</v>
      </c>
      <c r="V107" s="9">
        <f t="shared" si="30"/>
        <v>14614.6</v>
      </c>
      <c r="W107" s="9">
        <f t="shared" si="30"/>
        <v>10585.300000000001</v>
      </c>
      <c r="X107" s="9">
        <f t="shared" si="30"/>
        <v>9143.2000000000007</v>
      </c>
      <c r="Y107" s="9">
        <f t="shared" si="30"/>
        <v>6022.5000000000009</v>
      </c>
      <c r="Z107" s="9">
        <f t="shared" si="30"/>
        <v>14055.800000000001</v>
      </c>
      <c r="AA107" s="9">
        <f t="shared" si="30"/>
        <v>18403</v>
      </c>
      <c r="AB107" s="9">
        <f t="shared" si="30"/>
        <v>24387.000000000004</v>
      </c>
      <c r="AC107" s="9">
        <f t="shared" si="30"/>
        <v>24387.000000000004</v>
      </c>
      <c r="AD107" s="9">
        <f t="shared" si="30"/>
        <v>24454.100000000002</v>
      </c>
      <c r="AE107" s="9">
        <f t="shared" si="30"/>
        <v>24387.000000000004</v>
      </c>
      <c r="AF107" s="9">
        <f t="shared" si="30"/>
        <v>3558.5000000000005</v>
      </c>
    </row>
    <row r="108" spans="4:32">
      <c r="D108" t="s">
        <v>10</v>
      </c>
      <c r="E108" s="8">
        <v>-0.1</v>
      </c>
      <c r="G108" t="s">
        <v>8</v>
      </c>
      <c r="I108" s="9">
        <f t="shared" si="30"/>
        <v>7061.67</v>
      </c>
      <c r="J108" s="9">
        <f t="shared" si="30"/>
        <v>3074.9400000000005</v>
      </c>
      <c r="K108" s="9">
        <f t="shared" si="30"/>
        <v>2371.0500000000002</v>
      </c>
      <c r="L108" s="9">
        <f t="shared" si="30"/>
        <v>3636.2700000000004</v>
      </c>
      <c r="M108" s="9">
        <f t="shared" si="30"/>
        <v>2585.88</v>
      </c>
      <c r="N108" s="9">
        <f t="shared" si="30"/>
        <v>9542.6100000000024</v>
      </c>
      <c r="O108" s="9">
        <f t="shared" si="30"/>
        <v>9686.1600000000017</v>
      </c>
      <c r="P108" s="9">
        <f t="shared" si="30"/>
        <v>11424.600000000002</v>
      </c>
      <c r="Q108" s="9">
        <f t="shared" si="30"/>
        <v>10060.380000000001</v>
      </c>
      <c r="R108" s="9">
        <f t="shared" si="30"/>
        <v>6749.8200000000006</v>
      </c>
      <c r="S108" s="9">
        <f t="shared" si="30"/>
        <v>5420.2500000000009</v>
      </c>
      <c r="T108" s="9">
        <f t="shared" si="30"/>
        <v>9627.75</v>
      </c>
      <c r="U108" s="9">
        <f t="shared" si="30"/>
        <v>12302.730000000001</v>
      </c>
      <c r="V108" s="9">
        <f t="shared" si="30"/>
        <v>13153.140000000001</v>
      </c>
      <c r="W108" s="9">
        <f t="shared" si="30"/>
        <v>9526.77</v>
      </c>
      <c r="X108" s="9">
        <f t="shared" si="30"/>
        <v>8228.880000000001</v>
      </c>
      <c r="Y108" s="9">
        <f t="shared" si="30"/>
        <v>5420.2500000000009</v>
      </c>
      <c r="Z108" s="9">
        <f t="shared" si="30"/>
        <v>12650.220000000001</v>
      </c>
      <c r="AA108" s="9">
        <f t="shared" si="30"/>
        <v>16562.7</v>
      </c>
      <c r="AB108" s="9">
        <f t="shared" si="30"/>
        <v>21948.300000000003</v>
      </c>
      <c r="AC108" s="9">
        <f t="shared" si="30"/>
        <v>21948.300000000003</v>
      </c>
      <c r="AD108" s="9">
        <f t="shared" si="30"/>
        <v>22008.690000000002</v>
      </c>
      <c r="AE108" s="9">
        <f t="shared" si="30"/>
        <v>21948.300000000003</v>
      </c>
      <c r="AF108" s="9">
        <f t="shared" si="30"/>
        <v>3202.6500000000005</v>
      </c>
    </row>
    <row r="109" spans="4:32">
      <c r="D109" t="s">
        <v>11</v>
      </c>
      <c r="E109" s="8"/>
      <c r="G109" t="s">
        <v>8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</row>
    <row r="110" spans="4:32">
      <c r="D110" t="s">
        <v>12</v>
      </c>
      <c r="E110" s="8"/>
      <c r="G110" t="s">
        <v>8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</row>
    <row r="112" spans="4:32">
      <c r="D112" s="5" t="s">
        <v>14</v>
      </c>
      <c r="E112" s="5" t="s">
        <v>7</v>
      </c>
      <c r="F112" s="5"/>
      <c r="G112" s="5"/>
      <c r="H112" s="10"/>
      <c r="I112" s="10">
        <f>INDEX(I113:I117,MATCH($E112,$D113:$D117,0))</f>
        <v>2.8E-3</v>
      </c>
      <c r="J112" s="10">
        <f t="shared" ref="J112:AF112" si="31">INDEX(J113:J117,MATCH($E112,$D113:$D117,0))</f>
        <v>2.3E-3</v>
      </c>
      <c r="K112" s="10">
        <f t="shared" si="31"/>
        <v>2.3999999999999998E-3</v>
      </c>
      <c r="L112" s="10">
        <f t="shared" si="31"/>
        <v>2.5999999999999999E-3</v>
      </c>
      <c r="M112" s="10">
        <f t="shared" si="31"/>
        <v>2.3999999999999998E-3</v>
      </c>
      <c r="N112" s="10">
        <f t="shared" si="31"/>
        <v>2.5000000000000001E-3</v>
      </c>
      <c r="O112" s="10">
        <f t="shared" si="31"/>
        <v>3.0999999999999999E-3</v>
      </c>
      <c r="P112" s="10">
        <f t="shared" si="31"/>
        <v>2.7000000000000001E-3</v>
      </c>
      <c r="Q112" s="10">
        <f t="shared" si="31"/>
        <v>2.8999999999999998E-3</v>
      </c>
      <c r="R112" s="10">
        <f t="shared" si="31"/>
        <v>2.8999999999999998E-3</v>
      </c>
      <c r="S112" s="10">
        <f t="shared" si="31"/>
        <v>2.8E-3</v>
      </c>
      <c r="T112" s="10">
        <f t="shared" si="31"/>
        <v>2.8E-3</v>
      </c>
      <c r="U112" s="10">
        <f t="shared" si="31"/>
        <v>2.8E-3</v>
      </c>
      <c r="V112" s="10">
        <f t="shared" si="31"/>
        <v>2.8E-3</v>
      </c>
      <c r="W112" s="10">
        <f t="shared" si="31"/>
        <v>2.7000000000000001E-3</v>
      </c>
      <c r="X112" s="10">
        <f t="shared" si="31"/>
        <v>2.7000000000000001E-3</v>
      </c>
      <c r="Y112" s="10">
        <f t="shared" si="31"/>
        <v>2.7000000000000001E-3</v>
      </c>
      <c r="Z112" s="10">
        <f t="shared" si="31"/>
        <v>2.7000000000000001E-3</v>
      </c>
      <c r="AA112" s="10">
        <f t="shared" si="31"/>
        <v>2.7000000000000001E-3</v>
      </c>
      <c r="AB112" s="10">
        <f t="shared" si="31"/>
        <v>2.7000000000000001E-3</v>
      </c>
      <c r="AC112" s="10">
        <f t="shared" si="31"/>
        <v>2E-3</v>
      </c>
      <c r="AD112" s="10">
        <f t="shared" si="31"/>
        <v>1.6999999999999999E-3</v>
      </c>
      <c r="AE112" s="10">
        <f t="shared" si="31"/>
        <v>1.6999999999999999E-3</v>
      </c>
      <c r="AF112" s="10">
        <f t="shared" si="31"/>
        <v>1.6999999999999999E-3</v>
      </c>
    </row>
    <row r="113" spans="4:32">
      <c r="D113" t="s">
        <v>7</v>
      </c>
      <c r="E113" s="6"/>
      <c r="G113" t="s">
        <v>15</v>
      </c>
      <c r="I113" s="11">
        <v>2.8E-3</v>
      </c>
      <c r="J113" s="11">
        <v>2.3E-3</v>
      </c>
      <c r="K113" s="11">
        <v>2.3999999999999998E-3</v>
      </c>
      <c r="L113" s="11">
        <v>2.5999999999999999E-3</v>
      </c>
      <c r="M113" s="11">
        <v>2.3999999999999998E-3</v>
      </c>
      <c r="N113" s="11">
        <v>2.5000000000000001E-3</v>
      </c>
      <c r="O113" s="11">
        <v>3.0999999999999999E-3</v>
      </c>
      <c r="P113" s="11">
        <v>2.7000000000000001E-3</v>
      </c>
      <c r="Q113" s="11">
        <v>2.8999999999999998E-3</v>
      </c>
      <c r="R113" s="11">
        <v>2.8999999999999998E-3</v>
      </c>
      <c r="S113" s="11">
        <v>2.8E-3</v>
      </c>
      <c r="T113" s="11">
        <v>2.8E-3</v>
      </c>
      <c r="U113" s="11">
        <v>2.8E-3</v>
      </c>
      <c r="V113" s="11">
        <v>2.8E-3</v>
      </c>
      <c r="W113" s="11">
        <v>2.7000000000000001E-3</v>
      </c>
      <c r="X113" s="11">
        <v>2.7000000000000001E-3</v>
      </c>
      <c r="Y113" s="11">
        <v>2.7000000000000001E-3</v>
      </c>
      <c r="Z113" s="11">
        <v>2.7000000000000001E-3</v>
      </c>
      <c r="AA113" s="11">
        <v>2.7000000000000001E-3</v>
      </c>
      <c r="AB113" s="11">
        <v>2.7000000000000001E-3</v>
      </c>
      <c r="AC113" s="11">
        <v>2E-3</v>
      </c>
      <c r="AD113" s="11">
        <v>1.6999999999999999E-3</v>
      </c>
      <c r="AE113" s="11">
        <v>1.6999999999999999E-3</v>
      </c>
      <c r="AF113" s="11">
        <v>1.6999999999999999E-3</v>
      </c>
    </row>
    <row r="114" spans="4:32">
      <c r="D114" t="s">
        <v>9</v>
      </c>
      <c r="E114" s="8">
        <v>0.1</v>
      </c>
      <c r="G114" t="s">
        <v>15</v>
      </c>
      <c r="I114" s="12">
        <f>I113*(1+$E114)</f>
        <v>3.0800000000000003E-3</v>
      </c>
      <c r="J114" s="12">
        <f t="shared" ref="J114:AF115" si="32">J113*(1+$E114)</f>
        <v>2.5300000000000001E-3</v>
      </c>
      <c r="K114" s="12">
        <f t="shared" si="32"/>
        <v>2.64E-3</v>
      </c>
      <c r="L114" s="12">
        <f t="shared" si="32"/>
        <v>2.8600000000000001E-3</v>
      </c>
      <c r="M114" s="12">
        <f t="shared" si="32"/>
        <v>2.64E-3</v>
      </c>
      <c r="N114" s="12">
        <f t="shared" si="32"/>
        <v>2.7500000000000003E-3</v>
      </c>
      <c r="O114" s="12">
        <f t="shared" si="32"/>
        <v>3.4100000000000003E-3</v>
      </c>
      <c r="P114" s="12">
        <f t="shared" si="32"/>
        <v>2.9700000000000004E-3</v>
      </c>
      <c r="Q114" s="12">
        <f t="shared" si="32"/>
        <v>3.1900000000000001E-3</v>
      </c>
      <c r="R114" s="12">
        <f t="shared" si="32"/>
        <v>3.1900000000000001E-3</v>
      </c>
      <c r="S114" s="12">
        <f t="shared" si="32"/>
        <v>3.0800000000000003E-3</v>
      </c>
      <c r="T114" s="12">
        <f t="shared" si="32"/>
        <v>3.0800000000000003E-3</v>
      </c>
      <c r="U114" s="12">
        <f t="shared" si="32"/>
        <v>3.0800000000000003E-3</v>
      </c>
      <c r="V114" s="12">
        <f t="shared" si="32"/>
        <v>3.0800000000000003E-3</v>
      </c>
      <c r="W114" s="12">
        <f t="shared" si="32"/>
        <v>2.9700000000000004E-3</v>
      </c>
      <c r="X114" s="12">
        <f t="shared" si="32"/>
        <v>2.9700000000000004E-3</v>
      </c>
      <c r="Y114" s="12">
        <f t="shared" si="32"/>
        <v>2.9700000000000004E-3</v>
      </c>
      <c r="Z114" s="12">
        <f t="shared" si="32"/>
        <v>2.9700000000000004E-3</v>
      </c>
      <c r="AA114" s="12">
        <f t="shared" si="32"/>
        <v>2.9700000000000004E-3</v>
      </c>
      <c r="AB114" s="12">
        <f t="shared" si="32"/>
        <v>2.9700000000000004E-3</v>
      </c>
      <c r="AC114" s="12">
        <f t="shared" si="32"/>
        <v>2.2000000000000001E-3</v>
      </c>
      <c r="AD114" s="12">
        <f t="shared" si="32"/>
        <v>1.8700000000000001E-3</v>
      </c>
      <c r="AE114" s="12">
        <f t="shared" si="32"/>
        <v>1.8700000000000001E-3</v>
      </c>
      <c r="AF114" s="12">
        <f t="shared" si="32"/>
        <v>1.8700000000000001E-3</v>
      </c>
    </row>
    <row r="115" spans="4:32">
      <c r="D115" t="s">
        <v>10</v>
      </c>
      <c r="E115" s="8">
        <v>-0.1</v>
      </c>
      <c r="G115" t="s">
        <v>15</v>
      </c>
      <c r="I115" s="12">
        <f>I114*(1+$E115)</f>
        <v>2.7720000000000002E-3</v>
      </c>
      <c r="J115" s="12">
        <f t="shared" si="32"/>
        <v>2.2770000000000004E-3</v>
      </c>
      <c r="K115" s="12">
        <f t="shared" si="32"/>
        <v>2.3760000000000001E-3</v>
      </c>
      <c r="L115" s="12">
        <f t="shared" si="32"/>
        <v>2.5740000000000003E-3</v>
      </c>
      <c r="M115" s="12">
        <f t="shared" si="32"/>
        <v>2.3760000000000001E-3</v>
      </c>
      <c r="N115" s="12">
        <f t="shared" si="32"/>
        <v>2.4750000000000002E-3</v>
      </c>
      <c r="O115" s="12">
        <f t="shared" si="32"/>
        <v>3.0690000000000001E-3</v>
      </c>
      <c r="P115" s="12">
        <f t="shared" si="32"/>
        <v>2.6730000000000005E-3</v>
      </c>
      <c r="Q115" s="12">
        <f t="shared" si="32"/>
        <v>2.8710000000000003E-3</v>
      </c>
      <c r="R115" s="12">
        <f t="shared" si="32"/>
        <v>2.8710000000000003E-3</v>
      </c>
      <c r="S115" s="12">
        <f t="shared" si="32"/>
        <v>2.7720000000000002E-3</v>
      </c>
      <c r="T115" s="12">
        <f t="shared" si="32"/>
        <v>2.7720000000000002E-3</v>
      </c>
      <c r="U115" s="12">
        <f t="shared" si="32"/>
        <v>2.7720000000000002E-3</v>
      </c>
      <c r="V115" s="12">
        <f t="shared" si="32"/>
        <v>2.7720000000000002E-3</v>
      </c>
      <c r="W115" s="12">
        <f t="shared" si="32"/>
        <v>2.6730000000000005E-3</v>
      </c>
      <c r="X115" s="12">
        <f t="shared" si="32"/>
        <v>2.6730000000000005E-3</v>
      </c>
      <c r="Y115" s="12">
        <f t="shared" si="32"/>
        <v>2.6730000000000005E-3</v>
      </c>
      <c r="Z115" s="12">
        <f t="shared" si="32"/>
        <v>2.6730000000000005E-3</v>
      </c>
      <c r="AA115" s="12">
        <f t="shared" si="32"/>
        <v>2.6730000000000005E-3</v>
      </c>
      <c r="AB115" s="12">
        <f t="shared" si="32"/>
        <v>2.6730000000000005E-3</v>
      </c>
      <c r="AC115" s="12">
        <f t="shared" si="32"/>
        <v>1.98E-3</v>
      </c>
      <c r="AD115" s="12">
        <f t="shared" si="32"/>
        <v>1.6830000000000003E-3</v>
      </c>
      <c r="AE115" s="12">
        <f t="shared" si="32"/>
        <v>1.6830000000000003E-3</v>
      </c>
      <c r="AF115" s="12">
        <f t="shared" si="32"/>
        <v>1.6830000000000003E-3</v>
      </c>
    </row>
    <row r="116" spans="4:32">
      <c r="D116" t="s">
        <v>11</v>
      </c>
      <c r="E116" s="8"/>
      <c r="G116" t="s">
        <v>15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1">
        <v>0</v>
      </c>
    </row>
    <row r="117" spans="4:32">
      <c r="D117" t="s">
        <v>12</v>
      </c>
      <c r="E117" s="8"/>
      <c r="G117" t="s">
        <v>15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</row>
    <row r="119" spans="4:32">
      <c r="D119" s="5" t="s">
        <v>16</v>
      </c>
      <c r="E119" s="5" t="s">
        <v>7</v>
      </c>
      <c r="F119" s="5"/>
      <c r="G119" s="5"/>
      <c r="H119" s="13"/>
      <c r="I119" s="13">
        <f>INDEX(I120:I124,MATCH($E119,$D120:$D124,0))</f>
        <v>0.08</v>
      </c>
      <c r="J119" s="13">
        <f t="shared" ref="J119:AF119" si="33">INDEX(J120:J124,MATCH($E119,$D120:$D124,0))</f>
        <v>7.0000000000000007E-2</v>
      </c>
      <c r="K119" s="13">
        <f t="shared" si="33"/>
        <v>7.0000000000000007E-2</v>
      </c>
      <c r="L119" s="13">
        <f t="shared" si="33"/>
        <v>7.0000000000000007E-2</v>
      </c>
      <c r="M119" s="13">
        <f t="shared" si="33"/>
        <v>7.0000000000000007E-2</v>
      </c>
      <c r="N119" s="13">
        <f t="shared" si="33"/>
        <v>7.0000000000000007E-2</v>
      </c>
      <c r="O119" s="13">
        <f t="shared" si="33"/>
        <v>0.08</v>
      </c>
      <c r="P119" s="13">
        <f t="shared" si="33"/>
        <v>0.08</v>
      </c>
      <c r="Q119" s="13">
        <f t="shared" si="33"/>
        <v>0.08</v>
      </c>
      <c r="R119" s="13">
        <f t="shared" si="33"/>
        <v>0.08</v>
      </c>
      <c r="S119" s="13">
        <f t="shared" si="33"/>
        <v>0.08</v>
      </c>
      <c r="T119" s="13">
        <f t="shared" si="33"/>
        <v>0.08</v>
      </c>
      <c r="U119" s="13">
        <f t="shared" si="33"/>
        <v>0.08</v>
      </c>
      <c r="V119" s="13">
        <f t="shared" si="33"/>
        <v>0.08</v>
      </c>
      <c r="W119" s="13">
        <f t="shared" si="33"/>
        <v>0.08</v>
      </c>
      <c r="X119" s="13">
        <f t="shared" si="33"/>
        <v>0.08</v>
      </c>
      <c r="Y119" s="13">
        <f t="shared" si="33"/>
        <v>0.08</v>
      </c>
      <c r="Z119" s="13">
        <f t="shared" si="33"/>
        <v>0.08</v>
      </c>
      <c r="AA119" s="13">
        <f t="shared" si="33"/>
        <v>7.0000000000000007E-2</v>
      </c>
      <c r="AB119" s="13">
        <f t="shared" si="33"/>
        <v>0.08</v>
      </c>
      <c r="AC119" s="13">
        <f t="shared" si="33"/>
        <v>0.06</v>
      </c>
      <c r="AD119" s="13">
        <f t="shared" si="33"/>
        <v>0.05</v>
      </c>
      <c r="AE119" s="13">
        <f t="shared" si="33"/>
        <v>0.05</v>
      </c>
      <c r="AF119" s="13">
        <f t="shared" si="33"/>
        <v>0.05</v>
      </c>
    </row>
    <row r="120" spans="4:32">
      <c r="D120" t="s">
        <v>7</v>
      </c>
      <c r="E120" s="6"/>
      <c r="G120" t="s">
        <v>17</v>
      </c>
      <c r="I120" s="14">
        <v>0.08</v>
      </c>
      <c r="J120" s="14">
        <v>7.0000000000000007E-2</v>
      </c>
      <c r="K120" s="14">
        <v>7.0000000000000007E-2</v>
      </c>
      <c r="L120" s="14">
        <v>7.0000000000000007E-2</v>
      </c>
      <c r="M120" s="14">
        <v>7.0000000000000007E-2</v>
      </c>
      <c r="N120" s="14">
        <v>7.0000000000000007E-2</v>
      </c>
      <c r="O120" s="14">
        <v>0.08</v>
      </c>
      <c r="P120" s="14">
        <v>0.08</v>
      </c>
      <c r="Q120" s="14">
        <v>0.08</v>
      </c>
      <c r="R120" s="14">
        <v>0.08</v>
      </c>
      <c r="S120" s="14">
        <v>0.08</v>
      </c>
      <c r="T120" s="14">
        <v>0.08</v>
      </c>
      <c r="U120" s="14">
        <v>0.08</v>
      </c>
      <c r="V120" s="14">
        <v>0.08</v>
      </c>
      <c r="W120" s="14">
        <v>0.08</v>
      </c>
      <c r="X120" s="14">
        <v>0.08</v>
      </c>
      <c r="Y120" s="14">
        <v>0.08</v>
      </c>
      <c r="Z120" s="14">
        <v>0.08</v>
      </c>
      <c r="AA120" s="14">
        <v>7.0000000000000007E-2</v>
      </c>
      <c r="AB120" s="14">
        <v>0.08</v>
      </c>
      <c r="AC120" s="14">
        <v>0.06</v>
      </c>
      <c r="AD120" s="14">
        <v>0.05</v>
      </c>
      <c r="AE120" s="14">
        <v>0.05</v>
      </c>
      <c r="AF120" s="14">
        <v>0.05</v>
      </c>
    </row>
    <row r="121" spans="4:32">
      <c r="D121" t="s">
        <v>9</v>
      </c>
      <c r="E121" s="8">
        <v>0.1</v>
      </c>
      <c r="G121" t="s">
        <v>17</v>
      </c>
      <c r="I121" s="15">
        <f>I120*(1+$E121)</f>
        <v>8.8000000000000009E-2</v>
      </c>
      <c r="J121" s="15">
        <f t="shared" ref="J121:AF122" si="34">J120*(1+$E121)</f>
        <v>7.7000000000000013E-2</v>
      </c>
      <c r="K121" s="15">
        <f t="shared" si="34"/>
        <v>7.7000000000000013E-2</v>
      </c>
      <c r="L121" s="15">
        <f t="shared" si="34"/>
        <v>7.7000000000000013E-2</v>
      </c>
      <c r="M121" s="15">
        <f t="shared" si="34"/>
        <v>7.7000000000000013E-2</v>
      </c>
      <c r="N121" s="15">
        <f t="shared" si="34"/>
        <v>7.7000000000000013E-2</v>
      </c>
      <c r="O121" s="15">
        <f t="shared" si="34"/>
        <v>8.8000000000000009E-2</v>
      </c>
      <c r="P121" s="15">
        <f t="shared" si="34"/>
        <v>8.8000000000000009E-2</v>
      </c>
      <c r="Q121" s="15">
        <f t="shared" si="34"/>
        <v>8.8000000000000009E-2</v>
      </c>
      <c r="R121" s="15">
        <f t="shared" si="34"/>
        <v>8.8000000000000009E-2</v>
      </c>
      <c r="S121" s="15">
        <f t="shared" si="34"/>
        <v>8.8000000000000009E-2</v>
      </c>
      <c r="T121" s="15">
        <f t="shared" si="34"/>
        <v>8.8000000000000009E-2</v>
      </c>
      <c r="U121" s="15">
        <f t="shared" si="34"/>
        <v>8.8000000000000009E-2</v>
      </c>
      <c r="V121" s="15">
        <f t="shared" si="34"/>
        <v>8.8000000000000009E-2</v>
      </c>
      <c r="W121" s="15">
        <f t="shared" si="34"/>
        <v>8.8000000000000009E-2</v>
      </c>
      <c r="X121" s="15">
        <f t="shared" si="34"/>
        <v>8.8000000000000009E-2</v>
      </c>
      <c r="Y121" s="15">
        <f t="shared" si="34"/>
        <v>8.8000000000000009E-2</v>
      </c>
      <c r="Z121" s="15">
        <f t="shared" si="34"/>
        <v>8.8000000000000009E-2</v>
      </c>
      <c r="AA121" s="15">
        <f t="shared" si="34"/>
        <v>7.7000000000000013E-2</v>
      </c>
      <c r="AB121" s="15">
        <f t="shared" si="34"/>
        <v>8.8000000000000009E-2</v>
      </c>
      <c r="AC121" s="15">
        <f t="shared" si="34"/>
        <v>6.6000000000000003E-2</v>
      </c>
      <c r="AD121" s="15">
        <f t="shared" si="34"/>
        <v>5.5000000000000007E-2</v>
      </c>
      <c r="AE121" s="15">
        <f t="shared" si="34"/>
        <v>5.5000000000000007E-2</v>
      </c>
      <c r="AF121" s="15">
        <f t="shared" si="34"/>
        <v>5.5000000000000007E-2</v>
      </c>
    </row>
    <row r="122" spans="4:32">
      <c r="D122" t="s">
        <v>10</v>
      </c>
      <c r="E122" s="8">
        <v>-0.1</v>
      </c>
      <c r="G122" t="s">
        <v>17</v>
      </c>
      <c r="I122" s="15">
        <f>I121*(1+$E122)</f>
        <v>7.9200000000000007E-2</v>
      </c>
      <c r="J122" s="15">
        <f t="shared" si="34"/>
        <v>6.9300000000000014E-2</v>
      </c>
      <c r="K122" s="15">
        <f t="shared" si="34"/>
        <v>6.9300000000000014E-2</v>
      </c>
      <c r="L122" s="15">
        <f t="shared" si="34"/>
        <v>6.9300000000000014E-2</v>
      </c>
      <c r="M122" s="15">
        <f t="shared" si="34"/>
        <v>6.9300000000000014E-2</v>
      </c>
      <c r="N122" s="15">
        <f t="shared" si="34"/>
        <v>6.9300000000000014E-2</v>
      </c>
      <c r="O122" s="15">
        <f t="shared" si="34"/>
        <v>7.9200000000000007E-2</v>
      </c>
      <c r="P122" s="15">
        <f t="shared" si="34"/>
        <v>7.9200000000000007E-2</v>
      </c>
      <c r="Q122" s="15">
        <f t="shared" si="34"/>
        <v>7.9200000000000007E-2</v>
      </c>
      <c r="R122" s="15">
        <f t="shared" si="34"/>
        <v>7.9200000000000007E-2</v>
      </c>
      <c r="S122" s="15">
        <f t="shared" si="34"/>
        <v>7.9200000000000007E-2</v>
      </c>
      <c r="T122" s="15">
        <f t="shared" si="34"/>
        <v>7.9200000000000007E-2</v>
      </c>
      <c r="U122" s="15">
        <f t="shared" si="34"/>
        <v>7.9200000000000007E-2</v>
      </c>
      <c r="V122" s="15">
        <f t="shared" si="34"/>
        <v>7.9200000000000007E-2</v>
      </c>
      <c r="W122" s="15">
        <f t="shared" si="34"/>
        <v>7.9200000000000007E-2</v>
      </c>
      <c r="X122" s="15">
        <f t="shared" si="34"/>
        <v>7.9200000000000007E-2</v>
      </c>
      <c r="Y122" s="15">
        <f t="shared" si="34"/>
        <v>7.9200000000000007E-2</v>
      </c>
      <c r="Z122" s="15">
        <f t="shared" si="34"/>
        <v>7.9200000000000007E-2</v>
      </c>
      <c r="AA122" s="15">
        <f t="shared" si="34"/>
        <v>6.9300000000000014E-2</v>
      </c>
      <c r="AB122" s="15">
        <f t="shared" si="34"/>
        <v>7.9200000000000007E-2</v>
      </c>
      <c r="AC122" s="15">
        <f t="shared" si="34"/>
        <v>5.9400000000000001E-2</v>
      </c>
      <c r="AD122" s="15">
        <f t="shared" si="34"/>
        <v>4.9500000000000009E-2</v>
      </c>
      <c r="AE122" s="15">
        <f t="shared" si="34"/>
        <v>4.9500000000000009E-2</v>
      </c>
      <c r="AF122" s="15">
        <f t="shared" si="34"/>
        <v>4.9500000000000009E-2</v>
      </c>
    </row>
    <row r="123" spans="4:32">
      <c r="D123" t="s">
        <v>11</v>
      </c>
      <c r="E123" s="8"/>
      <c r="G123" t="s">
        <v>17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</row>
    <row r="124" spans="4:32">
      <c r="D124" t="s">
        <v>12</v>
      </c>
      <c r="E124" s="8"/>
      <c r="G124" t="s">
        <v>17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</row>
    <row r="126" spans="4:32">
      <c r="D126" s="5" t="s">
        <v>18</v>
      </c>
      <c r="E126" s="5" t="s">
        <v>7</v>
      </c>
      <c r="F126" s="5"/>
      <c r="G126" s="5"/>
      <c r="H126" s="13"/>
      <c r="I126" s="13">
        <f>INDEX(I127:I131,MATCH($E126,$D127:$D131,0))</f>
        <v>1.2</v>
      </c>
      <c r="J126" s="13">
        <f t="shared" ref="J126:AF126" si="35">INDEX(J127:J131,MATCH($E126,$D127:$D131,0))</f>
        <v>1.06</v>
      </c>
      <c r="K126" s="13">
        <f t="shared" si="35"/>
        <v>1.06</v>
      </c>
      <c r="L126" s="13">
        <f t="shared" si="35"/>
        <v>0.94</v>
      </c>
      <c r="M126" s="13">
        <f t="shared" si="35"/>
        <v>1.1000000000000001</v>
      </c>
      <c r="N126" s="13">
        <f t="shared" si="35"/>
        <v>1.1399999999999999</v>
      </c>
      <c r="O126" s="13">
        <f t="shared" si="35"/>
        <v>0.71</v>
      </c>
      <c r="P126" s="13">
        <f t="shared" si="35"/>
        <v>1.19</v>
      </c>
      <c r="Q126" s="13">
        <f t="shared" si="35"/>
        <v>1.24</v>
      </c>
      <c r="R126" s="13">
        <f t="shared" si="35"/>
        <v>1.23</v>
      </c>
      <c r="S126" s="13">
        <f t="shared" si="35"/>
        <v>1.22</v>
      </c>
      <c r="T126" s="13">
        <f t="shared" si="35"/>
        <v>1.21</v>
      </c>
      <c r="U126" s="13">
        <f t="shared" si="35"/>
        <v>1.21</v>
      </c>
      <c r="V126" s="13">
        <f t="shared" si="35"/>
        <v>1.2</v>
      </c>
      <c r="W126" s="13">
        <f t="shared" si="35"/>
        <v>1.2</v>
      </c>
      <c r="X126" s="13">
        <f t="shared" si="35"/>
        <v>1.2</v>
      </c>
      <c r="Y126" s="13">
        <f t="shared" si="35"/>
        <v>1.19</v>
      </c>
      <c r="Z126" s="13">
        <f t="shared" si="35"/>
        <v>1.19</v>
      </c>
      <c r="AA126" s="13">
        <f t="shared" si="35"/>
        <v>0.65</v>
      </c>
      <c r="AB126" s="13">
        <f t="shared" si="35"/>
        <v>1.19</v>
      </c>
      <c r="AC126" s="13">
        <f t="shared" si="35"/>
        <v>1.01</v>
      </c>
      <c r="AD126" s="13">
        <f t="shared" si="35"/>
        <v>0.93</v>
      </c>
      <c r="AE126" s="13">
        <f t="shared" si="35"/>
        <v>0.93</v>
      </c>
      <c r="AF126" s="13">
        <f t="shared" si="35"/>
        <v>0.93</v>
      </c>
    </row>
    <row r="127" spans="4:32">
      <c r="D127" t="s">
        <v>7</v>
      </c>
      <c r="E127" s="6"/>
      <c r="G127" t="s">
        <v>19</v>
      </c>
      <c r="I127" s="14">
        <v>1.2</v>
      </c>
      <c r="J127" s="14">
        <v>1.06</v>
      </c>
      <c r="K127" s="14">
        <v>1.06</v>
      </c>
      <c r="L127" s="14">
        <v>0.94</v>
      </c>
      <c r="M127" s="14">
        <v>1.1000000000000001</v>
      </c>
      <c r="N127" s="14">
        <v>1.1399999999999999</v>
      </c>
      <c r="O127" s="14">
        <v>0.71</v>
      </c>
      <c r="P127" s="14">
        <v>1.19</v>
      </c>
      <c r="Q127" s="14">
        <v>1.24</v>
      </c>
      <c r="R127" s="14">
        <v>1.23</v>
      </c>
      <c r="S127" s="14">
        <v>1.22</v>
      </c>
      <c r="T127" s="14">
        <v>1.21</v>
      </c>
      <c r="U127" s="14">
        <v>1.21</v>
      </c>
      <c r="V127" s="14">
        <v>1.2</v>
      </c>
      <c r="W127" s="14">
        <v>1.2</v>
      </c>
      <c r="X127" s="14">
        <v>1.2</v>
      </c>
      <c r="Y127" s="14">
        <v>1.19</v>
      </c>
      <c r="Z127" s="14">
        <v>1.19</v>
      </c>
      <c r="AA127" s="14">
        <v>0.65</v>
      </c>
      <c r="AB127" s="14">
        <v>1.19</v>
      </c>
      <c r="AC127" s="14">
        <v>1.01</v>
      </c>
      <c r="AD127" s="14">
        <v>0.93</v>
      </c>
      <c r="AE127" s="14">
        <v>0.93</v>
      </c>
      <c r="AF127" s="14">
        <v>0.93</v>
      </c>
    </row>
    <row r="128" spans="4:32">
      <c r="D128" t="s">
        <v>9</v>
      </c>
      <c r="E128" s="8">
        <v>0.1</v>
      </c>
      <c r="G128" t="s">
        <v>19</v>
      </c>
      <c r="I128" s="15">
        <f>I127*(1+$E128)</f>
        <v>1.32</v>
      </c>
      <c r="J128" s="15">
        <f t="shared" ref="J128:AF129" si="36">J127*(1+$E128)</f>
        <v>1.1660000000000001</v>
      </c>
      <c r="K128" s="15">
        <f t="shared" si="36"/>
        <v>1.1660000000000001</v>
      </c>
      <c r="L128" s="15">
        <f t="shared" si="36"/>
        <v>1.034</v>
      </c>
      <c r="M128" s="15">
        <f t="shared" si="36"/>
        <v>1.2100000000000002</v>
      </c>
      <c r="N128" s="15">
        <f t="shared" si="36"/>
        <v>1.254</v>
      </c>
      <c r="O128" s="15">
        <f t="shared" si="36"/>
        <v>0.78100000000000003</v>
      </c>
      <c r="P128" s="15">
        <f t="shared" si="36"/>
        <v>1.3089999999999999</v>
      </c>
      <c r="Q128" s="15">
        <f t="shared" si="36"/>
        <v>1.3640000000000001</v>
      </c>
      <c r="R128" s="15">
        <f t="shared" si="36"/>
        <v>1.353</v>
      </c>
      <c r="S128" s="15">
        <f t="shared" si="36"/>
        <v>1.3420000000000001</v>
      </c>
      <c r="T128" s="15">
        <f t="shared" si="36"/>
        <v>1.331</v>
      </c>
      <c r="U128" s="15">
        <f t="shared" si="36"/>
        <v>1.331</v>
      </c>
      <c r="V128" s="15">
        <f t="shared" si="36"/>
        <v>1.32</v>
      </c>
      <c r="W128" s="15">
        <f t="shared" si="36"/>
        <v>1.32</v>
      </c>
      <c r="X128" s="15">
        <f t="shared" si="36"/>
        <v>1.32</v>
      </c>
      <c r="Y128" s="15">
        <f t="shared" si="36"/>
        <v>1.3089999999999999</v>
      </c>
      <c r="Z128" s="15">
        <f t="shared" si="36"/>
        <v>1.3089999999999999</v>
      </c>
      <c r="AA128" s="15">
        <f t="shared" si="36"/>
        <v>0.71500000000000008</v>
      </c>
      <c r="AB128" s="15">
        <f t="shared" si="36"/>
        <v>1.3089999999999999</v>
      </c>
      <c r="AC128" s="15">
        <f t="shared" si="36"/>
        <v>1.1110000000000002</v>
      </c>
      <c r="AD128" s="15">
        <f t="shared" si="36"/>
        <v>1.0230000000000001</v>
      </c>
      <c r="AE128" s="15">
        <f t="shared" si="36"/>
        <v>1.0230000000000001</v>
      </c>
      <c r="AF128" s="15">
        <f t="shared" si="36"/>
        <v>1.0230000000000001</v>
      </c>
    </row>
    <row r="129" spans="4:32">
      <c r="D129" t="s">
        <v>10</v>
      </c>
      <c r="E129" s="8">
        <v>-0.1</v>
      </c>
      <c r="G129" t="s">
        <v>19</v>
      </c>
      <c r="I129" s="15">
        <f>I128*(1+$E129)</f>
        <v>1.1880000000000002</v>
      </c>
      <c r="J129" s="15">
        <f t="shared" si="36"/>
        <v>1.0494000000000001</v>
      </c>
      <c r="K129" s="15">
        <f t="shared" si="36"/>
        <v>1.0494000000000001</v>
      </c>
      <c r="L129" s="15">
        <f t="shared" si="36"/>
        <v>0.93060000000000009</v>
      </c>
      <c r="M129" s="15">
        <f t="shared" si="36"/>
        <v>1.0890000000000002</v>
      </c>
      <c r="N129" s="15">
        <f t="shared" si="36"/>
        <v>1.1286</v>
      </c>
      <c r="O129" s="15">
        <f t="shared" si="36"/>
        <v>0.70290000000000008</v>
      </c>
      <c r="P129" s="15">
        <f t="shared" si="36"/>
        <v>1.1780999999999999</v>
      </c>
      <c r="Q129" s="15">
        <f t="shared" si="36"/>
        <v>1.2276</v>
      </c>
      <c r="R129" s="15">
        <f t="shared" si="36"/>
        <v>1.2177</v>
      </c>
      <c r="S129" s="15">
        <f t="shared" si="36"/>
        <v>1.2078000000000002</v>
      </c>
      <c r="T129" s="15">
        <f t="shared" si="36"/>
        <v>1.1979</v>
      </c>
      <c r="U129" s="15">
        <f t="shared" si="36"/>
        <v>1.1979</v>
      </c>
      <c r="V129" s="15">
        <f t="shared" si="36"/>
        <v>1.1880000000000002</v>
      </c>
      <c r="W129" s="15">
        <f t="shared" si="36"/>
        <v>1.1880000000000002</v>
      </c>
      <c r="X129" s="15">
        <f t="shared" si="36"/>
        <v>1.1880000000000002</v>
      </c>
      <c r="Y129" s="15">
        <f t="shared" si="36"/>
        <v>1.1780999999999999</v>
      </c>
      <c r="Z129" s="15">
        <f t="shared" si="36"/>
        <v>1.1780999999999999</v>
      </c>
      <c r="AA129" s="15">
        <f t="shared" si="36"/>
        <v>0.64350000000000007</v>
      </c>
      <c r="AB129" s="15">
        <f t="shared" si="36"/>
        <v>1.1780999999999999</v>
      </c>
      <c r="AC129" s="15">
        <f t="shared" si="36"/>
        <v>0.99990000000000023</v>
      </c>
      <c r="AD129" s="15">
        <f t="shared" si="36"/>
        <v>0.92070000000000018</v>
      </c>
      <c r="AE129" s="15">
        <f t="shared" si="36"/>
        <v>0.92070000000000018</v>
      </c>
      <c r="AF129" s="15">
        <f t="shared" si="36"/>
        <v>0.92070000000000018</v>
      </c>
    </row>
    <row r="130" spans="4:32">
      <c r="D130" t="s">
        <v>11</v>
      </c>
      <c r="E130" s="8"/>
      <c r="G130" t="s">
        <v>19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</row>
    <row r="131" spans="4:32">
      <c r="D131" t="s">
        <v>12</v>
      </c>
      <c r="E131" s="8"/>
      <c r="G131" t="s">
        <v>19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</row>
    <row r="133" spans="4:32">
      <c r="D133" s="4" t="s">
        <v>27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4:32">
      <c r="D134" s="5" t="s">
        <v>28</v>
      </c>
      <c r="E134" s="5" t="s">
        <v>7</v>
      </c>
      <c r="F134" s="5"/>
      <c r="G134" s="5"/>
      <c r="H134" s="5"/>
      <c r="I134" s="5">
        <f t="shared" ref="I134:AF134" si="37">INDEX(I135:I139,MATCH($E134,$D135:$D139,0))</f>
        <v>5462</v>
      </c>
      <c r="J134" s="5">
        <f t="shared" si="37"/>
        <v>5490</v>
      </c>
      <c r="K134" s="5">
        <f t="shared" si="37"/>
        <v>5475</v>
      </c>
      <c r="L134" s="5">
        <f t="shared" si="37"/>
        <v>5475</v>
      </c>
      <c r="M134" s="5">
        <f t="shared" si="37"/>
        <v>5505</v>
      </c>
      <c r="N134" s="5">
        <f t="shared" si="37"/>
        <v>5490</v>
      </c>
      <c r="O134" s="5">
        <f t="shared" si="37"/>
        <v>5475</v>
      </c>
      <c r="P134" s="5">
        <f t="shared" si="37"/>
        <v>5475</v>
      </c>
      <c r="Q134" s="5">
        <f t="shared" si="37"/>
        <v>5475</v>
      </c>
      <c r="R134" s="5">
        <f t="shared" si="37"/>
        <v>5490</v>
      </c>
      <c r="S134" s="5">
        <f t="shared" si="37"/>
        <v>5475</v>
      </c>
      <c r="T134" s="5">
        <f t="shared" si="37"/>
        <v>5475</v>
      </c>
      <c r="U134" s="5">
        <f t="shared" si="37"/>
        <v>5475</v>
      </c>
      <c r="V134" s="5">
        <f t="shared" si="37"/>
        <v>5490</v>
      </c>
      <c r="W134" s="5">
        <f t="shared" si="37"/>
        <v>5475</v>
      </c>
      <c r="X134" s="5">
        <f t="shared" si="37"/>
        <v>5475</v>
      </c>
      <c r="Y134" s="5">
        <f t="shared" si="37"/>
        <v>5475</v>
      </c>
      <c r="Z134" s="5">
        <f t="shared" si="37"/>
        <v>5490</v>
      </c>
      <c r="AA134" s="5">
        <f t="shared" si="37"/>
        <v>5475</v>
      </c>
      <c r="AB134" s="5">
        <f t="shared" si="37"/>
        <v>5475</v>
      </c>
      <c r="AC134" s="5">
        <f t="shared" si="37"/>
        <v>5475</v>
      </c>
      <c r="AD134" s="5">
        <f t="shared" si="37"/>
        <v>5490</v>
      </c>
      <c r="AE134" s="5">
        <f t="shared" si="37"/>
        <v>5475</v>
      </c>
      <c r="AF134" s="5">
        <f t="shared" si="37"/>
        <v>5475</v>
      </c>
    </row>
    <row r="135" spans="4:32">
      <c r="D135" t="s">
        <v>7</v>
      </c>
      <c r="E135" s="6"/>
      <c r="G135" t="s">
        <v>8</v>
      </c>
      <c r="I135" s="7">
        <v>5462</v>
      </c>
      <c r="J135" s="7">
        <v>5490</v>
      </c>
      <c r="K135" s="7">
        <v>5475</v>
      </c>
      <c r="L135" s="7">
        <v>5475</v>
      </c>
      <c r="M135" s="7">
        <v>5505</v>
      </c>
      <c r="N135" s="7">
        <v>5490</v>
      </c>
      <c r="O135" s="7">
        <v>5475</v>
      </c>
      <c r="P135" s="7">
        <v>5475</v>
      </c>
      <c r="Q135" s="7">
        <v>5475</v>
      </c>
      <c r="R135" s="7">
        <v>5490</v>
      </c>
      <c r="S135" s="7">
        <v>5475</v>
      </c>
      <c r="T135" s="7">
        <v>5475</v>
      </c>
      <c r="U135" s="7">
        <v>5475</v>
      </c>
      <c r="V135" s="7">
        <v>5490</v>
      </c>
      <c r="W135" s="7">
        <v>5475</v>
      </c>
      <c r="X135" s="7">
        <v>5475</v>
      </c>
      <c r="Y135" s="7">
        <v>5475</v>
      </c>
      <c r="Z135" s="7">
        <v>5490</v>
      </c>
      <c r="AA135" s="7">
        <v>5475</v>
      </c>
      <c r="AB135" s="7">
        <v>5475</v>
      </c>
      <c r="AC135" s="7">
        <v>5475</v>
      </c>
      <c r="AD135" s="7">
        <v>5490</v>
      </c>
      <c r="AE135" s="7">
        <v>5475</v>
      </c>
      <c r="AF135" s="7">
        <v>5475</v>
      </c>
    </row>
    <row r="136" spans="4:32">
      <c r="D136" t="s">
        <v>9</v>
      </c>
      <c r="E136" s="8">
        <v>0.1</v>
      </c>
      <c r="G136" t="s">
        <v>8</v>
      </c>
      <c r="I136" s="9">
        <f t="shared" ref="I136:AF137" si="38">I135*(1+$E136)</f>
        <v>6008.2000000000007</v>
      </c>
      <c r="J136" s="9">
        <f t="shared" si="38"/>
        <v>6039.0000000000009</v>
      </c>
      <c r="K136" s="9">
        <f t="shared" si="38"/>
        <v>6022.5000000000009</v>
      </c>
      <c r="L136" s="9">
        <f t="shared" si="38"/>
        <v>6022.5000000000009</v>
      </c>
      <c r="M136" s="9">
        <f t="shared" si="38"/>
        <v>6055.5000000000009</v>
      </c>
      <c r="N136" s="9">
        <f t="shared" si="38"/>
        <v>6039.0000000000009</v>
      </c>
      <c r="O136" s="9">
        <f t="shared" si="38"/>
        <v>6022.5000000000009</v>
      </c>
      <c r="P136" s="9">
        <f t="shared" si="38"/>
        <v>6022.5000000000009</v>
      </c>
      <c r="Q136" s="9">
        <f t="shared" si="38"/>
        <v>6022.5000000000009</v>
      </c>
      <c r="R136" s="9">
        <f t="shared" si="38"/>
        <v>6039.0000000000009</v>
      </c>
      <c r="S136" s="9">
        <f t="shared" si="38"/>
        <v>6022.5000000000009</v>
      </c>
      <c r="T136" s="9">
        <f t="shared" si="38"/>
        <v>6022.5000000000009</v>
      </c>
      <c r="U136" s="9">
        <f t="shared" si="38"/>
        <v>6022.5000000000009</v>
      </c>
      <c r="V136" s="9">
        <f t="shared" si="38"/>
        <v>6039.0000000000009</v>
      </c>
      <c r="W136" s="9">
        <f t="shared" si="38"/>
        <v>6022.5000000000009</v>
      </c>
      <c r="X136" s="9">
        <f t="shared" si="38"/>
        <v>6022.5000000000009</v>
      </c>
      <c r="Y136" s="9">
        <f t="shared" si="38"/>
        <v>6022.5000000000009</v>
      </c>
      <c r="Z136" s="9">
        <f t="shared" si="38"/>
        <v>6039.0000000000009</v>
      </c>
      <c r="AA136" s="9">
        <f t="shared" si="38"/>
        <v>6022.5000000000009</v>
      </c>
      <c r="AB136" s="9">
        <f t="shared" si="38"/>
        <v>6022.5000000000009</v>
      </c>
      <c r="AC136" s="9">
        <f t="shared" si="38"/>
        <v>6022.5000000000009</v>
      </c>
      <c r="AD136" s="9">
        <f t="shared" si="38"/>
        <v>6039.0000000000009</v>
      </c>
      <c r="AE136" s="9">
        <f t="shared" si="38"/>
        <v>6022.5000000000009</v>
      </c>
      <c r="AF136" s="9">
        <f t="shared" si="38"/>
        <v>6022.5000000000009</v>
      </c>
    </row>
    <row r="137" spans="4:32">
      <c r="D137" t="s">
        <v>10</v>
      </c>
      <c r="E137" s="8">
        <v>-0.1</v>
      </c>
      <c r="G137" t="s">
        <v>8</v>
      </c>
      <c r="I137" s="9">
        <f t="shared" si="38"/>
        <v>5407.380000000001</v>
      </c>
      <c r="J137" s="9">
        <f t="shared" si="38"/>
        <v>5435.1000000000013</v>
      </c>
      <c r="K137" s="9">
        <f t="shared" si="38"/>
        <v>5420.2500000000009</v>
      </c>
      <c r="L137" s="9">
        <f t="shared" si="38"/>
        <v>5420.2500000000009</v>
      </c>
      <c r="M137" s="9">
        <f t="shared" si="38"/>
        <v>5449.9500000000007</v>
      </c>
      <c r="N137" s="9">
        <f t="shared" si="38"/>
        <v>5435.1000000000013</v>
      </c>
      <c r="O137" s="9">
        <f t="shared" si="38"/>
        <v>5420.2500000000009</v>
      </c>
      <c r="P137" s="9">
        <f t="shared" si="38"/>
        <v>5420.2500000000009</v>
      </c>
      <c r="Q137" s="9">
        <f t="shared" si="38"/>
        <v>5420.2500000000009</v>
      </c>
      <c r="R137" s="9">
        <f t="shared" si="38"/>
        <v>5435.1000000000013</v>
      </c>
      <c r="S137" s="9">
        <f t="shared" si="38"/>
        <v>5420.2500000000009</v>
      </c>
      <c r="T137" s="9">
        <f t="shared" si="38"/>
        <v>5420.2500000000009</v>
      </c>
      <c r="U137" s="9">
        <f t="shared" si="38"/>
        <v>5420.2500000000009</v>
      </c>
      <c r="V137" s="9">
        <f t="shared" si="38"/>
        <v>5435.1000000000013</v>
      </c>
      <c r="W137" s="9">
        <f t="shared" si="38"/>
        <v>5420.2500000000009</v>
      </c>
      <c r="X137" s="9">
        <f t="shared" si="38"/>
        <v>5420.2500000000009</v>
      </c>
      <c r="Y137" s="9">
        <f t="shared" si="38"/>
        <v>5420.2500000000009</v>
      </c>
      <c r="Z137" s="9">
        <f t="shared" si="38"/>
        <v>5435.1000000000013</v>
      </c>
      <c r="AA137" s="9">
        <f t="shared" si="38"/>
        <v>5420.2500000000009</v>
      </c>
      <c r="AB137" s="9">
        <f t="shared" si="38"/>
        <v>5420.2500000000009</v>
      </c>
      <c r="AC137" s="9">
        <f t="shared" si="38"/>
        <v>5420.2500000000009</v>
      </c>
      <c r="AD137" s="9">
        <f t="shared" si="38"/>
        <v>5435.1000000000013</v>
      </c>
      <c r="AE137" s="9">
        <f t="shared" si="38"/>
        <v>5420.2500000000009</v>
      </c>
      <c r="AF137" s="9">
        <f t="shared" si="38"/>
        <v>5420.2500000000009</v>
      </c>
    </row>
    <row r="138" spans="4:32">
      <c r="D138" t="s">
        <v>11</v>
      </c>
      <c r="E138" s="8"/>
      <c r="G138" t="s">
        <v>8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</row>
    <row r="139" spans="4:32">
      <c r="D139" t="s">
        <v>12</v>
      </c>
      <c r="E139" s="8"/>
      <c r="G139" t="s">
        <v>8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</row>
    <row r="141" spans="4:32">
      <c r="D141" s="5" t="s">
        <v>14</v>
      </c>
      <c r="E141" s="5" t="s">
        <v>7</v>
      </c>
      <c r="F141" s="5"/>
      <c r="G141" s="5"/>
      <c r="H141" s="10"/>
      <c r="I141" s="10">
        <f>INDEX(I142:I146,MATCH($E141,$D142:$D146,0))</f>
        <v>8.6999999999999994E-3</v>
      </c>
      <c r="J141" s="10">
        <f t="shared" ref="J141:AF141" si="39">INDEX(J142:J146,MATCH($E141,$D142:$D146,0))</f>
        <v>9.1000000000000004E-3</v>
      </c>
      <c r="K141" s="10">
        <f t="shared" si="39"/>
        <v>9.2999999999999992E-3</v>
      </c>
      <c r="L141" s="10">
        <f t="shared" si="39"/>
        <v>8.0999999999999996E-3</v>
      </c>
      <c r="M141" s="10">
        <f t="shared" si="39"/>
        <v>8.2000000000000007E-3</v>
      </c>
      <c r="N141" s="10">
        <f t="shared" si="39"/>
        <v>8.0999999999999996E-3</v>
      </c>
      <c r="O141" s="10">
        <f t="shared" si="39"/>
        <v>9.4999999999999998E-3</v>
      </c>
      <c r="P141" s="10">
        <f t="shared" si="39"/>
        <v>8.6E-3</v>
      </c>
      <c r="Q141" s="10">
        <f t="shared" si="39"/>
        <v>7.9000000000000008E-3</v>
      </c>
      <c r="R141" s="10">
        <f t="shared" si="39"/>
        <v>7.7999999999999996E-3</v>
      </c>
      <c r="S141" s="10">
        <f t="shared" si="39"/>
        <v>7.4999999999999997E-3</v>
      </c>
      <c r="T141" s="10">
        <f t="shared" si="39"/>
        <v>6.7999999999999996E-3</v>
      </c>
      <c r="U141" s="10">
        <f t="shared" si="39"/>
        <v>7.4000000000000003E-3</v>
      </c>
      <c r="V141" s="10">
        <f t="shared" si="39"/>
        <v>8.5000000000000006E-3</v>
      </c>
      <c r="W141" s="10">
        <f t="shared" si="39"/>
        <v>7.4000000000000003E-3</v>
      </c>
      <c r="X141" s="10">
        <f t="shared" si="39"/>
        <v>9.1999999999999998E-3</v>
      </c>
      <c r="Y141" s="10">
        <f t="shared" si="39"/>
        <v>8.6E-3</v>
      </c>
      <c r="Z141" s="10">
        <f t="shared" si="39"/>
        <v>9.1000000000000004E-3</v>
      </c>
      <c r="AA141" s="10">
        <f t="shared" si="39"/>
        <v>6.1999999999999998E-3</v>
      </c>
      <c r="AB141" s="10">
        <f t="shared" si="39"/>
        <v>6.7000000000000002E-3</v>
      </c>
      <c r="AC141" s="10">
        <f t="shared" si="39"/>
        <v>7.1000000000000004E-3</v>
      </c>
      <c r="AD141" s="10">
        <f t="shared" si="39"/>
        <v>6.4000000000000003E-3</v>
      </c>
      <c r="AE141" s="10">
        <f t="shared" si="39"/>
        <v>6.4999999999999997E-3</v>
      </c>
      <c r="AF141" s="10">
        <f t="shared" si="39"/>
        <v>6.3E-3</v>
      </c>
    </row>
    <row r="142" spans="4:32">
      <c r="D142" t="s">
        <v>7</v>
      </c>
      <c r="E142" s="6"/>
      <c r="G142" t="s">
        <v>15</v>
      </c>
      <c r="I142" s="11">
        <v>8.6999999999999994E-3</v>
      </c>
      <c r="J142" s="11">
        <v>9.1000000000000004E-3</v>
      </c>
      <c r="K142" s="11">
        <v>9.2999999999999992E-3</v>
      </c>
      <c r="L142" s="11">
        <v>8.0999999999999996E-3</v>
      </c>
      <c r="M142" s="11">
        <v>8.2000000000000007E-3</v>
      </c>
      <c r="N142" s="11">
        <v>8.0999999999999996E-3</v>
      </c>
      <c r="O142" s="11">
        <v>9.4999999999999998E-3</v>
      </c>
      <c r="P142" s="11">
        <v>8.6E-3</v>
      </c>
      <c r="Q142" s="11">
        <v>7.9000000000000008E-3</v>
      </c>
      <c r="R142" s="11">
        <v>7.7999999999999996E-3</v>
      </c>
      <c r="S142" s="11">
        <v>7.4999999999999997E-3</v>
      </c>
      <c r="T142" s="11">
        <v>6.7999999999999996E-3</v>
      </c>
      <c r="U142" s="11">
        <v>7.4000000000000003E-3</v>
      </c>
      <c r="V142" s="11">
        <v>8.5000000000000006E-3</v>
      </c>
      <c r="W142" s="11">
        <v>7.4000000000000003E-3</v>
      </c>
      <c r="X142" s="11">
        <v>9.1999999999999998E-3</v>
      </c>
      <c r="Y142" s="11">
        <v>8.6E-3</v>
      </c>
      <c r="Z142" s="11">
        <v>9.1000000000000004E-3</v>
      </c>
      <c r="AA142" s="11">
        <v>6.1999999999999998E-3</v>
      </c>
      <c r="AB142" s="11">
        <v>6.7000000000000002E-3</v>
      </c>
      <c r="AC142" s="11">
        <v>7.1000000000000004E-3</v>
      </c>
      <c r="AD142" s="11">
        <v>6.4000000000000003E-3</v>
      </c>
      <c r="AE142" s="11">
        <v>6.4999999999999997E-3</v>
      </c>
      <c r="AF142" s="11">
        <v>6.3E-3</v>
      </c>
    </row>
    <row r="143" spans="4:32">
      <c r="D143" t="s">
        <v>9</v>
      </c>
      <c r="E143" s="8">
        <v>0.1</v>
      </c>
      <c r="G143" t="s">
        <v>15</v>
      </c>
      <c r="I143" s="12">
        <f>I142*(1+$E143)</f>
        <v>9.5700000000000004E-3</v>
      </c>
      <c r="J143" s="12">
        <f t="shared" ref="J143:AF144" si="40">J142*(1+$E143)</f>
        <v>1.0010000000000002E-2</v>
      </c>
      <c r="K143" s="12">
        <f t="shared" si="40"/>
        <v>1.023E-2</v>
      </c>
      <c r="L143" s="12">
        <f t="shared" si="40"/>
        <v>8.9099999999999995E-3</v>
      </c>
      <c r="M143" s="12">
        <f t="shared" si="40"/>
        <v>9.020000000000002E-3</v>
      </c>
      <c r="N143" s="12">
        <f t="shared" si="40"/>
        <v>8.9099999999999995E-3</v>
      </c>
      <c r="O143" s="12">
        <f t="shared" si="40"/>
        <v>1.0450000000000001E-2</v>
      </c>
      <c r="P143" s="12">
        <f t="shared" si="40"/>
        <v>9.4600000000000014E-3</v>
      </c>
      <c r="Q143" s="12">
        <f t="shared" si="40"/>
        <v>8.6900000000000015E-3</v>
      </c>
      <c r="R143" s="12">
        <f t="shared" si="40"/>
        <v>8.5800000000000008E-3</v>
      </c>
      <c r="S143" s="12">
        <f t="shared" si="40"/>
        <v>8.2500000000000004E-3</v>
      </c>
      <c r="T143" s="12">
        <f t="shared" si="40"/>
        <v>7.4800000000000005E-3</v>
      </c>
      <c r="U143" s="12">
        <f t="shared" si="40"/>
        <v>8.1400000000000014E-3</v>
      </c>
      <c r="V143" s="12">
        <f t="shared" si="40"/>
        <v>9.3500000000000007E-3</v>
      </c>
      <c r="W143" s="12">
        <f t="shared" si="40"/>
        <v>8.1400000000000014E-3</v>
      </c>
      <c r="X143" s="12">
        <f t="shared" si="40"/>
        <v>1.0120000000000001E-2</v>
      </c>
      <c r="Y143" s="12">
        <f t="shared" si="40"/>
        <v>9.4600000000000014E-3</v>
      </c>
      <c r="Z143" s="12">
        <f t="shared" si="40"/>
        <v>1.0010000000000002E-2</v>
      </c>
      <c r="AA143" s="12">
        <f t="shared" si="40"/>
        <v>6.8200000000000005E-3</v>
      </c>
      <c r="AB143" s="12">
        <f t="shared" si="40"/>
        <v>7.3700000000000007E-3</v>
      </c>
      <c r="AC143" s="12">
        <f t="shared" si="40"/>
        <v>7.810000000000001E-3</v>
      </c>
      <c r="AD143" s="12">
        <f t="shared" si="40"/>
        <v>7.0400000000000011E-3</v>
      </c>
      <c r="AE143" s="12">
        <f t="shared" si="40"/>
        <v>7.1500000000000001E-3</v>
      </c>
      <c r="AF143" s="12">
        <f t="shared" si="40"/>
        <v>6.9300000000000004E-3</v>
      </c>
    </row>
    <row r="144" spans="4:32">
      <c r="D144" t="s">
        <v>10</v>
      </c>
      <c r="E144" s="8">
        <v>-0.1</v>
      </c>
      <c r="G144" t="s">
        <v>15</v>
      </c>
      <c r="I144" s="12">
        <f>I143*(1+$E144)</f>
        <v>8.6130000000000009E-3</v>
      </c>
      <c r="J144" s="12">
        <f t="shared" si="40"/>
        <v>9.0090000000000014E-3</v>
      </c>
      <c r="K144" s="12">
        <f t="shared" si="40"/>
        <v>9.2069999999999999E-3</v>
      </c>
      <c r="L144" s="12">
        <f t="shared" si="40"/>
        <v>8.0190000000000001E-3</v>
      </c>
      <c r="M144" s="12">
        <f t="shared" si="40"/>
        <v>8.118000000000002E-3</v>
      </c>
      <c r="N144" s="12">
        <f t="shared" si="40"/>
        <v>8.0190000000000001E-3</v>
      </c>
      <c r="O144" s="12">
        <f t="shared" si="40"/>
        <v>9.4050000000000019E-3</v>
      </c>
      <c r="P144" s="12">
        <f t="shared" si="40"/>
        <v>8.5140000000000007E-3</v>
      </c>
      <c r="Q144" s="12">
        <f t="shared" si="40"/>
        <v>7.8210000000000016E-3</v>
      </c>
      <c r="R144" s="12">
        <f t="shared" si="40"/>
        <v>7.7220000000000006E-3</v>
      </c>
      <c r="S144" s="12">
        <f t="shared" si="40"/>
        <v>7.4250000000000002E-3</v>
      </c>
      <c r="T144" s="12">
        <f t="shared" si="40"/>
        <v>6.732000000000001E-3</v>
      </c>
      <c r="U144" s="12">
        <f t="shared" si="40"/>
        <v>7.3260000000000018E-3</v>
      </c>
      <c r="V144" s="12">
        <f t="shared" si="40"/>
        <v>8.4150000000000006E-3</v>
      </c>
      <c r="W144" s="12">
        <f t="shared" si="40"/>
        <v>7.3260000000000018E-3</v>
      </c>
      <c r="X144" s="12">
        <f t="shared" si="40"/>
        <v>9.1080000000000015E-3</v>
      </c>
      <c r="Y144" s="12">
        <f t="shared" si="40"/>
        <v>8.5140000000000007E-3</v>
      </c>
      <c r="Z144" s="12">
        <f t="shared" si="40"/>
        <v>9.0090000000000014E-3</v>
      </c>
      <c r="AA144" s="12">
        <f t="shared" si="40"/>
        <v>6.1380000000000002E-3</v>
      </c>
      <c r="AB144" s="12">
        <f t="shared" si="40"/>
        <v>6.6330000000000009E-3</v>
      </c>
      <c r="AC144" s="12">
        <f t="shared" si="40"/>
        <v>7.0290000000000014E-3</v>
      </c>
      <c r="AD144" s="12">
        <f t="shared" si="40"/>
        <v>6.3360000000000014E-3</v>
      </c>
      <c r="AE144" s="12">
        <f t="shared" si="40"/>
        <v>6.4350000000000006E-3</v>
      </c>
      <c r="AF144" s="12">
        <f t="shared" si="40"/>
        <v>6.2370000000000004E-3</v>
      </c>
    </row>
    <row r="145" spans="4:32">
      <c r="D145" t="s">
        <v>11</v>
      </c>
      <c r="E145" s="8"/>
      <c r="G145" t="s">
        <v>15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</row>
    <row r="146" spans="4:32">
      <c r="D146" t="s">
        <v>12</v>
      </c>
      <c r="E146" s="8"/>
      <c r="G146" t="s">
        <v>15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</row>
    <row r="148" spans="4:32">
      <c r="D148" s="5" t="s">
        <v>16</v>
      </c>
      <c r="E148" s="5" t="s">
        <v>7</v>
      </c>
      <c r="F148" s="5"/>
      <c r="G148" s="5"/>
      <c r="H148" s="13"/>
      <c r="I148" s="13">
        <f>INDEX(I149:I153,MATCH($E148,$D149:$D153,0))</f>
        <v>0.2</v>
      </c>
      <c r="J148" s="13">
        <f t="shared" ref="J148:AF148" si="41">INDEX(J149:J153,MATCH($E148,$D149:$D153,0))</f>
        <v>0.2</v>
      </c>
      <c r="K148" s="13">
        <f t="shared" si="41"/>
        <v>0.2</v>
      </c>
      <c r="L148" s="13">
        <f t="shared" si="41"/>
        <v>0.19</v>
      </c>
      <c r="M148" s="13">
        <f t="shared" si="41"/>
        <v>0.22</v>
      </c>
      <c r="N148" s="13">
        <f t="shared" si="41"/>
        <v>0.19</v>
      </c>
      <c r="O148" s="13">
        <f t="shared" si="41"/>
        <v>0.2</v>
      </c>
      <c r="P148" s="13">
        <f t="shared" si="41"/>
        <v>0.19</v>
      </c>
      <c r="Q148" s="13">
        <f t="shared" si="41"/>
        <v>0.19</v>
      </c>
      <c r="R148" s="13">
        <f t="shared" si="41"/>
        <v>0.19</v>
      </c>
      <c r="S148" s="13">
        <f t="shared" si="41"/>
        <v>0.17</v>
      </c>
      <c r="T148" s="13">
        <f t="shared" si="41"/>
        <v>0.16</v>
      </c>
      <c r="U148" s="13">
        <f t="shared" si="41"/>
        <v>0.17</v>
      </c>
      <c r="V148" s="13">
        <f t="shared" si="41"/>
        <v>0.18</v>
      </c>
      <c r="W148" s="13">
        <f t="shared" si="41"/>
        <v>0.16</v>
      </c>
      <c r="X148" s="13">
        <f t="shared" si="41"/>
        <v>0.19</v>
      </c>
      <c r="Y148" s="13">
        <f t="shared" si="41"/>
        <v>0.18</v>
      </c>
      <c r="Z148" s="13">
        <f t="shared" si="41"/>
        <v>0.21</v>
      </c>
      <c r="AA148" s="13">
        <f t="shared" si="41"/>
        <v>0.15</v>
      </c>
      <c r="AB148" s="13">
        <f t="shared" si="41"/>
        <v>0.16</v>
      </c>
      <c r="AC148" s="13">
        <f t="shared" si="41"/>
        <v>0.16</v>
      </c>
      <c r="AD148" s="13">
        <f t="shared" si="41"/>
        <v>0.15</v>
      </c>
      <c r="AE148" s="13">
        <f t="shared" si="41"/>
        <v>0.15</v>
      </c>
      <c r="AF148" s="13">
        <f t="shared" si="41"/>
        <v>0.15</v>
      </c>
    </row>
    <row r="149" spans="4:32">
      <c r="D149" t="s">
        <v>7</v>
      </c>
      <c r="E149" s="6"/>
      <c r="G149" t="s">
        <v>17</v>
      </c>
      <c r="I149" s="14">
        <v>0.2</v>
      </c>
      <c r="J149" s="14">
        <v>0.2</v>
      </c>
      <c r="K149" s="14">
        <v>0.2</v>
      </c>
      <c r="L149" s="14">
        <v>0.19</v>
      </c>
      <c r="M149" s="14">
        <v>0.22</v>
      </c>
      <c r="N149" s="14">
        <v>0.19</v>
      </c>
      <c r="O149" s="14">
        <v>0.2</v>
      </c>
      <c r="P149" s="14">
        <v>0.19</v>
      </c>
      <c r="Q149" s="14">
        <v>0.19</v>
      </c>
      <c r="R149" s="14">
        <v>0.19</v>
      </c>
      <c r="S149" s="14">
        <v>0.17</v>
      </c>
      <c r="T149" s="14">
        <v>0.16</v>
      </c>
      <c r="U149" s="14">
        <v>0.17</v>
      </c>
      <c r="V149" s="14">
        <v>0.18</v>
      </c>
      <c r="W149" s="14">
        <v>0.16</v>
      </c>
      <c r="X149" s="14">
        <v>0.19</v>
      </c>
      <c r="Y149" s="14">
        <v>0.18</v>
      </c>
      <c r="Z149" s="14">
        <v>0.21</v>
      </c>
      <c r="AA149" s="14">
        <v>0.15</v>
      </c>
      <c r="AB149" s="14">
        <v>0.16</v>
      </c>
      <c r="AC149" s="14">
        <v>0.16</v>
      </c>
      <c r="AD149" s="14">
        <v>0.15</v>
      </c>
      <c r="AE149" s="14">
        <v>0.15</v>
      </c>
      <c r="AF149" s="14">
        <v>0.15</v>
      </c>
    </row>
    <row r="150" spans="4:32">
      <c r="D150" t="s">
        <v>9</v>
      </c>
      <c r="E150" s="8">
        <v>0.1</v>
      </c>
      <c r="G150" t="s">
        <v>17</v>
      </c>
      <c r="I150" s="15">
        <f>I149*(1+$E150)</f>
        <v>0.22000000000000003</v>
      </c>
      <c r="J150" s="15">
        <f t="shared" ref="J150:AF151" si="42">J149*(1+$E150)</f>
        <v>0.22000000000000003</v>
      </c>
      <c r="K150" s="15">
        <f t="shared" si="42"/>
        <v>0.22000000000000003</v>
      </c>
      <c r="L150" s="15">
        <f t="shared" si="42"/>
        <v>0.20900000000000002</v>
      </c>
      <c r="M150" s="15">
        <f t="shared" si="42"/>
        <v>0.24200000000000002</v>
      </c>
      <c r="N150" s="15">
        <f t="shared" si="42"/>
        <v>0.20900000000000002</v>
      </c>
      <c r="O150" s="15">
        <f t="shared" si="42"/>
        <v>0.22000000000000003</v>
      </c>
      <c r="P150" s="15">
        <f t="shared" si="42"/>
        <v>0.20900000000000002</v>
      </c>
      <c r="Q150" s="15">
        <f t="shared" si="42"/>
        <v>0.20900000000000002</v>
      </c>
      <c r="R150" s="15">
        <f t="shared" si="42"/>
        <v>0.20900000000000002</v>
      </c>
      <c r="S150" s="15">
        <f t="shared" si="42"/>
        <v>0.18700000000000003</v>
      </c>
      <c r="T150" s="15">
        <f t="shared" si="42"/>
        <v>0.17600000000000002</v>
      </c>
      <c r="U150" s="15">
        <f t="shared" si="42"/>
        <v>0.18700000000000003</v>
      </c>
      <c r="V150" s="15">
        <f t="shared" si="42"/>
        <v>0.19800000000000001</v>
      </c>
      <c r="W150" s="15">
        <f t="shared" si="42"/>
        <v>0.17600000000000002</v>
      </c>
      <c r="X150" s="15">
        <f t="shared" si="42"/>
        <v>0.20900000000000002</v>
      </c>
      <c r="Y150" s="15">
        <f t="shared" si="42"/>
        <v>0.19800000000000001</v>
      </c>
      <c r="Z150" s="15">
        <f t="shared" si="42"/>
        <v>0.23100000000000001</v>
      </c>
      <c r="AA150" s="15">
        <f t="shared" si="42"/>
        <v>0.16500000000000001</v>
      </c>
      <c r="AB150" s="15">
        <f t="shared" si="42"/>
        <v>0.17600000000000002</v>
      </c>
      <c r="AC150" s="15">
        <f t="shared" si="42"/>
        <v>0.17600000000000002</v>
      </c>
      <c r="AD150" s="15">
        <f t="shared" si="42"/>
        <v>0.16500000000000001</v>
      </c>
      <c r="AE150" s="15">
        <f t="shared" si="42"/>
        <v>0.16500000000000001</v>
      </c>
      <c r="AF150" s="15">
        <f t="shared" si="42"/>
        <v>0.16500000000000001</v>
      </c>
    </row>
    <row r="151" spans="4:32">
      <c r="D151" t="s">
        <v>10</v>
      </c>
      <c r="E151" s="8">
        <v>-0.1</v>
      </c>
      <c r="G151" t="s">
        <v>17</v>
      </c>
      <c r="I151" s="15">
        <f>I150*(1+$E151)</f>
        <v>0.19800000000000004</v>
      </c>
      <c r="J151" s="15">
        <f t="shared" si="42"/>
        <v>0.19800000000000004</v>
      </c>
      <c r="K151" s="15">
        <f t="shared" si="42"/>
        <v>0.19800000000000004</v>
      </c>
      <c r="L151" s="15">
        <f t="shared" si="42"/>
        <v>0.18810000000000002</v>
      </c>
      <c r="M151" s="15">
        <f t="shared" si="42"/>
        <v>0.21780000000000002</v>
      </c>
      <c r="N151" s="15">
        <f t="shared" si="42"/>
        <v>0.18810000000000002</v>
      </c>
      <c r="O151" s="15">
        <f t="shared" si="42"/>
        <v>0.19800000000000004</v>
      </c>
      <c r="P151" s="15">
        <f t="shared" si="42"/>
        <v>0.18810000000000002</v>
      </c>
      <c r="Q151" s="15">
        <f t="shared" si="42"/>
        <v>0.18810000000000002</v>
      </c>
      <c r="R151" s="15">
        <f t="shared" si="42"/>
        <v>0.18810000000000002</v>
      </c>
      <c r="S151" s="15">
        <f t="shared" si="42"/>
        <v>0.16830000000000003</v>
      </c>
      <c r="T151" s="15">
        <f t="shared" si="42"/>
        <v>0.15840000000000001</v>
      </c>
      <c r="U151" s="15">
        <f t="shared" si="42"/>
        <v>0.16830000000000003</v>
      </c>
      <c r="V151" s="15">
        <f t="shared" si="42"/>
        <v>0.17820000000000003</v>
      </c>
      <c r="W151" s="15">
        <f t="shared" si="42"/>
        <v>0.15840000000000001</v>
      </c>
      <c r="X151" s="15">
        <f t="shared" si="42"/>
        <v>0.18810000000000002</v>
      </c>
      <c r="Y151" s="15">
        <f t="shared" si="42"/>
        <v>0.17820000000000003</v>
      </c>
      <c r="Z151" s="15">
        <f t="shared" si="42"/>
        <v>0.2079</v>
      </c>
      <c r="AA151" s="15">
        <f t="shared" si="42"/>
        <v>0.14850000000000002</v>
      </c>
      <c r="AB151" s="15">
        <f t="shared" si="42"/>
        <v>0.15840000000000001</v>
      </c>
      <c r="AC151" s="15">
        <f t="shared" si="42"/>
        <v>0.15840000000000001</v>
      </c>
      <c r="AD151" s="15">
        <f t="shared" si="42"/>
        <v>0.14850000000000002</v>
      </c>
      <c r="AE151" s="15">
        <f t="shared" si="42"/>
        <v>0.14850000000000002</v>
      </c>
      <c r="AF151" s="15">
        <f t="shared" si="42"/>
        <v>0.14850000000000002</v>
      </c>
    </row>
    <row r="152" spans="4:32">
      <c r="D152" t="s">
        <v>11</v>
      </c>
      <c r="E152" s="8"/>
      <c r="G152" t="s">
        <v>17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</row>
    <row r="153" spans="4:32">
      <c r="D153" t="s">
        <v>12</v>
      </c>
      <c r="E153" s="8"/>
      <c r="G153" t="s">
        <v>17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</row>
    <row r="155" spans="4:32">
      <c r="D155" s="5" t="s">
        <v>18</v>
      </c>
      <c r="E155" s="5" t="s">
        <v>7</v>
      </c>
      <c r="F155" s="5"/>
      <c r="G155" s="5"/>
      <c r="H155" s="13"/>
      <c r="I155" s="13">
        <f>INDEX(I156:I160,MATCH($E155,$D156:$D160,0))</f>
        <v>3.69</v>
      </c>
      <c r="J155" s="13">
        <f t="shared" ref="J155:AF155" si="43">INDEX(J156:J160,MATCH($E155,$D156:$D160,0))</f>
        <v>3.34</v>
      </c>
      <c r="K155" s="13">
        <f t="shared" si="43"/>
        <v>2.78</v>
      </c>
      <c r="L155" s="13">
        <f t="shared" si="43"/>
        <v>3</v>
      </c>
      <c r="M155" s="13">
        <f t="shared" si="43"/>
        <v>2.66</v>
      </c>
      <c r="N155" s="13">
        <f t="shared" si="43"/>
        <v>2.86</v>
      </c>
      <c r="O155" s="13">
        <f t="shared" si="43"/>
        <v>4.37</v>
      </c>
      <c r="P155" s="13">
        <f t="shared" si="43"/>
        <v>3.68</v>
      </c>
      <c r="Q155" s="13">
        <f t="shared" si="43"/>
        <v>3.39</v>
      </c>
      <c r="R155" s="13">
        <f t="shared" si="43"/>
        <v>3.46</v>
      </c>
      <c r="S155" s="13">
        <f t="shared" si="43"/>
        <v>2.79</v>
      </c>
      <c r="T155" s="13">
        <f t="shared" si="43"/>
        <v>2.14</v>
      </c>
      <c r="U155" s="13">
        <f t="shared" si="43"/>
        <v>2.96</v>
      </c>
      <c r="V155" s="13">
        <f t="shared" si="43"/>
        <v>4.28</v>
      </c>
      <c r="W155" s="13">
        <f t="shared" si="43"/>
        <v>3.53</v>
      </c>
      <c r="X155" s="13">
        <f t="shared" si="43"/>
        <v>3.08</v>
      </c>
      <c r="Y155" s="13">
        <f t="shared" si="43"/>
        <v>3</v>
      </c>
      <c r="Z155" s="13">
        <f t="shared" si="43"/>
        <v>3.13</v>
      </c>
      <c r="AA155" s="13">
        <f t="shared" si="43"/>
        <v>2.92</v>
      </c>
      <c r="AB155" s="13">
        <f t="shared" si="43"/>
        <v>3.18</v>
      </c>
      <c r="AC155" s="13">
        <f t="shared" si="43"/>
        <v>3.64</v>
      </c>
      <c r="AD155" s="13">
        <f t="shared" si="43"/>
        <v>3.05</v>
      </c>
      <c r="AE155" s="13">
        <f t="shared" si="43"/>
        <v>3.23</v>
      </c>
      <c r="AF155" s="13">
        <f t="shared" si="43"/>
        <v>2.72</v>
      </c>
    </row>
    <row r="156" spans="4:32">
      <c r="D156" t="s">
        <v>7</v>
      </c>
      <c r="E156" s="6"/>
      <c r="G156" t="s">
        <v>19</v>
      </c>
      <c r="I156" s="14">
        <v>3.69</v>
      </c>
      <c r="J156" s="14">
        <v>3.34</v>
      </c>
      <c r="K156" s="14">
        <v>2.78</v>
      </c>
      <c r="L156" s="14">
        <v>3</v>
      </c>
      <c r="M156" s="14">
        <v>2.66</v>
      </c>
      <c r="N156" s="14">
        <v>2.86</v>
      </c>
      <c r="O156" s="14">
        <v>4.37</v>
      </c>
      <c r="P156" s="14">
        <v>3.68</v>
      </c>
      <c r="Q156" s="14">
        <v>3.39</v>
      </c>
      <c r="R156" s="14">
        <v>3.46</v>
      </c>
      <c r="S156" s="14">
        <v>2.79</v>
      </c>
      <c r="T156" s="14">
        <v>2.14</v>
      </c>
      <c r="U156" s="14">
        <v>2.96</v>
      </c>
      <c r="V156" s="14">
        <v>4.28</v>
      </c>
      <c r="W156" s="14">
        <v>3.53</v>
      </c>
      <c r="X156" s="14">
        <v>3.08</v>
      </c>
      <c r="Y156" s="14">
        <v>3</v>
      </c>
      <c r="Z156" s="14">
        <v>3.13</v>
      </c>
      <c r="AA156" s="14">
        <v>2.92</v>
      </c>
      <c r="AB156" s="14">
        <v>3.18</v>
      </c>
      <c r="AC156" s="14">
        <v>3.64</v>
      </c>
      <c r="AD156" s="14">
        <v>3.05</v>
      </c>
      <c r="AE156" s="14">
        <v>3.23</v>
      </c>
      <c r="AF156" s="14">
        <v>2.72</v>
      </c>
    </row>
    <row r="157" spans="4:32">
      <c r="D157" t="s">
        <v>9</v>
      </c>
      <c r="E157" s="8">
        <v>0.1</v>
      </c>
      <c r="G157" t="s">
        <v>19</v>
      </c>
      <c r="I157" s="15">
        <f>I156*(1+$E157)</f>
        <v>4.0590000000000002</v>
      </c>
      <c r="J157" s="15">
        <f t="shared" ref="J157:AF158" si="44">J156*(1+$E157)</f>
        <v>3.6739999999999999</v>
      </c>
      <c r="K157" s="15">
        <f t="shared" si="44"/>
        <v>3.0579999999999998</v>
      </c>
      <c r="L157" s="15">
        <f t="shared" si="44"/>
        <v>3.3000000000000003</v>
      </c>
      <c r="M157" s="15">
        <f t="shared" si="44"/>
        <v>2.9260000000000006</v>
      </c>
      <c r="N157" s="15">
        <f t="shared" si="44"/>
        <v>3.1459999999999999</v>
      </c>
      <c r="O157" s="15">
        <f t="shared" si="44"/>
        <v>4.8070000000000004</v>
      </c>
      <c r="P157" s="15">
        <f t="shared" si="44"/>
        <v>4.0480000000000009</v>
      </c>
      <c r="Q157" s="15">
        <f t="shared" si="44"/>
        <v>3.7290000000000005</v>
      </c>
      <c r="R157" s="15">
        <f t="shared" si="44"/>
        <v>3.806</v>
      </c>
      <c r="S157" s="15">
        <f t="shared" si="44"/>
        <v>3.0690000000000004</v>
      </c>
      <c r="T157" s="15">
        <f t="shared" si="44"/>
        <v>2.3540000000000005</v>
      </c>
      <c r="U157" s="15">
        <f t="shared" si="44"/>
        <v>3.2560000000000002</v>
      </c>
      <c r="V157" s="15">
        <f t="shared" si="44"/>
        <v>4.7080000000000011</v>
      </c>
      <c r="W157" s="15">
        <f t="shared" si="44"/>
        <v>3.883</v>
      </c>
      <c r="X157" s="15">
        <f t="shared" si="44"/>
        <v>3.3880000000000003</v>
      </c>
      <c r="Y157" s="15">
        <f t="shared" si="44"/>
        <v>3.3000000000000003</v>
      </c>
      <c r="Z157" s="15">
        <f t="shared" si="44"/>
        <v>3.4430000000000001</v>
      </c>
      <c r="AA157" s="15">
        <f t="shared" si="44"/>
        <v>3.2120000000000002</v>
      </c>
      <c r="AB157" s="15">
        <f t="shared" si="44"/>
        <v>3.4980000000000007</v>
      </c>
      <c r="AC157" s="15">
        <f t="shared" si="44"/>
        <v>4.0040000000000004</v>
      </c>
      <c r="AD157" s="15">
        <f t="shared" si="44"/>
        <v>3.355</v>
      </c>
      <c r="AE157" s="15">
        <f t="shared" si="44"/>
        <v>3.5530000000000004</v>
      </c>
      <c r="AF157" s="15">
        <f t="shared" si="44"/>
        <v>2.9920000000000004</v>
      </c>
    </row>
    <row r="158" spans="4:32">
      <c r="D158" t="s">
        <v>10</v>
      </c>
      <c r="E158" s="8">
        <v>-0.1</v>
      </c>
      <c r="G158" t="s">
        <v>19</v>
      </c>
      <c r="I158" s="15">
        <f>I157*(1+$E158)</f>
        <v>3.6531000000000002</v>
      </c>
      <c r="J158" s="15">
        <f t="shared" si="44"/>
        <v>3.3066</v>
      </c>
      <c r="K158" s="15">
        <f t="shared" si="44"/>
        <v>2.7521999999999998</v>
      </c>
      <c r="L158" s="15">
        <f t="shared" si="44"/>
        <v>2.97</v>
      </c>
      <c r="M158" s="15">
        <f t="shared" si="44"/>
        <v>2.6334000000000004</v>
      </c>
      <c r="N158" s="15">
        <f t="shared" si="44"/>
        <v>2.8313999999999999</v>
      </c>
      <c r="O158" s="15">
        <f t="shared" si="44"/>
        <v>4.3263000000000007</v>
      </c>
      <c r="P158" s="15">
        <f t="shared" si="44"/>
        <v>3.6432000000000011</v>
      </c>
      <c r="Q158" s="15">
        <f t="shared" si="44"/>
        <v>3.3561000000000005</v>
      </c>
      <c r="R158" s="15">
        <f t="shared" si="44"/>
        <v>3.4254000000000002</v>
      </c>
      <c r="S158" s="15">
        <f t="shared" si="44"/>
        <v>2.7621000000000002</v>
      </c>
      <c r="T158" s="15">
        <f t="shared" si="44"/>
        <v>2.1186000000000007</v>
      </c>
      <c r="U158" s="15">
        <f t="shared" si="44"/>
        <v>2.9304000000000001</v>
      </c>
      <c r="V158" s="15">
        <f t="shared" si="44"/>
        <v>4.2372000000000014</v>
      </c>
      <c r="W158" s="15">
        <f t="shared" si="44"/>
        <v>3.4946999999999999</v>
      </c>
      <c r="X158" s="15">
        <f t="shared" si="44"/>
        <v>3.0492000000000004</v>
      </c>
      <c r="Y158" s="15">
        <f t="shared" si="44"/>
        <v>2.97</v>
      </c>
      <c r="Z158" s="15">
        <f t="shared" si="44"/>
        <v>3.0987</v>
      </c>
      <c r="AA158" s="15">
        <f t="shared" si="44"/>
        <v>2.8908</v>
      </c>
      <c r="AB158" s="15">
        <f t="shared" si="44"/>
        <v>3.1482000000000006</v>
      </c>
      <c r="AC158" s="15">
        <f t="shared" si="44"/>
        <v>3.6036000000000006</v>
      </c>
      <c r="AD158" s="15">
        <f t="shared" si="44"/>
        <v>3.0194999999999999</v>
      </c>
      <c r="AE158" s="15">
        <f t="shared" si="44"/>
        <v>3.1977000000000002</v>
      </c>
      <c r="AF158" s="15">
        <f t="shared" si="44"/>
        <v>2.6928000000000005</v>
      </c>
    </row>
    <row r="159" spans="4:32">
      <c r="D159" t="s">
        <v>11</v>
      </c>
      <c r="E159" s="8"/>
      <c r="G159" t="s">
        <v>19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</row>
    <row r="160" spans="4:32">
      <c r="D160" t="s">
        <v>12</v>
      </c>
      <c r="E160" s="8"/>
      <c r="G160" t="s">
        <v>19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</row>
    <row r="162" spans="4:32">
      <c r="D162" s="4" t="s">
        <v>29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4:32">
      <c r="D163" s="5" t="s">
        <v>13</v>
      </c>
      <c r="E163" s="5" t="s">
        <v>7</v>
      </c>
      <c r="F163" s="5"/>
      <c r="G163" s="5"/>
      <c r="H163" s="5"/>
      <c r="I163" s="5">
        <f t="shared" ref="I163:AF163" si="45">INDEX(I164:I168,MATCH($E163,$D164:$D168,0))</f>
        <v>511</v>
      </c>
      <c r="J163" s="5">
        <f t="shared" si="45"/>
        <v>512</v>
      </c>
      <c r="K163" s="5">
        <f t="shared" si="45"/>
        <v>511</v>
      </c>
      <c r="L163" s="5">
        <f t="shared" si="45"/>
        <v>0</v>
      </c>
      <c r="M163" s="5">
        <f t="shared" si="45"/>
        <v>0</v>
      </c>
      <c r="N163" s="5">
        <f t="shared" si="45"/>
        <v>0</v>
      </c>
      <c r="O163" s="5">
        <f t="shared" si="45"/>
        <v>0</v>
      </c>
      <c r="P163" s="5">
        <f t="shared" si="45"/>
        <v>0</v>
      </c>
      <c r="Q163" s="5">
        <f t="shared" si="45"/>
        <v>0</v>
      </c>
      <c r="R163" s="5">
        <f t="shared" si="45"/>
        <v>0</v>
      </c>
      <c r="S163" s="5">
        <f t="shared" si="45"/>
        <v>0</v>
      </c>
      <c r="T163" s="5">
        <f t="shared" si="45"/>
        <v>0</v>
      </c>
      <c r="U163" s="5">
        <f t="shared" si="45"/>
        <v>0</v>
      </c>
      <c r="V163" s="5">
        <f t="shared" si="45"/>
        <v>0</v>
      </c>
      <c r="W163" s="5">
        <f t="shared" si="45"/>
        <v>0</v>
      </c>
      <c r="X163" s="5">
        <f t="shared" si="45"/>
        <v>0</v>
      </c>
      <c r="Y163" s="5">
        <f t="shared" si="45"/>
        <v>0</v>
      </c>
      <c r="Z163" s="5">
        <f t="shared" si="45"/>
        <v>0</v>
      </c>
      <c r="AA163" s="5">
        <f t="shared" si="45"/>
        <v>0</v>
      </c>
      <c r="AB163" s="5">
        <f t="shared" si="45"/>
        <v>0</v>
      </c>
      <c r="AC163" s="5">
        <f t="shared" si="45"/>
        <v>0</v>
      </c>
      <c r="AD163" s="5">
        <f t="shared" si="45"/>
        <v>0</v>
      </c>
      <c r="AE163" s="5">
        <f t="shared" si="45"/>
        <v>0</v>
      </c>
      <c r="AF163" s="5">
        <f t="shared" si="45"/>
        <v>0</v>
      </c>
    </row>
    <row r="164" spans="4:32">
      <c r="D164" t="s">
        <v>7</v>
      </c>
      <c r="E164" s="6"/>
      <c r="G164" t="s">
        <v>8</v>
      </c>
      <c r="I164" s="7">
        <v>511</v>
      </c>
      <c r="J164" s="7">
        <v>512</v>
      </c>
      <c r="K164" s="7">
        <v>511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</row>
    <row r="165" spans="4:32">
      <c r="D165" t="s">
        <v>9</v>
      </c>
      <c r="E165" s="8">
        <v>0.1</v>
      </c>
      <c r="G165" t="s">
        <v>8</v>
      </c>
      <c r="I165" s="9">
        <f t="shared" ref="I165:AF166" si="46">I164*(1+$E165)</f>
        <v>562.1</v>
      </c>
      <c r="J165" s="9">
        <f t="shared" si="46"/>
        <v>563.20000000000005</v>
      </c>
      <c r="K165" s="9">
        <f t="shared" si="46"/>
        <v>562.1</v>
      </c>
      <c r="L165" s="9">
        <f t="shared" si="46"/>
        <v>0</v>
      </c>
      <c r="M165" s="9">
        <f t="shared" si="46"/>
        <v>0</v>
      </c>
      <c r="N165" s="9">
        <f t="shared" si="46"/>
        <v>0</v>
      </c>
      <c r="O165" s="9">
        <f t="shared" si="46"/>
        <v>0</v>
      </c>
      <c r="P165" s="9">
        <f t="shared" si="46"/>
        <v>0</v>
      </c>
      <c r="Q165" s="9">
        <f t="shared" si="46"/>
        <v>0</v>
      </c>
      <c r="R165" s="9">
        <f t="shared" si="46"/>
        <v>0</v>
      </c>
      <c r="S165" s="9">
        <f t="shared" si="46"/>
        <v>0</v>
      </c>
      <c r="T165" s="9">
        <f t="shared" si="46"/>
        <v>0</v>
      </c>
      <c r="U165" s="9">
        <f t="shared" si="46"/>
        <v>0</v>
      </c>
      <c r="V165" s="9">
        <f t="shared" si="46"/>
        <v>0</v>
      </c>
      <c r="W165" s="9">
        <f t="shared" si="46"/>
        <v>0</v>
      </c>
      <c r="X165" s="9">
        <f t="shared" si="46"/>
        <v>0</v>
      </c>
      <c r="Y165" s="9">
        <f t="shared" si="46"/>
        <v>0</v>
      </c>
      <c r="Z165" s="9">
        <f t="shared" si="46"/>
        <v>0</v>
      </c>
      <c r="AA165" s="9">
        <f t="shared" si="46"/>
        <v>0</v>
      </c>
      <c r="AB165" s="9">
        <f t="shared" si="46"/>
        <v>0</v>
      </c>
      <c r="AC165" s="9">
        <f t="shared" si="46"/>
        <v>0</v>
      </c>
      <c r="AD165" s="9">
        <f t="shared" si="46"/>
        <v>0</v>
      </c>
      <c r="AE165" s="9">
        <f t="shared" si="46"/>
        <v>0</v>
      </c>
      <c r="AF165" s="9">
        <f t="shared" si="46"/>
        <v>0</v>
      </c>
    </row>
    <row r="166" spans="4:32">
      <c r="D166" t="s">
        <v>10</v>
      </c>
      <c r="E166" s="8">
        <v>-0.1</v>
      </c>
      <c r="G166" t="s">
        <v>8</v>
      </c>
      <c r="I166" s="9">
        <f t="shared" si="46"/>
        <v>505.89000000000004</v>
      </c>
      <c r="J166" s="9">
        <f t="shared" si="46"/>
        <v>506.88000000000005</v>
      </c>
      <c r="K166" s="9">
        <f t="shared" si="46"/>
        <v>505.89000000000004</v>
      </c>
      <c r="L166" s="9">
        <f t="shared" si="46"/>
        <v>0</v>
      </c>
      <c r="M166" s="9">
        <f t="shared" si="46"/>
        <v>0</v>
      </c>
      <c r="N166" s="9">
        <f t="shared" si="46"/>
        <v>0</v>
      </c>
      <c r="O166" s="9">
        <f t="shared" si="46"/>
        <v>0</v>
      </c>
      <c r="P166" s="9">
        <f t="shared" si="46"/>
        <v>0</v>
      </c>
      <c r="Q166" s="9">
        <f t="shared" si="46"/>
        <v>0</v>
      </c>
      <c r="R166" s="9">
        <f t="shared" si="46"/>
        <v>0</v>
      </c>
      <c r="S166" s="9">
        <f t="shared" si="46"/>
        <v>0</v>
      </c>
      <c r="T166" s="9">
        <f t="shared" si="46"/>
        <v>0</v>
      </c>
      <c r="U166" s="9">
        <f t="shared" si="46"/>
        <v>0</v>
      </c>
      <c r="V166" s="9">
        <f t="shared" si="46"/>
        <v>0</v>
      </c>
      <c r="W166" s="9">
        <f t="shared" si="46"/>
        <v>0</v>
      </c>
      <c r="X166" s="9">
        <f t="shared" si="46"/>
        <v>0</v>
      </c>
      <c r="Y166" s="9">
        <f t="shared" si="46"/>
        <v>0</v>
      </c>
      <c r="Z166" s="9">
        <f t="shared" si="46"/>
        <v>0</v>
      </c>
      <c r="AA166" s="9">
        <f t="shared" si="46"/>
        <v>0</v>
      </c>
      <c r="AB166" s="9">
        <f t="shared" si="46"/>
        <v>0</v>
      </c>
      <c r="AC166" s="9">
        <f t="shared" si="46"/>
        <v>0</v>
      </c>
      <c r="AD166" s="9">
        <f t="shared" si="46"/>
        <v>0</v>
      </c>
      <c r="AE166" s="9">
        <f t="shared" si="46"/>
        <v>0</v>
      </c>
      <c r="AF166" s="9">
        <f t="shared" si="46"/>
        <v>0</v>
      </c>
    </row>
    <row r="167" spans="4:32">
      <c r="D167" t="s">
        <v>11</v>
      </c>
      <c r="E167" s="8"/>
      <c r="G167" t="s">
        <v>8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</row>
    <row r="168" spans="4:32">
      <c r="D168" t="s">
        <v>12</v>
      </c>
      <c r="E168" s="8"/>
      <c r="G168" t="s">
        <v>8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</row>
    <row r="170" spans="4:32">
      <c r="D170" s="5" t="s">
        <v>14</v>
      </c>
      <c r="E170" s="5" t="s">
        <v>7</v>
      </c>
      <c r="F170" s="5"/>
      <c r="G170" s="5"/>
      <c r="H170" s="10"/>
      <c r="I170" s="10">
        <f>INDEX(I171:I175,MATCH($E170,$D171:$D175,0))</f>
        <v>8.5000000000000006E-3</v>
      </c>
      <c r="J170" s="10">
        <f t="shared" ref="J170:AF170" si="47">INDEX(J171:J175,MATCH($E170,$D171:$D175,0))</f>
        <v>8.3000000000000001E-3</v>
      </c>
      <c r="K170" s="10">
        <f t="shared" si="47"/>
        <v>8.8000000000000005E-3</v>
      </c>
      <c r="L170" s="10">
        <f t="shared" si="47"/>
        <v>0</v>
      </c>
      <c r="M170" s="10">
        <f t="shared" si="47"/>
        <v>0</v>
      </c>
      <c r="N170" s="10">
        <f t="shared" si="47"/>
        <v>0</v>
      </c>
      <c r="O170" s="10">
        <f t="shared" si="47"/>
        <v>0</v>
      </c>
      <c r="P170" s="10">
        <f t="shared" si="47"/>
        <v>0</v>
      </c>
      <c r="Q170" s="10">
        <f t="shared" si="47"/>
        <v>0</v>
      </c>
      <c r="R170" s="10">
        <f t="shared" si="47"/>
        <v>0</v>
      </c>
      <c r="S170" s="10">
        <f t="shared" si="47"/>
        <v>0</v>
      </c>
      <c r="T170" s="10">
        <f t="shared" si="47"/>
        <v>0</v>
      </c>
      <c r="U170" s="10">
        <f t="shared" si="47"/>
        <v>0</v>
      </c>
      <c r="V170" s="10">
        <f t="shared" si="47"/>
        <v>0</v>
      </c>
      <c r="W170" s="10">
        <f t="shared" si="47"/>
        <v>0</v>
      </c>
      <c r="X170" s="10">
        <f t="shared" si="47"/>
        <v>0</v>
      </c>
      <c r="Y170" s="10">
        <f t="shared" si="47"/>
        <v>0</v>
      </c>
      <c r="Z170" s="10">
        <f t="shared" si="47"/>
        <v>0</v>
      </c>
      <c r="AA170" s="10">
        <f t="shared" si="47"/>
        <v>0</v>
      </c>
      <c r="AB170" s="10">
        <f t="shared" si="47"/>
        <v>0</v>
      </c>
      <c r="AC170" s="10">
        <f t="shared" si="47"/>
        <v>0</v>
      </c>
      <c r="AD170" s="10">
        <f t="shared" si="47"/>
        <v>0</v>
      </c>
      <c r="AE170" s="10">
        <f t="shared" si="47"/>
        <v>0</v>
      </c>
      <c r="AF170" s="10">
        <f t="shared" si="47"/>
        <v>0</v>
      </c>
    </row>
    <row r="171" spans="4:32">
      <c r="D171" t="s">
        <v>7</v>
      </c>
      <c r="E171" s="6"/>
      <c r="G171" t="s">
        <v>15</v>
      </c>
      <c r="I171" s="11">
        <v>8.5000000000000006E-3</v>
      </c>
      <c r="J171" s="11">
        <v>8.3000000000000001E-3</v>
      </c>
      <c r="K171" s="11">
        <v>8.8000000000000005E-3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</row>
    <row r="172" spans="4:32">
      <c r="D172" t="s">
        <v>9</v>
      </c>
      <c r="E172" s="8">
        <v>0.1</v>
      </c>
      <c r="G172" t="s">
        <v>15</v>
      </c>
      <c r="I172" s="12">
        <f>I171*(1+$E172)</f>
        <v>9.3500000000000007E-3</v>
      </c>
      <c r="J172" s="12">
        <f t="shared" ref="J172:AF173" si="48">J171*(1+$E172)</f>
        <v>9.130000000000001E-3</v>
      </c>
      <c r="K172" s="12">
        <f t="shared" si="48"/>
        <v>9.6800000000000011E-3</v>
      </c>
      <c r="L172" s="12">
        <f t="shared" si="48"/>
        <v>0</v>
      </c>
      <c r="M172" s="12">
        <f t="shared" si="48"/>
        <v>0</v>
      </c>
      <c r="N172" s="12">
        <f t="shared" si="48"/>
        <v>0</v>
      </c>
      <c r="O172" s="12">
        <f t="shared" si="48"/>
        <v>0</v>
      </c>
      <c r="P172" s="12">
        <f t="shared" si="48"/>
        <v>0</v>
      </c>
      <c r="Q172" s="12">
        <f t="shared" si="48"/>
        <v>0</v>
      </c>
      <c r="R172" s="12">
        <f t="shared" si="48"/>
        <v>0</v>
      </c>
      <c r="S172" s="12">
        <f t="shared" si="48"/>
        <v>0</v>
      </c>
      <c r="T172" s="12">
        <f t="shared" si="48"/>
        <v>0</v>
      </c>
      <c r="U172" s="12">
        <f t="shared" si="48"/>
        <v>0</v>
      </c>
      <c r="V172" s="12">
        <f t="shared" si="48"/>
        <v>0</v>
      </c>
      <c r="W172" s="12">
        <f t="shared" si="48"/>
        <v>0</v>
      </c>
      <c r="X172" s="12">
        <f t="shared" si="48"/>
        <v>0</v>
      </c>
      <c r="Y172" s="12">
        <f t="shared" si="48"/>
        <v>0</v>
      </c>
      <c r="Z172" s="12">
        <f t="shared" si="48"/>
        <v>0</v>
      </c>
      <c r="AA172" s="12">
        <f t="shared" si="48"/>
        <v>0</v>
      </c>
      <c r="AB172" s="12">
        <f t="shared" si="48"/>
        <v>0</v>
      </c>
      <c r="AC172" s="12">
        <f t="shared" si="48"/>
        <v>0</v>
      </c>
      <c r="AD172" s="12">
        <f t="shared" si="48"/>
        <v>0</v>
      </c>
      <c r="AE172" s="12">
        <f t="shared" si="48"/>
        <v>0</v>
      </c>
      <c r="AF172" s="12">
        <f t="shared" si="48"/>
        <v>0</v>
      </c>
    </row>
    <row r="173" spans="4:32">
      <c r="D173" t="s">
        <v>10</v>
      </c>
      <c r="E173" s="8">
        <v>-0.1</v>
      </c>
      <c r="G173" t="s">
        <v>15</v>
      </c>
      <c r="I173" s="12">
        <f>I172*(1+$E173)</f>
        <v>8.4150000000000006E-3</v>
      </c>
      <c r="J173" s="12">
        <f t="shared" si="48"/>
        <v>8.2170000000000003E-3</v>
      </c>
      <c r="K173" s="12">
        <f t="shared" si="48"/>
        <v>8.712000000000001E-3</v>
      </c>
      <c r="L173" s="12">
        <f t="shared" si="48"/>
        <v>0</v>
      </c>
      <c r="M173" s="12">
        <f t="shared" si="48"/>
        <v>0</v>
      </c>
      <c r="N173" s="12">
        <f t="shared" si="48"/>
        <v>0</v>
      </c>
      <c r="O173" s="12">
        <f t="shared" si="48"/>
        <v>0</v>
      </c>
      <c r="P173" s="12">
        <f t="shared" si="48"/>
        <v>0</v>
      </c>
      <c r="Q173" s="12">
        <f t="shared" si="48"/>
        <v>0</v>
      </c>
      <c r="R173" s="12">
        <f t="shared" si="48"/>
        <v>0</v>
      </c>
      <c r="S173" s="12">
        <f t="shared" si="48"/>
        <v>0</v>
      </c>
      <c r="T173" s="12">
        <f t="shared" si="48"/>
        <v>0</v>
      </c>
      <c r="U173" s="12">
        <f t="shared" si="48"/>
        <v>0</v>
      </c>
      <c r="V173" s="12">
        <f t="shared" si="48"/>
        <v>0</v>
      </c>
      <c r="W173" s="12">
        <f t="shared" si="48"/>
        <v>0</v>
      </c>
      <c r="X173" s="12">
        <f t="shared" si="48"/>
        <v>0</v>
      </c>
      <c r="Y173" s="12">
        <f t="shared" si="48"/>
        <v>0</v>
      </c>
      <c r="Z173" s="12">
        <f t="shared" si="48"/>
        <v>0</v>
      </c>
      <c r="AA173" s="12">
        <f t="shared" si="48"/>
        <v>0</v>
      </c>
      <c r="AB173" s="12">
        <f t="shared" si="48"/>
        <v>0</v>
      </c>
      <c r="AC173" s="12">
        <f t="shared" si="48"/>
        <v>0</v>
      </c>
      <c r="AD173" s="12">
        <f t="shared" si="48"/>
        <v>0</v>
      </c>
      <c r="AE173" s="12">
        <f t="shared" si="48"/>
        <v>0</v>
      </c>
      <c r="AF173" s="12">
        <f t="shared" si="48"/>
        <v>0</v>
      </c>
    </row>
    <row r="174" spans="4:32">
      <c r="D174" t="s">
        <v>11</v>
      </c>
      <c r="E174" s="8"/>
      <c r="G174" t="s">
        <v>15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</row>
    <row r="175" spans="4:32">
      <c r="D175" t="s">
        <v>12</v>
      </c>
      <c r="E175" s="8"/>
      <c r="G175" t="s">
        <v>15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</row>
    <row r="177" spans="4:32">
      <c r="D177" s="5" t="s">
        <v>16</v>
      </c>
      <c r="E177" s="5" t="s">
        <v>7</v>
      </c>
      <c r="F177" s="5"/>
      <c r="G177" s="5"/>
      <c r="H177" s="13"/>
      <c r="I177" s="13">
        <f>INDEX(I178:I182,MATCH($E177,$D178:$D182,0))</f>
        <v>0.18</v>
      </c>
      <c r="J177" s="13">
        <f t="shared" ref="J177:AF177" si="49">INDEX(J178:J182,MATCH($E177,$D178:$D182,0))</f>
        <v>0.19</v>
      </c>
      <c r="K177" s="13">
        <f t="shared" si="49"/>
        <v>0.2</v>
      </c>
      <c r="L177" s="13">
        <f t="shared" si="49"/>
        <v>0</v>
      </c>
      <c r="M177" s="13">
        <f t="shared" si="49"/>
        <v>0</v>
      </c>
      <c r="N177" s="13">
        <f t="shared" si="49"/>
        <v>0</v>
      </c>
      <c r="O177" s="13">
        <f t="shared" si="49"/>
        <v>0</v>
      </c>
      <c r="P177" s="13">
        <f t="shared" si="49"/>
        <v>0</v>
      </c>
      <c r="Q177" s="13">
        <f t="shared" si="49"/>
        <v>0</v>
      </c>
      <c r="R177" s="13">
        <f t="shared" si="49"/>
        <v>0</v>
      </c>
      <c r="S177" s="13">
        <f t="shared" si="49"/>
        <v>0</v>
      </c>
      <c r="T177" s="13">
        <f t="shared" si="49"/>
        <v>0</v>
      </c>
      <c r="U177" s="13">
        <f t="shared" si="49"/>
        <v>0</v>
      </c>
      <c r="V177" s="13">
        <f t="shared" si="49"/>
        <v>0</v>
      </c>
      <c r="W177" s="13">
        <f t="shared" si="49"/>
        <v>0</v>
      </c>
      <c r="X177" s="13">
        <f t="shared" si="49"/>
        <v>0</v>
      </c>
      <c r="Y177" s="13">
        <f t="shared" si="49"/>
        <v>0</v>
      </c>
      <c r="Z177" s="13">
        <f t="shared" si="49"/>
        <v>0</v>
      </c>
      <c r="AA177" s="13">
        <f t="shared" si="49"/>
        <v>0</v>
      </c>
      <c r="AB177" s="13">
        <f t="shared" si="49"/>
        <v>0</v>
      </c>
      <c r="AC177" s="13">
        <f t="shared" si="49"/>
        <v>0</v>
      </c>
      <c r="AD177" s="13">
        <f t="shared" si="49"/>
        <v>0</v>
      </c>
      <c r="AE177" s="13">
        <f t="shared" si="49"/>
        <v>0</v>
      </c>
      <c r="AF177" s="13">
        <f t="shared" si="49"/>
        <v>0</v>
      </c>
    </row>
    <row r="178" spans="4:32">
      <c r="D178" t="s">
        <v>7</v>
      </c>
      <c r="E178" s="6"/>
      <c r="G178" t="s">
        <v>17</v>
      </c>
      <c r="I178" s="14">
        <v>0.18</v>
      </c>
      <c r="J178" s="14">
        <v>0.19</v>
      </c>
      <c r="K178" s="14">
        <v>0.2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</row>
    <row r="179" spans="4:32">
      <c r="D179" t="s">
        <v>9</v>
      </c>
      <c r="E179" s="8">
        <v>0.1</v>
      </c>
      <c r="G179" t="s">
        <v>17</v>
      </c>
      <c r="I179" s="15">
        <f>I178*(1+$E179)</f>
        <v>0.19800000000000001</v>
      </c>
      <c r="J179" s="15">
        <f t="shared" ref="J179:AF180" si="50">J178*(1+$E179)</f>
        <v>0.20900000000000002</v>
      </c>
      <c r="K179" s="15">
        <f t="shared" si="50"/>
        <v>0.22000000000000003</v>
      </c>
      <c r="L179" s="15">
        <f t="shared" si="50"/>
        <v>0</v>
      </c>
      <c r="M179" s="15">
        <f t="shared" si="50"/>
        <v>0</v>
      </c>
      <c r="N179" s="15">
        <f t="shared" si="50"/>
        <v>0</v>
      </c>
      <c r="O179" s="15">
        <f t="shared" si="50"/>
        <v>0</v>
      </c>
      <c r="P179" s="15">
        <f t="shared" si="50"/>
        <v>0</v>
      </c>
      <c r="Q179" s="15">
        <f t="shared" si="50"/>
        <v>0</v>
      </c>
      <c r="R179" s="15">
        <f t="shared" si="50"/>
        <v>0</v>
      </c>
      <c r="S179" s="15">
        <f t="shared" si="50"/>
        <v>0</v>
      </c>
      <c r="T179" s="15">
        <f t="shared" si="50"/>
        <v>0</v>
      </c>
      <c r="U179" s="15">
        <f t="shared" si="50"/>
        <v>0</v>
      </c>
      <c r="V179" s="15">
        <f t="shared" si="50"/>
        <v>0</v>
      </c>
      <c r="W179" s="15">
        <f t="shared" si="50"/>
        <v>0</v>
      </c>
      <c r="X179" s="15">
        <f t="shared" si="50"/>
        <v>0</v>
      </c>
      <c r="Y179" s="15">
        <f t="shared" si="50"/>
        <v>0</v>
      </c>
      <c r="Z179" s="15">
        <f t="shared" si="50"/>
        <v>0</v>
      </c>
      <c r="AA179" s="15">
        <f t="shared" si="50"/>
        <v>0</v>
      </c>
      <c r="AB179" s="15">
        <f t="shared" si="50"/>
        <v>0</v>
      </c>
      <c r="AC179" s="15">
        <f t="shared" si="50"/>
        <v>0</v>
      </c>
      <c r="AD179" s="15">
        <f t="shared" si="50"/>
        <v>0</v>
      </c>
      <c r="AE179" s="15">
        <f t="shared" si="50"/>
        <v>0</v>
      </c>
      <c r="AF179" s="15">
        <f t="shared" si="50"/>
        <v>0</v>
      </c>
    </row>
    <row r="180" spans="4:32">
      <c r="D180" t="s">
        <v>10</v>
      </c>
      <c r="E180" s="8">
        <v>-0.1</v>
      </c>
      <c r="G180" t="s">
        <v>17</v>
      </c>
      <c r="I180" s="15">
        <f>I179*(1+$E180)</f>
        <v>0.17820000000000003</v>
      </c>
      <c r="J180" s="15">
        <f t="shared" si="50"/>
        <v>0.18810000000000002</v>
      </c>
      <c r="K180" s="15">
        <f t="shared" si="50"/>
        <v>0.19800000000000004</v>
      </c>
      <c r="L180" s="15">
        <f t="shared" si="50"/>
        <v>0</v>
      </c>
      <c r="M180" s="15">
        <f t="shared" si="50"/>
        <v>0</v>
      </c>
      <c r="N180" s="15">
        <f t="shared" si="50"/>
        <v>0</v>
      </c>
      <c r="O180" s="15">
        <f t="shared" si="50"/>
        <v>0</v>
      </c>
      <c r="P180" s="15">
        <f t="shared" si="50"/>
        <v>0</v>
      </c>
      <c r="Q180" s="15">
        <f t="shared" si="50"/>
        <v>0</v>
      </c>
      <c r="R180" s="15">
        <f t="shared" si="50"/>
        <v>0</v>
      </c>
      <c r="S180" s="15">
        <f t="shared" si="50"/>
        <v>0</v>
      </c>
      <c r="T180" s="15">
        <f t="shared" si="50"/>
        <v>0</v>
      </c>
      <c r="U180" s="15">
        <f t="shared" si="50"/>
        <v>0</v>
      </c>
      <c r="V180" s="15">
        <f t="shared" si="50"/>
        <v>0</v>
      </c>
      <c r="W180" s="15">
        <f t="shared" si="50"/>
        <v>0</v>
      </c>
      <c r="X180" s="15">
        <f t="shared" si="50"/>
        <v>0</v>
      </c>
      <c r="Y180" s="15">
        <f t="shared" si="50"/>
        <v>0</v>
      </c>
      <c r="Z180" s="15">
        <f t="shared" si="50"/>
        <v>0</v>
      </c>
      <c r="AA180" s="15">
        <f t="shared" si="50"/>
        <v>0</v>
      </c>
      <c r="AB180" s="15">
        <f t="shared" si="50"/>
        <v>0</v>
      </c>
      <c r="AC180" s="15">
        <f t="shared" si="50"/>
        <v>0</v>
      </c>
      <c r="AD180" s="15">
        <f t="shared" si="50"/>
        <v>0</v>
      </c>
      <c r="AE180" s="15">
        <f t="shared" si="50"/>
        <v>0</v>
      </c>
      <c r="AF180" s="15">
        <f t="shared" si="50"/>
        <v>0</v>
      </c>
    </row>
    <row r="181" spans="4:32">
      <c r="D181" t="s">
        <v>11</v>
      </c>
      <c r="E181" s="8"/>
      <c r="G181" t="s">
        <v>17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</row>
    <row r="182" spans="4:32">
      <c r="D182" t="s">
        <v>12</v>
      </c>
      <c r="E182" s="8"/>
      <c r="G182" t="s">
        <v>17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</row>
    <row r="184" spans="4:32">
      <c r="D184" s="5" t="s">
        <v>18</v>
      </c>
      <c r="E184" s="5" t="s">
        <v>7</v>
      </c>
      <c r="F184" s="5"/>
      <c r="G184" s="5"/>
      <c r="H184" s="13"/>
      <c r="I184" s="13">
        <f>INDEX(I185:I189,MATCH($E184,$D185:$D189,0))</f>
        <v>1.74</v>
      </c>
      <c r="J184" s="13">
        <f t="shared" ref="J184:AF184" si="51">INDEX(J185:J189,MATCH($E184,$D185:$D189,0))</f>
        <v>2.0299999999999998</v>
      </c>
      <c r="K184" s="13">
        <f t="shared" si="51"/>
        <v>2.0499999999999998</v>
      </c>
      <c r="L184" s="13">
        <f t="shared" si="51"/>
        <v>0</v>
      </c>
      <c r="M184" s="13">
        <f t="shared" si="51"/>
        <v>0</v>
      </c>
      <c r="N184" s="13">
        <f t="shared" si="51"/>
        <v>0</v>
      </c>
      <c r="O184" s="13">
        <f t="shared" si="51"/>
        <v>0</v>
      </c>
      <c r="P184" s="13">
        <f t="shared" si="51"/>
        <v>0</v>
      </c>
      <c r="Q184" s="13">
        <f t="shared" si="51"/>
        <v>0</v>
      </c>
      <c r="R184" s="13">
        <f t="shared" si="51"/>
        <v>0</v>
      </c>
      <c r="S184" s="13">
        <f t="shared" si="51"/>
        <v>0</v>
      </c>
      <c r="T184" s="13">
        <f t="shared" si="51"/>
        <v>0</v>
      </c>
      <c r="U184" s="13">
        <f t="shared" si="51"/>
        <v>0</v>
      </c>
      <c r="V184" s="13">
        <f t="shared" si="51"/>
        <v>0</v>
      </c>
      <c r="W184" s="13">
        <f t="shared" si="51"/>
        <v>0</v>
      </c>
      <c r="X184" s="13">
        <f t="shared" si="51"/>
        <v>0</v>
      </c>
      <c r="Y184" s="13">
        <f t="shared" si="51"/>
        <v>0</v>
      </c>
      <c r="Z184" s="13">
        <f t="shared" si="51"/>
        <v>0</v>
      </c>
      <c r="AA184" s="13">
        <f t="shared" si="51"/>
        <v>0</v>
      </c>
      <c r="AB184" s="13">
        <f t="shared" si="51"/>
        <v>0</v>
      </c>
      <c r="AC184" s="13">
        <f t="shared" si="51"/>
        <v>0</v>
      </c>
      <c r="AD184" s="13">
        <f t="shared" si="51"/>
        <v>0</v>
      </c>
      <c r="AE184" s="13">
        <f t="shared" si="51"/>
        <v>0</v>
      </c>
      <c r="AF184" s="13">
        <f t="shared" si="51"/>
        <v>0</v>
      </c>
    </row>
    <row r="185" spans="4:32">
      <c r="D185" t="s">
        <v>7</v>
      </c>
      <c r="E185" s="6"/>
      <c r="G185" t="s">
        <v>19</v>
      </c>
      <c r="I185" s="14">
        <v>1.74</v>
      </c>
      <c r="J185" s="14">
        <v>2.0299999999999998</v>
      </c>
      <c r="K185" s="14">
        <v>2.0499999999999998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</row>
    <row r="186" spans="4:32">
      <c r="D186" t="s">
        <v>9</v>
      </c>
      <c r="E186" s="8">
        <v>0.1</v>
      </c>
      <c r="G186" t="s">
        <v>19</v>
      </c>
      <c r="I186" s="15">
        <f>I185*(1+$E186)</f>
        <v>1.9140000000000001</v>
      </c>
      <c r="J186" s="15">
        <f t="shared" ref="J186:AF187" si="52">J185*(1+$E186)</f>
        <v>2.2330000000000001</v>
      </c>
      <c r="K186" s="15">
        <f t="shared" si="52"/>
        <v>2.2549999999999999</v>
      </c>
      <c r="L186" s="15">
        <f t="shared" si="52"/>
        <v>0</v>
      </c>
      <c r="M186" s="15">
        <f t="shared" si="52"/>
        <v>0</v>
      </c>
      <c r="N186" s="15">
        <f t="shared" si="52"/>
        <v>0</v>
      </c>
      <c r="O186" s="15">
        <f t="shared" si="52"/>
        <v>0</v>
      </c>
      <c r="P186" s="15">
        <f t="shared" si="52"/>
        <v>0</v>
      </c>
      <c r="Q186" s="15">
        <f t="shared" si="52"/>
        <v>0</v>
      </c>
      <c r="R186" s="15">
        <f t="shared" si="52"/>
        <v>0</v>
      </c>
      <c r="S186" s="15">
        <f t="shared" si="52"/>
        <v>0</v>
      </c>
      <c r="T186" s="15">
        <f t="shared" si="52"/>
        <v>0</v>
      </c>
      <c r="U186" s="15">
        <f t="shared" si="52"/>
        <v>0</v>
      </c>
      <c r="V186" s="15">
        <f t="shared" si="52"/>
        <v>0</v>
      </c>
      <c r="W186" s="15">
        <f t="shared" si="52"/>
        <v>0</v>
      </c>
      <c r="X186" s="15">
        <f t="shared" si="52"/>
        <v>0</v>
      </c>
      <c r="Y186" s="15">
        <f t="shared" si="52"/>
        <v>0</v>
      </c>
      <c r="Z186" s="15">
        <f t="shared" si="52"/>
        <v>0</v>
      </c>
      <c r="AA186" s="15">
        <f t="shared" si="52"/>
        <v>0</v>
      </c>
      <c r="AB186" s="15">
        <f t="shared" si="52"/>
        <v>0</v>
      </c>
      <c r="AC186" s="15">
        <f t="shared" si="52"/>
        <v>0</v>
      </c>
      <c r="AD186" s="15">
        <f t="shared" si="52"/>
        <v>0</v>
      </c>
      <c r="AE186" s="15">
        <f t="shared" si="52"/>
        <v>0</v>
      </c>
      <c r="AF186" s="15">
        <f t="shared" si="52"/>
        <v>0</v>
      </c>
    </row>
    <row r="187" spans="4:32">
      <c r="D187" t="s">
        <v>10</v>
      </c>
      <c r="E187" s="8">
        <v>-0.1</v>
      </c>
      <c r="G187" t="s">
        <v>19</v>
      </c>
      <c r="I187" s="15">
        <f>I186*(1+$E187)</f>
        <v>1.7226000000000001</v>
      </c>
      <c r="J187" s="15">
        <f t="shared" si="52"/>
        <v>2.0097</v>
      </c>
      <c r="K187" s="15">
        <f t="shared" si="52"/>
        <v>2.0295000000000001</v>
      </c>
      <c r="L187" s="15">
        <f t="shared" si="52"/>
        <v>0</v>
      </c>
      <c r="M187" s="15">
        <f t="shared" si="52"/>
        <v>0</v>
      </c>
      <c r="N187" s="15">
        <f t="shared" si="52"/>
        <v>0</v>
      </c>
      <c r="O187" s="15">
        <f t="shared" si="52"/>
        <v>0</v>
      </c>
      <c r="P187" s="15">
        <f t="shared" si="52"/>
        <v>0</v>
      </c>
      <c r="Q187" s="15">
        <f t="shared" si="52"/>
        <v>0</v>
      </c>
      <c r="R187" s="15">
        <f t="shared" si="52"/>
        <v>0</v>
      </c>
      <c r="S187" s="15">
        <f t="shared" si="52"/>
        <v>0</v>
      </c>
      <c r="T187" s="15">
        <f t="shared" si="52"/>
        <v>0</v>
      </c>
      <c r="U187" s="15">
        <f t="shared" si="52"/>
        <v>0</v>
      </c>
      <c r="V187" s="15">
        <f t="shared" si="52"/>
        <v>0</v>
      </c>
      <c r="W187" s="15">
        <f t="shared" si="52"/>
        <v>0</v>
      </c>
      <c r="X187" s="15">
        <f t="shared" si="52"/>
        <v>0</v>
      </c>
      <c r="Y187" s="15">
        <f t="shared" si="52"/>
        <v>0</v>
      </c>
      <c r="Z187" s="15">
        <f t="shared" si="52"/>
        <v>0</v>
      </c>
      <c r="AA187" s="15">
        <f t="shared" si="52"/>
        <v>0</v>
      </c>
      <c r="AB187" s="15">
        <f t="shared" si="52"/>
        <v>0</v>
      </c>
      <c r="AC187" s="15">
        <f t="shared" si="52"/>
        <v>0</v>
      </c>
      <c r="AD187" s="15">
        <f t="shared" si="52"/>
        <v>0</v>
      </c>
      <c r="AE187" s="15">
        <f t="shared" si="52"/>
        <v>0</v>
      </c>
      <c r="AF187" s="15">
        <f t="shared" si="52"/>
        <v>0</v>
      </c>
    </row>
    <row r="188" spans="4:32">
      <c r="D188" t="s">
        <v>11</v>
      </c>
      <c r="E188" s="8"/>
      <c r="G188" t="s">
        <v>19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</row>
    <row r="189" spans="4:32">
      <c r="D189" t="s">
        <v>12</v>
      </c>
      <c r="E189" s="8"/>
      <c r="G189" t="s">
        <v>19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</row>
    <row r="191" spans="4:32">
      <c r="D191" s="4" t="s">
        <v>30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4:32">
      <c r="D192" s="5" t="s">
        <v>31</v>
      </c>
      <c r="E192" s="5" t="s">
        <v>7</v>
      </c>
      <c r="F192" s="5"/>
      <c r="G192" s="5"/>
      <c r="H192" s="5"/>
      <c r="I192" s="5">
        <f t="shared" ref="I192:AF192" si="53">INDEX(I193:I197,MATCH($E192,$D193:$D197,0))</f>
        <v>0</v>
      </c>
      <c r="J192" s="5">
        <f t="shared" si="53"/>
        <v>0</v>
      </c>
      <c r="K192" s="5">
        <f t="shared" si="53"/>
        <v>0</v>
      </c>
      <c r="L192" s="5">
        <f t="shared" si="53"/>
        <v>0</v>
      </c>
      <c r="M192" s="5">
        <f t="shared" si="53"/>
        <v>0</v>
      </c>
      <c r="N192" s="5">
        <f t="shared" si="53"/>
        <v>0</v>
      </c>
      <c r="O192" s="5">
        <f t="shared" si="53"/>
        <v>0</v>
      </c>
      <c r="P192" s="5">
        <f t="shared" si="53"/>
        <v>0</v>
      </c>
      <c r="Q192" s="5">
        <f t="shared" si="53"/>
        <v>0</v>
      </c>
      <c r="R192" s="5">
        <f t="shared" si="53"/>
        <v>0</v>
      </c>
      <c r="S192" s="5">
        <f t="shared" si="53"/>
        <v>0</v>
      </c>
      <c r="T192" s="5">
        <f t="shared" si="53"/>
        <v>0</v>
      </c>
      <c r="U192" s="5">
        <f t="shared" si="53"/>
        <v>0</v>
      </c>
      <c r="V192" s="5">
        <f t="shared" si="53"/>
        <v>0</v>
      </c>
      <c r="W192" s="5">
        <f t="shared" si="53"/>
        <v>0</v>
      </c>
      <c r="X192" s="5">
        <f t="shared" si="53"/>
        <v>0</v>
      </c>
      <c r="Y192" s="5">
        <f t="shared" si="53"/>
        <v>0</v>
      </c>
      <c r="Z192" s="5">
        <f t="shared" si="53"/>
        <v>0</v>
      </c>
      <c r="AA192" s="5">
        <f t="shared" si="53"/>
        <v>0</v>
      </c>
      <c r="AB192" s="5">
        <f t="shared" si="53"/>
        <v>0</v>
      </c>
      <c r="AC192" s="5">
        <f t="shared" si="53"/>
        <v>0</v>
      </c>
      <c r="AD192" s="5">
        <f t="shared" si="53"/>
        <v>0</v>
      </c>
      <c r="AE192" s="5">
        <f t="shared" si="53"/>
        <v>0</v>
      </c>
      <c r="AF192" s="5">
        <f t="shared" si="53"/>
        <v>0</v>
      </c>
    </row>
    <row r="193" spans="4:32">
      <c r="D193" t="s">
        <v>7</v>
      </c>
      <c r="E193" s="6"/>
      <c r="G193" t="s">
        <v>8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</row>
    <row r="194" spans="4:32">
      <c r="D194" t="s">
        <v>9</v>
      </c>
      <c r="E194" s="8">
        <v>0.1</v>
      </c>
      <c r="G194" t="s">
        <v>8</v>
      </c>
      <c r="I194" s="9">
        <f t="shared" ref="I194:AF195" si="54">I193*(1+$E194)</f>
        <v>0</v>
      </c>
      <c r="J194" s="9">
        <f t="shared" si="54"/>
        <v>0</v>
      </c>
      <c r="K194" s="9">
        <f t="shared" si="54"/>
        <v>0</v>
      </c>
      <c r="L194" s="9">
        <f t="shared" si="54"/>
        <v>0</v>
      </c>
      <c r="M194" s="9">
        <f t="shared" si="54"/>
        <v>0</v>
      </c>
      <c r="N194" s="9">
        <f t="shared" si="54"/>
        <v>0</v>
      </c>
      <c r="O194" s="9">
        <f t="shared" si="54"/>
        <v>0</v>
      </c>
      <c r="P194" s="9">
        <f t="shared" si="54"/>
        <v>0</v>
      </c>
      <c r="Q194" s="9">
        <f t="shared" si="54"/>
        <v>0</v>
      </c>
      <c r="R194" s="9">
        <f t="shared" si="54"/>
        <v>0</v>
      </c>
      <c r="S194" s="9">
        <f t="shared" si="54"/>
        <v>0</v>
      </c>
      <c r="T194" s="9">
        <f t="shared" si="54"/>
        <v>0</v>
      </c>
      <c r="U194" s="9">
        <f t="shared" si="54"/>
        <v>0</v>
      </c>
      <c r="V194" s="9">
        <f t="shared" si="54"/>
        <v>0</v>
      </c>
      <c r="W194" s="9">
        <f t="shared" si="54"/>
        <v>0</v>
      </c>
      <c r="X194" s="9">
        <f t="shared" si="54"/>
        <v>0</v>
      </c>
      <c r="Y194" s="9">
        <f t="shared" si="54"/>
        <v>0</v>
      </c>
      <c r="Z194" s="9">
        <f t="shared" si="54"/>
        <v>0</v>
      </c>
      <c r="AA194" s="9">
        <f t="shared" si="54"/>
        <v>0</v>
      </c>
      <c r="AB194" s="9">
        <f t="shared" si="54"/>
        <v>0</v>
      </c>
      <c r="AC194" s="9">
        <f t="shared" si="54"/>
        <v>0</v>
      </c>
      <c r="AD194" s="9">
        <f t="shared" si="54"/>
        <v>0</v>
      </c>
      <c r="AE194" s="9">
        <f t="shared" si="54"/>
        <v>0</v>
      </c>
      <c r="AF194" s="9">
        <f t="shared" si="54"/>
        <v>0</v>
      </c>
    </row>
    <row r="195" spans="4:32">
      <c r="D195" t="s">
        <v>10</v>
      </c>
      <c r="E195" s="8">
        <v>-0.1</v>
      </c>
      <c r="G195" t="s">
        <v>8</v>
      </c>
      <c r="I195" s="9">
        <f t="shared" si="54"/>
        <v>0</v>
      </c>
      <c r="J195" s="9">
        <f t="shared" si="54"/>
        <v>0</v>
      </c>
      <c r="K195" s="9">
        <f t="shared" si="54"/>
        <v>0</v>
      </c>
      <c r="L195" s="9">
        <f t="shared" si="54"/>
        <v>0</v>
      </c>
      <c r="M195" s="9">
        <f t="shared" si="54"/>
        <v>0</v>
      </c>
      <c r="N195" s="9">
        <f t="shared" si="54"/>
        <v>0</v>
      </c>
      <c r="O195" s="9">
        <f t="shared" si="54"/>
        <v>0</v>
      </c>
      <c r="P195" s="9">
        <f t="shared" si="54"/>
        <v>0</v>
      </c>
      <c r="Q195" s="9">
        <f t="shared" si="54"/>
        <v>0</v>
      </c>
      <c r="R195" s="9">
        <f t="shared" si="54"/>
        <v>0</v>
      </c>
      <c r="S195" s="9">
        <f t="shared" si="54"/>
        <v>0</v>
      </c>
      <c r="T195" s="9">
        <f t="shared" si="54"/>
        <v>0</v>
      </c>
      <c r="U195" s="9">
        <f t="shared" si="54"/>
        <v>0</v>
      </c>
      <c r="V195" s="9">
        <f t="shared" si="54"/>
        <v>0</v>
      </c>
      <c r="W195" s="9">
        <f t="shared" si="54"/>
        <v>0</v>
      </c>
      <c r="X195" s="9">
        <f t="shared" si="54"/>
        <v>0</v>
      </c>
      <c r="Y195" s="9">
        <f t="shared" si="54"/>
        <v>0</v>
      </c>
      <c r="Z195" s="9">
        <f t="shared" si="54"/>
        <v>0</v>
      </c>
      <c r="AA195" s="9">
        <f t="shared" si="54"/>
        <v>0</v>
      </c>
      <c r="AB195" s="9">
        <f t="shared" si="54"/>
        <v>0</v>
      </c>
      <c r="AC195" s="9">
        <f t="shared" si="54"/>
        <v>0</v>
      </c>
      <c r="AD195" s="9">
        <f t="shared" si="54"/>
        <v>0</v>
      </c>
      <c r="AE195" s="9">
        <f t="shared" si="54"/>
        <v>0</v>
      </c>
      <c r="AF195" s="9">
        <f t="shared" si="54"/>
        <v>0</v>
      </c>
    </row>
    <row r="196" spans="4:32">
      <c r="D196" t="s">
        <v>11</v>
      </c>
      <c r="E196" s="8"/>
      <c r="G196" t="s">
        <v>8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</row>
    <row r="197" spans="4:32">
      <c r="D197" t="s">
        <v>12</v>
      </c>
      <c r="E197" s="8"/>
      <c r="G197" t="s">
        <v>8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</row>
    <row r="199" spans="4:32">
      <c r="D199" s="5" t="s">
        <v>14</v>
      </c>
      <c r="E199" s="5" t="s">
        <v>7</v>
      </c>
      <c r="F199" s="5"/>
      <c r="G199" s="5"/>
      <c r="H199" s="10"/>
      <c r="I199" s="10">
        <f>INDEX(I200:I204,MATCH($E199,$D200:$D204,0))</f>
        <v>0</v>
      </c>
      <c r="J199" s="10">
        <f t="shared" ref="J199:AF199" si="55">INDEX(J200:J204,MATCH($E199,$D200:$D204,0))</f>
        <v>0</v>
      </c>
      <c r="K199" s="10">
        <f t="shared" si="55"/>
        <v>0</v>
      </c>
      <c r="L199" s="10">
        <f t="shared" si="55"/>
        <v>0</v>
      </c>
      <c r="M199" s="10">
        <f t="shared" si="55"/>
        <v>0</v>
      </c>
      <c r="N199" s="10">
        <f t="shared" si="55"/>
        <v>0</v>
      </c>
      <c r="O199" s="10">
        <f t="shared" si="55"/>
        <v>0</v>
      </c>
      <c r="P199" s="10">
        <f t="shared" si="55"/>
        <v>0</v>
      </c>
      <c r="Q199" s="10">
        <f t="shared" si="55"/>
        <v>0</v>
      </c>
      <c r="R199" s="10">
        <f t="shared" si="55"/>
        <v>0</v>
      </c>
      <c r="S199" s="10">
        <f t="shared" si="55"/>
        <v>0</v>
      </c>
      <c r="T199" s="10">
        <f t="shared" si="55"/>
        <v>0</v>
      </c>
      <c r="U199" s="10">
        <f t="shared" si="55"/>
        <v>0</v>
      </c>
      <c r="V199" s="10">
        <f t="shared" si="55"/>
        <v>0</v>
      </c>
      <c r="W199" s="10">
        <f t="shared" si="55"/>
        <v>0</v>
      </c>
      <c r="X199" s="10">
        <f t="shared" si="55"/>
        <v>0</v>
      </c>
      <c r="Y199" s="10">
        <f t="shared" si="55"/>
        <v>0</v>
      </c>
      <c r="Z199" s="10">
        <f t="shared" si="55"/>
        <v>0</v>
      </c>
      <c r="AA199" s="10">
        <f t="shared" si="55"/>
        <v>0</v>
      </c>
      <c r="AB199" s="10">
        <f t="shared" si="55"/>
        <v>0</v>
      </c>
      <c r="AC199" s="10">
        <f t="shared" si="55"/>
        <v>0</v>
      </c>
      <c r="AD199" s="10">
        <f t="shared" si="55"/>
        <v>0</v>
      </c>
      <c r="AE199" s="10">
        <f t="shared" si="55"/>
        <v>0</v>
      </c>
      <c r="AF199" s="10">
        <f t="shared" si="55"/>
        <v>0</v>
      </c>
    </row>
    <row r="200" spans="4:32">
      <c r="D200" t="s">
        <v>7</v>
      </c>
      <c r="E200" s="6"/>
      <c r="G200" t="s">
        <v>15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</row>
    <row r="201" spans="4:32">
      <c r="D201" t="s">
        <v>9</v>
      </c>
      <c r="E201" s="8">
        <v>0.1</v>
      </c>
      <c r="G201" t="s">
        <v>15</v>
      </c>
      <c r="I201" s="12">
        <f>I200*(1+$E201)</f>
        <v>0</v>
      </c>
      <c r="J201" s="12">
        <f t="shared" ref="J201:AF202" si="56">J200*(1+$E201)</f>
        <v>0</v>
      </c>
      <c r="K201" s="12">
        <f t="shared" si="56"/>
        <v>0</v>
      </c>
      <c r="L201" s="12">
        <f t="shared" si="56"/>
        <v>0</v>
      </c>
      <c r="M201" s="12">
        <f t="shared" si="56"/>
        <v>0</v>
      </c>
      <c r="N201" s="12">
        <f t="shared" si="56"/>
        <v>0</v>
      </c>
      <c r="O201" s="12">
        <f t="shared" si="56"/>
        <v>0</v>
      </c>
      <c r="P201" s="12">
        <f t="shared" si="56"/>
        <v>0</v>
      </c>
      <c r="Q201" s="12">
        <f t="shared" si="56"/>
        <v>0</v>
      </c>
      <c r="R201" s="12">
        <f t="shared" si="56"/>
        <v>0</v>
      </c>
      <c r="S201" s="12">
        <f t="shared" si="56"/>
        <v>0</v>
      </c>
      <c r="T201" s="12">
        <f t="shared" si="56"/>
        <v>0</v>
      </c>
      <c r="U201" s="12">
        <f t="shared" si="56"/>
        <v>0</v>
      </c>
      <c r="V201" s="12">
        <f t="shared" si="56"/>
        <v>0</v>
      </c>
      <c r="W201" s="12">
        <f t="shared" si="56"/>
        <v>0</v>
      </c>
      <c r="X201" s="12">
        <f t="shared" si="56"/>
        <v>0</v>
      </c>
      <c r="Y201" s="12">
        <f t="shared" si="56"/>
        <v>0</v>
      </c>
      <c r="Z201" s="12">
        <f t="shared" si="56"/>
        <v>0</v>
      </c>
      <c r="AA201" s="12">
        <f t="shared" si="56"/>
        <v>0</v>
      </c>
      <c r="AB201" s="12">
        <f t="shared" si="56"/>
        <v>0</v>
      </c>
      <c r="AC201" s="12">
        <f t="shared" si="56"/>
        <v>0</v>
      </c>
      <c r="AD201" s="12">
        <f t="shared" si="56"/>
        <v>0</v>
      </c>
      <c r="AE201" s="12">
        <f t="shared" si="56"/>
        <v>0</v>
      </c>
      <c r="AF201" s="12">
        <f t="shared" si="56"/>
        <v>0</v>
      </c>
    </row>
    <row r="202" spans="4:32">
      <c r="D202" t="s">
        <v>10</v>
      </c>
      <c r="E202" s="8">
        <v>-0.1</v>
      </c>
      <c r="G202" t="s">
        <v>15</v>
      </c>
      <c r="I202" s="12">
        <f>I201*(1+$E202)</f>
        <v>0</v>
      </c>
      <c r="J202" s="12">
        <f t="shared" si="56"/>
        <v>0</v>
      </c>
      <c r="K202" s="12">
        <f t="shared" si="56"/>
        <v>0</v>
      </c>
      <c r="L202" s="12">
        <f t="shared" si="56"/>
        <v>0</v>
      </c>
      <c r="M202" s="12">
        <f t="shared" si="56"/>
        <v>0</v>
      </c>
      <c r="N202" s="12">
        <f t="shared" si="56"/>
        <v>0</v>
      </c>
      <c r="O202" s="12">
        <f t="shared" si="56"/>
        <v>0</v>
      </c>
      <c r="P202" s="12">
        <f t="shared" si="56"/>
        <v>0</v>
      </c>
      <c r="Q202" s="12">
        <f t="shared" si="56"/>
        <v>0</v>
      </c>
      <c r="R202" s="12">
        <f t="shared" si="56"/>
        <v>0</v>
      </c>
      <c r="S202" s="12">
        <f t="shared" si="56"/>
        <v>0</v>
      </c>
      <c r="T202" s="12">
        <f t="shared" si="56"/>
        <v>0</v>
      </c>
      <c r="U202" s="12">
        <f t="shared" si="56"/>
        <v>0</v>
      </c>
      <c r="V202" s="12">
        <f t="shared" si="56"/>
        <v>0</v>
      </c>
      <c r="W202" s="12">
        <f t="shared" si="56"/>
        <v>0</v>
      </c>
      <c r="X202" s="12">
        <f t="shared" si="56"/>
        <v>0</v>
      </c>
      <c r="Y202" s="12">
        <f t="shared" si="56"/>
        <v>0</v>
      </c>
      <c r="Z202" s="12">
        <f t="shared" si="56"/>
        <v>0</v>
      </c>
      <c r="AA202" s="12">
        <f t="shared" si="56"/>
        <v>0</v>
      </c>
      <c r="AB202" s="12">
        <f t="shared" si="56"/>
        <v>0</v>
      </c>
      <c r="AC202" s="12">
        <f t="shared" si="56"/>
        <v>0</v>
      </c>
      <c r="AD202" s="12">
        <f t="shared" si="56"/>
        <v>0</v>
      </c>
      <c r="AE202" s="12">
        <f t="shared" si="56"/>
        <v>0</v>
      </c>
      <c r="AF202" s="12">
        <f t="shared" si="56"/>
        <v>0</v>
      </c>
    </row>
    <row r="203" spans="4:32">
      <c r="D203" t="s">
        <v>11</v>
      </c>
      <c r="E203" s="8"/>
      <c r="G203" t="s">
        <v>15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</row>
    <row r="204" spans="4:32">
      <c r="D204" t="s">
        <v>12</v>
      </c>
      <c r="E204" s="8"/>
      <c r="G204" t="s">
        <v>15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</row>
    <row r="206" spans="4:32">
      <c r="D206" s="5" t="s">
        <v>16</v>
      </c>
      <c r="E206" s="5" t="s">
        <v>7</v>
      </c>
      <c r="F206" s="5"/>
      <c r="G206" s="5"/>
      <c r="H206" s="13"/>
      <c r="I206" s="13">
        <f>INDEX(I207:I211,MATCH($E206,$D207:$D211,0))</f>
        <v>0</v>
      </c>
      <c r="J206" s="13">
        <f t="shared" ref="J206:AF206" si="57">INDEX(J207:J211,MATCH($E206,$D207:$D211,0))</f>
        <v>0</v>
      </c>
      <c r="K206" s="13">
        <f t="shared" si="57"/>
        <v>0</v>
      </c>
      <c r="L206" s="13">
        <f t="shared" si="57"/>
        <v>0</v>
      </c>
      <c r="M206" s="13">
        <f t="shared" si="57"/>
        <v>0</v>
      </c>
      <c r="N206" s="13">
        <f t="shared" si="57"/>
        <v>0</v>
      </c>
      <c r="O206" s="13">
        <f t="shared" si="57"/>
        <v>0</v>
      </c>
      <c r="P206" s="13">
        <f t="shared" si="57"/>
        <v>0</v>
      </c>
      <c r="Q206" s="13">
        <f t="shared" si="57"/>
        <v>0</v>
      </c>
      <c r="R206" s="13">
        <f t="shared" si="57"/>
        <v>0</v>
      </c>
      <c r="S206" s="13">
        <f t="shared" si="57"/>
        <v>0</v>
      </c>
      <c r="T206" s="13">
        <f t="shared" si="57"/>
        <v>0</v>
      </c>
      <c r="U206" s="13">
        <f t="shared" si="57"/>
        <v>0</v>
      </c>
      <c r="V206" s="13">
        <f t="shared" si="57"/>
        <v>0</v>
      </c>
      <c r="W206" s="13">
        <f t="shared" si="57"/>
        <v>0</v>
      </c>
      <c r="X206" s="13">
        <f t="shared" si="57"/>
        <v>0</v>
      </c>
      <c r="Y206" s="13">
        <f t="shared" si="57"/>
        <v>0</v>
      </c>
      <c r="Z206" s="13">
        <f t="shared" si="57"/>
        <v>0</v>
      </c>
      <c r="AA206" s="13">
        <f t="shared" si="57"/>
        <v>0</v>
      </c>
      <c r="AB206" s="13">
        <f t="shared" si="57"/>
        <v>0</v>
      </c>
      <c r="AC206" s="13">
        <f t="shared" si="57"/>
        <v>0</v>
      </c>
      <c r="AD206" s="13">
        <f t="shared" si="57"/>
        <v>0</v>
      </c>
      <c r="AE206" s="13">
        <f t="shared" si="57"/>
        <v>0</v>
      </c>
      <c r="AF206" s="13">
        <f t="shared" si="57"/>
        <v>0</v>
      </c>
    </row>
    <row r="207" spans="4:32">
      <c r="D207" t="s">
        <v>7</v>
      </c>
      <c r="E207" s="6"/>
      <c r="G207" t="s">
        <v>17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</row>
    <row r="208" spans="4:32">
      <c r="D208" t="s">
        <v>9</v>
      </c>
      <c r="E208" s="8">
        <v>0.1</v>
      </c>
      <c r="G208" t="s">
        <v>17</v>
      </c>
      <c r="I208" s="15">
        <f>I207*(1+$E208)</f>
        <v>0</v>
      </c>
      <c r="J208" s="15">
        <f t="shared" ref="J208:AF209" si="58">J207*(1+$E208)</f>
        <v>0</v>
      </c>
      <c r="K208" s="15">
        <f t="shared" si="58"/>
        <v>0</v>
      </c>
      <c r="L208" s="15">
        <f t="shared" si="58"/>
        <v>0</v>
      </c>
      <c r="M208" s="15">
        <f t="shared" si="58"/>
        <v>0</v>
      </c>
      <c r="N208" s="15">
        <f t="shared" si="58"/>
        <v>0</v>
      </c>
      <c r="O208" s="15">
        <f t="shared" si="58"/>
        <v>0</v>
      </c>
      <c r="P208" s="15">
        <f t="shared" si="58"/>
        <v>0</v>
      </c>
      <c r="Q208" s="15">
        <f t="shared" si="58"/>
        <v>0</v>
      </c>
      <c r="R208" s="15">
        <f t="shared" si="58"/>
        <v>0</v>
      </c>
      <c r="S208" s="15">
        <f t="shared" si="58"/>
        <v>0</v>
      </c>
      <c r="T208" s="15">
        <f t="shared" si="58"/>
        <v>0</v>
      </c>
      <c r="U208" s="15">
        <f t="shared" si="58"/>
        <v>0</v>
      </c>
      <c r="V208" s="15">
        <f t="shared" si="58"/>
        <v>0</v>
      </c>
      <c r="W208" s="15">
        <f t="shared" si="58"/>
        <v>0</v>
      </c>
      <c r="X208" s="15">
        <f t="shared" si="58"/>
        <v>0</v>
      </c>
      <c r="Y208" s="15">
        <f t="shared" si="58"/>
        <v>0</v>
      </c>
      <c r="Z208" s="15">
        <f t="shared" si="58"/>
        <v>0</v>
      </c>
      <c r="AA208" s="15">
        <f t="shared" si="58"/>
        <v>0</v>
      </c>
      <c r="AB208" s="15">
        <f t="shared" si="58"/>
        <v>0</v>
      </c>
      <c r="AC208" s="15">
        <f t="shared" si="58"/>
        <v>0</v>
      </c>
      <c r="AD208" s="15">
        <f t="shared" si="58"/>
        <v>0</v>
      </c>
      <c r="AE208" s="15">
        <f t="shared" si="58"/>
        <v>0</v>
      </c>
      <c r="AF208" s="15">
        <f t="shared" si="58"/>
        <v>0</v>
      </c>
    </row>
    <row r="209" spans="4:32">
      <c r="D209" t="s">
        <v>10</v>
      </c>
      <c r="E209" s="8">
        <v>-0.1</v>
      </c>
      <c r="G209" t="s">
        <v>17</v>
      </c>
      <c r="I209" s="15">
        <f>I208*(1+$E209)</f>
        <v>0</v>
      </c>
      <c r="J209" s="15">
        <f t="shared" si="58"/>
        <v>0</v>
      </c>
      <c r="K209" s="15">
        <f t="shared" si="58"/>
        <v>0</v>
      </c>
      <c r="L209" s="15">
        <f t="shared" si="58"/>
        <v>0</v>
      </c>
      <c r="M209" s="15">
        <f t="shared" si="58"/>
        <v>0</v>
      </c>
      <c r="N209" s="15">
        <f t="shared" si="58"/>
        <v>0</v>
      </c>
      <c r="O209" s="15">
        <f t="shared" si="58"/>
        <v>0</v>
      </c>
      <c r="P209" s="15">
        <f t="shared" si="58"/>
        <v>0</v>
      </c>
      <c r="Q209" s="15">
        <f t="shared" si="58"/>
        <v>0</v>
      </c>
      <c r="R209" s="15">
        <f t="shared" si="58"/>
        <v>0</v>
      </c>
      <c r="S209" s="15">
        <f t="shared" si="58"/>
        <v>0</v>
      </c>
      <c r="T209" s="15">
        <f t="shared" si="58"/>
        <v>0</v>
      </c>
      <c r="U209" s="15">
        <f t="shared" si="58"/>
        <v>0</v>
      </c>
      <c r="V209" s="15">
        <f t="shared" si="58"/>
        <v>0</v>
      </c>
      <c r="W209" s="15">
        <f t="shared" si="58"/>
        <v>0</v>
      </c>
      <c r="X209" s="15">
        <f t="shared" si="58"/>
        <v>0</v>
      </c>
      <c r="Y209" s="15">
        <f t="shared" si="58"/>
        <v>0</v>
      </c>
      <c r="Z209" s="15">
        <f t="shared" si="58"/>
        <v>0</v>
      </c>
      <c r="AA209" s="15">
        <f t="shared" si="58"/>
        <v>0</v>
      </c>
      <c r="AB209" s="15">
        <f t="shared" si="58"/>
        <v>0</v>
      </c>
      <c r="AC209" s="15">
        <f t="shared" si="58"/>
        <v>0</v>
      </c>
      <c r="AD209" s="15">
        <f t="shared" si="58"/>
        <v>0</v>
      </c>
      <c r="AE209" s="15">
        <f t="shared" si="58"/>
        <v>0</v>
      </c>
      <c r="AF209" s="15">
        <f t="shared" si="58"/>
        <v>0</v>
      </c>
    </row>
    <row r="210" spans="4:32">
      <c r="D210" t="s">
        <v>11</v>
      </c>
      <c r="E210" s="8"/>
      <c r="G210" t="s">
        <v>17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</row>
    <row r="211" spans="4:32">
      <c r="D211" t="s">
        <v>12</v>
      </c>
      <c r="E211" s="8"/>
      <c r="G211" t="s">
        <v>17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</row>
    <row r="213" spans="4:32">
      <c r="D213" s="5" t="s">
        <v>18</v>
      </c>
      <c r="E213" s="5" t="s">
        <v>7</v>
      </c>
      <c r="F213" s="5"/>
      <c r="G213" s="5"/>
      <c r="H213" s="13"/>
      <c r="I213" s="13">
        <f>INDEX(I214:I218,MATCH($E213,$D214:$D218,0))</f>
        <v>0</v>
      </c>
      <c r="J213" s="13">
        <f t="shared" ref="J213:AF213" si="59">INDEX(J214:J218,MATCH($E213,$D214:$D218,0))</f>
        <v>0</v>
      </c>
      <c r="K213" s="13">
        <f t="shared" si="59"/>
        <v>0</v>
      </c>
      <c r="L213" s="13">
        <f t="shared" si="59"/>
        <v>0</v>
      </c>
      <c r="M213" s="13">
        <f t="shared" si="59"/>
        <v>0</v>
      </c>
      <c r="N213" s="13">
        <f t="shared" si="59"/>
        <v>0</v>
      </c>
      <c r="O213" s="13">
        <f t="shared" si="59"/>
        <v>0</v>
      </c>
      <c r="P213" s="13">
        <f t="shared" si="59"/>
        <v>0</v>
      </c>
      <c r="Q213" s="13">
        <f t="shared" si="59"/>
        <v>0</v>
      </c>
      <c r="R213" s="13">
        <f t="shared" si="59"/>
        <v>0</v>
      </c>
      <c r="S213" s="13">
        <f t="shared" si="59"/>
        <v>0</v>
      </c>
      <c r="T213" s="13">
        <f t="shared" si="59"/>
        <v>0</v>
      </c>
      <c r="U213" s="13">
        <f t="shared" si="59"/>
        <v>0</v>
      </c>
      <c r="V213" s="13">
        <f t="shared" si="59"/>
        <v>0</v>
      </c>
      <c r="W213" s="13">
        <f t="shared" si="59"/>
        <v>0</v>
      </c>
      <c r="X213" s="13">
        <f t="shared" si="59"/>
        <v>0</v>
      </c>
      <c r="Y213" s="13">
        <f t="shared" si="59"/>
        <v>0</v>
      </c>
      <c r="Z213" s="13">
        <f t="shared" si="59"/>
        <v>0</v>
      </c>
      <c r="AA213" s="13">
        <f t="shared" si="59"/>
        <v>0</v>
      </c>
      <c r="AB213" s="13">
        <f t="shared" si="59"/>
        <v>0</v>
      </c>
      <c r="AC213" s="13">
        <f t="shared" si="59"/>
        <v>0</v>
      </c>
      <c r="AD213" s="13">
        <f t="shared" si="59"/>
        <v>0</v>
      </c>
      <c r="AE213" s="13">
        <f t="shared" si="59"/>
        <v>0</v>
      </c>
      <c r="AF213" s="13">
        <f t="shared" si="59"/>
        <v>0</v>
      </c>
    </row>
    <row r="214" spans="4:32">
      <c r="D214" t="s">
        <v>7</v>
      </c>
      <c r="E214" s="6"/>
      <c r="G214" t="s">
        <v>19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</row>
    <row r="215" spans="4:32">
      <c r="D215" t="s">
        <v>9</v>
      </c>
      <c r="E215" s="8">
        <v>0.1</v>
      </c>
      <c r="G215" t="s">
        <v>19</v>
      </c>
      <c r="I215" s="15">
        <f>I214*(1+$E215)</f>
        <v>0</v>
      </c>
      <c r="J215" s="15">
        <f t="shared" ref="J215:AF216" si="60">J214*(1+$E215)</f>
        <v>0</v>
      </c>
      <c r="K215" s="15">
        <f t="shared" si="60"/>
        <v>0</v>
      </c>
      <c r="L215" s="15">
        <f t="shared" si="60"/>
        <v>0</v>
      </c>
      <c r="M215" s="15">
        <f t="shared" si="60"/>
        <v>0</v>
      </c>
      <c r="N215" s="15">
        <f t="shared" si="60"/>
        <v>0</v>
      </c>
      <c r="O215" s="15">
        <f t="shared" si="60"/>
        <v>0</v>
      </c>
      <c r="P215" s="15">
        <f t="shared" si="60"/>
        <v>0</v>
      </c>
      <c r="Q215" s="15">
        <f t="shared" si="60"/>
        <v>0</v>
      </c>
      <c r="R215" s="15">
        <f t="shared" si="60"/>
        <v>0</v>
      </c>
      <c r="S215" s="15">
        <f t="shared" si="60"/>
        <v>0</v>
      </c>
      <c r="T215" s="15">
        <f t="shared" si="60"/>
        <v>0</v>
      </c>
      <c r="U215" s="15">
        <f t="shared" si="60"/>
        <v>0</v>
      </c>
      <c r="V215" s="15">
        <f t="shared" si="60"/>
        <v>0</v>
      </c>
      <c r="W215" s="15">
        <f t="shared" si="60"/>
        <v>0</v>
      </c>
      <c r="X215" s="15">
        <f t="shared" si="60"/>
        <v>0</v>
      </c>
      <c r="Y215" s="15">
        <f t="shared" si="60"/>
        <v>0</v>
      </c>
      <c r="Z215" s="15">
        <f t="shared" si="60"/>
        <v>0</v>
      </c>
      <c r="AA215" s="15">
        <f t="shared" si="60"/>
        <v>0</v>
      </c>
      <c r="AB215" s="15">
        <f t="shared" si="60"/>
        <v>0</v>
      </c>
      <c r="AC215" s="15">
        <f t="shared" si="60"/>
        <v>0</v>
      </c>
      <c r="AD215" s="15">
        <f t="shared" si="60"/>
        <v>0</v>
      </c>
      <c r="AE215" s="15">
        <f t="shared" si="60"/>
        <v>0</v>
      </c>
      <c r="AF215" s="15">
        <f t="shared" si="60"/>
        <v>0</v>
      </c>
    </row>
    <row r="216" spans="4:32">
      <c r="D216" t="s">
        <v>10</v>
      </c>
      <c r="E216" s="8">
        <v>-0.1</v>
      </c>
      <c r="G216" t="s">
        <v>19</v>
      </c>
      <c r="I216" s="15">
        <f>I215*(1+$E216)</f>
        <v>0</v>
      </c>
      <c r="J216" s="15">
        <f t="shared" si="60"/>
        <v>0</v>
      </c>
      <c r="K216" s="15">
        <f t="shared" si="60"/>
        <v>0</v>
      </c>
      <c r="L216" s="15">
        <f t="shared" si="60"/>
        <v>0</v>
      </c>
      <c r="M216" s="15">
        <f t="shared" si="60"/>
        <v>0</v>
      </c>
      <c r="N216" s="15">
        <f t="shared" si="60"/>
        <v>0</v>
      </c>
      <c r="O216" s="15">
        <f t="shared" si="60"/>
        <v>0</v>
      </c>
      <c r="P216" s="15">
        <f t="shared" si="60"/>
        <v>0</v>
      </c>
      <c r="Q216" s="15">
        <f t="shared" si="60"/>
        <v>0</v>
      </c>
      <c r="R216" s="15">
        <f t="shared" si="60"/>
        <v>0</v>
      </c>
      <c r="S216" s="15">
        <f t="shared" si="60"/>
        <v>0</v>
      </c>
      <c r="T216" s="15">
        <f t="shared" si="60"/>
        <v>0</v>
      </c>
      <c r="U216" s="15">
        <f t="shared" si="60"/>
        <v>0</v>
      </c>
      <c r="V216" s="15">
        <f t="shared" si="60"/>
        <v>0</v>
      </c>
      <c r="W216" s="15">
        <f t="shared" si="60"/>
        <v>0</v>
      </c>
      <c r="X216" s="15">
        <f t="shared" si="60"/>
        <v>0</v>
      </c>
      <c r="Y216" s="15">
        <f t="shared" si="60"/>
        <v>0</v>
      </c>
      <c r="Z216" s="15">
        <f t="shared" si="60"/>
        <v>0</v>
      </c>
      <c r="AA216" s="15">
        <f t="shared" si="60"/>
        <v>0</v>
      </c>
      <c r="AB216" s="15">
        <f t="shared" si="60"/>
        <v>0</v>
      </c>
      <c r="AC216" s="15">
        <f t="shared" si="60"/>
        <v>0</v>
      </c>
      <c r="AD216" s="15">
        <f t="shared" si="60"/>
        <v>0</v>
      </c>
      <c r="AE216" s="15">
        <f t="shared" si="60"/>
        <v>0</v>
      </c>
      <c r="AF216" s="15">
        <f t="shared" si="60"/>
        <v>0</v>
      </c>
    </row>
    <row r="217" spans="4:32">
      <c r="D217" t="s">
        <v>11</v>
      </c>
      <c r="E217" s="8"/>
      <c r="G217" t="s">
        <v>19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</row>
    <row r="218" spans="4:32">
      <c r="D218" t="s">
        <v>12</v>
      </c>
      <c r="E218" s="8"/>
      <c r="G218" t="s">
        <v>19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</row>
    <row r="220" spans="4:32">
      <c r="D220" s="4" t="s">
        <v>32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4:32">
      <c r="D221" s="5" t="s">
        <v>33</v>
      </c>
      <c r="E221" s="5" t="s">
        <v>7</v>
      </c>
      <c r="F221" s="5"/>
      <c r="G221" s="5"/>
      <c r="H221" s="5"/>
      <c r="I221" s="5">
        <f t="shared" ref="I221:AF221" si="61">INDEX(I222:I226,MATCH($E221,$D222:$D226,0))</f>
        <v>1312</v>
      </c>
      <c r="J221" s="5">
        <f t="shared" si="61"/>
        <v>1329</v>
      </c>
      <c r="K221" s="5">
        <f t="shared" si="61"/>
        <v>1327</v>
      </c>
      <c r="L221" s="5">
        <f t="shared" si="61"/>
        <v>1348</v>
      </c>
      <c r="M221" s="5">
        <f t="shared" si="61"/>
        <v>1358</v>
      </c>
      <c r="N221" s="5">
        <f t="shared" si="61"/>
        <v>1354</v>
      </c>
      <c r="O221" s="5">
        <f t="shared" si="61"/>
        <v>1351</v>
      </c>
      <c r="P221" s="5">
        <f t="shared" si="61"/>
        <v>1351</v>
      </c>
      <c r="Q221" s="5">
        <f t="shared" si="61"/>
        <v>1351</v>
      </c>
      <c r="R221" s="5">
        <f t="shared" si="61"/>
        <v>1351</v>
      </c>
      <c r="S221" s="5">
        <f t="shared" si="61"/>
        <v>1351</v>
      </c>
      <c r="T221" s="5">
        <f t="shared" si="61"/>
        <v>480</v>
      </c>
      <c r="U221" s="5">
        <f t="shared" si="61"/>
        <v>0</v>
      </c>
      <c r="V221" s="5">
        <f t="shared" si="61"/>
        <v>0</v>
      </c>
      <c r="W221" s="5">
        <f t="shared" si="61"/>
        <v>0</v>
      </c>
      <c r="X221" s="5">
        <f t="shared" si="61"/>
        <v>0</v>
      </c>
      <c r="Y221" s="5">
        <f t="shared" si="61"/>
        <v>0</v>
      </c>
      <c r="Z221" s="5">
        <f t="shared" si="61"/>
        <v>0</v>
      </c>
      <c r="AA221" s="5">
        <f t="shared" si="61"/>
        <v>0</v>
      </c>
      <c r="AB221" s="5">
        <f t="shared" si="61"/>
        <v>0</v>
      </c>
      <c r="AC221" s="5">
        <f t="shared" si="61"/>
        <v>0</v>
      </c>
      <c r="AD221" s="5">
        <f t="shared" si="61"/>
        <v>0</v>
      </c>
      <c r="AE221" s="5">
        <f t="shared" si="61"/>
        <v>0</v>
      </c>
      <c r="AF221" s="5">
        <f t="shared" si="61"/>
        <v>0</v>
      </c>
    </row>
    <row r="222" spans="4:32">
      <c r="D222" t="s">
        <v>7</v>
      </c>
      <c r="E222" s="6"/>
      <c r="G222" t="s">
        <v>8</v>
      </c>
      <c r="I222" s="7">
        <v>1312</v>
      </c>
      <c r="J222" s="7">
        <v>1329</v>
      </c>
      <c r="K222" s="7">
        <v>1327</v>
      </c>
      <c r="L222" s="7">
        <v>1348</v>
      </c>
      <c r="M222" s="7">
        <v>1358</v>
      </c>
      <c r="N222" s="7">
        <v>1354</v>
      </c>
      <c r="O222" s="7">
        <v>1351</v>
      </c>
      <c r="P222" s="7">
        <v>1351</v>
      </c>
      <c r="Q222" s="7">
        <v>1351</v>
      </c>
      <c r="R222" s="7">
        <v>1351</v>
      </c>
      <c r="S222" s="7">
        <v>1351</v>
      </c>
      <c r="T222" s="7">
        <v>480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</row>
    <row r="223" spans="4:32">
      <c r="D223" t="s">
        <v>9</v>
      </c>
      <c r="E223" s="8">
        <v>0.1</v>
      </c>
      <c r="G223" t="s">
        <v>8</v>
      </c>
      <c r="I223" s="9">
        <f t="shared" ref="I223:AF224" si="62">I222*(1+$E223)</f>
        <v>1443.2</v>
      </c>
      <c r="J223" s="9">
        <f t="shared" si="62"/>
        <v>1461.9</v>
      </c>
      <c r="K223" s="9">
        <f t="shared" si="62"/>
        <v>1459.7</v>
      </c>
      <c r="L223" s="9">
        <f t="shared" si="62"/>
        <v>1482.8000000000002</v>
      </c>
      <c r="M223" s="9">
        <f t="shared" si="62"/>
        <v>1493.8000000000002</v>
      </c>
      <c r="N223" s="9">
        <f t="shared" si="62"/>
        <v>1489.4</v>
      </c>
      <c r="O223" s="9">
        <f t="shared" si="62"/>
        <v>1486.1000000000001</v>
      </c>
      <c r="P223" s="9">
        <f t="shared" si="62"/>
        <v>1486.1000000000001</v>
      </c>
      <c r="Q223" s="9">
        <f t="shared" si="62"/>
        <v>1486.1000000000001</v>
      </c>
      <c r="R223" s="9">
        <f t="shared" si="62"/>
        <v>1486.1000000000001</v>
      </c>
      <c r="S223" s="9">
        <f t="shared" si="62"/>
        <v>1486.1000000000001</v>
      </c>
      <c r="T223" s="9">
        <f t="shared" si="62"/>
        <v>528</v>
      </c>
      <c r="U223" s="9">
        <f t="shared" si="62"/>
        <v>0</v>
      </c>
      <c r="V223" s="9">
        <f t="shared" si="62"/>
        <v>0</v>
      </c>
      <c r="W223" s="9">
        <f t="shared" si="62"/>
        <v>0</v>
      </c>
      <c r="X223" s="9">
        <f t="shared" si="62"/>
        <v>0</v>
      </c>
      <c r="Y223" s="9">
        <f t="shared" si="62"/>
        <v>0</v>
      </c>
      <c r="Z223" s="9">
        <f t="shared" si="62"/>
        <v>0</v>
      </c>
      <c r="AA223" s="9">
        <f t="shared" si="62"/>
        <v>0</v>
      </c>
      <c r="AB223" s="9">
        <f t="shared" si="62"/>
        <v>0</v>
      </c>
      <c r="AC223" s="9">
        <f t="shared" si="62"/>
        <v>0</v>
      </c>
      <c r="AD223" s="9">
        <f t="shared" si="62"/>
        <v>0</v>
      </c>
      <c r="AE223" s="9">
        <f t="shared" si="62"/>
        <v>0</v>
      </c>
      <c r="AF223" s="9">
        <f t="shared" si="62"/>
        <v>0</v>
      </c>
    </row>
    <row r="224" spans="4:32">
      <c r="D224" t="s">
        <v>10</v>
      </c>
      <c r="E224" s="8">
        <v>-0.1</v>
      </c>
      <c r="G224" t="s">
        <v>8</v>
      </c>
      <c r="I224" s="9">
        <f t="shared" si="62"/>
        <v>1298.8800000000001</v>
      </c>
      <c r="J224" s="9">
        <f t="shared" si="62"/>
        <v>1315.71</v>
      </c>
      <c r="K224" s="9">
        <f t="shared" si="62"/>
        <v>1313.73</v>
      </c>
      <c r="L224" s="9">
        <f t="shared" si="62"/>
        <v>1334.5200000000002</v>
      </c>
      <c r="M224" s="9">
        <f t="shared" si="62"/>
        <v>1344.4200000000003</v>
      </c>
      <c r="N224" s="9">
        <f t="shared" si="62"/>
        <v>1340.46</v>
      </c>
      <c r="O224" s="9">
        <f t="shared" si="62"/>
        <v>1337.4900000000002</v>
      </c>
      <c r="P224" s="9">
        <f t="shared" si="62"/>
        <v>1337.4900000000002</v>
      </c>
      <c r="Q224" s="9">
        <f t="shared" si="62"/>
        <v>1337.4900000000002</v>
      </c>
      <c r="R224" s="9">
        <f t="shared" si="62"/>
        <v>1337.4900000000002</v>
      </c>
      <c r="S224" s="9">
        <f t="shared" si="62"/>
        <v>1337.4900000000002</v>
      </c>
      <c r="T224" s="9">
        <f t="shared" si="62"/>
        <v>475.2</v>
      </c>
      <c r="U224" s="9">
        <f t="shared" si="62"/>
        <v>0</v>
      </c>
      <c r="V224" s="9">
        <f t="shared" si="62"/>
        <v>0</v>
      </c>
      <c r="W224" s="9">
        <f t="shared" si="62"/>
        <v>0</v>
      </c>
      <c r="X224" s="9">
        <f t="shared" si="62"/>
        <v>0</v>
      </c>
      <c r="Y224" s="9">
        <f t="shared" si="62"/>
        <v>0</v>
      </c>
      <c r="Z224" s="9">
        <f t="shared" si="62"/>
        <v>0</v>
      </c>
      <c r="AA224" s="9">
        <f t="shared" si="62"/>
        <v>0</v>
      </c>
      <c r="AB224" s="9">
        <f t="shared" si="62"/>
        <v>0</v>
      </c>
      <c r="AC224" s="9">
        <f t="shared" si="62"/>
        <v>0</v>
      </c>
      <c r="AD224" s="9">
        <f t="shared" si="62"/>
        <v>0</v>
      </c>
      <c r="AE224" s="9">
        <f t="shared" si="62"/>
        <v>0</v>
      </c>
      <c r="AF224" s="9">
        <f t="shared" si="62"/>
        <v>0</v>
      </c>
    </row>
    <row r="225" spans="4:32">
      <c r="D225" t="s">
        <v>11</v>
      </c>
      <c r="E225" s="8"/>
      <c r="G225" t="s">
        <v>8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</row>
    <row r="226" spans="4:32">
      <c r="D226" t="s">
        <v>12</v>
      </c>
      <c r="E226" s="8"/>
      <c r="G226" t="s">
        <v>8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</row>
    <row r="228" spans="4:32">
      <c r="D228" s="5" t="s">
        <v>14</v>
      </c>
      <c r="E228" s="5" t="s">
        <v>7</v>
      </c>
      <c r="F228" s="5"/>
      <c r="G228" s="5"/>
      <c r="H228" s="10"/>
      <c r="I228" s="10">
        <f>INDEX(I229:I233,MATCH($E228,$D229:$D233,0))</f>
        <v>1.03E-2</v>
      </c>
      <c r="J228" s="10">
        <f t="shared" ref="J228:AF228" si="63">INDEX(J229:J233,MATCH($E228,$D229:$D233,0))</f>
        <v>0.01</v>
      </c>
      <c r="K228" s="10">
        <f t="shared" si="63"/>
        <v>1.0500000000000001E-2</v>
      </c>
      <c r="L228" s="10">
        <f t="shared" si="63"/>
        <v>1.0200000000000001E-2</v>
      </c>
      <c r="M228" s="10">
        <f t="shared" si="63"/>
        <v>9.1999999999999998E-3</v>
      </c>
      <c r="N228" s="10">
        <f t="shared" si="63"/>
        <v>9.2999999999999992E-3</v>
      </c>
      <c r="O228" s="10">
        <f t="shared" si="63"/>
        <v>8.6999999999999994E-3</v>
      </c>
      <c r="P228" s="10">
        <f t="shared" si="63"/>
        <v>7.0000000000000001E-3</v>
      </c>
      <c r="Q228" s="10">
        <f t="shared" si="63"/>
        <v>7.6E-3</v>
      </c>
      <c r="R228" s="10">
        <f t="shared" si="63"/>
        <v>7.6E-3</v>
      </c>
      <c r="S228" s="10">
        <f t="shared" si="63"/>
        <v>7.6E-3</v>
      </c>
      <c r="T228" s="10">
        <f t="shared" si="63"/>
        <v>7.6E-3</v>
      </c>
      <c r="U228" s="10">
        <f t="shared" si="63"/>
        <v>0</v>
      </c>
      <c r="V228" s="10">
        <f t="shared" si="63"/>
        <v>0</v>
      </c>
      <c r="W228" s="10">
        <f t="shared" si="63"/>
        <v>0</v>
      </c>
      <c r="X228" s="10">
        <f t="shared" si="63"/>
        <v>0</v>
      </c>
      <c r="Y228" s="10">
        <f t="shared" si="63"/>
        <v>0</v>
      </c>
      <c r="Z228" s="10">
        <f t="shared" si="63"/>
        <v>0</v>
      </c>
      <c r="AA228" s="10">
        <f t="shared" si="63"/>
        <v>0</v>
      </c>
      <c r="AB228" s="10">
        <f t="shared" si="63"/>
        <v>0</v>
      </c>
      <c r="AC228" s="10">
        <f t="shared" si="63"/>
        <v>0</v>
      </c>
      <c r="AD228" s="10">
        <f t="shared" si="63"/>
        <v>0</v>
      </c>
      <c r="AE228" s="10">
        <f t="shared" si="63"/>
        <v>0</v>
      </c>
      <c r="AF228" s="10">
        <f t="shared" si="63"/>
        <v>0</v>
      </c>
    </row>
    <row r="229" spans="4:32">
      <c r="D229" t="s">
        <v>7</v>
      </c>
      <c r="E229" s="6"/>
      <c r="G229" t="s">
        <v>15</v>
      </c>
      <c r="I229" s="11">
        <v>1.03E-2</v>
      </c>
      <c r="J229" s="11">
        <v>0.01</v>
      </c>
      <c r="K229" s="11">
        <v>1.0500000000000001E-2</v>
      </c>
      <c r="L229" s="11">
        <v>1.0200000000000001E-2</v>
      </c>
      <c r="M229" s="11">
        <v>9.1999999999999998E-3</v>
      </c>
      <c r="N229" s="11">
        <v>9.2999999999999992E-3</v>
      </c>
      <c r="O229" s="11">
        <v>8.6999999999999994E-3</v>
      </c>
      <c r="P229" s="11">
        <v>7.0000000000000001E-3</v>
      </c>
      <c r="Q229" s="11">
        <v>7.6E-3</v>
      </c>
      <c r="R229" s="11">
        <v>7.6E-3</v>
      </c>
      <c r="S229" s="11">
        <v>7.6E-3</v>
      </c>
      <c r="T229" s="11">
        <v>7.6E-3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</row>
    <row r="230" spans="4:32">
      <c r="D230" t="s">
        <v>9</v>
      </c>
      <c r="E230" s="8">
        <v>0.1</v>
      </c>
      <c r="G230" t="s">
        <v>15</v>
      </c>
      <c r="I230" s="12">
        <f>I229*(1+$E230)</f>
        <v>1.1330000000000002E-2</v>
      </c>
      <c r="J230" s="12">
        <f t="shared" ref="J230:AF231" si="64">J229*(1+$E230)</f>
        <v>1.1000000000000001E-2</v>
      </c>
      <c r="K230" s="12">
        <f t="shared" si="64"/>
        <v>1.1550000000000001E-2</v>
      </c>
      <c r="L230" s="12">
        <f t="shared" si="64"/>
        <v>1.1220000000000003E-2</v>
      </c>
      <c r="M230" s="12">
        <f t="shared" si="64"/>
        <v>1.0120000000000001E-2</v>
      </c>
      <c r="N230" s="12">
        <f t="shared" si="64"/>
        <v>1.023E-2</v>
      </c>
      <c r="O230" s="12">
        <f t="shared" si="64"/>
        <v>9.5700000000000004E-3</v>
      </c>
      <c r="P230" s="12">
        <f t="shared" si="64"/>
        <v>7.7000000000000011E-3</v>
      </c>
      <c r="Q230" s="12">
        <f t="shared" si="64"/>
        <v>8.3600000000000011E-3</v>
      </c>
      <c r="R230" s="12">
        <f t="shared" si="64"/>
        <v>8.3600000000000011E-3</v>
      </c>
      <c r="S230" s="12">
        <f t="shared" si="64"/>
        <v>8.3600000000000011E-3</v>
      </c>
      <c r="T230" s="12">
        <f t="shared" si="64"/>
        <v>8.3600000000000011E-3</v>
      </c>
      <c r="U230" s="12">
        <f t="shared" si="64"/>
        <v>0</v>
      </c>
      <c r="V230" s="12">
        <f t="shared" si="64"/>
        <v>0</v>
      </c>
      <c r="W230" s="12">
        <f t="shared" si="64"/>
        <v>0</v>
      </c>
      <c r="X230" s="12">
        <f t="shared" si="64"/>
        <v>0</v>
      </c>
      <c r="Y230" s="12">
        <f t="shared" si="64"/>
        <v>0</v>
      </c>
      <c r="Z230" s="12">
        <f t="shared" si="64"/>
        <v>0</v>
      </c>
      <c r="AA230" s="12">
        <f t="shared" si="64"/>
        <v>0</v>
      </c>
      <c r="AB230" s="12">
        <f t="shared" si="64"/>
        <v>0</v>
      </c>
      <c r="AC230" s="12">
        <f t="shared" si="64"/>
        <v>0</v>
      </c>
      <c r="AD230" s="12">
        <f t="shared" si="64"/>
        <v>0</v>
      </c>
      <c r="AE230" s="12">
        <f t="shared" si="64"/>
        <v>0</v>
      </c>
      <c r="AF230" s="12">
        <f t="shared" si="64"/>
        <v>0</v>
      </c>
    </row>
    <row r="231" spans="4:32">
      <c r="D231" t="s">
        <v>10</v>
      </c>
      <c r="E231" s="8">
        <v>-0.1</v>
      </c>
      <c r="G231" t="s">
        <v>15</v>
      </c>
      <c r="I231" s="12">
        <f>I230*(1+$E231)</f>
        <v>1.0197000000000001E-2</v>
      </c>
      <c r="J231" s="12">
        <f t="shared" si="64"/>
        <v>9.9000000000000008E-3</v>
      </c>
      <c r="K231" s="12">
        <f t="shared" si="64"/>
        <v>1.0395000000000001E-2</v>
      </c>
      <c r="L231" s="12">
        <f t="shared" si="64"/>
        <v>1.0098000000000003E-2</v>
      </c>
      <c r="M231" s="12">
        <f t="shared" si="64"/>
        <v>9.1080000000000015E-3</v>
      </c>
      <c r="N231" s="12">
        <f t="shared" si="64"/>
        <v>9.2069999999999999E-3</v>
      </c>
      <c r="O231" s="12">
        <f t="shared" si="64"/>
        <v>8.6130000000000009E-3</v>
      </c>
      <c r="P231" s="12">
        <f t="shared" si="64"/>
        <v>6.9300000000000013E-3</v>
      </c>
      <c r="Q231" s="12">
        <f t="shared" si="64"/>
        <v>7.5240000000000012E-3</v>
      </c>
      <c r="R231" s="12">
        <f t="shared" si="64"/>
        <v>7.5240000000000012E-3</v>
      </c>
      <c r="S231" s="12">
        <f t="shared" si="64"/>
        <v>7.5240000000000012E-3</v>
      </c>
      <c r="T231" s="12">
        <f t="shared" si="64"/>
        <v>7.5240000000000012E-3</v>
      </c>
      <c r="U231" s="12">
        <f t="shared" si="64"/>
        <v>0</v>
      </c>
      <c r="V231" s="12">
        <f t="shared" si="64"/>
        <v>0</v>
      </c>
      <c r="W231" s="12">
        <f t="shared" si="64"/>
        <v>0</v>
      </c>
      <c r="X231" s="12">
        <f t="shared" si="64"/>
        <v>0</v>
      </c>
      <c r="Y231" s="12">
        <f t="shared" si="64"/>
        <v>0</v>
      </c>
      <c r="Z231" s="12">
        <f t="shared" si="64"/>
        <v>0</v>
      </c>
      <c r="AA231" s="12">
        <f t="shared" si="64"/>
        <v>0</v>
      </c>
      <c r="AB231" s="12">
        <f t="shared" si="64"/>
        <v>0</v>
      </c>
      <c r="AC231" s="12">
        <f t="shared" si="64"/>
        <v>0</v>
      </c>
      <c r="AD231" s="12">
        <f t="shared" si="64"/>
        <v>0</v>
      </c>
      <c r="AE231" s="12">
        <f t="shared" si="64"/>
        <v>0</v>
      </c>
      <c r="AF231" s="12">
        <f t="shared" si="64"/>
        <v>0</v>
      </c>
    </row>
    <row r="232" spans="4:32">
      <c r="D232" t="s">
        <v>11</v>
      </c>
      <c r="E232" s="8"/>
      <c r="G232" t="s">
        <v>15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</row>
    <row r="233" spans="4:32">
      <c r="D233" t="s">
        <v>12</v>
      </c>
      <c r="E233" s="8"/>
      <c r="G233" t="s">
        <v>15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</row>
    <row r="235" spans="4:32">
      <c r="D235" s="5" t="s">
        <v>16</v>
      </c>
      <c r="E235" s="5" t="s">
        <v>7</v>
      </c>
      <c r="F235" s="5"/>
      <c r="G235" s="5"/>
      <c r="H235" s="13"/>
      <c r="I235" s="13">
        <f>INDEX(I236:I240,MATCH($E235,$D236:$D240,0))</f>
        <v>0.22</v>
      </c>
      <c r="J235" s="13">
        <f t="shared" ref="J235:AF235" si="65">INDEX(J236:J240,MATCH($E235,$D236:$D240,0))</f>
        <v>0.23</v>
      </c>
      <c r="K235" s="13">
        <f t="shared" si="65"/>
        <v>0.24</v>
      </c>
      <c r="L235" s="13">
        <f t="shared" si="65"/>
        <v>0.23</v>
      </c>
      <c r="M235" s="13">
        <f t="shared" si="65"/>
        <v>0.22</v>
      </c>
      <c r="N235" s="13">
        <f t="shared" si="65"/>
        <v>0.22</v>
      </c>
      <c r="O235" s="13">
        <f t="shared" si="65"/>
        <v>0.2</v>
      </c>
      <c r="P235" s="13">
        <f t="shared" si="65"/>
        <v>0.17</v>
      </c>
      <c r="Q235" s="13">
        <f t="shared" si="65"/>
        <v>0.19</v>
      </c>
      <c r="R235" s="13">
        <f t="shared" si="65"/>
        <v>0.18</v>
      </c>
      <c r="S235" s="13">
        <f t="shared" si="65"/>
        <v>0.18</v>
      </c>
      <c r="T235" s="13">
        <f t="shared" si="65"/>
        <v>0.18</v>
      </c>
      <c r="U235" s="13">
        <f t="shared" si="65"/>
        <v>0</v>
      </c>
      <c r="V235" s="13">
        <f t="shared" si="65"/>
        <v>0</v>
      </c>
      <c r="W235" s="13">
        <f t="shared" si="65"/>
        <v>0</v>
      </c>
      <c r="X235" s="13">
        <f t="shared" si="65"/>
        <v>0</v>
      </c>
      <c r="Y235" s="13">
        <f t="shared" si="65"/>
        <v>0</v>
      </c>
      <c r="Z235" s="13">
        <f t="shared" si="65"/>
        <v>0</v>
      </c>
      <c r="AA235" s="13">
        <f t="shared" si="65"/>
        <v>0</v>
      </c>
      <c r="AB235" s="13">
        <f t="shared" si="65"/>
        <v>0</v>
      </c>
      <c r="AC235" s="13">
        <f t="shared" si="65"/>
        <v>0</v>
      </c>
      <c r="AD235" s="13">
        <f t="shared" si="65"/>
        <v>0</v>
      </c>
      <c r="AE235" s="13">
        <f t="shared" si="65"/>
        <v>0</v>
      </c>
      <c r="AF235" s="13">
        <f t="shared" si="65"/>
        <v>0</v>
      </c>
    </row>
    <row r="236" spans="4:32">
      <c r="D236" t="s">
        <v>7</v>
      </c>
      <c r="E236" s="6"/>
      <c r="G236" t="s">
        <v>17</v>
      </c>
      <c r="I236" s="14">
        <v>0.22</v>
      </c>
      <c r="J236" s="14">
        <v>0.23</v>
      </c>
      <c r="K236" s="14">
        <v>0.24</v>
      </c>
      <c r="L236" s="14">
        <v>0.23</v>
      </c>
      <c r="M236" s="14">
        <v>0.22</v>
      </c>
      <c r="N236" s="14">
        <v>0.22</v>
      </c>
      <c r="O236" s="14">
        <v>0.2</v>
      </c>
      <c r="P236" s="14">
        <v>0.17</v>
      </c>
      <c r="Q236" s="14">
        <v>0.19</v>
      </c>
      <c r="R236" s="14">
        <v>0.18</v>
      </c>
      <c r="S236" s="14">
        <v>0.18</v>
      </c>
      <c r="T236" s="14">
        <v>0.18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</row>
    <row r="237" spans="4:32">
      <c r="D237" t="s">
        <v>9</v>
      </c>
      <c r="E237" s="8">
        <v>0.1</v>
      </c>
      <c r="G237" t="s">
        <v>17</v>
      </c>
      <c r="I237" s="15">
        <f>I236*(1+$E237)</f>
        <v>0.24200000000000002</v>
      </c>
      <c r="J237" s="15">
        <f t="shared" ref="J237:AF238" si="66">J236*(1+$E237)</f>
        <v>0.25300000000000006</v>
      </c>
      <c r="K237" s="15">
        <f t="shared" si="66"/>
        <v>0.26400000000000001</v>
      </c>
      <c r="L237" s="15">
        <f t="shared" si="66"/>
        <v>0.25300000000000006</v>
      </c>
      <c r="M237" s="15">
        <f t="shared" si="66"/>
        <v>0.24200000000000002</v>
      </c>
      <c r="N237" s="15">
        <f t="shared" si="66"/>
        <v>0.24200000000000002</v>
      </c>
      <c r="O237" s="15">
        <f t="shared" si="66"/>
        <v>0.22000000000000003</v>
      </c>
      <c r="P237" s="15">
        <f t="shared" si="66"/>
        <v>0.18700000000000003</v>
      </c>
      <c r="Q237" s="15">
        <f t="shared" si="66"/>
        <v>0.20900000000000002</v>
      </c>
      <c r="R237" s="15">
        <f t="shared" si="66"/>
        <v>0.19800000000000001</v>
      </c>
      <c r="S237" s="15">
        <f t="shared" si="66"/>
        <v>0.19800000000000001</v>
      </c>
      <c r="T237" s="15">
        <f t="shared" si="66"/>
        <v>0.19800000000000001</v>
      </c>
      <c r="U237" s="15">
        <f t="shared" si="66"/>
        <v>0</v>
      </c>
      <c r="V237" s="15">
        <f t="shared" si="66"/>
        <v>0</v>
      </c>
      <c r="W237" s="15">
        <f t="shared" si="66"/>
        <v>0</v>
      </c>
      <c r="X237" s="15">
        <f t="shared" si="66"/>
        <v>0</v>
      </c>
      <c r="Y237" s="15">
        <f t="shared" si="66"/>
        <v>0</v>
      </c>
      <c r="Z237" s="15">
        <f t="shared" si="66"/>
        <v>0</v>
      </c>
      <c r="AA237" s="15">
        <f t="shared" si="66"/>
        <v>0</v>
      </c>
      <c r="AB237" s="15">
        <f t="shared" si="66"/>
        <v>0</v>
      </c>
      <c r="AC237" s="15">
        <f t="shared" si="66"/>
        <v>0</v>
      </c>
      <c r="AD237" s="15">
        <f t="shared" si="66"/>
        <v>0</v>
      </c>
      <c r="AE237" s="15">
        <f t="shared" si="66"/>
        <v>0</v>
      </c>
      <c r="AF237" s="15">
        <f t="shared" si="66"/>
        <v>0</v>
      </c>
    </row>
    <row r="238" spans="4:32">
      <c r="D238" t="s">
        <v>10</v>
      </c>
      <c r="E238" s="8">
        <v>-0.1</v>
      </c>
      <c r="G238" t="s">
        <v>17</v>
      </c>
      <c r="I238" s="15">
        <f>I237*(1+$E238)</f>
        <v>0.21780000000000002</v>
      </c>
      <c r="J238" s="15">
        <f t="shared" si="66"/>
        <v>0.22770000000000007</v>
      </c>
      <c r="K238" s="15">
        <f t="shared" si="66"/>
        <v>0.23760000000000001</v>
      </c>
      <c r="L238" s="15">
        <f t="shared" si="66"/>
        <v>0.22770000000000007</v>
      </c>
      <c r="M238" s="15">
        <f t="shared" si="66"/>
        <v>0.21780000000000002</v>
      </c>
      <c r="N238" s="15">
        <f t="shared" si="66"/>
        <v>0.21780000000000002</v>
      </c>
      <c r="O238" s="15">
        <f t="shared" si="66"/>
        <v>0.19800000000000004</v>
      </c>
      <c r="P238" s="15">
        <f t="shared" si="66"/>
        <v>0.16830000000000003</v>
      </c>
      <c r="Q238" s="15">
        <f t="shared" si="66"/>
        <v>0.18810000000000002</v>
      </c>
      <c r="R238" s="15">
        <f t="shared" si="66"/>
        <v>0.17820000000000003</v>
      </c>
      <c r="S238" s="15">
        <f t="shared" si="66"/>
        <v>0.17820000000000003</v>
      </c>
      <c r="T238" s="15">
        <f t="shared" si="66"/>
        <v>0.17820000000000003</v>
      </c>
      <c r="U238" s="15">
        <f t="shared" si="66"/>
        <v>0</v>
      </c>
      <c r="V238" s="15">
        <f t="shared" si="66"/>
        <v>0</v>
      </c>
      <c r="W238" s="15">
        <f t="shared" si="66"/>
        <v>0</v>
      </c>
      <c r="X238" s="15">
        <f t="shared" si="66"/>
        <v>0</v>
      </c>
      <c r="Y238" s="15">
        <f t="shared" si="66"/>
        <v>0</v>
      </c>
      <c r="Z238" s="15">
        <f t="shared" si="66"/>
        <v>0</v>
      </c>
      <c r="AA238" s="15">
        <f t="shared" si="66"/>
        <v>0</v>
      </c>
      <c r="AB238" s="15">
        <f t="shared" si="66"/>
        <v>0</v>
      </c>
      <c r="AC238" s="15">
        <f t="shared" si="66"/>
        <v>0</v>
      </c>
      <c r="AD238" s="15">
        <f t="shared" si="66"/>
        <v>0</v>
      </c>
      <c r="AE238" s="15">
        <f t="shared" si="66"/>
        <v>0</v>
      </c>
      <c r="AF238" s="15">
        <f t="shared" si="66"/>
        <v>0</v>
      </c>
    </row>
    <row r="239" spans="4:32">
      <c r="D239" t="s">
        <v>11</v>
      </c>
      <c r="E239" s="8"/>
      <c r="G239" t="s">
        <v>17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</row>
    <row r="240" spans="4:32">
      <c r="D240" t="s">
        <v>12</v>
      </c>
      <c r="E240" s="8"/>
      <c r="G240" t="s">
        <v>17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</row>
    <row r="242" spans="4:32">
      <c r="D242" s="5" t="s">
        <v>18</v>
      </c>
      <c r="E242" s="5" t="s">
        <v>7</v>
      </c>
      <c r="F242" s="5"/>
      <c r="G242" s="5"/>
      <c r="H242" s="13"/>
      <c r="I242" s="13">
        <f>INDEX(I243:I247,MATCH($E242,$D243:$D247,0))</f>
        <v>2.1</v>
      </c>
      <c r="J242" s="13">
        <f t="shared" ref="J242:AF242" si="67">INDEX(J243:J247,MATCH($E242,$D243:$D247,0))</f>
        <v>2.44</v>
      </c>
      <c r="K242" s="13">
        <f t="shared" si="67"/>
        <v>2.44</v>
      </c>
      <c r="L242" s="13">
        <f t="shared" si="67"/>
        <v>2.4700000000000002</v>
      </c>
      <c r="M242" s="13">
        <f t="shared" si="67"/>
        <v>2.54</v>
      </c>
      <c r="N242" s="13">
        <f t="shared" si="67"/>
        <v>2.11</v>
      </c>
      <c r="O242" s="13">
        <f t="shared" si="67"/>
        <v>1.95</v>
      </c>
      <c r="P242" s="13">
        <f t="shared" si="67"/>
        <v>1.48</v>
      </c>
      <c r="Q242" s="13">
        <f t="shared" si="67"/>
        <v>1.69</v>
      </c>
      <c r="R242" s="13">
        <f t="shared" si="67"/>
        <v>1.79</v>
      </c>
      <c r="S242" s="13">
        <f t="shared" si="67"/>
        <v>1.79</v>
      </c>
      <c r="T242" s="13">
        <f t="shared" si="67"/>
        <v>1.79</v>
      </c>
      <c r="U242" s="13">
        <f t="shared" si="67"/>
        <v>0</v>
      </c>
      <c r="V242" s="13">
        <f t="shared" si="67"/>
        <v>0</v>
      </c>
      <c r="W242" s="13">
        <f t="shared" si="67"/>
        <v>0</v>
      </c>
      <c r="X242" s="13">
        <f t="shared" si="67"/>
        <v>0</v>
      </c>
      <c r="Y242" s="13">
        <f t="shared" si="67"/>
        <v>0</v>
      </c>
      <c r="Z242" s="13">
        <f t="shared" si="67"/>
        <v>0</v>
      </c>
      <c r="AA242" s="13">
        <f t="shared" si="67"/>
        <v>0</v>
      </c>
      <c r="AB242" s="13">
        <f t="shared" si="67"/>
        <v>0</v>
      </c>
      <c r="AC242" s="13">
        <f t="shared" si="67"/>
        <v>0</v>
      </c>
      <c r="AD242" s="13">
        <f t="shared" si="67"/>
        <v>0</v>
      </c>
      <c r="AE242" s="13">
        <f t="shared" si="67"/>
        <v>0</v>
      </c>
      <c r="AF242" s="13">
        <f t="shared" si="67"/>
        <v>0</v>
      </c>
    </row>
    <row r="243" spans="4:32">
      <c r="D243" t="s">
        <v>7</v>
      </c>
      <c r="E243" s="6"/>
      <c r="G243" t="s">
        <v>19</v>
      </c>
      <c r="I243" s="14">
        <v>2.1</v>
      </c>
      <c r="J243" s="14">
        <v>2.44</v>
      </c>
      <c r="K243" s="14">
        <v>2.44</v>
      </c>
      <c r="L243" s="14">
        <v>2.4700000000000002</v>
      </c>
      <c r="M243" s="14">
        <v>2.54</v>
      </c>
      <c r="N243" s="14">
        <v>2.11</v>
      </c>
      <c r="O243" s="14">
        <v>1.95</v>
      </c>
      <c r="P243" s="14">
        <v>1.48</v>
      </c>
      <c r="Q243" s="14">
        <v>1.69</v>
      </c>
      <c r="R243" s="14">
        <v>1.79</v>
      </c>
      <c r="S243" s="14">
        <v>1.79</v>
      </c>
      <c r="T243" s="14">
        <v>1.79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</row>
    <row r="244" spans="4:32">
      <c r="D244" t="s">
        <v>9</v>
      </c>
      <c r="E244" s="8">
        <v>0.1</v>
      </c>
      <c r="G244" t="s">
        <v>19</v>
      </c>
      <c r="I244" s="15">
        <f>I243*(1+$E244)</f>
        <v>2.3100000000000005</v>
      </c>
      <c r="J244" s="15">
        <f t="shared" ref="J244:AF245" si="68">J243*(1+$E244)</f>
        <v>2.6840000000000002</v>
      </c>
      <c r="K244" s="15">
        <f t="shared" si="68"/>
        <v>2.6840000000000002</v>
      </c>
      <c r="L244" s="15">
        <f t="shared" si="68"/>
        <v>2.7170000000000005</v>
      </c>
      <c r="M244" s="15">
        <f t="shared" si="68"/>
        <v>2.7940000000000005</v>
      </c>
      <c r="N244" s="15">
        <f t="shared" si="68"/>
        <v>2.3210000000000002</v>
      </c>
      <c r="O244" s="15">
        <f t="shared" si="68"/>
        <v>2.145</v>
      </c>
      <c r="P244" s="15">
        <f t="shared" si="68"/>
        <v>1.6280000000000001</v>
      </c>
      <c r="Q244" s="15">
        <f t="shared" si="68"/>
        <v>1.859</v>
      </c>
      <c r="R244" s="15">
        <f t="shared" si="68"/>
        <v>1.9690000000000003</v>
      </c>
      <c r="S244" s="15">
        <f t="shared" si="68"/>
        <v>1.9690000000000003</v>
      </c>
      <c r="T244" s="15">
        <f t="shared" si="68"/>
        <v>1.9690000000000003</v>
      </c>
      <c r="U244" s="15">
        <f t="shared" si="68"/>
        <v>0</v>
      </c>
      <c r="V244" s="15">
        <f t="shared" si="68"/>
        <v>0</v>
      </c>
      <c r="W244" s="15">
        <f t="shared" si="68"/>
        <v>0</v>
      </c>
      <c r="X244" s="15">
        <f t="shared" si="68"/>
        <v>0</v>
      </c>
      <c r="Y244" s="15">
        <f t="shared" si="68"/>
        <v>0</v>
      </c>
      <c r="Z244" s="15">
        <f t="shared" si="68"/>
        <v>0</v>
      </c>
      <c r="AA244" s="15">
        <f t="shared" si="68"/>
        <v>0</v>
      </c>
      <c r="AB244" s="15">
        <f t="shared" si="68"/>
        <v>0</v>
      </c>
      <c r="AC244" s="15">
        <f t="shared" si="68"/>
        <v>0</v>
      </c>
      <c r="AD244" s="15">
        <f t="shared" si="68"/>
        <v>0</v>
      </c>
      <c r="AE244" s="15">
        <f t="shared" si="68"/>
        <v>0</v>
      </c>
      <c r="AF244" s="15">
        <f t="shared" si="68"/>
        <v>0</v>
      </c>
    </row>
    <row r="245" spans="4:32">
      <c r="D245" t="s">
        <v>10</v>
      </c>
      <c r="E245" s="8">
        <v>-0.1</v>
      </c>
      <c r="G245" t="s">
        <v>19</v>
      </c>
      <c r="I245" s="15">
        <f>I244*(1+$E245)</f>
        <v>2.0790000000000006</v>
      </c>
      <c r="J245" s="15">
        <f t="shared" si="68"/>
        <v>2.4156000000000004</v>
      </c>
      <c r="K245" s="15">
        <f t="shared" si="68"/>
        <v>2.4156000000000004</v>
      </c>
      <c r="L245" s="15">
        <f t="shared" si="68"/>
        <v>2.4453000000000005</v>
      </c>
      <c r="M245" s="15">
        <f t="shared" si="68"/>
        <v>2.5146000000000006</v>
      </c>
      <c r="N245" s="15">
        <f t="shared" si="68"/>
        <v>2.0889000000000002</v>
      </c>
      <c r="O245" s="15">
        <f t="shared" si="68"/>
        <v>1.9305000000000001</v>
      </c>
      <c r="P245" s="15">
        <f t="shared" si="68"/>
        <v>1.4652000000000001</v>
      </c>
      <c r="Q245" s="15">
        <f t="shared" si="68"/>
        <v>1.6731</v>
      </c>
      <c r="R245" s="15">
        <f t="shared" si="68"/>
        <v>1.7721000000000002</v>
      </c>
      <c r="S245" s="15">
        <f t="shared" si="68"/>
        <v>1.7721000000000002</v>
      </c>
      <c r="T245" s="15">
        <f t="shared" si="68"/>
        <v>1.7721000000000002</v>
      </c>
      <c r="U245" s="15">
        <f t="shared" si="68"/>
        <v>0</v>
      </c>
      <c r="V245" s="15">
        <f t="shared" si="68"/>
        <v>0</v>
      </c>
      <c r="W245" s="15">
        <f t="shared" si="68"/>
        <v>0</v>
      </c>
      <c r="X245" s="15">
        <f t="shared" si="68"/>
        <v>0</v>
      </c>
      <c r="Y245" s="15">
        <f t="shared" si="68"/>
        <v>0</v>
      </c>
      <c r="Z245" s="15">
        <f t="shared" si="68"/>
        <v>0</v>
      </c>
      <c r="AA245" s="15">
        <f t="shared" si="68"/>
        <v>0</v>
      </c>
      <c r="AB245" s="15">
        <f t="shared" si="68"/>
        <v>0</v>
      </c>
      <c r="AC245" s="15">
        <f t="shared" si="68"/>
        <v>0</v>
      </c>
      <c r="AD245" s="15">
        <f t="shared" si="68"/>
        <v>0</v>
      </c>
      <c r="AE245" s="15">
        <f t="shared" si="68"/>
        <v>0</v>
      </c>
      <c r="AF245" s="15">
        <f t="shared" si="68"/>
        <v>0</v>
      </c>
    </row>
    <row r="246" spans="4:32">
      <c r="D246" t="s">
        <v>11</v>
      </c>
      <c r="E246" s="8"/>
      <c r="G246" t="s">
        <v>19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</row>
    <row r="247" spans="4:32">
      <c r="D247" t="s">
        <v>12</v>
      </c>
      <c r="E247" s="8"/>
      <c r="G247" t="s">
        <v>19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</row>
    <row r="249" spans="4:32">
      <c r="D249" s="4" t="s">
        <v>34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4:32">
      <c r="D250" s="5" t="s">
        <v>35</v>
      </c>
      <c r="E250" s="5" t="s">
        <v>7</v>
      </c>
      <c r="F250" s="5"/>
      <c r="G250" s="5"/>
      <c r="H250" s="10"/>
      <c r="I250" s="10">
        <f>INDEX(I251:I255,MATCH($E250,$D251:$D255,0))</f>
        <v>0.92100000000000004</v>
      </c>
      <c r="J250" s="10">
        <f t="shared" ref="J250:AF250" si="69">INDEX(J251:J255,MATCH($E250,$D251:$D255,0))</f>
        <v>0.92900000000000005</v>
      </c>
      <c r="K250" s="10">
        <f t="shared" si="69"/>
        <v>0.93100000000000005</v>
      </c>
      <c r="L250" s="10">
        <f t="shared" si="69"/>
        <v>0.92800000000000005</v>
      </c>
      <c r="M250" s="10">
        <f t="shared" si="69"/>
        <v>0.93</v>
      </c>
      <c r="N250" s="10">
        <f t="shared" si="69"/>
        <v>0.92500000000000004</v>
      </c>
      <c r="O250" s="10">
        <f t="shared" si="69"/>
        <v>0.92200000000000004</v>
      </c>
      <c r="P250" s="10">
        <f t="shared" si="69"/>
        <v>0.93</v>
      </c>
      <c r="Q250" s="10">
        <f t="shared" si="69"/>
        <v>0.93100000000000005</v>
      </c>
      <c r="R250" s="10">
        <f t="shared" si="69"/>
        <v>0.92200000000000004</v>
      </c>
      <c r="S250" s="10">
        <f t="shared" si="69"/>
        <v>0.92400000000000004</v>
      </c>
      <c r="T250" s="10">
        <f t="shared" si="69"/>
        <v>0.93100000000000005</v>
      </c>
      <c r="U250" s="10">
        <f t="shared" si="69"/>
        <v>0.93100000000000005</v>
      </c>
      <c r="V250" s="10">
        <f t="shared" si="69"/>
        <v>0.92200000000000004</v>
      </c>
      <c r="W250" s="10">
        <f t="shared" si="69"/>
        <v>0.91200000000000003</v>
      </c>
      <c r="X250" s="10">
        <f t="shared" si="69"/>
        <v>0.88</v>
      </c>
      <c r="Y250" s="10">
        <f t="shared" si="69"/>
        <v>0.875</v>
      </c>
      <c r="Z250" s="10">
        <f t="shared" si="69"/>
        <v>0.875</v>
      </c>
      <c r="AA250" s="10">
        <f t="shared" si="69"/>
        <v>0.85499999999999998</v>
      </c>
      <c r="AB250" s="10">
        <f t="shared" si="69"/>
        <v>0.86099999999999999</v>
      </c>
      <c r="AC250" s="10">
        <f t="shared" si="69"/>
        <v>0.85</v>
      </c>
      <c r="AD250" s="10">
        <f t="shared" si="69"/>
        <v>0.81899999999999995</v>
      </c>
      <c r="AE250" s="10">
        <f t="shared" si="69"/>
        <v>0.82599999999999996</v>
      </c>
      <c r="AF250" s="10">
        <f t="shared" si="69"/>
        <v>0.82599999999999996</v>
      </c>
    </row>
    <row r="251" spans="4:32">
      <c r="D251" t="s">
        <v>7</v>
      </c>
      <c r="E251" s="6"/>
      <c r="G251" t="s">
        <v>36</v>
      </c>
      <c r="I251" s="11">
        <v>0.92100000000000004</v>
      </c>
      <c r="J251" s="11">
        <v>0.92900000000000005</v>
      </c>
      <c r="K251" s="11">
        <v>0.93100000000000005</v>
      </c>
      <c r="L251" s="11">
        <v>0.92800000000000005</v>
      </c>
      <c r="M251" s="11">
        <v>0.93</v>
      </c>
      <c r="N251" s="11">
        <v>0.92500000000000004</v>
      </c>
      <c r="O251" s="11">
        <v>0.92200000000000004</v>
      </c>
      <c r="P251" s="11">
        <v>0.93</v>
      </c>
      <c r="Q251" s="11">
        <v>0.93100000000000005</v>
      </c>
      <c r="R251" s="11">
        <v>0.92200000000000004</v>
      </c>
      <c r="S251" s="11">
        <v>0.92400000000000004</v>
      </c>
      <c r="T251" s="11">
        <v>0.93100000000000005</v>
      </c>
      <c r="U251" s="11">
        <v>0.93100000000000005</v>
      </c>
      <c r="V251" s="11">
        <v>0.92200000000000004</v>
      </c>
      <c r="W251" s="11">
        <v>0.91200000000000003</v>
      </c>
      <c r="X251" s="11">
        <v>0.88</v>
      </c>
      <c r="Y251" s="11">
        <v>0.875</v>
      </c>
      <c r="Z251" s="11">
        <v>0.875</v>
      </c>
      <c r="AA251" s="11">
        <v>0.85499999999999998</v>
      </c>
      <c r="AB251" s="11">
        <v>0.86099999999999999</v>
      </c>
      <c r="AC251" s="11">
        <v>0.85</v>
      </c>
      <c r="AD251" s="11">
        <v>0.81899999999999995</v>
      </c>
      <c r="AE251" s="11">
        <v>0.82599999999999996</v>
      </c>
      <c r="AF251" s="11">
        <v>0.82599999999999996</v>
      </c>
    </row>
    <row r="252" spans="4:32">
      <c r="D252" t="s">
        <v>9</v>
      </c>
      <c r="E252" s="8">
        <v>0.1</v>
      </c>
      <c r="G252" t="s">
        <v>36</v>
      </c>
      <c r="I252" s="12">
        <f>I251*(1+$E252)</f>
        <v>1.0131000000000001</v>
      </c>
      <c r="J252" s="12">
        <f t="shared" ref="J252:AF253" si="70">J251*(1+$E252)</f>
        <v>1.0219</v>
      </c>
      <c r="K252" s="12">
        <f t="shared" si="70"/>
        <v>1.0241000000000002</v>
      </c>
      <c r="L252" s="12">
        <f t="shared" si="70"/>
        <v>1.0208000000000002</v>
      </c>
      <c r="M252" s="12">
        <f t="shared" si="70"/>
        <v>1.0230000000000001</v>
      </c>
      <c r="N252" s="12">
        <f t="shared" si="70"/>
        <v>1.0175000000000001</v>
      </c>
      <c r="O252" s="12">
        <f t="shared" si="70"/>
        <v>1.0142000000000002</v>
      </c>
      <c r="P252" s="12">
        <f t="shared" si="70"/>
        <v>1.0230000000000001</v>
      </c>
      <c r="Q252" s="12">
        <f t="shared" si="70"/>
        <v>1.0241000000000002</v>
      </c>
      <c r="R252" s="12">
        <f t="shared" si="70"/>
        <v>1.0142000000000002</v>
      </c>
      <c r="S252" s="12">
        <f t="shared" si="70"/>
        <v>1.0164000000000002</v>
      </c>
      <c r="T252" s="12">
        <f t="shared" si="70"/>
        <v>1.0241000000000002</v>
      </c>
      <c r="U252" s="12">
        <f t="shared" si="70"/>
        <v>1.0241000000000002</v>
      </c>
      <c r="V252" s="12">
        <f t="shared" si="70"/>
        <v>1.0142000000000002</v>
      </c>
      <c r="W252" s="12">
        <f t="shared" si="70"/>
        <v>1.0032000000000001</v>
      </c>
      <c r="X252" s="12">
        <f t="shared" si="70"/>
        <v>0.96800000000000008</v>
      </c>
      <c r="Y252" s="12">
        <f t="shared" si="70"/>
        <v>0.96250000000000013</v>
      </c>
      <c r="Z252" s="12">
        <f t="shared" si="70"/>
        <v>0.96250000000000013</v>
      </c>
      <c r="AA252" s="12">
        <f t="shared" si="70"/>
        <v>0.9405</v>
      </c>
      <c r="AB252" s="12">
        <f t="shared" si="70"/>
        <v>0.94710000000000005</v>
      </c>
      <c r="AC252" s="12">
        <f t="shared" si="70"/>
        <v>0.93500000000000005</v>
      </c>
      <c r="AD252" s="12">
        <f t="shared" si="70"/>
        <v>0.90090000000000003</v>
      </c>
      <c r="AE252" s="12">
        <f t="shared" si="70"/>
        <v>0.90860000000000007</v>
      </c>
      <c r="AF252" s="12">
        <f t="shared" si="70"/>
        <v>0.90860000000000007</v>
      </c>
    </row>
    <row r="253" spans="4:32">
      <c r="D253" t="s">
        <v>10</v>
      </c>
      <c r="E253" s="8">
        <v>-0.1</v>
      </c>
      <c r="G253" t="s">
        <v>36</v>
      </c>
      <c r="I253" s="12">
        <f>I252*(1+$E253)</f>
        <v>0.9117900000000001</v>
      </c>
      <c r="J253" s="12">
        <f t="shared" si="70"/>
        <v>0.91971000000000003</v>
      </c>
      <c r="K253" s="12">
        <f t="shared" si="70"/>
        <v>0.92169000000000023</v>
      </c>
      <c r="L253" s="12">
        <f t="shared" si="70"/>
        <v>0.9187200000000002</v>
      </c>
      <c r="M253" s="12">
        <f t="shared" si="70"/>
        <v>0.92070000000000018</v>
      </c>
      <c r="N253" s="12">
        <f t="shared" si="70"/>
        <v>0.91575000000000006</v>
      </c>
      <c r="O253" s="12">
        <f t="shared" si="70"/>
        <v>0.91278000000000026</v>
      </c>
      <c r="P253" s="12">
        <f t="shared" si="70"/>
        <v>0.92070000000000018</v>
      </c>
      <c r="Q253" s="12">
        <f t="shared" si="70"/>
        <v>0.92169000000000023</v>
      </c>
      <c r="R253" s="12">
        <f t="shared" si="70"/>
        <v>0.91278000000000026</v>
      </c>
      <c r="S253" s="12">
        <f t="shared" si="70"/>
        <v>0.91476000000000024</v>
      </c>
      <c r="T253" s="12">
        <f t="shared" si="70"/>
        <v>0.92169000000000023</v>
      </c>
      <c r="U253" s="12">
        <f t="shared" si="70"/>
        <v>0.92169000000000023</v>
      </c>
      <c r="V253" s="12">
        <f t="shared" si="70"/>
        <v>0.91278000000000026</v>
      </c>
      <c r="W253" s="12">
        <f t="shared" si="70"/>
        <v>0.90288000000000013</v>
      </c>
      <c r="X253" s="12">
        <f t="shared" si="70"/>
        <v>0.87120000000000009</v>
      </c>
      <c r="Y253" s="12">
        <f t="shared" si="70"/>
        <v>0.86625000000000019</v>
      </c>
      <c r="Z253" s="12">
        <f t="shared" si="70"/>
        <v>0.86625000000000019</v>
      </c>
      <c r="AA253" s="12">
        <f t="shared" si="70"/>
        <v>0.84645000000000004</v>
      </c>
      <c r="AB253" s="12">
        <f t="shared" si="70"/>
        <v>0.85239000000000009</v>
      </c>
      <c r="AC253" s="12">
        <f t="shared" si="70"/>
        <v>0.84150000000000003</v>
      </c>
      <c r="AD253" s="12">
        <f t="shared" si="70"/>
        <v>0.81081000000000003</v>
      </c>
      <c r="AE253" s="12">
        <f t="shared" si="70"/>
        <v>0.81774000000000013</v>
      </c>
      <c r="AF253" s="12">
        <f t="shared" si="70"/>
        <v>0.81774000000000013</v>
      </c>
    </row>
    <row r="254" spans="4:32">
      <c r="D254" t="s">
        <v>11</v>
      </c>
      <c r="E254" s="8"/>
      <c r="G254" t="s">
        <v>36</v>
      </c>
      <c r="I254" s="11">
        <v>0</v>
      </c>
      <c r="J254" s="11">
        <v>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</row>
    <row r="255" spans="4:32">
      <c r="D255" t="s">
        <v>12</v>
      </c>
      <c r="E255" s="8"/>
      <c r="G255" t="s">
        <v>36</v>
      </c>
      <c r="I255" s="11">
        <v>0</v>
      </c>
      <c r="J255" s="11">
        <v>0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</row>
    <row r="257" spans="4:32">
      <c r="D257" s="5" t="s">
        <v>37</v>
      </c>
      <c r="E257" s="5" t="s">
        <v>7</v>
      </c>
      <c r="F257" s="5"/>
      <c r="G257" s="5"/>
      <c r="H257" s="10"/>
      <c r="I257" s="10">
        <f>INDEX(I258:I262,MATCH($E257,$D258:$D262,0))</f>
        <v>0.70899999999999996</v>
      </c>
      <c r="J257" s="10">
        <f t="shared" ref="J257:AF257" si="71">INDEX(J258:J262,MATCH($E257,$D258:$D262,0))</f>
        <v>0.72199999999999998</v>
      </c>
      <c r="K257" s="10">
        <f t="shared" si="71"/>
        <v>0.71799999999999997</v>
      </c>
      <c r="L257" s="10">
        <f t="shared" si="71"/>
        <v>0.71799999999999997</v>
      </c>
      <c r="M257" s="10">
        <f t="shared" si="71"/>
        <v>0.71799999999999997</v>
      </c>
      <c r="N257" s="10">
        <f t="shared" si="71"/>
        <v>0.69899999999999995</v>
      </c>
      <c r="O257" s="10">
        <f t="shared" si="71"/>
        <v>0.69899999999999995</v>
      </c>
      <c r="P257" s="10">
        <f t="shared" si="71"/>
        <v>0.69899999999999995</v>
      </c>
      <c r="Q257" s="10">
        <f t="shared" si="71"/>
        <v>0.69899999999999995</v>
      </c>
      <c r="R257" s="10">
        <f t="shared" si="71"/>
        <v>0.69899999999999995</v>
      </c>
      <c r="S257" s="10">
        <f t="shared" si="71"/>
        <v>0.69899999999999995</v>
      </c>
      <c r="T257" s="10">
        <f t="shared" si="71"/>
        <v>0.69899999999999995</v>
      </c>
      <c r="U257" s="10">
        <f t="shared" si="71"/>
        <v>0.69899999999999995</v>
      </c>
      <c r="V257" s="10">
        <f t="shared" si="71"/>
        <v>0.69899999999999995</v>
      </c>
      <c r="W257" s="10">
        <f t="shared" si="71"/>
        <v>0.69899999999999995</v>
      </c>
      <c r="X257" s="10">
        <f t="shared" si="71"/>
        <v>0.71799999999999997</v>
      </c>
      <c r="Y257" s="10">
        <f t="shared" si="71"/>
        <v>0.69899999999999995</v>
      </c>
      <c r="Z257" s="10">
        <f t="shared" si="71"/>
        <v>0.69899999999999995</v>
      </c>
      <c r="AA257" s="10">
        <f t="shared" si="71"/>
        <v>0.69899999999999995</v>
      </c>
      <c r="AB257" s="10">
        <f t="shared" si="71"/>
        <v>0.69899999999999995</v>
      </c>
      <c r="AC257" s="10">
        <f t="shared" si="71"/>
        <v>0.69899999999999995</v>
      </c>
      <c r="AD257" s="10">
        <f t="shared" si="71"/>
        <v>0.69899999999999995</v>
      </c>
      <c r="AE257" s="10">
        <f t="shared" si="71"/>
        <v>0.69899999999999995</v>
      </c>
      <c r="AF257" s="10">
        <f t="shared" si="71"/>
        <v>0.69899999999999995</v>
      </c>
    </row>
    <row r="258" spans="4:32">
      <c r="D258" t="s">
        <v>7</v>
      </c>
      <c r="E258" s="6"/>
      <c r="G258" t="s">
        <v>38</v>
      </c>
      <c r="I258" s="11">
        <v>0.70899999999999996</v>
      </c>
      <c r="J258" s="11">
        <v>0.72199999999999998</v>
      </c>
      <c r="K258" s="11">
        <v>0.71799999999999997</v>
      </c>
      <c r="L258" s="11">
        <v>0.71799999999999997</v>
      </c>
      <c r="M258" s="11">
        <v>0.71799999999999997</v>
      </c>
      <c r="N258" s="11">
        <v>0.69899999999999995</v>
      </c>
      <c r="O258" s="11">
        <v>0.69899999999999995</v>
      </c>
      <c r="P258" s="11">
        <v>0.69899999999999995</v>
      </c>
      <c r="Q258" s="11">
        <v>0.69899999999999995</v>
      </c>
      <c r="R258" s="11">
        <v>0.69899999999999995</v>
      </c>
      <c r="S258" s="11">
        <v>0.69899999999999995</v>
      </c>
      <c r="T258" s="11">
        <v>0.69899999999999995</v>
      </c>
      <c r="U258" s="11">
        <v>0.69899999999999995</v>
      </c>
      <c r="V258" s="11">
        <v>0.69899999999999995</v>
      </c>
      <c r="W258" s="11">
        <v>0.69899999999999995</v>
      </c>
      <c r="X258" s="11">
        <v>0.71799999999999997</v>
      </c>
      <c r="Y258" s="11">
        <v>0.69899999999999995</v>
      </c>
      <c r="Z258" s="11">
        <v>0.69899999999999995</v>
      </c>
      <c r="AA258" s="11">
        <v>0.69899999999999995</v>
      </c>
      <c r="AB258" s="11">
        <v>0.69899999999999995</v>
      </c>
      <c r="AC258" s="11">
        <v>0.69899999999999995</v>
      </c>
      <c r="AD258" s="11">
        <v>0.69899999999999995</v>
      </c>
      <c r="AE258" s="11">
        <v>0.69899999999999995</v>
      </c>
      <c r="AF258" s="11">
        <v>0.69899999999999995</v>
      </c>
    </row>
    <row r="259" spans="4:32">
      <c r="D259" t="s">
        <v>9</v>
      </c>
      <c r="E259" s="8">
        <v>0.1</v>
      </c>
      <c r="G259" t="s">
        <v>38</v>
      </c>
      <c r="I259" s="12">
        <f>I258*(1+$E259)</f>
        <v>0.77990000000000004</v>
      </c>
      <c r="J259" s="12">
        <f t="shared" ref="J259:AF260" si="72">J258*(1+$E259)</f>
        <v>0.79420000000000002</v>
      </c>
      <c r="K259" s="12">
        <f t="shared" si="72"/>
        <v>0.78980000000000006</v>
      </c>
      <c r="L259" s="12">
        <f t="shared" si="72"/>
        <v>0.78980000000000006</v>
      </c>
      <c r="M259" s="12">
        <f t="shared" si="72"/>
        <v>0.78980000000000006</v>
      </c>
      <c r="N259" s="12">
        <f t="shared" si="72"/>
        <v>0.76890000000000003</v>
      </c>
      <c r="O259" s="12">
        <f t="shared" si="72"/>
        <v>0.76890000000000003</v>
      </c>
      <c r="P259" s="12">
        <f t="shared" si="72"/>
        <v>0.76890000000000003</v>
      </c>
      <c r="Q259" s="12">
        <f t="shared" si="72"/>
        <v>0.76890000000000003</v>
      </c>
      <c r="R259" s="12">
        <f t="shared" si="72"/>
        <v>0.76890000000000003</v>
      </c>
      <c r="S259" s="12">
        <f t="shared" si="72"/>
        <v>0.76890000000000003</v>
      </c>
      <c r="T259" s="12">
        <f t="shared" si="72"/>
        <v>0.76890000000000003</v>
      </c>
      <c r="U259" s="12">
        <f t="shared" si="72"/>
        <v>0.76890000000000003</v>
      </c>
      <c r="V259" s="12">
        <f t="shared" si="72"/>
        <v>0.76890000000000003</v>
      </c>
      <c r="W259" s="12">
        <f t="shared" si="72"/>
        <v>0.76890000000000003</v>
      </c>
      <c r="X259" s="12">
        <f t="shared" si="72"/>
        <v>0.78980000000000006</v>
      </c>
      <c r="Y259" s="12">
        <f t="shared" si="72"/>
        <v>0.76890000000000003</v>
      </c>
      <c r="Z259" s="12">
        <f t="shared" si="72"/>
        <v>0.76890000000000003</v>
      </c>
      <c r="AA259" s="12">
        <f t="shared" si="72"/>
        <v>0.76890000000000003</v>
      </c>
      <c r="AB259" s="12">
        <f t="shared" si="72"/>
        <v>0.76890000000000003</v>
      </c>
      <c r="AC259" s="12">
        <f t="shared" si="72"/>
        <v>0.76890000000000003</v>
      </c>
      <c r="AD259" s="12">
        <f t="shared" si="72"/>
        <v>0.76890000000000003</v>
      </c>
      <c r="AE259" s="12">
        <f t="shared" si="72"/>
        <v>0.76890000000000003</v>
      </c>
      <c r="AF259" s="12">
        <f t="shared" si="72"/>
        <v>0.76890000000000003</v>
      </c>
    </row>
    <row r="260" spans="4:32">
      <c r="D260" t="s">
        <v>10</v>
      </c>
      <c r="E260" s="8">
        <v>-0.1</v>
      </c>
      <c r="G260" t="s">
        <v>38</v>
      </c>
      <c r="I260" s="12">
        <f>I259*(1+$E260)</f>
        <v>0.70191000000000003</v>
      </c>
      <c r="J260" s="12">
        <f t="shared" si="72"/>
        <v>0.71478000000000008</v>
      </c>
      <c r="K260" s="12">
        <f t="shared" si="72"/>
        <v>0.71082000000000012</v>
      </c>
      <c r="L260" s="12">
        <f t="shared" si="72"/>
        <v>0.71082000000000012</v>
      </c>
      <c r="M260" s="12">
        <f t="shared" si="72"/>
        <v>0.71082000000000012</v>
      </c>
      <c r="N260" s="12">
        <f t="shared" si="72"/>
        <v>0.69201000000000001</v>
      </c>
      <c r="O260" s="12">
        <f t="shared" si="72"/>
        <v>0.69201000000000001</v>
      </c>
      <c r="P260" s="12">
        <f t="shared" si="72"/>
        <v>0.69201000000000001</v>
      </c>
      <c r="Q260" s="12">
        <f t="shared" si="72"/>
        <v>0.69201000000000001</v>
      </c>
      <c r="R260" s="12">
        <f t="shared" si="72"/>
        <v>0.69201000000000001</v>
      </c>
      <c r="S260" s="12">
        <f t="shared" si="72"/>
        <v>0.69201000000000001</v>
      </c>
      <c r="T260" s="12">
        <f t="shared" si="72"/>
        <v>0.69201000000000001</v>
      </c>
      <c r="U260" s="12">
        <f t="shared" si="72"/>
        <v>0.69201000000000001</v>
      </c>
      <c r="V260" s="12">
        <f t="shared" si="72"/>
        <v>0.69201000000000001</v>
      </c>
      <c r="W260" s="12">
        <f t="shared" si="72"/>
        <v>0.69201000000000001</v>
      </c>
      <c r="X260" s="12">
        <f t="shared" si="72"/>
        <v>0.71082000000000012</v>
      </c>
      <c r="Y260" s="12">
        <f t="shared" si="72"/>
        <v>0.69201000000000001</v>
      </c>
      <c r="Z260" s="12">
        <f t="shared" si="72"/>
        <v>0.69201000000000001</v>
      </c>
      <c r="AA260" s="12">
        <f t="shared" si="72"/>
        <v>0.69201000000000001</v>
      </c>
      <c r="AB260" s="12">
        <f t="shared" si="72"/>
        <v>0.69201000000000001</v>
      </c>
      <c r="AC260" s="12">
        <f t="shared" si="72"/>
        <v>0.69201000000000001</v>
      </c>
      <c r="AD260" s="12">
        <f t="shared" si="72"/>
        <v>0.69201000000000001</v>
      </c>
      <c r="AE260" s="12">
        <f t="shared" si="72"/>
        <v>0.69201000000000001</v>
      </c>
      <c r="AF260" s="12">
        <f t="shared" si="72"/>
        <v>0.69201000000000001</v>
      </c>
    </row>
    <row r="261" spans="4:32">
      <c r="D261" t="s">
        <v>11</v>
      </c>
      <c r="E261" s="8"/>
      <c r="G261" t="s">
        <v>38</v>
      </c>
      <c r="I261" s="11">
        <v>0</v>
      </c>
      <c r="J261" s="11">
        <v>0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</row>
    <row r="262" spans="4:32">
      <c r="D262" t="s">
        <v>12</v>
      </c>
      <c r="E262" s="8"/>
      <c r="G262" t="s">
        <v>38</v>
      </c>
      <c r="I262" s="11">
        <v>0</v>
      </c>
      <c r="J262" s="11">
        <v>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</row>
    <row r="264" spans="4:32">
      <c r="D264" s="5" t="s">
        <v>39</v>
      </c>
      <c r="E264" s="5" t="s">
        <v>7</v>
      </c>
      <c r="F264" s="5"/>
      <c r="G264" s="5"/>
      <c r="H264" s="10"/>
      <c r="I264" s="10">
        <f>INDEX(I265:I269,MATCH($E264,$D265:$D269,0))</f>
        <v>0.81499999999999995</v>
      </c>
      <c r="J264" s="10">
        <f t="shared" ref="J264:AF264" si="73">INDEX(J265:J269,MATCH($E264,$D265:$D269,0))</f>
        <v>0.82699999999999996</v>
      </c>
      <c r="K264" s="10">
        <f t="shared" si="73"/>
        <v>0.82199999999999995</v>
      </c>
      <c r="L264" s="10">
        <f t="shared" si="73"/>
        <v>0.81399999999999995</v>
      </c>
      <c r="M264" s="10">
        <f t="shared" si="73"/>
        <v>0.81399999999999995</v>
      </c>
      <c r="N264" s="10">
        <f t="shared" si="73"/>
        <v>0.81399999999999995</v>
      </c>
      <c r="O264" s="10">
        <f t="shared" si="73"/>
        <v>0.79900000000000004</v>
      </c>
      <c r="P264" s="10">
        <f t="shared" si="73"/>
        <v>0.79900000000000004</v>
      </c>
      <c r="Q264" s="10">
        <f t="shared" si="73"/>
        <v>0.81399999999999995</v>
      </c>
      <c r="R264" s="10">
        <f t="shared" si="73"/>
        <v>0.81399999999999995</v>
      </c>
      <c r="S264" s="10">
        <f t="shared" si="73"/>
        <v>0.79900000000000004</v>
      </c>
      <c r="T264" s="10">
        <f t="shared" si="73"/>
        <v>0.79900000000000004</v>
      </c>
      <c r="U264" s="10">
        <f t="shared" si="73"/>
        <v>0.79900000000000004</v>
      </c>
      <c r="V264" s="10">
        <f t="shared" si="73"/>
        <v>0.81399999999999995</v>
      </c>
      <c r="W264" s="10">
        <f t="shared" si="73"/>
        <v>0.81399999999999995</v>
      </c>
      <c r="X264" s="10">
        <f t="shared" si="73"/>
        <v>0.82599999999999996</v>
      </c>
      <c r="Y264" s="10">
        <f t="shared" si="73"/>
        <v>0.82599999999999996</v>
      </c>
      <c r="Z264" s="10">
        <f t="shared" si="73"/>
        <v>0.81399999999999995</v>
      </c>
      <c r="AA264" s="10">
        <f t="shared" si="73"/>
        <v>0.79900000000000004</v>
      </c>
      <c r="AB264" s="10">
        <f t="shared" si="73"/>
        <v>0.79900000000000004</v>
      </c>
      <c r="AC264" s="10">
        <f t="shared" si="73"/>
        <v>0.79900000000000004</v>
      </c>
      <c r="AD264" s="10">
        <f t="shared" si="73"/>
        <v>0.79900000000000004</v>
      </c>
      <c r="AE264" s="10">
        <f t="shared" si="73"/>
        <v>0.79900000000000004</v>
      </c>
      <c r="AF264" s="10">
        <f t="shared" si="73"/>
        <v>0.81399999999999995</v>
      </c>
    </row>
    <row r="265" spans="4:32">
      <c r="D265" t="s">
        <v>7</v>
      </c>
      <c r="E265" s="6"/>
      <c r="G265" t="s">
        <v>40</v>
      </c>
      <c r="I265" s="11">
        <v>0.81499999999999995</v>
      </c>
      <c r="J265" s="11">
        <v>0.82699999999999996</v>
      </c>
      <c r="K265" s="11">
        <v>0.82199999999999995</v>
      </c>
      <c r="L265" s="11">
        <v>0.81399999999999995</v>
      </c>
      <c r="M265" s="11">
        <v>0.81399999999999995</v>
      </c>
      <c r="N265" s="11">
        <v>0.81399999999999995</v>
      </c>
      <c r="O265" s="11">
        <v>0.79900000000000004</v>
      </c>
      <c r="P265" s="11">
        <v>0.79900000000000004</v>
      </c>
      <c r="Q265" s="11">
        <v>0.81399999999999995</v>
      </c>
      <c r="R265" s="11">
        <v>0.81399999999999995</v>
      </c>
      <c r="S265" s="11">
        <v>0.79900000000000004</v>
      </c>
      <c r="T265" s="11">
        <v>0.79900000000000004</v>
      </c>
      <c r="U265" s="11">
        <v>0.79900000000000004</v>
      </c>
      <c r="V265" s="11">
        <v>0.81399999999999995</v>
      </c>
      <c r="W265" s="11">
        <v>0.81399999999999995</v>
      </c>
      <c r="X265" s="11">
        <v>0.82599999999999996</v>
      </c>
      <c r="Y265" s="11">
        <v>0.82599999999999996</v>
      </c>
      <c r="Z265" s="11">
        <v>0.81399999999999995</v>
      </c>
      <c r="AA265" s="11">
        <v>0.79900000000000004</v>
      </c>
      <c r="AB265" s="11">
        <v>0.79900000000000004</v>
      </c>
      <c r="AC265" s="11">
        <v>0.79900000000000004</v>
      </c>
      <c r="AD265" s="11">
        <v>0.79900000000000004</v>
      </c>
      <c r="AE265" s="11">
        <v>0.79900000000000004</v>
      </c>
      <c r="AF265" s="11">
        <v>0.81399999999999995</v>
      </c>
    </row>
    <row r="266" spans="4:32">
      <c r="D266" t="s">
        <v>9</v>
      </c>
      <c r="E266" s="8">
        <v>0.1</v>
      </c>
      <c r="G266" t="s">
        <v>40</v>
      </c>
      <c r="I266" s="12">
        <f>I265*(1+$E266)</f>
        <v>0.89649999999999996</v>
      </c>
      <c r="J266" s="12">
        <f t="shared" ref="J266:AF267" si="74">J265*(1+$E266)</f>
        <v>0.90970000000000006</v>
      </c>
      <c r="K266" s="12">
        <f t="shared" si="74"/>
        <v>0.9042</v>
      </c>
      <c r="L266" s="12">
        <f t="shared" si="74"/>
        <v>0.89539999999999997</v>
      </c>
      <c r="M266" s="12">
        <f t="shared" si="74"/>
        <v>0.89539999999999997</v>
      </c>
      <c r="N266" s="12">
        <f t="shared" si="74"/>
        <v>0.89539999999999997</v>
      </c>
      <c r="O266" s="12">
        <f t="shared" si="74"/>
        <v>0.87890000000000013</v>
      </c>
      <c r="P266" s="12">
        <f t="shared" si="74"/>
        <v>0.87890000000000013</v>
      </c>
      <c r="Q266" s="12">
        <f t="shared" si="74"/>
        <v>0.89539999999999997</v>
      </c>
      <c r="R266" s="12">
        <f t="shared" si="74"/>
        <v>0.89539999999999997</v>
      </c>
      <c r="S266" s="12">
        <f t="shared" si="74"/>
        <v>0.87890000000000013</v>
      </c>
      <c r="T266" s="12">
        <f t="shared" si="74"/>
        <v>0.87890000000000013</v>
      </c>
      <c r="U266" s="12">
        <f t="shared" si="74"/>
        <v>0.87890000000000013</v>
      </c>
      <c r="V266" s="12">
        <f t="shared" si="74"/>
        <v>0.89539999999999997</v>
      </c>
      <c r="W266" s="12">
        <f t="shared" si="74"/>
        <v>0.89539999999999997</v>
      </c>
      <c r="X266" s="12">
        <f t="shared" si="74"/>
        <v>0.90860000000000007</v>
      </c>
      <c r="Y266" s="12">
        <f t="shared" si="74"/>
        <v>0.90860000000000007</v>
      </c>
      <c r="Z266" s="12">
        <f t="shared" si="74"/>
        <v>0.89539999999999997</v>
      </c>
      <c r="AA266" s="12">
        <f t="shared" si="74"/>
        <v>0.87890000000000013</v>
      </c>
      <c r="AB266" s="12">
        <f t="shared" si="74"/>
        <v>0.87890000000000013</v>
      </c>
      <c r="AC266" s="12">
        <f t="shared" si="74"/>
        <v>0.87890000000000013</v>
      </c>
      <c r="AD266" s="12">
        <f t="shared" si="74"/>
        <v>0.87890000000000013</v>
      </c>
      <c r="AE266" s="12">
        <f t="shared" si="74"/>
        <v>0.87890000000000013</v>
      </c>
      <c r="AF266" s="12">
        <f t="shared" si="74"/>
        <v>0.89539999999999997</v>
      </c>
    </row>
    <row r="267" spans="4:32">
      <c r="D267" t="s">
        <v>10</v>
      </c>
      <c r="E267" s="8">
        <v>-0.1</v>
      </c>
      <c r="G267" t="s">
        <v>40</v>
      </c>
      <c r="I267" s="12">
        <f>I266*(1+$E267)</f>
        <v>0.80684999999999996</v>
      </c>
      <c r="J267" s="12">
        <f t="shared" si="74"/>
        <v>0.81873000000000007</v>
      </c>
      <c r="K267" s="12">
        <f t="shared" si="74"/>
        <v>0.81378000000000006</v>
      </c>
      <c r="L267" s="12">
        <f t="shared" si="74"/>
        <v>0.80586000000000002</v>
      </c>
      <c r="M267" s="12">
        <f t="shared" si="74"/>
        <v>0.80586000000000002</v>
      </c>
      <c r="N267" s="12">
        <f t="shared" si="74"/>
        <v>0.80586000000000002</v>
      </c>
      <c r="O267" s="12">
        <f t="shared" si="74"/>
        <v>0.7910100000000001</v>
      </c>
      <c r="P267" s="12">
        <f t="shared" si="74"/>
        <v>0.7910100000000001</v>
      </c>
      <c r="Q267" s="12">
        <f t="shared" si="74"/>
        <v>0.80586000000000002</v>
      </c>
      <c r="R267" s="12">
        <f t="shared" si="74"/>
        <v>0.80586000000000002</v>
      </c>
      <c r="S267" s="12">
        <f t="shared" si="74"/>
        <v>0.7910100000000001</v>
      </c>
      <c r="T267" s="12">
        <f t="shared" si="74"/>
        <v>0.7910100000000001</v>
      </c>
      <c r="U267" s="12">
        <f t="shared" si="74"/>
        <v>0.7910100000000001</v>
      </c>
      <c r="V267" s="12">
        <f t="shared" si="74"/>
        <v>0.80586000000000002</v>
      </c>
      <c r="W267" s="12">
        <f t="shared" si="74"/>
        <v>0.80586000000000002</v>
      </c>
      <c r="X267" s="12">
        <f t="shared" si="74"/>
        <v>0.81774000000000013</v>
      </c>
      <c r="Y267" s="12">
        <f t="shared" si="74"/>
        <v>0.81774000000000013</v>
      </c>
      <c r="Z267" s="12">
        <f t="shared" si="74"/>
        <v>0.80586000000000002</v>
      </c>
      <c r="AA267" s="12">
        <f t="shared" si="74"/>
        <v>0.7910100000000001</v>
      </c>
      <c r="AB267" s="12">
        <f t="shared" si="74"/>
        <v>0.7910100000000001</v>
      </c>
      <c r="AC267" s="12">
        <f t="shared" si="74"/>
        <v>0.7910100000000001</v>
      </c>
      <c r="AD267" s="12">
        <f t="shared" si="74"/>
        <v>0.7910100000000001</v>
      </c>
      <c r="AE267" s="12">
        <f t="shared" si="74"/>
        <v>0.7910100000000001</v>
      </c>
      <c r="AF267" s="12">
        <f t="shared" si="74"/>
        <v>0.80586000000000002</v>
      </c>
    </row>
    <row r="268" spans="4:32">
      <c r="D268" t="s">
        <v>11</v>
      </c>
      <c r="E268" s="8"/>
      <c r="G268" t="s">
        <v>40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</row>
    <row r="269" spans="4:32">
      <c r="D269" t="s">
        <v>12</v>
      </c>
      <c r="E269" s="8"/>
      <c r="G269" t="s">
        <v>40</v>
      </c>
      <c r="I269" s="11">
        <v>0</v>
      </c>
      <c r="J269" s="11">
        <v>0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</row>
    <row r="271" spans="4:32">
      <c r="D271" s="4" t="s">
        <v>41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4:32">
      <c r="D272" s="5" t="s">
        <v>35</v>
      </c>
      <c r="E272" s="5" t="s">
        <v>7</v>
      </c>
      <c r="F272" s="5"/>
      <c r="G272" s="5"/>
      <c r="H272" s="10"/>
      <c r="I272" s="10">
        <f>INDEX(I273:I277,MATCH($E272,$D273:$D277,0))</f>
        <v>0.93500000000000005</v>
      </c>
      <c r="J272" s="10">
        <f t="shared" ref="J272:AF272" si="75">INDEX(J273:J277,MATCH($E272,$D273:$D277,0))</f>
        <v>0.93500000000000005</v>
      </c>
      <c r="K272" s="10">
        <f t="shared" si="75"/>
        <v>0.93500000000000005</v>
      </c>
      <c r="L272" s="10">
        <f t="shared" si="75"/>
        <v>0.93500000000000005</v>
      </c>
      <c r="M272" s="10">
        <f t="shared" si="75"/>
        <v>0.93500000000000005</v>
      </c>
      <c r="N272" s="10">
        <f t="shared" si="75"/>
        <v>0.93500000000000005</v>
      </c>
      <c r="O272" s="10">
        <f t="shared" si="75"/>
        <v>0.93500000000000005</v>
      </c>
      <c r="P272" s="10">
        <f t="shared" si="75"/>
        <v>0.93500000000000005</v>
      </c>
      <c r="Q272" s="10">
        <f t="shared" si="75"/>
        <v>0.93500000000000005</v>
      </c>
      <c r="R272" s="10">
        <f t="shared" si="75"/>
        <v>0.93500000000000005</v>
      </c>
      <c r="S272" s="10">
        <f t="shared" si="75"/>
        <v>0.93500000000000005</v>
      </c>
      <c r="T272" s="10">
        <f t="shared" si="75"/>
        <v>0.93500000000000005</v>
      </c>
      <c r="U272" s="10">
        <f t="shared" si="75"/>
        <v>0</v>
      </c>
      <c r="V272" s="10">
        <f t="shared" si="75"/>
        <v>0</v>
      </c>
      <c r="W272" s="10">
        <f t="shared" si="75"/>
        <v>0</v>
      </c>
      <c r="X272" s="10">
        <f t="shared" si="75"/>
        <v>0</v>
      </c>
      <c r="Y272" s="10">
        <f t="shared" si="75"/>
        <v>0</v>
      </c>
      <c r="Z272" s="10">
        <f t="shared" si="75"/>
        <v>0</v>
      </c>
      <c r="AA272" s="10">
        <f t="shared" si="75"/>
        <v>0</v>
      </c>
      <c r="AB272" s="10">
        <f t="shared" si="75"/>
        <v>0</v>
      </c>
      <c r="AC272" s="10">
        <f t="shared" si="75"/>
        <v>0</v>
      </c>
      <c r="AD272" s="10">
        <f t="shared" si="75"/>
        <v>0</v>
      </c>
      <c r="AE272" s="10">
        <f t="shared" si="75"/>
        <v>0</v>
      </c>
      <c r="AF272" s="10">
        <f t="shared" si="75"/>
        <v>0</v>
      </c>
    </row>
    <row r="273" spans="4:33">
      <c r="D273" t="s">
        <v>7</v>
      </c>
      <c r="E273" s="6"/>
      <c r="G273" t="s">
        <v>36</v>
      </c>
      <c r="I273" s="11">
        <v>0.93500000000000005</v>
      </c>
      <c r="J273" s="11">
        <v>0.93500000000000005</v>
      </c>
      <c r="K273" s="11">
        <v>0.93500000000000005</v>
      </c>
      <c r="L273" s="11">
        <v>0.93500000000000005</v>
      </c>
      <c r="M273" s="11">
        <v>0.93500000000000005</v>
      </c>
      <c r="N273" s="11">
        <v>0.93500000000000005</v>
      </c>
      <c r="O273" s="11">
        <v>0.93500000000000005</v>
      </c>
      <c r="P273" s="11">
        <v>0.93500000000000005</v>
      </c>
      <c r="Q273" s="11">
        <v>0.93500000000000005</v>
      </c>
      <c r="R273" s="11">
        <v>0.93500000000000005</v>
      </c>
      <c r="S273" s="11">
        <v>0.93500000000000005</v>
      </c>
      <c r="T273" s="11">
        <v>0.93500000000000005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</row>
    <row r="274" spans="4:33">
      <c r="D274" t="s">
        <v>9</v>
      </c>
      <c r="E274" s="8">
        <v>0.1</v>
      </c>
      <c r="G274" t="s">
        <v>36</v>
      </c>
      <c r="I274" s="12">
        <f>I273*(1+$E274)</f>
        <v>1.0285000000000002</v>
      </c>
      <c r="J274" s="12">
        <f t="shared" ref="J274:AF275" si="76">J273*(1+$E274)</f>
        <v>1.0285000000000002</v>
      </c>
      <c r="K274" s="12">
        <f t="shared" si="76"/>
        <v>1.0285000000000002</v>
      </c>
      <c r="L274" s="12">
        <f t="shared" si="76"/>
        <v>1.0285000000000002</v>
      </c>
      <c r="M274" s="12">
        <f t="shared" si="76"/>
        <v>1.0285000000000002</v>
      </c>
      <c r="N274" s="12">
        <f t="shared" si="76"/>
        <v>1.0285000000000002</v>
      </c>
      <c r="O274" s="12">
        <f t="shared" si="76"/>
        <v>1.0285000000000002</v>
      </c>
      <c r="P274" s="12">
        <f t="shared" si="76"/>
        <v>1.0285000000000002</v>
      </c>
      <c r="Q274" s="12">
        <f t="shared" si="76"/>
        <v>1.0285000000000002</v>
      </c>
      <c r="R274" s="12">
        <f t="shared" si="76"/>
        <v>1.0285000000000002</v>
      </c>
      <c r="S274" s="12">
        <f t="shared" si="76"/>
        <v>1.0285000000000002</v>
      </c>
      <c r="T274" s="12">
        <f t="shared" si="76"/>
        <v>1.0285000000000002</v>
      </c>
      <c r="U274" s="12">
        <f t="shared" si="76"/>
        <v>0</v>
      </c>
      <c r="V274" s="12">
        <f t="shared" si="76"/>
        <v>0</v>
      </c>
      <c r="W274" s="12">
        <f t="shared" si="76"/>
        <v>0</v>
      </c>
      <c r="X274" s="12">
        <f t="shared" si="76"/>
        <v>0</v>
      </c>
      <c r="Y274" s="12">
        <f t="shared" si="76"/>
        <v>0</v>
      </c>
      <c r="Z274" s="12">
        <f t="shared" si="76"/>
        <v>0</v>
      </c>
      <c r="AA274" s="12">
        <f t="shared" si="76"/>
        <v>0</v>
      </c>
      <c r="AB274" s="12">
        <f t="shared" si="76"/>
        <v>0</v>
      </c>
      <c r="AC274" s="12">
        <f t="shared" si="76"/>
        <v>0</v>
      </c>
      <c r="AD274" s="12">
        <f t="shared" si="76"/>
        <v>0</v>
      </c>
      <c r="AE274" s="12">
        <f t="shared" si="76"/>
        <v>0</v>
      </c>
      <c r="AF274" s="12">
        <f t="shared" si="76"/>
        <v>0</v>
      </c>
    </row>
    <row r="275" spans="4:33">
      <c r="D275" t="s">
        <v>10</v>
      </c>
      <c r="E275" s="8">
        <v>-0.1</v>
      </c>
      <c r="G275" t="s">
        <v>36</v>
      </c>
      <c r="I275" s="12">
        <f>I274*(1+$E275)</f>
        <v>0.92565000000000019</v>
      </c>
      <c r="J275" s="12">
        <f t="shared" si="76"/>
        <v>0.92565000000000019</v>
      </c>
      <c r="K275" s="12">
        <f t="shared" si="76"/>
        <v>0.92565000000000019</v>
      </c>
      <c r="L275" s="12">
        <f t="shared" si="76"/>
        <v>0.92565000000000019</v>
      </c>
      <c r="M275" s="12">
        <f t="shared" si="76"/>
        <v>0.92565000000000019</v>
      </c>
      <c r="N275" s="12">
        <f t="shared" si="76"/>
        <v>0.92565000000000019</v>
      </c>
      <c r="O275" s="12">
        <f t="shared" si="76"/>
        <v>0.92565000000000019</v>
      </c>
      <c r="P275" s="12">
        <f t="shared" si="76"/>
        <v>0.92565000000000019</v>
      </c>
      <c r="Q275" s="12">
        <f t="shared" si="76"/>
        <v>0.92565000000000019</v>
      </c>
      <c r="R275" s="12">
        <f t="shared" si="76"/>
        <v>0.92565000000000019</v>
      </c>
      <c r="S275" s="12">
        <f t="shared" si="76"/>
        <v>0.92565000000000019</v>
      </c>
      <c r="T275" s="12">
        <f t="shared" si="76"/>
        <v>0.92565000000000019</v>
      </c>
      <c r="U275" s="12">
        <f t="shared" si="76"/>
        <v>0</v>
      </c>
      <c r="V275" s="12">
        <f t="shared" si="76"/>
        <v>0</v>
      </c>
      <c r="W275" s="12">
        <f t="shared" si="76"/>
        <v>0</v>
      </c>
      <c r="X275" s="12">
        <f t="shared" si="76"/>
        <v>0</v>
      </c>
      <c r="Y275" s="12">
        <f t="shared" si="76"/>
        <v>0</v>
      </c>
      <c r="Z275" s="12">
        <f t="shared" si="76"/>
        <v>0</v>
      </c>
      <c r="AA275" s="12">
        <f t="shared" si="76"/>
        <v>0</v>
      </c>
      <c r="AB275" s="12">
        <f t="shared" si="76"/>
        <v>0</v>
      </c>
      <c r="AC275" s="12">
        <f t="shared" si="76"/>
        <v>0</v>
      </c>
      <c r="AD275" s="12">
        <f t="shared" si="76"/>
        <v>0</v>
      </c>
      <c r="AE275" s="12">
        <f t="shared" si="76"/>
        <v>0</v>
      </c>
      <c r="AF275" s="12">
        <f t="shared" si="76"/>
        <v>0</v>
      </c>
    </row>
    <row r="276" spans="4:33">
      <c r="D276" t="s">
        <v>11</v>
      </c>
      <c r="E276" s="8"/>
      <c r="G276" t="s">
        <v>36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</row>
    <row r="277" spans="4:33">
      <c r="D277" t="s">
        <v>12</v>
      </c>
      <c r="E277" s="8"/>
      <c r="G277" t="s">
        <v>36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6" t="s">
        <v>42</v>
      </c>
    </row>
    <row r="279" spans="4:33">
      <c r="D279" s="5" t="s">
        <v>37</v>
      </c>
      <c r="E279" s="5" t="s">
        <v>7</v>
      </c>
      <c r="F279" s="5"/>
      <c r="G279" s="5"/>
      <c r="H279" s="10"/>
      <c r="I279" s="10">
        <f>INDEX(I280:I284,MATCH($E279,$D280:$D284,0))</f>
        <v>0.74099999999999999</v>
      </c>
      <c r="J279" s="10">
        <f t="shared" ref="J279:AF279" si="77">INDEX(J280:J284,MATCH($E279,$D280:$D284,0))</f>
        <v>0.74099999999999999</v>
      </c>
      <c r="K279" s="10">
        <f t="shared" si="77"/>
        <v>0.74099999999999999</v>
      </c>
      <c r="L279" s="10">
        <f t="shared" si="77"/>
        <v>0.74099999999999999</v>
      </c>
      <c r="M279" s="10">
        <f t="shared" si="77"/>
        <v>0.74099999999999999</v>
      </c>
      <c r="N279" s="10">
        <f t="shared" si="77"/>
        <v>0.74099999999999999</v>
      </c>
      <c r="O279" s="10">
        <f t="shared" si="77"/>
        <v>0.74099999999999999</v>
      </c>
      <c r="P279" s="10">
        <f t="shared" si="77"/>
        <v>0.74099999999999999</v>
      </c>
      <c r="Q279" s="10">
        <f t="shared" si="77"/>
        <v>0.74099999999999999</v>
      </c>
      <c r="R279" s="10">
        <f t="shared" si="77"/>
        <v>0.74099999999999999</v>
      </c>
      <c r="S279" s="10">
        <f t="shared" si="77"/>
        <v>0.74099999999999999</v>
      </c>
      <c r="T279" s="10">
        <f t="shared" si="77"/>
        <v>0.74099999999999999</v>
      </c>
      <c r="U279" s="10">
        <f t="shared" si="77"/>
        <v>0</v>
      </c>
      <c r="V279" s="10">
        <f t="shared" si="77"/>
        <v>0</v>
      </c>
      <c r="W279" s="10">
        <f t="shared" si="77"/>
        <v>0</v>
      </c>
      <c r="X279" s="10">
        <f t="shared" si="77"/>
        <v>0</v>
      </c>
      <c r="Y279" s="10">
        <f t="shared" si="77"/>
        <v>0</v>
      </c>
      <c r="Z279" s="10">
        <f t="shared" si="77"/>
        <v>0</v>
      </c>
      <c r="AA279" s="10">
        <f t="shared" si="77"/>
        <v>0</v>
      </c>
      <c r="AB279" s="10">
        <f t="shared" si="77"/>
        <v>0</v>
      </c>
      <c r="AC279" s="10">
        <f t="shared" si="77"/>
        <v>0</v>
      </c>
      <c r="AD279" s="10">
        <f t="shared" si="77"/>
        <v>0</v>
      </c>
      <c r="AE279" s="10">
        <f t="shared" si="77"/>
        <v>0</v>
      </c>
      <c r="AF279" s="10">
        <f t="shared" si="77"/>
        <v>0</v>
      </c>
    </row>
    <row r="280" spans="4:33">
      <c r="D280" t="s">
        <v>7</v>
      </c>
      <c r="E280" s="6"/>
      <c r="G280" t="s">
        <v>38</v>
      </c>
      <c r="I280" s="11">
        <v>0.74099999999999999</v>
      </c>
      <c r="J280" s="11">
        <v>0.74099999999999999</v>
      </c>
      <c r="K280" s="11">
        <v>0.74099999999999999</v>
      </c>
      <c r="L280" s="11">
        <v>0.74099999999999999</v>
      </c>
      <c r="M280" s="11">
        <v>0.74099999999999999</v>
      </c>
      <c r="N280" s="11">
        <v>0.74099999999999999</v>
      </c>
      <c r="O280" s="11">
        <v>0.74099999999999999</v>
      </c>
      <c r="P280" s="11">
        <v>0.74099999999999999</v>
      </c>
      <c r="Q280" s="11">
        <v>0.74099999999999999</v>
      </c>
      <c r="R280" s="11">
        <v>0.74099999999999999</v>
      </c>
      <c r="S280" s="11">
        <v>0.74099999999999999</v>
      </c>
      <c r="T280" s="11">
        <v>0.74099999999999999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</row>
    <row r="281" spans="4:33">
      <c r="D281" t="s">
        <v>9</v>
      </c>
      <c r="E281" s="8">
        <v>0.1</v>
      </c>
      <c r="G281" t="s">
        <v>38</v>
      </c>
      <c r="I281" s="12">
        <f>I280*(1+$E281)</f>
        <v>0.81510000000000005</v>
      </c>
      <c r="J281" s="12">
        <f t="shared" ref="J281:AF282" si="78">J280*(1+$E281)</f>
        <v>0.81510000000000005</v>
      </c>
      <c r="K281" s="12">
        <f t="shared" si="78"/>
        <v>0.81510000000000005</v>
      </c>
      <c r="L281" s="12">
        <f t="shared" si="78"/>
        <v>0.81510000000000005</v>
      </c>
      <c r="M281" s="12">
        <f t="shared" si="78"/>
        <v>0.81510000000000005</v>
      </c>
      <c r="N281" s="12">
        <f t="shared" si="78"/>
        <v>0.81510000000000005</v>
      </c>
      <c r="O281" s="12">
        <f t="shared" si="78"/>
        <v>0.81510000000000005</v>
      </c>
      <c r="P281" s="12">
        <f t="shared" si="78"/>
        <v>0.81510000000000005</v>
      </c>
      <c r="Q281" s="12">
        <f t="shared" si="78"/>
        <v>0.81510000000000005</v>
      </c>
      <c r="R281" s="12">
        <f t="shared" si="78"/>
        <v>0.81510000000000005</v>
      </c>
      <c r="S281" s="12">
        <f t="shared" si="78"/>
        <v>0.81510000000000005</v>
      </c>
      <c r="T281" s="12">
        <f t="shared" si="78"/>
        <v>0.81510000000000005</v>
      </c>
      <c r="U281" s="12">
        <f t="shared" si="78"/>
        <v>0</v>
      </c>
      <c r="V281" s="12">
        <f t="shared" si="78"/>
        <v>0</v>
      </c>
      <c r="W281" s="12">
        <f t="shared" si="78"/>
        <v>0</v>
      </c>
      <c r="X281" s="12">
        <f t="shared" si="78"/>
        <v>0</v>
      </c>
      <c r="Y281" s="12">
        <f t="shared" si="78"/>
        <v>0</v>
      </c>
      <c r="Z281" s="12">
        <f t="shared" si="78"/>
        <v>0</v>
      </c>
      <c r="AA281" s="12">
        <f t="shared" si="78"/>
        <v>0</v>
      </c>
      <c r="AB281" s="12">
        <f t="shared" si="78"/>
        <v>0</v>
      </c>
      <c r="AC281" s="12">
        <f t="shared" si="78"/>
        <v>0</v>
      </c>
      <c r="AD281" s="12">
        <f t="shared" si="78"/>
        <v>0</v>
      </c>
      <c r="AE281" s="12">
        <f t="shared" si="78"/>
        <v>0</v>
      </c>
      <c r="AF281" s="12">
        <f t="shared" si="78"/>
        <v>0</v>
      </c>
    </row>
    <row r="282" spans="4:33">
      <c r="D282" t="s">
        <v>10</v>
      </c>
      <c r="E282" s="8">
        <v>-0.1</v>
      </c>
      <c r="G282" t="s">
        <v>38</v>
      </c>
      <c r="I282" s="12">
        <f>I281*(1+$E282)</f>
        <v>0.73359000000000008</v>
      </c>
      <c r="J282" s="12">
        <f t="shared" si="78"/>
        <v>0.73359000000000008</v>
      </c>
      <c r="K282" s="12">
        <f t="shared" si="78"/>
        <v>0.73359000000000008</v>
      </c>
      <c r="L282" s="12">
        <f t="shared" si="78"/>
        <v>0.73359000000000008</v>
      </c>
      <c r="M282" s="12">
        <f t="shared" si="78"/>
        <v>0.73359000000000008</v>
      </c>
      <c r="N282" s="12">
        <f t="shared" si="78"/>
        <v>0.73359000000000008</v>
      </c>
      <c r="O282" s="12">
        <f t="shared" si="78"/>
        <v>0.73359000000000008</v>
      </c>
      <c r="P282" s="12">
        <f t="shared" si="78"/>
        <v>0.73359000000000008</v>
      </c>
      <c r="Q282" s="12">
        <f t="shared" si="78"/>
        <v>0.73359000000000008</v>
      </c>
      <c r="R282" s="12">
        <f t="shared" si="78"/>
        <v>0.73359000000000008</v>
      </c>
      <c r="S282" s="12">
        <f t="shared" si="78"/>
        <v>0.73359000000000008</v>
      </c>
      <c r="T282" s="12">
        <f t="shared" si="78"/>
        <v>0.73359000000000008</v>
      </c>
      <c r="U282" s="12">
        <f t="shared" si="78"/>
        <v>0</v>
      </c>
      <c r="V282" s="12">
        <f t="shared" si="78"/>
        <v>0</v>
      </c>
      <c r="W282" s="12">
        <f t="shared" si="78"/>
        <v>0</v>
      </c>
      <c r="X282" s="12">
        <f t="shared" si="78"/>
        <v>0</v>
      </c>
      <c r="Y282" s="12">
        <f t="shared" si="78"/>
        <v>0</v>
      </c>
      <c r="Z282" s="12">
        <f t="shared" si="78"/>
        <v>0</v>
      </c>
      <c r="AA282" s="12">
        <f t="shared" si="78"/>
        <v>0</v>
      </c>
      <c r="AB282" s="12">
        <f t="shared" si="78"/>
        <v>0</v>
      </c>
      <c r="AC282" s="12">
        <f t="shared" si="78"/>
        <v>0</v>
      </c>
      <c r="AD282" s="12">
        <f t="shared" si="78"/>
        <v>0</v>
      </c>
      <c r="AE282" s="12">
        <f t="shared" si="78"/>
        <v>0</v>
      </c>
      <c r="AF282" s="12">
        <f t="shared" si="78"/>
        <v>0</v>
      </c>
    </row>
    <row r="283" spans="4:33">
      <c r="D283" t="s">
        <v>11</v>
      </c>
      <c r="E283" s="8"/>
      <c r="G283" t="s">
        <v>38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</row>
    <row r="284" spans="4:33">
      <c r="D284" t="s">
        <v>12</v>
      </c>
      <c r="E284" s="8"/>
      <c r="G284" t="s">
        <v>38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</row>
    <row r="286" spans="4:33">
      <c r="D286" s="5" t="s">
        <v>39</v>
      </c>
      <c r="E286" s="5" t="s">
        <v>7</v>
      </c>
      <c r="F286" s="5"/>
      <c r="G286" s="5"/>
      <c r="H286" s="10"/>
      <c r="I286" s="10">
        <f>INDEX(I287:I291,MATCH($E286,$D287:$D291,0))</f>
        <v>0.82</v>
      </c>
      <c r="J286" s="10">
        <f t="shared" ref="J286:AF286" si="79">INDEX(J287:J291,MATCH($E286,$D287:$D291,0))</f>
        <v>0.82</v>
      </c>
      <c r="K286" s="10">
        <f t="shared" si="79"/>
        <v>0.82</v>
      </c>
      <c r="L286" s="10">
        <f t="shared" si="79"/>
        <v>0.82</v>
      </c>
      <c r="M286" s="10">
        <f t="shared" si="79"/>
        <v>0.82</v>
      </c>
      <c r="N286" s="10">
        <f t="shared" si="79"/>
        <v>0.82</v>
      </c>
      <c r="O286" s="10">
        <f t="shared" si="79"/>
        <v>0.82</v>
      </c>
      <c r="P286" s="10">
        <f t="shared" si="79"/>
        <v>0.82</v>
      </c>
      <c r="Q286" s="10">
        <f t="shared" si="79"/>
        <v>0.82</v>
      </c>
      <c r="R286" s="10">
        <f t="shared" si="79"/>
        <v>0.82</v>
      </c>
      <c r="S286" s="10">
        <f t="shared" si="79"/>
        <v>0.82</v>
      </c>
      <c r="T286" s="10">
        <f t="shared" si="79"/>
        <v>0.82</v>
      </c>
      <c r="U286" s="10">
        <f t="shared" si="79"/>
        <v>0</v>
      </c>
      <c r="V286" s="10">
        <f t="shared" si="79"/>
        <v>0</v>
      </c>
      <c r="W286" s="10">
        <f t="shared" si="79"/>
        <v>0</v>
      </c>
      <c r="X286" s="10">
        <f t="shared" si="79"/>
        <v>0</v>
      </c>
      <c r="Y286" s="10">
        <f t="shared" si="79"/>
        <v>0</v>
      </c>
      <c r="Z286" s="10">
        <f t="shared" si="79"/>
        <v>0</v>
      </c>
      <c r="AA286" s="10">
        <f t="shared" si="79"/>
        <v>0</v>
      </c>
      <c r="AB286" s="10">
        <f t="shared" si="79"/>
        <v>0</v>
      </c>
      <c r="AC286" s="10">
        <f t="shared" si="79"/>
        <v>0</v>
      </c>
      <c r="AD286" s="10">
        <f t="shared" si="79"/>
        <v>0</v>
      </c>
      <c r="AE286" s="10">
        <f t="shared" si="79"/>
        <v>0</v>
      </c>
      <c r="AF286" s="10">
        <f t="shared" si="79"/>
        <v>0</v>
      </c>
    </row>
    <row r="287" spans="4:33">
      <c r="D287" t="s">
        <v>7</v>
      </c>
      <c r="E287" s="6"/>
      <c r="G287" t="s">
        <v>40</v>
      </c>
      <c r="I287" s="11">
        <v>0.82</v>
      </c>
      <c r="J287" s="11">
        <v>0.82</v>
      </c>
      <c r="K287" s="11">
        <v>0.82</v>
      </c>
      <c r="L287" s="11">
        <v>0.82</v>
      </c>
      <c r="M287" s="11">
        <v>0.82</v>
      </c>
      <c r="N287" s="11">
        <v>0.82</v>
      </c>
      <c r="O287" s="11">
        <v>0.82</v>
      </c>
      <c r="P287" s="11">
        <v>0.82</v>
      </c>
      <c r="Q287" s="11">
        <v>0.82</v>
      </c>
      <c r="R287" s="11">
        <v>0.82</v>
      </c>
      <c r="S287" s="11">
        <v>0.82</v>
      </c>
      <c r="T287" s="11">
        <v>0.82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</row>
    <row r="288" spans="4:33">
      <c r="D288" t="s">
        <v>9</v>
      </c>
      <c r="E288" s="8">
        <v>0.1</v>
      </c>
      <c r="G288" t="s">
        <v>40</v>
      </c>
      <c r="I288" s="12">
        <f>I287*(1+$E288)</f>
        <v>0.90200000000000002</v>
      </c>
      <c r="J288" s="12">
        <f t="shared" ref="J288:AF289" si="80">J287*(1+$E288)</f>
        <v>0.90200000000000002</v>
      </c>
      <c r="K288" s="12">
        <f t="shared" si="80"/>
        <v>0.90200000000000002</v>
      </c>
      <c r="L288" s="12">
        <f t="shared" si="80"/>
        <v>0.90200000000000002</v>
      </c>
      <c r="M288" s="12">
        <f t="shared" si="80"/>
        <v>0.90200000000000002</v>
      </c>
      <c r="N288" s="12">
        <f t="shared" si="80"/>
        <v>0.90200000000000002</v>
      </c>
      <c r="O288" s="12">
        <f t="shared" si="80"/>
        <v>0.90200000000000002</v>
      </c>
      <c r="P288" s="12">
        <f t="shared" si="80"/>
        <v>0.90200000000000002</v>
      </c>
      <c r="Q288" s="12">
        <f t="shared" si="80"/>
        <v>0.90200000000000002</v>
      </c>
      <c r="R288" s="12">
        <f t="shared" si="80"/>
        <v>0.90200000000000002</v>
      </c>
      <c r="S288" s="12">
        <f t="shared" si="80"/>
        <v>0.90200000000000002</v>
      </c>
      <c r="T288" s="12">
        <f t="shared" si="80"/>
        <v>0.90200000000000002</v>
      </c>
      <c r="U288" s="12">
        <f t="shared" si="80"/>
        <v>0</v>
      </c>
      <c r="V288" s="12">
        <f t="shared" si="80"/>
        <v>0</v>
      </c>
      <c r="W288" s="12">
        <f t="shared" si="80"/>
        <v>0</v>
      </c>
      <c r="X288" s="12">
        <f t="shared" si="80"/>
        <v>0</v>
      </c>
      <c r="Y288" s="12">
        <f t="shared" si="80"/>
        <v>0</v>
      </c>
      <c r="Z288" s="12">
        <f t="shared" si="80"/>
        <v>0</v>
      </c>
      <c r="AA288" s="12">
        <f t="shared" si="80"/>
        <v>0</v>
      </c>
      <c r="AB288" s="12">
        <f t="shared" si="80"/>
        <v>0</v>
      </c>
      <c r="AC288" s="12">
        <f t="shared" si="80"/>
        <v>0</v>
      </c>
      <c r="AD288" s="12">
        <f t="shared" si="80"/>
        <v>0</v>
      </c>
      <c r="AE288" s="12">
        <f t="shared" si="80"/>
        <v>0</v>
      </c>
      <c r="AF288" s="12">
        <f t="shared" si="80"/>
        <v>0</v>
      </c>
    </row>
    <row r="289" spans="4:32">
      <c r="D289" t="s">
        <v>10</v>
      </c>
      <c r="E289" s="8">
        <v>-0.1</v>
      </c>
      <c r="G289" t="s">
        <v>40</v>
      </c>
      <c r="I289" s="12">
        <f>I288*(1+$E289)</f>
        <v>0.81180000000000008</v>
      </c>
      <c r="J289" s="12">
        <f t="shared" si="80"/>
        <v>0.81180000000000008</v>
      </c>
      <c r="K289" s="12">
        <f t="shared" si="80"/>
        <v>0.81180000000000008</v>
      </c>
      <c r="L289" s="12">
        <f t="shared" si="80"/>
        <v>0.81180000000000008</v>
      </c>
      <c r="M289" s="12">
        <f t="shared" si="80"/>
        <v>0.81180000000000008</v>
      </c>
      <c r="N289" s="12">
        <f t="shared" si="80"/>
        <v>0.81180000000000008</v>
      </c>
      <c r="O289" s="12">
        <f t="shared" si="80"/>
        <v>0.81180000000000008</v>
      </c>
      <c r="P289" s="12">
        <f t="shared" si="80"/>
        <v>0.81180000000000008</v>
      </c>
      <c r="Q289" s="12">
        <f t="shared" si="80"/>
        <v>0.81180000000000008</v>
      </c>
      <c r="R289" s="12">
        <f t="shared" si="80"/>
        <v>0.81180000000000008</v>
      </c>
      <c r="S289" s="12">
        <f t="shared" si="80"/>
        <v>0.81180000000000008</v>
      </c>
      <c r="T289" s="12">
        <f t="shared" si="80"/>
        <v>0.81180000000000008</v>
      </c>
      <c r="U289" s="12">
        <f t="shared" si="80"/>
        <v>0</v>
      </c>
      <c r="V289" s="12">
        <f t="shared" si="80"/>
        <v>0</v>
      </c>
      <c r="W289" s="12">
        <f t="shared" si="80"/>
        <v>0</v>
      </c>
      <c r="X289" s="12">
        <f t="shared" si="80"/>
        <v>0</v>
      </c>
      <c r="Y289" s="12">
        <f t="shared" si="80"/>
        <v>0</v>
      </c>
      <c r="Z289" s="12">
        <f t="shared" si="80"/>
        <v>0</v>
      </c>
      <c r="AA289" s="12">
        <f t="shared" si="80"/>
        <v>0</v>
      </c>
      <c r="AB289" s="12">
        <f t="shared" si="80"/>
        <v>0</v>
      </c>
      <c r="AC289" s="12">
        <f t="shared" si="80"/>
        <v>0</v>
      </c>
      <c r="AD289" s="12">
        <f t="shared" si="80"/>
        <v>0</v>
      </c>
      <c r="AE289" s="12">
        <f t="shared" si="80"/>
        <v>0</v>
      </c>
      <c r="AF289" s="12">
        <f t="shared" si="80"/>
        <v>0</v>
      </c>
    </row>
    <row r="290" spans="4:32">
      <c r="D290" t="s">
        <v>11</v>
      </c>
      <c r="E290" s="8"/>
      <c r="G290" t="s">
        <v>40</v>
      </c>
      <c r="I290" s="11">
        <v>0</v>
      </c>
      <c r="J290" s="11">
        <v>0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</row>
    <row r="291" spans="4:32">
      <c r="D291" t="s">
        <v>12</v>
      </c>
      <c r="E291" s="8"/>
      <c r="G291" t="s">
        <v>40</v>
      </c>
      <c r="I291" s="11">
        <v>0</v>
      </c>
      <c r="J291" s="11">
        <v>0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</row>
    <row r="293" spans="4:32">
      <c r="D293" s="3" t="s">
        <v>43</v>
      </c>
      <c r="E293" s="3"/>
      <c r="F293" s="3"/>
      <c r="G293" s="3" t="s">
        <v>3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4:32">
      <c r="D294" s="4" t="s">
        <v>44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4:32">
      <c r="D295" t="s">
        <v>45</v>
      </c>
      <c r="I295" s="11">
        <v>0.96499999999999997</v>
      </c>
      <c r="J295" s="11">
        <v>0.96499999999999997</v>
      </c>
      <c r="K295" s="11">
        <v>0.96499999999999997</v>
      </c>
      <c r="L295" s="11">
        <v>0.96499999999999997</v>
      </c>
      <c r="M295" s="11">
        <v>0.96499999999999997</v>
      </c>
      <c r="N295" s="11">
        <v>0.96499999999999997</v>
      </c>
      <c r="O295" s="11">
        <v>0.96499999999999997</v>
      </c>
      <c r="P295" s="11">
        <v>0.96499999999999997</v>
      </c>
      <c r="Q295" s="11">
        <v>0.96499999999999997</v>
      </c>
      <c r="R295" s="11">
        <v>0.96499999999999997</v>
      </c>
      <c r="S295" s="11">
        <v>0.96499999999999997</v>
      </c>
      <c r="T295" s="11">
        <v>0.96499999999999997</v>
      </c>
      <c r="U295" s="11">
        <v>0.96499999999999997</v>
      </c>
      <c r="V295" s="11">
        <v>0.96499999999999997</v>
      </c>
      <c r="W295" s="11">
        <v>0.96499999999999997</v>
      </c>
      <c r="X295" s="11">
        <v>0.96499999999999997</v>
      </c>
      <c r="Y295" s="11">
        <v>0.96499999999999997</v>
      </c>
      <c r="Z295" s="11">
        <v>0.96499999999999997</v>
      </c>
      <c r="AA295" s="11">
        <v>0.96499999999999997</v>
      </c>
      <c r="AB295" s="11">
        <v>0.96499999999999997</v>
      </c>
      <c r="AC295" s="11">
        <v>0.96499999999999997</v>
      </c>
      <c r="AD295" s="11">
        <v>0.96499999999999997</v>
      </c>
      <c r="AE295" s="11">
        <v>0.96499999999999997</v>
      </c>
      <c r="AF295" s="11">
        <v>0.96499999999999997</v>
      </c>
    </row>
    <row r="296" spans="4:32">
      <c r="D296" t="s">
        <v>46</v>
      </c>
      <c r="I296" s="11">
        <v>0.96</v>
      </c>
      <c r="J296" s="11">
        <v>0.96</v>
      </c>
      <c r="K296" s="11">
        <v>0.96</v>
      </c>
      <c r="L296" s="11">
        <v>0.96</v>
      </c>
      <c r="M296" s="11">
        <v>0.96</v>
      </c>
      <c r="N296" s="11">
        <v>0.96</v>
      </c>
      <c r="O296" s="11">
        <v>0.96</v>
      </c>
      <c r="P296" s="11">
        <v>0.96</v>
      </c>
      <c r="Q296" s="11">
        <v>0.96</v>
      </c>
      <c r="R296" s="11">
        <v>0.96</v>
      </c>
      <c r="S296" s="11">
        <v>0.96</v>
      </c>
      <c r="T296" s="11">
        <v>0.96</v>
      </c>
      <c r="U296" s="11">
        <v>0.96</v>
      </c>
      <c r="V296" s="11">
        <v>0.96</v>
      </c>
      <c r="W296" s="11">
        <v>0.96</v>
      </c>
      <c r="X296" s="11">
        <v>0.96</v>
      </c>
      <c r="Y296" s="11">
        <v>0.96</v>
      </c>
      <c r="Z296" s="11">
        <v>0.96</v>
      </c>
      <c r="AA296" s="11">
        <v>0.96</v>
      </c>
      <c r="AB296" s="11">
        <v>0.96</v>
      </c>
      <c r="AC296" s="11">
        <v>0.96</v>
      </c>
      <c r="AD296" s="11">
        <v>0.96</v>
      </c>
      <c r="AE296" s="11">
        <v>0.96</v>
      </c>
      <c r="AF296" s="11">
        <v>0.96</v>
      </c>
    </row>
    <row r="297" spans="4:32">
      <c r="D297" t="s">
        <v>47</v>
      </c>
      <c r="I297" s="11">
        <v>0.9</v>
      </c>
      <c r="J297" s="11">
        <v>0.9</v>
      </c>
      <c r="K297" s="11">
        <v>0.9</v>
      </c>
      <c r="L297" s="11">
        <v>0.9</v>
      </c>
      <c r="M297" s="11">
        <v>0.9</v>
      </c>
      <c r="N297" s="11">
        <v>0.9</v>
      </c>
      <c r="O297" s="11">
        <v>0.9</v>
      </c>
      <c r="P297" s="11">
        <v>0.9</v>
      </c>
      <c r="Q297" s="11">
        <v>0.9</v>
      </c>
      <c r="R297" s="11">
        <v>0.9</v>
      </c>
      <c r="S297" s="11">
        <v>0.9</v>
      </c>
      <c r="T297" s="11">
        <v>0.9</v>
      </c>
      <c r="U297" s="11">
        <v>0.9</v>
      </c>
      <c r="V297" s="11">
        <v>0.9</v>
      </c>
      <c r="W297" s="11">
        <v>0.9</v>
      </c>
      <c r="X297" s="11">
        <v>0.9</v>
      </c>
      <c r="Y297" s="11">
        <v>0.9</v>
      </c>
      <c r="Z297" s="11">
        <v>0.9</v>
      </c>
      <c r="AA297" s="11">
        <v>0.9</v>
      </c>
      <c r="AB297" s="11">
        <v>0.9</v>
      </c>
      <c r="AC297" s="11">
        <v>0.9</v>
      </c>
      <c r="AD297" s="11">
        <v>0.9</v>
      </c>
      <c r="AE297" s="11">
        <v>0.9</v>
      </c>
      <c r="AF297" s="11">
        <v>0.9</v>
      </c>
    </row>
    <row r="299" spans="4:32">
      <c r="D299" s="4" t="s">
        <v>48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4:32">
      <c r="D300" s="5" t="s">
        <v>49</v>
      </c>
      <c r="E300" s="5" t="s">
        <v>7</v>
      </c>
      <c r="F300" s="5"/>
      <c r="G300" s="5"/>
      <c r="H300" s="10"/>
      <c r="I300" s="10">
        <f t="shared" ref="I300:AF300" si="81">INDEX(I301:I305,MATCH($E300,$D301:$D305,0))</f>
        <v>9.5000000000000001E-2</v>
      </c>
      <c r="J300" s="10">
        <f t="shared" si="81"/>
        <v>9.5000000000000001E-2</v>
      </c>
      <c r="K300" s="10">
        <f t="shared" si="81"/>
        <v>9.5000000000000001E-2</v>
      </c>
      <c r="L300" s="10">
        <f t="shared" si="81"/>
        <v>9.5000000000000001E-2</v>
      </c>
      <c r="M300" s="10">
        <f t="shared" si="81"/>
        <v>9.5000000000000001E-2</v>
      </c>
      <c r="N300" s="10">
        <f t="shared" si="81"/>
        <v>9.5000000000000001E-2</v>
      </c>
      <c r="O300" s="10">
        <f t="shared" si="81"/>
        <v>9.5000000000000001E-2</v>
      </c>
      <c r="P300" s="10">
        <f t="shared" si="81"/>
        <v>9.5000000000000001E-2</v>
      </c>
      <c r="Q300" s="10">
        <f t="shared" si="81"/>
        <v>9.5000000000000001E-2</v>
      </c>
      <c r="R300" s="10">
        <f t="shared" si="81"/>
        <v>9.5000000000000001E-2</v>
      </c>
      <c r="S300" s="10">
        <f t="shared" si="81"/>
        <v>9.5000000000000001E-2</v>
      </c>
      <c r="T300" s="10">
        <f t="shared" si="81"/>
        <v>9.5000000000000001E-2</v>
      </c>
      <c r="U300" s="10">
        <f t="shared" si="81"/>
        <v>9.5000000000000001E-2</v>
      </c>
      <c r="V300" s="10">
        <f t="shared" si="81"/>
        <v>9.5000000000000001E-2</v>
      </c>
      <c r="W300" s="10">
        <f t="shared" si="81"/>
        <v>9.5000000000000001E-2</v>
      </c>
      <c r="X300" s="10">
        <f t="shared" si="81"/>
        <v>9.5000000000000001E-2</v>
      </c>
      <c r="Y300" s="10">
        <f t="shared" si="81"/>
        <v>9.5000000000000001E-2</v>
      </c>
      <c r="Z300" s="10">
        <f t="shared" si="81"/>
        <v>9.5000000000000001E-2</v>
      </c>
      <c r="AA300" s="10">
        <f t="shared" si="81"/>
        <v>9.5000000000000001E-2</v>
      </c>
      <c r="AB300" s="10">
        <f t="shared" si="81"/>
        <v>9.5000000000000001E-2</v>
      </c>
      <c r="AC300" s="10">
        <f t="shared" si="81"/>
        <v>9.5000000000000001E-2</v>
      </c>
      <c r="AD300" s="10">
        <f t="shared" si="81"/>
        <v>9.5000000000000001E-2</v>
      </c>
      <c r="AE300" s="10">
        <f t="shared" si="81"/>
        <v>9.5000000000000001E-2</v>
      </c>
      <c r="AF300" s="10">
        <f t="shared" si="81"/>
        <v>9.5000000000000001E-2</v>
      </c>
    </row>
    <row r="301" spans="4:32">
      <c r="D301" t="s">
        <v>7</v>
      </c>
      <c r="E301" s="6"/>
      <c r="G301" t="s">
        <v>50</v>
      </c>
      <c r="I301" s="11">
        <v>9.5000000000000001E-2</v>
      </c>
      <c r="J301" s="11">
        <v>9.5000000000000001E-2</v>
      </c>
      <c r="K301" s="11">
        <v>9.5000000000000001E-2</v>
      </c>
      <c r="L301" s="11">
        <v>9.5000000000000001E-2</v>
      </c>
      <c r="M301" s="11">
        <v>9.5000000000000001E-2</v>
      </c>
      <c r="N301" s="11">
        <v>9.5000000000000001E-2</v>
      </c>
      <c r="O301" s="11">
        <v>9.5000000000000001E-2</v>
      </c>
      <c r="P301" s="11">
        <v>9.5000000000000001E-2</v>
      </c>
      <c r="Q301" s="11">
        <v>9.5000000000000001E-2</v>
      </c>
      <c r="R301" s="11">
        <v>9.5000000000000001E-2</v>
      </c>
      <c r="S301" s="11">
        <v>9.5000000000000001E-2</v>
      </c>
      <c r="T301" s="11">
        <v>9.5000000000000001E-2</v>
      </c>
      <c r="U301" s="11">
        <v>9.5000000000000001E-2</v>
      </c>
      <c r="V301" s="11">
        <v>9.5000000000000001E-2</v>
      </c>
      <c r="W301" s="11">
        <v>9.5000000000000001E-2</v>
      </c>
      <c r="X301" s="11">
        <v>9.5000000000000001E-2</v>
      </c>
      <c r="Y301" s="11">
        <v>9.5000000000000001E-2</v>
      </c>
      <c r="Z301" s="11">
        <v>9.5000000000000001E-2</v>
      </c>
      <c r="AA301" s="11">
        <v>9.5000000000000001E-2</v>
      </c>
      <c r="AB301" s="11">
        <v>9.5000000000000001E-2</v>
      </c>
      <c r="AC301" s="11">
        <v>9.5000000000000001E-2</v>
      </c>
      <c r="AD301" s="11">
        <v>9.5000000000000001E-2</v>
      </c>
      <c r="AE301" s="11">
        <v>9.5000000000000001E-2</v>
      </c>
      <c r="AF301" s="11">
        <v>9.5000000000000001E-2</v>
      </c>
    </row>
    <row r="302" spans="4:32">
      <c r="D302" t="s">
        <v>9</v>
      </c>
      <c r="E302" s="8">
        <v>0.1</v>
      </c>
      <c r="G302" t="s">
        <v>50</v>
      </c>
      <c r="I302" s="12">
        <f t="shared" ref="I302:AF303" si="82">I301*(1+$E302)</f>
        <v>0.10450000000000001</v>
      </c>
      <c r="J302" s="12">
        <f t="shared" si="82"/>
        <v>0.10450000000000001</v>
      </c>
      <c r="K302" s="12">
        <f t="shared" si="82"/>
        <v>0.10450000000000001</v>
      </c>
      <c r="L302" s="12">
        <f t="shared" si="82"/>
        <v>0.10450000000000001</v>
      </c>
      <c r="M302" s="12">
        <f t="shared" si="82"/>
        <v>0.10450000000000001</v>
      </c>
      <c r="N302" s="12">
        <f t="shared" si="82"/>
        <v>0.10450000000000001</v>
      </c>
      <c r="O302" s="12">
        <f t="shared" si="82"/>
        <v>0.10450000000000001</v>
      </c>
      <c r="P302" s="12">
        <f t="shared" si="82"/>
        <v>0.10450000000000001</v>
      </c>
      <c r="Q302" s="12">
        <f t="shared" si="82"/>
        <v>0.10450000000000001</v>
      </c>
      <c r="R302" s="12">
        <f t="shared" si="82"/>
        <v>0.10450000000000001</v>
      </c>
      <c r="S302" s="12">
        <f t="shared" si="82"/>
        <v>0.10450000000000001</v>
      </c>
      <c r="T302" s="12">
        <f t="shared" si="82"/>
        <v>0.10450000000000001</v>
      </c>
      <c r="U302" s="12">
        <f t="shared" si="82"/>
        <v>0.10450000000000001</v>
      </c>
      <c r="V302" s="12">
        <f t="shared" si="82"/>
        <v>0.10450000000000001</v>
      </c>
      <c r="W302" s="12">
        <f t="shared" si="82"/>
        <v>0.10450000000000001</v>
      </c>
      <c r="X302" s="12">
        <f t="shared" si="82"/>
        <v>0.10450000000000001</v>
      </c>
      <c r="Y302" s="12">
        <f t="shared" si="82"/>
        <v>0.10450000000000001</v>
      </c>
      <c r="Z302" s="12">
        <f t="shared" si="82"/>
        <v>0.10450000000000001</v>
      </c>
      <c r="AA302" s="12">
        <f t="shared" si="82"/>
        <v>0.10450000000000001</v>
      </c>
      <c r="AB302" s="12">
        <f t="shared" si="82"/>
        <v>0.10450000000000001</v>
      </c>
      <c r="AC302" s="12">
        <f t="shared" si="82"/>
        <v>0.10450000000000001</v>
      </c>
      <c r="AD302" s="12">
        <f t="shared" si="82"/>
        <v>0.10450000000000001</v>
      </c>
      <c r="AE302" s="12">
        <f t="shared" si="82"/>
        <v>0.10450000000000001</v>
      </c>
      <c r="AF302" s="12">
        <f t="shared" si="82"/>
        <v>0.10450000000000001</v>
      </c>
    </row>
    <row r="303" spans="4:32">
      <c r="D303" t="s">
        <v>10</v>
      </c>
      <c r="E303" s="8">
        <v>-0.1</v>
      </c>
      <c r="G303" t="s">
        <v>50</v>
      </c>
      <c r="I303" s="12">
        <f t="shared" si="82"/>
        <v>9.4050000000000009E-2</v>
      </c>
      <c r="J303" s="12">
        <f t="shared" si="82"/>
        <v>9.4050000000000009E-2</v>
      </c>
      <c r="K303" s="12">
        <f t="shared" si="82"/>
        <v>9.4050000000000009E-2</v>
      </c>
      <c r="L303" s="12">
        <f t="shared" si="82"/>
        <v>9.4050000000000009E-2</v>
      </c>
      <c r="M303" s="12">
        <f t="shared" si="82"/>
        <v>9.4050000000000009E-2</v>
      </c>
      <c r="N303" s="12">
        <f t="shared" si="82"/>
        <v>9.4050000000000009E-2</v>
      </c>
      <c r="O303" s="12">
        <f t="shared" si="82"/>
        <v>9.4050000000000009E-2</v>
      </c>
      <c r="P303" s="12">
        <f t="shared" si="82"/>
        <v>9.4050000000000009E-2</v>
      </c>
      <c r="Q303" s="12">
        <f t="shared" si="82"/>
        <v>9.4050000000000009E-2</v>
      </c>
      <c r="R303" s="12">
        <f t="shared" si="82"/>
        <v>9.4050000000000009E-2</v>
      </c>
      <c r="S303" s="12">
        <f t="shared" si="82"/>
        <v>9.4050000000000009E-2</v>
      </c>
      <c r="T303" s="12">
        <f t="shared" si="82"/>
        <v>9.4050000000000009E-2</v>
      </c>
      <c r="U303" s="12">
        <f t="shared" si="82"/>
        <v>9.4050000000000009E-2</v>
      </c>
      <c r="V303" s="12">
        <f t="shared" si="82"/>
        <v>9.4050000000000009E-2</v>
      </c>
      <c r="W303" s="12">
        <f t="shared" si="82"/>
        <v>9.4050000000000009E-2</v>
      </c>
      <c r="X303" s="12">
        <f t="shared" si="82"/>
        <v>9.4050000000000009E-2</v>
      </c>
      <c r="Y303" s="12">
        <f t="shared" si="82"/>
        <v>9.4050000000000009E-2</v>
      </c>
      <c r="Z303" s="12">
        <f t="shared" si="82"/>
        <v>9.4050000000000009E-2</v>
      </c>
      <c r="AA303" s="12">
        <f t="shared" si="82"/>
        <v>9.4050000000000009E-2</v>
      </c>
      <c r="AB303" s="12">
        <f t="shared" si="82"/>
        <v>9.4050000000000009E-2</v>
      </c>
      <c r="AC303" s="12">
        <f t="shared" si="82"/>
        <v>9.4050000000000009E-2</v>
      </c>
      <c r="AD303" s="12">
        <f t="shared" si="82"/>
        <v>9.4050000000000009E-2</v>
      </c>
      <c r="AE303" s="12">
        <f t="shared" si="82"/>
        <v>9.4050000000000009E-2</v>
      </c>
      <c r="AF303" s="12">
        <f t="shared" si="82"/>
        <v>9.4050000000000009E-2</v>
      </c>
    </row>
    <row r="304" spans="4:32">
      <c r="D304" t="s">
        <v>11</v>
      </c>
      <c r="E304" s="8"/>
      <c r="G304" t="s">
        <v>50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</row>
    <row r="305" spans="4:32">
      <c r="D305" t="s">
        <v>12</v>
      </c>
      <c r="E305" s="8"/>
      <c r="G305" t="s">
        <v>50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0</v>
      </c>
      <c r="AE305" s="11">
        <v>0</v>
      </c>
      <c r="AF305" s="11">
        <v>0</v>
      </c>
    </row>
    <row r="307" spans="4:32">
      <c r="D307" s="5" t="s">
        <v>51</v>
      </c>
      <c r="E307" s="5" t="s">
        <v>7</v>
      </c>
      <c r="F307" s="5"/>
      <c r="G307" s="5"/>
      <c r="H307" s="10"/>
      <c r="I307" s="10">
        <f t="shared" ref="I307:AF307" si="83">INDEX(I308:I312,MATCH($E307,$D308:$D312,0))</f>
        <v>0.3</v>
      </c>
      <c r="J307" s="10">
        <f t="shared" si="83"/>
        <v>0.3</v>
      </c>
      <c r="K307" s="10">
        <f t="shared" si="83"/>
        <v>0.3</v>
      </c>
      <c r="L307" s="10">
        <f t="shared" si="83"/>
        <v>0.3</v>
      </c>
      <c r="M307" s="10">
        <f t="shared" si="83"/>
        <v>0.3</v>
      </c>
      <c r="N307" s="10">
        <f t="shared" si="83"/>
        <v>0.3</v>
      </c>
      <c r="O307" s="10">
        <f t="shared" si="83"/>
        <v>0.3</v>
      </c>
      <c r="P307" s="10">
        <f t="shared" si="83"/>
        <v>0.3</v>
      </c>
      <c r="Q307" s="10">
        <f t="shared" si="83"/>
        <v>0.3</v>
      </c>
      <c r="R307" s="10">
        <f t="shared" si="83"/>
        <v>0.3</v>
      </c>
      <c r="S307" s="10">
        <f t="shared" si="83"/>
        <v>0.3</v>
      </c>
      <c r="T307" s="10">
        <f t="shared" si="83"/>
        <v>0.3</v>
      </c>
      <c r="U307" s="10">
        <f t="shared" si="83"/>
        <v>0.3</v>
      </c>
      <c r="V307" s="10">
        <f t="shared" si="83"/>
        <v>0.3</v>
      </c>
      <c r="W307" s="10">
        <f t="shared" si="83"/>
        <v>0.3</v>
      </c>
      <c r="X307" s="10">
        <f t="shared" si="83"/>
        <v>0.3</v>
      </c>
      <c r="Y307" s="10">
        <f t="shared" si="83"/>
        <v>0.3</v>
      </c>
      <c r="Z307" s="10">
        <f t="shared" si="83"/>
        <v>0.3</v>
      </c>
      <c r="AA307" s="10">
        <f t="shared" si="83"/>
        <v>0.3</v>
      </c>
      <c r="AB307" s="10">
        <f t="shared" si="83"/>
        <v>0.3</v>
      </c>
      <c r="AC307" s="10">
        <f t="shared" si="83"/>
        <v>0.3</v>
      </c>
      <c r="AD307" s="10">
        <f t="shared" si="83"/>
        <v>0.3</v>
      </c>
      <c r="AE307" s="10">
        <f t="shared" si="83"/>
        <v>0.3</v>
      </c>
      <c r="AF307" s="10">
        <f t="shared" si="83"/>
        <v>0.3</v>
      </c>
    </row>
    <row r="308" spans="4:32">
      <c r="D308" t="s">
        <v>7</v>
      </c>
      <c r="E308" s="6"/>
      <c r="G308" t="s">
        <v>52</v>
      </c>
      <c r="I308" s="11">
        <v>0.3</v>
      </c>
      <c r="J308" s="11">
        <v>0.3</v>
      </c>
      <c r="K308" s="11">
        <v>0.3</v>
      </c>
      <c r="L308" s="11">
        <v>0.3</v>
      </c>
      <c r="M308" s="11">
        <v>0.3</v>
      </c>
      <c r="N308" s="11">
        <v>0.3</v>
      </c>
      <c r="O308" s="11">
        <v>0.3</v>
      </c>
      <c r="P308" s="11">
        <v>0.3</v>
      </c>
      <c r="Q308" s="11">
        <v>0.3</v>
      </c>
      <c r="R308" s="11">
        <v>0.3</v>
      </c>
      <c r="S308" s="11">
        <v>0.3</v>
      </c>
      <c r="T308" s="11">
        <v>0.3</v>
      </c>
      <c r="U308" s="11">
        <v>0.3</v>
      </c>
      <c r="V308" s="11">
        <v>0.3</v>
      </c>
      <c r="W308" s="11">
        <v>0.3</v>
      </c>
      <c r="X308" s="11">
        <v>0.3</v>
      </c>
      <c r="Y308" s="11">
        <v>0.3</v>
      </c>
      <c r="Z308" s="11">
        <v>0.3</v>
      </c>
      <c r="AA308" s="11">
        <v>0.3</v>
      </c>
      <c r="AB308" s="11">
        <v>0.3</v>
      </c>
      <c r="AC308" s="11">
        <v>0.3</v>
      </c>
      <c r="AD308" s="11">
        <v>0.3</v>
      </c>
      <c r="AE308" s="11">
        <v>0.3</v>
      </c>
      <c r="AF308" s="11">
        <v>0.3</v>
      </c>
    </row>
    <row r="309" spans="4:32">
      <c r="D309" t="s">
        <v>9</v>
      </c>
      <c r="E309" s="8">
        <v>0.1</v>
      </c>
      <c r="G309" t="s">
        <v>52</v>
      </c>
      <c r="I309" s="12">
        <f t="shared" ref="I309:AF310" si="84">I308*(1+$E309)</f>
        <v>0.33</v>
      </c>
      <c r="J309" s="12">
        <f t="shared" si="84"/>
        <v>0.33</v>
      </c>
      <c r="K309" s="12">
        <f t="shared" si="84"/>
        <v>0.33</v>
      </c>
      <c r="L309" s="12">
        <f t="shared" si="84"/>
        <v>0.33</v>
      </c>
      <c r="M309" s="12">
        <f t="shared" si="84"/>
        <v>0.33</v>
      </c>
      <c r="N309" s="12">
        <f t="shared" si="84"/>
        <v>0.33</v>
      </c>
      <c r="O309" s="12">
        <f t="shared" si="84"/>
        <v>0.33</v>
      </c>
      <c r="P309" s="12">
        <f t="shared" si="84"/>
        <v>0.33</v>
      </c>
      <c r="Q309" s="12">
        <f t="shared" si="84"/>
        <v>0.33</v>
      </c>
      <c r="R309" s="12">
        <f t="shared" si="84"/>
        <v>0.33</v>
      </c>
      <c r="S309" s="12">
        <f t="shared" si="84"/>
        <v>0.33</v>
      </c>
      <c r="T309" s="12">
        <f t="shared" si="84"/>
        <v>0.33</v>
      </c>
      <c r="U309" s="12">
        <f t="shared" si="84"/>
        <v>0.33</v>
      </c>
      <c r="V309" s="12">
        <f t="shared" si="84"/>
        <v>0.33</v>
      </c>
      <c r="W309" s="12">
        <f t="shared" si="84"/>
        <v>0.33</v>
      </c>
      <c r="X309" s="12">
        <f t="shared" si="84"/>
        <v>0.33</v>
      </c>
      <c r="Y309" s="12">
        <f t="shared" si="84"/>
        <v>0.33</v>
      </c>
      <c r="Z309" s="12">
        <f t="shared" si="84"/>
        <v>0.33</v>
      </c>
      <c r="AA309" s="12">
        <f t="shared" si="84"/>
        <v>0.33</v>
      </c>
      <c r="AB309" s="12">
        <f t="shared" si="84"/>
        <v>0.33</v>
      </c>
      <c r="AC309" s="12">
        <f t="shared" si="84"/>
        <v>0.33</v>
      </c>
      <c r="AD309" s="12">
        <f t="shared" si="84"/>
        <v>0.33</v>
      </c>
      <c r="AE309" s="12">
        <f t="shared" si="84"/>
        <v>0.33</v>
      </c>
      <c r="AF309" s="12">
        <f t="shared" si="84"/>
        <v>0.33</v>
      </c>
    </row>
    <row r="310" spans="4:32">
      <c r="D310" t="s">
        <v>10</v>
      </c>
      <c r="E310" s="8">
        <v>-0.1</v>
      </c>
      <c r="G310" t="s">
        <v>52</v>
      </c>
      <c r="I310" s="12">
        <f t="shared" si="84"/>
        <v>0.29700000000000004</v>
      </c>
      <c r="J310" s="12">
        <f t="shared" si="84"/>
        <v>0.29700000000000004</v>
      </c>
      <c r="K310" s="12">
        <f t="shared" si="84"/>
        <v>0.29700000000000004</v>
      </c>
      <c r="L310" s="12">
        <f t="shared" si="84"/>
        <v>0.29700000000000004</v>
      </c>
      <c r="M310" s="12">
        <f t="shared" si="84"/>
        <v>0.29700000000000004</v>
      </c>
      <c r="N310" s="12">
        <f t="shared" si="84"/>
        <v>0.29700000000000004</v>
      </c>
      <c r="O310" s="12">
        <f t="shared" si="84"/>
        <v>0.29700000000000004</v>
      </c>
      <c r="P310" s="12">
        <f t="shared" si="84"/>
        <v>0.29700000000000004</v>
      </c>
      <c r="Q310" s="12">
        <f t="shared" si="84"/>
        <v>0.29700000000000004</v>
      </c>
      <c r="R310" s="12">
        <f t="shared" si="84"/>
        <v>0.29700000000000004</v>
      </c>
      <c r="S310" s="12">
        <f t="shared" si="84"/>
        <v>0.29700000000000004</v>
      </c>
      <c r="T310" s="12">
        <f t="shared" si="84"/>
        <v>0.29700000000000004</v>
      </c>
      <c r="U310" s="12">
        <f t="shared" si="84"/>
        <v>0.29700000000000004</v>
      </c>
      <c r="V310" s="12">
        <f t="shared" si="84"/>
        <v>0.29700000000000004</v>
      </c>
      <c r="W310" s="12">
        <f t="shared" si="84"/>
        <v>0.29700000000000004</v>
      </c>
      <c r="X310" s="12">
        <f t="shared" si="84"/>
        <v>0.29700000000000004</v>
      </c>
      <c r="Y310" s="12">
        <f t="shared" si="84"/>
        <v>0.29700000000000004</v>
      </c>
      <c r="Z310" s="12">
        <f t="shared" si="84"/>
        <v>0.29700000000000004</v>
      </c>
      <c r="AA310" s="12">
        <f t="shared" si="84"/>
        <v>0.29700000000000004</v>
      </c>
      <c r="AB310" s="12">
        <f t="shared" si="84"/>
        <v>0.29700000000000004</v>
      </c>
      <c r="AC310" s="12">
        <f t="shared" si="84"/>
        <v>0.29700000000000004</v>
      </c>
      <c r="AD310" s="12">
        <f t="shared" si="84"/>
        <v>0.29700000000000004</v>
      </c>
      <c r="AE310" s="12">
        <f t="shared" si="84"/>
        <v>0.29700000000000004</v>
      </c>
      <c r="AF310" s="12">
        <f t="shared" si="84"/>
        <v>0.29700000000000004</v>
      </c>
    </row>
    <row r="311" spans="4:32">
      <c r="D311" t="s">
        <v>11</v>
      </c>
      <c r="E311" s="8"/>
      <c r="G311" t="s">
        <v>52</v>
      </c>
      <c r="I311" s="11">
        <v>0</v>
      </c>
      <c r="J311" s="11">
        <v>0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</row>
    <row r="312" spans="4:32">
      <c r="D312" t="s">
        <v>12</v>
      </c>
      <c r="E312" s="8"/>
      <c r="G312" t="s">
        <v>52</v>
      </c>
      <c r="I312" s="11">
        <v>0</v>
      </c>
      <c r="J312" s="11">
        <v>0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1">
        <v>0</v>
      </c>
    </row>
    <row r="314" spans="4:32">
      <c r="D314" s="4" t="s">
        <v>53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4:32">
      <c r="D315" s="5" t="s">
        <v>54</v>
      </c>
      <c r="E315" s="5" t="s">
        <v>7</v>
      </c>
      <c r="F315" s="5"/>
      <c r="G315" s="5"/>
      <c r="H315" s="13"/>
      <c r="I315" s="13">
        <f t="shared" ref="I315:AF315" si="85">INDEX(I316:I320,MATCH($E315,$D316:$D320,0))</f>
        <v>49.5</v>
      </c>
      <c r="J315" s="13">
        <f t="shared" si="85"/>
        <v>49.5</v>
      </c>
      <c r="K315" s="13">
        <f t="shared" si="85"/>
        <v>49.5</v>
      </c>
      <c r="L315" s="13">
        <f t="shared" si="85"/>
        <v>49.5</v>
      </c>
      <c r="M315" s="13">
        <f t="shared" si="85"/>
        <v>49.5</v>
      </c>
      <c r="N315" s="13">
        <f t="shared" si="85"/>
        <v>49.5</v>
      </c>
      <c r="O315" s="13">
        <f t="shared" si="85"/>
        <v>49.5</v>
      </c>
      <c r="P315" s="13">
        <f t="shared" si="85"/>
        <v>49.5</v>
      </c>
      <c r="Q315" s="13">
        <f t="shared" si="85"/>
        <v>49.5</v>
      </c>
      <c r="R315" s="13">
        <f t="shared" si="85"/>
        <v>49.5</v>
      </c>
      <c r="S315" s="13">
        <f t="shared" si="85"/>
        <v>49.5</v>
      </c>
      <c r="T315" s="13">
        <f t="shared" si="85"/>
        <v>49.5</v>
      </c>
      <c r="U315" s="13">
        <f t="shared" si="85"/>
        <v>49.5</v>
      </c>
      <c r="V315" s="13">
        <f t="shared" si="85"/>
        <v>49.5</v>
      </c>
      <c r="W315" s="13">
        <f t="shared" si="85"/>
        <v>49.5</v>
      </c>
      <c r="X315" s="13">
        <f t="shared" si="85"/>
        <v>49.5</v>
      </c>
      <c r="Y315" s="13">
        <f t="shared" si="85"/>
        <v>49.5</v>
      </c>
      <c r="Z315" s="13">
        <f t="shared" si="85"/>
        <v>49.5</v>
      </c>
      <c r="AA315" s="13">
        <f t="shared" si="85"/>
        <v>49.5</v>
      </c>
      <c r="AB315" s="13">
        <f t="shared" si="85"/>
        <v>49.5</v>
      </c>
      <c r="AC315" s="13">
        <f t="shared" si="85"/>
        <v>49.5</v>
      </c>
      <c r="AD315" s="13">
        <f t="shared" si="85"/>
        <v>49.5</v>
      </c>
      <c r="AE315" s="13">
        <f t="shared" si="85"/>
        <v>49.5</v>
      </c>
      <c r="AF315" s="13">
        <f t="shared" si="85"/>
        <v>49.5</v>
      </c>
    </row>
    <row r="316" spans="4:32">
      <c r="D316" t="s">
        <v>7</v>
      </c>
      <c r="E316" s="6"/>
      <c r="G316" t="s">
        <v>55</v>
      </c>
      <c r="I316" s="14">
        <v>49.5</v>
      </c>
      <c r="J316" s="14">
        <v>49.5</v>
      </c>
      <c r="K316" s="14">
        <v>49.5</v>
      </c>
      <c r="L316" s="14">
        <v>49.5</v>
      </c>
      <c r="M316" s="14">
        <v>49.5</v>
      </c>
      <c r="N316" s="14">
        <v>49.5</v>
      </c>
      <c r="O316" s="14">
        <v>49.5</v>
      </c>
      <c r="P316" s="14">
        <v>49.5</v>
      </c>
      <c r="Q316" s="14">
        <v>49.5</v>
      </c>
      <c r="R316" s="14">
        <v>49.5</v>
      </c>
      <c r="S316" s="14">
        <v>49.5</v>
      </c>
      <c r="T316" s="14">
        <v>49.5</v>
      </c>
      <c r="U316" s="14">
        <v>49.5</v>
      </c>
      <c r="V316" s="14">
        <v>49.5</v>
      </c>
      <c r="W316" s="14">
        <v>49.5</v>
      </c>
      <c r="X316" s="14">
        <v>49.5</v>
      </c>
      <c r="Y316" s="14">
        <v>49.5</v>
      </c>
      <c r="Z316" s="14">
        <v>49.5</v>
      </c>
      <c r="AA316" s="14">
        <v>49.5</v>
      </c>
      <c r="AB316" s="14">
        <v>49.5</v>
      </c>
      <c r="AC316" s="14">
        <v>49.5</v>
      </c>
      <c r="AD316" s="14">
        <v>49.5</v>
      </c>
      <c r="AE316" s="14">
        <v>49.5</v>
      </c>
      <c r="AF316" s="14">
        <v>49.5</v>
      </c>
    </row>
    <row r="317" spans="4:32">
      <c r="D317" t="s">
        <v>9</v>
      </c>
      <c r="E317" s="8">
        <v>0.1</v>
      </c>
      <c r="G317" t="s">
        <v>55</v>
      </c>
      <c r="I317" s="15">
        <f t="shared" ref="I317:AF318" si="86">I316*(1+$E317)</f>
        <v>54.45</v>
      </c>
      <c r="J317" s="15">
        <f t="shared" si="86"/>
        <v>54.45</v>
      </c>
      <c r="K317" s="15">
        <f t="shared" si="86"/>
        <v>54.45</v>
      </c>
      <c r="L317" s="15">
        <f t="shared" si="86"/>
        <v>54.45</v>
      </c>
      <c r="M317" s="15">
        <f t="shared" si="86"/>
        <v>54.45</v>
      </c>
      <c r="N317" s="15">
        <f t="shared" si="86"/>
        <v>54.45</v>
      </c>
      <c r="O317" s="15">
        <f t="shared" si="86"/>
        <v>54.45</v>
      </c>
      <c r="P317" s="15">
        <f t="shared" si="86"/>
        <v>54.45</v>
      </c>
      <c r="Q317" s="15">
        <f t="shared" si="86"/>
        <v>54.45</v>
      </c>
      <c r="R317" s="15">
        <f t="shared" si="86"/>
        <v>54.45</v>
      </c>
      <c r="S317" s="15">
        <f t="shared" si="86"/>
        <v>54.45</v>
      </c>
      <c r="T317" s="15">
        <f t="shared" si="86"/>
        <v>54.45</v>
      </c>
      <c r="U317" s="15">
        <f t="shared" si="86"/>
        <v>54.45</v>
      </c>
      <c r="V317" s="15">
        <f t="shared" si="86"/>
        <v>54.45</v>
      </c>
      <c r="W317" s="15">
        <f t="shared" si="86"/>
        <v>54.45</v>
      </c>
      <c r="X317" s="15">
        <f t="shared" si="86"/>
        <v>54.45</v>
      </c>
      <c r="Y317" s="15">
        <f t="shared" si="86"/>
        <v>54.45</v>
      </c>
      <c r="Z317" s="15">
        <f t="shared" si="86"/>
        <v>54.45</v>
      </c>
      <c r="AA317" s="15">
        <f t="shared" si="86"/>
        <v>54.45</v>
      </c>
      <c r="AB317" s="15">
        <f t="shared" si="86"/>
        <v>54.45</v>
      </c>
      <c r="AC317" s="15">
        <f t="shared" si="86"/>
        <v>54.45</v>
      </c>
      <c r="AD317" s="15">
        <f t="shared" si="86"/>
        <v>54.45</v>
      </c>
      <c r="AE317" s="15">
        <f t="shared" si="86"/>
        <v>54.45</v>
      </c>
      <c r="AF317" s="15">
        <f t="shared" si="86"/>
        <v>54.45</v>
      </c>
    </row>
    <row r="318" spans="4:32">
      <c r="D318" t="s">
        <v>10</v>
      </c>
      <c r="E318" s="8">
        <v>-0.1</v>
      </c>
      <c r="G318" t="s">
        <v>55</v>
      </c>
      <c r="I318" s="15">
        <f t="shared" si="86"/>
        <v>49.005000000000003</v>
      </c>
      <c r="J318" s="15">
        <f t="shared" si="86"/>
        <v>49.005000000000003</v>
      </c>
      <c r="K318" s="15">
        <f t="shared" si="86"/>
        <v>49.005000000000003</v>
      </c>
      <c r="L318" s="15">
        <f t="shared" si="86"/>
        <v>49.005000000000003</v>
      </c>
      <c r="M318" s="15">
        <f t="shared" si="86"/>
        <v>49.005000000000003</v>
      </c>
      <c r="N318" s="15">
        <f t="shared" si="86"/>
        <v>49.005000000000003</v>
      </c>
      <c r="O318" s="15">
        <f t="shared" si="86"/>
        <v>49.005000000000003</v>
      </c>
      <c r="P318" s="15">
        <f t="shared" si="86"/>
        <v>49.005000000000003</v>
      </c>
      <c r="Q318" s="15">
        <f t="shared" si="86"/>
        <v>49.005000000000003</v>
      </c>
      <c r="R318" s="15">
        <f t="shared" si="86"/>
        <v>49.005000000000003</v>
      </c>
      <c r="S318" s="15">
        <f t="shared" si="86"/>
        <v>49.005000000000003</v>
      </c>
      <c r="T318" s="15">
        <f t="shared" si="86"/>
        <v>49.005000000000003</v>
      </c>
      <c r="U318" s="15">
        <f t="shared" si="86"/>
        <v>49.005000000000003</v>
      </c>
      <c r="V318" s="15">
        <f t="shared" si="86"/>
        <v>49.005000000000003</v>
      </c>
      <c r="W318" s="15">
        <f t="shared" si="86"/>
        <v>49.005000000000003</v>
      </c>
      <c r="X318" s="15">
        <f t="shared" si="86"/>
        <v>49.005000000000003</v>
      </c>
      <c r="Y318" s="15">
        <f t="shared" si="86"/>
        <v>49.005000000000003</v>
      </c>
      <c r="Z318" s="15">
        <f t="shared" si="86"/>
        <v>49.005000000000003</v>
      </c>
      <c r="AA318" s="15">
        <f t="shared" si="86"/>
        <v>49.005000000000003</v>
      </c>
      <c r="AB318" s="15">
        <f t="shared" si="86"/>
        <v>49.005000000000003</v>
      </c>
      <c r="AC318" s="15">
        <f t="shared" si="86"/>
        <v>49.005000000000003</v>
      </c>
      <c r="AD318" s="15">
        <f t="shared" si="86"/>
        <v>49.005000000000003</v>
      </c>
      <c r="AE318" s="15">
        <f t="shared" si="86"/>
        <v>49.005000000000003</v>
      </c>
      <c r="AF318" s="15">
        <f t="shared" si="86"/>
        <v>49.005000000000003</v>
      </c>
    </row>
    <row r="319" spans="4:32">
      <c r="D319" t="s">
        <v>11</v>
      </c>
      <c r="E319" s="8"/>
      <c r="G319" t="s">
        <v>55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</row>
    <row r="320" spans="4:32">
      <c r="D320" t="s">
        <v>12</v>
      </c>
      <c r="E320" s="8"/>
      <c r="G320" t="s">
        <v>55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</row>
    <row r="322" spans="4:32">
      <c r="D322" s="5" t="s">
        <v>56</v>
      </c>
      <c r="E322" s="5" t="s">
        <v>7</v>
      </c>
      <c r="F322" s="5"/>
      <c r="G322" s="5"/>
      <c r="H322" s="13"/>
      <c r="I322" s="13">
        <f t="shared" ref="I322:AF322" si="87">INDEX(I323:I327,MATCH($E322,$D323:$D327,0))</f>
        <v>90</v>
      </c>
      <c r="J322" s="13">
        <f t="shared" si="87"/>
        <v>90</v>
      </c>
      <c r="K322" s="13">
        <f t="shared" si="87"/>
        <v>90</v>
      </c>
      <c r="L322" s="13">
        <f t="shared" si="87"/>
        <v>90</v>
      </c>
      <c r="M322" s="13">
        <f t="shared" si="87"/>
        <v>90</v>
      </c>
      <c r="N322" s="13">
        <f t="shared" si="87"/>
        <v>90</v>
      </c>
      <c r="O322" s="13">
        <f t="shared" si="87"/>
        <v>90</v>
      </c>
      <c r="P322" s="13">
        <f t="shared" si="87"/>
        <v>90</v>
      </c>
      <c r="Q322" s="13">
        <f t="shared" si="87"/>
        <v>90</v>
      </c>
      <c r="R322" s="13">
        <f t="shared" si="87"/>
        <v>90</v>
      </c>
      <c r="S322" s="13">
        <f t="shared" si="87"/>
        <v>90</v>
      </c>
      <c r="T322" s="13">
        <f t="shared" si="87"/>
        <v>90</v>
      </c>
      <c r="U322" s="13">
        <f t="shared" si="87"/>
        <v>90</v>
      </c>
      <c r="V322" s="13">
        <f t="shared" si="87"/>
        <v>90</v>
      </c>
      <c r="W322" s="13">
        <f t="shared" si="87"/>
        <v>90</v>
      </c>
      <c r="X322" s="13">
        <f t="shared" si="87"/>
        <v>90</v>
      </c>
      <c r="Y322" s="13">
        <f t="shared" si="87"/>
        <v>90</v>
      </c>
      <c r="Z322" s="13">
        <f t="shared" si="87"/>
        <v>90</v>
      </c>
      <c r="AA322" s="13">
        <f t="shared" si="87"/>
        <v>90</v>
      </c>
      <c r="AB322" s="13">
        <f t="shared" si="87"/>
        <v>90</v>
      </c>
      <c r="AC322" s="13">
        <f t="shared" si="87"/>
        <v>90</v>
      </c>
      <c r="AD322" s="13">
        <f t="shared" si="87"/>
        <v>90</v>
      </c>
      <c r="AE322" s="13">
        <f t="shared" si="87"/>
        <v>90</v>
      </c>
      <c r="AF322" s="13">
        <f t="shared" si="87"/>
        <v>90</v>
      </c>
    </row>
    <row r="323" spans="4:32">
      <c r="D323" t="s">
        <v>7</v>
      </c>
      <c r="E323" s="6"/>
      <c r="G323" t="s">
        <v>57</v>
      </c>
      <c r="I323" s="14">
        <v>90</v>
      </c>
      <c r="J323" s="14">
        <v>90</v>
      </c>
      <c r="K323" s="14">
        <v>90</v>
      </c>
      <c r="L323" s="14">
        <v>90</v>
      </c>
      <c r="M323" s="14">
        <v>90</v>
      </c>
      <c r="N323" s="14">
        <v>90</v>
      </c>
      <c r="O323" s="14">
        <v>90</v>
      </c>
      <c r="P323" s="14">
        <v>90</v>
      </c>
      <c r="Q323" s="14">
        <v>90</v>
      </c>
      <c r="R323" s="14">
        <v>90</v>
      </c>
      <c r="S323" s="14">
        <v>90</v>
      </c>
      <c r="T323" s="14">
        <v>90</v>
      </c>
      <c r="U323" s="14">
        <v>90</v>
      </c>
      <c r="V323" s="14">
        <v>90</v>
      </c>
      <c r="W323" s="14">
        <v>90</v>
      </c>
      <c r="X323" s="14">
        <v>90</v>
      </c>
      <c r="Y323" s="14">
        <v>90</v>
      </c>
      <c r="Z323" s="14">
        <v>90</v>
      </c>
      <c r="AA323" s="14">
        <v>90</v>
      </c>
      <c r="AB323" s="14">
        <v>90</v>
      </c>
      <c r="AC323" s="14">
        <v>90</v>
      </c>
      <c r="AD323" s="14">
        <v>90</v>
      </c>
      <c r="AE323" s="14">
        <v>90</v>
      </c>
      <c r="AF323" s="14">
        <v>90</v>
      </c>
    </row>
    <row r="324" spans="4:32">
      <c r="D324" t="s">
        <v>9</v>
      </c>
      <c r="E324" s="8">
        <v>0.1</v>
      </c>
      <c r="G324" t="s">
        <v>57</v>
      </c>
      <c r="I324" s="15">
        <f t="shared" ref="I324:AF325" si="88">I323*(1+$E324)</f>
        <v>99.000000000000014</v>
      </c>
      <c r="J324" s="15">
        <f t="shared" si="88"/>
        <v>99.000000000000014</v>
      </c>
      <c r="K324" s="15">
        <f t="shared" si="88"/>
        <v>99.000000000000014</v>
      </c>
      <c r="L324" s="15">
        <f t="shared" si="88"/>
        <v>99.000000000000014</v>
      </c>
      <c r="M324" s="15">
        <f t="shared" si="88"/>
        <v>99.000000000000014</v>
      </c>
      <c r="N324" s="15">
        <f t="shared" si="88"/>
        <v>99.000000000000014</v>
      </c>
      <c r="O324" s="15">
        <f t="shared" si="88"/>
        <v>99.000000000000014</v>
      </c>
      <c r="P324" s="15">
        <f t="shared" si="88"/>
        <v>99.000000000000014</v>
      </c>
      <c r="Q324" s="15">
        <f t="shared" si="88"/>
        <v>99.000000000000014</v>
      </c>
      <c r="R324" s="15">
        <f t="shared" si="88"/>
        <v>99.000000000000014</v>
      </c>
      <c r="S324" s="15">
        <f t="shared" si="88"/>
        <v>99.000000000000014</v>
      </c>
      <c r="T324" s="15">
        <f t="shared" si="88"/>
        <v>99.000000000000014</v>
      </c>
      <c r="U324" s="15">
        <f t="shared" si="88"/>
        <v>99.000000000000014</v>
      </c>
      <c r="V324" s="15">
        <f t="shared" si="88"/>
        <v>99.000000000000014</v>
      </c>
      <c r="W324" s="15">
        <f t="shared" si="88"/>
        <v>99.000000000000014</v>
      </c>
      <c r="X324" s="15">
        <f t="shared" si="88"/>
        <v>99.000000000000014</v>
      </c>
      <c r="Y324" s="15">
        <f t="shared" si="88"/>
        <v>99.000000000000014</v>
      </c>
      <c r="Z324" s="15">
        <f t="shared" si="88"/>
        <v>99.000000000000014</v>
      </c>
      <c r="AA324" s="15">
        <f t="shared" si="88"/>
        <v>99.000000000000014</v>
      </c>
      <c r="AB324" s="15">
        <f t="shared" si="88"/>
        <v>99.000000000000014</v>
      </c>
      <c r="AC324" s="15">
        <f t="shared" si="88"/>
        <v>99.000000000000014</v>
      </c>
      <c r="AD324" s="15">
        <f t="shared" si="88"/>
        <v>99.000000000000014</v>
      </c>
      <c r="AE324" s="15">
        <f t="shared" si="88"/>
        <v>99.000000000000014</v>
      </c>
      <c r="AF324" s="15">
        <f t="shared" si="88"/>
        <v>99.000000000000014</v>
      </c>
    </row>
    <row r="325" spans="4:32">
      <c r="D325" t="s">
        <v>10</v>
      </c>
      <c r="E325" s="8">
        <v>-0.1</v>
      </c>
      <c r="G325" t="s">
        <v>57</v>
      </c>
      <c r="I325" s="15">
        <f t="shared" si="88"/>
        <v>89.100000000000009</v>
      </c>
      <c r="J325" s="15">
        <f t="shared" si="88"/>
        <v>89.100000000000009</v>
      </c>
      <c r="K325" s="15">
        <f t="shared" si="88"/>
        <v>89.100000000000009</v>
      </c>
      <c r="L325" s="15">
        <f t="shared" si="88"/>
        <v>89.100000000000009</v>
      </c>
      <c r="M325" s="15">
        <f t="shared" si="88"/>
        <v>89.100000000000009</v>
      </c>
      <c r="N325" s="15">
        <f t="shared" si="88"/>
        <v>89.100000000000009</v>
      </c>
      <c r="O325" s="15">
        <f t="shared" si="88"/>
        <v>89.100000000000009</v>
      </c>
      <c r="P325" s="15">
        <f t="shared" si="88"/>
        <v>89.100000000000009</v>
      </c>
      <c r="Q325" s="15">
        <f t="shared" si="88"/>
        <v>89.100000000000009</v>
      </c>
      <c r="R325" s="15">
        <f t="shared" si="88"/>
        <v>89.100000000000009</v>
      </c>
      <c r="S325" s="15">
        <f t="shared" si="88"/>
        <v>89.100000000000009</v>
      </c>
      <c r="T325" s="15">
        <f t="shared" si="88"/>
        <v>89.100000000000009</v>
      </c>
      <c r="U325" s="15">
        <f t="shared" si="88"/>
        <v>89.100000000000009</v>
      </c>
      <c r="V325" s="15">
        <f t="shared" si="88"/>
        <v>89.100000000000009</v>
      </c>
      <c r="W325" s="15">
        <f t="shared" si="88"/>
        <v>89.100000000000009</v>
      </c>
      <c r="X325" s="15">
        <f t="shared" si="88"/>
        <v>89.100000000000009</v>
      </c>
      <c r="Y325" s="15">
        <f t="shared" si="88"/>
        <v>89.100000000000009</v>
      </c>
      <c r="Z325" s="15">
        <f t="shared" si="88"/>
        <v>89.100000000000009</v>
      </c>
      <c r="AA325" s="15">
        <f t="shared" si="88"/>
        <v>89.100000000000009</v>
      </c>
      <c r="AB325" s="15">
        <f t="shared" si="88"/>
        <v>89.100000000000009</v>
      </c>
      <c r="AC325" s="15">
        <f t="shared" si="88"/>
        <v>89.100000000000009</v>
      </c>
      <c r="AD325" s="15">
        <f t="shared" si="88"/>
        <v>89.100000000000009</v>
      </c>
      <c r="AE325" s="15">
        <f t="shared" si="88"/>
        <v>89.100000000000009</v>
      </c>
      <c r="AF325" s="15">
        <f t="shared" si="88"/>
        <v>89.100000000000009</v>
      </c>
    </row>
    <row r="326" spans="4:32">
      <c r="D326" t="s">
        <v>11</v>
      </c>
      <c r="E326" s="8"/>
      <c r="G326" t="s">
        <v>57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</row>
    <row r="327" spans="4:32">
      <c r="D327" t="s">
        <v>12</v>
      </c>
      <c r="E327" s="8"/>
      <c r="G327" t="s">
        <v>57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</row>
    <row r="329" spans="4:32">
      <c r="D329" s="5" t="s">
        <v>58</v>
      </c>
      <c r="E329" s="5" t="s">
        <v>7</v>
      </c>
      <c r="F329" s="5"/>
      <c r="G329" s="5"/>
      <c r="H329" s="13"/>
      <c r="I329" s="13">
        <f t="shared" ref="I329:AF329" si="89">INDEX(I330:I334,MATCH($E329,$D330:$D334,0))</f>
        <v>0.09</v>
      </c>
      <c r="J329" s="13">
        <f t="shared" si="89"/>
        <v>0.09</v>
      </c>
      <c r="K329" s="13">
        <f t="shared" si="89"/>
        <v>0.09</v>
      </c>
      <c r="L329" s="13">
        <f t="shared" si="89"/>
        <v>0.09</v>
      </c>
      <c r="M329" s="13">
        <f t="shared" si="89"/>
        <v>0.09</v>
      </c>
      <c r="N329" s="13">
        <f t="shared" si="89"/>
        <v>0.09</v>
      </c>
      <c r="O329" s="13">
        <f t="shared" si="89"/>
        <v>0.09</v>
      </c>
      <c r="P329" s="13">
        <f t="shared" si="89"/>
        <v>0.09</v>
      </c>
      <c r="Q329" s="13">
        <f t="shared" si="89"/>
        <v>0.09</v>
      </c>
      <c r="R329" s="13">
        <f t="shared" si="89"/>
        <v>0.09</v>
      </c>
      <c r="S329" s="13">
        <f t="shared" si="89"/>
        <v>0.09</v>
      </c>
      <c r="T329" s="13">
        <f t="shared" si="89"/>
        <v>0.09</v>
      </c>
      <c r="U329" s="13">
        <f t="shared" si="89"/>
        <v>0.09</v>
      </c>
      <c r="V329" s="13">
        <f t="shared" si="89"/>
        <v>0.09</v>
      </c>
      <c r="W329" s="13">
        <f t="shared" si="89"/>
        <v>0.09</v>
      </c>
      <c r="X329" s="13">
        <f t="shared" si="89"/>
        <v>0.09</v>
      </c>
      <c r="Y329" s="13">
        <f t="shared" si="89"/>
        <v>0.09</v>
      </c>
      <c r="Z329" s="13">
        <f t="shared" si="89"/>
        <v>0.09</v>
      </c>
      <c r="AA329" s="13">
        <f t="shared" si="89"/>
        <v>0.09</v>
      </c>
      <c r="AB329" s="13">
        <f t="shared" si="89"/>
        <v>0.09</v>
      </c>
      <c r="AC329" s="13">
        <f t="shared" si="89"/>
        <v>0.09</v>
      </c>
      <c r="AD329" s="13">
        <f t="shared" si="89"/>
        <v>0.09</v>
      </c>
      <c r="AE329" s="13">
        <f t="shared" si="89"/>
        <v>0.09</v>
      </c>
      <c r="AF329" s="13">
        <f t="shared" si="89"/>
        <v>0.09</v>
      </c>
    </row>
    <row r="330" spans="4:32">
      <c r="D330" t="s">
        <v>7</v>
      </c>
      <c r="E330" s="6"/>
      <c r="G330" t="s">
        <v>59</v>
      </c>
      <c r="I330" s="14">
        <v>0.09</v>
      </c>
      <c r="J330" s="14">
        <v>0.09</v>
      </c>
      <c r="K330" s="14">
        <v>0.09</v>
      </c>
      <c r="L330" s="14">
        <v>0.09</v>
      </c>
      <c r="M330" s="14">
        <v>0.09</v>
      </c>
      <c r="N330" s="14">
        <v>0.09</v>
      </c>
      <c r="O330" s="14">
        <v>0.09</v>
      </c>
      <c r="P330" s="14">
        <v>0.09</v>
      </c>
      <c r="Q330" s="14">
        <v>0.09</v>
      </c>
      <c r="R330" s="14">
        <v>0.09</v>
      </c>
      <c r="S330" s="14">
        <v>0.09</v>
      </c>
      <c r="T330" s="14">
        <v>0.09</v>
      </c>
      <c r="U330" s="14">
        <v>0.09</v>
      </c>
      <c r="V330" s="14">
        <v>0.09</v>
      </c>
      <c r="W330" s="14">
        <v>0.09</v>
      </c>
      <c r="X330" s="14">
        <v>0.09</v>
      </c>
      <c r="Y330" s="14">
        <v>0.09</v>
      </c>
      <c r="Z330" s="14">
        <v>0.09</v>
      </c>
      <c r="AA330" s="14">
        <v>0.09</v>
      </c>
      <c r="AB330" s="14">
        <v>0.09</v>
      </c>
      <c r="AC330" s="14">
        <v>0.09</v>
      </c>
      <c r="AD330" s="14">
        <v>0.09</v>
      </c>
      <c r="AE330" s="14">
        <v>0.09</v>
      </c>
      <c r="AF330" s="14">
        <v>0.09</v>
      </c>
    </row>
    <row r="331" spans="4:32">
      <c r="D331" t="s">
        <v>9</v>
      </c>
      <c r="E331" s="8">
        <v>0.1</v>
      </c>
      <c r="G331" t="s">
        <v>59</v>
      </c>
      <c r="I331" s="15">
        <f t="shared" ref="I331:AF332" si="90">I330*(1+$E331)</f>
        <v>9.9000000000000005E-2</v>
      </c>
      <c r="J331" s="15">
        <f t="shared" si="90"/>
        <v>9.9000000000000005E-2</v>
      </c>
      <c r="K331" s="15">
        <f t="shared" si="90"/>
        <v>9.9000000000000005E-2</v>
      </c>
      <c r="L331" s="15">
        <f t="shared" si="90"/>
        <v>9.9000000000000005E-2</v>
      </c>
      <c r="M331" s="15">
        <f t="shared" si="90"/>
        <v>9.9000000000000005E-2</v>
      </c>
      <c r="N331" s="15">
        <f t="shared" si="90"/>
        <v>9.9000000000000005E-2</v>
      </c>
      <c r="O331" s="15">
        <f t="shared" si="90"/>
        <v>9.9000000000000005E-2</v>
      </c>
      <c r="P331" s="15">
        <f t="shared" si="90"/>
        <v>9.9000000000000005E-2</v>
      </c>
      <c r="Q331" s="15">
        <f t="shared" si="90"/>
        <v>9.9000000000000005E-2</v>
      </c>
      <c r="R331" s="15">
        <f t="shared" si="90"/>
        <v>9.9000000000000005E-2</v>
      </c>
      <c r="S331" s="15">
        <f t="shared" si="90"/>
        <v>9.9000000000000005E-2</v>
      </c>
      <c r="T331" s="15">
        <f t="shared" si="90"/>
        <v>9.9000000000000005E-2</v>
      </c>
      <c r="U331" s="15">
        <f t="shared" si="90"/>
        <v>9.9000000000000005E-2</v>
      </c>
      <c r="V331" s="15">
        <f t="shared" si="90"/>
        <v>9.9000000000000005E-2</v>
      </c>
      <c r="W331" s="15">
        <f t="shared" si="90"/>
        <v>9.9000000000000005E-2</v>
      </c>
      <c r="X331" s="15">
        <f t="shared" si="90"/>
        <v>9.9000000000000005E-2</v>
      </c>
      <c r="Y331" s="15">
        <f t="shared" si="90"/>
        <v>9.9000000000000005E-2</v>
      </c>
      <c r="Z331" s="15">
        <f t="shared" si="90"/>
        <v>9.9000000000000005E-2</v>
      </c>
      <c r="AA331" s="15">
        <f t="shared" si="90"/>
        <v>9.9000000000000005E-2</v>
      </c>
      <c r="AB331" s="15">
        <f t="shared" si="90"/>
        <v>9.9000000000000005E-2</v>
      </c>
      <c r="AC331" s="15">
        <f t="shared" si="90"/>
        <v>9.9000000000000005E-2</v>
      </c>
      <c r="AD331" s="15">
        <f t="shared" si="90"/>
        <v>9.9000000000000005E-2</v>
      </c>
      <c r="AE331" s="15">
        <f t="shared" si="90"/>
        <v>9.9000000000000005E-2</v>
      </c>
      <c r="AF331" s="15">
        <f t="shared" si="90"/>
        <v>9.9000000000000005E-2</v>
      </c>
    </row>
    <row r="332" spans="4:32">
      <c r="D332" t="s">
        <v>10</v>
      </c>
      <c r="E332" s="8">
        <v>-0.1</v>
      </c>
      <c r="G332" t="s">
        <v>59</v>
      </c>
      <c r="I332" s="15">
        <f t="shared" si="90"/>
        <v>8.9100000000000013E-2</v>
      </c>
      <c r="J332" s="15">
        <f t="shared" si="90"/>
        <v>8.9100000000000013E-2</v>
      </c>
      <c r="K332" s="15">
        <f t="shared" si="90"/>
        <v>8.9100000000000013E-2</v>
      </c>
      <c r="L332" s="15">
        <f t="shared" si="90"/>
        <v>8.9100000000000013E-2</v>
      </c>
      <c r="M332" s="15">
        <f t="shared" si="90"/>
        <v>8.9100000000000013E-2</v>
      </c>
      <c r="N332" s="15">
        <f t="shared" si="90"/>
        <v>8.9100000000000013E-2</v>
      </c>
      <c r="O332" s="15">
        <f t="shared" si="90"/>
        <v>8.9100000000000013E-2</v>
      </c>
      <c r="P332" s="15">
        <f t="shared" si="90"/>
        <v>8.9100000000000013E-2</v>
      </c>
      <c r="Q332" s="15">
        <f t="shared" si="90"/>
        <v>8.9100000000000013E-2</v>
      </c>
      <c r="R332" s="15">
        <f t="shared" si="90"/>
        <v>8.9100000000000013E-2</v>
      </c>
      <c r="S332" s="15">
        <f t="shared" si="90"/>
        <v>8.9100000000000013E-2</v>
      </c>
      <c r="T332" s="15">
        <f t="shared" si="90"/>
        <v>8.9100000000000013E-2</v>
      </c>
      <c r="U332" s="15">
        <f t="shared" si="90"/>
        <v>8.9100000000000013E-2</v>
      </c>
      <c r="V332" s="15">
        <f t="shared" si="90"/>
        <v>8.9100000000000013E-2</v>
      </c>
      <c r="W332" s="15">
        <f t="shared" si="90"/>
        <v>8.9100000000000013E-2</v>
      </c>
      <c r="X332" s="15">
        <f t="shared" si="90"/>
        <v>8.9100000000000013E-2</v>
      </c>
      <c r="Y332" s="15">
        <f t="shared" si="90"/>
        <v>8.9100000000000013E-2</v>
      </c>
      <c r="Z332" s="15">
        <f t="shared" si="90"/>
        <v>8.9100000000000013E-2</v>
      </c>
      <c r="AA332" s="15">
        <f t="shared" si="90"/>
        <v>8.9100000000000013E-2</v>
      </c>
      <c r="AB332" s="15">
        <f t="shared" si="90"/>
        <v>8.9100000000000013E-2</v>
      </c>
      <c r="AC332" s="15">
        <f t="shared" si="90"/>
        <v>8.9100000000000013E-2</v>
      </c>
      <c r="AD332" s="15">
        <f t="shared" si="90"/>
        <v>8.9100000000000013E-2</v>
      </c>
      <c r="AE332" s="15">
        <f t="shared" si="90"/>
        <v>8.9100000000000013E-2</v>
      </c>
      <c r="AF332" s="15">
        <f t="shared" si="90"/>
        <v>8.9100000000000013E-2</v>
      </c>
    </row>
    <row r="333" spans="4:32">
      <c r="D333" t="s">
        <v>11</v>
      </c>
      <c r="E333" s="8"/>
      <c r="G333" t="s">
        <v>59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</row>
    <row r="334" spans="4:32">
      <c r="D334" t="s">
        <v>12</v>
      </c>
      <c r="E334" s="8"/>
      <c r="G334" t="s">
        <v>59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</row>
    <row r="335" spans="4:32">
      <c r="E335" s="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</row>
    <row r="336" spans="4:32">
      <c r="D336" s="5" t="s">
        <v>60</v>
      </c>
      <c r="E336" s="5" t="s">
        <v>7</v>
      </c>
      <c r="F336" s="5"/>
      <c r="G336" s="5"/>
      <c r="H336" s="13"/>
      <c r="I336" s="13">
        <f t="shared" ref="I336:AF336" si="91">INDEX(I337:I341,MATCH($E336,$D337:$D341,0))</f>
        <v>5</v>
      </c>
      <c r="J336" s="13">
        <f t="shared" si="91"/>
        <v>5</v>
      </c>
      <c r="K336" s="13">
        <f t="shared" si="91"/>
        <v>5</v>
      </c>
      <c r="L336" s="13">
        <f t="shared" si="91"/>
        <v>5</v>
      </c>
      <c r="M336" s="13">
        <f t="shared" si="91"/>
        <v>5</v>
      </c>
      <c r="N336" s="13">
        <f t="shared" si="91"/>
        <v>5</v>
      </c>
      <c r="O336" s="13">
        <f t="shared" si="91"/>
        <v>5</v>
      </c>
      <c r="P336" s="13">
        <f t="shared" si="91"/>
        <v>5</v>
      </c>
      <c r="Q336" s="13">
        <f t="shared" si="91"/>
        <v>5</v>
      </c>
      <c r="R336" s="13">
        <f t="shared" si="91"/>
        <v>5</v>
      </c>
      <c r="S336" s="13">
        <f t="shared" si="91"/>
        <v>5</v>
      </c>
      <c r="T336" s="13">
        <f t="shared" si="91"/>
        <v>5</v>
      </c>
      <c r="U336" s="13">
        <f t="shared" si="91"/>
        <v>5</v>
      </c>
      <c r="V336" s="13">
        <f t="shared" si="91"/>
        <v>5</v>
      </c>
      <c r="W336" s="13">
        <f t="shared" si="91"/>
        <v>5</v>
      </c>
      <c r="X336" s="13">
        <f t="shared" si="91"/>
        <v>5</v>
      </c>
      <c r="Y336" s="13">
        <f t="shared" si="91"/>
        <v>5</v>
      </c>
      <c r="Z336" s="13">
        <f t="shared" si="91"/>
        <v>5</v>
      </c>
      <c r="AA336" s="13">
        <f t="shared" si="91"/>
        <v>5</v>
      </c>
      <c r="AB336" s="13">
        <f t="shared" si="91"/>
        <v>5</v>
      </c>
      <c r="AC336" s="13">
        <f t="shared" si="91"/>
        <v>5</v>
      </c>
      <c r="AD336" s="13">
        <f t="shared" si="91"/>
        <v>5</v>
      </c>
      <c r="AE336" s="13">
        <f t="shared" si="91"/>
        <v>5</v>
      </c>
      <c r="AF336" s="13">
        <f t="shared" si="91"/>
        <v>5</v>
      </c>
    </row>
    <row r="337" spans="4:32">
      <c r="D337" t="s">
        <v>7</v>
      </c>
      <c r="E337" s="6"/>
      <c r="G337" s="17" t="s">
        <v>61</v>
      </c>
      <c r="I337" s="14">
        <v>5</v>
      </c>
      <c r="J337" s="14">
        <v>5</v>
      </c>
      <c r="K337" s="14">
        <v>5</v>
      </c>
      <c r="L337" s="14">
        <v>5</v>
      </c>
      <c r="M337" s="14">
        <v>5</v>
      </c>
      <c r="N337" s="14">
        <v>5</v>
      </c>
      <c r="O337" s="14">
        <v>5</v>
      </c>
      <c r="P337" s="14">
        <v>5</v>
      </c>
      <c r="Q337" s="14">
        <v>5</v>
      </c>
      <c r="R337" s="14">
        <v>5</v>
      </c>
      <c r="S337" s="14">
        <v>5</v>
      </c>
      <c r="T337" s="14">
        <v>5</v>
      </c>
      <c r="U337" s="14">
        <v>5</v>
      </c>
      <c r="V337" s="14">
        <v>5</v>
      </c>
      <c r="W337" s="14">
        <v>5</v>
      </c>
      <c r="X337" s="14">
        <v>5</v>
      </c>
      <c r="Y337" s="14">
        <v>5</v>
      </c>
      <c r="Z337" s="14">
        <v>5</v>
      </c>
      <c r="AA337" s="14">
        <v>5</v>
      </c>
      <c r="AB337" s="14">
        <v>5</v>
      </c>
      <c r="AC337" s="14">
        <v>5</v>
      </c>
      <c r="AD337" s="14">
        <v>5</v>
      </c>
      <c r="AE337" s="14">
        <v>5</v>
      </c>
      <c r="AF337" s="14">
        <v>5</v>
      </c>
    </row>
    <row r="338" spans="4:32">
      <c r="D338" t="s">
        <v>9</v>
      </c>
      <c r="E338" s="8">
        <v>0.1</v>
      </c>
      <c r="G338" s="17" t="s">
        <v>61</v>
      </c>
      <c r="I338" s="15">
        <f t="shared" ref="I338:AF339" si="92">I337*(1+$E338)</f>
        <v>5.5</v>
      </c>
      <c r="J338" s="15">
        <f t="shared" si="92"/>
        <v>5.5</v>
      </c>
      <c r="K338" s="15">
        <f t="shared" si="92"/>
        <v>5.5</v>
      </c>
      <c r="L338" s="15">
        <f t="shared" si="92"/>
        <v>5.5</v>
      </c>
      <c r="M338" s="15">
        <f t="shared" si="92"/>
        <v>5.5</v>
      </c>
      <c r="N338" s="15">
        <f t="shared" si="92"/>
        <v>5.5</v>
      </c>
      <c r="O338" s="15">
        <f t="shared" si="92"/>
        <v>5.5</v>
      </c>
      <c r="P338" s="15">
        <f t="shared" si="92"/>
        <v>5.5</v>
      </c>
      <c r="Q338" s="15">
        <f t="shared" si="92"/>
        <v>5.5</v>
      </c>
      <c r="R338" s="15">
        <f t="shared" si="92"/>
        <v>5.5</v>
      </c>
      <c r="S338" s="15">
        <f t="shared" si="92"/>
        <v>5.5</v>
      </c>
      <c r="T338" s="15">
        <f t="shared" si="92"/>
        <v>5.5</v>
      </c>
      <c r="U338" s="15">
        <f t="shared" si="92"/>
        <v>5.5</v>
      </c>
      <c r="V338" s="15">
        <f t="shared" si="92"/>
        <v>5.5</v>
      </c>
      <c r="W338" s="15">
        <f t="shared" si="92"/>
        <v>5.5</v>
      </c>
      <c r="X338" s="15">
        <f t="shared" si="92"/>
        <v>5.5</v>
      </c>
      <c r="Y338" s="15">
        <f t="shared" si="92"/>
        <v>5.5</v>
      </c>
      <c r="Z338" s="15">
        <f t="shared" si="92"/>
        <v>5.5</v>
      </c>
      <c r="AA338" s="15">
        <f t="shared" si="92"/>
        <v>5.5</v>
      </c>
      <c r="AB338" s="15">
        <f t="shared" si="92"/>
        <v>5.5</v>
      </c>
      <c r="AC338" s="15">
        <f t="shared" si="92"/>
        <v>5.5</v>
      </c>
      <c r="AD338" s="15">
        <f t="shared" si="92"/>
        <v>5.5</v>
      </c>
      <c r="AE338" s="15">
        <f t="shared" si="92"/>
        <v>5.5</v>
      </c>
      <c r="AF338" s="15">
        <f t="shared" si="92"/>
        <v>5.5</v>
      </c>
    </row>
    <row r="339" spans="4:32">
      <c r="D339" t="s">
        <v>10</v>
      </c>
      <c r="E339" s="8">
        <v>-0.1</v>
      </c>
      <c r="G339" s="17" t="s">
        <v>61</v>
      </c>
      <c r="I339" s="15">
        <f t="shared" si="92"/>
        <v>4.95</v>
      </c>
      <c r="J339" s="15">
        <f t="shared" si="92"/>
        <v>4.95</v>
      </c>
      <c r="K339" s="15">
        <f t="shared" si="92"/>
        <v>4.95</v>
      </c>
      <c r="L339" s="15">
        <f t="shared" si="92"/>
        <v>4.95</v>
      </c>
      <c r="M339" s="15">
        <f t="shared" si="92"/>
        <v>4.95</v>
      </c>
      <c r="N339" s="15">
        <f t="shared" si="92"/>
        <v>4.95</v>
      </c>
      <c r="O339" s="15">
        <f t="shared" si="92"/>
        <v>4.95</v>
      </c>
      <c r="P339" s="15">
        <f t="shared" si="92"/>
        <v>4.95</v>
      </c>
      <c r="Q339" s="15">
        <f t="shared" si="92"/>
        <v>4.95</v>
      </c>
      <c r="R339" s="15">
        <f t="shared" si="92"/>
        <v>4.95</v>
      </c>
      <c r="S339" s="15">
        <f t="shared" si="92"/>
        <v>4.95</v>
      </c>
      <c r="T339" s="15">
        <f t="shared" si="92"/>
        <v>4.95</v>
      </c>
      <c r="U339" s="15">
        <f t="shared" si="92"/>
        <v>4.95</v>
      </c>
      <c r="V339" s="15">
        <f t="shared" si="92"/>
        <v>4.95</v>
      </c>
      <c r="W339" s="15">
        <f t="shared" si="92"/>
        <v>4.95</v>
      </c>
      <c r="X339" s="15">
        <f t="shared" si="92"/>
        <v>4.95</v>
      </c>
      <c r="Y339" s="15">
        <f t="shared" si="92"/>
        <v>4.95</v>
      </c>
      <c r="Z339" s="15">
        <f t="shared" si="92"/>
        <v>4.95</v>
      </c>
      <c r="AA339" s="15">
        <f t="shared" si="92"/>
        <v>4.95</v>
      </c>
      <c r="AB339" s="15">
        <f t="shared" si="92"/>
        <v>4.95</v>
      </c>
      <c r="AC339" s="15">
        <f t="shared" si="92"/>
        <v>4.95</v>
      </c>
      <c r="AD339" s="15">
        <f t="shared" si="92"/>
        <v>4.95</v>
      </c>
      <c r="AE339" s="15">
        <f t="shared" si="92"/>
        <v>4.95</v>
      </c>
      <c r="AF339" s="15">
        <f t="shared" si="92"/>
        <v>4.95</v>
      </c>
    </row>
    <row r="340" spans="4:32">
      <c r="D340" t="s">
        <v>11</v>
      </c>
      <c r="E340" s="8"/>
      <c r="G340" s="17" t="s">
        <v>61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</row>
    <row r="341" spans="4:32">
      <c r="D341" t="s">
        <v>12</v>
      </c>
      <c r="E341" s="8"/>
      <c r="G341" s="17" t="s">
        <v>61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</row>
    <row r="342" spans="4:32">
      <c r="E342" s="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</row>
    <row r="343" spans="4:32">
      <c r="D343" s="5" t="s">
        <v>62</v>
      </c>
      <c r="E343" s="5" t="s">
        <v>7</v>
      </c>
      <c r="F343" s="5"/>
      <c r="G343" s="5"/>
      <c r="H343" s="13"/>
      <c r="I343" s="13">
        <f t="shared" ref="I343:AF343" si="93">INDEX(I344:I348,MATCH($E343,$D344:$D348,0))</f>
        <v>0.35</v>
      </c>
      <c r="J343" s="13">
        <f t="shared" si="93"/>
        <v>0.35</v>
      </c>
      <c r="K343" s="13">
        <f t="shared" si="93"/>
        <v>0.35</v>
      </c>
      <c r="L343" s="13">
        <f t="shared" si="93"/>
        <v>0.35</v>
      </c>
      <c r="M343" s="13">
        <f t="shared" si="93"/>
        <v>0.35</v>
      </c>
      <c r="N343" s="13">
        <f t="shared" si="93"/>
        <v>0.35</v>
      </c>
      <c r="O343" s="13">
        <f t="shared" si="93"/>
        <v>0.35</v>
      </c>
      <c r="P343" s="13">
        <f t="shared" si="93"/>
        <v>0.35</v>
      </c>
      <c r="Q343" s="13">
        <f t="shared" si="93"/>
        <v>0.35</v>
      </c>
      <c r="R343" s="13">
        <f t="shared" si="93"/>
        <v>0.35</v>
      </c>
      <c r="S343" s="13">
        <f t="shared" si="93"/>
        <v>0.35</v>
      </c>
      <c r="T343" s="13">
        <f t="shared" si="93"/>
        <v>0.35</v>
      </c>
      <c r="U343" s="13">
        <f t="shared" si="93"/>
        <v>0.35</v>
      </c>
      <c r="V343" s="13">
        <f t="shared" si="93"/>
        <v>0.35</v>
      </c>
      <c r="W343" s="13">
        <f t="shared" si="93"/>
        <v>0.35</v>
      </c>
      <c r="X343" s="13">
        <f t="shared" si="93"/>
        <v>0.35</v>
      </c>
      <c r="Y343" s="13">
        <f t="shared" si="93"/>
        <v>0.35</v>
      </c>
      <c r="Z343" s="13">
        <f t="shared" si="93"/>
        <v>0.35</v>
      </c>
      <c r="AA343" s="13">
        <f t="shared" si="93"/>
        <v>0.35</v>
      </c>
      <c r="AB343" s="13">
        <f t="shared" si="93"/>
        <v>0.35</v>
      </c>
      <c r="AC343" s="13">
        <f t="shared" si="93"/>
        <v>0.35</v>
      </c>
      <c r="AD343" s="13">
        <f t="shared" si="93"/>
        <v>0.35</v>
      </c>
      <c r="AE343" s="13">
        <f t="shared" si="93"/>
        <v>0.35</v>
      </c>
      <c r="AF343" s="13">
        <f t="shared" si="93"/>
        <v>0.35</v>
      </c>
    </row>
    <row r="344" spans="4:32">
      <c r="D344" t="s">
        <v>7</v>
      </c>
      <c r="E344" s="6"/>
      <c r="G344" s="17" t="s">
        <v>63</v>
      </c>
      <c r="I344" s="14">
        <v>0.35</v>
      </c>
      <c r="J344" s="14">
        <v>0.35</v>
      </c>
      <c r="K344" s="14">
        <v>0.35</v>
      </c>
      <c r="L344" s="14">
        <v>0.35</v>
      </c>
      <c r="M344" s="14">
        <v>0.35</v>
      </c>
      <c r="N344" s="14">
        <v>0.35</v>
      </c>
      <c r="O344" s="14">
        <v>0.35</v>
      </c>
      <c r="P344" s="14">
        <v>0.35</v>
      </c>
      <c r="Q344" s="14">
        <v>0.35</v>
      </c>
      <c r="R344" s="14">
        <v>0.35</v>
      </c>
      <c r="S344" s="14">
        <v>0.35</v>
      </c>
      <c r="T344" s="14">
        <v>0.35</v>
      </c>
      <c r="U344" s="14">
        <v>0.35</v>
      </c>
      <c r="V344" s="14">
        <v>0.35</v>
      </c>
      <c r="W344" s="14">
        <v>0.35</v>
      </c>
      <c r="X344" s="14">
        <v>0.35</v>
      </c>
      <c r="Y344" s="14">
        <v>0.35</v>
      </c>
      <c r="Z344" s="14">
        <v>0.35</v>
      </c>
      <c r="AA344" s="14">
        <v>0.35</v>
      </c>
      <c r="AB344" s="14">
        <v>0.35</v>
      </c>
      <c r="AC344" s="14">
        <v>0.35</v>
      </c>
      <c r="AD344" s="14">
        <v>0.35</v>
      </c>
      <c r="AE344" s="14">
        <v>0.35</v>
      </c>
      <c r="AF344" s="14">
        <v>0.35</v>
      </c>
    </row>
    <row r="345" spans="4:32">
      <c r="D345" t="s">
        <v>9</v>
      </c>
      <c r="E345" s="8">
        <v>0.1</v>
      </c>
      <c r="G345" s="17" t="s">
        <v>63</v>
      </c>
      <c r="I345" s="15">
        <f t="shared" ref="I345:AF346" si="94">I344*(1+$E345)</f>
        <v>0.38500000000000001</v>
      </c>
      <c r="J345" s="15">
        <f t="shared" si="94"/>
        <v>0.38500000000000001</v>
      </c>
      <c r="K345" s="15">
        <f t="shared" si="94"/>
        <v>0.38500000000000001</v>
      </c>
      <c r="L345" s="15">
        <f t="shared" si="94"/>
        <v>0.38500000000000001</v>
      </c>
      <c r="M345" s="15">
        <f t="shared" si="94"/>
        <v>0.38500000000000001</v>
      </c>
      <c r="N345" s="15">
        <f t="shared" si="94"/>
        <v>0.38500000000000001</v>
      </c>
      <c r="O345" s="15">
        <f t="shared" si="94"/>
        <v>0.38500000000000001</v>
      </c>
      <c r="P345" s="15">
        <f t="shared" si="94"/>
        <v>0.38500000000000001</v>
      </c>
      <c r="Q345" s="15">
        <f t="shared" si="94"/>
        <v>0.38500000000000001</v>
      </c>
      <c r="R345" s="15">
        <f t="shared" si="94"/>
        <v>0.38500000000000001</v>
      </c>
      <c r="S345" s="15">
        <f t="shared" si="94"/>
        <v>0.38500000000000001</v>
      </c>
      <c r="T345" s="15">
        <f t="shared" si="94"/>
        <v>0.38500000000000001</v>
      </c>
      <c r="U345" s="15">
        <f t="shared" si="94"/>
        <v>0.38500000000000001</v>
      </c>
      <c r="V345" s="15">
        <f t="shared" si="94"/>
        <v>0.38500000000000001</v>
      </c>
      <c r="W345" s="15">
        <f t="shared" si="94"/>
        <v>0.38500000000000001</v>
      </c>
      <c r="X345" s="15">
        <f t="shared" si="94"/>
        <v>0.38500000000000001</v>
      </c>
      <c r="Y345" s="15">
        <f t="shared" si="94"/>
        <v>0.38500000000000001</v>
      </c>
      <c r="Z345" s="15">
        <f t="shared" si="94"/>
        <v>0.38500000000000001</v>
      </c>
      <c r="AA345" s="15">
        <f t="shared" si="94"/>
        <v>0.38500000000000001</v>
      </c>
      <c r="AB345" s="15">
        <f t="shared" si="94"/>
        <v>0.38500000000000001</v>
      </c>
      <c r="AC345" s="15">
        <f t="shared" si="94"/>
        <v>0.38500000000000001</v>
      </c>
      <c r="AD345" s="15">
        <f t="shared" si="94"/>
        <v>0.38500000000000001</v>
      </c>
      <c r="AE345" s="15">
        <f t="shared" si="94"/>
        <v>0.38500000000000001</v>
      </c>
      <c r="AF345" s="15">
        <f t="shared" si="94"/>
        <v>0.38500000000000001</v>
      </c>
    </row>
    <row r="346" spans="4:32">
      <c r="D346" t="s">
        <v>10</v>
      </c>
      <c r="E346" s="8">
        <v>-0.1</v>
      </c>
      <c r="G346" s="17" t="s">
        <v>63</v>
      </c>
      <c r="I346" s="15">
        <f t="shared" si="94"/>
        <v>0.34650000000000003</v>
      </c>
      <c r="J346" s="15">
        <f t="shared" si="94"/>
        <v>0.34650000000000003</v>
      </c>
      <c r="K346" s="15">
        <f t="shared" si="94"/>
        <v>0.34650000000000003</v>
      </c>
      <c r="L346" s="15">
        <f t="shared" si="94"/>
        <v>0.34650000000000003</v>
      </c>
      <c r="M346" s="15">
        <f t="shared" si="94"/>
        <v>0.34650000000000003</v>
      </c>
      <c r="N346" s="15">
        <f t="shared" si="94"/>
        <v>0.34650000000000003</v>
      </c>
      <c r="O346" s="15">
        <f t="shared" si="94"/>
        <v>0.34650000000000003</v>
      </c>
      <c r="P346" s="15">
        <f t="shared" si="94"/>
        <v>0.34650000000000003</v>
      </c>
      <c r="Q346" s="15">
        <f t="shared" si="94"/>
        <v>0.34650000000000003</v>
      </c>
      <c r="R346" s="15">
        <f t="shared" si="94"/>
        <v>0.34650000000000003</v>
      </c>
      <c r="S346" s="15">
        <f t="shared" si="94"/>
        <v>0.34650000000000003</v>
      </c>
      <c r="T346" s="15">
        <f t="shared" si="94"/>
        <v>0.34650000000000003</v>
      </c>
      <c r="U346" s="15">
        <f t="shared" si="94"/>
        <v>0.34650000000000003</v>
      </c>
      <c r="V346" s="15">
        <f t="shared" si="94"/>
        <v>0.34650000000000003</v>
      </c>
      <c r="W346" s="15">
        <f t="shared" si="94"/>
        <v>0.34650000000000003</v>
      </c>
      <c r="X346" s="15">
        <f t="shared" si="94"/>
        <v>0.34650000000000003</v>
      </c>
      <c r="Y346" s="15">
        <f t="shared" si="94"/>
        <v>0.34650000000000003</v>
      </c>
      <c r="Z346" s="15">
        <f t="shared" si="94"/>
        <v>0.34650000000000003</v>
      </c>
      <c r="AA346" s="15">
        <f t="shared" si="94"/>
        <v>0.34650000000000003</v>
      </c>
      <c r="AB346" s="15">
        <f t="shared" si="94"/>
        <v>0.34650000000000003</v>
      </c>
      <c r="AC346" s="15">
        <f t="shared" si="94"/>
        <v>0.34650000000000003</v>
      </c>
      <c r="AD346" s="15">
        <f t="shared" si="94"/>
        <v>0.34650000000000003</v>
      </c>
      <c r="AE346" s="15">
        <f t="shared" si="94"/>
        <v>0.34650000000000003</v>
      </c>
      <c r="AF346" s="15">
        <f t="shared" si="94"/>
        <v>0.34650000000000003</v>
      </c>
    </row>
    <row r="347" spans="4:32">
      <c r="D347" t="s">
        <v>11</v>
      </c>
      <c r="E347" s="8"/>
      <c r="G347" s="17" t="s">
        <v>63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</row>
    <row r="348" spans="4:32">
      <c r="D348" t="s">
        <v>12</v>
      </c>
      <c r="E348" s="8"/>
      <c r="G348" s="17" t="s">
        <v>63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</row>
    <row r="350" spans="4:32">
      <c r="D350" s="5" t="s">
        <v>64</v>
      </c>
      <c r="E350" s="5" t="s">
        <v>7</v>
      </c>
      <c r="F350" s="5"/>
      <c r="G350" s="5"/>
      <c r="H350" s="13"/>
      <c r="I350" s="13">
        <f t="shared" ref="I350:AF350" si="95">INDEX(I351:I355,MATCH($E350,$D351:$D355,0))</f>
        <v>3.0000000000000001E-3</v>
      </c>
      <c r="J350" s="13">
        <f t="shared" si="95"/>
        <v>3.0000000000000001E-3</v>
      </c>
      <c r="K350" s="13">
        <f t="shared" si="95"/>
        <v>3.0000000000000001E-3</v>
      </c>
      <c r="L350" s="13">
        <f t="shared" si="95"/>
        <v>3.0000000000000001E-3</v>
      </c>
      <c r="M350" s="13">
        <f t="shared" si="95"/>
        <v>3.0000000000000001E-3</v>
      </c>
      <c r="N350" s="13">
        <f t="shared" si="95"/>
        <v>3.0000000000000001E-3</v>
      </c>
      <c r="O350" s="13">
        <f t="shared" si="95"/>
        <v>3.0000000000000001E-3</v>
      </c>
      <c r="P350" s="13">
        <f t="shared" si="95"/>
        <v>3.0000000000000001E-3</v>
      </c>
      <c r="Q350" s="13">
        <f t="shared" si="95"/>
        <v>3.0000000000000001E-3</v>
      </c>
      <c r="R350" s="13">
        <f t="shared" si="95"/>
        <v>3.0000000000000001E-3</v>
      </c>
      <c r="S350" s="13">
        <f t="shared" si="95"/>
        <v>3.0000000000000001E-3</v>
      </c>
      <c r="T350" s="13">
        <f t="shared" si="95"/>
        <v>3.0000000000000001E-3</v>
      </c>
      <c r="U350" s="13">
        <f t="shared" si="95"/>
        <v>3.0000000000000001E-3</v>
      </c>
      <c r="V350" s="13">
        <f t="shared" si="95"/>
        <v>3.0000000000000001E-3</v>
      </c>
      <c r="W350" s="13">
        <f t="shared" si="95"/>
        <v>3.0000000000000001E-3</v>
      </c>
      <c r="X350" s="13">
        <f t="shared" si="95"/>
        <v>3.0000000000000001E-3</v>
      </c>
      <c r="Y350" s="13">
        <f t="shared" si="95"/>
        <v>3.0000000000000001E-3</v>
      </c>
      <c r="Z350" s="13">
        <f t="shared" si="95"/>
        <v>3.0000000000000001E-3</v>
      </c>
      <c r="AA350" s="13">
        <f t="shared" si="95"/>
        <v>3.0000000000000001E-3</v>
      </c>
      <c r="AB350" s="13">
        <f t="shared" si="95"/>
        <v>3.0000000000000001E-3</v>
      </c>
      <c r="AC350" s="13">
        <f t="shared" si="95"/>
        <v>3.0000000000000001E-3</v>
      </c>
      <c r="AD350" s="13">
        <f t="shared" si="95"/>
        <v>3.0000000000000001E-3</v>
      </c>
      <c r="AE350" s="13">
        <f t="shared" si="95"/>
        <v>3.0000000000000001E-3</v>
      </c>
      <c r="AF350" s="13">
        <f t="shared" si="95"/>
        <v>3.0000000000000001E-3</v>
      </c>
    </row>
    <row r="351" spans="4:32">
      <c r="D351" t="s">
        <v>7</v>
      </c>
      <c r="E351" s="6"/>
      <c r="G351" t="s">
        <v>59</v>
      </c>
      <c r="I351" s="14">
        <v>3.0000000000000001E-3</v>
      </c>
      <c r="J351" s="14">
        <v>3.0000000000000001E-3</v>
      </c>
      <c r="K351" s="14">
        <v>3.0000000000000001E-3</v>
      </c>
      <c r="L351" s="14">
        <v>3.0000000000000001E-3</v>
      </c>
      <c r="M351" s="14">
        <v>3.0000000000000001E-3</v>
      </c>
      <c r="N351" s="14">
        <v>3.0000000000000001E-3</v>
      </c>
      <c r="O351" s="14">
        <v>3.0000000000000001E-3</v>
      </c>
      <c r="P351" s="14">
        <v>3.0000000000000001E-3</v>
      </c>
      <c r="Q351" s="14">
        <v>3.0000000000000001E-3</v>
      </c>
      <c r="R351" s="14">
        <v>3.0000000000000001E-3</v>
      </c>
      <c r="S351" s="14">
        <v>3.0000000000000001E-3</v>
      </c>
      <c r="T351" s="14">
        <v>3.0000000000000001E-3</v>
      </c>
      <c r="U351" s="14">
        <v>3.0000000000000001E-3</v>
      </c>
      <c r="V351" s="14">
        <v>3.0000000000000001E-3</v>
      </c>
      <c r="W351" s="14">
        <v>3.0000000000000001E-3</v>
      </c>
      <c r="X351" s="14">
        <v>3.0000000000000001E-3</v>
      </c>
      <c r="Y351" s="14">
        <v>3.0000000000000001E-3</v>
      </c>
      <c r="Z351" s="14">
        <v>3.0000000000000001E-3</v>
      </c>
      <c r="AA351" s="14">
        <v>3.0000000000000001E-3</v>
      </c>
      <c r="AB351" s="14">
        <v>3.0000000000000001E-3</v>
      </c>
      <c r="AC351" s="14">
        <v>3.0000000000000001E-3</v>
      </c>
      <c r="AD351" s="14">
        <v>3.0000000000000001E-3</v>
      </c>
      <c r="AE351" s="14">
        <v>3.0000000000000001E-3</v>
      </c>
      <c r="AF351" s="14">
        <v>3.0000000000000001E-3</v>
      </c>
    </row>
    <row r="352" spans="4:32">
      <c r="D352" t="s">
        <v>9</v>
      </c>
      <c r="E352" s="8">
        <v>0.1</v>
      </c>
      <c r="G352" t="s">
        <v>59</v>
      </c>
      <c r="I352" s="15">
        <f t="shared" ref="I352:AF353" si="96">I351*(1+$E352)</f>
        <v>3.3000000000000004E-3</v>
      </c>
      <c r="J352" s="15">
        <f t="shared" si="96"/>
        <v>3.3000000000000004E-3</v>
      </c>
      <c r="K352" s="15">
        <f t="shared" si="96"/>
        <v>3.3000000000000004E-3</v>
      </c>
      <c r="L352" s="15">
        <f t="shared" si="96"/>
        <v>3.3000000000000004E-3</v>
      </c>
      <c r="M352" s="15">
        <f t="shared" si="96"/>
        <v>3.3000000000000004E-3</v>
      </c>
      <c r="N352" s="15">
        <f t="shared" si="96"/>
        <v>3.3000000000000004E-3</v>
      </c>
      <c r="O352" s="15">
        <f t="shared" si="96"/>
        <v>3.3000000000000004E-3</v>
      </c>
      <c r="P352" s="15">
        <f t="shared" si="96"/>
        <v>3.3000000000000004E-3</v>
      </c>
      <c r="Q352" s="15">
        <f t="shared" si="96"/>
        <v>3.3000000000000004E-3</v>
      </c>
      <c r="R352" s="15">
        <f t="shared" si="96"/>
        <v>3.3000000000000004E-3</v>
      </c>
      <c r="S352" s="15">
        <f t="shared" si="96"/>
        <v>3.3000000000000004E-3</v>
      </c>
      <c r="T352" s="15">
        <f t="shared" si="96"/>
        <v>3.3000000000000004E-3</v>
      </c>
      <c r="U352" s="15">
        <f t="shared" si="96"/>
        <v>3.3000000000000004E-3</v>
      </c>
      <c r="V352" s="15">
        <f t="shared" si="96"/>
        <v>3.3000000000000004E-3</v>
      </c>
      <c r="W352" s="15">
        <f t="shared" si="96"/>
        <v>3.3000000000000004E-3</v>
      </c>
      <c r="X352" s="15">
        <f t="shared" si="96"/>
        <v>3.3000000000000004E-3</v>
      </c>
      <c r="Y352" s="15">
        <f t="shared" si="96"/>
        <v>3.3000000000000004E-3</v>
      </c>
      <c r="Z352" s="15">
        <f t="shared" si="96"/>
        <v>3.3000000000000004E-3</v>
      </c>
      <c r="AA352" s="15">
        <f t="shared" si="96"/>
        <v>3.3000000000000004E-3</v>
      </c>
      <c r="AB352" s="15">
        <f t="shared" si="96"/>
        <v>3.3000000000000004E-3</v>
      </c>
      <c r="AC352" s="15">
        <f t="shared" si="96"/>
        <v>3.3000000000000004E-3</v>
      </c>
      <c r="AD352" s="15">
        <f t="shared" si="96"/>
        <v>3.3000000000000004E-3</v>
      </c>
      <c r="AE352" s="15">
        <f t="shared" si="96"/>
        <v>3.3000000000000004E-3</v>
      </c>
      <c r="AF352" s="15">
        <f t="shared" si="96"/>
        <v>3.3000000000000004E-3</v>
      </c>
    </row>
    <row r="353" spans="4:32">
      <c r="D353" t="s">
        <v>10</v>
      </c>
      <c r="E353" s="8">
        <v>-0.1</v>
      </c>
      <c r="G353" t="s">
        <v>59</v>
      </c>
      <c r="I353" s="15">
        <f t="shared" si="96"/>
        <v>2.9700000000000004E-3</v>
      </c>
      <c r="J353" s="15">
        <f t="shared" si="96"/>
        <v>2.9700000000000004E-3</v>
      </c>
      <c r="K353" s="15">
        <f t="shared" si="96"/>
        <v>2.9700000000000004E-3</v>
      </c>
      <c r="L353" s="15">
        <f t="shared" si="96"/>
        <v>2.9700000000000004E-3</v>
      </c>
      <c r="M353" s="15">
        <f t="shared" si="96"/>
        <v>2.9700000000000004E-3</v>
      </c>
      <c r="N353" s="15">
        <f t="shared" si="96"/>
        <v>2.9700000000000004E-3</v>
      </c>
      <c r="O353" s="15">
        <f t="shared" si="96"/>
        <v>2.9700000000000004E-3</v>
      </c>
      <c r="P353" s="15">
        <f t="shared" si="96"/>
        <v>2.9700000000000004E-3</v>
      </c>
      <c r="Q353" s="15">
        <f t="shared" si="96"/>
        <v>2.9700000000000004E-3</v>
      </c>
      <c r="R353" s="15">
        <f t="shared" si="96"/>
        <v>2.9700000000000004E-3</v>
      </c>
      <c r="S353" s="15">
        <f t="shared" si="96"/>
        <v>2.9700000000000004E-3</v>
      </c>
      <c r="T353" s="15">
        <f t="shared" si="96"/>
        <v>2.9700000000000004E-3</v>
      </c>
      <c r="U353" s="15">
        <f t="shared" si="96"/>
        <v>2.9700000000000004E-3</v>
      </c>
      <c r="V353" s="15">
        <f t="shared" si="96"/>
        <v>2.9700000000000004E-3</v>
      </c>
      <c r="W353" s="15">
        <f t="shared" si="96"/>
        <v>2.9700000000000004E-3</v>
      </c>
      <c r="X353" s="15">
        <f t="shared" si="96"/>
        <v>2.9700000000000004E-3</v>
      </c>
      <c r="Y353" s="15">
        <f t="shared" si="96"/>
        <v>2.9700000000000004E-3</v>
      </c>
      <c r="Z353" s="15">
        <f t="shared" si="96"/>
        <v>2.9700000000000004E-3</v>
      </c>
      <c r="AA353" s="15">
        <f t="shared" si="96"/>
        <v>2.9700000000000004E-3</v>
      </c>
      <c r="AB353" s="15">
        <f t="shared" si="96"/>
        <v>2.9700000000000004E-3</v>
      </c>
      <c r="AC353" s="15">
        <f t="shared" si="96"/>
        <v>2.9700000000000004E-3</v>
      </c>
      <c r="AD353" s="15">
        <f t="shared" si="96"/>
        <v>2.9700000000000004E-3</v>
      </c>
      <c r="AE353" s="15">
        <f t="shared" si="96"/>
        <v>2.9700000000000004E-3</v>
      </c>
      <c r="AF353" s="15">
        <f t="shared" si="96"/>
        <v>2.9700000000000004E-3</v>
      </c>
    </row>
    <row r="354" spans="4:32">
      <c r="D354" t="s">
        <v>11</v>
      </c>
      <c r="E354" s="8"/>
      <c r="G354" t="s">
        <v>59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</row>
    <row r="355" spans="4:32">
      <c r="D355" t="s">
        <v>12</v>
      </c>
      <c r="E355" s="8"/>
      <c r="G355" t="s">
        <v>59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</row>
    <row r="357" spans="4:32">
      <c r="D357" s="3" t="s">
        <v>65</v>
      </c>
      <c r="E357" s="3"/>
      <c r="F357" s="3"/>
      <c r="G357" s="3" t="s">
        <v>3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4:32">
      <c r="D358" s="4" t="s">
        <v>66</v>
      </c>
      <c r="E358" s="4"/>
      <c r="F358" s="4"/>
      <c r="G358" s="4"/>
      <c r="H358" s="4"/>
      <c r="I358" s="1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4:32">
      <c r="D359" t="s">
        <v>67</v>
      </c>
      <c r="I359" s="11">
        <v>0.68</v>
      </c>
      <c r="J359" s="11">
        <v>0.68</v>
      </c>
      <c r="K359" s="11">
        <v>0.68</v>
      </c>
      <c r="L359" s="11">
        <v>0.68</v>
      </c>
      <c r="M359" s="11">
        <v>0.68</v>
      </c>
      <c r="N359" s="11">
        <v>0.4</v>
      </c>
      <c r="O359" s="11">
        <v>0.4</v>
      </c>
      <c r="P359" s="11">
        <v>0.4</v>
      </c>
      <c r="Q359" s="11">
        <v>0.4</v>
      </c>
      <c r="R359" s="11">
        <v>0.4</v>
      </c>
      <c r="S359" s="11">
        <v>0.4</v>
      </c>
      <c r="T359" s="11">
        <v>0.4</v>
      </c>
      <c r="U359" s="11">
        <v>0.4</v>
      </c>
      <c r="V359" s="11">
        <v>0.4</v>
      </c>
      <c r="W359" s="11">
        <v>0.4</v>
      </c>
      <c r="X359" s="11">
        <v>0.4</v>
      </c>
      <c r="Y359" s="11">
        <v>0.4</v>
      </c>
      <c r="Z359" s="11">
        <v>0.4</v>
      </c>
      <c r="AA359" s="11">
        <v>0.4</v>
      </c>
      <c r="AB359" s="11">
        <v>0.4</v>
      </c>
      <c r="AC359" s="11">
        <v>0.4</v>
      </c>
      <c r="AD359" s="11">
        <v>0.4</v>
      </c>
      <c r="AE359" s="11">
        <v>0.4</v>
      </c>
      <c r="AF359" s="11">
        <v>0.4</v>
      </c>
    </row>
    <row r="360" spans="4:32">
      <c r="D360" t="s">
        <v>68</v>
      </c>
      <c r="I360" s="11">
        <v>0.68</v>
      </c>
      <c r="J360" s="11">
        <v>0.68</v>
      </c>
      <c r="K360" s="11">
        <v>0.68</v>
      </c>
      <c r="L360" s="11">
        <v>0.68</v>
      </c>
      <c r="M360" s="11">
        <v>0.68</v>
      </c>
      <c r="N360" s="11">
        <v>0.4</v>
      </c>
      <c r="O360" s="11">
        <v>0.4</v>
      </c>
      <c r="P360" s="11">
        <v>0.4</v>
      </c>
      <c r="Q360" s="11">
        <v>0.4</v>
      </c>
      <c r="R360" s="11">
        <v>0.4</v>
      </c>
      <c r="S360" s="11">
        <v>0.4</v>
      </c>
      <c r="T360" s="11">
        <v>0.4</v>
      </c>
      <c r="U360" s="11">
        <v>0.4</v>
      </c>
      <c r="V360" s="11">
        <v>0.4</v>
      </c>
      <c r="W360" s="11">
        <v>0.4</v>
      </c>
      <c r="X360" s="11">
        <v>0.4</v>
      </c>
      <c r="Y360" s="11">
        <v>0.4</v>
      </c>
      <c r="Z360" s="11">
        <v>0.4</v>
      </c>
      <c r="AA360" s="11">
        <v>0.4</v>
      </c>
      <c r="AB360" s="11">
        <v>0.4</v>
      </c>
      <c r="AC360" s="11">
        <v>0.4</v>
      </c>
      <c r="AD360" s="11">
        <v>0.4</v>
      </c>
      <c r="AE360" s="11">
        <v>0.4</v>
      </c>
      <c r="AF360" s="11">
        <v>0.4</v>
      </c>
    </row>
    <row r="361" spans="4:32">
      <c r="D361" t="s">
        <v>69</v>
      </c>
      <c r="I361" s="14">
        <v>424.60806024039999</v>
      </c>
      <c r="J361" s="14">
        <f>I361*1.01</f>
        <v>428.85414084280399</v>
      </c>
      <c r="K361" s="14">
        <f t="shared" ref="K361:AF362" si="97">J361*1.01</f>
        <v>433.14268225123203</v>
      </c>
      <c r="L361" s="14">
        <f t="shared" si="97"/>
        <v>437.47410907374433</v>
      </c>
      <c r="M361" s="14">
        <f t="shared" si="97"/>
        <v>441.8488501644818</v>
      </c>
      <c r="N361" s="14">
        <f t="shared" si="97"/>
        <v>446.26733866612665</v>
      </c>
      <c r="O361" s="14">
        <f t="shared" si="97"/>
        <v>450.73001205278791</v>
      </c>
      <c r="P361" s="14">
        <f t="shared" si="97"/>
        <v>455.23731217331579</v>
      </c>
      <c r="Q361" s="14">
        <f t="shared" si="97"/>
        <v>459.78968529504897</v>
      </c>
      <c r="R361" s="14">
        <f t="shared" si="97"/>
        <v>464.38758214799947</v>
      </c>
      <c r="S361" s="14">
        <f t="shared" si="97"/>
        <v>469.03145796947945</v>
      </c>
      <c r="T361" s="14">
        <f t="shared" si="97"/>
        <v>473.72177254917426</v>
      </c>
      <c r="U361" s="14">
        <f t="shared" si="97"/>
        <v>478.45899027466601</v>
      </c>
      <c r="V361" s="14">
        <f t="shared" si="97"/>
        <v>483.2435801774127</v>
      </c>
      <c r="W361" s="14">
        <f t="shared" si="97"/>
        <v>488.07601597918682</v>
      </c>
      <c r="X361" s="14">
        <f t="shared" si="97"/>
        <v>492.95677613897868</v>
      </c>
      <c r="Y361" s="14">
        <f t="shared" si="97"/>
        <v>497.8863439003685</v>
      </c>
      <c r="Z361" s="14">
        <f t="shared" si="97"/>
        <v>502.8652073393722</v>
      </c>
      <c r="AA361" s="14">
        <f t="shared" si="97"/>
        <v>507.89385941276595</v>
      </c>
      <c r="AB361" s="14">
        <f t="shared" si="97"/>
        <v>512.97279800689364</v>
      </c>
      <c r="AC361" s="14">
        <f t="shared" si="97"/>
        <v>518.10252598696263</v>
      </c>
      <c r="AD361" s="14">
        <f t="shared" si="97"/>
        <v>523.2835512468323</v>
      </c>
      <c r="AE361" s="14">
        <f t="shared" si="97"/>
        <v>528.51638675930064</v>
      </c>
      <c r="AF361" s="14">
        <f t="shared" si="97"/>
        <v>533.80155062689369</v>
      </c>
    </row>
    <row r="362" spans="4:32">
      <c r="D362" t="s">
        <v>70</v>
      </c>
      <c r="I362" s="14">
        <v>4.2460806024039996</v>
      </c>
      <c r="J362" s="14">
        <f>I362*1.01</f>
        <v>4.2885414084280393</v>
      </c>
      <c r="K362" s="14">
        <f t="shared" si="97"/>
        <v>4.33142682251232</v>
      </c>
      <c r="L362" s="14">
        <f t="shared" si="97"/>
        <v>4.3747410907374435</v>
      </c>
      <c r="M362" s="14">
        <f t="shared" si="97"/>
        <v>4.4184885016448181</v>
      </c>
      <c r="N362" s="14">
        <f t="shared" si="97"/>
        <v>4.4626733866612662</v>
      </c>
      <c r="O362" s="14">
        <f t="shared" si="97"/>
        <v>4.5073001205278791</v>
      </c>
      <c r="P362" s="14">
        <f t="shared" si="97"/>
        <v>4.552373121733158</v>
      </c>
      <c r="Q362" s="14">
        <f t="shared" si="97"/>
        <v>4.5978968529504893</v>
      </c>
      <c r="R362" s="14">
        <f t="shared" si="97"/>
        <v>4.6438758214799947</v>
      </c>
      <c r="S362" s="14">
        <f t="shared" si="97"/>
        <v>4.6903145796947943</v>
      </c>
      <c r="T362" s="14">
        <f t="shared" si="97"/>
        <v>4.7372177254917425</v>
      </c>
      <c r="U362" s="14">
        <f t="shared" si="97"/>
        <v>4.7845899027466601</v>
      </c>
      <c r="V362" s="14">
        <f t="shared" si="97"/>
        <v>4.8324358017741265</v>
      </c>
      <c r="W362" s="14">
        <f t="shared" si="97"/>
        <v>4.8807601597918682</v>
      </c>
      <c r="X362" s="14">
        <f t="shared" si="97"/>
        <v>4.9295677613897873</v>
      </c>
      <c r="Y362" s="14">
        <f t="shared" si="97"/>
        <v>4.9788634390036854</v>
      </c>
      <c r="Z362" s="14">
        <f t="shared" si="97"/>
        <v>5.0286520733937223</v>
      </c>
      <c r="AA362" s="14">
        <f t="shared" si="97"/>
        <v>5.0789385941276599</v>
      </c>
      <c r="AB362" s="14">
        <f t="shared" si="97"/>
        <v>5.1297279800689362</v>
      </c>
      <c r="AC362" s="14">
        <f t="shared" si="97"/>
        <v>5.1810252598696254</v>
      </c>
      <c r="AD362" s="14">
        <f t="shared" si="97"/>
        <v>5.2328355124683217</v>
      </c>
      <c r="AE362" s="14">
        <f t="shared" si="97"/>
        <v>5.2851638675930053</v>
      </c>
      <c r="AF362" s="14">
        <f t="shared" si="97"/>
        <v>5.3380155062689356</v>
      </c>
    </row>
    <row r="364" spans="4:32">
      <c r="D364" s="3" t="s">
        <v>71</v>
      </c>
      <c r="E364" s="3"/>
      <c r="F364" s="3"/>
      <c r="G364" s="3" t="s">
        <v>3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4:32">
      <c r="D365" s="4" t="s">
        <v>72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4:32">
      <c r="D366" s="5" t="s">
        <v>73</v>
      </c>
      <c r="E366" s="5" t="s">
        <v>7</v>
      </c>
      <c r="F366" s="5"/>
      <c r="G366" s="5"/>
      <c r="H366" s="13"/>
      <c r="I366" s="13">
        <f>INDEX(I367:I371,MATCH($E366,$D367:$D371,0))</f>
        <v>0.41</v>
      </c>
      <c r="J366" s="13">
        <f t="shared" ref="J366:AF366" si="98">INDEX(J367:J371,MATCH($E366,$D367:$D371,0))</f>
        <v>0.35</v>
      </c>
      <c r="K366" s="13">
        <f t="shared" si="98"/>
        <v>0.32</v>
      </c>
      <c r="L366" s="13">
        <f t="shared" si="98"/>
        <v>0.33</v>
      </c>
      <c r="M366" s="13">
        <f t="shared" si="98"/>
        <v>0.32</v>
      </c>
      <c r="N366" s="13">
        <f t="shared" si="98"/>
        <v>0.31</v>
      </c>
      <c r="O366" s="13">
        <f t="shared" si="98"/>
        <v>0.31</v>
      </c>
      <c r="P366" s="13">
        <f t="shared" si="98"/>
        <v>0.31</v>
      </c>
      <c r="Q366" s="13">
        <f t="shared" si="98"/>
        <v>0.31</v>
      </c>
      <c r="R366" s="13">
        <f t="shared" si="98"/>
        <v>0.31</v>
      </c>
      <c r="S366" s="13">
        <f t="shared" si="98"/>
        <v>0.36</v>
      </c>
      <c r="T366" s="13">
        <f t="shared" si="98"/>
        <v>0.36</v>
      </c>
      <c r="U366" s="13">
        <f t="shared" si="98"/>
        <v>0.36</v>
      </c>
      <c r="V366" s="13">
        <f t="shared" si="98"/>
        <v>0.36</v>
      </c>
      <c r="W366" s="13">
        <f t="shared" si="98"/>
        <v>0.36</v>
      </c>
      <c r="X366" s="13">
        <f t="shared" si="98"/>
        <v>0.23</v>
      </c>
      <c r="Y366" s="13">
        <f t="shared" si="98"/>
        <v>0.23</v>
      </c>
      <c r="Z366" s="13">
        <f t="shared" si="98"/>
        <v>0.23</v>
      </c>
      <c r="AA366" s="13">
        <f t="shared" si="98"/>
        <v>0.23</v>
      </c>
      <c r="AB366" s="13">
        <f t="shared" si="98"/>
        <v>0.23</v>
      </c>
      <c r="AC366" s="13">
        <f t="shared" si="98"/>
        <v>0.23</v>
      </c>
      <c r="AD366" s="13">
        <f t="shared" si="98"/>
        <v>0.23</v>
      </c>
      <c r="AE366" s="13">
        <f t="shared" si="98"/>
        <v>0.23</v>
      </c>
      <c r="AF366" s="13">
        <f t="shared" si="98"/>
        <v>0.23</v>
      </c>
    </row>
    <row r="367" spans="4:32">
      <c r="D367" t="s">
        <v>7</v>
      </c>
      <c r="E367" s="6"/>
      <c r="G367" t="s">
        <v>74</v>
      </c>
      <c r="I367" s="14">
        <v>0.41</v>
      </c>
      <c r="J367" s="14">
        <v>0.35</v>
      </c>
      <c r="K367" s="14">
        <v>0.32</v>
      </c>
      <c r="L367" s="14">
        <v>0.33</v>
      </c>
      <c r="M367" s="14">
        <v>0.32</v>
      </c>
      <c r="N367" s="14">
        <v>0.31</v>
      </c>
      <c r="O367" s="14">
        <v>0.31</v>
      </c>
      <c r="P367" s="14">
        <v>0.31</v>
      </c>
      <c r="Q367" s="14">
        <v>0.31</v>
      </c>
      <c r="R367" s="14">
        <v>0.31</v>
      </c>
      <c r="S367" s="14">
        <v>0.36</v>
      </c>
      <c r="T367" s="14">
        <v>0.36</v>
      </c>
      <c r="U367" s="14">
        <v>0.36</v>
      </c>
      <c r="V367" s="14">
        <v>0.36</v>
      </c>
      <c r="W367" s="14">
        <v>0.36</v>
      </c>
      <c r="X367" s="14">
        <v>0.23</v>
      </c>
      <c r="Y367" s="14">
        <v>0.23</v>
      </c>
      <c r="Z367" s="14">
        <v>0.23</v>
      </c>
      <c r="AA367" s="14">
        <v>0.23</v>
      </c>
      <c r="AB367" s="14">
        <v>0.23</v>
      </c>
      <c r="AC367" s="14">
        <v>0.23</v>
      </c>
      <c r="AD367" s="14">
        <v>0.23</v>
      </c>
      <c r="AE367" s="14">
        <v>0.23</v>
      </c>
      <c r="AF367" s="14">
        <v>0.23</v>
      </c>
    </row>
    <row r="368" spans="4:32">
      <c r="D368" t="s">
        <v>9</v>
      </c>
      <c r="E368" s="8">
        <v>0.1</v>
      </c>
      <c r="G368" t="s">
        <v>74</v>
      </c>
      <c r="I368" s="15">
        <f>I367*(1+$E368)</f>
        <v>0.45100000000000001</v>
      </c>
      <c r="J368" s="15">
        <f t="shared" ref="J368:AF369" si="99">J367*(1+$E368)</f>
        <v>0.38500000000000001</v>
      </c>
      <c r="K368" s="15">
        <f t="shared" si="99"/>
        <v>0.35200000000000004</v>
      </c>
      <c r="L368" s="15">
        <f t="shared" si="99"/>
        <v>0.36300000000000004</v>
      </c>
      <c r="M368" s="15">
        <f t="shared" si="99"/>
        <v>0.35200000000000004</v>
      </c>
      <c r="N368" s="15">
        <f t="shared" si="99"/>
        <v>0.34100000000000003</v>
      </c>
      <c r="O368" s="15">
        <f t="shared" si="99"/>
        <v>0.34100000000000003</v>
      </c>
      <c r="P368" s="15">
        <f t="shared" si="99"/>
        <v>0.34100000000000003</v>
      </c>
      <c r="Q368" s="15">
        <f t="shared" si="99"/>
        <v>0.34100000000000003</v>
      </c>
      <c r="R368" s="15">
        <f t="shared" si="99"/>
        <v>0.34100000000000003</v>
      </c>
      <c r="S368" s="15">
        <f t="shared" si="99"/>
        <v>0.39600000000000002</v>
      </c>
      <c r="T368" s="15">
        <f t="shared" si="99"/>
        <v>0.39600000000000002</v>
      </c>
      <c r="U368" s="15">
        <f t="shared" si="99"/>
        <v>0.39600000000000002</v>
      </c>
      <c r="V368" s="15">
        <f t="shared" si="99"/>
        <v>0.39600000000000002</v>
      </c>
      <c r="W368" s="15">
        <f t="shared" si="99"/>
        <v>0.39600000000000002</v>
      </c>
      <c r="X368" s="15">
        <f t="shared" si="99"/>
        <v>0.25300000000000006</v>
      </c>
      <c r="Y368" s="15">
        <f t="shared" si="99"/>
        <v>0.25300000000000006</v>
      </c>
      <c r="Z368" s="15">
        <f t="shared" si="99"/>
        <v>0.25300000000000006</v>
      </c>
      <c r="AA368" s="15">
        <f t="shared" si="99"/>
        <v>0.25300000000000006</v>
      </c>
      <c r="AB368" s="15">
        <f t="shared" si="99"/>
        <v>0.25300000000000006</v>
      </c>
      <c r="AC368" s="15">
        <f t="shared" si="99"/>
        <v>0.25300000000000006</v>
      </c>
      <c r="AD368" s="15">
        <f t="shared" si="99"/>
        <v>0.25300000000000006</v>
      </c>
      <c r="AE368" s="15">
        <f t="shared" si="99"/>
        <v>0.25300000000000006</v>
      </c>
      <c r="AF368" s="15">
        <f t="shared" si="99"/>
        <v>0.25300000000000006</v>
      </c>
    </row>
    <row r="369" spans="4:32">
      <c r="D369" t="s">
        <v>10</v>
      </c>
      <c r="E369" s="8">
        <v>-0.1</v>
      </c>
      <c r="G369" t="s">
        <v>74</v>
      </c>
      <c r="I369" s="15">
        <f>I368*(1+$E369)</f>
        <v>0.40590000000000004</v>
      </c>
      <c r="J369" s="15">
        <f t="shared" si="99"/>
        <v>0.34650000000000003</v>
      </c>
      <c r="K369" s="15">
        <f t="shared" si="99"/>
        <v>0.31680000000000003</v>
      </c>
      <c r="L369" s="15">
        <f t="shared" si="99"/>
        <v>0.32670000000000005</v>
      </c>
      <c r="M369" s="15">
        <f t="shared" si="99"/>
        <v>0.31680000000000003</v>
      </c>
      <c r="N369" s="15">
        <f t="shared" si="99"/>
        <v>0.30690000000000001</v>
      </c>
      <c r="O369" s="15">
        <f t="shared" si="99"/>
        <v>0.30690000000000001</v>
      </c>
      <c r="P369" s="15">
        <f t="shared" si="99"/>
        <v>0.30690000000000001</v>
      </c>
      <c r="Q369" s="15">
        <f t="shared" si="99"/>
        <v>0.30690000000000001</v>
      </c>
      <c r="R369" s="15">
        <f t="shared" si="99"/>
        <v>0.30690000000000001</v>
      </c>
      <c r="S369" s="15">
        <f t="shared" si="99"/>
        <v>0.35640000000000005</v>
      </c>
      <c r="T369" s="15">
        <f t="shared" si="99"/>
        <v>0.35640000000000005</v>
      </c>
      <c r="U369" s="15">
        <f t="shared" si="99"/>
        <v>0.35640000000000005</v>
      </c>
      <c r="V369" s="15">
        <f t="shared" si="99"/>
        <v>0.35640000000000005</v>
      </c>
      <c r="W369" s="15">
        <f t="shared" si="99"/>
        <v>0.35640000000000005</v>
      </c>
      <c r="X369" s="15">
        <f t="shared" si="99"/>
        <v>0.22770000000000007</v>
      </c>
      <c r="Y369" s="15">
        <f t="shared" si="99"/>
        <v>0.22770000000000007</v>
      </c>
      <c r="Z369" s="15">
        <f t="shared" si="99"/>
        <v>0.22770000000000007</v>
      </c>
      <c r="AA369" s="15">
        <f t="shared" si="99"/>
        <v>0.22770000000000007</v>
      </c>
      <c r="AB369" s="15">
        <f t="shared" si="99"/>
        <v>0.22770000000000007</v>
      </c>
      <c r="AC369" s="15">
        <f t="shared" si="99"/>
        <v>0.22770000000000007</v>
      </c>
      <c r="AD369" s="15">
        <f t="shared" si="99"/>
        <v>0.22770000000000007</v>
      </c>
      <c r="AE369" s="15">
        <f t="shared" si="99"/>
        <v>0.22770000000000007</v>
      </c>
      <c r="AF369" s="15">
        <f t="shared" si="99"/>
        <v>0.22770000000000007</v>
      </c>
    </row>
    <row r="370" spans="4:32">
      <c r="D370" t="s">
        <v>11</v>
      </c>
      <c r="E370" s="8"/>
      <c r="G370" t="s">
        <v>74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</row>
    <row r="371" spans="4:32">
      <c r="D371" t="s">
        <v>12</v>
      </c>
      <c r="E371" s="8"/>
      <c r="G371" t="s">
        <v>74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</row>
    <row r="373" spans="4:32">
      <c r="D373" s="5" t="s">
        <v>75</v>
      </c>
      <c r="E373" s="5" t="s">
        <v>7</v>
      </c>
      <c r="F373" s="5"/>
      <c r="G373" s="5"/>
      <c r="H373" s="13"/>
      <c r="I373" s="13">
        <f>INDEX(I374:I378,MATCH($E373,$D374:$D378,0))</f>
        <v>0.8</v>
      </c>
      <c r="J373" s="13">
        <f t="shared" ref="J373:AF373" si="100">INDEX(J374:J378,MATCH($E373,$D374:$D378,0))</f>
        <v>0.43</v>
      </c>
      <c r="K373" s="13">
        <f t="shared" si="100"/>
        <v>0.34</v>
      </c>
      <c r="L373" s="13">
        <f t="shared" si="100"/>
        <v>0.31</v>
      </c>
      <c r="M373" s="13">
        <f t="shared" si="100"/>
        <v>0.28999999999999998</v>
      </c>
      <c r="N373" s="13">
        <f t="shared" si="100"/>
        <v>0.32</v>
      </c>
      <c r="O373" s="13">
        <f t="shared" si="100"/>
        <v>0.32</v>
      </c>
      <c r="P373" s="13">
        <f t="shared" si="100"/>
        <v>0.32</v>
      </c>
      <c r="Q373" s="13">
        <f t="shared" si="100"/>
        <v>0.32</v>
      </c>
      <c r="R373" s="13">
        <f t="shared" si="100"/>
        <v>0.32</v>
      </c>
      <c r="S373" s="13">
        <f t="shared" si="100"/>
        <v>0.4</v>
      </c>
      <c r="T373" s="13">
        <f t="shared" si="100"/>
        <v>0.4</v>
      </c>
      <c r="U373" s="13">
        <f t="shared" si="100"/>
        <v>0.4</v>
      </c>
      <c r="V373" s="13">
        <f t="shared" si="100"/>
        <v>0.4</v>
      </c>
      <c r="W373" s="13">
        <f t="shared" si="100"/>
        <v>0.4</v>
      </c>
      <c r="X373" s="13">
        <f t="shared" si="100"/>
        <v>0.27</v>
      </c>
      <c r="Y373" s="13">
        <f t="shared" si="100"/>
        <v>0.27</v>
      </c>
      <c r="Z373" s="13">
        <f t="shared" si="100"/>
        <v>0.27</v>
      </c>
      <c r="AA373" s="13">
        <f t="shared" si="100"/>
        <v>0.27</v>
      </c>
      <c r="AB373" s="13">
        <f t="shared" si="100"/>
        <v>0.27</v>
      </c>
      <c r="AC373" s="13">
        <f t="shared" si="100"/>
        <v>0.27</v>
      </c>
      <c r="AD373" s="13">
        <f t="shared" si="100"/>
        <v>0.27</v>
      </c>
      <c r="AE373" s="13">
        <f t="shared" si="100"/>
        <v>0.27</v>
      </c>
      <c r="AF373" s="13">
        <f t="shared" si="100"/>
        <v>0.27</v>
      </c>
    </row>
    <row r="374" spans="4:32">
      <c r="D374" t="s">
        <v>7</v>
      </c>
      <c r="E374" s="6"/>
      <c r="G374" t="s">
        <v>74</v>
      </c>
      <c r="I374" s="14">
        <v>0.8</v>
      </c>
      <c r="J374" s="14">
        <v>0.43</v>
      </c>
      <c r="K374" s="14">
        <v>0.34</v>
      </c>
      <c r="L374" s="14">
        <v>0.31</v>
      </c>
      <c r="M374" s="14">
        <v>0.28999999999999998</v>
      </c>
      <c r="N374" s="14">
        <v>0.32</v>
      </c>
      <c r="O374" s="14">
        <v>0.32</v>
      </c>
      <c r="P374" s="14">
        <v>0.32</v>
      </c>
      <c r="Q374" s="14">
        <v>0.32</v>
      </c>
      <c r="R374" s="14">
        <v>0.32</v>
      </c>
      <c r="S374" s="14">
        <v>0.4</v>
      </c>
      <c r="T374" s="14">
        <v>0.4</v>
      </c>
      <c r="U374" s="14">
        <v>0.4</v>
      </c>
      <c r="V374" s="14">
        <v>0.4</v>
      </c>
      <c r="W374" s="14">
        <v>0.4</v>
      </c>
      <c r="X374" s="14">
        <v>0.27</v>
      </c>
      <c r="Y374" s="14">
        <v>0.27</v>
      </c>
      <c r="Z374" s="14">
        <v>0.27</v>
      </c>
      <c r="AA374" s="14">
        <v>0.27</v>
      </c>
      <c r="AB374" s="14">
        <v>0.27</v>
      </c>
      <c r="AC374" s="14">
        <v>0.27</v>
      </c>
      <c r="AD374" s="14">
        <v>0.27</v>
      </c>
      <c r="AE374" s="14">
        <v>0.27</v>
      </c>
      <c r="AF374" s="14">
        <v>0.27</v>
      </c>
    </row>
    <row r="375" spans="4:32">
      <c r="D375" t="s">
        <v>9</v>
      </c>
      <c r="E375" s="8">
        <v>0.1</v>
      </c>
      <c r="G375" t="s">
        <v>74</v>
      </c>
      <c r="I375" s="15">
        <f>I374*(1+$E375)</f>
        <v>0.88000000000000012</v>
      </c>
      <c r="J375" s="15">
        <f t="shared" ref="J375:AF376" si="101">J374*(1+$E375)</f>
        <v>0.47300000000000003</v>
      </c>
      <c r="K375" s="15">
        <f t="shared" si="101"/>
        <v>0.37400000000000005</v>
      </c>
      <c r="L375" s="15">
        <f t="shared" si="101"/>
        <v>0.34100000000000003</v>
      </c>
      <c r="M375" s="15">
        <f t="shared" si="101"/>
        <v>0.31900000000000001</v>
      </c>
      <c r="N375" s="15">
        <f t="shared" si="101"/>
        <v>0.35200000000000004</v>
      </c>
      <c r="O375" s="15">
        <f t="shared" si="101"/>
        <v>0.35200000000000004</v>
      </c>
      <c r="P375" s="15">
        <f t="shared" si="101"/>
        <v>0.35200000000000004</v>
      </c>
      <c r="Q375" s="15">
        <f t="shared" si="101"/>
        <v>0.35200000000000004</v>
      </c>
      <c r="R375" s="15">
        <f t="shared" si="101"/>
        <v>0.35200000000000004</v>
      </c>
      <c r="S375" s="15">
        <f t="shared" si="101"/>
        <v>0.44000000000000006</v>
      </c>
      <c r="T375" s="15">
        <f t="shared" si="101"/>
        <v>0.44000000000000006</v>
      </c>
      <c r="U375" s="15">
        <f t="shared" si="101"/>
        <v>0.44000000000000006</v>
      </c>
      <c r="V375" s="15">
        <f t="shared" si="101"/>
        <v>0.44000000000000006</v>
      </c>
      <c r="W375" s="15">
        <f t="shared" si="101"/>
        <v>0.44000000000000006</v>
      </c>
      <c r="X375" s="15">
        <f t="shared" si="101"/>
        <v>0.29700000000000004</v>
      </c>
      <c r="Y375" s="15">
        <f t="shared" si="101"/>
        <v>0.29700000000000004</v>
      </c>
      <c r="Z375" s="15">
        <f t="shared" si="101"/>
        <v>0.29700000000000004</v>
      </c>
      <c r="AA375" s="15">
        <f t="shared" si="101"/>
        <v>0.29700000000000004</v>
      </c>
      <c r="AB375" s="15">
        <f t="shared" si="101"/>
        <v>0.29700000000000004</v>
      </c>
      <c r="AC375" s="15">
        <f t="shared" si="101"/>
        <v>0.29700000000000004</v>
      </c>
      <c r="AD375" s="15">
        <f t="shared" si="101"/>
        <v>0.29700000000000004</v>
      </c>
      <c r="AE375" s="15">
        <f t="shared" si="101"/>
        <v>0.29700000000000004</v>
      </c>
      <c r="AF375" s="15">
        <f t="shared" si="101"/>
        <v>0.29700000000000004</v>
      </c>
    </row>
    <row r="376" spans="4:32">
      <c r="D376" t="s">
        <v>10</v>
      </c>
      <c r="E376" s="8">
        <v>-0.1</v>
      </c>
      <c r="G376" t="s">
        <v>74</v>
      </c>
      <c r="I376" s="15">
        <f>I375*(1+$E376)</f>
        <v>0.79200000000000015</v>
      </c>
      <c r="J376" s="15">
        <f t="shared" si="101"/>
        <v>0.42570000000000002</v>
      </c>
      <c r="K376" s="15">
        <f t="shared" si="101"/>
        <v>0.33660000000000007</v>
      </c>
      <c r="L376" s="15">
        <f t="shared" si="101"/>
        <v>0.30690000000000001</v>
      </c>
      <c r="M376" s="15">
        <f t="shared" si="101"/>
        <v>0.28710000000000002</v>
      </c>
      <c r="N376" s="15">
        <f t="shared" si="101"/>
        <v>0.31680000000000003</v>
      </c>
      <c r="O376" s="15">
        <f t="shared" si="101"/>
        <v>0.31680000000000003</v>
      </c>
      <c r="P376" s="15">
        <f t="shared" si="101"/>
        <v>0.31680000000000003</v>
      </c>
      <c r="Q376" s="15">
        <f t="shared" si="101"/>
        <v>0.31680000000000003</v>
      </c>
      <c r="R376" s="15">
        <f t="shared" si="101"/>
        <v>0.31680000000000003</v>
      </c>
      <c r="S376" s="15">
        <f t="shared" si="101"/>
        <v>0.39600000000000007</v>
      </c>
      <c r="T376" s="15">
        <f t="shared" si="101"/>
        <v>0.39600000000000007</v>
      </c>
      <c r="U376" s="15">
        <f t="shared" si="101"/>
        <v>0.39600000000000007</v>
      </c>
      <c r="V376" s="15">
        <f t="shared" si="101"/>
        <v>0.39600000000000007</v>
      </c>
      <c r="W376" s="15">
        <f t="shared" si="101"/>
        <v>0.39600000000000007</v>
      </c>
      <c r="X376" s="15">
        <f t="shared" si="101"/>
        <v>0.26730000000000004</v>
      </c>
      <c r="Y376" s="15">
        <f t="shared" si="101"/>
        <v>0.26730000000000004</v>
      </c>
      <c r="Z376" s="15">
        <f t="shared" si="101"/>
        <v>0.26730000000000004</v>
      </c>
      <c r="AA376" s="15">
        <f t="shared" si="101"/>
        <v>0.26730000000000004</v>
      </c>
      <c r="AB376" s="15">
        <f t="shared" si="101"/>
        <v>0.26730000000000004</v>
      </c>
      <c r="AC376" s="15">
        <f t="shared" si="101"/>
        <v>0.26730000000000004</v>
      </c>
      <c r="AD376" s="15">
        <f t="shared" si="101"/>
        <v>0.26730000000000004</v>
      </c>
      <c r="AE376" s="15">
        <f t="shared" si="101"/>
        <v>0.26730000000000004</v>
      </c>
      <c r="AF376" s="15">
        <f t="shared" si="101"/>
        <v>0.26730000000000004</v>
      </c>
    </row>
    <row r="377" spans="4:32">
      <c r="D377" t="s">
        <v>11</v>
      </c>
      <c r="E377" s="8"/>
      <c r="G377" t="s">
        <v>74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</row>
    <row r="378" spans="4:32">
      <c r="D378" t="s">
        <v>12</v>
      </c>
      <c r="E378" s="8"/>
      <c r="G378" t="s">
        <v>74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</row>
    <row r="380" spans="4:32">
      <c r="D380" s="5" t="s">
        <v>76</v>
      </c>
      <c r="E380" s="5" t="s">
        <v>7</v>
      </c>
      <c r="F380" s="5"/>
      <c r="G380" s="5"/>
      <c r="H380" s="13"/>
      <c r="I380" s="13">
        <f>INDEX(I381:I385,MATCH($E380,$D381:$D385,0))</f>
        <v>1.46</v>
      </c>
      <c r="J380" s="13">
        <f t="shared" ref="J380:AF380" si="102">INDEX(J381:J385,MATCH($E380,$D381:$D385,0))</f>
        <v>1.28</v>
      </c>
      <c r="K380" s="13">
        <f t="shared" si="102"/>
        <v>1.27</v>
      </c>
      <c r="L380" s="13">
        <f t="shared" si="102"/>
        <v>1.22</v>
      </c>
      <c r="M380" s="13">
        <f t="shared" si="102"/>
        <v>1.0900000000000001</v>
      </c>
      <c r="N380" s="13">
        <f t="shared" si="102"/>
        <v>1.0900000000000001</v>
      </c>
      <c r="O380" s="13">
        <f t="shared" si="102"/>
        <v>1.0900000000000001</v>
      </c>
      <c r="P380" s="13">
        <f t="shared" si="102"/>
        <v>1.0900000000000001</v>
      </c>
      <c r="Q380" s="13">
        <f t="shared" si="102"/>
        <v>1.0900000000000001</v>
      </c>
      <c r="R380" s="13">
        <f t="shared" si="102"/>
        <v>1.0900000000000001</v>
      </c>
      <c r="S380" s="13">
        <f t="shared" si="102"/>
        <v>1.08</v>
      </c>
      <c r="T380" s="13">
        <f t="shared" si="102"/>
        <v>1.08</v>
      </c>
      <c r="U380" s="13">
        <f t="shared" si="102"/>
        <v>1.08</v>
      </c>
      <c r="V380" s="13">
        <f t="shared" si="102"/>
        <v>1.08</v>
      </c>
      <c r="W380" s="13">
        <f t="shared" si="102"/>
        <v>1.08</v>
      </c>
      <c r="X380" s="13">
        <f t="shared" si="102"/>
        <v>0.86</v>
      </c>
      <c r="Y380" s="13">
        <f t="shared" si="102"/>
        <v>0.86</v>
      </c>
      <c r="Z380" s="13">
        <f t="shared" si="102"/>
        <v>0.86</v>
      </c>
      <c r="AA380" s="13">
        <f t="shared" si="102"/>
        <v>0.86</v>
      </c>
      <c r="AB380" s="13">
        <f t="shared" si="102"/>
        <v>0.86</v>
      </c>
      <c r="AC380" s="13">
        <f t="shared" si="102"/>
        <v>0.86</v>
      </c>
      <c r="AD380" s="13">
        <f t="shared" si="102"/>
        <v>0.86</v>
      </c>
      <c r="AE380" s="13">
        <f t="shared" si="102"/>
        <v>0.86</v>
      </c>
      <c r="AF380" s="13">
        <f t="shared" si="102"/>
        <v>0.86</v>
      </c>
    </row>
    <row r="381" spans="4:32">
      <c r="D381" t="s">
        <v>7</v>
      </c>
      <c r="E381" s="6"/>
      <c r="G381" t="s">
        <v>74</v>
      </c>
      <c r="I381" s="14">
        <v>1.46</v>
      </c>
      <c r="J381" s="14">
        <v>1.28</v>
      </c>
      <c r="K381" s="14">
        <v>1.27</v>
      </c>
      <c r="L381" s="14">
        <v>1.22</v>
      </c>
      <c r="M381" s="14">
        <v>1.0900000000000001</v>
      </c>
      <c r="N381" s="14">
        <v>1.0900000000000001</v>
      </c>
      <c r="O381" s="14">
        <v>1.0900000000000001</v>
      </c>
      <c r="P381" s="14">
        <v>1.0900000000000001</v>
      </c>
      <c r="Q381" s="14">
        <v>1.0900000000000001</v>
      </c>
      <c r="R381" s="14">
        <v>1.0900000000000001</v>
      </c>
      <c r="S381" s="14">
        <v>1.08</v>
      </c>
      <c r="T381" s="14">
        <v>1.08</v>
      </c>
      <c r="U381" s="14">
        <v>1.08</v>
      </c>
      <c r="V381" s="14">
        <v>1.08</v>
      </c>
      <c r="W381" s="14">
        <v>1.08</v>
      </c>
      <c r="X381" s="14">
        <v>0.86</v>
      </c>
      <c r="Y381" s="14">
        <v>0.86</v>
      </c>
      <c r="Z381" s="14">
        <v>0.86</v>
      </c>
      <c r="AA381" s="14">
        <v>0.86</v>
      </c>
      <c r="AB381" s="14">
        <v>0.86</v>
      </c>
      <c r="AC381" s="14">
        <v>0.86</v>
      </c>
      <c r="AD381" s="14">
        <v>0.86</v>
      </c>
      <c r="AE381" s="14">
        <v>0.86</v>
      </c>
      <c r="AF381" s="14">
        <v>0.86</v>
      </c>
    </row>
    <row r="382" spans="4:32">
      <c r="D382" t="s">
        <v>9</v>
      </c>
      <c r="E382" s="8">
        <v>0.1</v>
      </c>
      <c r="G382" t="s">
        <v>74</v>
      </c>
      <c r="I382" s="15">
        <f>I381*(1+$E382)</f>
        <v>1.6060000000000001</v>
      </c>
      <c r="J382" s="15">
        <f t="shared" ref="J382:AF383" si="103">J381*(1+$E382)</f>
        <v>1.4080000000000001</v>
      </c>
      <c r="K382" s="15">
        <f t="shared" si="103"/>
        <v>1.3970000000000002</v>
      </c>
      <c r="L382" s="15">
        <f t="shared" si="103"/>
        <v>1.3420000000000001</v>
      </c>
      <c r="M382" s="15">
        <f t="shared" si="103"/>
        <v>1.1990000000000003</v>
      </c>
      <c r="N382" s="15">
        <f t="shared" si="103"/>
        <v>1.1990000000000003</v>
      </c>
      <c r="O382" s="15">
        <f t="shared" si="103"/>
        <v>1.1990000000000003</v>
      </c>
      <c r="P382" s="15">
        <f t="shared" si="103"/>
        <v>1.1990000000000003</v>
      </c>
      <c r="Q382" s="15">
        <f t="shared" si="103"/>
        <v>1.1990000000000003</v>
      </c>
      <c r="R382" s="15">
        <f t="shared" si="103"/>
        <v>1.1990000000000003</v>
      </c>
      <c r="S382" s="15">
        <f t="shared" si="103"/>
        <v>1.1880000000000002</v>
      </c>
      <c r="T382" s="15">
        <f t="shared" si="103"/>
        <v>1.1880000000000002</v>
      </c>
      <c r="U382" s="15">
        <f t="shared" si="103"/>
        <v>1.1880000000000002</v>
      </c>
      <c r="V382" s="15">
        <f t="shared" si="103"/>
        <v>1.1880000000000002</v>
      </c>
      <c r="W382" s="15">
        <f t="shared" si="103"/>
        <v>1.1880000000000002</v>
      </c>
      <c r="X382" s="15">
        <f t="shared" si="103"/>
        <v>0.94600000000000006</v>
      </c>
      <c r="Y382" s="15">
        <f t="shared" si="103"/>
        <v>0.94600000000000006</v>
      </c>
      <c r="Z382" s="15">
        <f t="shared" si="103"/>
        <v>0.94600000000000006</v>
      </c>
      <c r="AA382" s="15">
        <f t="shared" si="103"/>
        <v>0.94600000000000006</v>
      </c>
      <c r="AB382" s="15">
        <f t="shared" si="103"/>
        <v>0.94600000000000006</v>
      </c>
      <c r="AC382" s="15">
        <f t="shared" si="103"/>
        <v>0.94600000000000006</v>
      </c>
      <c r="AD382" s="15">
        <f t="shared" si="103"/>
        <v>0.94600000000000006</v>
      </c>
      <c r="AE382" s="15">
        <f t="shared" si="103"/>
        <v>0.94600000000000006</v>
      </c>
      <c r="AF382" s="15">
        <f t="shared" si="103"/>
        <v>0.94600000000000006</v>
      </c>
    </row>
    <row r="383" spans="4:32">
      <c r="D383" t="s">
        <v>10</v>
      </c>
      <c r="E383" s="8">
        <v>-0.1</v>
      </c>
      <c r="G383" t="s">
        <v>74</v>
      </c>
      <c r="I383" s="15">
        <f>I382*(1+$E383)</f>
        <v>1.4454</v>
      </c>
      <c r="J383" s="15">
        <f t="shared" si="103"/>
        <v>1.2672000000000001</v>
      </c>
      <c r="K383" s="15">
        <f t="shared" si="103"/>
        <v>1.2573000000000003</v>
      </c>
      <c r="L383" s="15">
        <f t="shared" si="103"/>
        <v>1.2078000000000002</v>
      </c>
      <c r="M383" s="15">
        <f t="shared" si="103"/>
        <v>1.0791000000000004</v>
      </c>
      <c r="N383" s="15">
        <f t="shared" si="103"/>
        <v>1.0791000000000004</v>
      </c>
      <c r="O383" s="15">
        <f t="shared" si="103"/>
        <v>1.0791000000000004</v>
      </c>
      <c r="P383" s="15">
        <f t="shared" si="103"/>
        <v>1.0791000000000004</v>
      </c>
      <c r="Q383" s="15">
        <f t="shared" si="103"/>
        <v>1.0791000000000004</v>
      </c>
      <c r="R383" s="15">
        <f t="shared" si="103"/>
        <v>1.0791000000000004</v>
      </c>
      <c r="S383" s="15">
        <f t="shared" si="103"/>
        <v>1.0692000000000002</v>
      </c>
      <c r="T383" s="15">
        <f t="shared" si="103"/>
        <v>1.0692000000000002</v>
      </c>
      <c r="U383" s="15">
        <f t="shared" si="103"/>
        <v>1.0692000000000002</v>
      </c>
      <c r="V383" s="15">
        <f t="shared" si="103"/>
        <v>1.0692000000000002</v>
      </c>
      <c r="W383" s="15">
        <f t="shared" si="103"/>
        <v>1.0692000000000002</v>
      </c>
      <c r="X383" s="15">
        <f t="shared" si="103"/>
        <v>0.85140000000000005</v>
      </c>
      <c r="Y383" s="15">
        <f t="shared" si="103"/>
        <v>0.85140000000000005</v>
      </c>
      <c r="Z383" s="15">
        <f t="shared" si="103"/>
        <v>0.85140000000000005</v>
      </c>
      <c r="AA383" s="15">
        <f t="shared" si="103"/>
        <v>0.85140000000000005</v>
      </c>
      <c r="AB383" s="15">
        <f t="shared" si="103"/>
        <v>0.85140000000000005</v>
      </c>
      <c r="AC383" s="15">
        <f t="shared" si="103"/>
        <v>0.85140000000000005</v>
      </c>
      <c r="AD383" s="15">
        <f t="shared" si="103"/>
        <v>0.85140000000000005</v>
      </c>
      <c r="AE383" s="15">
        <f t="shared" si="103"/>
        <v>0.85140000000000005</v>
      </c>
      <c r="AF383" s="15">
        <f t="shared" si="103"/>
        <v>0.85140000000000005</v>
      </c>
    </row>
    <row r="384" spans="4:32">
      <c r="D384" t="s">
        <v>11</v>
      </c>
      <c r="E384" s="8"/>
      <c r="G384" t="s">
        <v>74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</row>
    <row r="385" spans="4:32">
      <c r="D385" t="s">
        <v>12</v>
      </c>
      <c r="E385" s="8"/>
      <c r="G385" t="s">
        <v>74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</row>
    <row r="387" spans="4:32">
      <c r="D387" s="5" t="s">
        <v>77</v>
      </c>
      <c r="E387" s="5" t="s">
        <v>7</v>
      </c>
      <c r="F387" s="5"/>
      <c r="G387" s="5"/>
      <c r="H387" s="13"/>
      <c r="I387" s="13">
        <f>INDEX(I388:I392,MATCH($E387,$D388:$D392,0))</f>
        <v>0.95</v>
      </c>
      <c r="J387" s="13">
        <f t="shared" ref="J387:AF387" si="104">INDEX(J388:J392,MATCH($E387,$D388:$D392,0))</f>
        <v>0.7</v>
      </c>
      <c r="K387" s="13">
        <f t="shared" si="104"/>
        <v>0.44</v>
      </c>
      <c r="L387" s="13">
        <f t="shared" si="104"/>
        <v>0.44</v>
      </c>
      <c r="M387" s="13">
        <f t="shared" si="104"/>
        <v>0.43</v>
      </c>
      <c r="N387" s="13">
        <f t="shared" si="104"/>
        <v>0.46</v>
      </c>
      <c r="O387" s="13">
        <f t="shared" si="104"/>
        <v>0.46</v>
      </c>
      <c r="P387" s="13">
        <f t="shared" si="104"/>
        <v>0.46</v>
      </c>
      <c r="Q387" s="13">
        <f t="shared" si="104"/>
        <v>0.46</v>
      </c>
      <c r="R387" s="13">
        <f t="shared" si="104"/>
        <v>0.46</v>
      </c>
      <c r="S387" s="13">
        <f t="shared" si="104"/>
        <v>0.57999999999999996</v>
      </c>
      <c r="T387" s="13">
        <f t="shared" si="104"/>
        <v>0.57999999999999996</v>
      </c>
      <c r="U387" s="13">
        <f t="shared" si="104"/>
        <v>0.57999999999999996</v>
      </c>
      <c r="V387" s="13">
        <f t="shared" si="104"/>
        <v>0.57999999999999996</v>
      </c>
      <c r="W387" s="13">
        <f t="shared" si="104"/>
        <v>0.57999999999999996</v>
      </c>
      <c r="X387" s="13">
        <f t="shared" si="104"/>
        <v>0.54</v>
      </c>
      <c r="Y387" s="13">
        <f t="shared" si="104"/>
        <v>0.54</v>
      </c>
      <c r="Z387" s="13">
        <f t="shared" si="104"/>
        <v>0.54</v>
      </c>
      <c r="AA387" s="13">
        <f t="shared" si="104"/>
        <v>0.54</v>
      </c>
      <c r="AB387" s="13">
        <f t="shared" si="104"/>
        <v>0.54</v>
      </c>
      <c r="AC387" s="13">
        <f t="shared" si="104"/>
        <v>0.54</v>
      </c>
      <c r="AD387" s="13">
        <f t="shared" si="104"/>
        <v>0.54</v>
      </c>
      <c r="AE387" s="13">
        <f t="shared" si="104"/>
        <v>0.54</v>
      </c>
      <c r="AF387" s="13">
        <f t="shared" si="104"/>
        <v>0.54</v>
      </c>
    </row>
    <row r="388" spans="4:32">
      <c r="D388" t="s">
        <v>7</v>
      </c>
      <c r="E388" s="6"/>
      <c r="G388" t="s">
        <v>74</v>
      </c>
      <c r="I388" s="14">
        <v>0.95</v>
      </c>
      <c r="J388" s="14">
        <v>0.7</v>
      </c>
      <c r="K388" s="14">
        <v>0.44</v>
      </c>
      <c r="L388" s="14">
        <v>0.44</v>
      </c>
      <c r="M388" s="14">
        <v>0.43</v>
      </c>
      <c r="N388" s="14">
        <v>0.46</v>
      </c>
      <c r="O388" s="14">
        <v>0.46</v>
      </c>
      <c r="P388" s="14">
        <v>0.46</v>
      </c>
      <c r="Q388" s="14">
        <v>0.46</v>
      </c>
      <c r="R388" s="14">
        <v>0.46</v>
      </c>
      <c r="S388" s="14">
        <v>0.57999999999999996</v>
      </c>
      <c r="T388" s="14">
        <v>0.57999999999999996</v>
      </c>
      <c r="U388" s="14">
        <v>0.57999999999999996</v>
      </c>
      <c r="V388" s="14">
        <v>0.57999999999999996</v>
      </c>
      <c r="W388" s="14">
        <v>0.57999999999999996</v>
      </c>
      <c r="X388" s="14">
        <v>0.54</v>
      </c>
      <c r="Y388" s="14">
        <v>0.54</v>
      </c>
      <c r="Z388" s="14">
        <v>0.54</v>
      </c>
      <c r="AA388" s="14">
        <v>0.54</v>
      </c>
      <c r="AB388" s="14">
        <v>0.54</v>
      </c>
      <c r="AC388" s="14">
        <v>0.54</v>
      </c>
      <c r="AD388" s="14">
        <v>0.54</v>
      </c>
      <c r="AE388" s="14">
        <v>0.54</v>
      </c>
      <c r="AF388" s="14">
        <v>0.54</v>
      </c>
    </row>
    <row r="389" spans="4:32">
      <c r="D389" t="s">
        <v>9</v>
      </c>
      <c r="E389" s="8">
        <v>0.1</v>
      </c>
      <c r="G389" t="s">
        <v>74</v>
      </c>
      <c r="I389" s="15">
        <f>I388*(1+$E389)</f>
        <v>1.0449999999999999</v>
      </c>
      <c r="J389" s="15">
        <f t="shared" ref="J389:AF390" si="105">J388*(1+$E389)</f>
        <v>0.77</v>
      </c>
      <c r="K389" s="15">
        <f t="shared" si="105"/>
        <v>0.48400000000000004</v>
      </c>
      <c r="L389" s="15">
        <f t="shared" si="105"/>
        <v>0.48400000000000004</v>
      </c>
      <c r="M389" s="15">
        <f t="shared" si="105"/>
        <v>0.47300000000000003</v>
      </c>
      <c r="N389" s="15">
        <f t="shared" si="105"/>
        <v>0.50600000000000012</v>
      </c>
      <c r="O389" s="15">
        <f t="shared" si="105"/>
        <v>0.50600000000000012</v>
      </c>
      <c r="P389" s="15">
        <f t="shared" si="105"/>
        <v>0.50600000000000012</v>
      </c>
      <c r="Q389" s="15">
        <f t="shared" si="105"/>
        <v>0.50600000000000012</v>
      </c>
      <c r="R389" s="15">
        <f t="shared" si="105"/>
        <v>0.50600000000000012</v>
      </c>
      <c r="S389" s="15">
        <f t="shared" si="105"/>
        <v>0.63800000000000001</v>
      </c>
      <c r="T389" s="15">
        <f t="shared" si="105"/>
        <v>0.63800000000000001</v>
      </c>
      <c r="U389" s="15">
        <f t="shared" si="105"/>
        <v>0.63800000000000001</v>
      </c>
      <c r="V389" s="15">
        <f t="shared" si="105"/>
        <v>0.63800000000000001</v>
      </c>
      <c r="W389" s="15">
        <f t="shared" si="105"/>
        <v>0.63800000000000001</v>
      </c>
      <c r="X389" s="15">
        <f t="shared" si="105"/>
        <v>0.59400000000000008</v>
      </c>
      <c r="Y389" s="15">
        <f t="shared" si="105"/>
        <v>0.59400000000000008</v>
      </c>
      <c r="Z389" s="15">
        <f t="shared" si="105"/>
        <v>0.59400000000000008</v>
      </c>
      <c r="AA389" s="15">
        <f t="shared" si="105"/>
        <v>0.59400000000000008</v>
      </c>
      <c r="AB389" s="15">
        <f t="shared" si="105"/>
        <v>0.59400000000000008</v>
      </c>
      <c r="AC389" s="15">
        <f t="shared" si="105"/>
        <v>0.59400000000000008</v>
      </c>
      <c r="AD389" s="15">
        <f t="shared" si="105"/>
        <v>0.59400000000000008</v>
      </c>
      <c r="AE389" s="15">
        <f t="shared" si="105"/>
        <v>0.59400000000000008</v>
      </c>
      <c r="AF389" s="15">
        <f t="shared" si="105"/>
        <v>0.59400000000000008</v>
      </c>
    </row>
    <row r="390" spans="4:32">
      <c r="D390" t="s">
        <v>10</v>
      </c>
      <c r="E390" s="8">
        <v>-0.1</v>
      </c>
      <c r="G390" t="s">
        <v>74</v>
      </c>
      <c r="I390" s="15">
        <f>I389*(1+$E390)</f>
        <v>0.9405</v>
      </c>
      <c r="J390" s="15">
        <f t="shared" si="105"/>
        <v>0.69300000000000006</v>
      </c>
      <c r="K390" s="15">
        <f t="shared" si="105"/>
        <v>0.43560000000000004</v>
      </c>
      <c r="L390" s="15">
        <f t="shared" si="105"/>
        <v>0.43560000000000004</v>
      </c>
      <c r="M390" s="15">
        <f t="shared" si="105"/>
        <v>0.42570000000000002</v>
      </c>
      <c r="N390" s="15">
        <f t="shared" si="105"/>
        <v>0.45540000000000014</v>
      </c>
      <c r="O390" s="15">
        <f t="shared" si="105"/>
        <v>0.45540000000000014</v>
      </c>
      <c r="P390" s="15">
        <f t="shared" si="105"/>
        <v>0.45540000000000014</v>
      </c>
      <c r="Q390" s="15">
        <f t="shared" si="105"/>
        <v>0.45540000000000014</v>
      </c>
      <c r="R390" s="15">
        <f t="shared" si="105"/>
        <v>0.45540000000000014</v>
      </c>
      <c r="S390" s="15">
        <f t="shared" si="105"/>
        <v>0.57420000000000004</v>
      </c>
      <c r="T390" s="15">
        <f t="shared" si="105"/>
        <v>0.57420000000000004</v>
      </c>
      <c r="U390" s="15">
        <f t="shared" si="105"/>
        <v>0.57420000000000004</v>
      </c>
      <c r="V390" s="15">
        <f t="shared" si="105"/>
        <v>0.57420000000000004</v>
      </c>
      <c r="W390" s="15">
        <f t="shared" si="105"/>
        <v>0.57420000000000004</v>
      </c>
      <c r="X390" s="15">
        <f t="shared" si="105"/>
        <v>0.53460000000000008</v>
      </c>
      <c r="Y390" s="15">
        <f t="shared" si="105"/>
        <v>0.53460000000000008</v>
      </c>
      <c r="Z390" s="15">
        <f t="shared" si="105"/>
        <v>0.53460000000000008</v>
      </c>
      <c r="AA390" s="15">
        <f t="shared" si="105"/>
        <v>0.53460000000000008</v>
      </c>
      <c r="AB390" s="15">
        <f t="shared" si="105"/>
        <v>0.53460000000000008</v>
      </c>
      <c r="AC390" s="15">
        <f t="shared" si="105"/>
        <v>0.53460000000000008</v>
      </c>
      <c r="AD390" s="15">
        <f t="shared" si="105"/>
        <v>0.53460000000000008</v>
      </c>
      <c r="AE390" s="15">
        <f t="shared" si="105"/>
        <v>0.53460000000000008</v>
      </c>
      <c r="AF390" s="15">
        <f t="shared" si="105"/>
        <v>0.53460000000000008</v>
      </c>
    </row>
    <row r="391" spans="4:32">
      <c r="D391" t="s">
        <v>11</v>
      </c>
      <c r="E391" s="8"/>
      <c r="G391" t="s">
        <v>74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</row>
    <row r="392" spans="4:32">
      <c r="D392" t="s">
        <v>12</v>
      </c>
      <c r="E392" s="8"/>
      <c r="G392" t="s">
        <v>74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</row>
    <row r="394" spans="4:32">
      <c r="D394" s="5" t="s">
        <v>78</v>
      </c>
      <c r="E394" s="5" t="s">
        <v>7</v>
      </c>
      <c r="F394" s="5"/>
      <c r="G394" s="5"/>
      <c r="H394" s="13"/>
      <c r="I394" s="13">
        <f>INDEX(I395:I399,MATCH($E394,$D395:$D399,0))</f>
        <v>-0.1</v>
      </c>
      <c r="J394" s="13">
        <f t="shared" ref="J394:AF394" si="106">INDEX(J395:J399,MATCH($E394,$D395:$D399,0))</f>
        <v>-0.1</v>
      </c>
      <c r="K394" s="13">
        <f t="shared" si="106"/>
        <v>-0.09</v>
      </c>
      <c r="L394" s="13">
        <f t="shared" si="106"/>
        <v>-0.11</v>
      </c>
      <c r="M394" s="13">
        <f t="shared" si="106"/>
        <v>-0.11</v>
      </c>
      <c r="N394" s="13">
        <f t="shared" si="106"/>
        <v>-0.1</v>
      </c>
      <c r="O394" s="13">
        <f t="shared" si="106"/>
        <v>-0.1</v>
      </c>
      <c r="P394" s="13">
        <f t="shared" si="106"/>
        <v>-0.1</v>
      </c>
      <c r="Q394" s="13">
        <f t="shared" si="106"/>
        <v>-0.1</v>
      </c>
      <c r="R394" s="13">
        <f t="shared" si="106"/>
        <v>-0.1</v>
      </c>
      <c r="S394" s="13">
        <f t="shared" si="106"/>
        <v>0</v>
      </c>
      <c r="T394" s="13">
        <f t="shared" si="106"/>
        <v>0</v>
      </c>
      <c r="U394" s="13">
        <f t="shared" si="106"/>
        <v>0</v>
      </c>
      <c r="V394" s="13">
        <f t="shared" si="106"/>
        <v>0</v>
      </c>
      <c r="W394" s="13">
        <f t="shared" si="106"/>
        <v>0</v>
      </c>
      <c r="X394" s="13">
        <f t="shared" si="106"/>
        <v>0</v>
      </c>
      <c r="Y394" s="13">
        <f t="shared" si="106"/>
        <v>0</v>
      </c>
      <c r="Z394" s="13">
        <f t="shared" si="106"/>
        <v>0</v>
      </c>
      <c r="AA394" s="13">
        <f t="shared" si="106"/>
        <v>0</v>
      </c>
      <c r="AB394" s="13">
        <f t="shared" si="106"/>
        <v>0</v>
      </c>
      <c r="AC394" s="13">
        <f t="shared" si="106"/>
        <v>0</v>
      </c>
      <c r="AD394" s="13">
        <f t="shared" si="106"/>
        <v>0</v>
      </c>
      <c r="AE394" s="13">
        <f t="shared" si="106"/>
        <v>0</v>
      </c>
      <c r="AF394" s="13">
        <f t="shared" si="106"/>
        <v>0</v>
      </c>
    </row>
    <row r="395" spans="4:32">
      <c r="D395" t="s">
        <v>7</v>
      </c>
      <c r="E395" s="6"/>
      <c r="G395" t="s">
        <v>74</v>
      </c>
      <c r="I395" s="14">
        <v>-0.1</v>
      </c>
      <c r="J395" s="14">
        <v>-0.1</v>
      </c>
      <c r="K395" s="14">
        <v>-0.09</v>
      </c>
      <c r="L395" s="14">
        <v>-0.11</v>
      </c>
      <c r="M395" s="14">
        <v>-0.11</v>
      </c>
      <c r="N395" s="14">
        <v>-0.1</v>
      </c>
      <c r="O395" s="14">
        <v>-0.1</v>
      </c>
      <c r="P395" s="14">
        <v>-0.1</v>
      </c>
      <c r="Q395" s="14">
        <v>-0.1</v>
      </c>
      <c r="R395" s="14">
        <v>-0.1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</row>
    <row r="396" spans="4:32">
      <c r="D396" t="s">
        <v>9</v>
      </c>
      <c r="E396" s="8">
        <v>0.1</v>
      </c>
      <c r="G396" t="s">
        <v>74</v>
      </c>
      <c r="I396" s="15">
        <f>I395*(1+$E396)</f>
        <v>-0.11000000000000001</v>
      </c>
      <c r="J396" s="15">
        <f t="shared" ref="J396:AF397" si="107">J395*(1+$E396)</f>
        <v>-0.11000000000000001</v>
      </c>
      <c r="K396" s="15">
        <f t="shared" si="107"/>
        <v>-9.9000000000000005E-2</v>
      </c>
      <c r="L396" s="15">
        <f t="shared" si="107"/>
        <v>-0.12100000000000001</v>
      </c>
      <c r="M396" s="15">
        <f t="shared" si="107"/>
        <v>-0.12100000000000001</v>
      </c>
      <c r="N396" s="15">
        <f t="shared" si="107"/>
        <v>-0.11000000000000001</v>
      </c>
      <c r="O396" s="15">
        <f t="shared" si="107"/>
        <v>-0.11000000000000001</v>
      </c>
      <c r="P396" s="15">
        <f t="shared" si="107"/>
        <v>-0.11000000000000001</v>
      </c>
      <c r="Q396" s="15">
        <f t="shared" si="107"/>
        <v>-0.11000000000000001</v>
      </c>
      <c r="R396" s="15">
        <f t="shared" si="107"/>
        <v>-0.11000000000000001</v>
      </c>
      <c r="S396" s="15">
        <f t="shared" si="107"/>
        <v>0</v>
      </c>
      <c r="T396" s="15">
        <f t="shared" si="107"/>
        <v>0</v>
      </c>
      <c r="U396" s="15">
        <f t="shared" si="107"/>
        <v>0</v>
      </c>
      <c r="V396" s="15">
        <f t="shared" si="107"/>
        <v>0</v>
      </c>
      <c r="W396" s="15">
        <f t="shared" si="107"/>
        <v>0</v>
      </c>
      <c r="X396" s="15">
        <f t="shared" si="107"/>
        <v>0</v>
      </c>
      <c r="Y396" s="15">
        <f t="shared" si="107"/>
        <v>0</v>
      </c>
      <c r="Z396" s="15">
        <f t="shared" si="107"/>
        <v>0</v>
      </c>
      <c r="AA396" s="15">
        <f t="shared" si="107"/>
        <v>0</v>
      </c>
      <c r="AB396" s="15">
        <f t="shared" si="107"/>
        <v>0</v>
      </c>
      <c r="AC396" s="15">
        <f t="shared" si="107"/>
        <v>0</v>
      </c>
      <c r="AD396" s="15">
        <f t="shared" si="107"/>
        <v>0</v>
      </c>
      <c r="AE396" s="15">
        <f t="shared" si="107"/>
        <v>0</v>
      </c>
      <c r="AF396" s="15">
        <f t="shared" si="107"/>
        <v>0</v>
      </c>
    </row>
    <row r="397" spans="4:32">
      <c r="D397" t="s">
        <v>10</v>
      </c>
      <c r="E397" s="8">
        <v>-0.1</v>
      </c>
      <c r="G397" t="s">
        <v>74</v>
      </c>
      <c r="I397" s="15">
        <f>I396*(1+$E397)</f>
        <v>-9.9000000000000019E-2</v>
      </c>
      <c r="J397" s="15">
        <f t="shared" si="107"/>
        <v>-9.9000000000000019E-2</v>
      </c>
      <c r="K397" s="15">
        <f t="shared" si="107"/>
        <v>-8.9100000000000013E-2</v>
      </c>
      <c r="L397" s="15">
        <f t="shared" si="107"/>
        <v>-0.10890000000000001</v>
      </c>
      <c r="M397" s="15">
        <f t="shared" si="107"/>
        <v>-0.10890000000000001</v>
      </c>
      <c r="N397" s="15">
        <f t="shared" si="107"/>
        <v>-9.9000000000000019E-2</v>
      </c>
      <c r="O397" s="15">
        <f t="shared" si="107"/>
        <v>-9.9000000000000019E-2</v>
      </c>
      <c r="P397" s="15">
        <f t="shared" si="107"/>
        <v>-9.9000000000000019E-2</v>
      </c>
      <c r="Q397" s="15">
        <f t="shared" si="107"/>
        <v>-9.9000000000000019E-2</v>
      </c>
      <c r="R397" s="15">
        <f t="shared" si="107"/>
        <v>-9.9000000000000019E-2</v>
      </c>
      <c r="S397" s="15">
        <f t="shared" si="107"/>
        <v>0</v>
      </c>
      <c r="T397" s="15">
        <f t="shared" si="107"/>
        <v>0</v>
      </c>
      <c r="U397" s="15">
        <f t="shared" si="107"/>
        <v>0</v>
      </c>
      <c r="V397" s="15">
        <f t="shared" si="107"/>
        <v>0</v>
      </c>
      <c r="W397" s="15">
        <f t="shared" si="107"/>
        <v>0</v>
      </c>
      <c r="X397" s="15">
        <f t="shared" si="107"/>
        <v>0</v>
      </c>
      <c r="Y397" s="15">
        <f t="shared" si="107"/>
        <v>0</v>
      </c>
      <c r="Z397" s="15">
        <f t="shared" si="107"/>
        <v>0</v>
      </c>
      <c r="AA397" s="15">
        <f t="shared" si="107"/>
        <v>0</v>
      </c>
      <c r="AB397" s="15">
        <f t="shared" si="107"/>
        <v>0</v>
      </c>
      <c r="AC397" s="15">
        <f t="shared" si="107"/>
        <v>0</v>
      </c>
      <c r="AD397" s="15">
        <f t="shared" si="107"/>
        <v>0</v>
      </c>
      <c r="AE397" s="15">
        <f t="shared" si="107"/>
        <v>0</v>
      </c>
      <c r="AF397" s="15">
        <f t="shared" si="107"/>
        <v>0</v>
      </c>
    </row>
    <row r="398" spans="4:32">
      <c r="D398" t="s">
        <v>11</v>
      </c>
      <c r="E398" s="8"/>
      <c r="G398" t="s">
        <v>74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</row>
    <row r="399" spans="4:32">
      <c r="D399" t="s">
        <v>12</v>
      </c>
      <c r="E399" s="8"/>
      <c r="G399" t="s">
        <v>74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</row>
    <row r="401" spans="4:32">
      <c r="D401" s="4" t="s">
        <v>79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4:32">
      <c r="D402" s="5" t="s">
        <v>73</v>
      </c>
      <c r="E402" s="5" t="s">
        <v>7</v>
      </c>
      <c r="F402" s="5"/>
      <c r="G402" s="5"/>
      <c r="H402" s="13"/>
      <c r="I402" s="13">
        <f>INDEX(I403:I407,MATCH($E402,$D403:$D407,0))</f>
        <v>2.46</v>
      </c>
      <c r="J402" s="13">
        <f t="shared" ref="J402:AF402" si="108">INDEX(J403:J407,MATCH($E402,$D403:$D407,0))</f>
        <v>2.57</v>
      </c>
      <c r="K402" s="13">
        <f t="shared" si="108"/>
        <v>2.59</v>
      </c>
      <c r="L402" s="13">
        <f t="shared" si="108"/>
        <v>2.61</v>
      </c>
      <c r="M402" s="13">
        <f t="shared" si="108"/>
        <v>2.57</v>
      </c>
      <c r="N402" s="13">
        <f t="shared" si="108"/>
        <v>2.48</v>
      </c>
      <c r="O402" s="13">
        <f t="shared" si="108"/>
        <v>2.48</v>
      </c>
      <c r="P402" s="13">
        <f t="shared" si="108"/>
        <v>2.48</v>
      </c>
      <c r="Q402" s="13">
        <f t="shared" si="108"/>
        <v>2.48</v>
      </c>
      <c r="R402" s="13">
        <f t="shared" si="108"/>
        <v>2.48</v>
      </c>
      <c r="S402" s="13">
        <f t="shared" si="108"/>
        <v>2.35</v>
      </c>
      <c r="T402" s="13">
        <f t="shared" si="108"/>
        <v>2.35</v>
      </c>
      <c r="U402" s="13">
        <f t="shared" si="108"/>
        <v>2.35</v>
      </c>
      <c r="V402" s="13">
        <f t="shared" si="108"/>
        <v>2.35</v>
      </c>
      <c r="W402" s="13">
        <f t="shared" si="108"/>
        <v>2.35</v>
      </c>
      <c r="X402" s="13">
        <f t="shared" si="108"/>
        <v>1.96</v>
      </c>
      <c r="Y402" s="13">
        <f t="shared" si="108"/>
        <v>1.96</v>
      </c>
      <c r="Z402" s="13">
        <f t="shared" si="108"/>
        <v>1.96</v>
      </c>
      <c r="AA402" s="13">
        <f t="shared" si="108"/>
        <v>1.96</v>
      </c>
      <c r="AB402" s="13">
        <f t="shared" si="108"/>
        <v>1.96</v>
      </c>
      <c r="AC402" s="13">
        <f t="shared" si="108"/>
        <v>1.96</v>
      </c>
      <c r="AD402" s="13">
        <f t="shared" si="108"/>
        <v>1.96</v>
      </c>
      <c r="AE402" s="13">
        <f t="shared" si="108"/>
        <v>1.96</v>
      </c>
      <c r="AF402" s="13">
        <f t="shared" si="108"/>
        <v>1.96</v>
      </c>
    </row>
    <row r="403" spans="4:32">
      <c r="D403" t="s">
        <v>7</v>
      </c>
      <c r="E403" s="6"/>
      <c r="G403" t="s">
        <v>80</v>
      </c>
      <c r="I403" s="14">
        <v>2.46</v>
      </c>
      <c r="J403" s="14">
        <v>2.57</v>
      </c>
      <c r="K403" s="14">
        <v>2.59</v>
      </c>
      <c r="L403" s="14">
        <v>2.61</v>
      </c>
      <c r="M403" s="14">
        <v>2.57</v>
      </c>
      <c r="N403" s="14">
        <v>2.48</v>
      </c>
      <c r="O403" s="14">
        <v>2.48</v>
      </c>
      <c r="P403" s="14">
        <v>2.48</v>
      </c>
      <c r="Q403" s="14">
        <v>2.48</v>
      </c>
      <c r="R403" s="14">
        <v>2.48</v>
      </c>
      <c r="S403" s="14">
        <v>2.35</v>
      </c>
      <c r="T403" s="14">
        <v>2.35</v>
      </c>
      <c r="U403" s="14">
        <v>2.35</v>
      </c>
      <c r="V403" s="14">
        <v>2.35</v>
      </c>
      <c r="W403" s="14">
        <v>2.35</v>
      </c>
      <c r="X403" s="14">
        <v>1.96</v>
      </c>
      <c r="Y403" s="14">
        <v>1.96</v>
      </c>
      <c r="Z403" s="14">
        <v>1.96</v>
      </c>
      <c r="AA403" s="14">
        <v>1.96</v>
      </c>
      <c r="AB403" s="14">
        <v>1.96</v>
      </c>
      <c r="AC403" s="14">
        <v>1.96</v>
      </c>
      <c r="AD403" s="14">
        <v>1.96</v>
      </c>
      <c r="AE403" s="14">
        <v>1.96</v>
      </c>
      <c r="AF403" s="14">
        <v>1.96</v>
      </c>
    </row>
    <row r="404" spans="4:32">
      <c r="D404" t="s">
        <v>9</v>
      </c>
      <c r="E404" s="8">
        <v>0.1</v>
      </c>
      <c r="G404" t="s">
        <v>80</v>
      </c>
      <c r="I404" s="15">
        <f>I403*(1+$E404)</f>
        <v>2.706</v>
      </c>
      <c r="J404" s="15">
        <f t="shared" ref="J404:AF405" si="109">J403*(1+$E404)</f>
        <v>2.827</v>
      </c>
      <c r="K404" s="15">
        <f t="shared" si="109"/>
        <v>2.8490000000000002</v>
      </c>
      <c r="L404" s="15">
        <f t="shared" si="109"/>
        <v>2.871</v>
      </c>
      <c r="M404" s="15">
        <f t="shared" si="109"/>
        <v>2.827</v>
      </c>
      <c r="N404" s="15">
        <f t="shared" si="109"/>
        <v>2.7280000000000002</v>
      </c>
      <c r="O404" s="15">
        <f t="shared" si="109"/>
        <v>2.7280000000000002</v>
      </c>
      <c r="P404" s="15">
        <f t="shared" si="109"/>
        <v>2.7280000000000002</v>
      </c>
      <c r="Q404" s="15">
        <f t="shared" si="109"/>
        <v>2.7280000000000002</v>
      </c>
      <c r="R404" s="15">
        <f t="shared" si="109"/>
        <v>2.7280000000000002</v>
      </c>
      <c r="S404" s="15">
        <f t="shared" si="109"/>
        <v>2.5850000000000004</v>
      </c>
      <c r="T404" s="15">
        <f t="shared" si="109"/>
        <v>2.5850000000000004</v>
      </c>
      <c r="U404" s="15">
        <f t="shared" si="109"/>
        <v>2.5850000000000004</v>
      </c>
      <c r="V404" s="15">
        <f t="shared" si="109"/>
        <v>2.5850000000000004</v>
      </c>
      <c r="W404" s="15">
        <f t="shared" si="109"/>
        <v>2.5850000000000004</v>
      </c>
      <c r="X404" s="15">
        <f t="shared" si="109"/>
        <v>2.1560000000000001</v>
      </c>
      <c r="Y404" s="15">
        <f t="shared" si="109"/>
        <v>2.1560000000000001</v>
      </c>
      <c r="Z404" s="15">
        <f t="shared" si="109"/>
        <v>2.1560000000000001</v>
      </c>
      <c r="AA404" s="15">
        <f t="shared" si="109"/>
        <v>2.1560000000000001</v>
      </c>
      <c r="AB404" s="15">
        <f t="shared" si="109"/>
        <v>2.1560000000000001</v>
      </c>
      <c r="AC404" s="15">
        <f t="shared" si="109"/>
        <v>2.1560000000000001</v>
      </c>
      <c r="AD404" s="15">
        <f t="shared" si="109"/>
        <v>2.1560000000000001</v>
      </c>
      <c r="AE404" s="15">
        <f t="shared" si="109"/>
        <v>2.1560000000000001</v>
      </c>
      <c r="AF404" s="15">
        <f t="shared" si="109"/>
        <v>2.1560000000000001</v>
      </c>
    </row>
    <row r="405" spans="4:32">
      <c r="D405" t="s">
        <v>10</v>
      </c>
      <c r="E405" s="8">
        <v>-0.1</v>
      </c>
      <c r="G405" t="s">
        <v>80</v>
      </c>
      <c r="I405" s="15">
        <f>I404*(1+$E405)</f>
        <v>2.4354</v>
      </c>
      <c r="J405" s="15">
        <f t="shared" si="109"/>
        <v>2.5443000000000002</v>
      </c>
      <c r="K405" s="15">
        <f t="shared" si="109"/>
        <v>2.5641000000000003</v>
      </c>
      <c r="L405" s="15">
        <f t="shared" si="109"/>
        <v>2.5838999999999999</v>
      </c>
      <c r="M405" s="15">
        <f t="shared" si="109"/>
        <v>2.5443000000000002</v>
      </c>
      <c r="N405" s="15">
        <f t="shared" si="109"/>
        <v>2.4552</v>
      </c>
      <c r="O405" s="15">
        <f t="shared" si="109"/>
        <v>2.4552</v>
      </c>
      <c r="P405" s="15">
        <f t="shared" si="109"/>
        <v>2.4552</v>
      </c>
      <c r="Q405" s="15">
        <f t="shared" si="109"/>
        <v>2.4552</v>
      </c>
      <c r="R405" s="15">
        <f t="shared" si="109"/>
        <v>2.4552</v>
      </c>
      <c r="S405" s="15">
        <f t="shared" si="109"/>
        <v>2.3265000000000002</v>
      </c>
      <c r="T405" s="15">
        <f t="shared" si="109"/>
        <v>2.3265000000000002</v>
      </c>
      <c r="U405" s="15">
        <f t="shared" si="109"/>
        <v>2.3265000000000002</v>
      </c>
      <c r="V405" s="15">
        <f t="shared" si="109"/>
        <v>2.3265000000000002</v>
      </c>
      <c r="W405" s="15">
        <f t="shared" si="109"/>
        <v>2.3265000000000002</v>
      </c>
      <c r="X405" s="15">
        <f t="shared" si="109"/>
        <v>1.9404000000000001</v>
      </c>
      <c r="Y405" s="15">
        <f t="shared" si="109"/>
        <v>1.9404000000000001</v>
      </c>
      <c r="Z405" s="15">
        <f t="shared" si="109"/>
        <v>1.9404000000000001</v>
      </c>
      <c r="AA405" s="15">
        <f t="shared" si="109"/>
        <v>1.9404000000000001</v>
      </c>
      <c r="AB405" s="15">
        <f t="shared" si="109"/>
        <v>1.9404000000000001</v>
      </c>
      <c r="AC405" s="15">
        <f t="shared" si="109"/>
        <v>1.9404000000000001</v>
      </c>
      <c r="AD405" s="15">
        <f t="shared" si="109"/>
        <v>1.9404000000000001</v>
      </c>
      <c r="AE405" s="15">
        <f t="shared" si="109"/>
        <v>1.9404000000000001</v>
      </c>
      <c r="AF405" s="15">
        <f t="shared" si="109"/>
        <v>1.9404000000000001</v>
      </c>
    </row>
    <row r="406" spans="4:32">
      <c r="D406" t="s">
        <v>11</v>
      </c>
      <c r="E406" s="8"/>
      <c r="G406" t="s">
        <v>80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</row>
    <row r="407" spans="4:32">
      <c r="D407" t="s">
        <v>12</v>
      </c>
      <c r="E407" s="8"/>
      <c r="G407" t="s">
        <v>80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</row>
    <row r="409" spans="4:32">
      <c r="D409" s="5" t="s">
        <v>75</v>
      </c>
      <c r="E409" s="5" t="s">
        <v>7</v>
      </c>
      <c r="F409" s="5"/>
      <c r="G409" s="5"/>
      <c r="H409" s="13"/>
      <c r="I409" s="13">
        <f>INDEX(I410:I414,MATCH($E409,$D410:$D414,0))</f>
        <v>9.98</v>
      </c>
      <c r="J409" s="13">
        <f t="shared" ref="J409:AF409" si="110">INDEX(J410:J414,MATCH($E409,$D410:$D414,0))</f>
        <v>9.06</v>
      </c>
      <c r="K409" s="13">
        <f t="shared" si="110"/>
        <v>7.43</v>
      </c>
      <c r="L409" s="13">
        <f t="shared" si="110"/>
        <v>7.64</v>
      </c>
      <c r="M409" s="13">
        <f t="shared" si="110"/>
        <v>7.94</v>
      </c>
      <c r="N409" s="13">
        <f t="shared" si="110"/>
        <v>5.44</v>
      </c>
      <c r="O409" s="13">
        <f t="shared" si="110"/>
        <v>5.44</v>
      </c>
      <c r="P409" s="13">
        <f t="shared" si="110"/>
        <v>5.44</v>
      </c>
      <c r="Q409" s="13">
        <f t="shared" si="110"/>
        <v>5.44</v>
      </c>
      <c r="R409" s="13">
        <f t="shared" si="110"/>
        <v>5.44</v>
      </c>
      <c r="S409" s="13">
        <f t="shared" si="110"/>
        <v>5.17</v>
      </c>
      <c r="T409" s="13">
        <f t="shared" si="110"/>
        <v>5.17</v>
      </c>
      <c r="U409" s="13">
        <f t="shared" si="110"/>
        <v>5.17</v>
      </c>
      <c r="V409" s="13">
        <f t="shared" si="110"/>
        <v>5.17</v>
      </c>
      <c r="W409" s="13">
        <f t="shared" si="110"/>
        <v>5.17</v>
      </c>
      <c r="X409" s="13">
        <f t="shared" si="110"/>
        <v>3.89</v>
      </c>
      <c r="Y409" s="13">
        <f t="shared" si="110"/>
        <v>3.89</v>
      </c>
      <c r="Z409" s="13">
        <f t="shared" si="110"/>
        <v>3.89</v>
      </c>
      <c r="AA409" s="13">
        <f t="shared" si="110"/>
        <v>3.89</v>
      </c>
      <c r="AB409" s="13">
        <f t="shared" si="110"/>
        <v>3.89</v>
      </c>
      <c r="AC409" s="13">
        <f t="shared" si="110"/>
        <v>3.89</v>
      </c>
      <c r="AD409" s="13">
        <f t="shared" si="110"/>
        <v>3.89</v>
      </c>
      <c r="AE409" s="13">
        <f t="shared" si="110"/>
        <v>3.89</v>
      </c>
      <c r="AF409" s="13">
        <f t="shared" si="110"/>
        <v>3.89</v>
      </c>
    </row>
    <row r="410" spans="4:32">
      <c r="D410" t="s">
        <v>7</v>
      </c>
      <c r="E410" s="6"/>
      <c r="G410" t="s">
        <v>80</v>
      </c>
      <c r="I410" s="14">
        <v>9.98</v>
      </c>
      <c r="J410" s="14">
        <v>9.06</v>
      </c>
      <c r="K410" s="14">
        <v>7.43</v>
      </c>
      <c r="L410" s="14">
        <v>7.64</v>
      </c>
      <c r="M410" s="14">
        <v>7.94</v>
      </c>
      <c r="N410" s="14">
        <v>5.44</v>
      </c>
      <c r="O410" s="14">
        <v>5.44</v>
      </c>
      <c r="P410" s="14">
        <v>5.44</v>
      </c>
      <c r="Q410" s="14">
        <v>5.44</v>
      </c>
      <c r="R410" s="14">
        <v>5.44</v>
      </c>
      <c r="S410" s="14">
        <v>5.17</v>
      </c>
      <c r="T410" s="14">
        <v>5.17</v>
      </c>
      <c r="U410" s="14">
        <v>5.17</v>
      </c>
      <c r="V410" s="14">
        <v>5.17</v>
      </c>
      <c r="W410" s="14">
        <v>5.17</v>
      </c>
      <c r="X410" s="14">
        <v>3.89</v>
      </c>
      <c r="Y410" s="14">
        <v>3.89</v>
      </c>
      <c r="Z410" s="14">
        <v>3.89</v>
      </c>
      <c r="AA410" s="14">
        <v>3.89</v>
      </c>
      <c r="AB410" s="14">
        <v>3.89</v>
      </c>
      <c r="AC410" s="14">
        <v>3.89</v>
      </c>
      <c r="AD410" s="14">
        <v>3.89</v>
      </c>
      <c r="AE410" s="14">
        <v>3.89</v>
      </c>
      <c r="AF410" s="14">
        <v>3.89</v>
      </c>
    </row>
    <row r="411" spans="4:32">
      <c r="D411" t="s">
        <v>9</v>
      </c>
      <c r="E411" s="8">
        <v>0.1</v>
      </c>
      <c r="G411" t="s">
        <v>80</v>
      </c>
      <c r="I411" s="15">
        <f>I410*(1+$E411)</f>
        <v>10.978000000000002</v>
      </c>
      <c r="J411" s="15">
        <f t="shared" ref="J411:AF412" si="111">J410*(1+$E411)</f>
        <v>9.9660000000000011</v>
      </c>
      <c r="K411" s="15">
        <f t="shared" si="111"/>
        <v>8.173</v>
      </c>
      <c r="L411" s="15">
        <f t="shared" si="111"/>
        <v>8.4039999999999999</v>
      </c>
      <c r="M411" s="15">
        <f t="shared" si="111"/>
        <v>8.7340000000000018</v>
      </c>
      <c r="N411" s="15">
        <f t="shared" si="111"/>
        <v>5.9840000000000009</v>
      </c>
      <c r="O411" s="15">
        <f t="shared" si="111"/>
        <v>5.9840000000000009</v>
      </c>
      <c r="P411" s="15">
        <f t="shared" si="111"/>
        <v>5.9840000000000009</v>
      </c>
      <c r="Q411" s="15">
        <f t="shared" si="111"/>
        <v>5.9840000000000009</v>
      </c>
      <c r="R411" s="15">
        <f t="shared" si="111"/>
        <v>5.9840000000000009</v>
      </c>
      <c r="S411" s="15">
        <f t="shared" si="111"/>
        <v>5.6870000000000003</v>
      </c>
      <c r="T411" s="15">
        <f t="shared" si="111"/>
        <v>5.6870000000000003</v>
      </c>
      <c r="U411" s="15">
        <f t="shared" si="111"/>
        <v>5.6870000000000003</v>
      </c>
      <c r="V411" s="15">
        <f t="shared" si="111"/>
        <v>5.6870000000000003</v>
      </c>
      <c r="W411" s="15">
        <f t="shared" si="111"/>
        <v>5.6870000000000003</v>
      </c>
      <c r="X411" s="15">
        <f t="shared" si="111"/>
        <v>4.2790000000000008</v>
      </c>
      <c r="Y411" s="15">
        <f t="shared" si="111"/>
        <v>4.2790000000000008</v>
      </c>
      <c r="Z411" s="15">
        <f t="shared" si="111"/>
        <v>4.2790000000000008</v>
      </c>
      <c r="AA411" s="15">
        <f t="shared" si="111"/>
        <v>4.2790000000000008</v>
      </c>
      <c r="AB411" s="15">
        <f t="shared" si="111"/>
        <v>4.2790000000000008</v>
      </c>
      <c r="AC411" s="15">
        <f t="shared" si="111"/>
        <v>4.2790000000000008</v>
      </c>
      <c r="AD411" s="15">
        <f t="shared" si="111"/>
        <v>4.2790000000000008</v>
      </c>
      <c r="AE411" s="15">
        <f t="shared" si="111"/>
        <v>4.2790000000000008</v>
      </c>
      <c r="AF411" s="15">
        <f t="shared" si="111"/>
        <v>4.2790000000000008</v>
      </c>
    </row>
    <row r="412" spans="4:32">
      <c r="D412" t="s">
        <v>10</v>
      </c>
      <c r="E412" s="8">
        <v>-0.1</v>
      </c>
      <c r="G412" t="s">
        <v>80</v>
      </c>
      <c r="I412" s="15">
        <f>I411*(1+$E412)</f>
        <v>9.8802000000000021</v>
      </c>
      <c r="J412" s="15">
        <f t="shared" si="111"/>
        <v>8.969400000000002</v>
      </c>
      <c r="K412" s="15">
        <f t="shared" si="111"/>
        <v>7.3557000000000006</v>
      </c>
      <c r="L412" s="15">
        <f t="shared" si="111"/>
        <v>7.5636000000000001</v>
      </c>
      <c r="M412" s="15">
        <f t="shared" si="111"/>
        <v>7.8606000000000016</v>
      </c>
      <c r="N412" s="15">
        <f t="shared" si="111"/>
        <v>5.3856000000000011</v>
      </c>
      <c r="O412" s="15">
        <f t="shared" si="111"/>
        <v>5.3856000000000011</v>
      </c>
      <c r="P412" s="15">
        <f t="shared" si="111"/>
        <v>5.3856000000000011</v>
      </c>
      <c r="Q412" s="15">
        <f t="shared" si="111"/>
        <v>5.3856000000000011</v>
      </c>
      <c r="R412" s="15">
        <f t="shared" si="111"/>
        <v>5.3856000000000011</v>
      </c>
      <c r="S412" s="15">
        <f t="shared" si="111"/>
        <v>5.1183000000000005</v>
      </c>
      <c r="T412" s="15">
        <f t="shared" si="111"/>
        <v>5.1183000000000005</v>
      </c>
      <c r="U412" s="15">
        <f t="shared" si="111"/>
        <v>5.1183000000000005</v>
      </c>
      <c r="V412" s="15">
        <f t="shared" si="111"/>
        <v>5.1183000000000005</v>
      </c>
      <c r="W412" s="15">
        <f t="shared" si="111"/>
        <v>5.1183000000000005</v>
      </c>
      <c r="X412" s="15">
        <f t="shared" si="111"/>
        <v>3.8511000000000006</v>
      </c>
      <c r="Y412" s="15">
        <f t="shared" si="111"/>
        <v>3.8511000000000006</v>
      </c>
      <c r="Z412" s="15">
        <f t="shared" si="111"/>
        <v>3.8511000000000006</v>
      </c>
      <c r="AA412" s="15">
        <f t="shared" si="111"/>
        <v>3.8511000000000006</v>
      </c>
      <c r="AB412" s="15">
        <f t="shared" si="111"/>
        <v>3.8511000000000006</v>
      </c>
      <c r="AC412" s="15">
        <f t="shared" si="111"/>
        <v>3.8511000000000006</v>
      </c>
      <c r="AD412" s="15">
        <f t="shared" si="111"/>
        <v>3.8511000000000006</v>
      </c>
      <c r="AE412" s="15">
        <f t="shared" si="111"/>
        <v>3.8511000000000006</v>
      </c>
      <c r="AF412" s="15">
        <f t="shared" si="111"/>
        <v>3.8511000000000006</v>
      </c>
    </row>
    <row r="413" spans="4:32">
      <c r="D413" t="s">
        <v>11</v>
      </c>
      <c r="E413" s="8"/>
      <c r="G413" t="s">
        <v>80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</row>
    <row r="414" spans="4:32">
      <c r="D414" t="s">
        <v>12</v>
      </c>
      <c r="E414" s="8"/>
      <c r="G414" t="s">
        <v>80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</row>
    <row r="416" spans="4:32">
      <c r="D416" s="5" t="s">
        <v>76</v>
      </c>
      <c r="E416" s="5" t="s">
        <v>7</v>
      </c>
      <c r="F416" s="5"/>
      <c r="G416" s="5"/>
      <c r="H416" s="13"/>
      <c r="I416" s="13">
        <f>INDEX(I417:I421,MATCH($E416,$D417:$D421,0))</f>
        <v>2.77</v>
      </c>
      <c r="J416" s="13">
        <f t="shared" ref="J416:AF416" si="112">INDEX(J417:J421,MATCH($E416,$D417:$D421,0))</f>
        <v>2.4500000000000002</v>
      </c>
      <c r="K416" s="13">
        <f t="shared" si="112"/>
        <v>3.17</v>
      </c>
      <c r="L416" s="13">
        <f t="shared" si="112"/>
        <v>3.62</v>
      </c>
      <c r="M416" s="13">
        <f t="shared" si="112"/>
        <v>2.94</v>
      </c>
      <c r="N416" s="13">
        <f t="shared" si="112"/>
        <v>3.13</v>
      </c>
      <c r="O416" s="13">
        <f t="shared" si="112"/>
        <v>3.13</v>
      </c>
      <c r="P416" s="13">
        <f t="shared" si="112"/>
        <v>3.13</v>
      </c>
      <c r="Q416" s="13">
        <f t="shared" si="112"/>
        <v>3.13</v>
      </c>
      <c r="R416" s="13">
        <f t="shared" si="112"/>
        <v>3.13</v>
      </c>
      <c r="S416" s="13">
        <f t="shared" si="112"/>
        <v>3.08</v>
      </c>
      <c r="T416" s="13">
        <f t="shared" si="112"/>
        <v>3.08</v>
      </c>
      <c r="U416" s="13">
        <f t="shared" si="112"/>
        <v>3.08</v>
      </c>
      <c r="V416" s="13">
        <f t="shared" si="112"/>
        <v>3.08</v>
      </c>
      <c r="W416" s="13">
        <f t="shared" si="112"/>
        <v>3.08</v>
      </c>
      <c r="X416" s="13">
        <f t="shared" si="112"/>
        <v>2.02</v>
      </c>
      <c r="Y416" s="13">
        <f t="shared" si="112"/>
        <v>2.02</v>
      </c>
      <c r="Z416" s="13">
        <f t="shared" si="112"/>
        <v>2.02</v>
      </c>
      <c r="AA416" s="13">
        <f t="shared" si="112"/>
        <v>2.02</v>
      </c>
      <c r="AB416" s="13">
        <f t="shared" si="112"/>
        <v>2.02</v>
      </c>
      <c r="AC416" s="13">
        <f t="shared" si="112"/>
        <v>2.02</v>
      </c>
      <c r="AD416" s="13">
        <f t="shared" si="112"/>
        <v>2.02</v>
      </c>
      <c r="AE416" s="13">
        <f t="shared" si="112"/>
        <v>2.02</v>
      </c>
      <c r="AF416" s="13">
        <f t="shared" si="112"/>
        <v>2.02</v>
      </c>
    </row>
    <row r="417" spans="4:32">
      <c r="D417" t="s">
        <v>7</v>
      </c>
      <c r="E417" s="6"/>
      <c r="G417" t="s">
        <v>80</v>
      </c>
      <c r="I417" s="14">
        <v>2.77</v>
      </c>
      <c r="J417" s="14">
        <v>2.4500000000000002</v>
      </c>
      <c r="K417" s="14">
        <v>3.17</v>
      </c>
      <c r="L417" s="14">
        <v>3.62</v>
      </c>
      <c r="M417" s="14">
        <v>2.94</v>
      </c>
      <c r="N417" s="14">
        <v>3.13</v>
      </c>
      <c r="O417" s="14">
        <v>3.13</v>
      </c>
      <c r="P417" s="14">
        <v>3.13</v>
      </c>
      <c r="Q417" s="14">
        <v>3.13</v>
      </c>
      <c r="R417" s="14">
        <v>3.13</v>
      </c>
      <c r="S417" s="14">
        <v>3.08</v>
      </c>
      <c r="T417" s="14">
        <v>3.08</v>
      </c>
      <c r="U417" s="14">
        <v>3.08</v>
      </c>
      <c r="V417" s="14">
        <v>3.08</v>
      </c>
      <c r="W417" s="14">
        <v>3.08</v>
      </c>
      <c r="X417" s="14">
        <v>2.02</v>
      </c>
      <c r="Y417" s="14">
        <v>2.02</v>
      </c>
      <c r="Z417" s="14">
        <v>2.02</v>
      </c>
      <c r="AA417" s="14">
        <v>2.02</v>
      </c>
      <c r="AB417" s="14">
        <v>2.02</v>
      </c>
      <c r="AC417" s="14">
        <v>2.02</v>
      </c>
      <c r="AD417" s="14">
        <v>2.02</v>
      </c>
      <c r="AE417" s="14">
        <v>2.02</v>
      </c>
      <c r="AF417" s="14">
        <v>2.02</v>
      </c>
    </row>
    <row r="418" spans="4:32">
      <c r="D418" t="s">
        <v>9</v>
      </c>
      <c r="E418" s="8">
        <v>0.1</v>
      </c>
      <c r="G418" t="s">
        <v>80</v>
      </c>
      <c r="I418" s="15">
        <f>I417*(1+$E418)</f>
        <v>3.0470000000000002</v>
      </c>
      <c r="J418" s="15">
        <f t="shared" ref="J418:AF419" si="113">J417*(1+$E418)</f>
        <v>2.6950000000000003</v>
      </c>
      <c r="K418" s="15">
        <f t="shared" si="113"/>
        <v>3.4870000000000001</v>
      </c>
      <c r="L418" s="15">
        <f t="shared" si="113"/>
        <v>3.9820000000000007</v>
      </c>
      <c r="M418" s="15">
        <f t="shared" si="113"/>
        <v>3.234</v>
      </c>
      <c r="N418" s="15">
        <f t="shared" si="113"/>
        <v>3.4430000000000001</v>
      </c>
      <c r="O418" s="15">
        <f t="shared" si="113"/>
        <v>3.4430000000000001</v>
      </c>
      <c r="P418" s="15">
        <f t="shared" si="113"/>
        <v>3.4430000000000001</v>
      </c>
      <c r="Q418" s="15">
        <f t="shared" si="113"/>
        <v>3.4430000000000001</v>
      </c>
      <c r="R418" s="15">
        <f t="shared" si="113"/>
        <v>3.4430000000000001</v>
      </c>
      <c r="S418" s="15">
        <f t="shared" si="113"/>
        <v>3.3880000000000003</v>
      </c>
      <c r="T418" s="15">
        <f t="shared" si="113"/>
        <v>3.3880000000000003</v>
      </c>
      <c r="U418" s="15">
        <f t="shared" si="113"/>
        <v>3.3880000000000003</v>
      </c>
      <c r="V418" s="15">
        <f t="shared" si="113"/>
        <v>3.3880000000000003</v>
      </c>
      <c r="W418" s="15">
        <f t="shared" si="113"/>
        <v>3.3880000000000003</v>
      </c>
      <c r="X418" s="15">
        <f t="shared" si="113"/>
        <v>2.2220000000000004</v>
      </c>
      <c r="Y418" s="15">
        <f t="shared" si="113"/>
        <v>2.2220000000000004</v>
      </c>
      <c r="Z418" s="15">
        <f t="shared" si="113"/>
        <v>2.2220000000000004</v>
      </c>
      <c r="AA418" s="15">
        <f t="shared" si="113"/>
        <v>2.2220000000000004</v>
      </c>
      <c r="AB418" s="15">
        <f t="shared" si="113"/>
        <v>2.2220000000000004</v>
      </c>
      <c r="AC418" s="15">
        <f t="shared" si="113"/>
        <v>2.2220000000000004</v>
      </c>
      <c r="AD418" s="15">
        <f t="shared" si="113"/>
        <v>2.2220000000000004</v>
      </c>
      <c r="AE418" s="15">
        <f t="shared" si="113"/>
        <v>2.2220000000000004</v>
      </c>
      <c r="AF418" s="15">
        <f t="shared" si="113"/>
        <v>2.2220000000000004</v>
      </c>
    </row>
    <row r="419" spans="4:32">
      <c r="D419" t="s">
        <v>10</v>
      </c>
      <c r="E419" s="8">
        <v>-0.1</v>
      </c>
      <c r="G419" t="s">
        <v>80</v>
      </c>
      <c r="I419" s="15">
        <f>I418*(1+$E419)</f>
        <v>2.7423000000000002</v>
      </c>
      <c r="J419" s="15">
        <f t="shared" si="113"/>
        <v>2.4255000000000004</v>
      </c>
      <c r="K419" s="15">
        <f t="shared" si="113"/>
        <v>3.1383000000000001</v>
      </c>
      <c r="L419" s="15">
        <f t="shared" si="113"/>
        <v>3.5838000000000005</v>
      </c>
      <c r="M419" s="15">
        <f t="shared" si="113"/>
        <v>2.9106000000000001</v>
      </c>
      <c r="N419" s="15">
        <f t="shared" si="113"/>
        <v>3.0987</v>
      </c>
      <c r="O419" s="15">
        <f t="shared" si="113"/>
        <v>3.0987</v>
      </c>
      <c r="P419" s="15">
        <f t="shared" si="113"/>
        <v>3.0987</v>
      </c>
      <c r="Q419" s="15">
        <f t="shared" si="113"/>
        <v>3.0987</v>
      </c>
      <c r="R419" s="15">
        <f t="shared" si="113"/>
        <v>3.0987</v>
      </c>
      <c r="S419" s="15">
        <f t="shared" si="113"/>
        <v>3.0492000000000004</v>
      </c>
      <c r="T419" s="15">
        <f t="shared" si="113"/>
        <v>3.0492000000000004</v>
      </c>
      <c r="U419" s="15">
        <f t="shared" si="113"/>
        <v>3.0492000000000004</v>
      </c>
      <c r="V419" s="15">
        <f t="shared" si="113"/>
        <v>3.0492000000000004</v>
      </c>
      <c r="W419" s="15">
        <f t="shared" si="113"/>
        <v>3.0492000000000004</v>
      </c>
      <c r="X419" s="15">
        <f t="shared" si="113"/>
        <v>1.9998000000000005</v>
      </c>
      <c r="Y419" s="15">
        <f t="shared" si="113"/>
        <v>1.9998000000000005</v>
      </c>
      <c r="Z419" s="15">
        <f t="shared" si="113"/>
        <v>1.9998000000000005</v>
      </c>
      <c r="AA419" s="15">
        <f t="shared" si="113"/>
        <v>1.9998000000000005</v>
      </c>
      <c r="AB419" s="15">
        <f t="shared" si="113"/>
        <v>1.9998000000000005</v>
      </c>
      <c r="AC419" s="15">
        <f t="shared" si="113"/>
        <v>1.9998000000000005</v>
      </c>
      <c r="AD419" s="15">
        <f t="shared" si="113"/>
        <v>1.9998000000000005</v>
      </c>
      <c r="AE419" s="15">
        <f t="shared" si="113"/>
        <v>1.9998000000000005</v>
      </c>
      <c r="AF419" s="15">
        <f t="shared" si="113"/>
        <v>1.9998000000000005</v>
      </c>
    </row>
    <row r="420" spans="4:32">
      <c r="D420" t="s">
        <v>11</v>
      </c>
      <c r="E420" s="8"/>
      <c r="G420" t="s">
        <v>80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</row>
    <row r="421" spans="4:32">
      <c r="D421" t="s">
        <v>12</v>
      </c>
      <c r="E421" s="8"/>
      <c r="G421" t="s">
        <v>80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</row>
    <row r="423" spans="4:32">
      <c r="D423" s="5" t="s">
        <v>77</v>
      </c>
      <c r="E423" s="5" t="s">
        <v>7</v>
      </c>
      <c r="F423" s="5"/>
      <c r="G423" s="5"/>
      <c r="H423" s="13"/>
      <c r="I423" s="13">
        <f>INDEX(I424:I428,MATCH($E423,$D424:$D428,0))</f>
        <v>1.54</v>
      </c>
      <c r="J423" s="13">
        <f t="shared" ref="J423:AF423" si="114">INDEX(J424:J428,MATCH($E423,$D424:$D428,0))</f>
        <v>1.42</v>
      </c>
      <c r="K423" s="13">
        <f t="shared" si="114"/>
        <v>1.08</v>
      </c>
      <c r="L423" s="13">
        <f t="shared" si="114"/>
        <v>1.08</v>
      </c>
      <c r="M423" s="13">
        <f t="shared" si="114"/>
        <v>1.1299999999999999</v>
      </c>
      <c r="N423" s="13">
        <f t="shared" si="114"/>
        <v>1.1000000000000001</v>
      </c>
      <c r="O423" s="13">
        <f t="shared" si="114"/>
        <v>1.1000000000000001</v>
      </c>
      <c r="P423" s="13">
        <f t="shared" si="114"/>
        <v>1.1000000000000001</v>
      </c>
      <c r="Q423" s="13">
        <f t="shared" si="114"/>
        <v>1.1000000000000001</v>
      </c>
      <c r="R423" s="13">
        <f t="shared" si="114"/>
        <v>1.1000000000000001</v>
      </c>
      <c r="S423" s="13">
        <f t="shared" si="114"/>
        <v>1.02</v>
      </c>
      <c r="T423" s="13">
        <f t="shared" si="114"/>
        <v>1.02</v>
      </c>
      <c r="U423" s="13">
        <f t="shared" si="114"/>
        <v>1.02</v>
      </c>
      <c r="V423" s="13">
        <f t="shared" si="114"/>
        <v>1.02</v>
      </c>
      <c r="W423" s="13">
        <f t="shared" si="114"/>
        <v>1.02</v>
      </c>
      <c r="X423" s="13">
        <f t="shared" si="114"/>
        <v>0.77</v>
      </c>
      <c r="Y423" s="13">
        <f t="shared" si="114"/>
        <v>0.77</v>
      </c>
      <c r="Z423" s="13">
        <f t="shared" si="114"/>
        <v>0.77</v>
      </c>
      <c r="AA423" s="13">
        <f t="shared" si="114"/>
        <v>0.77</v>
      </c>
      <c r="AB423" s="13">
        <f t="shared" si="114"/>
        <v>0.77</v>
      </c>
      <c r="AC423" s="13">
        <f t="shared" si="114"/>
        <v>0.77</v>
      </c>
      <c r="AD423" s="13">
        <f t="shared" si="114"/>
        <v>0.77</v>
      </c>
      <c r="AE423" s="13">
        <f t="shared" si="114"/>
        <v>0.77</v>
      </c>
      <c r="AF423" s="13">
        <f t="shared" si="114"/>
        <v>0.77</v>
      </c>
    </row>
    <row r="424" spans="4:32">
      <c r="D424" t="s">
        <v>7</v>
      </c>
      <c r="E424" s="6"/>
      <c r="G424" t="s">
        <v>80</v>
      </c>
      <c r="I424" s="14">
        <v>1.54</v>
      </c>
      <c r="J424" s="14">
        <v>1.42</v>
      </c>
      <c r="K424" s="14">
        <v>1.08</v>
      </c>
      <c r="L424" s="14">
        <v>1.08</v>
      </c>
      <c r="M424" s="14">
        <v>1.1299999999999999</v>
      </c>
      <c r="N424" s="14">
        <v>1.1000000000000001</v>
      </c>
      <c r="O424" s="14">
        <v>1.1000000000000001</v>
      </c>
      <c r="P424" s="14">
        <v>1.1000000000000001</v>
      </c>
      <c r="Q424" s="14">
        <v>1.1000000000000001</v>
      </c>
      <c r="R424" s="14">
        <v>1.1000000000000001</v>
      </c>
      <c r="S424" s="14">
        <v>1.02</v>
      </c>
      <c r="T424" s="14">
        <v>1.02</v>
      </c>
      <c r="U424" s="14">
        <v>1.02</v>
      </c>
      <c r="V424" s="14">
        <v>1.02</v>
      </c>
      <c r="W424" s="14">
        <v>1.02</v>
      </c>
      <c r="X424" s="14">
        <v>0.77</v>
      </c>
      <c r="Y424" s="14">
        <v>0.77</v>
      </c>
      <c r="Z424" s="14">
        <v>0.77</v>
      </c>
      <c r="AA424" s="14">
        <v>0.77</v>
      </c>
      <c r="AB424" s="14">
        <v>0.77</v>
      </c>
      <c r="AC424" s="14">
        <v>0.77</v>
      </c>
      <c r="AD424" s="14">
        <v>0.77</v>
      </c>
      <c r="AE424" s="14">
        <v>0.77</v>
      </c>
      <c r="AF424" s="14">
        <v>0.77</v>
      </c>
    </row>
    <row r="425" spans="4:32">
      <c r="D425" t="s">
        <v>9</v>
      </c>
      <c r="E425" s="8">
        <v>0.1</v>
      </c>
      <c r="G425" t="s">
        <v>80</v>
      </c>
      <c r="I425" s="15">
        <f>I424*(1+$E425)</f>
        <v>1.6940000000000002</v>
      </c>
      <c r="J425" s="15">
        <f t="shared" ref="J425:AF426" si="115">J424*(1+$E425)</f>
        <v>1.5620000000000001</v>
      </c>
      <c r="K425" s="15">
        <f t="shared" si="115"/>
        <v>1.1880000000000002</v>
      </c>
      <c r="L425" s="15">
        <f t="shared" si="115"/>
        <v>1.1880000000000002</v>
      </c>
      <c r="M425" s="15">
        <f t="shared" si="115"/>
        <v>1.2429999999999999</v>
      </c>
      <c r="N425" s="15">
        <f t="shared" si="115"/>
        <v>1.2100000000000002</v>
      </c>
      <c r="O425" s="15">
        <f t="shared" si="115"/>
        <v>1.2100000000000002</v>
      </c>
      <c r="P425" s="15">
        <f t="shared" si="115"/>
        <v>1.2100000000000002</v>
      </c>
      <c r="Q425" s="15">
        <f t="shared" si="115"/>
        <v>1.2100000000000002</v>
      </c>
      <c r="R425" s="15">
        <f t="shared" si="115"/>
        <v>1.2100000000000002</v>
      </c>
      <c r="S425" s="15">
        <f t="shared" si="115"/>
        <v>1.1220000000000001</v>
      </c>
      <c r="T425" s="15">
        <f t="shared" si="115"/>
        <v>1.1220000000000001</v>
      </c>
      <c r="U425" s="15">
        <f t="shared" si="115"/>
        <v>1.1220000000000001</v>
      </c>
      <c r="V425" s="15">
        <f t="shared" si="115"/>
        <v>1.1220000000000001</v>
      </c>
      <c r="W425" s="15">
        <f t="shared" si="115"/>
        <v>1.1220000000000001</v>
      </c>
      <c r="X425" s="15">
        <f t="shared" si="115"/>
        <v>0.84700000000000009</v>
      </c>
      <c r="Y425" s="15">
        <f t="shared" si="115"/>
        <v>0.84700000000000009</v>
      </c>
      <c r="Z425" s="15">
        <f t="shared" si="115"/>
        <v>0.84700000000000009</v>
      </c>
      <c r="AA425" s="15">
        <f t="shared" si="115"/>
        <v>0.84700000000000009</v>
      </c>
      <c r="AB425" s="15">
        <f t="shared" si="115"/>
        <v>0.84700000000000009</v>
      </c>
      <c r="AC425" s="15">
        <f t="shared" si="115"/>
        <v>0.84700000000000009</v>
      </c>
      <c r="AD425" s="15">
        <f t="shared" si="115"/>
        <v>0.84700000000000009</v>
      </c>
      <c r="AE425" s="15">
        <f t="shared" si="115"/>
        <v>0.84700000000000009</v>
      </c>
      <c r="AF425" s="15">
        <f t="shared" si="115"/>
        <v>0.84700000000000009</v>
      </c>
    </row>
    <row r="426" spans="4:32">
      <c r="D426" t="s">
        <v>10</v>
      </c>
      <c r="E426" s="8">
        <v>-0.1</v>
      </c>
      <c r="G426" t="s">
        <v>80</v>
      </c>
      <c r="I426" s="15">
        <f>I425*(1+$E426)</f>
        <v>1.5246000000000002</v>
      </c>
      <c r="J426" s="15">
        <f t="shared" si="115"/>
        <v>1.4058000000000002</v>
      </c>
      <c r="K426" s="15">
        <f t="shared" si="115"/>
        <v>1.0692000000000002</v>
      </c>
      <c r="L426" s="15">
        <f t="shared" si="115"/>
        <v>1.0692000000000002</v>
      </c>
      <c r="M426" s="15">
        <f t="shared" si="115"/>
        <v>1.1187</v>
      </c>
      <c r="N426" s="15">
        <f t="shared" si="115"/>
        <v>1.0890000000000002</v>
      </c>
      <c r="O426" s="15">
        <f t="shared" si="115"/>
        <v>1.0890000000000002</v>
      </c>
      <c r="P426" s="15">
        <f t="shared" si="115"/>
        <v>1.0890000000000002</v>
      </c>
      <c r="Q426" s="15">
        <f t="shared" si="115"/>
        <v>1.0890000000000002</v>
      </c>
      <c r="R426" s="15">
        <f t="shared" si="115"/>
        <v>1.0890000000000002</v>
      </c>
      <c r="S426" s="15">
        <f t="shared" si="115"/>
        <v>1.0098</v>
      </c>
      <c r="T426" s="15">
        <f t="shared" si="115"/>
        <v>1.0098</v>
      </c>
      <c r="U426" s="15">
        <f t="shared" si="115"/>
        <v>1.0098</v>
      </c>
      <c r="V426" s="15">
        <f t="shared" si="115"/>
        <v>1.0098</v>
      </c>
      <c r="W426" s="15">
        <f t="shared" si="115"/>
        <v>1.0098</v>
      </c>
      <c r="X426" s="15">
        <f t="shared" si="115"/>
        <v>0.76230000000000009</v>
      </c>
      <c r="Y426" s="15">
        <f t="shared" si="115"/>
        <v>0.76230000000000009</v>
      </c>
      <c r="Z426" s="15">
        <f t="shared" si="115"/>
        <v>0.76230000000000009</v>
      </c>
      <c r="AA426" s="15">
        <f t="shared" si="115"/>
        <v>0.76230000000000009</v>
      </c>
      <c r="AB426" s="15">
        <f t="shared" si="115"/>
        <v>0.76230000000000009</v>
      </c>
      <c r="AC426" s="15">
        <f t="shared" si="115"/>
        <v>0.76230000000000009</v>
      </c>
      <c r="AD426" s="15">
        <f t="shared" si="115"/>
        <v>0.76230000000000009</v>
      </c>
      <c r="AE426" s="15">
        <f t="shared" si="115"/>
        <v>0.76230000000000009</v>
      </c>
      <c r="AF426" s="15">
        <f t="shared" si="115"/>
        <v>0.76230000000000009</v>
      </c>
    </row>
    <row r="427" spans="4:32">
      <c r="D427" t="s">
        <v>11</v>
      </c>
      <c r="E427" s="8"/>
      <c r="G427" t="s">
        <v>80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</row>
    <row r="428" spans="4:32">
      <c r="D428" t="s">
        <v>12</v>
      </c>
      <c r="E428" s="8"/>
      <c r="G428" t="s">
        <v>80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</row>
    <row r="430" spans="4:32">
      <c r="D430" s="5" t="s">
        <v>78</v>
      </c>
      <c r="E430" s="5" t="s">
        <v>7</v>
      </c>
      <c r="F430" s="5"/>
      <c r="G430" s="5"/>
      <c r="H430" s="13"/>
      <c r="I430" s="13">
        <f t="shared" ref="I430:AF430" si="116">INDEX(I431:I435,MATCH($E430,$D431:$D435,0))</f>
        <v>0.94</v>
      </c>
      <c r="J430" s="13">
        <f t="shared" si="116"/>
        <v>0.82</v>
      </c>
      <c r="K430" s="13">
        <f t="shared" si="116"/>
        <v>0.82</v>
      </c>
      <c r="L430" s="13">
        <f t="shared" si="116"/>
        <v>0.82</v>
      </c>
      <c r="M430" s="13">
        <f t="shared" si="116"/>
        <v>0.82</v>
      </c>
      <c r="N430" s="13">
        <f t="shared" si="116"/>
        <v>0.82</v>
      </c>
      <c r="O430" s="13">
        <f t="shared" si="116"/>
        <v>0.82</v>
      </c>
      <c r="P430" s="13">
        <f t="shared" si="116"/>
        <v>0.82</v>
      </c>
      <c r="Q430" s="13">
        <f t="shared" si="116"/>
        <v>0.82</v>
      </c>
      <c r="R430" s="13">
        <f t="shared" si="116"/>
        <v>0.82</v>
      </c>
      <c r="S430" s="13">
        <f t="shared" si="116"/>
        <v>0.82</v>
      </c>
      <c r="T430" s="13">
        <f t="shared" si="116"/>
        <v>0.82</v>
      </c>
      <c r="U430" s="13">
        <f t="shared" si="116"/>
        <v>0.82</v>
      </c>
      <c r="V430" s="13">
        <f t="shared" si="116"/>
        <v>0.82</v>
      </c>
      <c r="W430" s="13">
        <f t="shared" si="116"/>
        <v>0.82</v>
      </c>
      <c r="X430" s="13">
        <f t="shared" si="116"/>
        <v>0.73</v>
      </c>
      <c r="Y430" s="13">
        <f t="shared" si="116"/>
        <v>0.73</v>
      </c>
      <c r="Z430" s="13">
        <f t="shared" si="116"/>
        <v>0.73</v>
      </c>
      <c r="AA430" s="13">
        <f t="shared" si="116"/>
        <v>0.73</v>
      </c>
      <c r="AB430" s="13">
        <f t="shared" si="116"/>
        <v>0.73</v>
      </c>
      <c r="AC430" s="13">
        <f t="shared" si="116"/>
        <v>0.73</v>
      </c>
      <c r="AD430" s="13">
        <f t="shared" si="116"/>
        <v>0.73</v>
      </c>
      <c r="AE430" s="13">
        <f t="shared" si="116"/>
        <v>0.73</v>
      </c>
      <c r="AF430" s="13">
        <f t="shared" si="116"/>
        <v>0.73</v>
      </c>
    </row>
    <row r="431" spans="4:32">
      <c r="D431" t="s">
        <v>7</v>
      </c>
      <c r="E431" s="6"/>
      <c r="G431" t="s">
        <v>80</v>
      </c>
      <c r="I431" s="14">
        <v>0.94</v>
      </c>
      <c r="J431" s="14">
        <v>0.82</v>
      </c>
      <c r="K431" s="14">
        <v>0.82</v>
      </c>
      <c r="L431" s="14">
        <v>0.82</v>
      </c>
      <c r="M431" s="14">
        <v>0.82</v>
      </c>
      <c r="N431" s="14">
        <v>0.82</v>
      </c>
      <c r="O431" s="14">
        <v>0.82</v>
      </c>
      <c r="P431" s="14">
        <v>0.82</v>
      </c>
      <c r="Q431" s="14">
        <v>0.82</v>
      </c>
      <c r="R431" s="14">
        <v>0.82</v>
      </c>
      <c r="S431" s="14">
        <v>0.82</v>
      </c>
      <c r="T431" s="14">
        <v>0.82</v>
      </c>
      <c r="U431" s="14">
        <v>0.82</v>
      </c>
      <c r="V431" s="14">
        <v>0.82</v>
      </c>
      <c r="W431" s="14">
        <v>0.82</v>
      </c>
      <c r="X431" s="14">
        <v>0.73</v>
      </c>
      <c r="Y431" s="14">
        <v>0.73</v>
      </c>
      <c r="Z431" s="14">
        <v>0.73</v>
      </c>
      <c r="AA431" s="14">
        <v>0.73</v>
      </c>
      <c r="AB431" s="14">
        <v>0.73</v>
      </c>
      <c r="AC431" s="14">
        <v>0.73</v>
      </c>
      <c r="AD431" s="14">
        <v>0.73</v>
      </c>
      <c r="AE431" s="14">
        <v>0.73</v>
      </c>
      <c r="AF431" s="14">
        <v>0.73</v>
      </c>
    </row>
    <row r="432" spans="4:32">
      <c r="D432" t="s">
        <v>9</v>
      </c>
      <c r="E432" s="8">
        <v>0.1</v>
      </c>
      <c r="G432" t="s">
        <v>80</v>
      </c>
      <c r="I432" s="15">
        <f>I431*(1+$E432)</f>
        <v>1.034</v>
      </c>
      <c r="J432" s="15">
        <f t="shared" ref="J432:AF433" si="117">J431*(1+$E432)</f>
        <v>0.90200000000000002</v>
      </c>
      <c r="K432" s="15">
        <f t="shared" si="117"/>
        <v>0.90200000000000002</v>
      </c>
      <c r="L432" s="15">
        <f t="shared" si="117"/>
        <v>0.90200000000000002</v>
      </c>
      <c r="M432" s="15">
        <f t="shared" si="117"/>
        <v>0.90200000000000002</v>
      </c>
      <c r="N432" s="15">
        <f t="shared" si="117"/>
        <v>0.90200000000000002</v>
      </c>
      <c r="O432" s="15">
        <f t="shared" si="117"/>
        <v>0.90200000000000002</v>
      </c>
      <c r="P432" s="15">
        <f t="shared" si="117"/>
        <v>0.90200000000000002</v>
      </c>
      <c r="Q432" s="15">
        <f t="shared" si="117"/>
        <v>0.90200000000000002</v>
      </c>
      <c r="R432" s="15">
        <f t="shared" si="117"/>
        <v>0.90200000000000002</v>
      </c>
      <c r="S432" s="15">
        <f t="shared" si="117"/>
        <v>0.90200000000000002</v>
      </c>
      <c r="T432" s="15">
        <f t="shared" si="117"/>
        <v>0.90200000000000002</v>
      </c>
      <c r="U432" s="15">
        <f t="shared" si="117"/>
        <v>0.90200000000000002</v>
      </c>
      <c r="V432" s="15">
        <f t="shared" si="117"/>
        <v>0.90200000000000002</v>
      </c>
      <c r="W432" s="15">
        <f t="shared" si="117"/>
        <v>0.90200000000000002</v>
      </c>
      <c r="X432" s="15">
        <f t="shared" si="117"/>
        <v>0.80300000000000005</v>
      </c>
      <c r="Y432" s="15">
        <f t="shared" si="117"/>
        <v>0.80300000000000005</v>
      </c>
      <c r="Z432" s="15">
        <f t="shared" si="117"/>
        <v>0.80300000000000005</v>
      </c>
      <c r="AA432" s="15">
        <f t="shared" si="117"/>
        <v>0.80300000000000005</v>
      </c>
      <c r="AB432" s="15">
        <f t="shared" si="117"/>
        <v>0.80300000000000005</v>
      </c>
      <c r="AC432" s="15">
        <f t="shared" si="117"/>
        <v>0.80300000000000005</v>
      </c>
      <c r="AD432" s="15">
        <f t="shared" si="117"/>
        <v>0.80300000000000005</v>
      </c>
      <c r="AE432" s="15">
        <f t="shared" si="117"/>
        <v>0.80300000000000005</v>
      </c>
      <c r="AF432" s="15">
        <f t="shared" si="117"/>
        <v>0.80300000000000005</v>
      </c>
    </row>
    <row r="433" spans="4:32">
      <c r="D433" t="s">
        <v>10</v>
      </c>
      <c r="E433" s="8">
        <v>-0.1</v>
      </c>
      <c r="G433" t="s">
        <v>80</v>
      </c>
      <c r="I433" s="15">
        <f>I432*(1+$E433)</f>
        <v>0.93060000000000009</v>
      </c>
      <c r="J433" s="15">
        <f t="shared" si="117"/>
        <v>0.81180000000000008</v>
      </c>
      <c r="K433" s="15">
        <f t="shared" si="117"/>
        <v>0.81180000000000008</v>
      </c>
      <c r="L433" s="15">
        <f t="shared" si="117"/>
        <v>0.81180000000000008</v>
      </c>
      <c r="M433" s="15">
        <f t="shared" si="117"/>
        <v>0.81180000000000008</v>
      </c>
      <c r="N433" s="15">
        <f t="shared" si="117"/>
        <v>0.81180000000000008</v>
      </c>
      <c r="O433" s="15">
        <f t="shared" si="117"/>
        <v>0.81180000000000008</v>
      </c>
      <c r="P433" s="15">
        <f t="shared" si="117"/>
        <v>0.81180000000000008</v>
      </c>
      <c r="Q433" s="15">
        <f t="shared" si="117"/>
        <v>0.81180000000000008</v>
      </c>
      <c r="R433" s="15">
        <f t="shared" si="117"/>
        <v>0.81180000000000008</v>
      </c>
      <c r="S433" s="15">
        <f t="shared" si="117"/>
        <v>0.81180000000000008</v>
      </c>
      <c r="T433" s="15">
        <f t="shared" si="117"/>
        <v>0.81180000000000008</v>
      </c>
      <c r="U433" s="15">
        <f t="shared" si="117"/>
        <v>0.81180000000000008</v>
      </c>
      <c r="V433" s="15">
        <f t="shared" si="117"/>
        <v>0.81180000000000008</v>
      </c>
      <c r="W433" s="15">
        <f t="shared" si="117"/>
        <v>0.81180000000000008</v>
      </c>
      <c r="X433" s="15">
        <f t="shared" si="117"/>
        <v>0.72270000000000001</v>
      </c>
      <c r="Y433" s="15">
        <f t="shared" si="117"/>
        <v>0.72270000000000001</v>
      </c>
      <c r="Z433" s="15">
        <f t="shared" si="117"/>
        <v>0.72270000000000001</v>
      </c>
      <c r="AA433" s="15">
        <f t="shared" si="117"/>
        <v>0.72270000000000001</v>
      </c>
      <c r="AB433" s="15">
        <f t="shared" si="117"/>
        <v>0.72270000000000001</v>
      </c>
      <c r="AC433" s="15">
        <f t="shared" si="117"/>
        <v>0.72270000000000001</v>
      </c>
      <c r="AD433" s="15">
        <f t="shared" si="117"/>
        <v>0.72270000000000001</v>
      </c>
      <c r="AE433" s="15">
        <f t="shared" si="117"/>
        <v>0.72270000000000001</v>
      </c>
      <c r="AF433" s="15">
        <f t="shared" si="117"/>
        <v>0.72270000000000001</v>
      </c>
    </row>
    <row r="434" spans="4:32">
      <c r="D434" t="s">
        <v>11</v>
      </c>
      <c r="E434" s="8"/>
      <c r="G434" t="s">
        <v>80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</row>
    <row r="435" spans="4:32">
      <c r="D435" t="s">
        <v>12</v>
      </c>
      <c r="E435" s="8"/>
      <c r="G435" t="s">
        <v>80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</row>
    <row r="436" spans="4:32">
      <c r="E436" s="19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</row>
    <row r="437" spans="4:32">
      <c r="D437" s="4" t="s">
        <v>81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4:32">
      <c r="D438" s="5" t="s">
        <v>73</v>
      </c>
      <c r="E438" s="5" t="s">
        <v>7</v>
      </c>
      <c r="F438" s="5"/>
      <c r="G438" s="5"/>
      <c r="H438" s="13"/>
      <c r="I438" s="13">
        <f>INDEX(I439:I443,MATCH($E438,$D439:$D443,0))</f>
        <v>1.53</v>
      </c>
      <c r="J438" s="13">
        <f t="shared" ref="J438:AF438" si="118">INDEX(J439:J443,MATCH($E438,$D439:$D443,0))</f>
        <v>1.65</v>
      </c>
      <c r="K438" s="13">
        <f t="shared" si="118"/>
        <v>1.72</v>
      </c>
      <c r="L438" s="13">
        <f t="shared" si="118"/>
        <v>2.25</v>
      </c>
      <c r="M438" s="13">
        <f t="shared" si="118"/>
        <v>2.16</v>
      </c>
      <c r="N438" s="13">
        <f t="shared" si="118"/>
        <v>1.58</v>
      </c>
      <c r="O438" s="13">
        <f t="shared" si="118"/>
        <v>1.58</v>
      </c>
      <c r="P438" s="13">
        <f t="shared" si="118"/>
        <v>1.58</v>
      </c>
      <c r="Q438" s="13">
        <f t="shared" si="118"/>
        <v>1.58</v>
      </c>
      <c r="R438" s="13">
        <f t="shared" si="118"/>
        <v>1.58</v>
      </c>
      <c r="S438" s="13">
        <f t="shared" si="118"/>
        <v>1.71</v>
      </c>
      <c r="T438" s="13">
        <f t="shared" si="118"/>
        <v>1.71</v>
      </c>
      <c r="U438" s="13">
        <f t="shared" si="118"/>
        <v>1.71</v>
      </c>
      <c r="V438" s="13">
        <f t="shared" si="118"/>
        <v>1.71</v>
      </c>
      <c r="W438" s="13">
        <f t="shared" si="118"/>
        <v>1.71</v>
      </c>
      <c r="X438" s="13">
        <f t="shared" si="118"/>
        <v>0</v>
      </c>
      <c r="Y438" s="13">
        <f t="shared" si="118"/>
        <v>0</v>
      </c>
      <c r="Z438" s="13">
        <f t="shared" si="118"/>
        <v>0</v>
      </c>
      <c r="AA438" s="13">
        <f t="shared" si="118"/>
        <v>0</v>
      </c>
      <c r="AB438" s="13">
        <f t="shared" si="118"/>
        <v>0</v>
      </c>
      <c r="AC438" s="13">
        <f t="shared" si="118"/>
        <v>0</v>
      </c>
      <c r="AD438" s="13">
        <f t="shared" si="118"/>
        <v>0</v>
      </c>
      <c r="AE438" s="13">
        <f t="shared" si="118"/>
        <v>0</v>
      </c>
      <c r="AF438" s="13">
        <f t="shared" si="118"/>
        <v>0</v>
      </c>
    </row>
    <row r="439" spans="4:32">
      <c r="D439" t="s">
        <v>7</v>
      </c>
      <c r="E439" s="6"/>
      <c r="G439" t="s">
        <v>80</v>
      </c>
      <c r="I439" s="14">
        <v>1.53</v>
      </c>
      <c r="J439" s="14">
        <v>1.65</v>
      </c>
      <c r="K439" s="14">
        <v>1.72</v>
      </c>
      <c r="L439" s="14">
        <v>2.25</v>
      </c>
      <c r="M439" s="14">
        <v>2.16</v>
      </c>
      <c r="N439" s="14">
        <v>1.58</v>
      </c>
      <c r="O439" s="14">
        <v>1.58</v>
      </c>
      <c r="P439" s="14">
        <v>1.58</v>
      </c>
      <c r="Q439" s="14">
        <v>1.58</v>
      </c>
      <c r="R439" s="14">
        <v>1.58</v>
      </c>
      <c r="S439" s="14">
        <v>1.71</v>
      </c>
      <c r="T439" s="14">
        <v>1.71</v>
      </c>
      <c r="U439" s="14">
        <v>1.71</v>
      </c>
      <c r="V439" s="14">
        <v>1.71</v>
      </c>
      <c r="W439" s="14">
        <v>1.71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</row>
    <row r="440" spans="4:32">
      <c r="D440" t="s">
        <v>9</v>
      </c>
      <c r="E440" s="8">
        <v>0.1</v>
      </c>
      <c r="G440" t="s">
        <v>80</v>
      </c>
      <c r="I440" s="15">
        <f>I439*(1+$E440)</f>
        <v>1.6830000000000003</v>
      </c>
      <c r="J440" s="15">
        <f t="shared" ref="J440:AF441" si="119">J439*(1+$E440)</f>
        <v>1.8149999999999999</v>
      </c>
      <c r="K440" s="15">
        <f t="shared" si="119"/>
        <v>1.8920000000000001</v>
      </c>
      <c r="L440" s="15">
        <f t="shared" si="119"/>
        <v>2.4750000000000001</v>
      </c>
      <c r="M440" s="15">
        <f t="shared" si="119"/>
        <v>2.3760000000000003</v>
      </c>
      <c r="N440" s="15">
        <f t="shared" si="119"/>
        <v>1.7380000000000002</v>
      </c>
      <c r="O440" s="15">
        <f t="shared" si="119"/>
        <v>1.7380000000000002</v>
      </c>
      <c r="P440" s="15">
        <f t="shared" si="119"/>
        <v>1.7380000000000002</v>
      </c>
      <c r="Q440" s="15">
        <f t="shared" si="119"/>
        <v>1.7380000000000002</v>
      </c>
      <c r="R440" s="15">
        <f t="shared" si="119"/>
        <v>1.7380000000000002</v>
      </c>
      <c r="S440" s="15">
        <f t="shared" si="119"/>
        <v>1.881</v>
      </c>
      <c r="T440" s="15">
        <f t="shared" si="119"/>
        <v>1.881</v>
      </c>
      <c r="U440" s="15">
        <f t="shared" si="119"/>
        <v>1.881</v>
      </c>
      <c r="V440" s="15">
        <f t="shared" si="119"/>
        <v>1.881</v>
      </c>
      <c r="W440" s="15">
        <f t="shared" si="119"/>
        <v>1.881</v>
      </c>
      <c r="X440" s="15">
        <f t="shared" si="119"/>
        <v>0</v>
      </c>
      <c r="Y440" s="15">
        <f t="shared" si="119"/>
        <v>0</v>
      </c>
      <c r="Z440" s="15">
        <f t="shared" si="119"/>
        <v>0</v>
      </c>
      <c r="AA440" s="15">
        <f t="shared" si="119"/>
        <v>0</v>
      </c>
      <c r="AB440" s="15">
        <f t="shared" si="119"/>
        <v>0</v>
      </c>
      <c r="AC440" s="15">
        <f t="shared" si="119"/>
        <v>0</v>
      </c>
      <c r="AD440" s="15">
        <f t="shared" si="119"/>
        <v>0</v>
      </c>
      <c r="AE440" s="15">
        <f t="shared" si="119"/>
        <v>0</v>
      </c>
      <c r="AF440" s="15">
        <f t="shared" si="119"/>
        <v>0</v>
      </c>
    </row>
    <row r="441" spans="4:32">
      <c r="D441" t="s">
        <v>10</v>
      </c>
      <c r="E441" s="8">
        <v>-0.1</v>
      </c>
      <c r="G441" t="s">
        <v>80</v>
      </c>
      <c r="I441" s="15">
        <f>I440*(1+$E441)</f>
        <v>1.5147000000000004</v>
      </c>
      <c r="J441" s="15">
        <f t="shared" si="119"/>
        <v>1.6335</v>
      </c>
      <c r="K441" s="15">
        <f t="shared" si="119"/>
        <v>1.7028000000000001</v>
      </c>
      <c r="L441" s="15">
        <f t="shared" si="119"/>
        <v>2.2275</v>
      </c>
      <c r="M441" s="15">
        <f t="shared" si="119"/>
        <v>2.1384000000000003</v>
      </c>
      <c r="N441" s="15">
        <f t="shared" si="119"/>
        <v>1.5642000000000003</v>
      </c>
      <c r="O441" s="15">
        <f t="shared" si="119"/>
        <v>1.5642000000000003</v>
      </c>
      <c r="P441" s="15">
        <f t="shared" si="119"/>
        <v>1.5642000000000003</v>
      </c>
      <c r="Q441" s="15">
        <f t="shared" si="119"/>
        <v>1.5642000000000003</v>
      </c>
      <c r="R441" s="15">
        <f t="shared" si="119"/>
        <v>1.5642000000000003</v>
      </c>
      <c r="S441" s="15">
        <f t="shared" si="119"/>
        <v>1.6929000000000001</v>
      </c>
      <c r="T441" s="15">
        <f t="shared" si="119"/>
        <v>1.6929000000000001</v>
      </c>
      <c r="U441" s="15">
        <f t="shared" si="119"/>
        <v>1.6929000000000001</v>
      </c>
      <c r="V441" s="15">
        <f t="shared" si="119"/>
        <v>1.6929000000000001</v>
      </c>
      <c r="W441" s="15">
        <f t="shared" si="119"/>
        <v>1.6929000000000001</v>
      </c>
      <c r="X441" s="15">
        <f t="shared" si="119"/>
        <v>0</v>
      </c>
      <c r="Y441" s="15">
        <f t="shared" si="119"/>
        <v>0</v>
      </c>
      <c r="Z441" s="15">
        <f t="shared" si="119"/>
        <v>0</v>
      </c>
      <c r="AA441" s="15">
        <f t="shared" si="119"/>
        <v>0</v>
      </c>
      <c r="AB441" s="15">
        <f t="shared" si="119"/>
        <v>0</v>
      </c>
      <c r="AC441" s="15">
        <f t="shared" si="119"/>
        <v>0</v>
      </c>
      <c r="AD441" s="15">
        <f t="shared" si="119"/>
        <v>0</v>
      </c>
      <c r="AE441" s="15">
        <f t="shared" si="119"/>
        <v>0</v>
      </c>
      <c r="AF441" s="15">
        <f t="shared" si="119"/>
        <v>0</v>
      </c>
    </row>
    <row r="442" spans="4:32">
      <c r="D442" t="s">
        <v>11</v>
      </c>
      <c r="E442" s="8"/>
      <c r="G442" t="s">
        <v>80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</row>
    <row r="443" spans="4:32">
      <c r="D443" t="s">
        <v>12</v>
      </c>
      <c r="E443" s="8"/>
      <c r="G443" t="s">
        <v>80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</row>
    <row r="445" spans="4:32">
      <c r="D445" s="5" t="s">
        <v>75</v>
      </c>
      <c r="E445" s="5" t="s">
        <v>7</v>
      </c>
      <c r="F445" s="5"/>
      <c r="G445" s="5"/>
      <c r="H445" s="13"/>
      <c r="I445" s="13">
        <f>INDEX(I446:I450,MATCH($E445,$D446:$D450,0))</f>
        <v>19.78</v>
      </c>
      <c r="J445" s="13">
        <f t="shared" ref="J445:AF445" si="120">INDEX(J446:J450,MATCH($E445,$D446:$D450,0))</f>
        <v>18.52</v>
      </c>
      <c r="K445" s="13">
        <f t="shared" si="120"/>
        <v>16.489999999999998</v>
      </c>
      <c r="L445" s="13">
        <f t="shared" si="120"/>
        <v>15.96</v>
      </c>
      <c r="M445" s="13">
        <f t="shared" si="120"/>
        <v>15.82</v>
      </c>
      <c r="N445" s="13">
        <f t="shared" si="120"/>
        <v>12.41</v>
      </c>
      <c r="O445" s="13">
        <f t="shared" si="120"/>
        <v>12.41</v>
      </c>
      <c r="P445" s="13">
        <f t="shared" si="120"/>
        <v>12.41</v>
      </c>
      <c r="Q445" s="13">
        <f t="shared" si="120"/>
        <v>12.41</v>
      </c>
      <c r="R445" s="13">
        <f t="shared" si="120"/>
        <v>12.41</v>
      </c>
      <c r="S445" s="13">
        <f t="shared" si="120"/>
        <v>8.7200000000000006</v>
      </c>
      <c r="T445" s="13">
        <f t="shared" si="120"/>
        <v>8.7200000000000006</v>
      </c>
      <c r="U445" s="13">
        <f t="shared" si="120"/>
        <v>8.7200000000000006</v>
      </c>
      <c r="V445" s="13">
        <f t="shared" si="120"/>
        <v>8.7200000000000006</v>
      </c>
      <c r="W445" s="13">
        <f t="shared" si="120"/>
        <v>8.7200000000000006</v>
      </c>
      <c r="X445" s="13">
        <f t="shared" si="120"/>
        <v>0</v>
      </c>
      <c r="Y445" s="13">
        <f t="shared" si="120"/>
        <v>0</v>
      </c>
      <c r="Z445" s="13">
        <f t="shared" si="120"/>
        <v>0</v>
      </c>
      <c r="AA445" s="13">
        <f t="shared" si="120"/>
        <v>0</v>
      </c>
      <c r="AB445" s="13">
        <f t="shared" si="120"/>
        <v>0</v>
      </c>
      <c r="AC445" s="13">
        <f t="shared" si="120"/>
        <v>0</v>
      </c>
      <c r="AD445" s="13">
        <f t="shared" si="120"/>
        <v>0</v>
      </c>
      <c r="AE445" s="13">
        <f t="shared" si="120"/>
        <v>0</v>
      </c>
      <c r="AF445" s="13">
        <f t="shared" si="120"/>
        <v>0</v>
      </c>
    </row>
    <row r="446" spans="4:32">
      <c r="D446" t="s">
        <v>7</v>
      </c>
      <c r="E446" s="6"/>
      <c r="G446" t="s">
        <v>80</v>
      </c>
      <c r="I446" s="14">
        <v>19.78</v>
      </c>
      <c r="J446" s="14">
        <v>18.52</v>
      </c>
      <c r="K446" s="14">
        <v>16.489999999999998</v>
      </c>
      <c r="L446" s="14">
        <v>15.96</v>
      </c>
      <c r="M446" s="14">
        <v>15.82</v>
      </c>
      <c r="N446" s="14">
        <v>12.41</v>
      </c>
      <c r="O446" s="14">
        <v>12.41</v>
      </c>
      <c r="P446" s="14">
        <v>12.41</v>
      </c>
      <c r="Q446" s="14">
        <v>12.41</v>
      </c>
      <c r="R446" s="14">
        <v>12.41</v>
      </c>
      <c r="S446" s="14">
        <v>8.7200000000000006</v>
      </c>
      <c r="T446" s="14">
        <v>8.7200000000000006</v>
      </c>
      <c r="U446" s="14">
        <v>8.7200000000000006</v>
      </c>
      <c r="V446" s="14">
        <v>8.7200000000000006</v>
      </c>
      <c r="W446" s="14">
        <v>8.7200000000000006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</row>
    <row r="447" spans="4:32">
      <c r="D447" t="s">
        <v>9</v>
      </c>
      <c r="E447" s="8">
        <v>0.1</v>
      </c>
      <c r="G447" t="s">
        <v>80</v>
      </c>
      <c r="I447" s="15">
        <f>I446*(1+$E447)</f>
        <v>21.758000000000003</v>
      </c>
      <c r="J447" s="15">
        <f t="shared" ref="J447:AF448" si="121">J446*(1+$E447)</f>
        <v>20.372</v>
      </c>
      <c r="K447" s="15">
        <f t="shared" si="121"/>
        <v>18.138999999999999</v>
      </c>
      <c r="L447" s="15">
        <f t="shared" si="121"/>
        <v>17.556000000000001</v>
      </c>
      <c r="M447" s="15">
        <f t="shared" si="121"/>
        <v>17.402000000000001</v>
      </c>
      <c r="N447" s="15">
        <f t="shared" si="121"/>
        <v>13.651000000000002</v>
      </c>
      <c r="O447" s="15">
        <f t="shared" si="121"/>
        <v>13.651000000000002</v>
      </c>
      <c r="P447" s="15">
        <f t="shared" si="121"/>
        <v>13.651000000000002</v>
      </c>
      <c r="Q447" s="15">
        <f t="shared" si="121"/>
        <v>13.651000000000002</v>
      </c>
      <c r="R447" s="15">
        <f t="shared" si="121"/>
        <v>13.651000000000002</v>
      </c>
      <c r="S447" s="15">
        <f t="shared" si="121"/>
        <v>9.5920000000000023</v>
      </c>
      <c r="T447" s="15">
        <f t="shared" si="121"/>
        <v>9.5920000000000023</v>
      </c>
      <c r="U447" s="15">
        <f t="shared" si="121"/>
        <v>9.5920000000000023</v>
      </c>
      <c r="V447" s="15">
        <f t="shared" si="121"/>
        <v>9.5920000000000023</v>
      </c>
      <c r="W447" s="15">
        <f t="shared" si="121"/>
        <v>9.5920000000000023</v>
      </c>
      <c r="X447" s="15">
        <f t="shared" si="121"/>
        <v>0</v>
      </c>
      <c r="Y447" s="15">
        <f t="shared" si="121"/>
        <v>0</v>
      </c>
      <c r="Z447" s="15">
        <f t="shared" si="121"/>
        <v>0</v>
      </c>
      <c r="AA447" s="15">
        <f t="shared" si="121"/>
        <v>0</v>
      </c>
      <c r="AB447" s="15">
        <f t="shared" si="121"/>
        <v>0</v>
      </c>
      <c r="AC447" s="15">
        <f t="shared" si="121"/>
        <v>0</v>
      </c>
      <c r="AD447" s="15">
        <f t="shared" si="121"/>
        <v>0</v>
      </c>
      <c r="AE447" s="15">
        <f t="shared" si="121"/>
        <v>0</v>
      </c>
      <c r="AF447" s="15">
        <f t="shared" si="121"/>
        <v>0</v>
      </c>
    </row>
    <row r="448" spans="4:32">
      <c r="D448" t="s">
        <v>10</v>
      </c>
      <c r="E448" s="8">
        <v>-0.1</v>
      </c>
      <c r="G448" t="s">
        <v>80</v>
      </c>
      <c r="I448" s="15">
        <f>I447*(1+$E448)</f>
        <v>19.582200000000004</v>
      </c>
      <c r="J448" s="15">
        <f t="shared" si="121"/>
        <v>18.334800000000001</v>
      </c>
      <c r="K448" s="15">
        <f t="shared" si="121"/>
        <v>16.325099999999999</v>
      </c>
      <c r="L448" s="15">
        <f t="shared" si="121"/>
        <v>15.800400000000002</v>
      </c>
      <c r="M448" s="15">
        <f t="shared" si="121"/>
        <v>15.661800000000001</v>
      </c>
      <c r="N448" s="15">
        <f t="shared" si="121"/>
        <v>12.285900000000002</v>
      </c>
      <c r="O448" s="15">
        <f t="shared" si="121"/>
        <v>12.285900000000002</v>
      </c>
      <c r="P448" s="15">
        <f t="shared" si="121"/>
        <v>12.285900000000002</v>
      </c>
      <c r="Q448" s="15">
        <f t="shared" si="121"/>
        <v>12.285900000000002</v>
      </c>
      <c r="R448" s="15">
        <f t="shared" si="121"/>
        <v>12.285900000000002</v>
      </c>
      <c r="S448" s="15">
        <f t="shared" si="121"/>
        <v>8.6328000000000031</v>
      </c>
      <c r="T448" s="15">
        <f t="shared" si="121"/>
        <v>8.6328000000000031</v>
      </c>
      <c r="U448" s="15">
        <f t="shared" si="121"/>
        <v>8.6328000000000031</v>
      </c>
      <c r="V448" s="15">
        <f t="shared" si="121"/>
        <v>8.6328000000000031</v>
      </c>
      <c r="W448" s="15">
        <f t="shared" si="121"/>
        <v>8.6328000000000031</v>
      </c>
      <c r="X448" s="15">
        <f t="shared" si="121"/>
        <v>0</v>
      </c>
      <c r="Y448" s="15">
        <f t="shared" si="121"/>
        <v>0</v>
      </c>
      <c r="Z448" s="15">
        <f t="shared" si="121"/>
        <v>0</v>
      </c>
      <c r="AA448" s="15">
        <f t="shared" si="121"/>
        <v>0</v>
      </c>
      <c r="AB448" s="15">
        <f t="shared" si="121"/>
        <v>0</v>
      </c>
      <c r="AC448" s="15">
        <f t="shared" si="121"/>
        <v>0</v>
      </c>
      <c r="AD448" s="15">
        <f t="shared" si="121"/>
        <v>0</v>
      </c>
      <c r="AE448" s="15">
        <f t="shared" si="121"/>
        <v>0</v>
      </c>
      <c r="AF448" s="15">
        <f t="shared" si="121"/>
        <v>0</v>
      </c>
    </row>
    <row r="449" spans="4:32">
      <c r="D449" t="s">
        <v>11</v>
      </c>
      <c r="E449" s="8"/>
      <c r="G449" t="s">
        <v>80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</row>
    <row r="450" spans="4:32">
      <c r="D450" t="s">
        <v>12</v>
      </c>
      <c r="E450" s="8"/>
      <c r="G450" t="s">
        <v>80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</row>
    <row r="452" spans="4:32">
      <c r="D452" s="5" t="s">
        <v>76</v>
      </c>
      <c r="E452" s="5" t="s">
        <v>7</v>
      </c>
      <c r="F452" s="5"/>
      <c r="G452" s="5"/>
      <c r="H452" s="13"/>
      <c r="I452" s="13">
        <f>INDEX(I453:I457,MATCH($E452,$D453:$D457,0))</f>
        <v>1.49</v>
      </c>
      <c r="J452" s="13">
        <f t="shared" ref="J452:AF452" si="122">INDEX(J453:J457,MATCH($E452,$D453:$D457,0))</f>
        <v>1.47</v>
      </c>
      <c r="K452" s="13">
        <f t="shared" si="122"/>
        <v>1.47</v>
      </c>
      <c r="L452" s="13">
        <f t="shared" si="122"/>
        <v>1.71</v>
      </c>
      <c r="M452" s="13">
        <f t="shared" si="122"/>
        <v>1.7</v>
      </c>
      <c r="N452" s="13">
        <f t="shared" si="122"/>
        <v>1.38</v>
      </c>
      <c r="O452" s="13">
        <f t="shared" si="122"/>
        <v>1.38</v>
      </c>
      <c r="P452" s="13">
        <f t="shared" si="122"/>
        <v>1.38</v>
      </c>
      <c r="Q452" s="13">
        <f t="shared" si="122"/>
        <v>1.38</v>
      </c>
      <c r="R452" s="13">
        <f t="shared" si="122"/>
        <v>1.38</v>
      </c>
      <c r="S452" s="13">
        <f t="shared" si="122"/>
        <v>0.95</v>
      </c>
      <c r="T452" s="13">
        <f t="shared" si="122"/>
        <v>0.95</v>
      </c>
      <c r="U452" s="13">
        <f t="shared" si="122"/>
        <v>0.95</v>
      </c>
      <c r="V452" s="13">
        <f t="shared" si="122"/>
        <v>0.95</v>
      </c>
      <c r="W452" s="13">
        <f t="shared" si="122"/>
        <v>0.95</v>
      </c>
      <c r="X452" s="13">
        <f t="shared" si="122"/>
        <v>0</v>
      </c>
      <c r="Y452" s="13">
        <f t="shared" si="122"/>
        <v>0</v>
      </c>
      <c r="Z452" s="13">
        <f t="shared" si="122"/>
        <v>0</v>
      </c>
      <c r="AA452" s="13">
        <f t="shared" si="122"/>
        <v>0</v>
      </c>
      <c r="AB452" s="13">
        <f t="shared" si="122"/>
        <v>0</v>
      </c>
      <c r="AC452" s="13">
        <f t="shared" si="122"/>
        <v>0</v>
      </c>
      <c r="AD452" s="13">
        <f t="shared" si="122"/>
        <v>0</v>
      </c>
      <c r="AE452" s="13">
        <f t="shared" si="122"/>
        <v>0</v>
      </c>
      <c r="AF452" s="13">
        <f t="shared" si="122"/>
        <v>0</v>
      </c>
    </row>
    <row r="453" spans="4:32">
      <c r="D453" t="s">
        <v>7</v>
      </c>
      <c r="E453" s="6"/>
      <c r="G453" t="s">
        <v>80</v>
      </c>
      <c r="I453" s="14">
        <v>1.49</v>
      </c>
      <c r="J453" s="14">
        <v>1.47</v>
      </c>
      <c r="K453" s="14">
        <v>1.47</v>
      </c>
      <c r="L453" s="14">
        <v>1.71</v>
      </c>
      <c r="M453" s="14">
        <v>1.7</v>
      </c>
      <c r="N453" s="14">
        <v>1.38</v>
      </c>
      <c r="O453" s="14">
        <v>1.38</v>
      </c>
      <c r="P453" s="14">
        <v>1.38</v>
      </c>
      <c r="Q453" s="14">
        <v>1.38</v>
      </c>
      <c r="R453" s="14">
        <v>1.38</v>
      </c>
      <c r="S453" s="14">
        <v>0.95</v>
      </c>
      <c r="T453" s="14">
        <v>0.95</v>
      </c>
      <c r="U453" s="14">
        <v>0.95</v>
      </c>
      <c r="V453" s="14">
        <v>0.95</v>
      </c>
      <c r="W453" s="14">
        <v>0.95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</row>
    <row r="454" spans="4:32">
      <c r="D454" t="s">
        <v>9</v>
      </c>
      <c r="E454" s="8">
        <v>0.1</v>
      </c>
      <c r="G454" t="s">
        <v>80</v>
      </c>
      <c r="I454" s="15">
        <f>I453*(1+$E454)</f>
        <v>1.639</v>
      </c>
      <c r="J454" s="15">
        <f t="shared" ref="J454:AF455" si="123">J453*(1+$E454)</f>
        <v>1.617</v>
      </c>
      <c r="K454" s="15">
        <f t="shared" si="123"/>
        <v>1.617</v>
      </c>
      <c r="L454" s="15">
        <f t="shared" si="123"/>
        <v>1.881</v>
      </c>
      <c r="M454" s="15">
        <f t="shared" si="123"/>
        <v>1.87</v>
      </c>
      <c r="N454" s="15">
        <f t="shared" si="123"/>
        <v>1.518</v>
      </c>
      <c r="O454" s="15">
        <f t="shared" si="123"/>
        <v>1.518</v>
      </c>
      <c r="P454" s="15">
        <f t="shared" si="123"/>
        <v>1.518</v>
      </c>
      <c r="Q454" s="15">
        <f t="shared" si="123"/>
        <v>1.518</v>
      </c>
      <c r="R454" s="15">
        <f t="shared" si="123"/>
        <v>1.518</v>
      </c>
      <c r="S454" s="15">
        <f t="shared" si="123"/>
        <v>1.0449999999999999</v>
      </c>
      <c r="T454" s="15">
        <f t="shared" si="123"/>
        <v>1.0449999999999999</v>
      </c>
      <c r="U454" s="15">
        <f t="shared" si="123"/>
        <v>1.0449999999999999</v>
      </c>
      <c r="V454" s="15">
        <f t="shared" si="123"/>
        <v>1.0449999999999999</v>
      </c>
      <c r="W454" s="15">
        <f t="shared" si="123"/>
        <v>1.0449999999999999</v>
      </c>
      <c r="X454" s="15">
        <f t="shared" si="123"/>
        <v>0</v>
      </c>
      <c r="Y454" s="15">
        <f t="shared" si="123"/>
        <v>0</v>
      </c>
      <c r="Z454" s="15">
        <f t="shared" si="123"/>
        <v>0</v>
      </c>
      <c r="AA454" s="15">
        <f t="shared" si="123"/>
        <v>0</v>
      </c>
      <c r="AB454" s="15">
        <f t="shared" si="123"/>
        <v>0</v>
      </c>
      <c r="AC454" s="15">
        <f t="shared" si="123"/>
        <v>0</v>
      </c>
      <c r="AD454" s="15">
        <f t="shared" si="123"/>
        <v>0</v>
      </c>
      <c r="AE454" s="15">
        <f t="shared" si="123"/>
        <v>0</v>
      </c>
      <c r="AF454" s="15">
        <f t="shared" si="123"/>
        <v>0</v>
      </c>
    </row>
    <row r="455" spans="4:32">
      <c r="D455" t="s">
        <v>10</v>
      </c>
      <c r="E455" s="8">
        <v>-0.1</v>
      </c>
      <c r="G455" t="s">
        <v>80</v>
      </c>
      <c r="I455" s="15">
        <f>I454*(1+$E455)</f>
        <v>1.4751000000000001</v>
      </c>
      <c r="J455" s="15">
        <f t="shared" si="123"/>
        <v>1.4553</v>
      </c>
      <c r="K455" s="15">
        <f t="shared" si="123"/>
        <v>1.4553</v>
      </c>
      <c r="L455" s="15">
        <f t="shared" si="123"/>
        <v>1.6929000000000001</v>
      </c>
      <c r="M455" s="15">
        <f t="shared" si="123"/>
        <v>1.6830000000000001</v>
      </c>
      <c r="N455" s="15">
        <f t="shared" si="123"/>
        <v>1.3662000000000001</v>
      </c>
      <c r="O455" s="15">
        <f t="shared" si="123"/>
        <v>1.3662000000000001</v>
      </c>
      <c r="P455" s="15">
        <f t="shared" si="123"/>
        <v>1.3662000000000001</v>
      </c>
      <c r="Q455" s="15">
        <f t="shared" si="123"/>
        <v>1.3662000000000001</v>
      </c>
      <c r="R455" s="15">
        <f t="shared" si="123"/>
        <v>1.3662000000000001</v>
      </c>
      <c r="S455" s="15">
        <f t="shared" si="123"/>
        <v>0.9405</v>
      </c>
      <c r="T455" s="15">
        <f t="shared" si="123"/>
        <v>0.9405</v>
      </c>
      <c r="U455" s="15">
        <f t="shared" si="123"/>
        <v>0.9405</v>
      </c>
      <c r="V455" s="15">
        <f t="shared" si="123"/>
        <v>0.9405</v>
      </c>
      <c r="W455" s="15">
        <f t="shared" si="123"/>
        <v>0.9405</v>
      </c>
      <c r="X455" s="15">
        <f t="shared" si="123"/>
        <v>0</v>
      </c>
      <c r="Y455" s="15">
        <f t="shared" si="123"/>
        <v>0</v>
      </c>
      <c r="Z455" s="15">
        <f t="shared" si="123"/>
        <v>0</v>
      </c>
      <c r="AA455" s="15">
        <f t="shared" si="123"/>
        <v>0</v>
      </c>
      <c r="AB455" s="15">
        <f t="shared" si="123"/>
        <v>0</v>
      </c>
      <c r="AC455" s="15">
        <f t="shared" si="123"/>
        <v>0</v>
      </c>
      <c r="AD455" s="15">
        <f t="shared" si="123"/>
        <v>0</v>
      </c>
      <c r="AE455" s="15">
        <f t="shared" si="123"/>
        <v>0</v>
      </c>
      <c r="AF455" s="15">
        <f t="shared" si="123"/>
        <v>0</v>
      </c>
    </row>
    <row r="456" spans="4:32">
      <c r="D456" t="s">
        <v>11</v>
      </c>
      <c r="E456" s="8"/>
      <c r="G456" t="s">
        <v>80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</row>
    <row r="457" spans="4:32">
      <c r="D457" t="s">
        <v>12</v>
      </c>
      <c r="E457" s="8"/>
      <c r="G457" t="s">
        <v>80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</row>
    <row r="459" spans="4:32">
      <c r="D459" s="5" t="s">
        <v>77</v>
      </c>
      <c r="E459" s="5" t="s">
        <v>7</v>
      </c>
      <c r="F459" s="5"/>
      <c r="G459" s="5"/>
      <c r="H459" s="13"/>
      <c r="I459" s="13">
        <f>INDEX(I460:I464,MATCH($E459,$D460:$D464,0))</f>
        <v>0.87</v>
      </c>
      <c r="J459" s="13">
        <f t="shared" ref="J459:AF459" si="124">INDEX(J460:J464,MATCH($E459,$D460:$D464,0))</f>
        <v>0.82</v>
      </c>
      <c r="K459" s="13">
        <f t="shared" si="124"/>
        <v>0.82</v>
      </c>
      <c r="L459" s="13">
        <f t="shared" si="124"/>
        <v>1.1200000000000001</v>
      </c>
      <c r="M459" s="13">
        <f t="shared" si="124"/>
        <v>1.1100000000000001</v>
      </c>
      <c r="N459" s="13">
        <f t="shared" si="124"/>
        <v>0.9</v>
      </c>
      <c r="O459" s="13">
        <f t="shared" si="124"/>
        <v>0.9</v>
      </c>
      <c r="P459" s="13">
        <f t="shared" si="124"/>
        <v>0.9</v>
      </c>
      <c r="Q459" s="13">
        <f t="shared" si="124"/>
        <v>0.9</v>
      </c>
      <c r="R459" s="13">
        <f t="shared" si="124"/>
        <v>0.9</v>
      </c>
      <c r="S459" s="13">
        <f t="shared" si="124"/>
        <v>0.92</v>
      </c>
      <c r="T459" s="13">
        <f t="shared" si="124"/>
        <v>0.92</v>
      </c>
      <c r="U459" s="13">
        <f t="shared" si="124"/>
        <v>0.92</v>
      </c>
      <c r="V459" s="13">
        <f t="shared" si="124"/>
        <v>0.92</v>
      </c>
      <c r="W459" s="13">
        <f t="shared" si="124"/>
        <v>0.92</v>
      </c>
      <c r="X459" s="13">
        <f t="shared" si="124"/>
        <v>0</v>
      </c>
      <c r="Y459" s="13">
        <f t="shared" si="124"/>
        <v>0</v>
      </c>
      <c r="Z459" s="13">
        <f t="shared" si="124"/>
        <v>0</v>
      </c>
      <c r="AA459" s="13">
        <f t="shared" si="124"/>
        <v>0</v>
      </c>
      <c r="AB459" s="13">
        <f t="shared" si="124"/>
        <v>0</v>
      </c>
      <c r="AC459" s="13">
        <f t="shared" si="124"/>
        <v>0</v>
      </c>
      <c r="AD459" s="13">
        <f t="shared" si="124"/>
        <v>0</v>
      </c>
      <c r="AE459" s="13">
        <f t="shared" si="124"/>
        <v>0</v>
      </c>
      <c r="AF459" s="13">
        <f t="shared" si="124"/>
        <v>0</v>
      </c>
    </row>
    <row r="460" spans="4:32">
      <c r="D460" t="s">
        <v>7</v>
      </c>
      <c r="E460" s="6"/>
      <c r="G460" t="s">
        <v>80</v>
      </c>
      <c r="I460" s="14">
        <v>0.87</v>
      </c>
      <c r="J460" s="14">
        <v>0.82</v>
      </c>
      <c r="K460" s="14">
        <v>0.82</v>
      </c>
      <c r="L460" s="14">
        <v>1.1200000000000001</v>
      </c>
      <c r="M460" s="14">
        <v>1.1100000000000001</v>
      </c>
      <c r="N460" s="14">
        <v>0.9</v>
      </c>
      <c r="O460" s="14">
        <v>0.9</v>
      </c>
      <c r="P460" s="14">
        <v>0.9</v>
      </c>
      <c r="Q460" s="14">
        <v>0.9</v>
      </c>
      <c r="R460" s="14">
        <v>0.9</v>
      </c>
      <c r="S460" s="14">
        <v>0.92</v>
      </c>
      <c r="T460" s="14">
        <v>0.92</v>
      </c>
      <c r="U460" s="14">
        <v>0.92</v>
      </c>
      <c r="V460" s="14">
        <v>0.92</v>
      </c>
      <c r="W460" s="14">
        <v>0.92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</row>
    <row r="461" spans="4:32">
      <c r="D461" t="s">
        <v>9</v>
      </c>
      <c r="E461" s="8">
        <v>0.1</v>
      </c>
      <c r="G461" t="s">
        <v>80</v>
      </c>
      <c r="I461" s="15">
        <f>I460*(1+$E461)</f>
        <v>0.95700000000000007</v>
      </c>
      <c r="J461" s="15">
        <f t="shared" ref="J461:AF462" si="125">J460*(1+$E461)</f>
        <v>0.90200000000000002</v>
      </c>
      <c r="K461" s="15">
        <f t="shared" si="125"/>
        <v>0.90200000000000002</v>
      </c>
      <c r="L461" s="15">
        <f t="shared" si="125"/>
        <v>1.2320000000000002</v>
      </c>
      <c r="M461" s="15">
        <f t="shared" si="125"/>
        <v>1.2210000000000003</v>
      </c>
      <c r="N461" s="15">
        <f t="shared" si="125"/>
        <v>0.9900000000000001</v>
      </c>
      <c r="O461" s="15">
        <f t="shared" si="125"/>
        <v>0.9900000000000001</v>
      </c>
      <c r="P461" s="15">
        <f t="shared" si="125"/>
        <v>0.9900000000000001</v>
      </c>
      <c r="Q461" s="15">
        <f t="shared" si="125"/>
        <v>0.9900000000000001</v>
      </c>
      <c r="R461" s="15">
        <f t="shared" si="125"/>
        <v>0.9900000000000001</v>
      </c>
      <c r="S461" s="15">
        <f t="shared" si="125"/>
        <v>1.0120000000000002</v>
      </c>
      <c r="T461" s="15">
        <f t="shared" si="125"/>
        <v>1.0120000000000002</v>
      </c>
      <c r="U461" s="15">
        <f t="shared" si="125"/>
        <v>1.0120000000000002</v>
      </c>
      <c r="V461" s="15">
        <f t="shared" si="125"/>
        <v>1.0120000000000002</v>
      </c>
      <c r="W461" s="15">
        <f t="shared" si="125"/>
        <v>1.0120000000000002</v>
      </c>
      <c r="X461" s="15">
        <f t="shared" si="125"/>
        <v>0</v>
      </c>
      <c r="Y461" s="15">
        <f t="shared" si="125"/>
        <v>0</v>
      </c>
      <c r="Z461" s="15">
        <f t="shared" si="125"/>
        <v>0</v>
      </c>
      <c r="AA461" s="15">
        <f t="shared" si="125"/>
        <v>0</v>
      </c>
      <c r="AB461" s="15">
        <f t="shared" si="125"/>
        <v>0</v>
      </c>
      <c r="AC461" s="15">
        <f t="shared" si="125"/>
        <v>0</v>
      </c>
      <c r="AD461" s="15">
        <f t="shared" si="125"/>
        <v>0</v>
      </c>
      <c r="AE461" s="15">
        <f t="shared" si="125"/>
        <v>0</v>
      </c>
      <c r="AF461" s="15">
        <f t="shared" si="125"/>
        <v>0</v>
      </c>
    </row>
    <row r="462" spans="4:32">
      <c r="D462" t="s">
        <v>10</v>
      </c>
      <c r="E462" s="8">
        <v>-0.1</v>
      </c>
      <c r="G462" t="s">
        <v>80</v>
      </c>
      <c r="I462" s="15">
        <f>I461*(1+$E462)</f>
        <v>0.86130000000000007</v>
      </c>
      <c r="J462" s="15">
        <f t="shared" si="125"/>
        <v>0.81180000000000008</v>
      </c>
      <c r="K462" s="15">
        <f t="shared" si="125"/>
        <v>0.81180000000000008</v>
      </c>
      <c r="L462" s="15">
        <f t="shared" si="125"/>
        <v>1.1088000000000002</v>
      </c>
      <c r="M462" s="15">
        <f t="shared" si="125"/>
        <v>1.0989000000000002</v>
      </c>
      <c r="N462" s="15">
        <f t="shared" si="125"/>
        <v>0.89100000000000013</v>
      </c>
      <c r="O462" s="15">
        <f t="shared" si="125"/>
        <v>0.89100000000000013</v>
      </c>
      <c r="P462" s="15">
        <f t="shared" si="125"/>
        <v>0.89100000000000013</v>
      </c>
      <c r="Q462" s="15">
        <f t="shared" si="125"/>
        <v>0.89100000000000013</v>
      </c>
      <c r="R462" s="15">
        <f t="shared" si="125"/>
        <v>0.89100000000000013</v>
      </c>
      <c r="S462" s="15">
        <f t="shared" si="125"/>
        <v>0.91080000000000028</v>
      </c>
      <c r="T462" s="15">
        <f t="shared" si="125"/>
        <v>0.91080000000000028</v>
      </c>
      <c r="U462" s="15">
        <f t="shared" si="125"/>
        <v>0.91080000000000028</v>
      </c>
      <c r="V462" s="15">
        <f t="shared" si="125"/>
        <v>0.91080000000000028</v>
      </c>
      <c r="W462" s="15">
        <f t="shared" si="125"/>
        <v>0.91080000000000028</v>
      </c>
      <c r="X462" s="15">
        <f t="shared" si="125"/>
        <v>0</v>
      </c>
      <c r="Y462" s="15">
        <f t="shared" si="125"/>
        <v>0</v>
      </c>
      <c r="Z462" s="15">
        <f t="shared" si="125"/>
        <v>0</v>
      </c>
      <c r="AA462" s="15">
        <f t="shared" si="125"/>
        <v>0</v>
      </c>
      <c r="AB462" s="15">
        <f t="shared" si="125"/>
        <v>0</v>
      </c>
      <c r="AC462" s="15">
        <f t="shared" si="125"/>
        <v>0</v>
      </c>
      <c r="AD462" s="15">
        <f t="shared" si="125"/>
        <v>0</v>
      </c>
      <c r="AE462" s="15">
        <f t="shared" si="125"/>
        <v>0</v>
      </c>
      <c r="AF462" s="15">
        <f t="shared" si="125"/>
        <v>0</v>
      </c>
    </row>
    <row r="463" spans="4:32">
      <c r="D463" t="s">
        <v>11</v>
      </c>
      <c r="E463" s="8"/>
      <c r="G463" t="s">
        <v>80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</row>
    <row r="464" spans="4:32">
      <c r="D464" t="s">
        <v>12</v>
      </c>
      <c r="E464" s="8"/>
      <c r="G464" t="s">
        <v>80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</row>
    <row r="466" spans="2:32">
      <c r="D466" s="5" t="s">
        <v>78</v>
      </c>
      <c r="E466" s="5" t="s">
        <v>7</v>
      </c>
      <c r="F466" s="5"/>
      <c r="G466" s="5"/>
      <c r="H466" s="13"/>
      <c r="I466" s="13">
        <f>INDEX(I467:I471,MATCH($E466,$D467:$D471,0))</f>
        <v>0.67</v>
      </c>
      <c r="J466" s="13">
        <f t="shared" ref="J466:AF466" si="126">INDEX(J467:J471,MATCH($E466,$D467:$D471,0))</f>
        <v>0.38</v>
      </c>
      <c r="K466" s="13">
        <f t="shared" si="126"/>
        <v>0.38</v>
      </c>
      <c r="L466" s="13">
        <f t="shared" si="126"/>
        <v>0</v>
      </c>
      <c r="M466" s="13">
        <f t="shared" si="126"/>
        <v>0</v>
      </c>
      <c r="N466" s="13">
        <f t="shared" si="126"/>
        <v>0</v>
      </c>
      <c r="O466" s="13">
        <f t="shared" si="126"/>
        <v>0</v>
      </c>
      <c r="P466" s="13">
        <f t="shared" si="126"/>
        <v>0</v>
      </c>
      <c r="Q466" s="13">
        <f t="shared" si="126"/>
        <v>0</v>
      </c>
      <c r="R466" s="13">
        <f t="shared" si="126"/>
        <v>0</v>
      </c>
      <c r="S466" s="13">
        <f t="shared" si="126"/>
        <v>0</v>
      </c>
      <c r="T466" s="13">
        <f t="shared" si="126"/>
        <v>0</v>
      </c>
      <c r="U466" s="13">
        <f t="shared" si="126"/>
        <v>0</v>
      </c>
      <c r="V466" s="13">
        <f t="shared" si="126"/>
        <v>0</v>
      </c>
      <c r="W466" s="13">
        <f t="shared" si="126"/>
        <v>0</v>
      </c>
      <c r="X466" s="13">
        <f t="shared" si="126"/>
        <v>0</v>
      </c>
      <c r="Y466" s="13">
        <f t="shared" si="126"/>
        <v>0</v>
      </c>
      <c r="Z466" s="13">
        <f t="shared" si="126"/>
        <v>0</v>
      </c>
      <c r="AA466" s="13">
        <f t="shared" si="126"/>
        <v>0</v>
      </c>
      <c r="AB466" s="13">
        <f t="shared" si="126"/>
        <v>0</v>
      </c>
      <c r="AC466" s="13">
        <f t="shared" si="126"/>
        <v>0</v>
      </c>
      <c r="AD466" s="13">
        <f t="shared" si="126"/>
        <v>0</v>
      </c>
      <c r="AE466" s="13">
        <f t="shared" si="126"/>
        <v>0</v>
      </c>
      <c r="AF466" s="13">
        <f t="shared" si="126"/>
        <v>0</v>
      </c>
    </row>
    <row r="467" spans="2:32">
      <c r="D467" t="s">
        <v>7</v>
      </c>
      <c r="E467" s="6"/>
      <c r="G467" t="s">
        <v>80</v>
      </c>
      <c r="I467" s="14">
        <v>0.67</v>
      </c>
      <c r="J467" s="14">
        <v>0.38</v>
      </c>
      <c r="K467" s="14">
        <v>0.38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</row>
    <row r="468" spans="2:32">
      <c r="D468" t="s">
        <v>9</v>
      </c>
      <c r="E468" s="8">
        <v>0.1</v>
      </c>
      <c r="G468" t="s">
        <v>80</v>
      </c>
      <c r="I468" s="15">
        <f>I467*(1+$E468)</f>
        <v>0.7370000000000001</v>
      </c>
      <c r="J468" s="15">
        <f t="shared" ref="J468:AF469" si="127">J467*(1+$E468)</f>
        <v>0.41800000000000004</v>
      </c>
      <c r="K468" s="15">
        <f t="shared" si="127"/>
        <v>0.41800000000000004</v>
      </c>
      <c r="L468" s="15">
        <f t="shared" si="127"/>
        <v>0</v>
      </c>
      <c r="M468" s="15">
        <f t="shared" si="127"/>
        <v>0</v>
      </c>
      <c r="N468" s="15">
        <f t="shared" si="127"/>
        <v>0</v>
      </c>
      <c r="O468" s="15">
        <f t="shared" si="127"/>
        <v>0</v>
      </c>
      <c r="P468" s="15">
        <f t="shared" si="127"/>
        <v>0</v>
      </c>
      <c r="Q468" s="15">
        <f t="shared" si="127"/>
        <v>0</v>
      </c>
      <c r="R468" s="15">
        <f t="shared" si="127"/>
        <v>0</v>
      </c>
      <c r="S468" s="15">
        <f t="shared" si="127"/>
        <v>0</v>
      </c>
      <c r="T468" s="15">
        <f t="shared" si="127"/>
        <v>0</v>
      </c>
      <c r="U468" s="15">
        <f t="shared" si="127"/>
        <v>0</v>
      </c>
      <c r="V468" s="15">
        <f t="shared" si="127"/>
        <v>0</v>
      </c>
      <c r="W468" s="15">
        <f t="shared" si="127"/>
        <v>0</v>
      </c>
      <c r="X468" s="15">
        <f t="shared" si="127"/>
        <v>0</v>
      </c>
      <c r="Y468" s="15">
        <f t="shared" si="127"/>
        <v>0</v>
      </c>
      <c r="Z468" s="15">
        <f t="shared" si="127"/>
        <v>0</v>
      </c>
      <c r="AA468" s="15">
        <f t="shared" si="127"/>
        <v>0</v>
      </c>
      <c r="AB468" s="15">
        <f t="shared" si="127"/>
        <v>0</v>
      </c>
      <c r="AC468" s="15">
        <f t="shared" si="127"/>
        <v>0</v>
      </c>
      <c r="AD468" s="15">
        <f t="shared" si="127"/>
        <v>0</v>
      </c>
      <c r="AE468" s="15">
        <f t="shared" si="127"/>
        <v>0</v>
      </c>
      <c r="AF468" s="15">
        <f t="shared" si="127"/>
        <v>0</v>
      </c>
    </row>
    <row r="469" spans="2:32">
      <c r="D469" t="s">
        <v>10</v>
      </c>
      <c r="E469" s="8">
        <v>-0.1</v>
      </c>
      <c r="G469" t="s">
        <v>80</v>
      </c>
      <c r="I469" s="15">
        <f>I468*(1+$E469)</f>
        <v>0.66330000000000011</v>
      </c>
      <c r="J469" s="15">
        <f t="shared" si="127"/>
        <v>0.37620000000000003</v>
      </c>
      <c r="K469" s="15">
        <f t="shared" si="127"/>
        <v>0.37620000000000003</v>
      </c>
      <c r="L469" s="15">
        <f t="shared" si="127"/>
        <v>0</v>
      </c>
      <c r="M469" s="15">
        <f t="shared" si="127"/>
        <v>0</v>
      </c>
      <c r="N469" s="15">
        <f t="shared" si="127"/>
        <v>0</v>
      </c>
      <c r="O469" s="15">
        <f t="shared" si="127"/>
        <v>0</v>
      </c>
      <c r="P469" s="15">
        <f t="shared" si="127"/>
        <v>0</v>
      </c>
      <c r="Q469" s="15">
        <f t="shared" si="127"/>
        <v>0</v>
      </c>
      <c r="R469" s="15">
        <f t="shared" si="127"/>
        <v>0</v>
      </c>
      <c r="S469" s="15">
        <f t="shared" si="127"/>
        <v>0</v>
      </c>
      <c r="T469" s="15">
        <f t="shared" si="127"/>
        <v>0</v>
      </c>
      <c r="U469" s="15">
        <f t="shared" si="127"/>
        <v>0</v>
      </c>
      <c r="V469" s="15">
        <f t="shared" si="127"/>
        <v>0</v>
      </c>
      <c r="W469" s="15">
        <f t="shared" si="127"/>
        <v>0</v>
      </c>
      <c r="X469" s="15">
        <f t="shared" si="127"/>
        <v>0</v>
      </c>
      <c r="Y469" s="15">
        <f t="shared" si="127"/>
        <v>0</v>
      </c>
      <c r="Z469" s="15">
        <f t="shared" si="127"/>
        <v>0</v>
      </c>
      <c r="AA469" s="15">
        <f t="shared" si="127"/>
        <v>0</v>
      </c>
      <c r="AB469" s="15">
        <f t="shared" si="127"/>
        <v>0</v>
      </c>
      <c r="AC469" s="15">
        <f t="shared" si="127"/>
        <v>0</v>
      </c>
      <c r="AD469" s="15">
        <f t="shared" si="127"/>
        <v>0</v>
      </c>
      <c r="AE469" s="15">
        <f t="shared" si="127"/>
        <v>0</v>
      </c>
      <c r="AF469" s="15">
        <f t="shared" si="127"/>
        <v>0</v>
      </c>
    </row>
    <row r="470" spans="2:32">
      <c r="D470" t="s">
        <v>11</v>
      </c>
      <c r="E470" s="8"/>
      <c r="G470" t="s">
        <v>80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</row>
    <row r="471" spans="2:32">
      <c r="D471" t="s">
        <v>12</v>
      </c>
      <c r="E471" s="8"/>
      <c r="G471" t="s">
        <v>80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</row>
    <row r="473" spans="2:32">
      <c r="D473" s="4" t="s">
        <v>82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2:32">
      <c r="D474" s="5" t="s">
        <v>73</v>
      </c>
      <c r="E474" s="5" t="s">
        <v>7</v>
      </c>
      <c r="F474" s="5"/>
      <c r="G474" s="5"/>
      <c r="H474" s="13"/>
      <c r="I474" s="13">
        <f>INDEX(I475:I479,MATCH($E474,$D475:$D479,0))</f>
        <v>0.75</v>
      </c>
      <c r="J474" s="13">
        <f t="shared" ref="J474:AF474" si="128">INDEX(J475:J479,MATCH($E474,$D475:$D479,0))</f>
        <v>0.77</v>
      </c>
      <c r="K474" s="13">
        <f t="shared" si="128"/>
        <v>0.73</v>
      </c>
      <c r="L474" s="13">
        <f t="shared" si="128"/>
        <v>0.73</v>
      </c>
      <c r="M474" s="13">
        <f t="shared" si="128"/>
        <v>0.7</v>
      </c>
      <c r="N474" s="13">
        <f t="shared" si="128"/>
        <v>0.66</v>
      </c>
      <c r="O474" s="13">
        <f t="shared" si="128"/>
        <v>0.66</v>
      </c>
      <c r="P474" s="13">
        <f t="shared" si="128"/>
        <v>0.66</v>
      </c>
      <c r="Q474" s="13">
        <f t="shared" si="128"/>
        <v>0.66</v>
      </c>
      <c r="R474" s="13">
        <f t="shared" si="128"/>
        <v>0.66</v>
      </c>
      <c r="S474" s="13">
        <f t="shared" si="128"/>
        <v>0.56999999999999995</v>
      </c>
      <c r="T474" s="13">
        <f t="shared" si="128"/>
        <v>0.56999999999999995</v>
      </c>
      <c r="U474" s="13">
        <f t="shared" si="128"/>
        <v>0.56999999999999995</v>
      </c>
      <c r="V474" s="13">
        <f t="shared" si="128"/>
        <v>0.56999999999999995</v>
      </c>
      <c r="W474" s="13">
        <f t="shared" si="128"/>
        <v>0.56999999999999995</v>
      </c>
      <c r="X474" s="13">
        <f t="shared" si="128"/>
        <v>0.45</v>
      </c>
      <c r="Y474" s="13">
        <f t="shared" si="128"/>
        <v>0.45</v>
      </c>
      <c r="Z474" s="13">
        <f t="shared" si="128"/>
        <v>0.45</v>
      </c>
      <c r="AA474" s="13">
        <f t="shared" si="128"/>
        <v>0.45</v>
      </c>
      <c r="AB474" s="13">
        <f t="shared" si="128"/>
        <v>0.45</v>
      </c>
      <c r="AC474" s="13">
        <f t="shared" si="128"/>
        <v>0.45</v>
      </c>
      <c r="AD474" s="13">
        <f t="shared" si="128"/>
        <v>0.45</v>
      </c>
      <c r="AE474" s="13">
        <f t="shared" si="128"/>
        <v>0.45</v>
      </c>
      <c r="AF474" s="13">
        <f t="shared" si="128"/>
        <v>0.45</v>
      </c>
    </row>
    <row r="475" spans="2:32">
      <c r="D475" t="s">
        <v>7</v>
      </c>
      <c r="E475" s="6"/>
      <c r="G475" t="s">
        <v>83</v>
      </c>
      <c r="I475" s="14">
        <v>0.75</v>
      </c>
      <c r="J475" s="14">
        <v>0.77</v>
      </c>
      <c r="K475" s="14">
        <v>0.73</v>
      </c>
      <c r="L475" s="14">
        <v>0.73</v>
      </c>
      <c r="M475" s="14">
        <v>0.7</v>
      </c>
      <c r="N475" s="14">
        <v>0.66</v>
      </c>
      <c r="O475" s="14">
        <v>0.66</v>
      </c>
      <c r="P475" s="14">
        <v>0.66</v>
      </c>
      <c r="Q475" s="14">
        <v>0.66</v>
      </c>
      <c r="R475" s="14">
        <v>0.66</v>
      </c>
      <c r="S475" s="14">
        <v>0.56999999999999995</v>
      </c>
      <c r="T475" s="14">
        <v>0.56999999999999995</v>
      </c>
      <c r="U475" s="14">
        <v>0.56999999999999995</v>
      </c>
      <c r="V475" s="14">
        <v>0.56999999999999995</v>
      </c>
      <c r="W475" s="14">
        <v>0.56999999999999995</v>
      </c>
      <c r="X475" s="14">
        <v>0.45</v>
      </c>
      <c r="Y475" s="14">
        <v>0.45</v>
      </c>
      <c r="Z475" s="14">
        <v>0.45</v>
      </c>
      <c r="AA475" s="14">
        <v>0.45</v>
      </c>
      <c r="AB475" s="14">
        <v>0.45</v>
      </c>
      <c r="AC475" s="14">
        <v>0.45</v>
      </c>
      <c r="AD475" s="14">
        <v>0.45</v>
      </c>
      <c r="AE475" s="14">
        <v>0.45</v>
      </c>
      <c r="AF475" s="14">
        <v>0.45</v>
      </c>
    </row>
    <row r="476" spans="2:32">
      <c r="B476" s="21"/>
      <c r="D476" t="s">
        <v>9</v>
      </c>
      <c r="E476" s="8">
        <v>0.1</v>
      </c>
      <c r="G476" t="s">
        <v>83</v>
      </c>
      <c r="I476" s="15">
        <f>I475*(1+$E476)</f>
        <v>0.82500000000000007</v>
      </c>
      <c r="J476" s="15">
        <f t="shared" ref="J476:AF477" si="129">J475*(1+$E476)</f>
        <v>0.84700000000000009</v>
      </c>
      <c r="K476" s="15">
        <f t="shared" si="129"/>
        <v>0.80300000000000005</v>
      </c>
      <c r="L476" s="15">
        <f t="shared" si="129"/>
        <v>0.80300000000000005</v>
      </c>
      <c r="M476" s="15">
        <f t="shared" si="129"/>
        <v>0.77</v>
      </c>
      <c r="N476" s="15">
        <f t="shared" si="129"/>
        <v>0.72600000000000009</v>
      </c>
      <c r="O476" s="15">
        <f t="shared" si="129"/>
        <v>0.72600000000000009</v>
      </c>
      <c r="P476" s="15">
        <f t="shared" si="129"/>
        <v>0.72600000000000009</v>
      </c>
      <c r="Q476" s="15">
        <f t="shared" si="129"/>
        <v>0.72600000000000009</v>
      </c>
      <c r="R476" s="15">
        <f t="shared" si="129"/>
        <v>0.72600000000000009</v>
      </c>
      <c r="S476" s="15">
        <f t="shared" si="129"/>
        <v>0.627</v>
      </c>
      <c r="T476" s="15">
        <f t="shared" si="129"/>
        <v>0.627</v>
      </c>
      <c r="U476" s="15">
        <f t="shared" si="129"/>
        <v>0.627</v>
      </c>
      <c r="V476" s="15">
        <f t="shared" si="129"/>
        <v>0.627</v>
      </c>
      <c r="W476" s="15">
        <f t="shared" si="129"/>
        <v>0.627</v>
      </c>
      <c r="X476" s="15">
        <f t="shared" si="129"/>
        <v>0.49500000000000005</v>
      </c>
      <c r="Y476" s="15">
        <f t="shared" si="129"/>
        <v>0.49500000000000005</v>
      </c>
      <c r="Z476" s="15">
        <f t="shared" si="129"/>
        <v>0.49500000000000005</v>
      </c>
      <c r="AA476" s="15">
        <f t="shared" si="129"/>
        <v>0.49500000000000005</v>
      </c>
      <c r="AB476" s="15">
        <f t="shared" si="129"/>
        <v>0.49500000000000005</v>
      </c>
      <c r="AC476" s="15">
        <f t="shared" si="129"/>
        <v>0.49500000000000005</v>
      </c>
      <c r="AD476" s="15">
        <f t="shared" si="129"/>
        <v>0.49500000000000005</v>
      </c>
      <c r="AE476" s="15">
        <f t="shared" si="129"/>
        <v>0.49500000000000005</v>
      </c>
      <c r="AF476" s="15">
        <f t="shared" si="129"/>
        <v>0.49500000000000005</v>
      </c>
    </row>
    <row r="477" spans="2:32">
      <c r="D477" t="s">
        <v>10</v>
      </c>
      <c r="E477" s="8">
        <v>-0.1</v>
      </c>
      <c r="G477" t="s">
        <v>83</v>
      </c>
      <c r="I477" s="15">
        <f>I476*(1+$E477)</f>
        <v>0.74250000000000005</v>
      </c>
      <c r="J477" s="15">
        <f t="shared" si="129"/>
        <v>0.76230000000000009</v>
      </c>
      <c r="K477" s="15">
        <f t="shared" si="129"/>
        <v>0.72270000000000001</v>
      </c>
      <c r="L477" s="15">
        <f t="shared" si="129"/>
        <v>0.72270000000000001</v>
      </c>
      <c r="M477" s="15">
        <f t="shared" si="129"/>
        <v>0.69300000000000006</v>
      </c>
      <c r="N477" s="15">
        <f t="shared" si="129"/>
        <v>0.65340000000000009</v>
      </c>
      <c r="O477" s="15">
        <f t="shared" si="129"/>
        <v>0.65340000000000009</v>
      </c>
      <c r="P477" s="15">
        <f t="shared" si="129"/>
        <v>0.65340000000000009</v>
      </c>
      <c r="Q477" s="15">
        <f t="shared" si="129"/>
        <v>0.65340000000000009</v>
      </c>
      <c r="R477" s="15">
        <f t="shared" si="129"/>
        <v>0.65340000000000009</v>
      </c>
      <c r="S477" s="15">
        <f t="shared" si="129"/>
        <v>0.56430000000000002</v>
      </c>
      <c r="T477" s="15">
        <f t="shared" si="129"/>
        <v>0.56430000000000002</v>
      </c>
      <c r="U477" s="15">
        <f t="shared" si="129"/>
        <v>0.56430000000000002</v>
      </c>
      <c r="V477" s="15">
        <f t="shared" si="129"/>
        <v>0.56430000000000002</v>
      </c>
      <c r="W477" s="15">
        <f t="shared" si="129"/>
        <v>0.56430000000000002</v>
      </c>
      <c r="X477" s="15">
        <f t="shared" si="129"/>
        <v>0.44550000000000006</v>
      </c>
      <c r="Y477" s="15">
        <f t="shared" si="129"/>
        <v>0.44550000000000006</v>
      </c>
      <c r="Z477" s="15">
        <f t="shared" si="129"/>
        <v>0.44550000000000006</v>
      </c>
      <c r="AA477" s="15">
        <f t="shared" si="129"/>
        <v>0.44550000000000006</v>
      </c>
      <c r="AB477" s="15">
        <f t="shared" si="129"/>
        <v>0.44550000000000006</v>
      </c>
      <c r="AC477" s="15">
        <f t="shared" si="129"/>
        <v>0.44550000000000006</v>
      </c>
      <c r="AD477" s="15">
        <f t="shared" si="129"/>
        <v>0.44550000000000006</v>
      </c>
      <c r="AE477" s="15">
        <f t="shared" si="129"/>
        <v>0.44550000000000006</v>
      </c>
      <c r="AF477" s="15">
        <f t="shared" si="129"/>
        <v>0.44550000000000006</v>
      </c>
    </row>
    <row r="478" spans="2:32">
      <c r="D478" t="s">
        <v>11</v>
      </c>
      <c r="E478" s="8"/>
      <c r="G478" t="s">
        <v>83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</row>
    <row r="479" spans="2:32">
      <c r="D479" t="s">
        <v>12</v>
      </c>
      <c r="E479" s="8"/>
      <c r="G479" t="s">
        <v>83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</row>
    <row r="481" spans="4:32">
      <c r="D481" s="5" t="s">
        <v>75</v>
      </c>
      <c r="E481" s="5" t="s">
        <v>7</v>
      </c>
      <c r="F481" s="5"/>
      <c r="G481" s="5"/>
      <c r="H481" s="13"/>
      <c r="I481" s="13">
        <f>INDEX(I482:I486,MATCH($E481,$D482:$D486,0))</f>
        <v>0.69</v>
      </c>
      <c r="J481" s="13">
        <f t="shared" ref="J481:AF481" si="130">INDEX(J482:J486,MATCH($E481,$D482:$D486,0))</f>
        <v>0.46</v>
      </c>
      <c r="K481" s="13">
        <f t="shared" si="130"/>
        <v>0.34</v>
      </c>
      <c r="L481" s="13">
        <f t="shared" si="130"/>
        <v>0.16</v>
      </c>
      <c r="M481" s="13">
        <f t="shared" si="130"/>
        <v>0.28999999999999998</v>
      </c>
      <c r="N481" s="13">
        <f t="shared" si="130"/>
        <v>0.2</v>
      </c>
      <c r="O481" s="13">
        <f t="shared" si="130"/>
        <v>0.2</v>
      </c>
      <c r="P481" s="13">
        <f t="shared" si="130"/>
        <v>0.2</v>
      </c>
      <c r="Q481" s="13">
        <f t="shared" si="130"/>
        <v>0.2</v>
      </c>
      <c r="R481" s="13">
        <f t="shared" si="130"/>
        <v>0.2</v>
      </c>
      <c r="S481" s="13">
        <f t="shared" si="130"/>
        <v>0.24</v>
      </c>
      <c r="T481" s="13">
        <f t="shared" si="130"/>
        <v>0.24</v>
      </c>
      <c r="U481" s="13">
        <f t="shared" si="130"/>
        <v>0.24</v>
      </c>
      <c r="V481" s="13">
        <f t="shared" si="130"/>
        <v>0.24</v>
      </c>
      <c r="W481" s="13">
        <f t="shared" si="130"/>
        <v>0.24</v>
      </c>
      <c r="X481" s="13">
        <f t="shared" si="130"/>
        <v>0.23</v>
      </c>
      <c r="Y481" s="13">
        <f t="shared" si="130"/>
        <v>0.23</v>
      </c>
      <c r="Z481" s="13">
        <f t="shared" si="130"/>
        <v>0.23</v>
      </c>
      <c r="AA481" s="13">
        <f t="shared" si="130"/>
        <v>0.23</v>
      </c>
      <c r="AB481" s="13">
        <f t="shared" si="130"/>
        <v>0.23</v>
      </c>
      <c r="AC481" s="13">
        <f t="shared" si="130"/>
        <v>0.23</v>
      </c>
      <c r="AD481" s="13">
        <f t="shared" si="130"/>
        <v>0.23</v>
      </c>
      <c r="AE481" s="13">
        <f t="shared" si="130"/>
        <v>0.23</v>
      </c>
      <c r="AF481" s="13">
        <f t="shared" si="130"/>
        <v>0.23</v>
      </c>
    </row>
    <row r="482" spans="4:32">
      <c r="D482" t="s">
        <v>7</v>
      </c>
      <c r="E482" s="6"/>
      <c r="G482" t="s">
        <v>83</v>
      </c>
      <c r="I482" s="14">
        <v>0.69</v>
      </c>
      <c r="J482" s="14">
        <v>0.46</v>
      </c>
      <c r="K482" s="14">
        <v>0.34</v>
      </c>
      <c r="L482" s="14">
        <v>0.16</v>
      </c>
      <c r="M482" s="14">
        <v>0.28999999999999998</v>
      </c>
      <c r="N482" s="14">
        <v>0.2</v>
      </c>
      <c r="O482" s="14">
        <v>0.2</v>
      </c>
      <c r="P482" s="14">
        <v>0.2</v>
      </c>
      <c r="Q482" s="14">
        <v>0.2</v>
      </c>
      <c r="R482" s="14">
        <v>0.2</v>
      </c>
      <c r="S482" s="14">
        <v>0.24</v>
      </c>
      <c r="T482" s="14">
        <v>0.24</v>
      </c>
      <c r="U482" s="14">
        <v>0.24</v>
      </c>
      <c r="V482" s="14">
        <v>0.24</v>
      </c>
      <c r="W482" s="14">
        <v>0.24</v>
      </c>
      <c r="X482" s="14">
        <v>0.23</v>
      </c>
      <c r="Y482" s="14">
        <v>0.23</v>
      </c>
      <c r="Z482" s="14">
        <v>0.23</v>
      </c>
      <c r="AA482" s="14">
        <v>0.23</v>
      </c>
      <c r="AB482" s="14">
        <v>0.23</v>
      </c>
      <c r="AC482" s="14">
        <v>0.23</v>
      </c>
      <c r="AD482" s="14">
        <v>0.23</v>
      </c>
      <c r="AE482" s="14">
        <v>0.23</v>
      </c>
      <c r="AF482" s="14">
        <v>0.23</v>
      </c>
    </row>
    <row r="483" spans="4:32">
      <c r="D483" t="s">
        <v>9</v>
      </c>
      <c r="E483" s="8">
        <v>0.1</v>
      </c>
      <c r="G483" t="s">
        <v>83</v>
      </c>
      <c r="I483" s="15">
        <f>I482*(1+$E483)</f>
        <v>0.75900000000000001</v>
      </c>
      <c r="J483" s="15">
        <f t="shared" ref="J483:AF484" si="131">J482*(1+$E483)</f>
        <v>0.50600000000000012</v>
      </c>
      <c r="K483" s="15">
        <f t="shared" si="131"/>
        <v>0.37400000000000005</v>
      </c>
      <c r="L483" s="15">
        <f t="shared" si="131"/>
        <v>0.17600000000000002</v>
      </c>
      <c r="M483" s="15">
        <f t="shared" si="131"/>
        <v>0.31900000000000001</v>
      </c>
      <c r="N483" s="15">
        <f t="shared" si="131"/>
        <v>0.22000000000000003</v>
      </c>
      <c r="O483" s="15">
        <f t="shared" si="131"/>
        <v>0.22000000000000003</v>
      </c>
      <c r="P483" s="15">
        <f t="shared" si="131"/>
        <v>0.22000000000000003</v>
      </c>
      <c r="Q483" s="15">
        <f t="shared" si="131"/>
        <v>0.22000000000000003</v>
      </c>
      <c r="R483" s="15">
        <f t="shared" si="131"/>
        <v>0.22000000000000003</v>
      </c>
      <c r="S483" s="15">
        <f t="shared" si="131"/>
        <v>0.26400000000000001</v>
      </c>
      <c r="T483" s="15">
        <f t="shared" si="131"/>
        <v>0.26400000000000001</v>
      </c>
      <c r="U483" s="15">
        <f t="shared" si="131"/>
        <v>0.26400000000000001</v>
      </c>
      <c r="V483" s="15">
        <f t="shared" si="131"/>
        <v>0.26400000000000001</v>
      </c>
      <c r="W483" s="15">
        <f t="shared" si="131"/>
        <v>0.26400000000000001</v>
      </c>
      <c r="X483" s="15">
        <f t="shared" si="131"/>
        <v>0.25300000000000006</v>
      </c>
      <c r="Y483" s="15">
        <f t="shared" si="131"/>
        <v>0.25300000000000006</v>
      </c>
      <c r="Z483" s="15">
        <f t="shared" si="131"/>
        <v>0.25300000000000006</v>
      </c>
      <c r="AA483" s="15">
        <f t="shared" si="131"/>
        <v>0.25300000000000006</v>
      </c>
      <c r="AB483" s="15">
        <f t="shared" si="131"/>
        <v>0.25300000000000006</v>
      </c>
      <c r="AC483" s="15">
        <f t="shared" si="131"/>
        <v>0.25300000000000006</v>
      </c>
      <c r="AD483" s="15">
        <f t="shared" si="131"/>
        <v>0.25300000000000006</v>
      </c>
      <c r="AE483" s="15">
        <f t="shared" si="131"/>
        <v>0.25300000000000006</v>
      </c>
      <c r="AF483" s="15">
        <f t="shared" si="131"/>
        <v>0.25300000000000006</v>
      </c>
    </row>
    <row r="484" spans="4:32">
      <c r="D484" t="s">
        <v>10</v>
      </c>
      <c r="E484" s="8">
        <v>-0.1</v>
      </c>
      <c r="G484" t="s">
        <v>83</v>
      </c>
      <c r="I484" s="15">
        <f>I483*(1+$E484)</f>
        <v>0.68310000000000004</v>
      </c>
      <c r="J484" s="15">
        <f t="shared" si="131"/>
        <v>0.45540000000000014</v>
      </c>
      <c r="K484" s="15">
        <f t="shared" si="131"/>
        <v>0.33660000000000007</v>
      </c>
      <c r="L484" s="15">
        <f t="shared" si="131"/>
        <v>0.15840000000000001</v>
      </c>
      <c r="M484" s="15">
        <f t="shared" si="131"/>
        <v>0.28710000000000002</v>
      </c>
      <c r="N484" s="15">
        <f t="shared" si="131"/>
        <v>0.19800000000000004</v>
      </c>
      <c r="O484" s="15">
        <f t="shared" si="131"/>
        <v>0.19800000000000004</v>
      </c>
      <c r="P484" s="15">
        <f t="shared" si="131"/>
        <v>0.19800000000000004</v>
      </c>
      <c r="Q484" s="15">
        <f t="shared" si="131"/>
        <v>0.19800000000000004</v>
      </c>
      <c r="R484" s="15">
        <f t="shared" si="131"/>
        <v>0.19800000000000004</v>
      </c>
      <c r="S484" s="15">
        <f t="shared" si="131"/>
        <v>0.23760000000000001</v>
      </c>
      <c r="T484" s="15">
        <f t="shared" si="131"/>
        <v>0.23760000000000001</v>
      </c>
      <c r="U484" s="15">
        <f t="shared" si="131"/>
        <v>0.23760000000000001</v>
      </c>
      <c r="V484" s="15">
        <f t="shared" si="131"/>
        <v>0.23760000000000001</v>
      </c>
      <c r="W484" s="15">
        <f t="shared" si="131"/>
        <v>0.23760000000000001</v>
      </c>
      <c r="X484" s="15">
        <f t="shared" si="131"/>
        <v>0.22770000000000007</v>
      </c>
      <c r="Y484" s="15">
        <f t="shared" si="131"/>
        <v>0.22770000000000007</v>
      </c>
      <c r="Z484" s="15">
        <f t="shared" si="131"/>
        <v>0.22770000000000007</v>
      </c>
      <c r="AA484" s="15">
        <f t="shared" si="131"/>
        <v>0.22770000000000007</v>
      </c>
      <c r="AB484" s="15">
        <f t="shared" si="131"/>
        <v>0.22770000000000007</v>
      </c>
      <c r="AC484" s="15">
        <f t="shared" si="131"/>
        <v>0.22770000000000007</v>
      </c>
      <c r="AD484" s="15">
        <f t="shared" si="131"/>
        <v>0.22770000000000007</v>
      </c>
      <c r="AE484" s="15">
        <f t="shared" si="131"/>
        <v>0.22770000000000007</v>
      </c>
      <c r="AF484" s="15">
        <f t="shared" si="131"/>
        <v>0.22770000000000007</v>
      </c>
    </row>
    <row r="485" spans="4:32">
      <c r="D485" t="s">
        <v>11</v>
      </c>
      <c r="E485" s="8"/>
      <c r="G485" t="s">
        <v>83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</row>
    <row r="486" spans="4:32">
      <c r="D486" t="s">
        <v>12</v>
      </c>
      <c r="E486" s="8"/>
      <c r="G486" t="s">
        <v>83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0</v>
      </c>
      <c r="AD486" s="14">
        <v>0</v>
      </c>
      <c r="AE486" s="14">
        <v>0</v>
      </c>
      <c r="AF486" s="14">
        <v>0</v>
      </c>
    </row>
    <row r="488" spans="4:32">
      <c r="D488" s="5" t="s">
        <v>76</v>
      </c>
      <c r="E488" s="5" t="s">
        <v>7</v>
      </c>
      <c r="F488" s="5"/>
      <c r="G488" s="5"/>
      <c r="H488" s="13"/>
      <c r="I488" s="13">
        <f>INDEX(I489:I493,MATCH($E488,$D489:$D493,0))</f>
        <v>2.15</v>
      </c>
      <c r="J488" s="13">
        <f t="shared" ref="J488:AF488" si="132">INDEX(J489:J493,MATCH($E488,$D489:$D493,0))</f>
        <v>2.0699999999999998</v>
      </c>
      <c r="K488" s="13">
        <f t="shared" si="132"/>
        <v>2.0099999999999998</v>
      </c>
      <c r="L488" s="13">
        <f t="shared" si="132"/>
        <v>2.0299999999999998</v>
      </c>
      <c r="M488" s="13">
        <f t="shared" si="132"/>
        <v>2.09</v>
      </c>
      <c r="N488" s="13">
        <f t="shared" si="132"/>
        <v>2.0699999999999998</v>
      </c>
      <c r="O488" s="13">
        <f t="shared" si="132"/>
        <v>2.0699999999999998</v>
      </c>
      <c r="P488" s="13">
        <f t="shared" si="132"/>
        <v>2.0699999999999998</v>
      </c>
      <c r="Q488" s="13">
        <f t="shared" si="132"/>
        <v>2.0699999999999998</v>
      </c>
      <c r="R488" s="13">
        <f t="shared" si="132"/>
        <v>2.0699999999999998</v>
      </c>
      <c r="S488" s="13">
        <f t="shared" si="132"/>
        <v>2.0499999999999998</v>
      </c>
      <c r="T488" s="13">
        <f t="shared" si="132"/>
        <v>2.0499999999999998</v>
      </c>
      <c r="U488" s="13">
        <f t="shared" si="132"/>
        <v>2.0499999999999998</v>
      </c>
      <c r="V488" s="13">
        <f t="shared" si="132"/>
        <v>2.0499999999999998</v>
      </c>
      <c r="W488" s="13">
        <f t="shared" si="132"/>
        <v>2.0499999999999998</v>
      </c>
      <c r="X488" s="13">
        <f t="shared" si="132"/>
        <v>2.08</v>
      </c>
      <c r="Y488" s="13">
        <f t="shared" si="132"/>
        <v>2.08</v>
      </c>
      <c r="Z488" s="13">
        <f t="shared" si="132"/>
        <v>2.08</v>
      </c>
      <c r="AA488" s="13">
        <f t="shared" si="132"/>
        <v>2.08</v>
      </c>
      <c r="AB488" s="13">
        <f t="shared" si="132"/>
        <v>2.08</v>
      </c>
      <c r="AC488" s="13">
        <f t="shared" si="132"/>
        <v>2.08</v>
      </c>
      <c r="AD488" s="13">
        <f t="shared" si="132"/>
        <v>2.08</v>
      </c>
      <c r="AE488" s="13">
        <f t="shared" si="132"/>
        <v>2.08</v>
      </c>
      <c r="AF488" s="13">
        <f t="shared" si="132"/>
        <v>2.08</v>
      </c>
    </row>
    <row r="489" spans="4:32">
      <c r="D489" t="s">
        <v>7</v>
      </c>
      <c r="E489" s="6"/>
      <c r="G489" t="s">
        <v>83</v>
      </c>
      <c r="I489" s="14">
        <v>2.15</v>
      </c>
      <c r="J489" s="14">
        <v>2.0699999999999998</v>
      </c>
      <c r="K489" s="14">
        <v>2.0099999999999998</v>
      </c>
      <c r="L489" s="14">
        <v>2.0299999999999998</v>
      </c>
      <c r="M489" s="14">
        <v>2.09</v>
      </c>
      <c r="N489" s="14">
        <v>2.0699999999999998</v>
      </c>
      <c r="O489" s="14">
        <v>2.0699999999999998</v>
      </c>
      <c r="P489" s="14">
        <v>2.0699999999999998</v>
      </c>
      <c r="Q489" s="14">
        <v>2.0699999999999998</v>
      </c>
      <c r="R489" s="14">
        <v>2.0699999999999998</v>
      </c>
      <c r="S489" s="14">
        <v>2.0499999999999998</v>
      </c>
      <c r="T489" s="14">
        <v>2.0499999999999998</v>
      </c>
      <c r="U489" s="14">
        <v>2.0499999999999998</v>
      </c>
      <c r="V489" s="14">
        <v>2.0499999999999998</v>
      </c>
      <c r="W489" s="14">
        <v>2.0499999999999998</v>
      </c>
      <c r="X489" s="14">
        <v>2.08</v>
      </c>
      <c r="Y489" s="14">
        <v>2.08</v>
      </c>
      <c r="Z489" s="14">
        <v>2.08</v>
      </c>
      <c r="AA489" s="14">
        <v>2.08</v>
      </c>
      <c r="AB489" s="14">
        <v>2.08</v>
      </c>
      <c r="AC489" s="14">
        <v>2.08</v>
      </c>
      <c r="AD489" s="14">
        <v>2.08</v>
      </c>
      <c r="AE489" s="14">
        <v>2.08</v>
      </c>
      <c r="AF489" s="14">
        <v>2.08</v>
      </c>
    </row>
    <row r="490" spans="4:32">
      <c r="D490" t="s">
        <v>9</v>
      </c>
      <c r="E490" s="8">
        <v>0.1</v>
      </c>
      <c r="G490" t="s">
        <v>83</v>
      </c>
      <c r="I490" s="15">
        <f>I489*(1+$E490)</f>
        <v>2.3650000000000002</v>
      </c>
      <c r="J490" s="15">
        <f t="shared" ref="J490:AF491" si="133">J489*(1+$E490)</f>
        <v>2.2770000000000001</v>
      </c>
      <c r="K490" s="15">
        <f t="shared" si="133"/>
        <v>2.2109999999999999</v>
      </c>
      <c r="L490" s="15">
        <f t="shared" si="133"/>
        <v>2.2330000000000001</v>
      </c>
      <c r="M490" s="15">
        <f t="shared" si="133"/>
        <v>2.2989999999999999</v>
      </c>
      <c r="N490" s="15">
        <f t="shared" si="133"/>
        <v>2.2770000000000001</v>
      </c>
      <c r="O490" s="15">
        <f t="shared" si="133"/>
        <v>2.2770000000000001</v>
      </c>
      <c r="P490" s="15">
        <f t="shared" si="133"/>
        <v>2.2770000000000001</v>
      </c>
      <c r="Q490" s="15">
        <f t="shared" si="133"/>
        <v>2.2770000000000001</v>
      </c>
      <c r="R490" s="15">
        <f t="shared" si="133"/>
        <v>2.2770000000000001</v>
      </c>
      <c r="S490" s="15">
        <f t="shared" si="133"/>
        <v>2.2549999999999999</v>
      </c>
      <c r="T490" s="15">
        <f t="shared" si="133"/>
        <v>2.2549999999999999</v>
      </c>
      <c r="U490" s="15">
        <f t="shared" si="133"/>
        <v>2.2549999999999999</v>
      </c>
      <c r="V490" s="15">
        <f t="shared" si="133"/>
        <v>2.2549999999999999</v>
      </c>
      <c r="W490" s="15">
        <f t="shared" si="133"/>
        <v>2.2549999999999999</v>
      </c>
      <c r="X490" s="15">
        <f t="shared" si="133"/>
        <v>2.2880000000000003</v>
      </c>
      <c r="Y490" s="15">
        <f t="shared" si="133"/>
        <v>2.2880000000000003</v>
      </c>
      <c r="Z490" s="15">
        <f t="shared" si="133"/>
        <v>2.2880000000000003</v>
      </c>
      <c r="AA490" s="15">
        <f t="shared" si="133"/>
        <v>2.2880000000000003</v>
      </c>
      <c r="AB490" s="15">
        <f t="shared" si="133"/>
        <v>2.2880000000000003</v>
      </c>
      <c r="AC490" s="15">
        <f t="shared" si="133"/>
        <v>2.2880000000000003</v>
      </c>
      <c r="AD490" s="15">
        <f t="shared" si="133"/>
        <v>2.2880000000000003</v>
      </c>
      <c r="AE490" s="15">
        <f t="shared" si="133"/>
        <v>2.2880000000000003</v>
      </c>
      <c r="AF490" s="15">
        <f t="shared" si="133"/>
        <v>2.2880000000000003</v>
      </c>
    </row>
    <row r="491" spans="4:32">
      <c r="D491" t="s">
        <v>10</v>
      </c>
      <c r="E491" s="8">
        <v>-0.1</v>
      </c>
      <c r="G491" t="s">
        <v>83</v>
      </c>
      <c r="I491" s="15">
        <f>I490*(1+$E491)</f>
        <v>2.1285000000000003</v>
      </c>
      <c r="J491" s="15">
        <f t="shared" si="133"/>
        <v>2.0493000000000001</v>
      </c>
      <c r="K491" s="15">
        <f t="shared" si="133"/>
        <v>1.9899</v>
      </c>
      <c r="L491" s="15">
        <f t="shared" si="133"/>
        <v>2.0097</v>
      </c>
      <c r="M491" s="15">
        <f t="shared" si="133"/>
        <v>2.0691000000000002</v>
      </c>
      <c r="N491" s="15">
        <f t="shared" si="133"/>
        <v>2.0493000000000001</v>
      </c>
      <c r="O491" s="15">
        <f t="shared" si="133"/>
        <v>2.0493000000000001</v>
      </c>
      <c r="P491" s="15">
        <f t="shared" si="133"/>
        <v>2.0493000000000001</v>
      </c>
      <c r="Q491" s="15">
        <f t="shared" si="133"/>
        <v>2.0493000000000001</v>
      </c>
      <c r="R491" s="15">
        <f t="shared" si="133"/>
        <v>2.0493000000000001</v>
      </c>
      <c r="S491" s="15">
        <f t="shared" si="133"/>
        <v>2.0295000000000001</v>
      </c>
      <c r="T491" s="15">
        <f t="shared" si="133"/>
        <v>2.0295000000000001</v>
      </c>
      <c r="U491" s="15">
        <f t="shared" si="133"/>
        <v>2.0295000000000001</v>
      </c>
      <c r="V491" s="15">
        <f t="shared" si="133"/>
        <v>2.0295000000000001</v>
      </c>
      <c r="W491" s="15">
        <f t="shared" si="133"/>
        <v>2.0295000000000001</v>
      </c>
      <c r="X491" s="15">
        <f t="shared" si="133"/>
        <v>2.0592000000000001</v>
      </c>
      <c r="Y491" s="15">
        <f t="shared" si="133"/>
        <v>2.0592000000000001</v>
      </c>
      <c r="Z491" s="15">
        <f t="shared" si="133"/>
        <v>2.0592000000000001</v>
      </c>
      <c r="AA491" s="15">
        <f t="shared" si="133"/>
        <v>2.0592000000000001</v>
      </c>
      <c r="AB491" s="15">
        <f t="shared" si="133"/>
        <v>2.0592000000000001</v>
      </c>
      <c r="AC491" s="15">
        <f t="shared" si="133"/>
        <v>2.0592000000000001</v>
      </c>
      <c r="AD491" s="15">
        <f t="shared" si="133"/>
        <v>2.0592000000000001</v>
      </c>
      <c r="AE491" s="15">
        <f t="shared" si="133"/>
        <v>2.0592000000000001</v>
      </c>
      <c r="AF491" s="15">
        <f t="shared" si="133"/>
        <v>2.0592000000000001</v>
      </c>
    </row>
    <row r="492" spans="4:32">
      <c r="D492" t="s">
        <v>11</v>
      </c>
      <c r="E492" s="8"/>
      <c r="G492" t="s">
        <v>83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0</v>
      </c>
      <c r="AD492" s="14">
        <v>0</v>
      </c>
      <c r="AE492" s="14">
        <v>0</v>
      </c>
      <c r="AF492" s="14">
        <v>0</v>
      </c>
    </row>
    <row r="493" spans="4:32">
      <c r="D493" t="s">
        <v>12</v>
      </c>
      <c r="E493" s="8"/>
      <c r="G493" t="s">
        <v>83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</row>
    <row r="495" spans="4:32">
      <c r="D495" s="5" t="s">
        <v>77</v>
      </c>
      <c r="E495" s="5" t="s">
        <v>7</v>
      </c>
      <c r="F495" s="5"/>
      <c r="G495" s="5"/>
      <c r="H495" s="13"/>
      <c r="I495" s="13">
        <f>INDEX(I496:I500,MATCH($E495,$D496:$D500,0))</f>
        <v>2.17</v>
      </c>
      <c r="J495" s="13">
        <f t="shared" ref="J495:AF495" si="134">INDEX(J496:J500,MATCH($E495,$D496:$D500,0))</f>
        <v>2.2400000000000002</v>
      </c>
      <c r="K495" s="13">
        <f t="shared" si="134"/>
        <v>1.93</v>
      </c>
      <c r="L495" s="13">
        <f t="shared" si="134"/>
        <v>1.86</v>
      </c>
      <c r="M495" s="13">
        <f t="shared" si="134"/>
        <v>1.85</v>
      </c>
      <c r="N495" s="13">
        <f t="shared" si="134"/>
        <v>1.76</v>
      </c>
      <c r="O495" s="13">
        <f t="shared" si="134"/>
        <v>1.76</v>
      </c>
      <c r="P495" s="13">
        <f t="shared" si="134"/>
        <v>1.76</v>
      </c>
      <c r="Q495" s="13">
        <f t="shared" si="134"/>
        <v>1.76</v>
      </c>
      <c r="R495" s="13">
        <f t="shared" si="134"/>
        <v>1.76</v>
      </c>
      <c r="S495" s="13">
        <f t="shared" si="134"/>
        <v>1.75</v>
      </c>
      <c r="T495" s="13">
        <f t="shared" si="134"/>
        <v>1.75</v>
      </c>
      <c r="U495" s="13">
        <f t="shared" si="134"/>
        <v>1.75</v>
      </c>
      <c r="V495" s="13">
        <f t="shared" si="134"/>
        <v>1.75</v>
      </c>
      <c r="W495" s="13">
        <f t="shared" si="134"/>
        <v>1.75</v>
      </c>
      <c r="X495" s="13">
        <f t="shared" si="134"/>
        <v>1.75</v>
      </c>
      <c r="Y495" s="13">
        <f t="shared" si="134"/>
        <v>1.75</v>
      </c>
      <c r="Z495" s="13">
        <f t="shared" si="134"/>
        <v>1.75</v>
      </c>
      <c r="AA495" s="13">
        <f t="shared" si="134"/>
        <v>1.75</v>
      </c>
      <c r="AB495" s="13">
        <f t="shared" si="134"/>
        <v>1.75</v>
      </c>
      <c r="AC495" s="13">
        <f t="shared" si="134"/>
        <v>1.75</v>
      </c>
      <c r="AD495" s="13">
        <f t="shared" si="134"/>
        <v>1.75</v>
      </c>
      <c r="AE495" s="13">
        <f t="shared" si="134"/>
        <v>1.75</v>
      </c>
      <c r="AF495" s="13">
        <f t="shared" si="134"/>
        <v>1.75</v>
      </c>
    </row>
    <row r="496" spans="4:32">
      <c r="D496" t="s">
        <v>7</v>
      </c>
      <c r="E496" s="6"/>
      <c r="G496" t="s">
        <v>83</v>
      </c>
      <c r="I496" s="14">
        <v>2.17</v>
      </c>
      <c r="J496" s="14">
        <v>2.2400000000000002</v>
      </c>
      <c r="K496" s="14">
        <v>1.93</v>
      </c>
      <c r="L496" s="14">
        <v>1.86</v>
      </c>
      <c r="M496" s="14">
        <v>1.85</v>
      </c>
      <c r="N496" s="14">
        <v>1.76</v>
      </c>
      <c r="O496" s="14">
        <v>1.76</v>
      </c>
      <c r="P496" s="14">
        <v>1.76</v>
      </c>
      <c r="Q496" s="14">
        <v>1.76</v>
      </c>
      <c r="R496" s="14">
        <v>1.76</v>
      </c>
      <c r="S496" s="14">
        <v>1.75</v>
      </c>
      <c r="T496" s="14">
        <v>1.75</v>
      </c>
      <c r="U496" s="14">
        <v>1.75</v>
      </c>
      <c r="V496" s="14">
        <v>1.75</v>
      </c>
      <c r="W496" s="14">
        <v>1.75</v>
      </c>
      <c r="X496" s="14">
        <v>1.75</v>
      </c>
      <c r="Y496" s="14">
        <v>1.75</v>
      </c>
      <c r="Z496" s="14">
        <v>1.75</v>
      </c>
      <c r="AA496" s="14">
        <v>1.75</v>
      </c>
      <c r="AB496" s="14">
        <v>1.75</v>
      </c>
      <c r="AC496" s="14">
        <v>1.75</v>
      </c>
      <c r="AD496" s="14">
        <v>1.75</v>
      </c>
      <c r="AE496" s="14">
        <v>1.75</v>
      </c>
      <c r="AF496" s="14">
        <v>1.75</v>
      </c>
    </row>
    <row r="497" spans="4:32">
      <c r="D497" t="s">
        <v>9</v>
      </c>
      <c r="E497" s="8">
        <v>0.1</v>
      </c>
      <c r="G497" t="s">
        <v>83</v>
      </c>
      <c r="I497" s="15">
        <f>I496*(1+$E497)</f>
        <v>2.387</v>
      </c>
      <c r="J497" s="15">
        <f t="shared" ref="J497:AF498" si="135">J496*(1+$E497)</f>
        <v>2.4640000000000004</v>
      </c>
      <c r="K497" s="15">
        <f t="shared" si="135"/>
        <v>2.1230000000000002</v>
      </c>
      <c r="L497" s="15">
        <f t="shared" si="135"/>
        <v>2.0460000000000003</v>
      </c>
      <c r="M497" s="15">
        <f t="shared" si="135"/>
        <v>2.0350000000000001</v>
      </c>
      <c r="N497" s="15">
        <f t="shared" si="135"/>
        <v>1.9360000000000002</v>
      </c>
      <c r="O497" s="15">
        <f t="shared" si="135"/>
        <v>1.9360000000000002</v>
      </c>
      <c r="P497" s="15">
        <f t="shared" si="135"/>
        <v>1.9360000000000002</v>
      </c>
      <c r="Q497" s="15">
        <f t="shared" si="135"/>
        <v>1.9360000000000002</v>
      </c>
      <c r="R497" s="15">
        <f t="shared" si="135"/>
        <v>1.9360000000000002</v>
      </c>
      <c r="S497" s="15">
        <f t="shared" si="135"/>
        <v>1.9250000000000003</v>
      </c>
      <c r="T497" s="15">
        <f t="shared" si="135"/>
        <v>1.9250000000000003</v>
      </c>
      <c r="U497" s="15">
        <f t="shared" si="135"/>
        <v>1.9250000000000003</v>
      </c>
      <c r="V497" s="15">
        <f t="shared" si="135"/>
        <v>1.9250000000000003</v>
      </c>
      <c r="W497" s="15">
        <f t="shared" si="135"/>
        <v>1.9250000000000003</v>
      </c>
      <c r="X497" s="15">
        <f t="shared" si="135"/>
        <v>1.9250000000000003</v>
      </c>
      <c r="Y497" s="15">
        <f t="shared" si="135"/>
        <v>1.9250000000000003</v>
      </c>
      <c r="Z497" s="15">
        <f t="shared" si="135"/>
        <v>1.9250000000000003</v>
      </c>
      <c r="AA497" s="15">
        <f t="shared" si="135"/>
        <v>1.9250000000000003</v>
      </c>
      <c r="AB497" s="15">
        <f t="shared" si="135"/>
        <v>1.9250000000000003</v>
      </c>
      <c r="AC497" s="15">
        <f t="shared" si="135"/>
        <v>1.9250000000000003</v>
      </c>
      <c r="AD497" s="15">
        <f t="shared" si="135"/>
        <v>1.9250000000000003</v>
      </c>
      <c r="AE497" s="15">
        <f t="shared" si="135"/>
        <v>1.9250000000000003</v>
      </c>
      <c r="AF497" s="15">
        <f t="shared" si="135"/>
        <v>1.9250000000000003</v>
      </c>
    </row>
    <row r="498" spans="4:32">
      <c r="D498" t="s">
        <v>10</v>
      </c>
      <c r="E498" s="8">
        <v>-0.1</v>
      </c>
      <c r="G498" t="s">
        <v>83</v>
      </c>
      <c r="I498" s="15">
        <f>I497*(1+$E498)</f>
        <v>2.1482999999999999</v>
      </c>
      <c r="J498" s="15">
        <f t="shared" si="135"/>
        <v>2.2176000000000005</v>
      </c>
      <c r="K498" s="15">
        <f t="shared" si="135"/>
        <v>1.9107000000000003</v>
      </c>
      <c r="L498" s="15">
        <f t="shared" si="135"/>
        <v>1.8414000000000004</v>
      </c>
      <c r="M498" s="15">
        <f t="shared" si="135"/>
        <v>1.8315000000000001</v>
      </c>
      <c r="N498" s="15">
        <f t="shared" si="135"/>
        <v>1.7424000000000002</v>
      </c>
      <c r="O498" s="15">
        <f t="shared" si="135"/>
        <v>1.7424000000000002</v>
      </c>
      <c r="P498" s="15">
        <f t="shared" si="135"/>
        <v>1.7424000000000002</v>
      </c>
      <c r="Q498" s="15">
        <f t="shared" si="135"/>
        <v>1.7424000000000002</v>
      </c>
      <c r="R498" s="15">
        <f t="shared" si="135"/>
        <v>1.7424000000000002</v>
      </c>
      <c r="S498" s="15">
        <f t="shared" si="135"/>
        <v>1.7325000000000004</v>
      </c>
      <c r="T498" s="15">
        <f t="shared" si="135"/>
        <v>1.7325000000000004</v>
      </c>
      <c r="U498" s="15">
        <f t="shared" si="135"/>
        <v>1.7325000000000004</v>
      </c>
      <c r="V498" s="15">
        <f t="shared" si="135"/>
        <v>1.7325000000000004</v>
      </c>
      <c r="W498" s="15">
        <f t="shared" si="135"/>
        <v>1.7325000000000004</v>
      </c>
      <c r="X498" s="15">
        <f t="shared" si="135"/>
        <v>1.7325000000000004</v>
      </c>
      <c r="Y498" s="15">
        <f t="shared" si="135"/>
        <v>1.7325000000000004</v>
      </c>
      <c r="Z498" s="15">
        <f t="shared" si="135"/>
        <v>1.7325000000000004</v>
      </c>
      <c r="AA498" s="15">
        <f t="shared" si="135"/>
        <v>1.7325000000000004</v>
      </c>
      <c r="AB498" s="15">
        <f t="shared" si="135"/>
        <v>1.7325000000000004</v>
      </c>
      <c r="AC498" s="15">
        <f t="shared" si="135"/>
        <v>1.7325000000000004</v>
      </c>
      <c r="AD498" s="15">
        <f t="shared" si="135"/>
        <v>1.7325000000000004</v>
      </c>
      <c r="AE498" s="15">
        <f t="shared" si="135"/>
        <v>1.7325000000000004</v>
      </c>
      <c r="AF498" s="15">
        <f t="shared" si="135"/>
        <v>1.7325000000000004</v>
      </c>
    </row>
    <row r="499" spans="4:32">
      <c r="D499" t="s">
        <v>11</v>
      </c>
      <c r="E499" s="8"/>
      <c r="G499" t="s">
        <v>83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</row>
    <row r="500" spans="4:32">
      <c r="D500" t="s">
        <v>12</v>
      </c>
      <c r="E500" s="8"/>
      <c r="G500" t="s">
        <v>83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</row>
    <row r="502" spans="4:32">
      <c r="D502" s="5" t="s">
        <v>78</v>
      </c>
      <c r="E502" s="5" t="s">
        <v>7</v>
      </c>
      <c r="F502" s="5"/>
      <c r="G502" s="5"/>
      <c r="H502" s="13"/>
      <c r="I502" s="13">
        <f>INDEX(I503:I507,MATCH($E502,$D503:$D507,0))</f>
        <v>-0.15</v>
      </c>
      <c r="J502" s="13">
        <f t="shared" ref="J502:AF502" si="136">INDEX(J503:J507,MATCH($E502,$D503:$D507,0))</f>
        <v>-0.16</v>
      </c>
      <c r="K502" s="13">
        <f t="shared" si="136"/>
        <v>-0.15</v>
      </c>
      <c r="L502" s="13">
        <f t="shared" si="136"/>
        <v>-0.15</v>
      </c>
      <c r="M502" s="13">
        <f t="shared" si="136"/>
        <v>-0.15</v>
      </c>
      <c r="N502" s="13">
        <f t="shared" si="136"/>
        <v>-0.15</v>
      </c>
      <c r="O502" s="13">
        <f t="shared" si="136"/>
        <v>-0.15</v>
      </c>
      <c r="P502" s="13">
        <f t="shared" si="136"/>
        <v>-0.15</v>
      </c>
      <c r="Q502" s="13">
        <f t="shared" si="136"/>
        <v>-0.15</v>
      </c>
      <c r="R502" s="13">
        <f t="shared" si="136"/>
        <v>-0.15</v>
      </c>
      <c r="S502" s="13">
        <f t="shared" si="136"/>
        <v>-0.12</v>
      </c>
      <c r="T502" s="13">
        <f t="shared" si="136"/>
        <v>-0.12</v>
      </c>
      <c r="U502" s="13">
        <f t="shared" si="136"/>
        <v>-0.12</v>
      </c>
      <c r="V502" s="13">
        <f t="shared" si="136"/>
        <v>-0.12</v>
      </c>
      <c r="W502" s="13">
        <f t="shared" si="136"/>
        <v>-0.12</v>
      </c>
      <c r="X502" s="13">
        <f t="shared" si="136"/>
        <v>-0.1</v>
      </c>
      <c r="Y502" s="13">
        <f t="shared" si="136"/>
        <v>-0.1</v>
      </c>
      <c r="Z502" s="13">
        <f t="shared" si="136"/>
        <v>-0.1</v>
      </c>
      <c r="AA502" s="13">
        <f t="shared" si="136"/>
        <v>-0.1</v>
      </c>
      <c r="AB502" s="13">
        <f t="shared" si="136"/>
        <v>-0.1</v>
      </c>
      <c r="AC502" s="13">
        <f t="shared" si="136"/>
        <v>-0.1</v>
      </c>
      <c r="AD502" s="13">
        <f t="shared" si="136"/>
        <v>-0.1</v>
      </c>
      <c r="AE502" s="13">
        <f t="shared" si="136"/>
        <v>-0.1</v>
      </c>
      <c r="AF502" s="13">
        <f t="shared" si="136"/>
        <v>-0.1</v>
      </c>
    </row>
    <row r="503" spans="4:32">
      <c r="D503" t="s">
        <v>7</v>
      </c>
      <c r="E503" s="6"/>
      <c r="G503" t="s">
        <v>83</v>
      </c>
      <c r="I503" s="14">
        <v>-0.15</v>
      </c>
      <c r="J503" s="14">
        <v>-0.16</v>
      </c>
      <c r="K503" s="14">
        <v>-0.15</v>
      </c>
      <c r="L503" s="14">
        <v>-0.15</v>
      </c>
      <c r="M503" s="14">
        <v>-0.15</v>
      </c>
      <c r="N503" s="14">
        <v>-0.15</v>
      </c>
      <c r="O503" s="14">
        <v>-0.15</v>
      </c>
      <c r="P503" s="14">
        <v>-0.15</v>
      </c>
      <c r="Q503" s="14">
        <v>-0.15</v>
      </c>
      <c r="R503" s="14">
        <v>-0.15</v>
      </c>
      <c r="S503" s="14">
        <v>-0.12</v>
      </c>
      <c r="T503" s="14">
        <v>-0.12</v>
      </c>
      <c r="U503" s="14">
        <v>-0.12</v>
      </c>
      <c r="V503" s="14">
        <v>-0.12</v>
      </c>
      <c r="W503" s="14">
        <v>-0.12</v>
      </c>
      <c r="X503" s="14">
        <v>-0.1</v>
      </c>
      <c r="Y503" s="14">
        <v>-0.1</v>
      </c>
      <c r="Z503" s="14">
        <v>-0.1</v>
      </c>
      <c r="AA503" s="14">
        <v>-0.1</v>
      </c>
      <c r="AB503" s="14">
        <v>-0.1</v>
      </c>
      <c r="AC503" s="14">
        <v>-0.1</v>
      </c>
      <c r="AD503" s="14">
        <v>-0.1</v>
      </c>
      <c r="AE503" s="14">
        <v>-0.1</v>
      </c>
      <c r="AF503" s="14">
        <v>-0.1</v>
      </c>
    </row>
    <row r="504" spans="4:32">
      <c r="D504" t="s">
        <v>9</v>
      </c>
      <c r="E504" s="8">
        <v>0.1</v>
      </c>
      <c r="G504" t="s">
        <v>83</v>
      </c>
      <c r="I504" s="15">
        <f>I503*(1+$E504)</f>
        <v>-0.16500000000000001</v>
      </c>
      <c r="J504" s="15">
        <f t="shared" ref="J504:AF505" si="137">J503*(1+$E504)</f>
        <v>-0.17600000000000002</v>
      </c>
      <c r="K504" s="15">
        <f t="shared" si="137"/>
        <v>-0.16500000000000001</v>
      </c>
      <c r="L504" s="15">
        <f t="shared" si="137"/>
        <v>-0.16500000000000001</v>
      </c>
      <c r="M504" s="15">
        <f t="shared" si="137"/>
        <v>-0.16500000000000001</v>
      </c>
      <c r="N504" s="15">
        <f t="shared" si="137"/>
        <v>-0.16500000000000001</v>
      </c>
      <c r="O504" s="15">
        <f t="shared" si="137"/>
        <v>-0.16500000000000001</v>
      </c>
      <c r="P504" s="15">
        <f t="shared" si="137"/>
        <v>-0.16500000000000001</v>
      </c>
      <c r="Q504" s="15">
        <f t="shared" si="137"/>
        <v>-0.16500000000000001</v>
      </c>
      <c r="R504" s="15">
        <f t="shared" si="137"/>
        <v>-0.16500000000000001</v>
      </c>
      <c r="S504" s="15">
        <f t="shared" si="137"/>
        <v>-0.13200000000000001</v>
      </c>
      <c r="T504" s="15">
        <f t="shared" si="137"/>
        <v>-0.13200000000000001</v>
      </c>
      <c r="U504" s="15">
        <f t="shared" si="137"/>
        <v>-0.13200000000000001</v>
      </c>
      <c r="V504" s="15">
        <f t="shared" si="137"/>
        <v>-0.13200000000000001</v>
      </c>
      <c r="W504" s="15">
        <f t="shared" si="137"/>
        <v>-0.13200000000000001</v>
      </c>
      <c r="X504" s="15">
        <f t="shared" si="137"/>
        <v>-0.11000000000000001</v>
      </c>
      <c r="Y504" s="15">
        <f t="shared" si="137"/>
        <v>-0.11000000000000001</v>
      </c>
      <c r="Z504" s="15">
        <f t="shared" si="137"/>
        <v>-0.11000000000000001</v>
      </c>
      <c r="AA504" s="15">
        <f t="shared" si="137"/>
        <v>-0.11000000000000001</v>
      </c>
      <c r="AB504" s="15">
        <f t="shared" si="137"/>
        <v>-0.11000000000000001</v>
      </c>
      <c r="AC504" s="15">
        <f t="shared" si="137"/>
        <v>-0.11000000000000001</v>
      </c>
      <c r="AD504" s="15">
        <f t="shared" si="137"/>
        <v>-0.11000000000000001</v>
      </c>
      <c r="AE504" s="15">
        <f t="shared" si="137"/>
        <v>-0.11000000000000001</v>
      </c>
      <c r="AF504" s="15">
        <f t="shared" si="137"/>
        <v>-0.11000000000000001</v>
      </c>
    </row>
    <row r="505" spans="4:32">
      <c r="D505" t="s">
        <v>10</v>
      </c>
      <c r="E505" s="8">
        <v>-0.1</v>
      </c>
      <c r="G505" t="s">
        <v>83</v>
      </c>
      <c r="I505" s="15">
        <f>I504*(1+$E505)</f>
        <v>-0.14850000000000002</v>
      </c>
      <c r="J505" s="15">
        <f t="shared" si="137"/>
        <v>-0.15840000000000001</v>
      </c>
      <c r="K505" s="15">
        <f t="shared" si="137"/>
        <v>-0.14850000000000002</v>
      </c>
      <c r="L505" s="15">
        <f t="shared" si="137"/>
        <v>-0.14850000000000002</v>
      </c>
      <c r="M505" s="15">
        <f t="shared" si="137"/>
        <v>-0.14850000000000002</v>
      </c>
      <c r="N505" s="15">
        <f t="shared" si="137"/>
        <v>-0.14850000000000002</v>
      </c>
      <c r="O505" s="15">
        <f t="shared" si="137"/>
        <v>-0.14850000000000002</v>
      </c>
      <c r="P505" s="15">
        <f t="shared" si="137"/>
        <v>-0.14850000000000002</v>
      </c>
      <c r="Q505" s="15">
        <f t="shared" si="137"/>
        <v>-0.14850000000000002</v>
      </c>
      <c r="R505" s="15">
        <f t="shared" si="137"/>
        <v>-0.14850000000000002</v>
      </c>
      <c r="S505" s="15">
        <f t="shared" si="137"/>
        <v>-0.1188</v>
      </c>
      <c r="T505" s="15">
        <f t="shared" si="137"/>
        <v>-0.1188</v>
      </c>
      <c r="U505" s="15">
        <f t="shared" si="137"/>
        <v>-0.1188</v>
      </c>
      <c r="V505" s="15">
        <f t="shared" si="137"/>
        <v>-0.1188</v>
      </c>
      <c r="W505" s="15">
        <f t="shared" si="137"/>
        <v>-0.1188</v>
      </c>
      <c r="X505" s="15">
        <f t="shared" si="137"/>
        <v>-9.9000000000000019E-2</v>
      </c>
      <c r="Y505" s="15">
        <f t="shared" si="137"/>
        <v>-9.9000000000000019E-2</v>
      </c>
      <c r="Z505" s="15">
        <f t="shared" si="137"/>
        <v>-9.9000000000000019E-2</v>
      </c>
      <c r="AA505" s="15">
        <f t="shared" si="137"/>
        <v>-9.9000000000000019E-2</v>
      </c>
      <c r="AB505" s="15">
        <f t="shared" si="137"/>
        <v>-9.9000000000000019E-2</v>
      </c>
      <c r="AC505" s="15">
        <f t="shared" si="137"/>
        <v>-9.9000000000000019E-2</v>
      </c>
      <c r="AD505" s="15">
        <f t="shared" si="137"/>
        <v>-9.9000000000000019E-2</v>
      </c>
      <c r="AE505" s="15">
        <f t="shared" si="137"/>
        <v>-9.9000000000000019E-2</v>
      </c>
      <c r="AF505" s="15">
        <f t="shared" si="137"/>
        <v>-9.9000000000000019E-2</v>
      </c>
    </row>
    <row r="506" spans="4:32">
      <c r="D506" t="s">
        <v>11</v>
      </c>
      <c r="E506" s="8"/>
      <c r="G506" t="s">
        <v>83</v>
      </c>
      <c r="I506" s="14">
        <v>0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</row>
    <row r="507" spans="4:32">
      <c r="D507" t="s">
        <v>12</v>
      </c>
      <c r="E507" s="8"/>
      <c r="G507" t="s">
        <v>83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</row>
    <row r="509" spans="4:32">
      <c r="D509" s="4" t="s">
        <v>84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4:32">
      <c r="D510" s="5" t="s">
        <v>73</v>
      </c>
      <c r="E510" s="5" t="s">
        <v>7</v>
      </c>
      <c r="F510" s="5"/>
      <c r="G510" s="5"/>
      <c r="H510" s="13"/>
      <c r="I510" s="13">
        <f>INDEX(I511:I515,MATCH($E510,$D511:$D515,0))</f>
        <v>1.1200000000000001</v>
      </c>
      <c r="J510" s="13">
        <f t="shared" ref="J510:AF510" si="138">INDEX(J511:J515,MATCH($E510,$D511:$D515,0))</f>
        <v>1.2</v>
      </c>
      <c r="K510" s="13">
        <f t="shared" si="138"/>
        <v>1.29</v>
      </c>
      <c r="L510" s="13">
        <f t="shared" si="138"/>
        <v>1.36</v>
      </c>
      <c r="M510" s="13">
        <f t="shared" si="138"/>
        <v>1.33</v>
      </c>
      <c r="N510" s="13">
        <f t="shared" si="138"/>
        <v>0.98</v>
      </c>
      <c r="O510" s="13">
        <f t="shared" si="138"/>
        <v>0.98</v>
      </c>
      <c r="P510" s="13">
        <f t="shared" si="138"/>
        <v>0.98</v>
      </c>
      <c r="Q510" s="13">
        <f t="shared" si="138"/>
        <v>0.98</v>
      </c>
      <c r="R510" s="13">
        <f t="shared" si="138"/>
        <v>0.98</v>
      </c>
      <c r="S510" s="13">
        <f t="shared" si="138"/>
        <v>1.02</v>
      </c>
      <c r="T510" s="13">
        <f t="shared" si="138"/>
        <v>1.02</v>
      </c>
      <c r="U510" s="13">
        <f t="shared" si="138"/>
        <v>1.02</v>
      </c>
      <c r="V510" s="13">
        <f t="shared" si="138"/>
        <v>1.02</v>
      </c>
      <c r="W510" s="13">
        <f t="shared" si="138"/>
        <v>1.02</v>
      </c>
      <c r="X510" s="13">
        <f t="shared" si="138"/>
        <v>0</v>
      </c>
      <c r="Y510" s="13">
        <f t="shared" si="138"/>
        <v>0</v>
      </c>
      <c r="Z510" s="13">
        <f t="shared" si="138"/>
        <v>0</v>
      </c>
      <c r="AA510" s="13">
        <f t="shared" si="138"/>
        <v>0</v>
      </c>
      <c r="AB510" s="13">
        <f t="shared" si="138"/>
        <v>0</v>
      </c>
      <c r="AC510" s="13">
        <f t="shared" si="138"/>
        <v>0</v>
      </c>
      <c r="AD510" s="13">
        <f t="shared" si="138"/>
        <v>0</v>
      </c>
      <c r="AE510" s="13">
        <f t="shared" si="138"/>
        <v>0</v>
      </c>
      <c r="AF510" s="13">
        <f t="shared" si="138"/>
        <v>0</v>
      </c>
    </row>
    <row r="511" spans="4:32">
      <c r="D511" t="s">
        <v>7</v>
      </c>
      <c r="E511" s="6"/>
      <c r="G511" t="s">
        <v>83</v>
      </c>
      <c r="I511" s="14">
        <v>1.1200000000000001</v>
      </c>
      <c r="J511" s="14">
        <v>1.2</v>
      </c>
      <c r="K511" s="14">
        <v>1.29</v>
      </c>
      <c r="L511" s="14">
        <v>1.36</v>
      </c>
      <c r="M511" s="14">
        <v>1.33</v>
      </c>
      <c r="N511" s="14">
        <v>0.98</v>
      </c>
      <c r="O511" s="14">
        <v>0.98</v>
      </c>
      <c r="P511" s="14">
        <v>0.98</v>
      </c>
      <c r="Q511" s="14">
        <v>0.98</v>
      </c>
      <c r="R511" s="14">
        <v>0.98</v>
      </c>
      <c r="S511" s="14">
        <v>1.02</v>
      </c>
      <c r="T511" s="14">
        <v>1.02</v>
      </c>
      <c r="U511" s="14">
        <v>1.02</v>
      </c>
      <c r="V511" s="14">
        <v>1.02</v>
      </c>
      <c r="W511" s="14">
        <v>1.02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</row>
    <row r="512" spans="4:32">
      <c r="D512" t="s">
        <v>9</v>
      </c>
      <c r="E512" s="8">
        <v>0.1</v>
      </c>
      <c r="G512" t="s">
        <v>83</v>
      </c>
      <c r="I512" s="15">
        <f>I511*(1+$E512)</f>
        <v>1.2320000000000002</v>
      </c>
      <c r="J512" s="15">
        <f t="shared" ref="J512:AF513" si="139">J511*(1+$E512)</f>
        <v>1.32</v>
      </c>
      <c r="K512" s="15">
        <f t="shared" si="139"/>
        <v>1.4190000000000003</v>
      </c>
      <c r="L512" s="15">
        <f t="shared" si="139"/>
        <v>1.4960000000000002</v>
      </c>
      <c r="M512" s="15">
        <f t="shared" si="139"/>
        <v>1.4630000000000003</v>
      </c>
      <c r="N512" s="15">
        <f t="shared" si="139"/>
        <v>1.0780000000000001</v>
      </c>
      <c r="O512" s="15">
        <f t="shared" si="139"/>
        <v>1.0780000000000001</v>
      </c>
      <c r="P512" s="15">
        <f t="shared" si="139"/>
        <v>1.0780000000000001</v>
      </c>
      <c r="Q512" s="15">
        <f t="shared" si="139"/>
        <v>1.0780000000000001</v>
      </c>
      <c r="R512" s="15">
        <f t="shared" si="139"/>
        <v>1.0780000000000001</v>
      </c>
      <c r="S512" s="15">
        <f t="shared" si="139"/>
        <v>1.1220000000000001</v>
      </c>
      <c r="T512" s="15">
        <f t="shared" si="139"/>
        <v>1.1220000000000001</v>
      </c>
      <c r="U512" s="15">
        <f t="shared" si="139"/>
        <v>1.1220000000000001</v>
      </c>
      <c r="V512" s="15">
        <f t="shared" si="139"/>
        <v>1.1220000000000001</v>
      </c>
      <c r="W512" s="15">
        <f t="shared" si="139"/>
        <v>1.1220000000000001</v>
      </c>
      <c r="X512" s="15">
        <f t="shared" si="139"/>
        <v>0</v>
      </c>
      <c r="Y512" s="15">
        <f t="shared" si="139"/>
        <v>0</v>
      </c>
      <c r="Z512" s="15">
        <f t="shared" si="139"/>
        <v>0</v>
      </c>
      <c r="AA512" s="15">
        <f t="shared" si="139"/>
        <v>0</v>
      </c>
      <c r="AB512" s="15">
        <f t="shared" si="139"/>
        <v>0</v>
      </c>
      <c r="AC512" s="15">
        <f t="shared" si="139"/>
        <v>0</v>
      </c>
      <c r="AD512" s="15">
        <f t="shared" si="139"/>
        <v>0</v>
      </c>
      <c r="AE512" s="15">
        <f t="shared" si="139"/>
        <v>0</v>
      </c>
      <c r="AF512" s="15">
        <f t="shared" si="139"/>
        <v>0</v>
      </c>
    </row>
    <row r="513" spans="4:32">
      <c r="D513" t="s">
        <v>10</v>
      </c>
      <c r="E513" s="8">
        <v>-0.1</v>
      </c>
      <c r="G513" t="s">
        <v>83</v>
      </c>
      <c r="I513" s="15">
        <f>I512*(1+$E513)</f>
        <v>1.1088000000000002</v>
      </c>
      <c r="J513" s="15">
        <f t="shared" si="139"/>
        <v>1.1880000000000002</v>
      </c>
      <c r="K513" s="15">
        <f t="shared" si="139"/>
        <v>1.2771000000000003</v>
      </c>
      <c r="L513" s="15">
        <f t="shared" si="139"/>
        <v>1.3464000000000003</v>
      </c>
      <c r="M513" s="15">
        <f t="shared" si="139"/>
        <v>1.3167000000000002</v>
      </c>
      <c r="N513" s="15">
        <f t="shared" si="139"/>
        <v>0.97020000000000006</v>
      </c>
      <c r="O513" s="15">
        <f t="shared" si="139"/>
        <v>0.97020000000000006</v>
      </c>
      <c r="P513" s="15">
        <f t="shared" si="139"/>
        <v>0.97020000000000006</v>
      </c>
      <c r="Q513" s="15">
        <f t="shared" si="139"/>
        <v>0.97020000000000006</v>
      </c>
      <c r="R513" s="15">
        <f t="shared" si="139"/>
        <v>0.97020000000000006</v>
      </c>
      <c r="S513" s="15">
        <f t="shared" si="139"/>
        <v>1.0098</v>
      </c>
      <c r="T513" s="15">
        <f t="shared" si="139"/>
        <v>1.0098</v>
      </c>
      <c r="U513" s="15">
        <f t="shared" si="139"/>
        <v>1.0098</v>
      </c>
      <c r="V513" s="15">
        <f t="shared" si="139"/>
        <v>1.0098</v>
      </c>
      <c r="W513" s="15">
        <f t="shared" si="139"/>
        <v>1.0098</v>
      </c>
      <c r="X513" s="15">
        <f t="shared" si="139"/>
        <v>0</v>
      </c>
      <c r="Y513" s="15">
        <f t="shared" si="139"/>
        <v>0</v>
      </c>
      <c r="Z513" s="15">
        <f t="shared" si="139"/>
        <v>0</v>
      </c>
      <c r="AA513" s="15">
        <f t="shared" si="139"/>
        <v>0</v>
      </c>
      <c r="AB513" s="15">
        <f t="shared" si="139"/>
        <v>0</v>
      </c>
      <c r="AC513" s="15">
        <f t="shared" si="139"/>
        <v>0</v>
      </c>
      <c r="AD513" s="15">
        <f t="shared" si="139"/>
        <v>0</v>
      </c>
      <c r="AE513" s="15">
        <f t="shared" si="139"/>
        <v>0</v>
      </c>
      <c r="AF513" s="15">
        <f t="shared" si="139"/>
        <v>0</v>
      </c>
    </row>
    <row r="514" spans="4:32">
      <c r="D514" t="s">
        <v>11</v>
      </c>
      <c r="E514" s="8"/>
      <c r="G514" t="s">
        <v>83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</row>
    <row r="515" spans="4:32">
      <c r="D515" t="s">
        <v>12</v>
      </c>
      <c r="E515" s="8"/>
      <c r="G515" t="s">
        <v>83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</row>
    <row r="517" spans="4:32">
      <c r="D517" s="5" t="s">
        <v>75</v>
      </c>
      <c r="E517" s="5" t="s">
        <v>7</v>
      </c>
      <c r="F517" s="5"/>
      <c r="G517" s="5"/>
      <c r="H517" s="13"/>
      <c r="I517" s="13">
        <f>INDEX(I518:I522,MATCH($E517,$D518:$D522,0))</f>
        <v>4.17</v>
      </c>
      <c r="J517" s="13">
        <f t="shared" ref="J517:AF517" si="140">INDEX(J518:J522,MATCH($E517,$D518:$D522,0))</f>
        <v>4.01</v>
      </c>
      <c r="K517" s="13">
        <f t="shared" si="140"/>
        <v>3.65</v>
      </c>
      <c r="L517" s="13">
        <f t="shared" si="140"/>
        <v>3.43</v>
      </c>
      <c r="M517" s="13">
        <f t="shared" si="140"/>
        <v>3.14</v>
      </c>
      <c r="N517" s="13">
        <f t="shared" si="140"/>
        <v>3.6</v>
      </c>
      <c r="O517" s="13">
        <f t="shared" si="140"/>
        <v>3.6</v>
      </c>
      <c r="P517" s="13">
        <f t="shared" si="140"/>
        <v>3.6</v>
      </c>
      <c r="Q517" s="13">
        <f t="shared" si="140"/>
        <v>3.6</v>
      </c>
      <c r="R517" s="13">
        <f t="shared" si="140"/>
        <v>3.6</v>
      </c>
      <c r="S517" s="13">
        <f t="shared" si="140"/>
        <v>3.35</v>
      </c>
      <c r="T517" s="13">
        <f t="shared" si="140"/>
        <v>3.35</v>
      </c>
      <c r="U517" s="13">
        <f t="shared" si="140"/>
        <v>3.35</v>
      </c>
      <c r="V517" s="13">
        <f t="shared" si="140"/>
        <v>3.35</v>
      </c>
      <c r="W517" s="13">
        <f t="shared" si="140"/>
        <v>3.35</v>
      </c>
      <c r="X517" s="13">
        <f t="shared" si="140"/>
        <v>0</v>
      </c>
      <c r="Y517" s="13">
        <f t="shared" si="140"/>
        <v>0</v>
      </c>
      <c r="Z517" s="13">
        <f t="shared" si="140"/>
        <v>0</v>
      </c>
      <c r="AA517" s="13">
        <f t="shared" si="140"/>
        <v>0</v>
      </c>
      <c r="AB517" s="13">
        <f t="shared" si="140"/>
        <v>0</v>
      </c>
      <c r="AC517" s="13">
        <f t="shared" si="140"/>
        <v>0</v>
      </c>
      <c r="AD517" s="13">
        <f t="shared" si="140"/>
        <v>0</v>
      </c>
      <c r="AE517" s="13">
        <f t="shared" si="140"/>
        <v>0</v>
      </c>
      <c r="AF517" s="13">
        <f t="shared" si="140"/>
        <v>0</v>
      </c>
    </row>
    <row r="518" spans="4:32">
      <c r="D518" t="s">
        <v>7</v>
      </c>
      <c r="E518" s="6"/>
      <c r="G518" t="s">
        <v>83</v>
      </c>
      <c r="I518" s="14">
        <v>4.17</v>
      </c>
      <c r="J518" s="14">
        <v>4.01</v>
      </c>
      <c r="K518" s="14">
        <v>3.65</v>
      </c>
      <c r="L518" s="14">
        <v>3.43</v>
      </c>
      <c r="M518" s="14">
        <v>3.14</v>
      </c>
      <c r="N518" s="14">
        <v>3.6</v>
      </c>
      <c r="O518" s="14">
        <v>3.6</v>
      </c>
      <c r="P518" s="14">
        <v>3.6</v>
      </c>
      <c r="Q518" s="14">
        <v>3.6</v>
      </c>
      <c r="R518" s="14">
        <v>3.6</v>
      </c>
      <c r="S518" s="14">
        <v>3.35</v>
      </c>
      <c r="T518" s="14">
        <v>3.35</v>
      </c>
      <c r="U518" s="14">
        <v>3.35</v>
      </c>
      <c r="V518" s="14">
        <v>3.35</v>
      </c>
      <c r="W518" s="14">
        <v>3.35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</row>
    <row r="519" spans="4:32">
      <c r="D519" t="s">
        <v>9</v>
      </c>
      <c r="E519" s="8">
        <v>0.1</v>
      </c>
      <c r="G519" t="s">
        <v>83</v>
      </c>
      <c r="I519" s="15">
        <f>I518*(1+$E519)</f>
        <v>4.5870000000000006</v>
      </c>
      <c r="J519" s="15">
        <f t="shared" ref="J519:AF520" si="141">J518*(1+$E519)</f>
        <v>4.4110000000000005</v>
      </c>
      <c r="K519" s="15">
        <f t="shared" si="141"/>
        <v>4.0150000000000006</v>
      </c>
      <c r="L519" s="15">
        <f t="shared" si="141"/>
        <v>3.7730000000000006</v>
      </c>
      <c r="M519" s="15">
        <f t="shared" si="141"/>
        <v>3.4540000000000006</v>
      </c>
      <c r="N519" s="15">
        <f t="shared" si="141"/>
        <v>3.9600000000000004</v>
      </c>
      <c r="O519" s="15">
        <f t="shared" si="141"/>
        <v>3.9600000000000004</v>
      </c>
      <c r="P519" s="15">
        <f t="shared" si="141"/>
        <v>3.9600000000000004</v>
      </c>
      <c r="Q519" s="15">
        <f t="shared" si="141"/>
        <v>3.9600000000000004</v>
      </c>
      <c r="R519" s="15">
        <f t="shared" si="141"/>
        <v>3.9600000000000004</v>
      </c>
      <c r="S519" s="15">
        <f t="shared" si="141"/>
        <v>3.6850000000000005</v>
      </c>
      <c r="T519" s="15">
        <f t="shared" si="141"/>
        <v>3.6850000000000005</v>
      </c>
      <c r="U519" s="15">
        <f t="shared" si="141"/>
        <v>3.6850000000000005</v>
      </c>
      <c r="V519" s="15">
        <f t="shared" si="141"/>
        <v>3.6850000000000005</v>
      </c>
      <c r="W519" s="15">
        <f t="shared" si="141"/>
        <v>3.6850000000000005</v>
      </c>
      <c r="X519" s="15">
        <f t="shared" si="141"/>
        <v>0</v>
      </c>
      <c r="Y519" s="15">
        <f t="shared" si="141"/>
        <v>0</v>
      </c>
      <c r="Z519" s="15">
        <f t="shared" si="141"/>
        <v>0</v>
      </c>
      <c r="AA519" s="15">
        <f t="shared" si="141"/>
        <v>0</v>
      </c>
      <c r="AB519" s="15">
        <f t="shared" si="141"/>
        <v>0</v>
      </c>
      <c r="AC519" s="15">
        <f t="shared" si="141"/>
        <v>0</v>
      </c>
      <c r="AD519" s="15">
        <f t="shared" si="141"/>
        <v>0</v>
      </c>
      <c r="AE519" s="15">
        <f t="shared" si="141"/>
        <v>0</v>
      </c>
      <c r="AF519" s="15">
        <f t="shared" si="141"/>
        <v>0</v>
      </c>
    </row>
    <row r="520" spans="4:32">
      <c r="D520" t="s">
        <v>10</v>
      </c>
      <c r="E520" s="8">
        <v>-0.1</v>
      </c>
      <c r="G520" t="s">
        <v>83</v>
      </c>
      <c r="I520" s="15">
        <f>I519*(1+$E520)</f>
        <v>4.1283000000000003</v>
      </c>
      <c r="J520" s="15">
        <f t="shared" si="141"/>
        <v>3.9699000000000004</v>
      </c>
      <c r="K520" s="15">
        <f t="shared" si="141"/>
        <v>3.6135000000000006</v>
      </c>
      <c r="L520" s="15">
        <f t="shared" si="141"/>
        <v>3.3957000000000006</v>
      </c>
      <c r="M520" s="15">
        <f t="shared" si="141"/>
        <v>3.1086000000000005</v>
      </c>
      <c r="N520" s="15">
        <f t="shared" si="141"/>
        <v>3.5640000000000005</v>
      </c>
      <c r="O520" s="15">
        <f t="shared" si="141"/>
        <v>3.5640000000000005</v>
      </c>
      <c r="P520" s="15">
        <f t="shared" si="141"/>
        <v>3.5640000000000005</v>
      </c>
      <c r="Q520" s="15">
        <f t="shared" si="141"/>
        <v>3.5640000000000005</v>
      </c>
      <c r="R520" s="15">
        <f t="shared" si="141"/>
        <v>3.5640000000000005</v>
      </c>
      <c r="S520" s="15">
        <f t="shared" si="141"/>
        <v>3.3165000000000004</v>
      </c>
      <c r="T520" s="15">
        <f t="shared" si="141"/>
        <v>3.3165000000000004</v>
      </c>
      <c r="U520" s="15">
        <f t="shared" si="141"/>
        <v>3.3165000000000004</v>
      </c>
      <c r="V520" s="15">
        <f t="shared" si="141"/>
        <v>3.3165000000000004</v>
      </c>
      <c r="W520" s="15">
        <f t="shared" si="141"/>
        <v>3.3165000000000004</v>
      </c>
      <c r="X520" s="15">
        <f t="shared" si="141"/>
        <v>0</v>
      </c>
      <c r="Y520" s="15">
        <f t="shared" si="141"/>
        <v>0</v>
      </c>
      <c r="Z520" s="15">
        <f t="shared" si="141"/>
        <v>0</v>
      </c>
      <c r="AA520" s="15">
        <f t="shared" si="141"/>
        <v>0</v>
      </c>
      <c r="AB520" s="15">
        <f t="shared" si="141"/>
        <v>0</v>
      </c>
      <c r="AC520" s="15">
        <f t="shared" si="141"/>
        <v>0</v>
      </c>
      <c r="AD520" s="15">
        <f t="shared" si="141"/>
        <v>0</v>
      </c>
      <c r="AE520" s="15">
        <f t="shared" si="141"/>
        <v>0</v>
      </c>
      <c r="AF520" s="15">
        <f t="shared" si="141"/>
        <v>0</v>
      </c>
    </row>
    <row r="521" spans="4:32">
      <c r="D521" t="s">
        <v>11</v>
      </c>
      <c r="E521" s="8"/>
      <c r="G521" t="s">
        <v>83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</row>
    <row r="522" spans="4:32">
      <c r="D522" t="s">
        <v>12</v>
      </c>
      <c r="E522" s="8"/>
      <c r="G522" t="s">
        <v>83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</row>
    <row r="524" spans="4:32">
      <c r="D524" s="5" t="s">
        <v>76</v>
      </c>
      <c r="E524" s="5" t="s">
        <v>7</v>
      </c>
      <c r="F524" s="5"/>
      <c r="G524" s="5"/>
      <c r="H524" s="13"/>
      <c r="I524" s="13">
        <f>INDEX(I525:I529,MATCH($E524,$D525:$D529,0))</f>
        <v>3.5</v>
      </c>
      <c r="J524" s="13">
        <f t="shared" ref="J524:AF524" si="142">INDEX(J525:J529,MATCH($E524,$D525:$D529,0))</f>
        <v>3.46</v>
      </c>
      <c r="K524" s="13">
        <f t="shared" si="142"/>
        <v>3.49</v>
      </c>
      <c r="L524" s="13">
        <f t="shared" si="142"/>
        <v>3.4</v>
      </c>
      <c r="M524" s="13">
        <f t="shared" si="142"/>
        <v>3.43</v>
      </c>
      <c r="N524" s="13">
        <f t="shared" si="142"/>
        <v>3.05</v>
      </c>
      <c r="O524" s="13">
        <f t="shared" si="142"/>
        <v>3.05</v>
      </c>
      <c r="P524" s="13">
        <f t="shared" si="142"/>
        <v>3.05</v>
      </c>
      <c r="Q524" s="13">
        <f t="shared" si="142"/>
        <v>3.05</v>
      </c>
      <c r="R524" s="13">
        <f t="shared" si="142"/>
        <v>3.05</v>
      </c>
      <c r="S524" s="13">
        <f t="shared" si="142"/>
        <v>3.04</v>
      </c>
      <c r="T524" s="13">
        <f t="shared" si="142"/>
        <v>3.04</v>
      </c>
      <c r="U524" s="13">
        <f t="shared" si="142"/>
        <v>3.04</v>
      </c>
      <c r="V524" s="13">
        <f t="shared" si="142"/>
        <v>3.04</v>
      </c>
      <c r="W524" s="13">
        <f t="shared" si="142"/>
        <v>3.04</v>
      </c>
      <c r="X524" s="13">
        <f t="shared" si="142"/>
        <v>0</v>
      </c>
      <c r="Y524" s="13">
        <f t="shared" si="142"/>
        <v>0</v>
      </c>
      <c r="Z524" s="13">
        <f t="shared" si="142"/>
        <v>0</v>
      </c>
      <c r="AA524" s="13">
        <f t="shared" si="142"/>
        <v>0</v>
      </c>
      <c r="AB524" s="13">
        <f t="shared" si="142"/>
        <v>0</v>
      </c>
      <c r="AC524" s="13">
        <f t="shared" si="142"/>
        <v>0</v>
      </c>
      <c r="AD524" s="13">
        <f t="shared" si="142"/>
        <v>0</v>
      </c>
      <c r="AE524" s="13">
        <f t="shared" si="142"/>
        <v>0</v>
      </c>
      <c r="AF524" s="13">
        <f t="shared" si="142"/>
        <v>0</v>
      </c>
    </row>
    <row r="525" spans="4:32">
      <c r="D525" t="s">
        <v>7</v>
      </c>
      <c r="E525" s="6"/>
      <c r="G525" t="s">
        <v>83</v>
      </c>
      <c r="I525" s="14">
        <v>3.5</v>
      </c>
      <c r="J525" s="14">
        <v>3.46</v>
      </c>
      <c r="K525" s="14">
        <v>3.49</v>
      </c>
      <c r="L525" s="14">
        <v>3.4</v>
      </c>
      <c r="M525" s="14">
        <v>3.43</v>
      </c>
      <c r="N525" s="14">
        <v>3.05</v>
      </c>
      <c r="O525" s="14">
        <v>3.05</v>
      </c>
      <c r="P525" s="14">
        <v>3.05</v>
      </c>
      <c r="Q525" s="14">
        <v>3.05</v>
      </c>
      <c r="R525" s="14">
        <v>3.05</v>
      </c>
      <c r="S525" s="14">
        <v>3.04</v>
      </c>
      <c r="T525" s="14">
        <v>3.04</v>
      </c>
      <c r="U525" s="14">
        <v>3.04</v>
      </c>
      <c r="V525" s="14">
        <v>3.04</v>
      </c>
      <c r="W525" s="14">
        <v>3.04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</row>
    <row r="526" spans="4:32">
      <c r="D526" t="s">
        <v>9</v>
      </c>
      <c r="E526" s="8">
        <v>0.1</v>
      </c>
      <c r="G526" t="s">
        <v>83</v>
      </c>
      <c r="I526" s="15">
        <f>I525*(1+$E526)</f>
        <v>3.8500000000000005</v>
      </c>
      <c r="J526" s="15">
        <f t="shared" ref="J526:AF527" si="143">J525*(1+$E526)</f>
        <v>3.806</v>
      </c>
      <c r="K526" s="15">
        <f t="shared" si="143"/>
        <v>3.8390000000000004</v>
      </c>
      <c r="L526" s="15">
        <f t="shared" si="143"/>
        <v>3.74</v>
      </c>
      <c r="M526" s="15">
        <f t="shared" si="143"/>
        <v>3.7730000000000006</v>
      </c>
      <c r="N526" s="15">
        <f t="shared" si="143"/>
        <v>3.355</v>
      </c>
      <c r="O526" s="15">
        <f t="shared" si="143"/>
        <v>3.355</v>
      </c>
      <c r="P526" s="15">
        <f t="shared" si="143"/>
        <v>3.355</v>
      </c>
      <c r="Q526" s="15">
        <f t="shared" si="143"/>
        <v>3.355</v>
      </c>
      <c r="R526" s="15">
        <f t="shared" si="143"/>
        <v>3.355</v>
      </c>
      <c r="S526" s="15">
        <f t="shared" si="143"/>
        <v>3.3440000000000003</v>
      </c>
      <c r="T526" s="15">
        <f t="shared" si="143"/>
        <v>3.3440000000000003</v>
      </c>
      <c r="U526" s="15">
        <f t="shared" si="143"/>
        <v>3.3440000000000003</v>
      </c>
      <c r="V526" s="15">
        <f t="shared" si="143"/>
        <v>3.3440000000000003</v>
      </c>
      <c r="W526" s="15">
        <f t="shared" si="143"/>
        <v>3.3440000000000003</v>
      </c>
      <c r="X526" s="15">
        <f t="shared" si="143"/>
        <v>0</v>
      </c>
      <c r="Y526" s="15">
        <f t="shared" si="143"/>
        <v>0</v>
      </c>
      <c r="Z526" s="15">
        <f t="shared" si="143"/>
        <v>0</v>
      </c>
      <c r="AA526" s="15">
        <f t="shared" si="143"/>
        <v>0</v>
      </c>
      <c r="AB526" s="15">
        <f t="shared" si="143"/>
        <v>0</v>
      </c>
      <c r="AC526" s="15">
        <f t="shared" si="143"/>
        <v>0</v>
      </c>
      <c r="AD526" s="15">
        <f t="shared" si="143"/>
        <v>0</v>
      </c>
      <c r="AE526" s="15">
        <f t="shared" si="143"/>
        <v>0</v>
      </c>
      <c r="AF526" s="15">
        <f t="shared" si="143"/>
        <v>0</v>
      </c>
    </row>
    <row r="527" spans="4:32">
      <c r="D527" t="s">
        <v>10</v>
      </c>
      <c r="E527" s="8">
        <v>-0.1</v>
      </c>
      <c r="G527" t="s">
        <v>83</v>
      </c>
      <c r="I527" s="15">
        <f>I526*(1+$E527)</f>
        <v>3.4650000000000007</v>
      </c>
      <c r="J527" s="15">
        <f t="shared" si="143"/>
        <v>3.4254000000000002</v>
      </c>
      <c r="K527" s="15">
        <f t="shared" si="143"/>
        <v>3.4551000000000003</v>
      </c>
      <c r="L527" s="15">
        <f t="shared" si="143"/>
        <v>3.3660000000000001</v>
      </c>
      <c r="M527" s="15">
        <f t="shared" si="143"/>
        <v>3.3957000000000006</v>
      </c>
      <c r="N527" s="15">
        <f t="shared" si="143"/>
        <v>3.0194999999999999</v>
      </c>
      <c r="O527" s="15">
        <f t="shared" si="143"/>
        <v>3.0194999999999999</v>
      </c>
      <c r="P527" s="15">
        <f t="shared" si="143"/>
        <v>3.0194999999999999</v>
      </c>
      <c r="Q527" s="15">
        <f t="shared" si="143"/>
        <v>3.0194999999999999</v>
      </c>
      <c r="R527" s="15">
        <f t="shared" si="143"/>
        <v>3.0194999999999999</v>
      </c>
      <c r="S527" s="15">
        <f t="shared" si="143"/>
        <v>3.0096000000000003</v>
      </c>
      <c r="T527" s="15">
        <f t="shared" si="143"/>
        <v>3.0096000000000003</v>
      </c>
      <c r="U527" s="15">
        <f t="shared" si="143"/>
        <v>3.0096000000000003</v>
      </c>
      <c r="V527" s="15">
        <f t="shared" si="143"/>
        <v>3.0096000000000003</v>
      </c>
      <c r="W527" s="15">
        <f t="shared" si="143"/>
        <v>3.0096000000000003</v>
      </c>
      <c r="X527" s="15">
        <f t="shared" si="143"/>
        <v>0</v>
      </c>
      <c r="Y527" s="15">
        <f t="shared" si="143"/>
        <v>0</v>
      </c>
      <c r="Z527" s="15">
        <f t="shared" si="143"/>
        <v>0</v>
      </c>
      <c r="AA527" s="15">
        <f t="shared" si="143"/>
        <v>0</v>
      </c>
      <c r="AB527" s="15">
        <f t="shared" si="143"/>
        <v>0</v>
      </c>
      <c r="AC527" s="15">
        <f t="shared" si="143"/>
        <v>0</v>
      </c>
      <c r="AD527" s="15">
        <f t="shared" si="143"/>
        <v>0</v>
      </c>
      <c r="AE527" s="15">
        <f t="shared" si="143"/>
        <v>0</v>
      </c>
      <c r="AF527" s="15">
        <f t="shared" si="143"/>
        <v>0</v>
      </c>
    </row>
    <row r="528" spans="4:32">
      <c r="D528" t="s">
        <v>11</v>
      </c>
      <c r="E528" s="8"/>
      <c r="G528" t="s">
        <v>83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</row>
    <row r="529" spans="4:32">
      <c r="D529" t="s">
        <v>12</v>
      </c>
      <c r="E529" s="8"/>
      <c r="G529" t="s">
        <v>83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</row>
    <row r="531" spans="4:32">
      <c r="D531" s="5" t="s">
        <v>77</v>
      </c>
      <c r="E531" s="5" t="s">
        <v>7</v>
      </c>
      <c r="F531" s="5"/>
      <c r="G531" s="5"/>
      <c r="H531" s="13"/>
      <c r="I531" s="13">
        <f>INDEX(I532:I536,MATCH($E531,$D532:$D536,0))</f>
        <v>2.6</v>
      </c>
      <c r="J531" s="13">
        <f t="shared" ref="J531:AF531" si="144">INDEX(J532:J536,MATCH($E531,$D532:$D536,0))</f>
        <v>2.4700000000000002</v>
      </c>
      <c r="K531" s="13">
        <f t="shared" si="144"/>
        <v>2.2400000000000002</v>
      </c>
      <c r="L531" s="13">
        <f t="shared" si="144"/>
        <v>2.0499999999999998</v>
      </c>
      <c r="M531" s="13">
        <f t="shared" si="144"/>
        <v>2.0299999999999998</v>
      </c>
      <c r="N531" s="13">
        <f t="shared" si="144"/>
        <v>2.0499999999999998</v>
      </c>
      <c r="O531" s="13">
        <f t="shared" si="144"/>
        <v>2.0499999999999998</v>
      </c>
      <c r="P531" s="13">
        <f t="shared" si="144"/>
        <v>2.0499999999999998</v>
      </c>
      <c r="Q531" s="13">
        <f t="shared" si="144"/>
        <v>2.0499999999999998</v>
      </c>
      <c r="R531" s="13">
        <f t="shared" si="144"/>
        <v>2.0499999999999998</v>
      </c>
      <c r="S531" s="13">
        <f t="shared" si="144"/>
        <v>1.96</v>
      </c>
      <c r="T531" s="13">
        <f t="shared" si="144"/>
        <v>1.96</v>
      </c>
      <c r="U531" s="13">
        <f t="shared" si="144"/>
        <v>1.96</v>
      </c>
      <c r="V531" s="13">
        <f t="shared" si="144"/>
        <v>1.96</v>
      </c>
      <c r="W531" s="13">
        <f t="shared" si="144"/>
        <v>1.96</v>
      </c>
      <c r="X531" s="13">
        <f t="shared" si="144"/>
        <v>0</v>
      </c>
      <c r="Y531" s="13">
        <f t="shared" si="144"/>
        <v>0</v>
      </c>
      <c r="Z531" s="13">
        <f t="shared" si="144"/>
        <v>0</v>
      </c>
      <c r="AA531" s="13">
        <f t="shared" si="144"/>
        <v>0</v>
      </c>
      <c r="AB531" s="13">
        <f t="shared" si="144"/>
        <v>0</v>
      </c>
      <c r="AC531" s="13">
        <f t="shared" si="144"/>
        <v>0</v>
      </c>
      <c r="AD531" s="13">
        <f t="shared" si="144"/>
        <v>0</v>
      </c>
      <c r="AE531" s="13">
        <f t="shared" si="144"/>
        <v>0</v>
      </c>
      <c r="AF531" s="13">
        <f t="shared" si="144"/>
        <v>0</v>
      </c>
    </row>
    <row r="532" spans="4:32">
      <c r="D532" t="s">
        <v>7</v>
      </c>
      <c r="E532" s="6"/>
      <c r="G532" t="s">
        <v>83</v>
      </c>
      <c r="I532" s="14">
        <v>2.6</v>
      </c>
      <c r="J532" s="14">
        <v>2.4700000000000002</v>
      </c>
      <c r="K532" s="14">
        <v>2.2400000000000002</v>
      </c>
      <c r="L532" s="14">
        <v>2.0499999999999998</v>
      </c>
      <c r="M532" s="14">
        <v>2.0299999999999998</v>
      </c>
      <c r="N532" s="14">
        <v>2.0499999999999998</v>
      </c>
      <c r="O532" s="14">
        <v>2.0499999999999998</v>
      </c>
      <c r="P532" s="14">
        <v>2.0499999999999998</v>
      </c>
      <c r="Q532" s="14">
        <v>2.0499999999999998</v>
      </c>
      <c r="R532" s="14">
        <v>2.0499999999999998</v>
      </c>
      <c r="S532" s="14">
        <v>1.96</v>
      </c>
      <c r="T532" s="14">
        <v>1.96</v>
      </c>
      <c r="U532" s="14">
        <v>1.96</v>
      </c>
      <c r="V532" s="14">
        <v>1.96</v>
      </c>
      <c r="W532" s="14">
        <v>1.96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</row>
    <row r="533" spans="4:32">
      <c r="D533" t="s">
        <v>9</v>
      </c>
      <c r="E533" s="8">
        <v>0.1</v>
      </c>
      <c r="G533" t="s">
        <v>83</v>
      </c>
      <c r="I533" s="15">
        <f>I532*(1+$E533)</f>
        <v>2.8600000000000003</v>
      </c>
      <c r="J533" s="15">
        <f t="shared" ref="J533:AF534" si="145">J532*(1+$E533)</f>
        <v>2.7170000000000005</v>
      </c>
      <c r="K533" s="15">
        <f t="shared" si="145"/>
        <v>2.4640000000000004</v>
      </c>
      <c r="L533" s="15">
        <f t="shared" si="145"/>
        <v>2.2549999999999999</v>
      </c>
      <c r="M533" s="15">
        <f t="shared" si="145"/>
        <v>2.2330000000000001</v>
      </c>
      <c r="N533" s="15">
        <f t="shared" si="145"/>
        <v>2.2549999999999999</v>
      </c>
      <c r="O533" s="15">
        <f t="shared" si="145"/>
        <v>2.2549999999999999</v>
      </c>
      <c r="P533" s="15">
        <f t="shared" si="145"/>
        <v>2.2549999999999999</v>
      </c>
      <c r="Q533" s="15">
        <f t="shared" si="145"/>
        <v>2.2549999999999999</v>
      </c>
      <c r="R533" s="15">
        <f t="shared" si="145"/>
        <v>2.2549999999999999</v>
      </c>
      <c r="S533" s="15">
        <f t="shared" si="145"/>
        <v>2.1560000000000001</v>
      </c>
      <c r="T533" s="15">
        <f t="shared" si="145"/>
        <v>2.1560000000000001</v>
      </c>
      <c r="U533" s="15">
        <f t="shared" si="145"/>
        <v>2.1560000000000001</v>
      </c>
      <c r="V533" s="15">
        <f t="shared" si="145"/>
        <v>2.1560000000000001</v>
      </c>
      <c r="W533" s="15">
        <f t="shared" si="145"/>
        <v>2.1560000000000001</v>
      </c>
      <c r="X533" s="15">
        <f t="shared" si="145"/>
        <v>0</v>
      </c>
      <c r="Y533" s="15">
        <f t="shared" si="145"/>
        <v>0</v>
      </c>
      <c r="Z533" s="15">
        <f t="shared" si="145"/>
        <v>0</v>
      </c>
      <c r="AA533" s="15">
        <f t="shared" si="145"/>
        <v>0</v>
      </c>
      <c r="AB533" s="15">
        <f t="shared" si="145"/>
        <v>0</v>
      </c>
      <c r="AC533" s="15">
        <f t="shared" si="145"/>
        <v>0</v>
      </c>
      <c r="AD533" s="15">
        <f t="shared" si="145"/>
        <v>0</v>
      </c>
      <c r="AE533" s="15">
        <f t="shared" si="145"/>
        <v>0</v>
      </c>
      <c r="AF533" s="15">
        <f t="shared" si="145"/>
        <v>0</v>
      </c>
    </row>
    <row r="534" spans="4:32">
      <c r="D534" t="s">
        <v>10</v>
      </c>
      <c r="E534" s="8">
        <v>-0.1</v>
      </c>
      <c r="G534" t="s">
        <v>83</v>
      </c>
      <c r="I534" s="15">
        <f>I533*(1+$E534)</f>
        <v>2.5740000000000003</v>
      </c>
      <c r="J534" s="15">
        <f t="shared" si="145"/>
        <v>2.4453000000000005</v>
      </c>
      <c r="K534" s="15">
        <f t="shared" si="145"/>
        <v>2.2176000000000005</v>
      </c>
      <c r="L534" s="15">
        <f t="shared" si="145"/>
        <v>2.0295000000000001</v>
      </c>
      <c r="M534" s="15">
        <f t="shared" si="145"/>
        <v>2.0097</v>
      </c>
      <c r="N534" s="15">
        <f t="shared" si="145"/>
        <v>2.0295000000000001</v>
      </c>
      <c r="O534" s="15">
        <f t="shared" si="145"/>
        <v>2.0295000000000001</v>
      </c>
      <c r="P534" s="15">
        <f t="shared" si="145"/>
        <v>2.0295000000000001</v>
      </c>
      <c r="Q534" s="15">
        <f t="shared" si="145"/>
        <v>2.0295000000000001</v>
      </c>
      <c r="R534" s="15">
        <f t="shared" si="145"/>
        <v>2.0295000000000001</v>
      </c>
      <c r="S534" s="15">
        <f t="shared" si="145"/>
        <v>1.9404000000000001</v>
      </c>
      <c r="T534" s="15">
        <f t="shared" si="145"/>
        <v>1.9404000000000001</v>
      </c>
      <c r="U534" s="15">
        <f t="shared" si="145"/>
        <v>1.9404000000000001</v>
      </c>
      <c r="V534" s="15">
        <f t="shared" si="145"/>
        <v>1.9404000000000001</v>
      </c>
      <c r="W534" s="15">
        <f t="shared" si="145"/>
        <v>1.9404000000000001</v>
      </c>
      <c r="X534" s="15">
        <f t="shared" si="145"/>
        <v>0</v>
      </c>
      <c r="Y534" s="15">
        <f t="shared" si="145"/>
        <v>0</v>
      </c>
      <c r="Z534" s="15">
        <f t="shared" si="145"/>
        <v>0</v>
      </c>
      <c r="AA534" s="15">
        <f t="shared" si="145"/>
        <v>0</v>
      </c>
      <c r="AB534" s="15">
        <f t="shared" si="145"/>
        <v>0</v>
      </c>
      <c r="AC534" s="15">
        <f t="shared" si="145"/>
        <v>0</v>
      </c>
      <c r="AD534" s="15">
        <f t="shared" si="145"/>
        <v>0</v>
      </c>
      <c r="AE534" s="15">
        <f t="shared" si="145"/>
        <v>0</v>
      </c>
      <c r="AF534" s="15">
        <f t="shared" si="145"/>
        <v>0</v>
      </c>
    </row>
    <row r="535" spans="4:32">
      <c r="D535" t="s">
        <v>11</v>
      </c>
      <c r="E535" s="8"/>
      <c r="G535" t="s">
        <v>83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</row>
    <row r="536" spans="4:32">
      <c r="D536" t="s">
        <v>12</v>
      </c>
      <c r="E536" s="8"/>
      <c r="G536" t="s">
        <v>83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</row>
    <row r="538" spans="4:32">
      <c r="D538" s="5" t="s">
        <v>78</v>
      </c>
      <c r="E538" s="5" t="s">
        <v>7</v>
      </c>
      <c r="F538" s="5"/>
      <c r="G538" s="5"/>
      <c r="H538" s="13"/>
      <c r="I538" s="13">
        <f>INDEX(I539:I543,MATCH($E538,$D539:$D543,0))</f>
        <v>0</v>
      </c>
      <c r="J538" s="13">
        <f t="shared" ref="J538:AF538" si="146">INDEX(J539:J543,MATCH($E538,$D539:$D543,0))</f>
        <v>0</v>
      </c>
      <c r="K538" s="13">
        <f t="shared" si="146"/>
        <v>0</v>
      </c>
      <c r="L538" s="13">
        <f t="shared" si="146"/>
        <v>0</v>
      </c>
      <c r="M538" s="13">
        <f t="shared" si="146"/>
        <v>0</v>
      </c>
      <c r="N538" s="13">
        <f t="shared" si="146"/>
        <v>0</v>
      </c>
      <c r="O538" s="13">
        <f t="shared" si="146"/>
        <v>0</v>
      </c>
      <c r="P538" s="13">
        <f t="shared" si="146"/>
        <v>0</v>
      </c>
      <c r="Q538" s="13">
        <f t="shared" si="146"/>
        <v>0</v>
      </c>
      <c r="R538" s="13">
        <f t="shared" si="146"/>
        <v>0</v>
      </c>
      <c r="S538" s="13">
        <f t="shared" si="146"/>
        <v>0</v>
      </c>
      <c r="T538" s="13">
        <f t="shared" si="146"/>
        <v>0</v>
      </c>
      <c r="U538" s="13">
        <f t="shared" si="146"/>
        <v>0</v>
      </c>
      <c r="V538" s="13">
        <f t="shared" si="146"/>
        <v>0</v>
      </c>
      <c r="W538" s="13">
        <f t="shared" si="146"/>
        <v>0</v>
      </c>
      <c r="X538" s="13">
        <f t="shared" si="146"/>
        <v>0</v>
      </c>
      <c r="Y538" s="13">
        <f t="shared" si="146"/>
        <v>0</v>
      </c>
      <c r="Z538" s="13">
        <f t="shared" si="146"/>
        <v>0</v>
      </c>
      <c r="AA538" s="13">
        <f t="shared" si="146"/>
        <v>0</v>
      </c>
      <c r="AB538" s="13">
        <f t="shared" si="146"/>
        <v>0</v>
      </c>
      <c r="AC538" s="13">
        <f t="shared" si="146"/>
        <v>0</v>
      </c>
      <c r="AD538" s="13">
        <f t="shared" si="146"/>
        <v>0</v>
      </c>
      <c r="AE538" s="13">
        <f t="shared" si="146"/>
        <v>0</v>
      </c>
      <c r="AF538" s="13">
        <f t="shared" si="146"/>
        <v>0</v>
      </c>
    </row>
    <row r="539" spans="4:32">
      <c r="D539" t="s">
        <v>7</v>
      </c>
      <c r="E539" s="6"/>
      <c r="G539" t="s">
        <v>83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</row>
    <row r="540" spans="4:32">
      <c r="D540" t="s">
        <v>9</v>
      </c>
      <c r="E540" s="8">
        <v>0.1</v>
      </c>
      <c r="G540" t="s">
        <v>83</v>
      </c>
      <c r="I540" s="15">
        <f>I539*(1+$E540)</f>
        <v>0</v>
      </c>
      <c r="J540" s="15">
        <f t="shared" ref="J540:AF541" si="147">J539*(1+$E540)</f>
        <v>0</v>
      </c>
      <c r="K540" s="15">
        <f t="shared" si="147"/>
        <v>0</v>
      </c>
      <c r="L540" s="15">
        <f t="shared" si="147"/>
        <v>0</v>
      </c>
      <c r="M540" s="15">
        <f t="shared" si="147"/>
        <v>0</v>
      </c>
      <c r="N540" s="15">
        <f t="shared" si="147"/>
        <v>0</v>
      </c>
      <c r="O540" s="15">
        <f t="shared" si="147"/>
        <v>0</v>
      </c>
      <c r="P540" s="15">
        <f t="shared" si="147"/>
        <v>0</v>
      </c>
      <c r="Q540" s="15">
        <f t="shared" si="147"/>
        <v>0</v>
      </c>
      <c r="R540" s="15">
        <f t="shared" si="147"/>
        <v>0</v>
      </c>
      <c r="S540" s="15">
        <f t="shared" si="147"/>
        <v>0</v>
      </c>
      <c r="T540" s="15">
        <f t="shared" si="147"/>
        <v>0</v>
      </c>
      <c r="U540" s="15">
        <f t="shared" si="147"/>
        <v>0</v>
      </c>
      <c r="V540" s="15">
        <f t="shared" si="147"/>
        <v>0</v>
      </c>
      <c r="W540" s="15">
        <f t="shared" si="147"/>
        <v>0</v>
      </c>
      <c r="X540" s="15">
        <f t="shared" si="147"/>
        <v>0</v>
      </c>
      <c r="Y540" s="15">
        <f t="shared" si="147"/>
        <v>0</v>
      </c>
      <c r="Z540" s="15">
        <f t="shared" si="147"/>
        <v>0</v>
      </c>
      <c r="AA540" s="15">
        <f t="shared" si="147"/>
        <v>0</v>
      </c>
      <c r="AB540" s="15">
        <f t="shared" si="147"/>
        <v>0</v>
      </c>
      <c r="AC540" s="15">
        <f t="shared" si="147"/>
        <v>0</v>
      </c>
      <c r="AD540" s="15">
        <f t="shared" si="147"/>
        <v>0</v>
      </c>
      <c r="AE540" s="15">
        <f t="shared" si="147"/>
        <v>0</v>
      </c>
      <c r="AF540" s="15">
        <f t="shared" si="147"/>
        <v>0</v>
      </c>
    </row>
    <row r="541" spans="4:32">
      <c r="D541" t="s">
        <v>10</v>
      </c>
      <c r="E541" s="8">
        <v>-0.1</v>
      </c>
      <c r="G541" t="s">
        <v>83</v>
      </c>
      <c r="I541" s="15">
        <f>I540*(1+$E541)</f>
        <v>0</v>
      </c>
      <c r="J541" s="15">
        <f t="shared" si="147"/>
        <v>0</v>
      </c>
      <c r="K541" s="15">
        <f t="shared" si="147"/>
        <v>0</v>
      </c>
      <c r="L541" s="15">
        <f t="shared" si="147"/>
        <v>0</v>
      </c>
      <c r="M541" s="15">
        <f t="shared" si="147"/>
        <v>0</v>
      </c>
      <c r="N541" s="15">
        <f t="shared" si="147"/>
        <v>0</v>
      </c>
      <c r="O541" s="15">
        <f t="shared" si="147"/>
        <v>0</v>
      </c>
      <c r="P541" s="15">
        <f t="shared" si="147"/>
        <v>0</v>
      </c>
      <c r="Q541" s="15">
        <f t="shared" si="147"/>
        <v>0</v>
      </c>
      <c r="R541" s="15">
        <f t="shared" si="147"/>
        <v>0</v>
      </c>
      <c r="S541" s="15">
        <f t="shared" si="147"/>
        <v>0</v>
      </c>
      <c r="T541" s="15">
        <f t="shared" si="147"/>
        <v>0</v>
      </c>
      <c r="U541" s="15">
        <f t="shared" si="147"/>
        <v>0</v>
      </c>
      <c r="V541" s="15">
        <f t="shared" si="147"/>
        <v>0</v>
      </c>
      <c r="W541" s="15">
        <f t="shared" si="147"/>
        <v>0</v>
      </c>
      <c r="X541" s="15">
        <f t="shared" si="147"/>
        <v>0</v>
      </c>
      <c r="Y541" s="15">
        <f t="shared" si="147"/>
        <v>0</v>
      </c>
      <c r="Z541" s="15">
        <f t="shared" si="147"/>
        <v>0</v>
      </c>
      <c r="AA541" s="15">
        <f t="shared" si="147"/>
        <v>0</v>
      </c>
      <c r="AB541" s="15">
        <f t="shared" si="147"/>
        <v>0</v>
      </c>
      <c r="AC541" s="15">
        <f t="shared" si="147"/>
        <v>0</v>
      </c>
      <c r="AD541" s="15">
        <f t="shared" si="147"/>
        <v>0</v>
      </c>
      <c r="AE541" s="15">
        <f t="shared" si="147"/>
        <v>0</v>
      </c>
      <c r="AF541" s="15">
        <f t="shared" si="147"/>
        <v>0</v>
      </c>
    </row>
    <row r="542" spans="4:32">
      <c r="D542" t="s">
        <v>11</v>
      </c>
      <c r="E542" s="8"/>
      <c r="G542" t="s">
        <v>83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</row>
    <row r="543" spans="4:32">
      <c r="D543" t="s">
        <v>12</v>
      </c>
      <c r="E543" s="8"/>
      <c r="G543" t="s">
        <v>83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</row>
    <row r="545" spans="4:32">
      <c r="D545" s="4" t="s">
        <v>85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4:32">
      <c r="D546" s="5" t="s">
        <v>73</v>
      </c>
      <c r="E546" s="5" t="s">
        <v>7</v>
      </c>
      <c r="F546" s="5"/>
      <c r="G546" s="5"/>
      <c r="H546" s="13"/>
      <c r="I546" s="13">
        <f>INDEX(I547:I551,MATCH($E546,$D547:$D551,0))</f>
        <v>0.89</v>
      </c>
      <c r="J546" s="13">
        <f t="shared" ref="J546:AF546" si="148">INDEX(J547:J551,MATCH($E546,$D547:$D551,0))</f>
        <v>0.91</v>
      </c>
      <c r="K546" s="13">
        <f t="shared" si="148"/>
        <v>0.89</v>
      </c>
      <c r="L546" s="13">
        <f t="shared" si="148"/>
        <v>0.88</v>
      </c>
      <c r="M546" s="13">
        <f t="shared" si="148"/>
        <v>0.87</v>
      </c>
      <c r="N546" s="13">
        <f t="shared" si="148"/>
        <v>0.77</v>
      </c>
      <c r="O546" s="13">
        <f t="shared" si="148"/>
        <v>0.77</v>
      </c>
      <c r="P546" s="13">
        <f t="shared" si="148"/>
        <v>0.77</v>
      </c>
      <c r="Q546" s="13">
        <f t="shared" si="148"/>
        <v>0.77</v>
      </c>
      <c r="R546" s="13">
        <f t="shared" si="148"/>
        <v>0.77</v>
      </c>
      <c r="S546" s="13">
        <f t="shared" si="148"/>
        <v>0.52</v>
      </c>
      <c r="T546" s="13">
        <f t="shared" si="148"/>
        <v>0.52</v>
      </c>
      <c r="U546" s="13">
        <f t="shared" si="148"/>
        <v>0.52</v>
      </c>
      <c r="V546" s="13">
        <f t="shared" si="148"/>
        <v>0.52</v>
      </c>
      <c r="W546" s="13">
        <f t="shared" si="148"/>
        <v>0.52</v>
      </c>
      <c r="X546" s="13">
        <f t="shared" si="148"/>
        <v>0.11</v>
      </c>
      <c r="Y546" s="13">
        <f t="shared" si="148"/>
        <v>0.11</v>
      </c>
      <c r="Z546" s="13">
        <f t="shared" si="148"/>
        <v>0.11</v>
      </c>
      <c r="AA546" s="13">
        <f t="shared" si="148"/>
        <v>0.11</v>
      </c>
      <c r="AB546" s="13">
        <f t="shared" si="148"/>
        <v>0.11</v>
      </c>
      <c r="AC546" s="13">
        <f t="shared" si="148"/>
        <v>0.11</v>
      </c>
      <c r="AD546" s="13">
        <f t="shared" si="148"/>
        <v>0.11</v>
      </c>
      <c r="AE546" s="13">
        <f t="shared" si="148"/>
        <v>0.11</v>
      </c>
      <c r="AF546" s="13">
        <f t="shared" si="148"/>
        <v>0.11</v>
      </c>
    </row>
    <row r="547" spans="4:32">
      <c r="D547" t="s">
        <v>7</v>
      </c>
      <c r="E547" s="6"/>
      <c r="G547" t="s">
        <v>83</v>
      </c>
      <c r="I547" s="14">
        <v>0.89</v>
      </c>
      <c r="J547" s="14">
        <v>0.91</v>
      </c>
      <c r="K547" s="14">
        <v>0.89</v>
      </c>
      <c r="L547" s="14">
        <v>0.88</v>
      </c>
      <c r="M547" s="14">
        <v>0.87</v>
      </c>
      <c r="N547" s="14">
        <v>0.77</v>
      </c>
      <c r="O547" s="14">
        <v>0.77</v>
      </c>
      <c r="P547" s="14">
        <v>0.77</v>
      </c>
      <c r="Q547" s="14">
        <v>0.77</v>
      </c>
      <c r="R547" s="14">
        <v>0.77</v>
      </c>
      <c r="S547" s="14">
        <v>0.52</v>
      </c>
      <c r="T547" s="14">
        <v>0.52</v>
      </c>
      <c r="U547" s="14">
        <v>0.52</v>
      </c>
      <c r="V547" s="14">
        <v>0.52</v>
      </c>
      <c r="W547" s="14">
        <v>0.52</v>
      </c>
      <c r="X547" s="14">
        <v>0.11</v>
      </c>
      <c r="Y547" s="14">
        <v>0.11</v>
      </c>
      <c r="Z547" s="14">
        <v>0.11</v>
      </c>
      <c r="AA547" s="14">
        <v>0.11</v>
      </c>
      <c r="AB547" s="14">
        <v>0.11</v>
      </c>
      <c r="AC547" s="14">
        <v>0.11</v>
      </c>
      <c r="AD547" s="14">
        <v>0.11</v>
      </c>
      <c r="AE547" s="14">
        <v>0.11</v>
      </c>
      <c r="AF547" s="14">
        <v>0.11</v>
      </c>
    </row>
    <row r="548" spans="4:32">
      <c r="D548" t="s">
        <v>9</v>
      </c>
      <c r="E548" s="8">
        <v>0.1</v>
      </c>
      <c r="G548" t="s">
        <v>83</v>
      </c>
      <c r="I548" s="15">
        <f>I547*(1+$E548)</f>
        <v>0.97900000000000009</v>
      </c>
      <c r="J548" s="15">
        <f t="shared" ref="J548:AF549" si="149">J547*(1+$E548)</f>
        <v>1.0010000000000001</v>
      </c>
      <c r="K548" s="15">
        <f t="shared" si="149"/>
        <v>0.97900000000000009</v>
      </c>
      <c r="L548" s="15">
        <f t="shared" si="149"/>
        <v>0.96800000000000008</v>
      </c>
      <c r="M548" s="15">
        <f t="shared" si="149"/>
        <v>0.95700000000000007</v>
      </c>
      <c r="N548" s="15">
        <f t="shared" si="149"/>
        <v>0.84700000000000009</v>
      </c>
      <c r="O548" s="15">
        <f t="shared" si="149"/>
        <v>0.84700000000000009</v>
      </c>
      <c r="P548" s="15">
        <f t="shared" si="149"/>
        <v>0.84700000000000009</v>
      </c>
      <c r="Q548" s="15">
        <f t="shared" si="149"/>
        <v>0.84700000000000009</v>
      </c>
      <c r="R548" s="15">
        <f t="shared" si="149"/>
        <v>0.84700000000000009</v>
      </c>
      <c r="S548" s="15">
        <f t="shared" si="149"/>
        <v>0.57200000000000006</v>
      </c>
      <c r="T548" s="15">
        <f t="shared" si="149"/>
        <v>0.57200000000000006</v>
      </c>
      <c r="U548" s="15">
        <f t="shared" si="149"/>
        <v>0.57200000000000006</v>
      </c>
      <c r="V548" s="15">
        <f t="shared" si="149"/>
        <v>0.57200000000000006</v>
      </c>
      <c r="W548" s="15">
        <f t="shared" si="149"/>
        <v>0.57200000000000006</v>
      </c>
      <c r="X548" s="15">
        <f t="shared" si="149"/>
        <v>0.12100000000000001</v>
      </c>
      <c r="Y548" s="15">
        <f t="shared" si="149"/>
        <v>0.12100000000000001</v>
      </c>
      <c r="Z548" s="15">
        <f t="shared" si="149"/>
        <v>0.12100000000000001</v>
      </c>
      <c r="AA548" s="15">
        <f t="shared" si="149"/>
        <v>0.12100000000000001</v>
      </c>
      <c r="AB548" s="15">
        <f t="shared" si="149"/>
        <v>0.12100000000000001</v>
      </c>
      <c r="AC548" s="15">
        <f t="shared" si="149"/>
        <v>0.12100000000000001</v>
      </c>
      <c r="AD548" s="15">
        <f t="shared" si="149"/>
        <v>0.12100000000000001</v>
      </c>
      <c r="AE548" s="15">
        <f t="shared" si="149"/>
        <v>0.12100000000000001</v>
      </c>
      <c r="AF548" s="15">
        <f t="shared" si="149"/>
        <v>0.12100000000000001</v>
      </c>
    </row>
    <row r="549" spans="4:32">
      <c r="D549" t="s">
        <v>10</v>
      </c>
      <c r="E549" s="8">
        <v>-0.1</v>
      </c>
      <c r="G549" t="s">
        <v>83</v>
      </c>
      <c r="I549" s="15">
        <f>I548*(1+$E549)</f>
        <v>0.88110000000000011</v>
      </c>
      <c r="J549" s="15">
        <f t="shared" si="149"/>
        <v>0.90090000000000015</v>
      </c>
      <c r="K549" s="15">
        <f t="shared" si="149"/>
        <v>0.88110000000000011</v>
      </c>
      <c r="L549" s="15">
        <f t="shared" si="149"/>
        <v>0.87120000000000009</v>
      </c>
      <c r="M549" s="15">
        <f t="shared" si="149"/>
        <v>0.86130000000000007</v>
      </c>
      <c r="N549" s="15">
        <f t="shared" si="149"/>
        <v>0.76230000000000009</v>
      </c>
      <c r="O549" s="15">
        <f t="shared" si="149"/>
        <v>0.76230000000000009</v>
      </c>
      <c r="P549" s="15">
        <f t="shared" si="149"/>
        <v>0.76230000000000009</v>
      </c>
      <c r="Q549" s="15">
        <f t="shared" si="149"/>
        <v>0.76230000000000009</v>
      </c>
      <c r="R549" s="15">
        <f t="shared" si="149"/>
        <v>0.76230000000000009</v>
      </c>
      <c r="S549" s="15">
        <f t="shared" si="149"/>
        <v>0.51480000000000004</v>
      </c>
      <c r="T549" s="15">
        <f t="shared" si="149"/>
        <v>0.51480000000000004</v>
      </c>
      <c r="U549" s="15">
        <f t="shared" si="149"/>
        <v>0.51480000000000004</v>
      </c>
      <c r="V549" s="15">
        <f t="shared" si="149"/>
        <v>0.51480000000000004</v>
      </c>
      <c r="W549" s="15">
        <f t="shared" si="149"/>
        <v>0.51480000000000004</v>
      </c>
      <c r="X549" s="15">
        <f t="shared" si="149"/>
        <v>0.10890000000000001</v>
      </c>
      <c r="Y549" s="15">
        <f t="shared" si="149"/>
        <v>0.10890000000000001</v>
      </c>
      <c r="Z549" s="15">
        <f t="shared" si="149"/>
        <v>0.10890000000000001</v>
      </c>
      <c r="AA549" s="15">
        <f t="shared" si="149"/>
        <v>0.10890000000000001</v>
      </c>
      <c r="AB549" s="15">
        <f t="shared" si="149"/>
        <v>0.10890000000000001</v>
      </c>
      <c r="AC549" s="15">
        <f t="shared" si="149"/>
        <v>0.10890000000000001</v>
      </c>
      <c r="AD549" s="15">
        <f t="shared" si="149"/>
        <v>0.10890000000000001</v>
      </c>
      <c r="AE549" s="15">
        <f t="shared" si="149"/>
        <v>0.10890000000000001</v>
      </c>
      <c r="AF549" s="15">
        <f t="shared" si="149"/>
        <v>0.10890000000000001</v>
      </c>
    </row>
    <row r="550" spans="4:32">
      <c r="D550" t="s">
        <v>11</v>
      </c>
      <c r="E550" s="8"/>
      <c r="G550" t="s">
        <v>83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</row>
    <row r="551" spans="4:32">
      <c r="D551" t="s">
        <v>12</v>
      </c>
      <c r="E551" s="8"/>
      <c r="G551" t="s">
        <v>83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</row>
    <row r="553" spans="4:32">
      <c r="D553" s="5" t="s">
        <v>75</v>
      </c>
      <c r="E553" s="5" t="s">
        <v>7</v>
      </c>
      <c r="F553" s="5"/>
      <c r="G553" s="5"/>
      <c r="H553" s="13"/>
      <c r="I553" s="13">
        <f>INDEX(I554:I558,MATCH($E553,$D554:$D558,0))</f>
        <v>1.33</v>
      </c>
      <c r="J553" s="13">
        <f t="shared" ref="J553:AF553" si="150">INDEX(J554:J558,MATCH($E553,$D554:$D558,0))</f>
        <v>1.34</v>
      </c>
      <c r="K553" s="13">
        <f t="shared" si="150"/>
        <v>1.5</v>
      </c>
      <c r="L553" s="13">
        <f t="shared" si="150"/>
        <v>0.98</v>
      </c>
      <c r="M553" s="13">
        <f t="shared" si="150"/>
        <v>0.96</v>
      </c>
      <c r="N553" s="13">
        <f t="shared" si="150"/>
        <v>0.91</v>
      </c>
      <c r="O553" s="13">
        <f t="shared" si="150"/>
        <v>0.91</v>
      </c>
      <c r="P553" s="13">
        <f t="shared" si="150"/>
        <v>0.91</v>
      </c>
      <c r="Q553" s="13">
        <f t="shared" si="150"/>
        <v>0.91</v>
      </c>
      <c r="R553" s="13">
        <f t="shared" si="150"/>
        <v>0.91</v>
      </c>
      <c r="S553" s="13">
        <f t="shared" si="150"/>
        <v>0.84</v>
      </c>
      <c r="T553" s="13">
        <f t="shared" si="150"/>
        <v>0.84</v>
      </c>
      <c r="U553" s="13">
        <f t="shared" si="150"/>
        <v>0.84</v>
      </c>
      <c r="V553" s="13">
        <f t="shared" si="150"/>
        <v>0.84</v>
      </c>
      <c r="W553" s="13">
        <f t="shared" si="150"/>
        <v>0.84</v>
      </c>
      <c r="X553" s="13">
        <f t="shared" si="150"/>
        <v>0.64</v>
      </c>
      <c r="Y553" s="13">
        <f t="shared" si="150"/>
        <v>0.64</v>
      </c>
      <c r="Z553" s="13">
        <f t="shared" si="150"/>
        <v>0.64</v>
      </c>
      <c r="AA553" s="13">
        <f t="shared" si="150"/>
        <v>0.64</v>
      </c>
      <c r="AB553" s="13">
        <f t="shared" si="150"/>
        <v>0.64</v>
      </c>
      <c r="AC553" s="13">
        <f t="shared" si="150"/>
        <v>0.64</v>
      </c>
      <c r="AD553" s="13">
        <f t="shared" si="150"/>
        <v>0.64</v>
      </c>
      <c r="AE553" s="13">
        <f t="shared" si="150"/>
        <v>0.64</v>
      </c>
      <c r="AF553" s="13">
        <f t="shared" si="150"/>
        <v>0.64</v>
      </c>
    </row>
    <row r="554" spans="4:32">
      <c r="D554" t="s">
        <v>7</v>
      </c>
      <c r="E554" s="6"/>
      <c r="G554" t="s">
        <v>83</v>
      </c>
      <c r="I554" s="14">
        <v>1.33</v>
      </c>
      <c r="J554" s="14">
        <v>1.34</v>
      </c>
      <c r="K554" s="14">
        <v>1.5</v>
      </c>
      <c r="L554" s="14">
        <v>0.98</v>
      </c>
      <c r="M554" s="14">
        <v>0.96</v>
      </c>
      <c r="N554" s="14">
        <v>0.91</v>
      </c>
      <c r="O554" s="14">
        <v>0.91</v>
      </c>
      <c r="P554" s="14">
        <v>0.91</v>
      </c>
      <c r="Q554" s="14">
        <v>0.91</v>
      </c>
      <c r="R554" s="14">
        <v>0.91</v>
      </c>
      <c r="S554" s="14">
        <v>0.84</v>
      </c>
      <c r="T554" s="14">
        <v>0.84</v>
      </c>
      <c r="U554" s="14">
        <v>0.84</v>
      </c>
      <c r="V554" s="14">
        <v>0.84</v>
      </c>
      <c r="W554" s="14">
        <v>0.84</v>
      </c>
      <c r="X554" s="14">
        <v>0.64</v>
      </c>
      <c r="Y554" s="14">
        <v>0.64</v>
      </c>
      <c r="Z554" s="14">
        <v>0.64</v>
      </c>
      <c r="AA554" s="14">
        <v>0.64</v>
      </c>
      <c r="AB554" s="14">
        <v>0.64</v>
      </c>
      <c r="AC554" s="14">
        <v>0.64</v>
      </c>
      <c r="AD554" s="14">
        <v>0.64</v>
      </c>
      <c r="AE554" s="14">
        <v>0.64</v>
      </c>
      <c r="AF554" s="14">
        <v>0.64</v>
      </c>
    </row>
    <row r="555" spans="4:32">
      <c r="D555" t="s">
        <v>9</v>
      </c>
      <c r="E555" s="8">
        <v>0.1</v>
      </c>
      <c r="G555" t="s">
        <v>83</v>
      </c>
      <c r="I555" s="15">
        <f>I554*(1+$E555)</f>
        <v>1.4630000000000003</v>
      </c>
      <c r="J555" s="15">
        <f t="shared" ref="J555:AF556" si="151">J554*(1+$E555)</f>
        <v>1.4740000000000002</v>
      </c>
      <c r="K555" s="15">
        <f t="shared" si="151"/>
        <v>1.6500000000000001</v>
      </c>
      <c r="L555" s="15">
        <f t="shared" si="151"/>
        <v>1.0780000000000001</v>
      </c>
      <c r="M555" s="15">
        <f t="shared" si="151"/>
        <v>1.056</v>
      </c>
      <c r="N555" s="15">
        <f t="shared" si="151"/>
        <v>1.0010000000000001</v>
      </c>
      <c r="O555" s="15">
        <f t="shared" si="151"/>
        <v>1.0010000000000001</v>
      </c>
      <c r="P555" s="15">
        <f t="shared" si="151"/>
        <v>1.0010000000000001</v>
      </c>
      <c r="Q555" s="15">
        <f t="shared" si="151"/>
        <v>1.0010000000000001</v>
      </c>
      <c r="R555" s="15">
        <f t="shared" si="151"/>
        <v>1.0010000000000001</v>
      </c>
      <c r="S555" s="15">
        <f t="shared" si="151"/>
        <v>0.92400000000000004</v>
      </c>
      <c r="T555" s="15">
        <f t="shared" si="151"/>
        <v>0.92400000000000004</v>
      </c>
      <c r="U555" s="15">
        <f t="shared" si="151"/>
        <v>0.92400000000000004</v>
      </c>
      <c r="V555" s="15">
        <f t="shared" si="151"/>
        <v>0.92400000000000004</v>
      </c>
      <c r="W555" s="15">
        <f t="shared" si="151"/>
        <v>0.92400000000000004</v>
      </c>
      <c r="X555" s="15">
        <f t="shared" si="151"/>
        <v>0.70400000000000007</v>
      </c>
      <c r="Y555" s="15">
        <f t="shared" si="151"/>
        <v>0.70400000000000007</v>
      </c>
      <c r="Z555" s="15">
        <f t="shared" si="151"/>
        <v>0.70400000000000007</v>
      </c>
      <c r="AA555" s="15">
        <f t="shared" si="151"/>
        <v>0.70400000000000007</v>
      </c>
      <c r="AB555" s="15">
        <f t="shared" si="151"/>
        <v>0.70400000000000007</v>
      </c>
      <c r="AC555" s="15">
        <f t="shared" si="151"/>
        <v>0.70400000000000007</v>
      </c>
      <c r="AD555" s="15">
        <f t="shared" si="151"/>
        <v>0.70400000000000007</v>
      </c>
      <c r="AE555" s="15">
        <f t="shared" si="151"/>
        <v>0.70400000000000007</v>
      </c>
      <c r="AF555" s="15">
        <f t="shared" si="151"/>
        <v>0.70400000000000007</v>
      </c>
    </row>
    <row r="556" spans="4:32">
      <c r="D556" t="s">
        <v>10</v>
      </c>
      <c r="E556" s="8">
        <v>-0.1</v>
      </c>
      <c r="G556" t="s">
        <v>83</v>
      </c>
      <c r="I556" s="15">
        <f>I555*(1+$E556)</f>
        <v>1.3167000000000002</v>
      </c>
      <c r="J556" s="15">
        <f t="shared" si="151"/>
        <v>1.3266000000000002</v>
      </c>
      <c r="K556" s="15">
        <f t="shared" si="151"/>
        <v>1.4850000000000001</v>
      </c>
      <c r="L556" s="15">
        <f t="shared" si="151"/>
        <v>0.97020000000000006</v>
      </c>
      <c r="M556" s="15">
        <f t="shared" si="151"/>
        <v>0.95040000000000002</v>
      </c>
      <c r="N556" s="15">
        <f t="shared" si="151"/>
        <v>0.90090000000000015</v>
      </c>
      <c r="O556" s="15">
        <f t="shared" si="151"/>
        <v>0.90090000000000015</v>
      </c>
      <c r="P556" s="15">
        <f t="shared" si="151"/>
        <v>0.90090000000000015</v>
      </c>
      <c r="Q556" s="15">
        <f t="shared" si="151"/>
        <v>0.90090000000000015</v>
      </c>
      <c r="R556" s="15">
        <f t="shared" si="151"/>
        <v>0.90090000000000015</v>
      </c>
      <c r="S556" s="15">
        <f t="shared" si="151"/>
        <v>0.83160000000000001</v>
      </c>
      <c r="T556" s="15">
        <f t="shared" si="151"/>
        <v>0.83160000000000001</v>
      </c>
      <c r="U556" s="15">
        <f t="shared" si="151"/>
        <v>0.83160000000000001</v>
      </c>
      <c r="V556" s="15">
        <f t="shared" si="151"/>
        <v>0.83160000000000001</v>
      </c>
      <c r="W556" s="15">
        <f t="shared" si="151"/>
        <v>0.83160000000000001</v>
      </c>
      <c r="X556" s="15">
        <f t="shared" si="151"/>
        <v>0.63360000000000005</v>
      </c>
      <c r="Y556" s="15">
        <f t="shared" si="151"/>
        <v>0.63360000000000005</v>
      </c>
      <c r="Z556" s="15">
        <f t="shared" si="151"/>
        <v>0.63360000000000005</v>
      </c>
      <c r="AA556" s="15">
        <f t="shared" si="151"/>
        <v>0.63360000000000005</v>
      </c>
      <c r="AB556" s="15">
        <f t="shared" si="151"/>
        <v>0.63360000000000005</v>
      </c>
      <c r="AC556" s="15">
        <f t="shared" si="151"/>
        <v>0.63360000000000005</v>
      </c>
      <c r="AD556" s="15">
        <f t="shared" si="151"/>
        <v>0.63360000000000005</v>
      </c>
      <c r="AE556" s="15">
        <f t="shared" si="151"/>
        <v>0.63360000000000005</v>
      </c>
      <c r="AF556" s="15">
        <f t="shared" si="151"/>
        <v>0.63360000000000005</v>
      </c>
    </row>
    <row r="557" spans="4:32">
      <c r="D557" t="s">
        <v>11</v>
      </c>
      <c r="E557" s="8"/>
      <c r="G557" t="s">
        <v>83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</row>
    <row r="558" spans="4:32">
      <c r="D558" t="s">
        <v>12</v>
      </c>
      <c r="E558" s="8"/>
      <c r="G558" t="s">
        <v>83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</row>
    <row r="560" spans="4:32">
      <c r="D560" s="5" t="s">
        <v>76</v>
      </c>
      <c r="E560" s="5" t="s">
        <v>7</v>
      </c>
      <c r="F560" s="5"/>
      <c r="G560" s="5"/>
      <c r="H560" s="13"/>
      <c r="I560" s="13">
        <f>INDEX(I561:I565,MATCH($E560,$D561:$D565,0))</f>
        <v>0.32</v>
      </c>
      <c r="J560" s="13">
        <f t="shared" ref="J560:AF560" si="152">INDEX(J561:J565,MATCH($E560,$D561:$D565,0))</f>
        <v>0.24</v>
      </c>
      <c r="K560" s="13">
        <f t="shared" si="152"/>
        <v>0.24</v>
      </c>
      <c r="L560" s="13">
        <f t="shared" si="152"/>
        <v>0.22</v>
      </c>
      <c r="M560" s="13">
        <f t="shared" si="152"/>
        <v>0.16</v>
      </c>
      <c r="N560" s="13">
        <f t="shared" si="152"/>
        <v>0.16</v>
      </c>
      <c r="O560" s="13">
        <f t="shared" si="152"/>
        <v>0.16</v>
      </c>
      <c r="P560" s="13">
        <f t="shared" si="152"/>
        <v>0.16</v>
      </c>
      <c r="Q560" s="13">
        <f t="shared" si="152"/>
        <v>0.16</v>
      </c>
      <c r="R560" s="13">
        <f t="shared" si="152"/>
        <v>0.16</v>
      </c>
      <c r="S560" s="13">
        <f t="shared" si="152"/>
        <v>0.15</v>
      </c>
      <c r="T560" s="13">
        <f t="shared" si="152"/>
        <v>0.15</v>
      </c>
      <c r="U560" s="13">
        <f t="shared" si="152"/>
        <v>0.15</v>
      </c>
      <c r="V560" s="13">
        <f t="shared" si="152"/>
        <v>0.15</v>
      </c>
      <c r="W560" s="13">
        <f t="shared" si="152"/>
        <v>0.15</v>
      </c>
      <c r="X560" s="13">
        <f t="shared" si="152"/>
        <v>7.0000000000000007E-2</v>
      </c>
      <c r="Y560" s="13">
        <f t="shared" si="152"/>
        <v>7.0000000000000007E-2</v>
      </c>
      <c r="Z560" s="13">
        <f t="shared" si="152"/>
        <v>7.0000000000000007E-2</v>
      </c>
      <c r="AA560" s="13">
        <f t="shared" si="152"/>
        <v>7.0000000000000007E-2</v>
      </c>
      <c r="AB560" s="13">
        <f t="shared" si="152"/>
        <v>7.0000000000000007E-2</v>
      </c>
      <c r="AC560" s="13">
        <f t="shared" si="152"/>
        <v>7.0000000000000007E-2</v>
      </c>
      <c r="AD560" s="13">
        <f t="shared" si="152"/>
        <v>7.0000000000000007E-2</v>
      </c>
      <c r="AE560" s="13">
        <f t="shared" si="152"/>
        <v>7.0000000000000007E-2</v>
      </c>
      <c r="AF560" s="13">
        <f t="shared" si="152"/>
        <v>7.0000000000000007E-2</v>
      </c>
    </row>
    <row r="561" spans="4:32">
      <c r="D561" t="s">
        <v>7</v>
      </c>
      <c r="E561" s="6"/>
      <c r="G561" t="s">
        <v>83</v>
      </c>
      <c r="I561" s="14">
        <v>0.32</v>
      </c>
      <c r="J561" s="14">
        <v>0.24</v>
      </c>
      <c r="K561" s="14">
        <v>0.24</v>
      </c>
      <c r="L561" s="14">
        <v>0.22</v>
      </c>
      <c r="M561" s="14">
        <v>0.16</v>
      </c>
      <c r="N561" s="14">
        <v>0.16</v>
      </c>
      <c r="O561" s="14">
        <v>0.16</v>
      </c>
      <c r="P561" s="14">
        <v>0.16</v>
      </c>
      <c r="Q561" s="14">
        <v>0.16</v>
      </c>
      <c r="R561" s="14">
        <v>0.16</v>
      </c>
      <c r="S561" s="14">
        <v>0.15</v>
      </c>
      <c r="T561" s="14">
        <v>0.15</v>
      </c>
      <c r="U561" s="14">
        <v>0.15</v>
      </c>
      <c r="V561" s="14">
        <v>0.15</v>
      </c>
      <c r="W561" s="14">
        <v>0.15</v>
      </c>
      <c r="X561" s="14">
        <v>7.0000000000000007E-2</v>
      </c>
      <c r="Y561" s="14">
        <v>7.0000000000000007E-2</v>
      </c>
      <c r="Z561" s="14">
        <v>7.0000000000000007E-2</v>
      </c>
      <c r="AA561" s="14">
        <v>7.0000000000000007E-2</v>
      </c>
      <c r="AB561" s="14">
        <v>7.0000000000000007E-2</v>
      </c>
      <c r="AC561" s="14">
        <v>7.0000000000000007E-2</v>
      </c>
      <c r="AD561" s="14">
        <v>7.0000000000000007E-2</v>
      </c>
      <c r="AE561" s="14">
        <v>7.0000000000000007E-2</v>
      </c>
      <c r="AF561" s="14">
        <v>7.0000000000000007E-2</v>
      </c>
    </row>
    <row r="562" spans="4:32">
      <c r="D562" t="s">
        <v>9</v>
      </c>
      <c r="E562" s="8">
        <v>0.1</v>
      </c>
      <c r="G562" t="s">
        <v>83</v>
      </c>
      <c r="I562" s="15">
        <f>I561*(1+$E562)</f>
        <v>0.35200000000000004</v>
      </c>
      <c r="J562" s="15">
        <f t="shared" ref="J562:AF563" si="153">J561*(1+$E562)</f>
        <v>0.26400000000000001</v>
      </c>
      <c r="K562" s="15">
        <f t="shared" si="153"/>
        <v>0.26400000000000001</v>
      </c>
      <c r="L562" s="15">
        <f t="shared" si="153"/>
        <v>0.24200000000000002</v>
      </c>
      <c r="M562" s="15">
        <f t="shared" si="153"/>
        <v>0.17600000000000002</v>
      </c>
      <c r="N562" s="15">
        <f t="shared" si="153"/>
        <v>0.17600000000000002</v>
      </c>
      <c r="O562" s="15">
        <f t="shared" si="153"/>
        <v>0.17600000000000002</v>
      </c>
      <c r="P562" s="15">
        <f t="shared" si="153"/>
        <v>0.17600000000000002</v>
      </c>
      <c r="Q562" s="15">
        <f t="shared" si="153"/>
        <v>0.17600000000000002</v>
      </c>
      <c r="R562" s="15">
        <f t="shared" si="153"/>
        <v>0.17600000000000002</v>
      </c>
      <c r="S562" s="15">
        <f t="shared" si="153"/>
        <v>0.16500000000000001</v>
      </c>
      <c r="T562" s="15">
        <f t="shared" si="153"/>
        <v>0.16500000000000001</v>
      </c>
      <c r="U562" s="15">
        <f t="shared" si="153"/>
        <v>0.16500000000000001</v>
      </c>
      <c r="V562" s="15">
        <f t="shared" si="153"/>
        <v>0.16500000000000001</v>
      </c>
      <c r="W562" s="15">
        <f t="shared" si="153"/>
        <v>0.16500000000000001</v>
      </c>
      <c r="X562" s="15">
        <f t="shared" si="153"/>
        <v>7.7000000000000013E-2</v>
      </c>
      <c r="Y562" s="15">
        <f t="shared" si="153"/>
        <v>7.7000000000000013E-2</v>
      </c>
      <c r="Z562" s="15">
        <f t="shared" si="153"/>
        <v>7.7000000000000013E-2</v>
      </c>
      <c r="AA562" s="15">
        <f t="shared" si="153"/>
        <v>7.7000000000000013E-2</v>
      </c>
      <c r="AB562" s="15">
        <f t="shared" si="153"/>
        <v>7.7000000000000013E-2</v>
      </c>
      <c r="AC562" s="15">
        <f t="shared" si="153"/>
        <v>7.7000000000000013E-2</v>
      </c>
      <c r="AD562" s="15">
        <f t="shared" si="153"/>
        <v>7.7000000000000013E-2</v>
      </c>
      <c r="AE562" s="15">
        <f t="shared" si="153"/>
        <v>7.7000000000000013E-2</v>
      </c>
      <c r="AF562" s="15">
        <f t="shared" si="153"/>
        <v>7.7000000000000013E-2</v>
      </c>
    </row>
    <row r="563" spans="4:32">
      <c r="D563" t="s">
        <v>10</v>
      </c>
      <c r="E563" s="8">
        <v>-0.1</v>
      </c>
      <c r="G563" t="s">
        <v>83</v>
      </c>
      <c r="I563" s="15">
        <f>I562*(1+$E563)</f>
        <v>0.31680000000000003</v>
      </c>
      <c r="J563" s="15">
        <f t="shared" si="153"/>
        <v>0.23760000000000001</v>
      </c>
      <c r="K563" s="15">
        <f t="shared" si="153"/>
        <v>0.23760000000000001</v>
      </c>
      <c r="L563" s="15">
        <f t="shared" si="153"/>
        <v>0.21780000000000002</v>
      </c>
      <c r="M563" s="15">
        <f t="shared" si="153"/>
        <v>0.15840000000000001</v>
      </c>
      <c r="N563" s="15">
        <f t="shared" si="153"/>
        <v>0.15840000000000001</v>
      </c>
      <c r="O563" s="15">
        <f t="shared" si="153"/>
        <v>0.15840000000000001</v>
      </c>
      <c r="P563" s="15">
        <f t="shared" si="153"/>
        <v>0.15840000000000001</v>
      </c>
      <c r="Q563" s="15">
        <f t="shared" si="153"/>
        <v>0.15840000000000001</v>
      </c>
      <c r="R563" s="15">
        <f t="shared" si="153"/>
        <v>0.15840000000000001</v>
      </c>
      <c r="S563" s="15">
        <f t="shared" si="153"/>
        <v>0.14850000000000002</v>
      </c>
      <c r="T563" s="15">
        <f t="shared" si="153"/>
        <v>0.14850000000000002</v>
      </c>
      <c r="U563" s="15">
        <f t="shared" si="153"/>
        <v>0.14850000000000002</v>
      </c>
      <c r="V563" s="15">
        <f t="shared" si="153"/>
        <v>0.14850000000000002</v>
      </c>
      <c r="W563" s="15">
        <f t="shared" si="153"/>
        <v>0.14850000000000002</v>
      </c>
      <c r="X563" s="15">
        <f t="shared" si="153"/>
        <v>6.9300000000000014E-2</v>
      </c>
      <c r="Y563" s="15">
        <f t="shared" si="153"/>
        <v>6.9300000000000014E-2</v>
      </c>
      <c r="Z563" s="15">
        <f t="shared" si="153"/>
        <v>6.9300000000000014E-2</v>
      </c>
      <c r="AA563" s="15">
        <f t="shared" si="153"/>
        <v>6.9300000000000014E-2</v>
      </c>
      <c r="AB563" s="15">
        <f t="shared" si="153"/>
        <v>6.9300000000000014E-2</v>
      </c>
      <c r="AC563" s="15">
        <f t="shared" si="153"/>
        <v>6.9300000000000014E-2</v>
      </c>
      <c r="AD563" s="15">
        <f t="shared" si="153"/>
        <v>6.9300000000000014E-2</v>
      </c>
      <c r="AE563" s="15">
        <f t="shared" si="153"/>
        <v>6.9300000000000014E-2</v>
      </c>
      <c r="AF563" s="15">
        <f t="shared" si="153"/>
        <v>6.9300000000000014E-2</v>
      </c>
    </row>
    <row r="564" spans="4:32">
      <c r="D564" t="s">
        <v>11</v>
      </c>
      <c r="E564" s="8"/>
      <c r="G564" t="s">
        <v>83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14">
        <v>0</v>
      </c>
      <c r="AD564" s="14">
        <v>0</v>
      </c>
      <c r="AE564" s="14">
        <v>0</v>
      </c>
      <c r="AF564" s="14">
        <v>0</v>
      </c>
    </row>
    <row r="565" spans="4:32">
      <c r="D565" t="s">
        <v>12</v>
      </c>
      <c r="E565" s="8"/>
      <c r="G565" t="s">
        <v>83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</row>
    <row r="567" spans="4:32">
      <c r="D567" s="5" t="s">
        <v>77</v>
      </c>
      <c r="E567" s="5" t="s">
        <v>7</v>
      </c>
      <c r="F567" s="5"/>
      <c r="G567" s="5"/>
      <c r="H567" s="13"/>
      <c r="I567" s="13">
        <f>INDEX(I568:I572,MATCH($E567,$D568:$D572,0))</f>
        <v>0.02</v>
      </c>
      <c r="J567" s="13">
        <f t="shared" ref="J567:AF567" si="154">INDEX(J568:J572,MATCH($E567,$D568:$D572,0))</f>
        <v>0.01</v>
      </c>
      <c r="K567" s="13">
        <f t="shared" si="154"/>
        <v>0.01</v>
      </c>
      <c r="L567" s="13">
        <f t="shared" si="154"/>
        <v>0.01</v>
      </c>
      <c r="M567" s="13">
        <f t="shared" si="154"/>
        <v>0.01</v>
      </c>
      <c r="N567" s="13">
        <f t="shared" si="154"/>
        <v>0.01</v>
      </c>
      <c r="O567" s="13">
        <f t="shared" si="154"/>
        <v>0.01</v>
      </c>
      <c r="P567" s="13">
        <f t="shared" si="154"/>
        <v>0.01</v>
      </c>
      <c r="Q567" s="13">
        <f t="shared" si="154"/>
        <v>0.01</v>
      </c>
      <c r="R567" s="13">
        <f t="shared" si="154"/>
        <v>0.01</v>
      </c>
      <c r="S567" s="13">
        <f t="shared" si="154"/>
        <v>0.01</v>
      </c>
      <c r="T567" s="13">
        <f t="shared" si="154"/>
        <v>0.01</v>
      </c>
      <c r="U567" s="13">
        <f t="shared" si="154"/>
        <v>0.01</v>
      </c>
      <c r="V567" s="13">
        <f t="shared" si="154"/>
        <v>0.01</v>
      </c>
      <c r="W567" s="13">
        <f t="shared" si="154"/>
        <v>0.01</v>
      </c>
      <c r="X567" s="13">
        <f t="shared" si="154"/>
        <v>0.01</v>
      </c>
      <c r="Y567" s="13">
        <f t="shared" si="154"/>
        <v>0.01</v>
      </c>
      <c r="Z567" s="13">
        <f t="shared" si="154"/>
        <v>0.01</v>
      </c>
      <c r="AA567" s="13">
        <f t="shared" si="154"/>
        <v>0.01</v>
      </c>
      <c r="AB567" s="13">
        <f t="shared" si="154"/>
        <v>0.01</v>
      </c>
      <c r="AC567" s="13">
        <f t="shared" si="154"/>
        <v>0.01</v>
      </c>
      <c r="AD567" s="13">
        <f t="shared" si="154"/>
        <v>0.01</v>
      </c>
      <c r="AE567" s="13">
        <f t="shared" si="154"/>
        <v>0.01</v>
      </c>
      <c r="AF567" s="13">
        <f t="shared" si="154"/>
        <v>0.01</v>
      </c>
    </row>
    <row r="568" spans="4:32">
      <c r="D568" t="s">
        <v>7</v>
      </c>
      <c r="E568" s="6"/>
      <c r="G568" t="s">
        <v>83</v>
      </c>
      <c r="I568" s="14">
        <v>0.02</v>
      </c>
      <c r="J568" s="14">
        <v>0.01</v>
      </c>
      <c r="K568" s="14">
        <v>0.01</v>
      </c>
      <c r="L568" s="14">
        <v>0.01</v>
      </c>
      <c r="M568" s="14">
        <v>0.01</v>
      </c>
      <c r="N568" s="14">
        <v>0.01</v>
      </c>
      <c r="O568" s="14">
        <v>0.01</v>
      </c>
      <c r="P568" s="14">
        <v>0.01</v>
      </c>
      <c r="Q568" s="14">
        <v>0.01</v>
      </c>
      <c r="R568" s="14">
        <v>0.01</v>
      </c>
      <c r="S568" s="14">
        <v>0.01</v>
      </c>
      <c r="T568" s="14">
        <v>0.01</v>
      </c>
      <c r="U568" s="14">
        <v>0.01</v>
      </c>
      <c r="V568" s="14">
        <v>0.01</v>
      </c>
      <c r="W568" s="14">
        <v>0.01</v>
      </c>
      <c r="X568" s="14">
        <v>0.01</v>
      </c>
      <c r="Y568" s="14">
        <v>0.01</v>
      </c>
      <c r="Z568" s="14">
        <v>0.01</v>
      </c>
      <c r="AA568" s="14">
        <v>0.01</v>
      </c>
      <c r="AB568" s="14">
        <v>0.01</v>
      </c>
      <c r="AC568" s="14">
        <v>0.01</v>
      </c>
      <c r="AD568" s="14">
        <v>0.01</v>
      </c>
      <c r="AE568" s="14">
        <v>0.01</v>
      </c>
      <c r="AF568" s="14">
        <v>0.01</v>
      </c>
    </row>
    <row r="569" spans="4:32">
      <c r="D569" t="s">
        <v>9</v>
      </c>
      <c r="E569" s="8">
        <v>0.1</v>
      </c>
      <c r="G569" t="s">
        <v>83</v>
      </c>
      <c r="I569" s="15">
        <f>I568*(1+$E569)</f>
        <v>2.2000000000000002E-2</v>
      </c>
      <c r="J569" s="15">
        <f t="shared" ref="J569:AF570" si="155">J568*(1+$E569)</f>
        <v>1.1000000000000001E-2</v>
      </c>
      <c r="K569" s="15">
        <f t="shared" si="155"/>
        <v>1.1000000000000001E-2</v>
      </c>
      <c r="L569" s="15">
        <f t="shared" si="155"/>
        <v>1.1000000000000001E-2</v>
      </c>
      <c r="M569" s="15">
        <f t="shared" si="155"/>
        <v>1.1000000000000001E-2</v>
      </c>
      <c r="N569" s="15">
        <f t="shared" si="155"/>
        <v>1.1000000000000001E-2</v>
      </c>
      <c r="O569" s="15">
        <f t="shared" si="155"/>
        <v>1.1000000000000001E-2</v>
      </c>
      <c r="P569" s="15">
        <f t="shared" si="155"/>
        <v>1.1000000000000001E-2</v>
      </c>
      <c r="Q569" s="15">
        <f t="shared" si="155"/>
        <v>1.1000000000000001E-2</v>
      </c>
      <c r="R569" s="15">
        <f t="shared" si="155"/>
        <v>1.1000000000000001E-2</v>
      </c>
      <c r="S569" s="15">
        <f t="shared" si="155"/>
        <v>1.1000000000000001E-2</v>
      </c>
      <c r="T569" s="15">
        <f t="shared" si="155"/>
        <v>1.1000000000000001E-2</v>
      </c>
      <c r="U569" s="15">
        <f t="shared" si="155"/>
        <v>1.1000000000000001E-2</v>
      </c>
      <c r="V569" s="15">
        <f t="shared" si="155"/>
        <v>1.1000000000000001E-2</v>
      </c>
      <c r="W569" s="15">
        <f t="shared" si="155"/>
        <v>1.1000000000000001E-2</v>
      </c>
      <c r="X569" s="15">
        <f t="shared" si="155"/>
        <v>1.1000000000000001E-2</v>
      </c>
      <c r="Y569" s="15">
        <f t="shared" si="155"/>
        <v>1.1000000000000001E-2</v>
      </c>
      <c r="Z569" s="15">
        <f t="shared" si="155"/>
        <v>1.1000000000000001E-2</v>
      </c>
      <c r="AA569" s="15">
        <f t="shared" si="155"/>
        <v>1.1000000000000001E-2</v>
      </c>
      <c r="AB569" s="15">
        <f t="shared" si="155"/>
        <v>1.1000000000000001E-2</v>
      </c>
      <c r="AC569" s="15">
        <f t="shared" si="155"/>
        <v>1.1000000000000001E-2</v>
      </c>
      <c r="AD569" s="15">
        <f t="shared" si="155"/>
        <v>1.1000000000000001E-2</v>
      </c>
      <c r="AE569" s="15">
        <f t="shared" si="155"/>
        <v>1.1000000000000001E-2</v>
      </c>
      <c r="AF569" s="15">
        <f t="shared" si="155"/>
        <v>1.1000000000000001E-2</v>
      </c>
    </row>
    <row r="570" spans="4:32">
      <c r="D570" t="s">
        <v>10</v>
      </c>
      <c r="E570" s="8">
        <v>-0.1</v>
      </c>
      <c r="G570" t="s">
        <v>83</v>
      </c>
      <c r="I570" s="15">
        <f>I569*(1+$E570)</f>
        <v>1.9800000000000002E-2</v>
      </c>
      <c r="J570" s="15">
        <f t="shared" si="155"/>
        <v>9.9000000000000008E-3</v>
      </c>
      <c r="K570" s="15">
        <f t="shared" si="155"/>
        <v>9.9000000000000008E-3</v>
      </c>
      <c r="L570" s="15">
        <f t="shared" si="155"/>
        <v>9.9000000000000008E-3</v>
      </c>
      <c r="M570" s="15">
        <f t="shared" si="155"/>
        <v>9.9000000000000008E-3</v>
      </c>
      <c r="N570" s="15">
        <f t="shared" si="155"/>
        <v>9.9000000000000008E-3</v>
      </c>
      <c r="O570" s="15">
        <f t="shared" si="155"/>
        <v>9.9000000000000008E-3</v>
      </c>
      <c r="P570" s="15">
        <f t="shared" si="155"/>
        <v>9.9000000000000008E-3</v>
      </c>
      <c r="Q570" s="15">
        <f t="shared" si="155"/>
        <v>9.9000000000000008E-3</v>
      </c>
      <c r="R570" s="15">
        <f t="shared" si="155"/>
        <v>9.9000000000000008E-3</v>
      </c>
      <c r="S570" s="15">
        <f t="shared" si="155"/>
        <v>9.9000000000000008E-3</v>
      </c>
      <c r="T570" s="15">
        <f t="shared" si="155"/>
        <v>9.9000000000000008E-3</v>
      </c>
      <c r="U570" s="15">
        <f t="shared" si="155"/>
        <v>9.9000000000000008E-3</v>
      </c>
      <c r="V570" s="15">
        <f t="shared" si="155"/>
        <v>9.9000000000000008E-3</v>
      </c>
      <c r="W570" s="15">
        <f t="shared" si="155"/>
        <v>9.9000000000000008E-3</v>
      </c>
      <c r="X570" s="15">
        <f t="shared" si="155"/>
        <v>9.9000000000000008E-3</v>
      </c>
      <c r="Y570" s="15">
        <f t="shared" si="155"/>
        <v>9.9000000000000008E-3</v>
      </c>
      <c r="Z570" s="15">
        <f t="shared" si="155"/>
        <v>9.9000000000000008E-3</v>
      </c>
      <c r="AA570" s="15">
        <f t="shared" si="155"/>
        <v>9.9000000000000008E-3</v>
      </c>
      <c r="AB570" s="15">
        <f t="shared" si="155"/>
        <v>9.9000000000000008E-3</v>
      </c>
      <c r="AC570" s="15">
        <f t="shared" si="155"/>
        <v>9.9000000000000008E-3</v>
      </c>
      <c r="AD570" s="15">
        <f t="shared" si="155"/>
        <v>9.9000000000000008E-3</v>
      </c>
      <c r="AE570" s="15">
        <f t="shared" si="155"/>
        <v>9.9000000000000008E-3</v>
      </c>
      <c r="AF570" s="15">
        <f t="shared" si="155"/>
        <v>9.9000000000000008E-3</v>
      </c>
    </row>
    <row r="571" spans="4:32">
      <c r="D571" t="s">
        <v>11</v>
      </c>
      <c r="E571" s="8"/>
      <c r="G571" t="s">
        <v>83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</row>
    <row r="572" spans="4:32">
      <c r="D572" t="s">
        <v>12</v>
      </c>
      <c r="E572" s="8"/>
      <c r="G572" t="s">
        <v>83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</row>
    <row r="574" spans="4:32">
      <c r="D574" s="5" t="s">
        <v>78</v>
      </c>
      <c r="E574" s="5" t="s">
        <v>7</v>
      </c>
      <c r="F574" s="5"/>
      <c r="G574" s="5"/>
      <c r="H574" s="13"/>
      <c r="I574" s="13">
        <f>INDEX(I575:I579,MATCH($E574,$D575:$D579,0))</f>
        <v>-0.12</v>
      </c>
      <c r="J574" s="13">
        <f t="shared" ref="J574:AF574" si="156">INDEX(J575:J579,MATCH($E574,$D575:$D579,0))</f>
        <v>-0.15</v>
      </c>
      <c r="K574" s="13">
        <f t="shared" si="156"/>
        <v>-0.17</v>
      </c>
      <c r="L574" s="13">
        <f t="shared" si="156"/>
        <v>-0.2</v>
      </c>
      <c r="M574" s="13">
        <f t="shared" si="156"/>
        <v>-0.2</v>
      </c>
      <c r="N574" s="13">
        <f t="shared" si="156"/>
        <v>-0.18</v>
      </c>
      <c r="O574" s="13">
        <f t="shared" si="156"/>
        <v>-0.18</v>
      </c>
      <c r="P574" s="13">
        <f t="shared" si="156"/>
        <v>-0.18</v>
      </c>
      <c r="Q574" s="13">
        <f t="shared" si="156"/>
        <v>-0.18</v>
      </c>
      <c r="R574" s="13">
        <f t="shared" si="156"/>
        <v>-0.18</v>
      </c>
      <c r="S574" s="13">
        <f t="shared" si="156"/>
        <v>-0.14000000000000001</v>
      </c>
      <c r="T574" s="13">
        <f t="shared" si="156"/>
        <v>-0.14000000000000001</v>
      </c>
      <c r="U574" s="13">
        <f t="shared" si="156"/>
        <v>-0.14000000000000001</v>
      </c>
      <c r="V574" s="13">
        <f t="shared" si="156"/>
        <v>-0.14000000000000001</v>
      </c>
      <c r="W574" s="13">
        <f t="shared" si="156"/>
        <v>-0.14000000000000001</v>
      </c>
      <c r="X574" s="13">
        <f t="shared" si="156"/>
        <v>-0.09</v>
      </c>
      <c r="Y574" s="13">
        <f t="shared" si="156"/>
        <v>-0.09</v>
      </c>
      <c r="Z574" s="13">
        <f t="shared" si="156"/>
        <v>-0.09</v>
      </c>
      <c r="AA574" s="13">
        <f t="shared" si="156"/>
        <v>-0.09</v>
      </c>
      <c r="AB574" s="13">
        <f t="shared" si="156"/>
        <v>-0.09</v>
      </c>
      <c r="AC574" s="13">
        <f t="shared" si="156"/>
        <v>-0.09</v>
      </c>
      <c r="AD574" s="13">
        <f t="shared" si="156"/>
        <v>-0.09</v>
      </c>
      <c r="AE574" s="13">
        <f t="shared" si="156"/>
        <v>-0.09</v>
      </c>
      <c r="AF574" s="13">
        <f t="shared" si="156"/>
        <v>-0.09</v>
      </c>
    </row>
    <row r="575" spans="4:32">
      <c r="D575" t="s">
        <v>7</v>
      </c>
      <c r="E575" s="6"/>
      <c r="G575" t="s">
        <v>83</v>
      </c>
      <c r="I575" s="14">
        <v>-0.12</v>
      </c>
      <c r="J575" s="14">
        <v>-0.15</v>
      </c>
      <c r="K575" s="14">
        <v>-0.17</v>
      </c>
      <c r="L575" s="14">
        <v>-0.2</v>
      </c>
      <c r="M575" s="14">
        <v>-0.2</v>
      </c>
      <c r="N575" s="14">
        <v>-0.18</v>
      </c>
      <c r="O575" s="14">
        <v>-0.18</v>
      </c>
      <c r="P575" s="14">
        <v>-0.18</v>
      </c>
      <c r="Q575" s="14">
        <v>-0.18</v>
      </c>
      <c r="R575" s="14">
        <v>-0.18</v>
      </c>
      <c r="S575" s="14">
        <v>-0.14000000000000001</v>
      </c>
      <c r="T575" s="14">
        <v>-0.14000000000000001</v>
      </c>
      <c r="U575" s="14">
        <v>-0.14000000000000001</v>
      </c>
      <c r="V575" s="14">
        <v>-0.14000000000000001</v>
      </c>
      <c r="W575" s="14">
        <v>-0.14000000000000001</v>
      </c>
      <c r="X575" s="14">
        <v>-0.09</v>
      </c>
      <c r="Y575" s="14">
        <v>-0.09</v>
      </c>
      <c r="Z575" s="14">
        <v>-0.09</v>
      </c>
      <c r="AA575" s="14">
        <v>-0.09</v>
      </c>
      <c r="AB575" s="14">
        <v>-0.09</v>
      </c>
      <c r="AC575" s="14">
        <v>-0.09</v>
      </c>
      <c r="AD575" s="14">
        <v>-0.09</v>
      </c>
      <c r="AE575" s="14">
        <v>-0.09</v>
      </c>
      <c r="AF575" s="14">
        <v>-0.09</v>
      </c>
    </row>
    <row r="576" spans="4:32">
      <c r="D576" t="s">
        <v>9</v>
      </c>
      <c r="E576" s="8">
        <v>0.1</v>
      </c>
      <c r="G576" t="s">
        <v>83</v>
      </c>
      <c r="I576" s="15">
        <f>I575*(1+$E576)</f>
        <v>-0.13200000000000001</v>
      </c>
      <c r="J576" s="15">
        <f t="shared" ref="J576:AF577" si="157">J575*(1+$E576)</f>
        <v>-0.16500000000000001</v>
      </c>
      <c r="K576" s="15">
        <f t="shared" si="157"/>
        <v>-0.18700000000000003</v>
      </c>
      <c r="L576" s="15">
        <f t="shared" si="157"/>
        <v>-0.22000000000000003</v>
      </c>
      <c r="M576" s="15">
        <f t="shared" si="157"/>
        <v>-0.22000000000000003</v>
      </c>
      <c r="N576" s="15">
        <f t="shared" si="157"/>
        <v>-0.19800000000000001</v>
      </c>
      <c r="O576" s="15">
        <f t="shared" si="157"/>
        <v>-0.19800000000000001</v>
      </c>
      <c r="P576" s="15">
        <f t="shared" si="157"/>
        <v>-0.19800000000000001</v>
      </c>
      <c r="Q576" s="15">
        <f t="shared" si="157"/>
        <v>-0.19800000000000001</v>
      </c>
      <c r="R576" s="15">
        <f t="shared" si="157"/>
        <v>-0.19800000000000001</v>
      </c>
      <c r="S576" s="15">
        <f t="shared" si="157"/>
        <v>-0.15400000000000003</v>
      </c>
      <c r="T576" s="15">
        <f t="shared" si="157"/>
        <v>-0.15400000000000003</v>
      </c>
      <c r="U576" s="15">
        <f t="shared" si="157"/>
        <v>-0.15400000000000003</v>
      </c>
      <c r="V576" s="15">
        <f t="shared" si="157"/>
        <v>-0.15400000000000003</v>
      </c>
      <c r="W576" s="15">
        <f t="shared" si="157"/>
        <v>-0.15400000000000003</v>
      </c>
      <c r="X576" s="15">
        <f t="shared" si="157"/>
        <v>-9.9000000000000005E-2</v>
      </c>
      <c r="Y576" s="15">
        <f t="shared" si="157"/>
        <v>-9.9000000000000005E-2</v>
      </c>
      <c r="Z576" s="15">
        <f t="shared" si="157"/>
        <v>-9.9000000000000005E-2</v>
      </c>
      <c r="AA576" s="15">
        <f t="shared" si="157"/>
        <v>-9.9000000000000005E-2</v>
      </c>
      <c r="AB576" s="15">
        <f t="shared" si="157"/>
        <v>-9.9000000000000005E-2</v>
      </c>
      <c r="AC576" s="15">
        <f t="shared" si="157"/>
        <v>-9.9000000000000005E-2</v>
      </c>
      <c r="AD576" s="15">
        <f t="shared" si="157"/>
        <v>-9.9000000000000005E-2</v>
      </c>
      <c r="AE576" s="15">
        <f t="shared" si="157"/>
        <v>-9.9000000000000005E-2</v>
      </c>
      <c r="AF576" s="15">
        <f t="shared" si="157"/>
        <v>-9.9000000000000005E-2</v>
      </c>
    </row>
    <row r="577" spans="4:32">
      <c r="D577" t="s">
        <v>10</v>
      </c>
      <c r="E577" s="8">
        <v>-0.1</v>
      </c>
      <c r="G577" t="s">
        <v>83</v>
      </c>
      <c r="I577" s="15">
        <f>I576*(1+$E577)</f>
        <v>-0.1188</v>
      </c>
      <c r="J577" s="15">
        <f t="shared" si="157"/>
        <v>-0.14850000000000002</v>
      </c>
      <c r="K577" s="15">
        <f t="shared" si="157"/>
        <v>-0.16830000000000003</v>
      </c>
      <c r="L577" s="15">
        <f t="shared" si="157"/>
        <v>-0.19800000000000004</v>
      </c>
      <c r="M577" s="15">
        <f t="shared" si="157"/>
        <v>-0.19800000000000004</v>
      </c>
      <c r="N577" s="15">
        <f t="shared" si="157"/>
        <v>-0.17820000000000003</v>
      </c>
      <c r="O577" s="15">
        <f t="shared" si="157"/>
        <v>-0.17820000000000003</v>
      </c>
      <c r="P577" s="15">
        <f t="shared" si="157"/>
        <v>-0.17820000000000003</v>
      </c>
      <c r="Q577" s="15">
        <f t="shared" si="157"/>
        <v>-0.17820000000000003</v>
      </c>
      <c r="R577" s="15">
        <f t="shared" si="157"/>
        <v>-0.17820000000000003</v>
      </c>
      <c r="S577" s="15">
        <f t="shared" si="157"/>
        <v>-0.13860000000000003</v>
      </c>
      <c r="T577" s="15">
        <f t="shared" si="157"/>
        <v>-0.13860000000000003</v>
      </c>
      <c r="U577" s="15">
        <f t="shared" si="157"/>
        <v>-0.13860000000000003</v>
      </c>
      <c r="V577" s="15">
        <f t="shared" si="157"/>
        <v>-0.13860000000000003</v>
      </c>
      <c r="W577" s="15">
        <f t="shared" si="157"/>
        <v>-0.13860000000000003</v>
      </c>
      <c r="X577" s="15">
        <f t="shared" si="157"/>
        <v>-8.9100000000000013E-2</v>
      </c>
      <c r="Y577" s="15">
        <f t="shared" si="157"/>
        <v>-8.9100000000000013E-2</v>
      </c>
      <c r="Z577" s="15">
        <f t="shared" si="157"/>
        <v>-8.9100000000000013E-2</v>
      </c>
      <c r="AA577" s="15">
        <f t="shared" si="157"/>
        <v>-8.9100000000000013E-2</v>
      </c>
      <c r="AB577" s="15">
        <f t="shared" si="157"/>
        <v>-8.9100000000000013E-2</v>
      </c>
      <c r="AC577" s="15">
        <f t="shared" si="157"/>
        <v>-8.9100000000000013E-2</v>
      </c>
      <c r="AD577" s="15">
        <f t="shared" si="157"/>
        <v>-8.9100000000000013E-2</v>
      </c>
      <c r="AE577" s="15">
        <f t="shared" si="157"/>
        <v>-8.9100000000000013E-2</v>
      </c>
      <c r="AF577" s="15">
        <f t="shared" si="157"/>
        <v>-8.9100000000000013E-2</v>
      </c>
    </row>
    <row r="578" spans="4:32">
      <c r="D578" t="s">
        <v>11</v>
      </c>
      <c r="E578" s="8"/>
      <c r="G578" t="s">
        <v>83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</row>
    <row r="579" spans="4:32">
      <c r="D579" t="s">
        <v>12</v>
      </c>
      <c r="E579" s="8"/>
      <c r="G579" t="s">
        <v>83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</row>
    <row r="581" spans="4:32">
      <c r="D581" s="4" t="s">
        <v>86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4:32">
      <c r="D582" s="5" t="s">
        <v>73</v>
      </c>
      <c r="E582" s="5" t="s">
        <v>7</v>
      </c>
      <c r="F582" s="5"/>
      <c r="G582" s="5"/>
      <c r="H582" s="13"/>
      <c r="I582" s="13">
        <f>INDEX(I583:I587,MATCH($E582,$D583:$D587,0))</f>
        <v>0.13</v>
      </c>
      <c r="J582" s="13">
        <f t="shared" ref="J582:AF582" si="158">INDEX(J583:J587,MATCH($E582,$D583:$D587,0))</f>
        <v>0.14000000000000001</v>
      </c>
      <c r="K582" s="13">
        <f t="shared" si="158"/>
        <v>0.17</v>
      </c>
      <c r="L582" s="13">
        <f t="shared" si="158"/>
        <v>0.26</v>
      </c>
      <c r="M582" s="13">
        <f t="shared" si="158"/>
        <v>0.25</v>
      </c>
      <c r="N582" s="13">
        <f t="shared" si="158"/>
        <v>0.19</v>
      </c>
      <c r="O582" s="13">
        <f t="shared" si="158"/>
        <v>0.19</v>
      </c>
      <c r="P582" s="13">
        <f t="shared" si="158"/>
        <v>0.19</v>
      </c>
      <c r="Q582" s="13">
        <f t="shared" si="158"/>
        <v>0.19</v>
      </c>
      <c r="R582" s="13">
        <f t="shared" si="158"/>
        <v>0.19</v>
      </c>
      <c r="S582" s="13">
        <f t="shared" si="158"/>
        <v>0.27</v>
      </c>
      <c r="T582" s="13">
        <f t="shared" si="158"/>
        <v>0.27</v>
      </c>
      <c r="U582" s="13">
        <f t="shared" si="158"/>
        <v>0.27</v>
      </c>
      <c r="V582" s="13">
        <f t="shared" si="158"/>
        <v>0.27</v>
      </c>
      <c r="W582" s="13">
        <f t="shared" si="158"/>
        <v>0.27</v>
      </c>
      <c r="X582" s="13">
        <f t="shared" si="158"/>
        <v>0</v>
      </c>
      <c r="Y582" s="13">
        <f t="shared" si="158"/>
        <v>0</v>
      </c>
      <c r="Z582" s="13">
        <f t="shared" si="158"/>
        <v>0</v>
      </c>
      <c r="AA582" s="13">
        <f t="shared" si="158"/>
        <v>0</v>
      </c>
      <c r="AB582" s="13">
        <f t="shared" si="158"/>
        <v>0</v>
      </c>
      <c r="AC582" s="13">
        <f t="shared" si="158"/>
        <v>0</v>
      </c>
      <c r="AD582" s="13">
        <f t="shared" si="158"/>
        <v>0</v>
      </c>
      <c r="AE582" s="13">
        <f t="shared" si="158"/>
        <v>0</v>
      </c>
      <c r="AF582" s="13">
        <f t="shared" si="158"/>
        <v>0</v>
      </c>
    </row>
    <row r="583" spans="4:32">
      <c r="D583" t="s">
        <v>7</v>
      </c>
      <c r="E583" s="6"/>
      <c r="G583" t="s">
        <v>83</v>
      </c>
      <c r="I583" s="14">
        <v>0.13</v>
      </c>
      <c r="J583" s="14">
        <v>0.14000000000000001</v>
      </c>
      <c r="K583" s="14">
        <v>0.17</v>
      </c>
      <c r="L583" s="14">
        <v>0.26</v>
      </c>
      <c r="M583" s="14">
        <v>0.25</v>
      </c>
      <c r="N583" s="14">
        <v>0.19</v>
      </c>
      <c r="O583" s="14">
        <v>0.19</v>
      </c>
      <c r="P583" s="14">
        <v>0.19</v>
      </c>
      <c r="Q583" s="14">
        <v>0.19</v>
      </c>
      <c r="R583" s="14">
        <v>0.19</v>
      </c>
      <c r="S583" s="14">
        <v>0.27</v>
      </c>
      <c r="T583" s="14">
        <v>0.27</v>
      </c>
      <c r="U583" s="14">
        <v>0.27</v>
      </c>
      <c r="V583" s="14">
        <v>0.27</v>
      </c>
      <c r="W583" s="14">
        <v>0.27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</row>
    <row r="584" spans="4:32">
      <c r="D584" t="s">
        <v>9</v>
      </c>
      <c r="E584" s="8">
        <v>0.1</v>
      </c>
      <c r="G584" t="s">
        <v>83</v>
      </c>
      <c r="I584" s="15">
        <f>I583*(1+$E584)</f>
        <v>0.14300000000000002</v>
      </c>
      <c r="J584" s="15">
        <f t="shared" ref="J584:AF585" si="159">J583*(1+$E584)</f>
        <v>0.15400000000000003</v>
      </c>
      <c r="K584" s="15">
        <f t="shared" si="159"/>
        <v>0.18700000000000003</v>
      </c>
      <c r="L584" s="15">
        <f t="shared" si="159"/>
        <v>0.28600000000000003</v>
      </c>
      <c r="M584" s="15">
        <f t="shared" si="159"/>
        <v>0.27500000000000002</v>
      </c>
      <c r="N584" s="15">
        <f t="shared" si="159"/>
        <v>0.20900000000000002</v>
      </c>
      <c r="O584" s="15">
        <f t="shared" si="159"/>
        <v>0.20900000000000002</v>
      </c>
      <c r="P584" s="15">
        <f t="shared" si="159"/>
        <v>0.20900000000000002</v>
      </c>
      <c r="Q584" s="15">
        <f t="shared" si="159"/>
        <v>0.20900000000000002</v>
      </c>
      <c r="R584" s="15">
        <f t="shared" si="159"/>
        <v>0.20900000000000002</v>
      </c>
      <c r="S584" s="15">
        <f t="shared" si="159"/>
        <v>0.29700000000000004</v>
      </c>
      <c r="T584" s="15">
        <f t="shared" si="159"/>
        <v>0.29700000000000004</v>
      </c>
      <c r="U584" s="15">
        <f t="shared" si="159"/>
        <v>0.29700000000000004</v>
      </c>
      <c r="V584" s="15">
        <f t="shared" si="159"/>
        <v>0.29700000000000004</v>
      </c>
      <c r="W584" s="15">
        <f t="shared" si="159"/>
        <v>0.29700000000000004</v>
      </c>
      <c r="X584" s="15">
        <f t="shared" si="159"/>
        <v>0</v>
      </c>
      <c r="Y584" s="15">
        <f t="shared" si="159"/>
        <v>0</v>
      </c>
      <c r="Z584" s="15">
        <f t="shared" si="159"/>
        <v>0</v>
      </c>
      <c r="AA584" s="15">
        <f t="shared" si="159"/>
        <v>0</v>
      </c>
      <c r="AB584" s="15">
        <f t="shared" si="159"/>
        <v>0</v>
      </c>
      <c r="AC584" s="15">
        <f t="shared" si="159"/>
        <v>0</v>
      </c>
      <c r="AD584" s="15">
        <f t="shared" si="159"/>
        <v>0</v>
      </c>
      <c r="AE584" s="15">
        <f t="shared" si="159"/>
        <v>0</v>
      </c>
      <c r="AF584" s="15">
        <f t="shared" si="159"/>
        <v>0</v>
      </c>
    </row>
    <row r="585" spans="4:32">
      <c r="D585" t="s">
        <v>10</v>
      </c>
      <c r="E585" s="8">
        <v>-0.1</v>
      </c>
      <c r="G585" t="s">
        <v>83</v>
      </c>
      <c r="I585" s="15">
        <f>I584*(1+$E585)</f>
        <v>0.12870000000000001</v>
      </c>
      <c r="J585" s="15">
        <f t="shared" si="159"/>
        <v>0.13860000000000003</v>
      </c>
      <c r="K585" s="15">
        <f t="shared" si="159"/>
        <v>0.16830000000000003</v>
      </c>
      <c r="L585" s="15">
        <f t="shared" si="159"/>
        <v>0.25740000000000002</v>
      </c>
      <c r="M585" s="15">
        <f t="shared" si="159"/>
        <v>0.24750000000000003</v>
      </c>
      <c r="N585" s="15">
        <f t="shared" si="159"/>
        <v>0.18810000000000002</v>
      </c>
      <c r="O585" s="15">
        <f t="shared" si="159"/>
        <v>0.18810000000000002</v>
      </c>
      <c r="P585" s="15">
        <f t="shared" si="159"/>
        <v>0.18810000000000002</v>
      </c>
      <c r="Q585" s="15">
        <f t="shared" si="159"/>
        <v>0.18810000000000002</v>
      </c>
      <c r="R585" s="15">
        <f t="shared" si="159"/>
        <v>0.18810000000000002</v>
      </c>
      <c r="S585" s="15">
        <f t="shared" si="159"/>
        <v>0.26730000000000004</v>
      </c>
      <c r="T585" s="15">
        <f t="shared" si="159"/>
        <v>0.26730000000000004</v>
      </c>
      <c r="U585" s="15">
        <f t="shared" si="159"/>
        <v>0.26730000000000004</v>
      </c>
      <c r="V585" s="15">
        <f t="shared" si="159"/>
        <v>0.26730000000000004</v>
      </c>
      <c r="W585" s="15">
        <f t="shared" si="159"/>
        <v>0.26730000000000004</v>
      </c>
      <c r="X585" s="15">
        <f t="shared" si="159"/>
        <v>0</v>
      </c>
      <c r="Y585" s="15">
        <f t="shared" si="159"/>
        <v>0</v>
      </c>
      <c r="Z585" s="15">
        <f t="shared" si="159"/>
        <v>0</v>
      </c>
      <c r="AA585" s="15">
        <f t="shared" si="159"/>
        <v>0</v>
      </c>
      <c r="AB585" s="15">
        <f t="shared" si="159"/>
        <v>0</v>
      </c>
      <c r="AC585" s="15">
        <f t="shared" si="159"/>
        <v>0</v>
      </c>
      <c r="AD585" s="15">
        <f t="shared" si="159"/>
        <v>0</v>
      </c>
      <c r="AE585" s="15">
        <f t="shared" si="159"/>
        <v>0</v>
      </c>
      <c r="AF585" s="15">
        <f t="shared" si="159"/>
        <v>0</v>
      </c>
    </row>
    <row r="586" spans="4:32">
      <c r="D586" t="s">
        <v>11</v>
      </c>
      <c r="E586" s="8"/>
      <c r="G586" t="s">
        <v>83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</row>
    <row r="587" spans="4:32">
      <c r="D587" t="s">
        <v>12</v>
      </c>
      <c r="E587" s="8"/>
      <c r="G587" t="s">
        <v>83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</row>
    <row r="589" spans="4:32">
      <c r="D589" s="5" t="s">
        <v>75</v>
      </c>
      <c r="E589" s="5" t="s">
        <v>7</v>
      </c>
      <c r="F589" s="5"/>
      <c r="G589" s="5"/>
      <c r="H589" s="13"/>
      <c r="I589" s="13">
        <f>INDEX(I590:I594,MATCH($E589,$D590:$D594,0))</f>
        <v>2.19</v>
      </c>
      <c r="J589" s="13">
        <f t="shared" ref="J589:AF589" si="160">INDEX(J590:J594,MATCH($E589,$D590:$D594,0))</f>
        <v>2.0299999999999998</v>
      </c>
      <c r="K589" s="13">
        <f t="shared" si="160"/>
        <v>1.9</v>
      </c>
      <c r="L589" s="13">
        <f t="shared" si="160"/>
        <v>2.57</v>
      </c>
      <c r="M589" s="13">
        <f t="shared" si="160"/>
        <v>2.56</v>
      </c>
      <c r="N589" s="13">
        <f t="shared" si="160"/>
        <v>1.44</v>
      </c>
      <c r="O589" s="13">
        <f t="shared" si="160"/>
        <v>1.44</v>
      </c>
      <c r="P589" s="13">
        <f t="shared" si="160"/>
        <v>1.44</v>
      </c>
      <c r="Q589" s="13">
        <f t="shared" si="160"/>
        <v>1.44</v>
      </c>
      <c r="R589" s="13">
        <f t="shared" si="160"/>
        <v>1.44</v>
      </c>
      <c r="S589" s="13">
        <f t="shared" si="160"/>
        <v>0.4</v>
      </c>
      <c r="T589" s="13">
        <f t="shared" si="160"/>
        <v>0.4</v>
      </c>
      <c r="U589" s="13">
        <f t="shared" si="160"/>
        <v>0.4</v>
      </c>
      <c r="V589" s="13">
        <f t="shared" si="160"/>
        <v>0.4</v>
      </c>
      <c r="W589" s="13">
        <f t="shared" si="160"/>
        <v>0.4</v>
      </c>
      <c r="X589" s="13">
        <f t="shared" si="160"/>
        <v>0</v>
      </c>
      <c r="Y589" s="13">
        <f t="shared" si="160"/>
        <v>0</v>
      </c>
      <c r="Z589" s="13">
        <f t="shared" si="160"/>
        <v>0</v>
      </c>
      <c r="AA589" s="13">
        <f t="shared" si="160"/>
        <v>0</v>
      </c>
      <c r="AB589" s="13">
        <f t="shared" si="160"/>
        <v>0</v>
      </c>
      <c r="AC589" s="13">
        <f t="shared" si="160"/>
        <v>0</v>
      </c>
      <c r="AD589" s="13">
        <f t="shared" si="160"/>
        <v>0</v>
      </c>
      <c r="AE589" s="13">
        <f t="shared" si="160"/>
        <v>0</v>
      </c>
      <c r="AF589" s="13">
        <f t="shared" si="160"/>
        <v>0</v>
      </c>
    </row>
    <row r="590" spans="4:32">
      <c r="D590" t="s">
        <v>7</v>
      </c>
      <c r="E590" s="6"/>
      <c r="G590" t="s">
        <v>83</v>
      </c>
      <c r="I590" s="14">
        <v>2.19</v>
      </c>
      <c r="J590" s="14">
        <v>2.0299999999999998</v>
      </c>
      <c r="K590" s="14">
        <v>1.9</v>
      </c>
      <c r="L590" s="14">
        <v>2.57</v>
      </c>
      <c r="M590" s="14">
        <v>2.56</v>
      </c>
      <c r="N590" s="14">
        <v>1.44</v>
      </c>
      <c r="O590" s="14">
        <v>1.44</v>
      </c>
      <c r="P590" s="14">
        <v>1.44</v>
      </c>
      <c r="Q590" s="14">
        <v>1.44</v>
      </c>
      <c r="R590" s="14">
        <v>1.44</v>
      </c>
      <c r="S590" s="14">
        <v>0.4</v>
      </c>
      <c r="T590" s="14">
        <v>0.4</v>
      </c>
      <c r="U590" s="14">
        <v>0.4</v>
      </c>
      <c r="V590" s="14">
        <v>0.4</v>
      </c>
      <c r="W590" s="14">
        <v>0.4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</row>
    <row r="591" spans="4:32">
      <c r="D591" t="s">
        <v>9</v>
      </c>
      <c r="E591" s="8">
        <v>0.1</v>
      </c>
      <c r="G591" t="s">
        <v>83</v>
      </c>
      <c r="I591" s="15">
        <f>I590*(1+$E591)</f>
        <v>2.4090000000000003</v>
      </c>
      <c r="J591" s="15">
        <f t="shared" ref="J591:AF592" si="161">J590*(1+$E591)</f>
        <v>2.2330000000000001</v>
      </c>
      <c r="K591" s="15">
        <f t="shared" si="161"/>
        <v>2.09</v>
      </c>
      <c r="L591" s="15">
        <f t="shared" si="161"/>
        <v>2.827</v>
      </c>
      <c r="M591" s="15">
        <f t="shared" si="161"/>
        <v>2.8160000000000003</v>
      </c>
      <c r="N591" s="15">
        <f t="shared" si="161"/>
        <v>1.5840000000000001</v>
      </c>
      <c r="O591" s="15">
        <f t="shared" si="161"/>
        <v>1.5840000000000001</v>
      </c>
      <c r="P591" s="15">
        <f t="shared" si="161"/>
        <v>1.5840000000000001</v>
      </c>
      <c r="Q591" s="15">
        <f t="shared" si="161"/>
        <v>1.5840000000000001</v>
      </c>
      <c r="R591" s="15">
        <f t="shared" si="161"/>
        <v>1.5840000000000001</v>
      </c>
      <c r="S591" s="15">
        <f t="shared" si="161"/>
        <v>0.44000000000000006</v>
      </c>
      <c r="T591" s="15">
        <f t="shared" si="161"/>
        <v>0.44000000000000006</v>
      </c>
      <c r="U591" s="15">
        <f t="shared" si="161"/>
        <v>0.44000000000000006</v>
      </c>
      <c r="V591" s="15">
        <f t="shared" si="161"/>
        <v>0.44000000000000006</v>
      </c>
      <c r="W591" s="15">
        <f t="shared" si="161"/>
        <v>0.44000000000000006</v>
      </c>
      <c r="X591" s="15">
        <f t="shared" si="161"/>
        <v>0</v>
      </c>
      <c r="Y591" s="15">
        <f t="shared" si="161"/>
        <v>0</v>
      </c>
      <c r="Z591" s="15">
        <f t="shared" si="161"/>
        <v>0</v>
      </c>
      <c r="AA591" s="15">
        <f t="shared" si="161"/>
        <v>0</v>
      </c>
      <c r="AB591" s="15">
        <f t="shared" si="161"/>
        <v>0</v>
      </c>
      <c r="AC591" s="15">
        <f t="shared" si="161"/>
        <v>0</v>
      </c>
      <c r="AD591" s="15">
        <f t="shared" si="161"/>
        <v>0</v>
      </c>
      <c r="AE591" s="15">
        <f t="shared" si="161"/>
        <v>0</v>
      </c>
      <c r="AF591" s="15">
        <f t="shared" si="161"/>
        <v>0</v>
      </c>
    </row>
    <row r="592" spans="4:32">
      <c r="D592" t="s">
        <v>10</v>
      </c>
      <c r="E592" s="8">
        <v>-0.1</v>
      </c>
      <c r="G592" t="s">
        <v>83</v>
      </c>
      <c r="I592" s="15">
        <f>I591*(1+$E592)</f>
        <v>2.1681000000000004</v>
      </c>
      <c r="J592" s="15">
        <f t="shared" si="161"/>
        <v>2.0097</v>
      </c>
      <c r="K592" s="15">
        <f t="shared" si="161"/>
        <v>1.881</v>
      </c>
      <c r="L592" s="15">
        <f t="shared" si="161"/>
        <v>2.5443000000000002</v>
      </c>
      <c r="M592" s="15">
        <f t="shared" si="161"/>
        <v>2.5344000000000002</v>
      </c>
      <c r="N592" s="15">
        <f t="shared" si="161"/>
        <v>1.4256000000000002</v>
      </c>
      <c r="O592" s="15">
        <f t="shared" si="161"/>
        <v>1.4256000000000002</v>
      </c>
      <c r="P592" s="15">
        <f t="shared" si="161"/>
        <v>1.4256000000000002</v>
      </c>
      <c r="Q592" s="15">
        <f t="shared" si="161"/>
        <v>1.4256000000000002</v>
      </c>
      <c r="R592" s="15">
        <f t="shared" si="161"/>
        <v>1.4256000000000002</v>
      </c>
      <c r="S592" s="15">
        <f t="shared" si="161"/>
        <v>0.39600000000000007</v>
      </c>
      <c r="T592" s="15">
        <f t="shared" si="161"/>
        <v>0.39600000000000007</v>
      </c>
      <c r="U592" s="15">
        <f t="shared" si="161"/>
        <v>0.39600000000000007</v>
      </c>
      <c r="V592" s="15">
        <f t="shared" si="161"/>
        <v>0.39600000000000007</v>
      </c>
      <c r="W592" s="15">
        <f t="shared" si="161"/>
        <v>0.39600000000000007</v>
      </c>
      <c r="X592" s="15">
        <f t="shared" si="161"/>
        <v>0</v>
      </c>
      <c r="Y592" s="15">
        <f t="shared" si="161"/>
        <v>0</v>
      </c>
      <c r="Z592" s="15">
        <f t="shared" si="161"/>
        <v>0</v>
      </c>
      <c r="AA592" s="15">
        <f t="shared" si="161"/>
        <v>0</v>
      </c>
      <c r="AB592" s="15">
        <f t="shared" si="161"/>
        <v>0</v>
      </c>
      <c r="AC592" s="15">
        <f t="shared" si="161"/>
        <v>0</v>
      </c>
      <c r="AD592" s="15">
        <f t="shared" si="161"/>
        <v>0</v>
      </c>
      <c r="AE592" s="15">
        <f t="shared" si="161"/>
        <v>0</v>
      </c>
      <c r="AF592" s="15">
        <f t="shared" si="161"/>
        <v>0</v>
      </c>
    </row>
    <row r="593" spans="4:32">
      <c r="D593" t="s">
        <v>11</v>
      </c>
      <c r="E593" s="8"/>
      <c r="G593" t="s">
        <v>83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</row>
    <row r="594" spans="4:32">
      <c r="D594" t="s">
        <v>12</v>
      </c>
      <c r="E594" s="8"/>
      <c r="G594" t="s">
        <v>83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</row>
    <row r="596" spans="4:32">
      <c r="D596" s="5" t="s">
        <v>76</v>
      </c>
      <c r="E596" s="5" t="s">
        <v>7</v>
      </c>
      <c r="F596" s="5"/>
      <c r="G596" s="5"/>
      <c r="H596" s="13"/>
      <c r="I596" s="13">
        <f>INDEX(I597:I601,MATCH($E596,$D597:$D601,0))</f>
        <v>0.06</v>
      </c>
      <c r="J596" s="13">
        <f t="shared" ref="J596:AF596" si="162">INDEX(J597:J601,MATCH($E596,$D597:$D601,0))</f>
        <v>0.06</v>
      </c>
      <c r="K596" s="13">
        <f t="shared" si="162"/>
        <v>0.06</v>
      </c>
      <c r="L596" s="13">
        <f t="shared" si="162"/>
        <v>0.08</v>
      </c>
      <c r="M596" s="13">
        <f t="shared" si="162"/>
        <v>0.08</v>
      </c>
      <c r="N596" s="13">
        <f t="shared" si="162"/>
        <v>0.03</v>
      </c>
      <c r="O596" s="13">
        <f t="shared" si="162"/>
        <v>0.03</v>
      </c>
      <c r="P596" s="13">
        <f t="shared" si="162"/>
        <v>0.03</v>
      </c>
      <c r="Q596" s="13">
        <f t="shared" si="162"/>
        <v>0.03</v>
      </c>
      <c r="R596" s="13">
        <f t="shared" si="162"/>
        <v>0.03</v>
      </c>
      <c r="S596" s="13">
        <f t="shared" si="162"/>
        <v>0</v>
      </c>
      <c r="T596" s="13">
        <f t="shared" si="162"/>
        <v>0</v>
      </c>
      <c r="U596" s="13">
        <f t="shared" si="162"/>
        <v>0</v>
      </c>
      <c r="V596" s="13">
        <f t="shared" si="162"/>
        <v>0</v>
      </c>
      <c r="W596" s="13">
        <f t="shared" si="162"/>
        <v>0</v>
      </c>
      <c r="X596" s="13">
        <f t="shared" si="162"/>
        <v>0</v>
      </c>
      <c r="Y596" s="13">
        <f t="shared" si="162"/>
        <v>0</v>
      </c>
      <c r="Z596" s="13">
        <f t="shared" si="162"/>
        <v>0</v>
      </c>
      <c r="AA596" s="13">
        <f t="shared" si="162"/>
        <v>0</v>
      </c>
      <c r="AB596" s="13">
        <f t="shared" si="162"/>
        <v>0</v>
      </c>
      <c r="AC596" s="13">
        <f t="shared" si="162"/>
        <v>0</v>
      </c>
      <c r="AD596" s="13">
        <f t="shared" si="162"/>
        <v>0</v>
      </c>
      <c r="AE596" s="13">
        <f t="shared" si="162"/>
        <v>0</v>
      </c>
      <c r="AF596" s="13">
        <f t="shared" si="162"/>
        <v>0</v>
      </c>
    </row>
    <row r="597" spans="4:32">
      <c r="D597" t="s">
        <v>7</v>
      </c>
      <c r="E597" s="6"/>
      <c r="G597" t="s">
        <v>83</v>
      </c>
      <c r="I597" s="14">
        <v>0.06</v>
      </c>
      <c r="J597" s="14">
        <v>0.06</v>
      </c>
      <c r="K597" s="14">
        <v>0.06</v>
      </c>
      <c r="L597" s="14">
        <v>0.08</v>
      </c>
      <c r="M597" s="14">
        <v>0.08</v>
      </c>
      <c r="N597" s="14">
        <v>0.03</v>
      </c>
      <c r="O597" s="14">
        <v>0.03</v>
      </c>
      <c r="P597" s="14">
        <v>0.03</v>
      </c>
      <c r="Q597" s="14">
        <v>0.03</v>
      </c>
      <c r="R597" s="14">
        <v>0.03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</row>
    <row r="598" spans="4:32">
      <c r="D598" t="s">
        <v>9</v>
      </c>
      <c r="E598" s="8">
        <v>0.1</v>
      </c>
      <c r="G598" t="s">
        <v>83</v>
      </c>
      <c r="I598" s="15">
        <f>I597*(1+$E598)</f>
        <v>6.6000000000000003E-2</v>
      </c>
      <c r="J598" s="15">
        <f t="shared" ref="J598:AF599" si="163">J597*(1+$E598)</f>
        <v>6.6000000000000003E-2</v>
      </c>
      <c r="K598" s="15">
        <f t="shared" si="163"/>
        <v>6.6000000000000003E-2</v>
      </c>
      <c r="L598" s="15">
        <f t="shared" si="163"/>
        <v>8.8000000000000009E-2</v>
      </c>
      <c r="M598" s="15">
        <f t="shared" si="163"/>
        <v>8.8000000000000009E-2</v>
      </c>
      <c r="N598" s="15">
        <f t="shared" si="163"/>
        <v>3.3000000000000002E-2</v>
      </c>
      <c r="O598" s="15">
        <f t="shared" si="163"/>
        <v>3.3000000000000002E-2</v>
      </c>
      <c r="P598" s="15">
        <f t="shared" si="163"/>
        <v>3.3000000000000002E-2</v>
      </c>
      <c r="Q598" s="15">
        <f t="shared" si="163"/>
        <v>3.3000000000000002E-2</v>
      </c>
      <c r="R598" s="15">
        <f t="shared" si="163"/>
        <v>3.3000000000000002E-2</v>
      </c>
      <c r="S598" s="15">
        <f t="shared" si="163"/>
        <v>0</v>
      </c>
      <c r="T598" s="15">
        <f t="shared" si="163"/>
        <v>0</v>
      </c>
      <c r="U598" s="15">
        <f t="shared" si="163"/>
        <v>0</v>
      </c>
      <c r="V598" s="15">
        <f t="shared" si="163"/>
        <v>0</v>
      </c>
      <c r="W598" s="15">
        <f t="shared" si="163"/>
        <v>0</v>
      </c>
      <c r="X598" s="15">
        <f t="shared" si="163"/>
        <v>0</v>
      </c>
      <c r="Y598" s="15">
        <f t="shared" si="163"/>
        <v>0</v>
      </c>
      <c r="Z598" s="15">
        <f t="shared" si="163"/>
        <v>0</v>
      </c>
      <c r="AA598" s="15">
        <f t="shared" si="163"/>
        <v>0</v>
      </c>
      <c r="AB598" s="15">
        <f t="shared" si="163"/>
        <v>0</v>
      </c>
      <c r="AC598" s="15">
        <f t="shared" si="163"/>
        <v>0</v>
      </c>
      <c r="AD598" s="15">
        <f t="shared" si="163"/>
        <v>0</v>
      </c>
      <c r="AE598" s="15">
        <f t="shared" si="163"/>
        <v>0</v>
      </c>
      <c r="AF598" s="15">
        <f t="shared" si="163"/>
        <v>0</v>
      </c>
    </row>
    <row r="599" spans="4:32">
      <c r="D599" t="s">
        <v>10</v>
      </c>
      <c r="E599" s="8">
        <v>-0.1</v>
      </c>
      <c r="G599" t="s">
        <v>83</v>
      </c>
      <c r="I599" s="15">
        <f>I598*(1+$E599)</f>
        <v>5.9400000000000001E-2</v>
      </c>
      <c r="J599" s="15">
        <f t="shared" si="163"/>
        <v>5.9400000000000001E-2</v>
      </c>
      <c r="K599" s="15">
        <f t="shared" si="163"/>
        <v>5.9400000000000001E-2</v>
      </c>
      <c r="L599" s="15">
        <f t="shared" si="163"/>
        <v>7.9200000000000007E-2</v>
      </c>
      <c r="M599" s="15">
        <f t="shared" si="163"/>
        <v>7.9200000000000007E-2</v>
      </c>
      <c r="N599" s="15">
        <f t="shared" si="163"/>
        <v>2.9700000000000001E-2</v>
      </c>
      <c r="O599" s="15">
        <f t="shared" si="163"/>
        <v>2.9700000000000001E-2</v>
      </c>
      <c r="P599" s="15">
        <f t="shared" si="163"/>
        <v>2.9700000000000001E-2</v>
      </c>
      <c r="Q599" s="15">
        <f t="shared" si="163"/>
        <v>2.9700000000000001E-2</v>
      </c>
      <c r="R599" s="15">
        <f t="shared" si="163"/>
        <v>2.9700000000000001E-2</v>
      </c>
      <c r="S599" s="15">
        <f t="shared" si="163"/>
        <v>0</v>
      </c>
      <c r="T599" s="15">
        <f t="shared" si="163"/>
        <v>0</v>
      </c>
      <c r="U599" s="15">
        <f t="shared" si="163"/>
        <v>0</v>
      </c>
      <c r="V599" s="15">
        <f t="shared" si="163"/>
        <v>0</v>
      </c>
      <c r="W599" s="15">
        <f t="shared" si="163"/>
        <v>0</v>
      </c>
      <c r="X599" s="15">
        <f t="shared" si="163"/>
        <v>0</v>
      </c>
      <c r="Y599" s="15">
        <f t="shared" si="163"/>
        <v>0</v>
      </c>
      <c r="Z599" s="15">
        <f t="shared" si="163"/>
        <v>0</v>
      </c>
      <c r="AA599" s="15">
        <f t="shared" si="163"/>
        <v>0</v>
      </c>
      <c r="AB599" s="15">
        <f t="shared" si="163"/>
        <v>0</v>
      </c>
      <c r="AC599" s="15">
        <f t="shared" si="163"/>
        <v>0</v>
      </c>
      <c r="AD599" s="15">
        <f t="shared" si="163"/>
        <v>0</v>
      </c>
      <c r="AE599" s="15">
        <f t="shared" si="163"/>
        <v>0</v>
      </c>
      <c r="AF599" s="15">
        <f t="shared" si="163"/>
        <v>0</v>
      </c>
    </row>
    <row r="600" spans="4:32">
      <c r="D600" t="s">
        <v>11</v>
      </c>
      <c r="E600" s="8"/>
      <c r="G600" t="s">
        <v>83</v>
      </c>
      <c r="I600" s="14">
        <v>0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</row>
    <row r="601" spans="4:32">
      <c r="D601" t="s">
        <v>12</v>
      </c>
      <c r="E601" s="8"/>
      <c r="G601" t="s">
        <v>83</v>
      </c>
      <c r="I601" s="14">
        <v>0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4">
        <v>0</v>
      </c>
      <c r="U601" s="14">
        <v>0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</row>
    <row r="603" spans="4:32">
      <c r="D603" s="5" t="s">
        <v>77</v>
      </c>
      <c r="E603" s="5" t="s">
        <v>7</v>
      </c>
      <c r="F603" s="5"/>
      <c r="G603" s="5"/>
      <c r="H603" s="13"/>
      <c r="I603" s="13">
        <f>INDEX(I604:I608,MATCH($E603,$D604:$D608,0))</f>
        <v>0.03</v>
      </c>
      <c r="J603" s="13">
        <f t="shared" ref="J603:AF603" si="164">INDEX(J604:J608,MATCH($E603,$D604:$D608,0))</f>
        <v>0.02</v>
      </c>
      <c r="K603" s="13">
        <f t="shared" si="164"/>
        <v>0.02</v>
      </c>
      <c r="L603" s="13">
        <f t="shared" si="164"/>
        <v>0.02</v>
      </c>
      <c r="M603" s="13">
        <f t="shared" si="164"/>
        <v>0.02</v>
      </c>
      <c r="N603" s="13">
        <f t="shared" si="164"/>
        <v>0.02</v>
      </c>
      <c r="O603" s="13">
        <f t="shared" si="164"/>
        <v>0.02</v>
      </c>
      <c r="P603" s="13">
        <f t="shared" si="164"/>
        <v>0.02</v>
      </c>
      <c r="Q603" s="13">
        <f t="shared" si="164"/>
        <v>0.02</v>
      </c>
      <c r="R603" s="13">
        <f t="shared" si="164"/>
        <v>0.02</v>
      </c>
      <c r="S603" s="13">
        <f t="shared" si="164"/>
        <v>0.03</v>
      </c>
      <c r="T603" s="13">
        <f t="shared" si="164"/>
        <v>0.03</v>
      </c>
      <c r="U603" s="13">
        <f t="shared" si="164"/>
        <v>0.03</v>
      </c>
      <c r="V603" s="13">
        <f t="shared" si="164"/>
        <v>0.03</v>
      </c>
      <c r="W603" s="13">
        <f t="shared" si="164"/>
        <v>0.03</v>
      </c>
      <c r="X603" s="13">
        <f t="shared" si="164"/>
        <v>0</v>
      </c>
      <c r="Y603" s="13">
        <f t="shared" si="164"/>
        <v>0</v>
      </c>
      <c r="Z603" s="13">
        <f t="shared" si="164"/>
        <v>0</v>
      </c>
      <c r="AA603" s="13">
        <f t="shared" si="164"/>
        <v>0</v>
      </c>
      <c r="AB603" s="13">
        <f t="shared" si="164"/>
        <v>0</v>
      </c>
      <c r="AC603" s="13">
        <f t="shared" si="164"/>
        <v>0</v>
      </c>
      <c r="AD603" s="13">
        <f t="shared" si="164"/>
        <v>0</v>
      </c>
      <c r="AE603" s="13">
        <f t="shared" si="164"/>
        <v>0</v>
      </c>
      <c r="AF603" s="13">
        <f t="shared" si="164"/>
        <v>0</v>
      </c>
    </row>
    <row r="604" spans="4:32">
      <c r="D604" t="s">
        <v>7</v>
      </c>
      <c r="E604" s="6"/>
      <c r="G604" t="s">
        <v>83</v>
      </c>
      <c r="I604" s="14">
        <v>0.03</v>
      </c>
      <c r="J604" s="14">
        <v>0.02</v>
      </c>
      <c r="K604" s="14">
        <v>0.02</v>
      </c>
      <c r="L604" s="14">
        <v>0.02</v>
      </c>
      <c r="M604" s="14">
        <v>0.02</v>
      </c>
      <c r="N604" s="14">
        <v>0.02</v>
      </c>
      <c r="O604" s="14">
        <v>0.02</v>
      </c>
      <c r="P604" s="14">
        <v>0.02</v>
      </c>
      <c r="Q604" s="14">
        <v>0.02</v>
      </c>
      <c r="R604" s="14">
        <v>0.02</v>
      </c>
      <c r="S604" s="14">
        <v>0.03</v>
      </c>
      <c r="T604" s="14">
        <v>0.03</v>
      </c>
      <c r="U604" s="14">
        <v>0.03</v>
      </c>
      <c r="V604" s="14">
        <v>0.03</v>
      </c>
      <c r="W604" s="14">
        <v>0.03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</row>
    <row r="605" spans="4:32">
      <c r="D605" t="s">
        <v>9</v>
      </c>
      <c r="E605" s="8">
        <v>0.1</v>
      </c>
      <c r="G605" t="s">
        <v>83</v>
      </c>
      <c r="I605" s="15">
        <f>I604*(1+$E605)</f>
        <v>3.3000000000000002E-2</v>
      </c>
      <c r="J605" s="15">
        <f t="shared" ref="J605:AF606" si="165">J604*(1+$E605)</f>
        <v>2.2000000000000002E-2</v>
      </c>
      <c r="K605" s="15">
        <f t="shared" si="165"/>
        <v>2.2000000000000002E-2</v>
      </c>
      <c r="L605" s="15">
        <f t="shared" si="165"/>
        <v>2.2000000000000002E-2</v>
      </c>
      <c r="M605" s="15">
        <f t="shared" si="165"/>
        <v>2.2000000000000002E-2</v>
      </c>
      <c r="N605" s="15">
        <f t="shared" si="165"/>
        <v>2.2000000000000002E-2</v>
      </c>
      <c r="O605" s="15">
        <f t="shared" si="165"/>
        <v>2.2000000000000002E-2</v>
      </c>
      <c r="P605" s="15">
        <f t="shared" si="165"/>
        <v>2.2000000000000002E-2</v>
      </c>
      <c r="Q605" s="15">
        <f t="shared" si="165"/>
        <v>2.2000000000000002E-2</v>
      </c>
      <c r="R605" s="15">
        <f t="shared" si="165"/>
        <v>2.2000000000000002E-2</v>
      </c>
      <c r="S605" s="15">
        <f t="shared" si="165"/>
        <v>3.3000000000000002E-2</v>
      </c>
      <c r="T605" s="15">
        <f t="shared" si="165"/>
        <v>3.3000000000000002E-2</v>
      </c>
      <c r="U605" s="15">
        <f t="shared" si="165"/>
        <v>3.3000000000000002E-2</v>
      </c>
      <c r="V605" s="15">
        <f t="shared" si="165"/>
        <v>3.3000000000000002E-2</v>
      </c>
      <c r="W605" s="15">
        <f t="shared" si="165"/>
        <v>3.3000000000000002E-2</v>
      </c>
      <c r="X605" s="15">
        <f t="shared" si="165"/>
        <v>0</v>
      </c>
      <c r="Y605" s="15">
        <f t="shared" si="165"/>
        <v>0</v>
      </c>
      <c r="Z605" s="15">
        <f t="shared" si="165"/>
        <v>0</v>
      </c>
      <c r="AA605" s="15">
        <f t="shared" si="165"/>
        <v>0</v>
      </c>
      <c r="AB605" s="15">
        <f t="shared" si="165"/>
        <v>0</v>
      </c>
      <c r="AC605" s="15">
        <f t="shared" si="165"/>
        <v>0</v>
      </c>
      <c r="AD605" s="15">
        <f t="shared" si="165"/>
        <v>0</v>
      </c>
      <c r="AE605" s="15">
        <f t="shared" si="165"/>
        <v>0</v>
      </c>
      <c r="AF605" s="15">
        <f t="shared" si="165"/>
        <v>0</v>
      </c>
    </row>
    <row r="606" spans="4:32">
      <c r="D606" t="s">
        <v>10</v>
      </c>
      <c r="E606" s="8">
        <v>-0.1</v>
      </c>
      <c r="G606" t="s">
        <v>83</v>
      </c>
      <c r="I606" s="15">
        <f>I605*(1+$E606)</f>
        <v>2.9700000000000001E-2</v>
      </c>
      <c r="J606" s="15">
        <f t="shared" si="165"/>
        <v>1.9800000000000002E-2</v>
      </c>
      <c r="K606" s="15">
        <f t="shared" si="165"/>
        <v>1.9800000000000002E-2</v>
      </c>
      <c r="L606" s="15">
        <f t="shared" si="165"/>
        <v>1.9800000000000002E-2</v>
      </c>
      <c r="M606" s="15">
        <f t="shared" si="165"/>
        <v>1.9800000000000002E-2</v>
      </c>
      <c r="N606" s="15">
        <f t="shared" si="165"/>
        <v>1.9800000000000002E-2</v>
      </c>
      <c r="O606" s="15">
        <f t="shared" si="165"/>
        <v>1.9800000000000002E-2</v>
      </c>
      <c r="P606" s="15">
        <f t="shared" si="165"/>
        <v>1.9800000000000002E-2</v>
      </c>
      <c r="Q606" s="15">
        <f t="shared" si="165"/>
        <v>1.9800000000000002E-2</v>
      </c>
      <c r="R606" s="15">
        <f t="shared" si="165"/>
        <v>1.9800000000000002E-2</v>
      </c>
      <c r="S606" s="15">
        <f t="shared" si="165"/>
        <v>2.9700000000000001E-2</v>
      </c>
      <c r="T606" s="15">
        <f t="shared" si="165"/>
        <v>2.9700000000000001E-2</v>
      </c>
      <c r="U606" s="15">
        <f t="shared" si="165"/>
        <v>2.9700000000000001E-2</v>
      </c>
      <c r="V606" s="15">
        <f t="shared" si="165"/>
        <v>2.9700000000000001E-2</v>
      </c>
      <c r="W606" s="15">
        <f t="shared" si="165"/>
        <v>2.9700000000000001E-2</v>
      </c>
      <c r="X606" s="15">
        <f t="shared" si="165"/>
        <v>0</v>
      </c>
      <c r="Y606" s="15">
        <f t="shared" si="165"/>
        <v>0</v>
      </c>
      <c r="Z606" s="15">
        <f t="shared" si="165"/>
        <v>0</v>
      </c>
      <c r="AA606" s="15">
        <f t="shared" si="165"/>
        <v>0</v>
      </c>
      <c r="AB606" s="15">
        <f t="shared" si="165"/>
        <v>0</v>
      </c>
      <c r="AC606" s="15">
        <f t="shared" si="165"/>
        <v>0</v>
      </c>
      <c r="AD606" s="15">
        <f t="shared" si="165"/>
        <v>0</v>
      </c>
      <c r="AE606" s="15">
        <f t="shared" si="165"/>
        <v>0</v>
      </c>
      <c r="AF606" s="15">
        <f t="shared" si="165"/>
        <v>0</v>
      </c>
    </row>
    <row r="607" spans="4:32">
      <c r="D607" t="s">
        <v>11</v>
      </c>
      <c r="E607" s="8"/>
      <c r="G607" t="s">
        <v>83</v>
      </c>
      <c r="I607" s="14">
        <v>0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</row>
    <row r="608" spans="4:32">
      <c r="D608" t="s">
        <v>12</v>
      </c>
      <c r="E608" s="8"/>
      <c r="G608" t="s">
        <v>83</v>
      </c>
      <c r="I608" s="14">
        <v>0</v>
      </c>
      <c r="J608" s="14">
        <v>0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</row>
    <row r="610" spans="4:32">
      <c r="D610" s="5" t="s">
        <v>78</v>
      </c>
      <c r="E610" s="5" t="s">
        <v>7</v>
      </c>
      <c r="F610" s="5"/>
      <c r="G610" s="5"/>
      <c r="H610" s="13"/>
      <c r="I610" s="13">
        <f>INDEX(I611:I615,MATCH($E610,$D611:$D615,0))</f>
        <v>0</v>
      </c>
      <c r="J610" s="13">
        <f t="shared" ref="J610:AF610" si="166">INDEX(J611:J615,MATCH($E610,$D611:$D615,0))</f>
        <v>0</v>
      </c>
      <c r="K610" s="13">
        <f t="shared" si="166"/>
        <v>0</v>
      </c>
      <c r="L610" s="13">
        <f t="shared" si="166"/>
        <v>0</v>
      </c>
      <c r="M610" s="13">
        <f t="shared" si="166"/>
        <v>0</v>
      </c>
      <c r="N610" s="13">
        <f t="shared" si="166"/>
        <v>0</v>
      </c>
      <c r="O610" s="13">
        <f t="shared" si="166"/>
        <v>0</v>
      </c>
      <c r="P610" s="13">
        <f t="shared" si="166"/>
        <v>0</v>
      </c>
      <c r="Q610" s="13">
        <f t="shared" si="166"/>
        <v>0</v>
      </c>
      <c r="R610" s="13">
        <f t="shared" si="166"/>
        <v>0</v>
      </c>
      <c r="S610" s="13">
        <f t="shared" si="166"/>
        <v>0</v>
      </c>
      <c r="T610" s="13">
        <f t="shared" si="166"/>
        <v>0</v>
      </c>
      <c r="U610" s="13">
        <f t="shared" si="166"/>
        <v>0</v>
      </c>
      <c r="V610" s="13">
        <f t="shared" si="166"/>
        <v>0</v>
      </c>
      <c r="W610" s="13">
        <f t="shared" si="166"/>
        <v>0</v>
      </c>
      <c r="X610" s="13">
        <f t="shared" si="166"/>
        <v>0</v>
      </c>
      <c r="Y610" s="13">
        <f t="shared" si="166"/>
        <v>0</v>
      </c>
      <c r="Z610" s="13">
        <f t="shared" si="166"/>
        <v>0</v>
      </c>
      <c r="AA610" s="13">
        <f t="shared" si="166"/>
        <v>0</v>
      </c>
      <c r="AB610" s="13">
        <f t="shared" si="166"/>
        <v>0</v>
      </c>
      <c r="AC610" s="13">
        <f t="shared" si="166"/>
        <v>0</v>
      </c>
      <c r="AD610" s="13">
        <f t="shared" si="166"/>
        <v>0</v>
      </c>
      <c r="AE610" s="13">
        <f t="shared" si="166"/>
        <v>0</v>
      </c>
      <c r="AF610" s="13">
        <f t="shared" si="166"/>
        <v>0</v>
      </c>
    </row>
    <row r="611" spans="4:32">
      <c r="D611" t="s">
        <v>7</v>
      </c>
      <c r="E611" s="6"/>
      <c r="G611" t="s">
        <v>83</v>
      </c>
      <c r="I611" s="14">
        <v>0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0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</row>
    <row r="612" spans="4:32">
      <c r="D612" t="s">
        <v>9</v>
      </c>
      <c r="E612" s="8">
        <v>0.1</v>
      </c>
      <c r="G612" t="s">
        <v>83</v>
      </c>
      <c r="I612" s="15">
        <f>I611*(1+$E612)</f>
        <v>0</v>
      </c>
      <c r="J612" s="15">
        <f t="shared" ref="J612:AF613" si="167">J611*(1+$E612)</f>
        <v>0</v>
      </c>
      <c r="K612" s="15">
        <f t="shared" si="167"/>
        <v>0</v>
      </c>
      <c r="L612" s="15">
        <f t="shared" si="167"/>
        <v>0</v>
      </c>
      <c r="M612" s="15">
        <f t="shared" si="167"/>
        <v>0</v>
      </c>
      <c r="N612" s="15">
        <f t="shared" si="167"/>
        <v>0</v>
      </c>
      <c r="O612" s="15">
        <f t="shared" si="167"/>
        <v>0</v>
      </c>
      <c r="P612" s="15">
        <f t="shared" si="167"/>
        <v>0</v>
      </c>
      <c r="Q612" s="15">
        <f t="shared" si="167"/>
        <v>0</v>
      </c>
      <c r="R612" s="15">
        <f t="shared" si="167"/>
        <v>0</v>
      </c>
      <c r="S612" s="15">
        <f t="shared" si="167"/>
        <v>0</v>
      </c>
      <c r="T612" s="15">
        <f t="shared" si="167"/>
        <v>0</v>
      </c>
      <c r="U612" s="15">
        <f t="shared" si="167"/>
        <v>0</v>
      </c>
      <c r="V612" s="15">
        <f t="shared" si="167"/>
        <v>0</v>
      </c>
      <c r="W612" s="15">
        <f t="shared" si="167"/>
        <v>0</v>
      </c>
      <c r="X612" s="15">
        <f t="shared" si="167"/>
        <v>0</v>
      </c>
      <c r="Y612" s="15">
        <f t="shared" si="167"/>
        <v>0</v>
      </c>
      <c r="Z612" s="15">
        <f t="shared" si="167"/>
        <v>0</v>
      </c>
      <c r="AA612" s="15">
        <f t="shared" si="167"/>
        <v>0</v>
      </c>
      <c r="AB612" s="15">
        <f t="shared" si="167"/>
        <v>0</v>
      </c>
      <c r="AC612" s="15">
        <f t="shared" si="167"/>
        <v>0</v>
      </c>
      <c r="AD612" s="15">
        <f t="shared" si="167"/>
        <v>0</v>
      </c>
      <c r="AE612" s="15">
        <f t="shared" si="167"/>
        <v>0</v>
      </c>
      <c r="AF612" s="15">
        <f t="shared" si="167"/>
        <v>0</v>
      </c>
    </row>
    <row r="613" spans="4:32">
      <c r="D613" t="s">
        <v>10</v>
      </c>
      <c r="E613" s="8">
        <v>-0.1</v>
      </c>
      <c r="G613" t="s">
        <v>83</v>
      </c>
      <c r="I613" s="15">
        <f>I612*(1+$E613)</f>
        <v>0</v>
      </c>
      <c r="J613" s="15">
        <f t="shared" si="167"/>
        <v>0</v>
      </c>
      <c r="K613" s="15">
        <f t="shared" si="167"/>
        <v>0</v>
      </c>
      <c r="L613" s="15">
        <f t="shared" si="167"/>
        <v>0</v>
      </c>
      <c r="M613" s="15">
        <f t="shared" si="167"/>
        <v>0</v>
      </c>
      <c r="N613" s="15">
        <f t="shared" si="167"/>
        <v>0</v>
      </c>
      <c r="O613" s="15">
        <f t="shared" si="167"/>
        <v>0</v>
      </c>
      <c r="P613" s="15">
        <f t="shared" si="167"/>
        <v>0</v>
      </c>
      <c r="Q613" s="15">
        <f t="shared" si="167"/>
        <v>0</v>
      </c>
      <c r="R613" s="15">
        <f t="shared" si="167"/>
        <v>0</v>
      </c>
      <c r="S613" s="15">
        <f t="shared" si="167"/>
        <v>0</v>
      </c>
      <c r="T613" s="15">
        <f t="shared" si="167"/>
        <v>0</v>
      </c>
      <c r="U613" s="15">
        <f t="shared" si="167"/>
        <v>0</v>
      </c>
      <c r="V613" s="15">
        <f t="shared" si="167"/>
        <v>0</v>
      </c>
      <c r="W613" s="15">
        <f t="shared" si="167"/>
        <v>0</v>
      </c>
      <c r="X613" s="15">
        <f t="shared" si="167"/>
        <v>0</v>
      </c>
      <c r="Y613" s="15">
        <f t="shared" si="167"/>
        <v>0</v>
      </c>
      <c r="Z613" s="15">
        <f t="shared" si="167"/>
        <v>0</v>
      </c>
      <c r="AA613" s="15">
        <f t="shared" si="167"/>
        <v>0</v>
      </c>
      <c r="AB613" s="15">
        <f t="shared" si="167"/>
        <v>0</v>
      </c>
      <c r="AC613" s="15">
        <f t="shared" si="167"/>
        <v>0</v>
      </c>
      <c r="AD613" s="15">
        <f t="shared" si="167"/>
        <v>0</v>
      </c>
      <c r="AE613" s="15">
        <f t="shared" si="167"/>
        <v>0</v>
      </c>
      <c r="AF613" s="15">
        <f t="shared" si="167"/>
        <v>0</v>
      </c>
    </row>
    <row r="614" spans="4:32">
      <c r="D614" t="s">
        <v>11</v>
      </c>
      <c r="E614" s="8"/>
      <c r="G614" t="s">
        <v>83</v>
      </c>
      <c r="I614" s="14">
        <v>0</v>
      </c>
      <c r="J614" s="14">
        <v>0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</row>
    <row r="615" spans="4:32">
      <c r="D615" t="s">
        <v>12</v>
      </c>
      <c r="E615" s="8"/>
      <c r="G615" t="s">
        <v>83</v>
      </c>
      <c r="I615" s="14">
        <v>0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0</v>
      </c>
      <c r="V615" s="14">
        <v>0</v>
      </c>
      <c r="W615" s="14">
        <v>0</v>
      </c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</row>
    <row r="617" spans="4:32">
      <c r="D617" s="3" t="s">
        <v>87</v>
      </c>
      <c r="E617" s="3"/>
      <c r="F617" s="3"/>
      <c r="G617" s="3" t="s">
        <v>3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4:32">
      <c r="D618" s="4" t="s">
        <v>88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4:32">
      <c r="D619" s="5" t="s">
        <v>89</v>
      </c>
      <c r="E619" s="5" t="s">
        <v>7</v>
      </c>
      <c r="F619" s="5"/>
      <c r="G619" s="5"/>
      <c r="H619" s="13"/>
      <c r="I619" s="13">
        <f>INDEX(I620:I624,MATCH($E619,$D620:$D624,0))</f>
        <v>66.099999999999994</v>
      </c>
      <c r="J619" s="13">
        <f t="shared" ref="J619:AF619" si="168">INDEX(J620:J624,MATCH($E619,$D620:$D624,0))</f>
        <v>97.3</v>
      </c>
      <c r="K619" s="13">
        <f t="shared" si="168"/>
        <v>58</v>
      </c>
      <c r="L619" s="13">
        <f t="shared" si="168"/>
        <v>43</v>
      </c>
      <c r="M619" s="13">
        <f t="shared" si="168"/>
        <v>12.7</v>
      </c>
      <c r="N619" s="13">
        <f t="shared" si="168"/>
        <v>6.6599999999999993</v>
      </c>
      <c r="O619" s="13">
        <f t="shared" si="168"/>
        <v>6.6599999999999993</v>
      </c>
      <c r="P619" s="13">
        <f t="shared" si="168"/>
        <v>6.6599999999999993</v>
      </c>
      <c r="Q619" s="13">
        <f t="shared" si="168"/>
        <v>6.6599999999999993</v>
      </c>
      <c r="R619" s="13">
        <f t="shared" si="168"/>
        <v>6.6599999999999993</v>
      </c>
      <c r="S619" s="13">
        <f t="shared" si="168"/>
        <v>6.5</v>
      </c>
      <c r="T619" s="13">
        <f t="shared" si="168"/>
        <v>6.5</v>
      </c>
      <c r="U619" s="13">
        <f t="shared" si="168"/>
        <v>6.5</v>
      </c>
      <c r="V619" s="13">
        <f t="shared" si="168"/>
        <v>6.5</v>
      </c>
      <c r="W619" s="13">
        <f t="shared" si="168"/>
        <v>6.5</v>
      </c>
      <c r="X619" s="13">
        <f t="shared" si="168"/>
        <v>0</v>
      </c>
      <c r="Y619" s="13">
        <f t="shared" si="168"/>
        <v>0</v>
      </c>
      <c r="Z619" s="13">
        <f t="shared" si="168"/>
        <v>0</v>
      </c>
      <c r="AA619" s="13">
        <f t="shared" si="168"/>
        <v>0</v>
      </c>
      <c r="AB619" s="13">
        <f t="shared" si="168"/>
        <v>0</v>
      </c>
      <c r="AC619" s="13">
        <f t="shared" si="168"/>
        <v>0</v>
      </c>
      <c r="AD619" s="13">
        <f t="shared" si="168"/>
        <v>0</v>
      </c>
      <c r="AE619" s="13">
        <f t="shared" si="168"/>
        <v>0</v>
      </c>
      <c r="AF619" s="13">
        <f t="shared" si="168"/>
        <v>0</v>
      </c>
    </row>
    <row r="620" spans="4:32">
      <c r="D620" t="s">
        <v>7</v>
      </c>
      <c r="E620" s="6"/>
      <c r="G620" t="s">
        <v>90</v>
      </c>
      <c r="I620" s="14">
        <v>66.099999999999994</v>
      </c>
      <c r="J620" s="14">
        <v>97.3</v>
      </c>
      <c r="K620" s="14">
        <v>58</v>
      </c>
      <c r="L620" s="14">
        <v>43</v>
      </c>
      <c r="M620" s="14">
        <v>12.7</v>
      </c>
      <c r="N620" s="14">
        <v>6.6599999999999993</v>
      </c>
      <c r="O620" s="14">
        <v>6.6599999999999993</v>
      </c>
      <c r="P620" s="14">
        <v>6.6599999999999993</v>
      </c>
      <c r="Q620" s="14">
        <v>6.6599999999999993</v>
      </c>
      <c r="R620" s="14">
        <v>6.6599999999999993</v>
      </c>
      <c r="S620" s="14">
        <v>6.5</v>
      </c>
      <c r="T620" s="14">
        <v>6.5</v>
      </c>
      <c r="U620" s="14">
        <v>6.5</v>
      </c>
      <c r="V620" s="14">
        <v>6.5</v>
      </c>
      <c r="W620" s="14">
        <v>6.5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</row>
    <row r="621" spans="4:32">
      <c r="D621" t="s">
        <v>9</v>
      </c>
      <c r="E621" s="8">
        <v>0.1</v>
      </c>
      <c r="G621" t="s">
        <v>90</v>
      </c>
      <c r="I621" s="15">
        <f>I620*(1+$E621)</f>
        <v>72.709999999999994</v>
      </c>
      <c r="J621" s="15">
        <f t="shared" ref="J621:AF622" si="169">J620*(1+$E621)</f>
        <v>107.03</v>
      </c>
      <c r="K621" s="15">
        <f t="shared" si="169"/>
        <v>63.800000000000004</v>
      </c>
      <c r="L621" s="15">
        <f t="shared" si="169"/>
        <v>47.300000000000004</v>
      </c>
      <c r="M621" s="15">
        <f t="shared" si="169"/>
        <v>13.97</v>
      </c>
      <c r="N621" s="15">
        <f t="shared" si="169"/>
        <v>7.3259999999999996</v>
      </c>
      <c r="O621" s="15">
        <f t="shared" si="169"/>
        <v>7.3259999999999996</v>
      </c>
      <c r="P621" s="15">
        <f t="shared" si="169"/>
        <v>7.3259999999999996</v>
      </c>
      <c r="Q621" s="15">
        <f t="shared" si="169"/>
        <v>7.3259999999999996</v>
      </c>
      <c r="R621" s="15">
        <f t="shared" si="169"/>
        <v>7.3259999999999996</v>
      </c>
      <c r="S621" s="15">
        <f t="shared" si="169"/>
        <v>7.15</v>
      </c>
      <c r="T621" s="15">
        <f t="shared" si="169"/>
        <v>7.15</v>
      </c>
      <c r="U621" s="15">
        <f t="shared" si="169"/>
        <v>7.15</v>
      </c>
      <c r="V621" s="15">
        <f t="shared" si="169"/>
        <v>7.15</v>
      </c>
      <c r="W621" s="15">
        <f t="shared" si="169"/>
        <v>7.15</v>
      </c>
      <c r="X621" s="15">
        <f t="shared" si="169"/>
        <v>0</v>
      </c>
      <c r="Y621" s="15">
        <f t="shared" si="169"/>
        <v>0</v>
      </c>
      <c r="Z621" s="15">
        <f t="shared" si="169"/>
        <v>0</v>
      </c>
      <c r="AA621" s="15">
        <f t="shared" si="169"/>
        <v>0</v>
      </c>
      <c r="AB621" s="15">
        <f t="shared" si="169"/>
        <v>0</v>
      </c>
      <c r="AC621" s="15">
        <f t="shared" si="169"/>
        <v>0</v>
      </c>
      <c r="AD621" s="15">
        <f t="shared" si="169"/>
        <v>0</v>
      </c>
      <c r="AE621" s="15">
        <f t="shared" si="169"/>
        <v>0</v>
      </c>
      <c r="AF621" s="15">
        <f t="shared" si="169"/>
        <v>0</v>
      </c>
    </row>
    <row r="622" spans="4:32">
      <c r="D622" t="s">
        <v>10</v>
      </c>
      <c r="E622" s="8">
        <v>-0.1</v>
      </c>
      <c r="G622" t="s">
        <v>90</v>
      </c>
      <c r="I622" s="15">
        <f>I621*(1+$E622)</f>
        <v>65.438999999999993</v>
      </c>
      <c r="J622" s="15">
        <f t="shared" si="169"/>
        <v>96.326999999999998</v>
      </c>
      <c r="K622" s="15">
        <f t="shared" si="169"/>
        <v>57.42</v>
      </c>
      <c r="L622" s="15">
        <f t="shared" si="169"/>
        <v>42.570000000000007</v>
      </c>
      <c r="M622" s="15">
        <f t="shared" si="169"/>
        <v>12.573</v>
      </c>
      <c r="N622" s="15">
        <f t="shared" si="169"/>
        <v>6.5933999999999999</v>
      </c>
      <c r="O622" s="15">
        <f t="shared" si="169"/>
        <v>6.5933999999999999</v>
      </c>
      <c r="P622" s="15">
        <f t="shared" si="169"/>
        <v>6.5933999999999999</v>
      </c>
      <c r="Q622" s="15">
        <f t="shared" si="169"/>
        <v>6.5933999999999999</v>
      </c>
      <c r="R622" s="15">
        <f t="shared" si="169"/>
        <v>6.5933999999999999</v>
      </c>
      <c r="S622" s="15">
        <f t="shared" si="169"/>
        <v>6.4350000000000005</v>
      </c>
      <c r="T622" s="15">
        <f t="shared" si="169"/>
        <v>6.4350000000000005</v>
      </c>
      <c r="U622" s="15">
        <f t="shared" si="169"/>
        <v>6.4350000000000005</v>
      </c>
      <c r="V622" s="15">
        <f t="shared" si="169"/>
        <v>6.4350000000000005</v>
      </c>
      <c r="W622" s="15">
        <f t="shared" si="169"/>
        <v>6.4350000000000005</v>
      </c>
      <c r="X622" s="15">
        <f t="shared" si="169"/>
        <v>0</v>
      </c>
      <c r="Y622" s="15">
        <f t="shared" si="169"/>
        <v>0</v>
      </c>
      <c r="Z622" s="15">
        <f t="shared" si="169"/>
        <v>0</v>
      </c>
      <c r="AA622" s="15">
        <f t="shared" si="169"/>
        <v>0</v>
      </c>
      <c r="AB622" s="15">
        <f t="shared" si="169"/>
        <v>0</v>
      </c>
      <c r="AC622" s="15">
        <f t="shared" si="169"/>
        <v>0</v>
      </c>
      <c r="AD622" s="15">
        <f t="shared" si="169"/>
        <v>0</v>
      </c>
      <c r="AE622" s="15">
        <f t="shared" si="169"/>
        <v>0</v>
      </c>
      <c r="AF622" s="15">
        <f t="shared" si="169"/>
        <v>0</v>
      </c>
    </row>
    <row r="623" spans="4:32">
      <c r="D623" t="s">
        <v>11</v>
      </c>
      <c r="E623" s="8"/>
      <c r="G623" t="s">
        <v>90</v>
      </c>
      <c r="I623" s="14">
        <v>0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</row>
    <row r="624" spans="4:32">
      <c r="D624" t="s">
        <v>12</v>
      </c>
      <c r="E624" s="8"/>
      <c r="G624" t="s">
        <v>90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</row>
    <row r="626" spans="4:32">
      <c r="D626" s="5" t="s">
        <v>91</v>
      </c>
      <c r="E626" s="5" t="s">
        <v>7</v>
      </c>
      <c r="F626" s="5"/>
      <c r="G626" s="5"/>
      <c r="H626" s="13"/>
      <c r="I626" s="13">
        <f>INDEX(I627:I631,MATCH($E626,$D627:$D631,0))</f>
        <v>50.2</v>
      </c>
      <c r="J626" s="13">
        <f t="shared" ref="J626:AF626" si="170">INDEX(J627:J631,MATCH($E626,$D627:$D631,0))</f>
        <v>47.6</v>
      </c>
      <c r="K626" s="13">
        <f t="shared" si="170"/>
        <v>49.5</v>
      </c>
      <c r="L626" s="13">
        <f t="shared" si="170"/>
        <v>44.9</v>
      </c>
      <c r="M626" s="13">
        <f t="shared" si="170"/>
        <v>45.4</v>
      </c>
      <c r="N626" s="13">
        <f t="shared" si="170"/>
        <v>52.120000000000005</v>
      </c>
      <c r="O626" s="13">
        <f t="shared" si="170"/>
        <v>52.120000000000005</v>
      </c>
      <c r="P626" s="13">
        <f t="shared" si="170"/>
        <v>52.120000000000005</v>
      </c>
      <c r="Q626" s="13">
        <f t="shared" si="170"/>
        <v>52.120000000000005</v>
      </c>
      <c r="R626" s="13">
        <f t="shared" si="170"/>
        <v>52.120000000000005</v>
      </c>
      <c r="S626" s="13">
        <f t="shared" si="170"/>
        <v>35.22</v>
      </c>
      <c r="T626" s="13">
        <f t="shared" si="170"/>
        <v>35.22</v>
      </c>
      <c r="U626" s="13">
        <f t="shared" si="170"/>
        <v>35.22</v>
      </c>
      <c r="V626" s="13">
        <f t="shared" si="170"/>
        <v>35.22</v>
      </c>
      <c r="W626" s="13">
        <f t="shared" si="170"/>
        <v>35.22</v>
      </c>
      <c r="X626" s="13">
        <f t="shared" si="170"/>
        <v>18.3</v>
      </c>
      <c r="Y626" s="13">
        <f t="shared" si="170"/>
        <v>18.3</v>
      </c>
      <c r="Z626" s="13">
        <f t="shared" si="170"/>
        <v>18.3</v>
      </c>
      <c r="AA626" s="13">
        <f t="shared" si="170"/>
        <v>18.3</v>
      </c>
      <c r="AB626" s="13">
        <f t="shared" si="170"/>
        <v>18.3</v>
      </c>
      <c r="AC626" s="13">
        <f t="shared" si="170"/>
        <v>0</v>
      </c>
      <c r="AD626" s="13">
        <f t="shared" si="170"/>
        <v>0</v>
      </c>
      <c r="AE626" s="13">
        <f t="shared" si="170"/>
        <v>0</v>
      </c>
      <c r="AF626" s="13">
        <f t="shared" si="170"/>
        <v>0</v>
      </c>
    </row>
    <row r="627" spans="4:32">
      <c r="D627" t="s">
        <v>7</v>
      </c>
      <c r="E627" s="6"/>
      <c r="G627" t="s">
        <v>90</v>
      </c>
      <c r="I627" s="14">
        <v>50.2</v>
      </c>
      <c r="J627" s="14">
        <v>47.6</v>
      </c>
      <c r="K627" s="14">
        <v>49.5</v>
      </c>
      <c r="L627" s="14">
        <v>44.9</v>
      </c>
      <c r="M627" s="14">
        <v>45.4</v>
      </c>
      <c r="N627" s="14">
        <v>52.120000000000005</v>
      </c>
      <c r="O627" s="14">
        <v>52.120000000000005</v>
      </c>
      <c r="P627" s="14">
        <v>52.120000000000005</v>
      </c>
      <c r="Q627" s="14">
        <v>52.120000000000005</v>
      </c>
      <c r="R627" s="14">
        <v>52.120000000000005</v>
      </c>
      <c r="S627" s="14">
        <v>35.22</v>
      </c>
      <c r="T627" s="14">
        <v>35.22</v>
      </c>
      <c r="U627" s="14">
        <v>35.22</v>
      </c>
      <c r="V627" s="14">
        <v>35.22</v>
      </c>
      <c r="W627" s="14">
        <v>35.22</v>
      </c>
      <c r="X627" s="14">
        <v>18.3</v>
      </c>
      <c r="Y627" s="14">
        <v>18.3</v>
      </c>
      <c r="Z627" s="14">
        <v>18.3</v>
      </c>
      <c r="AA627" s="14">
        <v>18.3</v>
      </c>
      <c r="AB627" s="14">
        <v>18.3</v>
      </c>
      <c r="AC627" s="14">
        <v>0</v>
      </c>
      <c r="AD627" s="14">
        <v>0</v>
      </c>
      <c r="AE627" s="14">
        <v>0</v>
      </c>
      <c r="AF627" s="14">
        <v>0</v>
      </c>
    </row>
    <row r="628" spans="4:32">
      <c r="D628" t="s">
        <v>9</v>
      </c>
      <c r="E628" s="8">
        <v>0.1</v>
      </c>
      <c r="G628" t="s">
        <v>90</v>
      </c>
      <c r="I628" s="15">
        <f>I627*(1+$E628)</f>
        <v>55.220000000000006</v>
      </c>
      <c r="J628" s="15">
        <f t="shared" ref="J628:AF629" si="171">J627*(1+$E628)</f>
        <v>52.360000000000007</v>
      </c>
      <c r="K628" s="15">
        <f t="shared" si="171"/>
        <v>54.45</v>
      </c>
      <c r="L628" s="15">
        <f t="shared" si="171"/>
        <v>49.39</v>
      </c>
      <c r="M628" s="15">
        <f t="shared" si="171"/>
        <v>49.940000000000005</v>
      </c>
      <c r="N628" s="15">
        <f t="shared" si="171"/>
        <v>57.332000000000008</v>
      </c>
      <c r="O628" s="15">
        <f t="shared" si="171"/>
        <v>57.332000000000008</v>
      </c>
      <c r="P628" s="15">
        <f t="shared" si="171"/>
        <v>57.332000000000008</v>
      </c>
      <c r="Q628" s="15">
        <f t="shared" si="171"/>
        <v>57.332000000000008</v>
      </c>
      <c r="R628" s="15">
        <f t="shared" si="171"/>
        <v>57.332000000000008</v>
      </c>
      <c r="S628" s="15">
        <f t="shared" si="171"/>
        <v>38.742000000000004</v>
      </c>
      <c r="T628" s="15">
        <f t="shared" si="171"/>
        <v>38.742000000000004</v>
      </c>
      <c r="U628" s="15">
        <f t="shared" si="171"/>
        <v>38.742000000000004</v>
      </c>
      <c r="V628" s="15">
        <f t="shared" si="171"/>
        <v>38.742000000000004</v>
      </c>
      <c r="W628" s="15">
        <f t="shared" si="171"/>
        <v>38.742000000000004</v>
      </c>
      <c r="X628" s="15">
        <f t="shared" si="171"/>
        <v>20.130000000000003</v>
      </c>
      <c r="Y628" s="15">
        <f t="shared" si="171"/>
        <v>20.130000000000003</v>
      </c>
      <c r="Z628" s="15">
        <f t="shared" si="171"/>
        <v>20.130000000000003</v>
      </c>
      <c r="AA628" s="15">
        <f t="shared" si="171"/>
        <v>20.130000000000003</v>
      </c>
      <c r="AB628" s="15">
        <f t="shared" si="171"/>
        <v>20.130000000000003</v>
      </c>
      <c r="AC628" s="15">
        <f t="shared" si="171"/>
        <v>0</v>
      </c>
      <c r="AD628" s="15">
        <f t="shared" si="171"/>
        <v>0</v>
      </c>
      <c r="AE628" s="15">
        <f t="shared" si="171"/>
        <v>0</v>
      </c>
      <c r="AF628" s="15">
        <f t="shared" si="171"/>
        <v>0</v>
      </c>
    </row>
    <row r="629" spans="4:32">
      <c r="D629" t="s">
        <v>10</v>
      </c>
      <c r="E629" s="8">
        <v>-0.1</v>
      </c>
      <c r="G629" t="s">
        <v>90</v>
      </c>
      <c r="I629" s="15">
        <f>I628*(1+$E629)</f>
        <v>49.698000000000008</v>
      </c>
      <c r="J629" s="15">
        <f t="shared" si="171"/>
        <v>47.124000000000009</v>
      </c>
      <c r="K629" s="15">
        <f t="shared" si="171"/>
        <v>49.005000000000003</v>
      </c>
      <c r="L629" s="15">
        <f t="shared" si="171"/>
        <v>44.451000000000001</v>
      </c>
      <c r="M629" s="15">
        <f t="shared" si="171"/>
        <v>44.946000000000005</v>
      </c>
      <c r="N629" s="15">
        <f t="shared" si="171"/>
        <v>51.598800000000011</v>
      </c>
      <c r="O629" s="15">
        <f t="shared" si="171"/>
        <v>51.598800000000011</v>
      </c>
      <c r="P629" s="15">
        <f t="shared" si="171"/>
        <v>51.598800000000011</v>
      </c>
      <c r="Q629" s="15">
        <f t="shared" si="171"/>
        <v>51.598800000000011</v>
      </c>
      <c r="R629" s="15">
        <f t="shared" si="171"/>
        <v>51.598800000000011</v>
      </c>
      <c r="S629" s="15">
        <f t="shared" si="171"/>
        <v>34.867800000000003</v>
      </c>
      <c r="T629" s="15">
        <f t="shared" si="171"/>
        <v>34.867800000000003</v>
      </c>
      <c r="U629" s="15">
        <f t="shared" si="171"/>
        <v>34.867800000000003</v>
      </c>
      <c r="V629" s="15">
        <f t="shared" si="171"/>
        <v>34.867800000000003</v>
      </c>
      <c r="W629" s="15">
        <f t="shared" si="171"/>
        <v>34.867800000000003</v>
      </c>
      <c r="X629" s="15">
        <f t="shared" si="171"/>
        <v>18.117000000000004</v>
      </c>
      <c r="Y629" s="15">
        <f t="shared" si="171"/>
        <v>18.117000000000004</v>
      </c>
      <c r="Z629" s="15">
        <f t="shared" si="171"/>
        <v>18.117000000000004</v>
      </c>
      <c r="AA629" s="15">
        <f t="shared" si="171"/>
        <v>18.117000000000004</v>
      </c>
      <c r="AB629" s="15">
        <f t="shared" si="171"/>
        <v>18.117000000000004</v>
      </c>
      <c r="AC629" s="15">
        <f t="shared" si="171"/>
        <v>0</v>
      </c>
      <c r="AD629" s="15">
        <f t="shared" si="171"/>
        <v>0</v>
      </c>
      <c r="AE629" s="15">
        <f t="shared" si="171"/>
        <v>0</v>
      </c>
      <c r="AF629" s="15">
        <f t="shared" si="171"/>
        <v>0</v>
      </c>
    </row>
    <row r="630" spans="4:32">
      <c r="D630" t="s">
        <v>11</v>
      </c>
      <c r="E630" s="8"/>
      <c r="G630" t="s">
        <v>90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</row>
    <row r="631" spans="4:32">
      <c r="D631" t="s">
        <v>12</v>
      </c>
      <c r="E631" s="8"/>
      <c r="G631" t="s">
        <v>90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4">
        <v>0</v>
      </c>
      <c r="U631" s="14">
        <v>0</v>
      </c>
      <c r="V631" s="14">
        <v>0</v>
      </c>
      <c r="W631" s="14">
        <v>0</v>
      </c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</row>
    <row r="633" spans="4:32">
      <c r="D633" s="5" t="s">
        <v>92</v>
      </c>
      <c r="E633" s="5" t="s">
        <v>7</v>
      </c>
      <c r="F633" s="5"/>
      <c r="G633" s="5"/>
      <c r="H633" s="13"/>
      <c r="I633" s="13">
        <f>INDEX(I634:I638,MATCH($E633,$D634:$D638,0))</f>
        <v>13.5</v>
      </c>
      <c r="J633" s="13">
        <f t="shared" ref="J633:AF633" si="172">INDEX(J634:J638,MATCH($E633,$D634:$D638,0))</f>
        <v>19.3</v>
      </c>
      <c r="K633" s="13">
        <f t="shared" si="172"/>
        <v>14.8</v>
      </c>
      <c r="L633" s="13">
        <f t="shared" si="172"/>
        <v>3</v>
      </c>
      <c r="M633" s="13">
        <f t="shared" si="172"/>
        <v>20.6</v>
      </c>
      <c r="N633" s="13">
        <f t="shared" si="172"/>
        <v>1.72</v>
      </c>
      <c r="O633" s="13">
        <f t="shared" si="172"/>
        <v>1.72</v>
      </c>
      <c r="P633" s="13">
        <f t="shared" si="172"/>
        <v>1.72</v>
      </c>
      <c r="Q633" s="13">
        <f t="shared" si="172"/>
        <v>1.72</v>
      </c>
      <c r="R633" s="13">
        <f t="shared" si="172"/>
        <v>1.72</v>
      </c>
      <c r="S633" s="13">
        <f t="shared" si="172"/>
        <v>1.06</v>
      </c>
      <c r="T633" s="13">
        <f t="shared" si="172"/>
        <v>1.06</v>
      </c>
      <c r="U633" s="13">
        <f t="shared" si="172"/>
        <v>1.06</v>
      </c>
      <c r="V633" s="13">
        <f t="shared" si="172"/>
        <v>1.06</v>
      </c>
      <c r="W633" s="13">
        <f t="shared" si="172"/>
        <v>1.06</v>
      </c>
      <c r="X633" s="13">
        <f t="shared" si="172"/>
        <v>0</v>
      </c>
      <c r="Y633" s="13">
        <f t="shared" si="172"/>
        <v>0</v>
      </c>
      <c r="Z633" s="13">
        <f t="shared" si="172"/>
        <v>0</v>
      </c>
      <c r="AA633" s="13">
        <f t="shared" si="172"/>
        <v>0</v>
      </c>
      <c r="AB633" s="13">
        <f t="shared" si="172"/>
        <v>0</v>
      </c>
      <c r="AC633" s="13">
        <f t="shared" si="172"/>
        <v>0</v>
      </c>
      <c r="AD633" s="13">
        <f t="shared" si="172"/>
        <v>0</v>
      </c>
      <c r="AE633" s="13">
        <f t="shared" si="172"/>
        <v>0</v>
      </c>
      <c r="AF633" s="13">
        <f t="shared" si="172"/>
        <v>0</v>
      </c>
    </row>
    <row r="634" spans="4:32">
      <c r="D634" t="s">
        <v>7</v>
      </c>
      <c r="E634" s="6"/>
      <c r="G634" t="s">
        <v>90</v>
      </c>
      <c r="I634" s="14">
        <v>13.5</v>
      </c>
      <c r="J634" s="14">
        <v>19.3</v>
      </c>
      <c r="K634" s="14">
        <v>14.8</v>
      </c>
      <c r="L634" s="14">
        <v>3</v>
      </c>
      <c r="M634" s="14">
        <v>20.6</v>
      </c>
      <c r="N634" s="14">
        <v>1.72</v>
      </c>
      <c r="O634" s="14">
        <v>1.72</v>
      </c>
      <c r="P634" s="14">
        <v>1.72</v>
      </c>
      <c r="Q634" s="14">
        <v>1.72</v>
      </c>
      <c r="R634" s="14">
        <v>1.72</v>
      </c>
      <c r="S634" s="14">
        <v>1.06</v>
      </c>
      <c r="T634" s="14">
        <v>1.06</v>
      </c>
      <c r="U634" s="14">
        <v>1.06</v>
      </c>
      <c r="V634" s="14">
        <v>1.06</v>
      </c>
      <c r="W634" s="14">
        <v>1.06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0</v>
      </c>
      <c r="AD634" s="14">
        <v>0</v>
      </c>
      <c r="AE634" s="14">
        <v>0</v>
      </c>
      <c r="AF634" s="14">
        <v>0</v>
      </c>
    </row>
    <row r="635" spans="4:32">
      <c r="D635" t="s">
        <v>9</v>
      </c>
      <c r="E635" s="8">
        <v>0.1</v>
      </c>
      <c r="G635" t="s">
        <v>90</v>
      </c>
      <c r="I635" s="15">
        <f>I634*(1+$E635)</f>
        <v>14.850000000000001</v>
      </c>
      <c r="J635" s="15">
        <f t="shared" ref="J635:AF636" si="173">J634*(1+$E635)</f>
        <v>21.230000000000004</v>
      </c>
      <c r="K635" s="15">
        <f t="shared" si="173"/>
        <v>16.28</v>
      </c>
      <c r="L635" s="15">
        <f t="shared" si="173"/>
        <v>3.3000000000000003</v>
      </c>
      <c r="M635" s="15">
        <f t="shared" si="173"/>
        <v>22.660000000000004</v>
      </c>
      <c r="N635" s="15">
        <f t="shared" si="173"/>
        <v>1.8920000000000001</v>
      </c>
      <c r="O635" s="15">
        <f t="shared" si="173"/>
        <v>1.8920000000000001</v>
      </c>
      <c r="P635" s="15">
        <f t="shared" si="173"/>
        <v>1.8920000000000001</v>
      </c>
      <c r="Q635" s="15">
        <f t="shared" si="173"/>
        <v>1.8920000000000001</v>
      </c>
      <c r="R635" s="15">
        <f t="shared" si="173"/>
        <v>1.8920000000000001</v>
      </c>
      <c r="S635" s="15">
        <f t="shared" si="173"/>
        <v>1.1660000000000001</v>
      </c>
      <c r="T635" s="15">
        <f t="shared" si="173"/>
        <v>1.1660000000000001</v>
      </c>
      <c r="U635" s="15">
        <f t="shared" si="173"/>
        <v>1.1660000000000001</v>
      </c>
      <c r="V635" s="15">
        <f t="shared" si="173"/>
        <v>1.1660000000000001</v>
      </c>
      <c r="W635" s="15">
        <f t="shared" si="173"/>
        <v>1.1660000000000001</v>
      </c>
      <c r="X635" s="15">
        <f t="shared" si="173"/>
        <v>0</v>
      </c>
      <c r="Y635" s="15">
        <f t="shared" si="173"/>
        <v>0</v>
      </c>
      <c r="Z635" s="15">
        <f t="shared" si="173"/>
        <v>0</v>
      </c>
      <c r="AA635" s="15">
        <f t="shared" si="173"/>
        <v>0</v>
      </c>
      <c r="AB635" s="15">
        <f t="shared" si="173"/>
        <v>0</v>
      </c>
      <c r="AC635" s="15">
        <f t="shared" si="173"/>
        <v>0</v>
      </c>
      <c r="AD635" s="15">
        <f t="shared" si="173"/>
        <v>0</v>
      </c>
      <c r="AE635" s="15">
        <f t="shared" si="173"/>
        <v>0</v>
      </c>
      <c r="AF635" s="15">
        <f t="shared" si="173"/>
        <v>0</v>
      </c>
    </row>
    <row r="636" spans="4:32">
      <c r="D636" t="s">
        <v>10</v>
      </c>
      <c r="E636" s="8">
        <v>-0.1</v>
      </c>
      <c r="G636" t="s">
        <v>90</v>
      </c>
      <c r="I636" s="15">
        <f>I635*(1+$E636)</f>
        <v>13.365000000000002</v>
      </c>
      <c r="J636" s="15">
        <f t="shared" si="173"/>
        <v>19.107000000000003</v>
      </c>
      <c r="K636" s="15">
        <f t="shared" si="173"/>
        <v>14.652000000000001</v>
      </c>
      <c r="L636" s="15">
        <f t="shared" si="173"/>
        <v>2.97</v>
      </c>
      <c r="M636" s="15">
        <f t="shared" si="173"/>
        <v>20.394000000000005</v>
      </c>
      <c r="N636" s="15">
        <f t="shared" si="173"/>
        <v>1.7028000000000001</v>
      </c>
      <c r="O636" s="15">
        <f t="shared" si="173"/>
        <v>1.7028000000000001</v>
      </c>
      <c r="P636" s="15">
        <f t="shared" si="173"/>
        <v>1.7028000000000001</v>
      </c>
      <c r="Q636" s="15">
        <f t="shared" si="173"/>
        <v>1.7028000000000001</v>
      </c>
      <c r="R636" s="15">
        <f t="shared" si="173"/>
        <v>1.7028000000000001</v>
      </c>
      <c r="S636" s="15">
        <f t="shared" si="173"/>
        <v>1.0494000000000001</v>
      </c>
      <c r="T636" s="15">
        <f t="shared" si="173"/>
        <v>1.0494000000000001</v>
      </c>
      <c r="U636" s="15">
        <f t="shared" si="173"/>
        <v>1.0494000000000001</v>
      </c>
      <c r="V636" s="15">
        <f t="shared" si="173"/>
        <v>1.0494000000000001</v>
      </c>
      <c r="W636" s="15">
        <f t="shared" si="173"/>
        <v>1.0494000000000001</v>
      </c>
      <c r="X636" s="15">
        <f t="shared" si="173"/>
        <v>0</v>
      </c>
      <c r="Y636" s="15">
        <f t="shared" si="173"/>
        <v>0</v>
      </c>
      <c r="Z636" s="15">
        <f t="shared" si="173"/>
        <v>0</v>
      </c>
      <c r="AA636" s="15">
        <f t="shared" si="173"/>
        <v>0</v>
      </c>
      <c r="AB636" s="15">
        <f t="shared" si="173"/>
        <v>0</v>
      </c>
      <c r="AC636" s="15">
        <f t="shared" si="173"/>
        <v>0</v>
      </c>
      <c r="AD636" s="15">
        <f t="shared" si="173"/>
        <v>0</v>
      </c>
      <c r="AE636" s="15">
        <f t="shared" si="173"/>
        <v>0</v>
      </c>
      <c r="AF636" s="15">
        <f t="shared" si="173"/>
        <v>0</v>
      </c>
    </row>
    <row r="637" spans="4:32">
      <c r="D637" t="s">
        <v>11</v>
      </c>
      <c r="E637" s="8"/>
      <c r="G637" t="s">
        <v>90</v>
      </c>
      <c r="I637" s="14">
        <v>0</v>
      </c>
      <c r="J637" s="14">
        <v>0</v>
      </c>
      <c r="K637" s="14">
        <v>0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0</v>
      </c>
      <c r="AD637" s="14">
        <v>0</v>
      </c>
      <c r="AE637" s="14">
        <v>0</v>
      </c>
      <c r="AF637" s="14">
        <v>0</v>
      </c>
    </row>
    <row r="638" spans="4:32">
      <c r="D638" t="s">
        <v>12</v>
      </c>
      <c r="E638" s="8"/>
      <c r="G638" t="s">
        <v>90</v>
      </c>
      <c r="I638" s="14">
        <v>0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4">
        <v>0</v>
      </c>
      <c r="U638" s="14">
        <v>0</v>
      </c>
      <c r="V638" s="14">
        <v>0</v>
      </c>
      <c r="W638" s="14">
        <v>0</v>
      </c>
      <c r="X638" s="14">
        <v>0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</row>
    <row r="640" spans="4:32">
      <c r="D640" s="5" t="s">
        <v>93</v>
      </c>
      <c r="E640" s="5" t="s">
        <v>7</v>
      </c>
      <c r="F640" s="5"/>
      <c r="G640" s="5"/>
      <c r="H640" s="13"/>
      <c r="I640" s="13">
        <f>INDEX(I641:I645,MATCH($E640,$D641:$D645,0))</f>
        <v>55.2</v>
      </c>
      <c r="J640" s="13">
        <f t="shared" ref="J640:AF640" si="174">INDEX(J641:J645,MATCH($E640,$D641:$D645,0))</f>
        <v>29.8</v>
      </c>
      <c r="K640" s="13">
        <f t="shared" si="174"/>
        <v>12.2</v>
      </c>
      <c r="L640" s="13">
        <f t="shared" si="174"/>
        <v>13.1</v>
      </c>
      <c r="M640" s="13">
        <f t="shared" si="174"/>
        <v>8</v>
      </c>
      <c r="N640" s="13">
        <f t="shared" si="174"/>
        <v>6.9799999999999995</v>
      </c>
      <c r="O640" s="13">
        <f t="shared" si="174"/>
        <v>6.9799999999999995</v>
      </c>
      <c r="P640" s="13">
        <f t="shared" si="174"/>
        <v>6.9799999999999995</v>
      </c>
      <c r="Q640" s="13">
        <f t="shared" si="174"/>
        <v>6.9799999999999995</v>
      </c>
      <c r="R640" s="13">
        <f t="shared" si="174"/>
        <v>6.9799999999999995</v>
      </c>
      <c r="S640" s="13">
        <f t="shared" si="174"/>
        <v>2.46</v>
      </c>
      <c r="T640" s="13">
        <f t="shared" si="174"/>
        <v>2.46</v>
      </c>
      <c r="U640" s="13">
        <f t="shared" si="174"/>
        <v>2.46</v>
      </c>
      <c r="V640" s="13">
        <f t="shared" si="174"/>
        <v>2.46</v>
      </c>
      <c r="W640" s="13">
        <f t="shared" si="174"/>
        <v>2.46</v>
      </c>
      <c r="X640" s="13">
        <f t="shared" si="174"/>
        <v>0</v>
      </c>
      <c r="Y640" s="13">
        <f t="shared" si="174"/>
        <v>0</v>
      </c>
      <c r="Z640" s="13">
        <f t="shared" si="174"/>
        <v>0</v>
      </c>
      <c r="AA640" s="13">
        <f t="shared" si="174"/>
        <v>0</v>
      </c>
      <c r="AB640" s="13">
        <f t="shared" si="174"/>
        <v>0</v>
      </c>
      <c r="AC640" s="13">
        <f t="shared" si="174"/>
        <v>0</v>
      </c>
      <c r="AD640" s="13">
        <f t="shared" si="174"/>
        <v>0</v>
      </c>
      <c r="AE640" s="13">
        <f t="shared" si="174"/>
        <v>0</v>
      </c>
      <c r="AF640" s="13">
        <f t="shared" si="174"/>
        <v>0</v>
      </c>
    </row>
    <row r="641" spans="1:32">
      <c r="D641" t="s">
        <v>7</v>
      </c>
      <c r="E641" s="6"/>
      <c r="G641" t="s">
        <v>90</v>
      </c>
      <c r="I641" s="14">
        <v>55.2</v>
      </c>
      <c r="J641" s="14">
        <v>29.8</v>
      </c>
      <c r="K641" s="14">
        <v>12.2</v>
      </c>
      <c r="L641" s="14">
        <v>13.1</v>
      </c>
      <c r="M641" s="14">
        <v>8</v>
      </c>
      <c r="N641" s="14">
        <v>6.9799999999999995</v>
      </c>
      <c r="O641" s="14">
        <v>6.9799999999999995</v>
      </c>
      <c r="P641" s="14">
        <v>6.9799999999999995</v>
      </c>
      <c r="Q641" s="14">
        <v>6.9799999999999995</v>
      </c>
      <c r="R641" s="14">
        <v>6.9799999999999995</v>
      </c>
      <c r="S641" s="14">
        <v>2.46</v>
      </c>
      <c r="T641" s="14">
        <v>2.46</v>
      </c>
      <c r="U641" s="14">
        <v>2.46</v>
      </c>
      <c r="V641" s="14">
        <v>2.46</v>
      </c>
      <c r="W641" s="14">
        <v>2.46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</row>
    <row r="642" spans="1:32">
      <c r="D642" t="s">
        <v>9</v>
      </c>
      <c r="E642" s="8">
        <v>0.1</v>
      </c>
      <c r="G642" t="s">
        <v>90</v>
      </c>
      <c r="I642" s="15">
        <f>I641*(1+$E642)</f>
        <v>60.720000000000006</v>
      </c>
      <c r="J642" s="15">
        <f t="shared" ref="J642:AF643" si="175">J641*(1+$E642)</f>
        <v>32.78</v>
      </c>
      <c r="K642" s="15">
        <f t="shared" si="175"/>
        <v>13.42</v>
      </c>
      <c r="L642" s="15">
        <f t="shared" si="175"/>
        <v>14.41</v>
      </c>
      <c r="M642" s="15">
        <f t="shared" si="175"/>
        <v>8.8000000000000007</v>
      </c>
      <c r="N642" s="15">
        <f t="shared" si="175"/>
        <v>7.6779999999999999</v>
      </c>
      <c r="O642" s="15">
        <f t="shared" si="175"/>
        <v>7.6779999999999999</v>
      </c>
      <c r="P642" s="15">
        <f t="shared" si="175"/>
        <v>7.6779999999999999</v>
      </c>
      <c r="Q642" s="15">
        <f t="shared" si="175"/>
        <v>7.6779999999999999</v>
      </c>
      <c r="R642" s="15">
        <f t="shared" si="175"/>
        <v>7.6779999999999999</v>
      </c>
      <c r="S642" s="15">
        <f t="shared" si="175"/>
        <v>2.706</v>
      </c>
      <c r="T642" s="15">
        <f t="shared" si="175"/>
        <v>2.706</v>
      </c>
      <c r="U642" s="15">
        <f t="shared" si="175"/>
        <v>2.706</v>
      </c>
      <c r="V642" s="15">
        <f t="shared" si="175"/>
        <v>2.706</v>
      </c>
      <c r="W642" s="15">
        <f t="shared" si="175"/>
        <v>2.706</v>
      </c>
      <c r="X642" s="15">
        <f t="shared" si="175"/>
        <v>0</v>
      </c>
      <c r="Y642" s="15">
        <f t="shared" si="175"/>
        <v>0</v>
      </c>
      <c r="Z642" s="15">
        <f t="shared" si="175"/>
        <v>0</v>
      </c>
      <c r="AA642" s="15">
        <f t="shared" si="175"/>
        <v>0</v>
      </c>
      <c r="AB642" s="15">
        <f t="shared" si="175"/>
        <v>0</v>
      </c>
      <c r="AC642" s="15">
        <f t="shared" si="175"/>
        <v>0</v>
      </c>
      <c r="AD642" s="15">
        <f t="shared" si="175"/>
        <v>0</v>
      </c>
      <c r="AE642" s="15">
        <f t="shared" si="175"/>
        <v>0</v>
      </c>
      <c r="AF642" s="15">
        <f t="shared" si="175"/>
        <v>0</v>
      </c>
    </row>
    <row r="643" spans="1:32">
      <c r="D643" t="s">
        <v>10</v>
      </c>
      <c r="E643" s="8">
        <v>-0.1</v>
      </c>
      <c r="G643" t="s">
        <v>90</v>
      </c>
      <c r="I643" s="15">
        <f>I642*(1+$E643)</f>
        <v>54.648000000000003</v>
      </c>
      <c r="J643" s="15">
        <f t="shared" si="175"/>
        <v>29.502000000000002</v>
      </c>
      <c r="K643" s="15">
        <f t="shared" si="175"/>
        <v>12.077999999999999</v>
      </c>
      <c r="L643" s="15">
        <f t="shared" si="175"/>
        <v>12.969000000000001</v>
      </c>
      <c r="M643" s="15">
        <f t="shared" si="175"/>
        <v>7.9200000000000008</v>
      </c>
      <c r="N643" s="15">
        <f t="shared" si="175"/>
        <v>6.9101999999999997</v>
      </c>
      <c r="O643" s="15">
        <f t="shared" si="175"/>
        <v>6.9101999999999997</v>
      </c>
      <c r="P643" s="15">
        <f t="shared" si="175"/>
        <v>6.9101999999999997</v>
      </c>
      <c r="Q643" s="15">
        <f t="shared" si="175"/>
        <v>6.9101999999999997</v>
      </c>
      <c r="R643" s="15">
        <f t="shared" si="175"/>
        <v>6.9101999999999997</v>
      </c>
      <c r="S643" s="15">
        <f t="shared" si="175"/>
        <v>2.4354</v>
      </c>
      <c r="T643" s="15">
        <f t="shared" si="175"/>
        <v>2.4354</v>
      </c>
      <c r="U643" s="15">
        <f t="shared" si="175"/>
        <v>2.4354</v>
      </c>
      <c r="V643" s="15">
        <f t="shared" si="175"/>
        <v>2.4354</v>
      </c>
      <c r="W643" s="15">
        <f t="shared" si="175"/>
        <v>2.4354</v>
      </c>
      <c r="X643" s="15">
        <f t="shared" si="175"/>
        <v>0</v>
      </c>
      <c r="Y643" s="15">
        <f t="shared" si="175"/>
        <v>0</v>
      </c>
      <c r="Z643" s="15">
        <f t="shared" si="175"/>
        <v>0</v>
      </c>
      <c r="AA643" s="15">
        <f t="shared" si="175"/>
        <v>0</v>
      </c>
      <c r="AB643" s="15">
        <f t="shared" si="175"/>
        <v>0</v>
      </c>
      <c r="AC643" s="15">
        <f t="shared" si="175"/>
        <v>0</v>
      </c>
      <c r="AD643" s="15">
        <f t="shared" si="175"/>
        <v>0</v>
      </c>
      <c r="AE643" s="15">
        <f t="shared" si="175"/>
        <v>0</v>
      </c>
      <c r="AF643" s="15">
        <f t="shared" si="175"/>
        <v>0</v>
      </c>
    </row>
    <row r="644" spans="1:32">
      <c r="D644" t="s">
        <v>11</v>
      </c>
      <c r="E644" s="8"/>
      <c r="G644" t="s">
        <v>90</v>
      </c>
      <c r="I644" s="14">
        <v>0</v>
      </c>
      <c r="J644" s="14">
        <v>0</v>
      </c>
      <c r="K644" s="14">
        <v>0</v>
      </c>
      <c r="L644" s="14">
        <v>0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</row>
    <row r="645" spans="1:32">
      <c r="D645" t="s">
        <v>12</v>
      </c>
      <c r="E645" s="8"/>
      <c r="G645" t="s">
        <v>90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</row>
    <row r="647" spans="1:32">
      <c r="D647" s="5" t="s">
        <v>94</v>
      </c>
      <c r="E647" s="5" t="s">
        <v>7</v>
      </c>
      <c r="F647" s="5"/>
      <c r="G647" s="5"/>
      <c r="H647" s="13"/>
      <c r="I647" s="13">
        <f>INDEX(I648:I652,MATCH($E647,$D648:$D652,0))</f>
        <v>9.6</v>
      </c>
      <c r="J647" s="13">
        <f t="shared" ref="J647:AF647" si="176">INDEX(J648:J652,MATCH($E647,$D648:$D652,0))</f>
        <v>16</v>
      </c>
      <c r="K647" s="13">
        <f t="shared" si="176"/>
        <v>2.6</v>
      </c>
      <c r="L647" s="13">
        <f t="shared" si="176"/>
        <v>0</v>
      </c>
      <c r="M647" s="13">
        <f t="shared" si="176"/>
        <v>0</v>
      </c>
      <c r="N647" s="13">
        <f t="shared" si="176"/>
        <v>0.02</v>
      </c>
      <c r="O647" s="13">
        <f t="shared" si="176"/>
        <v>0.02</v>
      </c>
      <c r="P647" s="13">
        <f t="shared" si="176"/>
        <v>0.02</v>
      </c>
      <c r="Q647" s="13">
        <f t="shared" si="176"/>
        <v>0.02</v>
      </c>
      <c r="R647" s="13">
        <f t="shared" si="176"/>
        <v>0.02</v>
      </c>
      <c r="S647" s="13">
        <f t="shared" si="176"/>
        <v>0.02</v>
      </c>
      <c r="T647" s="13">
        <f t="shared" si="176"/>
        <v>0.02</v>
      </c>
      <c r="U647" s="13">
        <f t="shared" si="176"/>
        <v>0.02</v>
      </c>
      <c r="V647" s="13">
        <f t="shared" si="176"/>
        <v>0.02</v>
      </c>
      <c r="W647" s="13">
        <f t="shared" si="176"/>
        <v>0.02</v>
      </c>
      <c r="X647" s="13">
        <f t="shared" si="176"/>
        <v>0</v>
      </c>
      <c r="Y647" s="13">
        <f t="shared" si="176"/>
        <v>0</v>
      </c>
      <c r="Z647" s="13">
        <f t="shared" si="176"/>
        <v>0</v>
      </c>
      <c r="AA647" s="13">
        <f t="shared" si="176"/>
        <v>0</v>
      </c>
      <c r="AB647" s="13">
        <f t="shared" si="176"/>
        <v>0</v>
      </c>
      <c r="AC647" s="13">
        <f t="shared" si="176"/>
        <v>0</v>
      </c>
      <c r="AD647" s="13">
        <f t="shared" si="176"/>
        <v>0</v>
      </c>
      <c r="AE647" s="13">
        <f t="shared" si="176"/>
        <v>0</v>
      </c>
      <c r="AF647" s="13">
        <f t="shared" si="176"/>
        <v>0</v>
      </c>
    </row>
    <row r="648" spans="1:32">
      <c r="D648" t="s">
        <v>7</v>
      </c>
      <c r="E648" s="6"/>
      <c r="G648" t="s">
        <v>90</v>
      </c>
      <c r="I648" s="14">
        <v>9.6</v>
      </c>
      <c r="J648" s="14">
        <v>16</v>
      </c>
      <c r="K648" s="14">
        <v>2.6</v>
      </c>
      <c r="L648" s="14">
        <v>0</v>
      </c>
      <c r="M648" s="14">
        <v>0</v>
      </c>
      <c r="N648" s="14">
        <v>0.02</v>
      </c>
      <c r="O648" s="14">
        <v>0.02</v>
      </c>
      <c r="P648" s="14">
        <v>0.02</v>
      </c>
      <c r="Q648" s="14">
        <v>0.02</v>
      </c>
      <c r="R648" s="14">
        <v>0.02</v>
      </c>
      <c r="S648" s="14">
        <v>0.02</v>
      </c>
      <c r="T648" s="14">
        <v>0.02</v>
      </c>
      <c r="U648" s="14">
        <v>0.02</v>
      </c>
      <c r="V648" s="14">
        <v>0.02</v>
      </c>
      <c r="W648" s="14">
        <v>0.02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</row>
    <row r="649" spans="1:32">
      <c r="D649" t="s">
        <v>9</v>
      </c>
      <c r="E649" s="8">
        <v>0.1</v>
      </c>
      <c r="G649" t="s">
        <v>90</v>
      </c>
      <c r="I649" s="15">
        <f>I648*(1+$E649)</f>
        <v>10.56</v>
      </c>
      <c r="J649" s="15">
        <f t="shared" ref="J649:AF650" si="177">J648*(1+$E649)</f>
        <v>17.600000000000001</v>
      </c>
      <c r="K649" s="15">
        <f t="shared" si="177"/>
        <v>2.8600000000000003</v>
      </c>
      <c r="L649" s="15">
        <f t="shared" si="177"/>
        <v>0</v>
      </c>
      <c r="M649" s="15">
        <f t="shared" si="177"/>
        <v>0</v>
      </c>
      <c r="N649" s="15">
        <f t="shared" si="177"/>
        <v>2.2000000000000002E-2</v>
      </c>
      <c r="O649" s="15">
        <f t="shared" si="177"/>
        <v>2.2000000000000002E-2</v>
      </c>
      <c r="P649" s="15">
        <f t="shared" si="177"/>
        <v>2.2000000000000002E-2</v>
      </c>
      <c r="Q649" s="15">
        <f t="shared" si="177"/>
        <v>2.2000000000000002E-2</v>
      </c>
      <c r="R649" s="15">
        <f t="shared" si="177"/>
        <v>2.2000000000000002E-2</v>
      </c>
      <c r="S649" s="15">
        <f t="shared" si="177"/>
        <v>2.2000000000000002E-2</v>
      </c>
      <c r="T649" s="15">
        <f t="shared" si="177"/>
        <v>2.2000000000000002E-2</v>
      </c>
      <c r="U649" s="15">
        <f t="shared" si="177"/>
        <v>2.2000000000000002E-2</v>
      </c>
      <c r="V649" s="15">
        <f t="shared" si="177"/>
        <v>2.2000000000000002E-2</v>
      </c>
      <c r="W649" s="15">
        <f t="shared" si="177"/>
        <v>2.2000000000000002E-2</v>
      </c>
      <c r="X649" s="15">
        <f t="shared" si="177"/>
        <v>0</v>
      </c>
      <c r="Y649" s="15">
        <f t="shared" si="177"/>
        <v>0</v>
      </c>
      <c r="Z649" s="15">
        <f t="shared" si="177"/>
        <v>0</v>
      </c>
      <c r="AA649" s="15">
        <f t="shared" si="177"/>
        <v>0</v>
      </c>
      <c r="AB649" s="15">
        <f t="shared" si="177"/>
        <v>0</v>
      </c>
      <c r="AC649" s="15">
        <f t="shared" si="177"/>
        <v>0</v>
      </c>
      <c r="AD649" s="15">
        <f t="shared" si="177"/>
        <v>0</v>
      </c>
      <c r="AE649" s="15">
        <f t="shared" si="177"/>
        <v>0</v>
      </c>
      <c r="AF649" s="15">
        <f t="shared" si="177"/>
        <v>0</v>
      </c>
    </row>
    <row r="650" spans="1:32">
      <c r="D650" t="s">
        <v>10</v>
      </c>
      <c r="E650" s="8">
        <v>-0.1</v>
      </c>
      <c r="G650" t="s">
        <v>90</v>
      </c>
      <c r="I650" s="15">
        <f>I649*(1+$E650)</f>
        <v>9.5040000000000013</v>
      </c>
      <c r="J650" s="15">
        <f t="shared" si="177"/>
        <v>15.840000000000002</v>
      </c>
      <c r="K650" s="15">
        <f t="shared" si="177"/>
        <v>2.5740000000000003</v>
      </c>
      <c r="L650" s="15">
        <f t="shared" si="177"/>
        <v>0</v>
      </c>
      <c r="M650" s="15">
        <f t="shared" si="177"/>
        <v>0</v>
      </c>
      <c r="N650" s="15">
        <f t="shared" si="177"/>
        <v>1.9800000000000002E-2</v>
      </c>
      <c r="O650" s="15">
        <f t="shared" si="177"/>
        <v>1.9800000000000002E-2</v>
      </c>
      <c r="P650" s="15">
        <f t="shared" si="177"/>
        <v>1.9800000000000002E-2</v>
      </c>
      <c r="Q650" s="15">
        <f t="shared" si="177"/>
        <v>1.9800000000000002E-2</v>
      </c>
      <c r="R650" s="15">
        <f t="shared" si="177"/>
        <v>1.9800000000000002E-2</v>
      </c>
      <c r="S650" s="15">
        <f t="shared" si="177"/>
        <v>1.9800000000000002E-2</v>
      </c>
      <c r="T650" s="15">
        <f t="shared" si="177"/>
        <v>1.9800000000000002E-2</v>
      </c>
      <c r="U650" s="15">
        <f t="shared" si="177"/>
        <v>1.9800000000000002E-2</v>
      </c>
      <c r="V650" s="15">
        <f t="shared" si="177"/>
        <v>1.9800000000000002E-2</v>
      </c>
      <c r="W650" s="15">
        <f t="shared" si="177"/>
        <v>1.9800000000000002E-2</v>
      </c>
      <c r="X650" s="15">
        <f t="shared" si="177"/>
        <v>0</v>
      </c>
      <c r="Y650" s="15">
        <f t="shared" si="177"/>
        <v>0</v>
      </c>
      <c r="Z650" s="15">
        <f t="shared" si="177"/>
        <v>0</v>
      </c>
      <c r="AA650" s="15">
        <f t="shared" si="177"/>
        <v>0</v>
      </c>
      <c r="AB650" s="15">
        <f t="shared" si="177"/>
        <v>0</v>
      </c>
      <c r="AC650" s="15">
        <f t="shared" si="177"/>
        <v>0</v>
      </c>
      <c r="AD650" s="15">
        <f t="shared" si="177"/>
        <v>0</v>
      </c>
      <c r="AE650" s="15">
        <f t="shared" si="177"/>
        <v>0</v>
      </c>
      <c r="AF650" s="15">
        <f t="shared" si="177"/>
        <v>0</v>
      </c>
    </row>
    <row r="651" spans="1:32">
      <c r="D651" t="s">
        <v>11</v>
      </c>
      <c r="E651" s="8"/>
      <c r="G651" t="s">
        <v>90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</row>
    <row r="652" spans="1:32">
      <c r="D652" t="s">
        <v>12</v>
      </c>
      <c r="E652" s="8"/>
      <c r="G652" t="s">
        <v>90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</row>
    <row r="654" spans="1:32">
      <c r="A654" s="22" t="s">
        <v>95</v>
      </c>
      <c r="D654" s="5" t="s">
        <v>96</v>
      </c>
      <c r="E654" s="5" t="s">
        <v>7</v>
      </c>
      <c r="F654" s="5"/>
      <c r="G654" s="5"/>
      <c r="H654" s="13"/>
      <c r="I654" s="13">
        <f>INDEX(I655:I659,MATCH($E654,$D655:$D659,0))</f>
        <v>185</v>
      </c>
      <c r="J654" s="13">
        <f t="shared" ref="J654:AF654" si="178">INDEX(J655:J659,MATCH($E654,$D655:$D659,0))</f>
        <v>136</v>
      </c>
      <c r="K654" s="13">
        <f t="shared" si="178"/>
        <v>87</v>
      </c>
      <c r="L654" s="13">
        <f t="shared" si="178"/>
        <v>76</v>
      </c>
      <c r="M654" s="13">
        <f t="shared" si="178"/>
        <v>94</v>
      </c>
      <c r="N654" s="13">
        <f t="shared" si="178"/>
        <v>156.19377162629758</v>
      </c>
      <c r="O654" s="13">
        <f t="shared" si="178"/>
        <v>114.82352941176471</v>
      </c>
      <c r="P654" s="13">
        <f t="shared" si="178"/>
        <v>73.45328719723183</v>
      </c>
      <c r="Q654" s="13">
        <f t="shared" si="178"/>
        <v>64.166089965397916</v>
      </c>
      <c r="R654" s="13">
        <f t="shared" si="178"/>
        <v>79.363321799307954</v>
      </c>
      <c r="S654" s="13">
        <f t="shared" si="178"/>
        <v>0</v>
      </c>
      <c r="T654" s="13">
        <f t="shared" si="178"/>
        <v>0</v>
      </c>
      <c r="U654" s="13">
        <f t="shared" si="178"/>
        <v>0</v>
      </c>
      <c r="V654" s="13">
        <f t="shared" si="178"/>
        <v>0</v>
      </c>
      <c r="W654" s="13">
        <f t="shared" si="178"/>
        <v>0</v>
      </c>
      <c r="X654" s="13">
        <f t="shared" si="178"/>
        <v>0</v>
      </c>
      <c r="Y654" s="13">
        <f t="shared" si="178"/>
        <v>0</v>
      </c>
      <c r="Z654" s="13">
        <f t="shared" si="178"/>
        <v>0</v>
      </c>
      <c r="AA654" s="13">
        <f t="shared" si="178"/>
        <v>0</v>
      </c>
      <c r="AB654" s="13">
        <f t="shared" si="178"/>
        <v>0</v>
      </c>
      <c r="AC654" s="13">
        <f t="shared" si="178"/>
        <v>0</v>
      </c>
      <c r="AD654" s="13">
        <f t="shared" si="178"/>
        <v>0</v>
      </c>
      <c r="AE654" s="13">
        <f t="shared" si="178"/>
        <v>0</v>
      </c>
      <c r="AF654" s="13">
        <f t="shared" si="178"/>
        <v>0</v>
      </c>
    </row>
    <row r="655" spans="1:32">
      <c r="D655" t="s">
        <v>7</v>
      </c>
      <c r="E655" s="6"/>
      <c r="G655" t="s">
        <v>90</v>
      </c>
      <c r="I655" s="14">
        <v>185</v>
      </c>
      <c r="J655" s="14">
        <v>136</v>
      </c>
      <c r="K655" s="14">
        <v>87</v>
      </c>
      <c r="L655" s="14">
        <v>76</v>
      </c>
      <c r="M655" s="14">
        <v>94</v>
      </c>
      <c r="N655" s="14">
        <v>156.19377162629758</v>
      </c>
      <c r="O655" s="14">
        <v>114.82352941176471</v>
      </c>
      <c r="P655" s="14">
        <v>73.45328719723183</v>
      </c>
      <c r="Q655" s="14">
        <v>64.166089965397916</v>
      </c>
      <c r="R655" s="14">
        <v>79.363321799307954</v>
      </c>
      <c r="S655" s="14">
        <v>0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</row>
    <row r="656" spans="1:32">
      <c r="D656" t="s">
        <v>9</v>
      </c>
      <c r="E656" s="8">
        <v>0.1</v>
      </c>
      <c r="G656" t="s">
        <v>90</v>
      </c>
      <c r="I656" s="15">
        <f>I655*(1+$E656)</f>
        <v>203.50000000000003</v>
      </c>
      <c r="J656" s="15">
        <f t="shared" ref="J656:AF657" si="179">J655*(1+$E656)</f>
        <v>149.60000000000002</v>
      </c>
      <c r="K656" s="15">
        <f t="shared" si="179"/>
        <v>95.7</v>
      </c>
      <c r="L656" s="15">
        <f t="shared" si="179"/>
        <v>83.600000000000009</v>
      </c>
      <c r="M656" s="15">
        <f t="shared" si="179"/>
        <v>103.4</v>
      </c>
      <c r="N656" s="15">
        <f t="shared" si="179"/>
        <v>171.81314878892735</v>
      </c>
      <c r="O656" s="15">
        <f t="shared" si="179"/>
        <v>126.3058823529412</v>
      </c>
      <c r="P656" s="15">
        <f t="shared" si="179"/>
        <v>80.798615916955015</v>
      </c>
      <c r="Q656" s="15">
        <f t="shared" si="179"/>
        <v>70.582698961937709</v>
      </c>
      <c r="R656" s="15">
        <f t="shared" si="179"/>
        <v>87.299653979238755</v>
      </c>
      <c r="S656" s="15">
        <f t="shared" si="179"/>
        <v>0</v>
      </c>
      <c r="T656" s="15">
        <f t="shared" si="179"/>
        <v>0</v>
      </c>
      <c r="U656" s="15">
        <f t="shared" si="179"/>
        <v>0</v>
      </c>
      <c r="V656" s="15">
        <f t="shared" si="179"/>
        <v>0</v>
      </c>
      <c r="W656" s="15">
        <f t="shared" si="179"/>
        <v>0</v>
      </c>
      <c r="X656" s="15">
        <f t="shared" si="179"/>
        <v>0</v>
      </c>
      <c r="Y656" s="15">
        <f t="shared" si="179"/>
        <v>0</v>
      </c>
      <c r="Z656" s="15">
        <f t="shared" si="179"/>
        <v>0</v>
      </c>
      <c r="AA656" s="15">
        <f t="shared" si="179"/>
        <v>0</v>
      </c>
      <c r="AB656" s="15">
        <f t="shared" si="179"/>
        <v>0</v>
      </c>
      <c r="AC656" s="15">
        <f t="shared" si="179"/>
        <v>0</v>
      </c>
      <c r="AD656" s="15">
        <f t="shared" si="179"/>
        <v>0</v>
      </c>
      <c r="AE656" s="15">
        <f t="shared" si="179"/>
        <v>0</v>
      </c>
      <c r="AF656" s="15">
        <f t="shared" si="179"/>
        <v>0</v>
      </c>
    </row>
    <row r="657" spans="4:32">
      <c r="D657" t="s">
        <v>10</v>
      </c>
      <c r="E657" s="8">
        <v>-0.1</v>
      </c>
      <c r="G657" t="s">
        <v>90</v>
      </c>
      <c r="I657" s="15">
        <f>I656*(1+$E657)</f>
        <v>183.15000000000003</v>
      </c>
      <c r="J657" s="15">
        <f t="shared" si="179"/>
        <v>134.64000000000001</v>
      </c>
      <c r="K657" s="15">
        <f t="shared" si="179"/>
        <v>86.13000000000001</v>
      </c>
      <c r="L657" s="15">
        <f t="shared" si="179"/>
        <v>75.240000000000009</v>
      </c>
      <c r="M657" s="15">
        <f t="shared" si="179"/>
        <v>93.06</v>
      </c>
      <c r="N657" s="15">
        <f t="shared" si="179"/>
        <v>154.63183391003463</v>
      </c>
      <c r="O657" s="15">
        <f t="shared" si="179"/>
        <v>113.67529411764708</v>
      </c>
      <c r="P657" s="15">
        <f t="shared" si="179"/>
        <v>72.718754325259511</v>
      </c>
      <c r="Q657" s="15">
        <f t="shared" si="179"/>
        <v>63.524429065743938</v>
      </c>
      <c r="R657" s="15">
        <f t="shared" si="179"/>
        <v>78.569688581314878</v>
      </c>
      <c r="S657" s="15">
        <f t="shared" si="179"/>
        <v>0</v>
      </c>
      <c r="T657" s="15">
        <f t="shared" si="179"/>
        <v>0</v>
      </c>
      <c r="U657" s="15">
        <f t="shared" si="179"/>
        <v>0</v>
      </c>
      <c r="V657" s="15">
        <f t="shared" si="179"/>
        <v>0</v>
      </c>
      <c r="W657" s="15">
        <f t="shared" si="179"/>
        <v>0</v>
      </c>
      <c r="X657" s="15">
        <f t="shared" si="179"/>
        <v>0</v>
      </c>
      <c r="Y657" s="15">
        <f t="shared" si="179"/>
        <v>0</v>
      </c>
      <c r="Z657" s="15">
        <f t="shared" si="179"/>
        <v>0</v>
      </c>
      <c r="AA657" s="15">
        <f t="shared" si="179"/>
        <v>0</v>
      </c>
      <c r="AB657" s="15">
        <f t="shared" si="179"/>
        <v>0</v>
      </c>
      <c r="AC657" s="15">
        <f t="shared" si="179"/>
        <v>0</v>
      </c>
      <c r="AD657" s="15">
        <f t="shared" si="179"/>
        <v>0</v>
      </c>
      <c r="AE657" s="15">
        <f t="shared" si="179"/>
        <v>0</v>
      </c>
      <c r="AF657" s="15">
        <f t="shared" si="179"/>
        <v>0</v>
      </c>
    </row>
    <row r="658" spans="4:32">
      <c r="D658" t="s">
        <v>11</v>
      </c>
      <c r="E658" s="8"/>
      <c r="G658" t="s">
        <v>90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</row>
    <row r="659" spans="4:32">
      <c r="D659" t="s">
        <v>12</v>
      </c>
      <c r="E659" s="8"/>
      <c r="G659" t="s">
        <v>90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</row>
    <row r="661" spans="4:32">
      <c r="D661" s="4" t="s">
        <v>97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4:32">
      <c r="D662" s="5" t="s">
        <v>91</v>
      </c>
      <c r="E662" s="5" t="s">
        <v>7</v>
      </c>
      <c r="F662" s="5"/>
      <c r="G662" s="5"/>
      <c r="H662" s="13"/>
      <c r="I662" s="13">
        <f>INDEX(I663:I667,MATCH($E662,$D663:$D667,0))</f>
        <v>16.899999999999999</v>
      </c>
      <c r="J662" s="13">
        <f t="shared" ref="J662:AF662" si="180">INDEX(J663:J667,MATCH($E662,$D663:$D667,0))</f>
        <v>13.6</v>
      </c>
      <c r="K662" s="13">
        <f t="shared" si="180"/>
        <v>12.9</v>
      </c>
      <c r="L662" s="13">
        <f t="shared" si="180"/>
        <v>5.3</v>
      </c>
      <c r="M662" s="13">
        <f t="shared" si="180"/>
        <v>3.9</v>
      </c>
      <c r="N662" s="13">
        <f t="shared" si="180"/>
        <v>4.04</v>
      </c>
      <c r="O662" s="13">
        <f t="shared" si="180"/>
        <v>4.04</v>
      </c>
      <c r="P662" s="13">
        <f t="shared" si="180"/>
        <v>4.04</v>
      </c>
      <c r="Q662" s="13">
        <f t="shared" si="180"/>
        <v>4.04</v>
      </c>
      <c r="R662" s="13">
        <f t="shared" si="180"/>
        <v>4.04</v>
      </c>
      <c r="S662" s="13">
        <f t="shared" si="180"/>
        <v>0</v>
      </c>
      <c r="T662" s="13">
        <f t="shared" si="180"/>
        <v>0</v>
      </c>
      <c r="U662" s="13">
        <f t="shared" si="180"/>
        <v>0</v>
      </c>
      <c r="V662" s="13">
        <f t="shared" si="180"/>
        <v>0</v>
      </c>
      <c r="W662" s="13">
        <f t="shared" si="180"/>
        <v>0</v>
      </c>
      <c r="X662" s="13">
        <f t="shared" si="180"/>
        <v>0</v>
      </c>
      <c r="Y662" s="13">
        <f t="shared" si="180"/>
        <v>0</v>
      </c>
      <c r="Z662" s="13">
        <f t="shared" si="180"/>
        <v>0</v>
      </c>
      <c r="AA662" s="13">
        <f t="shared" si="180"/>
        <v>0</v>
      </c>
      <c r="AB662" s="13">
        <f t="shared" si="180"/>
        <v>0</v>
      </c>
      <c r="AC662" s="13">
        <f t="shared" si="180"/>
        <v>0</v>
      </c>
      <c r="AD662" s="13">
        <f t="shared" si="180"/>
        <v>0</v>
      </c>
      <c r="AE662" s="13">
        <f t="shared" si="180"/>
        <v>0</v>
      </c>
      <c r="AF662" s="13">
        <f t="shared" si="180"/>
        <v>0</v>
      </c>
    </row>
    <row r="663" spans="4:32">
      <c r="D663" t="s">
        <v>7</v>
      </c>
      <c r="E663" s="6"/>
      <c r="G663" t="s">
        <v>90</v>
      </c>
      <c r="I663" s="14">
        <v>16.899999999999999</v>
      </c>
      <c r="J663" s="14">
        <v>13.6</v>
      </c>
      <c r="K663" s="14">
        <v>12.9</v>
      </c>
      <c r="L663" s="14">
        <v>5.3</v>
      </c>
      <c r="M663" s="14">
        <v>3.9</v>
      </c>
      <c r="N663" s="14">
        <v>4.04</v>
      </c>
      <c r="O663" s="14">
        <v>4.04</v>
      </c>
      <c r="P663" s="14">
        <v>4.04</v>
      </c>
      <c r="Q663" s="14">
        <v>4.04</v>
      </c>
      <c r="R663" s="14">
        <v>4.04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</row>
    <row r="664" spans="4:32">
      <c r="D664" t="s">
        <v>9</v>
      </c>
      <c r="E664" s="8">
        <v>0.1</v>
      </c>
      <c r="G664" t="s">
        <v>90</v>
      </c>
      <c r="I664" s="15">
        <f>I663*(1+$E664)</f>
        <v>18.59</v>
      </c>
      <c r="J664" s="15">
        <f t="shared" ref="J664:AF665" si="181">J663*(1+$E664)</f>
        <v>14.96</v>
      </c>
      <c r="K664" s="15">
        <f t="shared" si="181"/>
        <v>14.190000000000001</v>
      </c>
      <c r="L664" s="15">
        <f t="shared" si="181"/>
        <v>5.83</v>
      </c>
      <c r="M664" s="15">
        <f t="shared" si="181"/>
        <v>4.29</v>
      </c>
      <c r="N664" s="15">
        <f t="shared" si="181"/>
        <v>4.4440000000000008</v>
      </c>
      <c r="O664" s="15">
        <f t="shared" si="181"/>
        <v>4.4440000000000008</v>
      </c>
      <c r="P664" s="15">
        <f t="shared" si="181"/>
        <v>4.4440000000000008</v>
      </c>
      <c r="Q664" s="15">
        <f t="shared" si="181"/>
        <v>4.4440000000000008</v>
      </c>
      <c r="R664" s="15">
        <f t="shared" si="181"/>
        <v>4.4440000000000008</v>
      </c>
      <c r="S664" s="15">
        <f t="shared" si="181"/>
        <v>0</v>
      </c>
      <c r="T664" s="15">
        <f t="shared" si="181"/>
        <v>0</v>
      </c>
      <c r="U664" s="15">
        <f t="shared" si="181"/>
        <v>0</v>
      </c>
      <c r="V664" s="15">
        <f t="shared" si="181"/>
        <v>0</v>
      </c>
      <c r="W664" s="15">
        <f t="shared" si="181"/>
        <v>0</v>
      </c>
      <c r="X664" s="15">
        <f t="shared" si="181"/>
        <v>0</v>
      </c>
      <c r="Y664" s="15">
        <f t="shared" si="181"/>
        <v>0</v>
      </c>
      <c r="Z664" s="15">
        <f t="shared" si="181"/>
        <v>0</v>
      </c>
      <c r="AA664" s="15">
        <f t="shared" si="181"/>
        <v>0</v>
      </c>
      <c r="AB664" s="15">
        <f t="shared" si="181"/>
        <v>0</v>
      </c>
      <c r="AC664" s="15">
        <f t="shared" si="181"/>
        <v>0</v>
      </c>
      <c r="AD664" s="15">
        <f t="shared" si="181"/>
        <v>0</v>
      </c>
      <c r="AE664" s="15">
        <f t="shared" si="181"/>
        <v>0</v>
      </c>
      <c r="AF664" s="15">
        <f t="shared" si="181"/>
        <v>0</v>
      </c>
    </row>
    <row r="665" spans="4:32">
      <c r="D665" t="s">
        <v>10</v>
      </c>
      <c r="E665" s="8">
        <v>-0.1</v>
      </c>
      <c r="G665" t="s">
        <v>90</v>
      </c>
      <c r="I665" s="15">
        <f>I664*(1+$E665)</f>
        <v>16.731000000000002</v>
      </c>
      <c r="J665" s="15">
        <f t="shared" si="181"/>
        <v>13.464</v>
      </c>
      <c r="K665" s="15">
        <f t="shared" si="181"/>
        <v>12.771000000000001</v>
      </c>
      <c r="L665" s="15">
        <f t="shared" si="181"/>
        <v>5.2469999999999999</v>
      </c>
      <c r="M665" s="15">
        <f t="shared" si="181"/>
        <v>3.8610000000000002</v>
      </c>
      <c r="N665" s="15">
        <f t="shared" si="181"/>
        <v>3.9996000000000009</v>
      </c>
      <c r="O665" s="15">
        <f t="shared" si="181"/>
        <v>3.9996000000000009</v>
      </c>
      <c r="P665" s="15">
        <f t="shared" si="181"/>
        <v>3.9996000000000009</v>
      </c>
      <c r="Q665" s="15">
        <f t="shared" si="181"/>
        <v>3.9996000000000009</v>
      </c>
      <c r="R665" s="15">
        <f t="shared" si="181"/>
        <v>3.9996000000000009</v>
      </c>
      <c r="S665" s="15">
        <f t="shared" si="181"/>
        <v>0</v>
      </c>
      <c r="T665" s="15">
        <f t="shared" si="181"/>
        <v>0</v>
      </c>
      <c r="U665" s="15">
        <f t="shared" si="181"/>
        <v>0</v>
      </c>
      <c r="V665" s="15">
        <f t="shared" si="181"/>
        <v>0</v>
      </c>
      <c r="W665" s="15">
        <f t="shared" si="181"/>
        <v>0</v>
      </c>
      <c r="X665" s="15">
        <f t="shared" si="181"/>
        <v>0</v>
      </c>
      <c r="Y665" s="15">
        <f t="shared" si="181"/>
        <v>0</v>
      </c>
      <c r="Z665" s="15">
        <f t="shared" si="181"/>
        <v>0</v>
      </c>
      <c r="AA665" s="15">
        <f t="shared" si="181"/>
        <v>0</v>
      </c>
      <c r="AB665" s="15">
        <f t="shared" si="181"/>
        <v>0</v>
      </c>
      <c r="AC665" s="15">
        <f t="shared" si="181"/>
        <v>0</v>
      </c>
      <c r="AD665" s="15">
        <f t="shared" si="181"/>
        <v>0</v>
      </c>
      <c r="AE665" s="15">
        <f t="shared" si="181"/>
        <v>0</v>
      </c>
      <c r="AF665" s="15">
        <f t="shared" si="181"/>
        <v>0</v>
      </c>
    </row>
    <row r="666" spans="4:32">
      <c r="D666" t="s">
        <v>11</v>
      </c>
      <c r="E666" s="8"/>
      <c r="G666" t="s">
        <v>90</v>
      </c>
      <c r="I666" s="14">
        <v>0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</row>
    <row r="667" spans="4:32">
      <c r="D667" t="s">
        <v>12</v>
      </c>
      <c r="E667" s="8"/>
      <c r="G667" t="s">
        <v>90</v>
      </c>
      <c r="I667" s="14">
        <v>0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</row>
    <row r="669" spans="4:32">
      <c r="D669" s="5" t="s">
        <v>92</v>
      </c>
      <c r="E669" s="5" t="s">
        <v>7</v>
      </c>
      <c r="F669" s="5"/>
      <c r="G669" s="5"/>
      <c r="H669" s="13"/>
      <c r="I669" s="13">
        <f>INDEX(I670:I674,MATCH($E669,$D670:$D674,0))</f>
        <v>2.4</v>
      </c>
      <c r="J669" s="13">
        <f t="shared" ref="J669:AF669" si="182">INDEX(J670:J674,MATCH($E669,$D670:$D674,0))</f>
        <v>3.4</v>
      </c>
      <c r="K669" s="13">
        <f t="shared" si="182"/>
        <v>0</v>
      </c>
      <c r="L669" s="13">
        <f t="shared" si="182"/>
        <v>0</v>
      </c>
      <c r="M669" s="13">
        <f t="shared" si="182"/>
        <v>0</v>
      </c>
      <c r="N669" s="13">
        <f t="shared" si="182"/>
        <v>0</v>
      </c>
      <c r="O669" s="13">
        <f t="shared" si="182"/>
        <v>0</v>
      </c>
      <c r="P669" s="13">
        <f t="shared" si="182"/>
        <v>0</v>
      </c>
      <c r="Q669" s="13">
        <f t="shared" si="182"/>
        <v>0</v>
      </c>
      <c r="R669" s="13">
        <f t="shared" si="182"/>
        <v>0</v>
      </c>
      <c r="S669" s="13">
        <f t="shared" si="182"/>
        <v>0</v>
      </c>
      <c r="T669" s="13">
        <f t="shared" si="182"/>
        <v>0</v>
      </c>
      <c r="U669" s="13">
        <f t="shared" si="182"/>
        <v>0</v>
      </c>
      <c r="V669" s="13">
        <f t="shared" si="182"/>
        <v>0</v>
      </c>
      <c r="W669" s="13">
        <f t="shared" si="182"/>
        <v>0</v>
      </c>
      <c r="X669" s="13">
        <f t="shared" si="182"/>
        <v>0</v>
      </c>
      <c r="Y669" s="13">
        <f t="shared" si="182"/>
        <v>0</v>
      </c>
      <c r="Z669" s="13">
        <f t="shared" si="182"/>
        <v>0</v>
      </c>
      <c r="AA669" s="13">
        <f t="shared" si="182"/>
        <v>0</v>
      </c>
      <c r="AB669" s="13">
        <f t="shared" si="182"/>
        <v>0</v>
      </c>
      <c r="AC669" s="13">
        <f t="shared" si="182"/>
        <v>0</v>
      </c>
      <c r="AD669" s="13">
        <f t="shared" si="182"/>
        <v>0</v>
      </c>
      <c r="AE669" s="13">
        <f t="shared" si="182"/>
        <v>0</v>
      </c>
      <c r="AF669" s="13">
        <f t="shared" si="182"/>
        <v>0</v>
      </c>
    </row>
    <row r="670" spans="4:32">
      <c r="D670" t="s">
        <v>7</v>
      </c>
      <c r="E670" s="6"/>
      <c r="G670" t="s">
        <v>90</v>
      </c>
      <c r="I670" s="14">
        <v>2.4</v>
      </c>
      <c r="J670" s="14">
        <v>3.4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</row>
    <row r="671" spans="4:32">
      <c r="D671" t="s">
        <v>9</v>
      </c>
      <c r="E671" s="8">
        <v>0.1</v>
      </c>
      <c r="G671" t="s">
        <v>90</v>
      </c>
      <c r="I671" s="15">
        <f>I670*(1+$E671)</f>
        <v>2.64</v>
      </c>
      <c r="J671" s="15">
        <f t="shared" ref="J671:AF672" si="183">J670*(1+$E671)</f>
        <v>3.74</v>
      </c>
      <c r="K671" s="15">
        <f t="shared" si="183"/>
        <v>0</v>
      </c>
      <c r="L671" s="15">
        <f t="shared" si="183"/>
        <v>0</v>
      </c>
      <c r="M671" s="15">
        <f t="shared" si="183"/>
        <v>0</v>
      </c>
      <c r="N671" s="15">
        <f t="shared" si="183"/>
        <v>0</v>
      </c>
      <c r="O671" s="15">
        <f t="shared" si="183"/>
        <v>0</v>
      </c>
      <c r="P671" s="15">
        <f t="shared" si="183"/>
        <v>0</v>
      </c>
      <c r="Q671" s="15">
        <f t="shared" si="183"/>
        <v>0</v>
      </c>
      <c r="R671" s="15">
        <f t="shared" si="183"/>
        <v>0</v>
      </c>
      <c r="S671" s="15">
        <f t="shared" si="183"/>
        <v>0</v>
      </c>
      <c r="T671" s="15">
        <f t="shared" si="183"/>
        <v>0</v>
      </c>
      <c r="U671" s="15">
        <f t="shared" si="183"/>
        <v>0</v>
      </c>
      <c r="V671" s="15">
        <f t="shared" si="183"/>
        <v>0</v>
      </c>
      <c r="W671" s="15">
        <f t="shared" si="183"/>
        <v>0</v>
      </c>
      <c r="X671" s="15">
        <f t="shared" si="183"/>
        <v>0</v>
      </c>
      <c r="Y671" s="15">
        <f t="shared" si="183"/>
        <v>0</v>
      </c>
      <c r="Z671" s="15">
        <f t="shared" si="183"/>
        <v>0</v>
      </c>
      <c r="AA671" s="15">
        <f t="shared" si="183"/>
        <v>0</v>
      </c>
      <c r="AB671" s="15">
        <f t="shared" si="183"/>
        <v>0</v>
      </c>
      <c r="AC671" s="15">
        <f t="shared" si="183"/>
        <v>0</v>
      </c>
      <c r="AD671" s="15">
        <f t="shared" si="183"/>
        <v>0</v>
      </c>
      <c r="AE671" s="15">
        <f t="shared" si="183"/>
        <v>0</v>
      </c>
      <c r="AF671" s="15">
        <f t="shared" si="183"/>
        <v>0</v>
      </c>
    </row>
    <row r="672" spans="4:32">
      <c r="D672" t="s">
        <v>10</v>
      </c>
      <c r="E672" s="8">
        <v>-0.1</v>
      </c>
      <c r="G672" t="s">
        <v>90</v>
      </c>
      <c r="I672" s="15">
        <f>I671*(1+$E672)</f>
        <v>2.3760000000000003</v>
      </c>
      <c r="J672" s="15">
        <f t="shared" si="183"/>
        <v>3.3660000000000001</v>
      </c>
      <c r="K672" s="15">
        <f t="shared" si="183"/>
        <v>0</v>
      </c>
      <c r="L672" s="15">
        <f t="shared" si="183"/>
        <v>0</v>
      </c>
      <c r="M672" s="15">
        <f t="shared" si="183"/>
        <v>0</v>
      </c>
      <c r="N672" s="15">
        <f t="shared" si="183"/>
        <v>0</v>
      </c>
      <c r="O672" s="15">
        <f t="shared" si="183"/>
        <v>0</v>
      </c>
      <c r="P672" s="15">
        <f t="shared" si="183"/>
        <v>0</v>
      </c>
      <c r="Q672" s="15">
        <f t="shared" si="183"/>
        <v>0</v>
      </c>
      <c r="R672" s="15">
        <f t="shared" si="183"/>
        <v>0</v>
      </c>
      <c r="S672" s="15">
        <f t="shared" si="183"/>
        <v>0</v>
      </c>
      <c r="T672" s="15">
        <f t="shared" si="183"/>
        <v>0</v>
      </c>
      <c r="U672" s="15">
        <f t="shared" si="183"/>
        <v>0</v>
      </c>
      <c r="V672" s="15">
        <f t="shared" si="183"/>
        <v>0</v>
      </c>
      <c r="W672" s="15">
        <f t="shared" si="183"/>
        <v>0</v>
      </c>
      <c r="X672" s="15">
        <f t="shared" si="183"/>
        <v>0</v>
      </c>
      <c r="Y672" s="15">
        <f t="shared" si="183"/>
        <v>0</v>
      </c>
      <c r="Z672" s="15">
        <f t="shared" si="183"/>
        <v>0</v>
      </c>
      <c r="AA672" s="15">
        <f t="shared" si="183"/>
        <v>0</v>
      </c>
      <c r="AB672" s="15">
        <f t="shared" si="183"/>
        <v>0</v>
      </c>
      <c r="AC672" s="15">
        <f t="shared" si="183"/>
        <v>0</v>
      </c>
      <c r="AD672" s="15">
        <f t="shared" si="183"/>
        <v>0</v>
      </c>
      <c r="AE672" s="15">
        <f t="shared" si="183"/>
        <v>0</v>
      </c>
      <c r="AF672" s="15">
        <f t="shared" si="183"/>
        <v>0</v>
      </c>
    </row>
    <row r="673" spans="4:32">
      <c r="D673" t="s">
        <v>11</v>
      </c>
      <c r="E673" s="8"/>
      <c r="G673" t="s">
        <v>90</v>
      </c>
      <c r="I673" s="14">
        <v>0</v>
      </c>
      <c r="J673" s="14">
        <v>0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</row>
    <row r="674" spans="4:32">
      <c r="D674" t="s">
        <v>12</v>
      </c>
      <c r="E674" s="8"/>
      <c r="G674" t="s">
        <v>90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</row>
    <row r="676" spans="4:32">
      <c r="D676" s="5" t="s">
        <v>93</v>
      </c>
      <c r="E676" s="5" t="s">
        <v>7</v>
      </c>
      <c r="F676" s="5"/>
      <c r="G676" s="5"/>
      <c r="H676" s="13"/>
      <c r="I676" s="13">
        <f>INDEX(I677:I681,MATCH($E676,$D677:$D681,0))</f>
        <v>0</v>
      </c>
      <c r="J676" s="13">
        <f t="shared" ref="J676:AF676" si="184">INDEX(J677:J681,MATCH($E676,$D677:$D681,0))</f>
        <v>0</v>
      </c>
      <c r="K676" s="13">
        <f t="shared" si="184"/>
        <v>0</v>
      </c>
      <c r="L676" s="13">
        <f t="shared" si="184"/>
        <v>0</v>
      </c>
      <c r="M676" s="13">
        <f t="shared" si="184"/>
        <v>0</v>
      </c>
      <c r="N676" s="13">
        <f t="shared" si="184"/>
        <v>0</v>
      </c>
      <c r="O676" s="13">
        <f t="shared" si="184"/>
        <v>0</v>
      </c>
      <c r="P676" s="13">
        <f t="shared" si="184"/>
        <v>0</v>
      </c>
      <c r="Q676" s="13">
        <f t="shared" si="184"/>
        <v>0</v>
      </c>
      <c r="R676" s="13">
        <f t="shared" si="184"/>
        <v>0</v>
      </c>
      <c r="S676" s="13">
        <f t="shared" si="184"/>
        <v>0</v>
      </c>
      <c r="T676" s="13">
        <f t="shared" si="184"/>
        <v>0</v>
      </c>
      <c r="U676" s="13">
        <f t="shared" si="184"/>
        <v>0</v>
      </c>
      <c r="V676" s="13">
        <f t="shared" si="184"/>
        <v>0</v>
      </c>
      <c r="W676" s="13">
        <f t="shared" si="184"/>
        <v>0</v>
      </c>
      <c r="X676" s="13">
        <f t="shared" si="184"/>
        <v>0</v>
      </c>
      <c r="Y676" s="13">
        <f t="shared" si="184"/>
        <v>0</v>
      </c>
      <c r="Z676" s="13">
        <f t="shared" si="184"/>
        <v>0</v>
      </c>
      <c r="AA676" s="13">
        <f t="shared" si="184"/>
        <v>0</v>
      </c>
      <c r="AB676" s="13">
        <f t="shared" si="184"/>
        <v>0</v>
      </c>
      <c r="AC676" s="13">
        <f t="shared" si="184"/>
        <v>0</v>
      </c>
      <c r="AD676" s="13">
        <f t="shared" si="184"/>
        <v>0</v>
      </c>
      <c r="AE676" s="13">
        <f t="shared" si="184"/>
        <v>0</v>
      </c>
      <c r="AF676" s="13">
        <f t="shared" si="184"/>
        <v>0</v>
      </c>
    </row>
    <row r="677" spans="4:32">
      <c r="D677" t="s">
        <v>7</v>
      </c>
      <c r="E677" s="6"/>
      <c r="G677" t="s">
        <v>90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</row>
    <row r="678" spans="4:32">
      <c r="D678" t="s">
        <v>9</v>
      </c>
      <c r="E678" s="8">
        <v>0.1</v>
      </c>
      <c r="G678" t="s">
        <v>90</v>
      </c>
      <c r="I678" s="15">
        <f>I677*(1+$E678)</f>
        <v>0</v>
      </c>
      <c r="J678" s="15">
        <f t="shared" ref="J678:AF679" si="185">J677*(1+$E678)</f>
        <v>0</v>
      </c>
      <c r="K678" s="15">
        <f t="shared" si="185"/>
        <v>0</v>
      </c>
      <c r="L678" s="15">
        <f t="shared" si="185"/>
        <v>0</v>
      </c>
      <c r="M678" s="15">
        <f t="shared" si="185"/>
        <v>0</v>
      </c>
      <c r="N678" s="15">
        <f t="shared" si="185"/>
        <v>0</v>
      </c>
      <c r="O678" s="15">
        <f t="shared" si="185"/>
        <v>0</v>
      </c>
      <c r="P678" s="15">
        <f t="shared" si="185"/>
        <v>0</v>
      </c>
      <c r="Q678" s="15">
        <f t="shared" si="185"/>
        <v>0</v>
      </c>
      <c r="R678" s="15">
        <f t="shared" si="185"/>
        <v>0</v>
      </c>
      <c r="S678" s="15">
        <f t="shared" si="185"/>
        <v>0</v>
      </c>
      <c r="T678" s="15">
        <f t="shared" si="185"/>
        <v>0</v>
      </c>
      <c r="U678" s="15">
        <f t="shared" si="185"/>
        <v>0</v>
      </c>
      <c r="V678" s="15">
        <f t="shared" si="185"/>
        <v>0</v>
      </c>
      <c r="W678" s="15">
        <f t="shared" si="185"/>
        <v>0</v>
      </c>
      <c r="X678" s="15">
        <f t="shared" si="185"/>
        <v>0</v>
      </c>
      <c r="Y678" s="15">
        <f t="shared" si="185"/>
        <v>0</v>
      </c>
      <c r="Z678" s="15">
        <f t="shared" si="185"/>
        <v>0</v>
      </c>
      <c r="AA678" s="15">
        <f t="shared" si="185"/>
        <v>0</v>
      </c>
      <c r="AB678" s="15">
        <f t="shared" si="185"/>
        <v>0</v>
      </c>
      <c r="AC678" s="15">
        <f t="shared" si="185"/>
        <v>0</v>
      </c>
      <c r="AD678" s="15">
        <f t="shared" si="185"/>
        <v>0</v>
      </c>
      <c r="AE678" s="15">
        <f t="shared" si="185"/>
        <v>0</v>
      </c>
      <c r="AF678" s="15">
        <f t="shared" si="185"/>
        <v>0</v>
      </c>
    </row>
    <row r="679" spans="4:32">
      <c r="D679" t="s">
        <v>10</v>
      </c>
      <c r="E679" s="8">
        <v>-0.1</v>
      </c>
      <c r="G679" t="s">
        <v>90</v>
      </c>
      <c r="I679" s="15">
        <f>I678*(1+$E679)</f>
        <v>0</v>
      </c>
      <c r="J679" s="15">
        <f t="shared" si="185"/>
        <v>0</v>
      </c>
      <c r="K679" s="15">
        <f t="shared" si="185"/>
        <v>0</v>
      </c>
      <c r="L679" s="15">
        <f t="shared" si="185"/>
        <v>0</v>
      </c>
      <c r="M679" s="15">
        <f t="shared" si="185"/>
        <v>0</v>
      </c>
      <c r="N679" s="15">
        <f t="shared" si="185"/>
        <v>0</v>
      </c>
      <c r="O679" s="15">
        <f t="shared" si="185"/>
        <v>0</v>
      </c>
      <c r="P679" s="15">
        <f t="shared" si="185"/>
        <v>0</v>
      </c>
      <c r="Q679" s="15">
        <f t="shared" si="185"/>
        <v>0</v>
      </c>
      <c r="R679" s="15">
        <f t="shared" si="185"/>
        <v>0</v>
      </c>
      <c r="S679" s="15">
        <f t="shared" si="185"/>
        <v>0</v>
      </c>
      <c r="T679" s="15">
        <f t="shared" si="185"/>
        <v>0</v>
      </c>
      <c r="U679" s="15">
        <f t="shared" si="185"/>
        <v>0</v>
      </c>
      <c r="V679" s="15">
        <f t="shared" si="185"/>
        <v>0</v>
      </c>
      <c r="W679" s="15">
        <f t="shared" si="185"/>
        <v>0</v>
      </c>
      <c r="X679" s="15">
        <f t="shared" si="185"/>
        <v>0</v>
      </c>
      <c r="Y679" s="15">
        <f t="shared" si="185"/>
        <v>0</v>
      </c>
      <c r="Z679" s="15">
        <f t="shared" si="185"/>
        <v>0</v>
      </c>
      <c r="AA679" s="15">
        <f t="shared" si="185"/>
        <v>0</v>
      </c>
      <c r="AB679" s="15">
        <f t="shared" si="185"/>
        <v>0</v>
      </c>
      <c r="AC679" s="15">
        <f t="shared" si="185"/>
        <v>0</v>
      </c>
      <c r="AD679" s="15">
        <f t="shared" si="185"/>
        <v>0</v>
      </c>
      <c r="AE679" s="15">
        <f t="shared" si="185"/>
        <v>0</v>
      </c>
      <c r="AF679" s="15">
        <f t="shared" si="185"/>
        <v>0</v>
      </c>
    </row>
    <row r="680" spans="4:32">
      <c r="D680" t="s">
        <v>11</v>
      </c>
      <c r="E680" s="8"/>
      <c r="G680" t="s">
        <v>90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</row>
    <row r="681" spans="4:32">
      <c r="D681" t="s">
        <v>12</v>
      </c>
      <c r="E681" s="8"/>
      <c r="G681" t="s">
        <v>90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</row>
    <row r="683" spans="4:32">
      <c r="D683" s="5" t="s">
        <v>94</v>
      </c>
      <c r="E683" s="5" t="s">
        <v>7</v>
      </c>
      <c r="F683" s="5"/>
      <c r="G683" s="5"/>
      <c r="H683" s="13"/>
      <c r="I683" s="13">
        <f>INDEX(I684:I688,MATCH($E683,$D684:$D688,0))</f>
        <v>0.5</v>
      </c>
      <c r="J683" s="13">
        <f t="shared" ref="J683:AF683" si="186">INDEX(J684:J688,MATCH($E683,$D684:$D688,0))</f>
        <v>0.2</v>
      </c>
      <c r="K683" s="13">
        <f t="shared" si="186"/>
        <v>0</v>
      </c>
      <c r="L683" s="13">
        <f t="shared" si="186"/>
        <v>1.6</v>
      </c>
      <c r="M683" s="13">
        <f t="shared" si="186"/>
        <v>0</v>
      </c>
      <c r="N683" s="13">
        <f t="shared" si="186"/>
        <v>0</v>
      </c>
      <c r="O683" s="13">
        <f t="shared" si="186"/>
        <v>0</v>
      </c>
      <c r="P683" s="13">
        <f t="shared" si="186"/>
        <v>0</v>
      </c>
      <c r="Q683" s="13">
        <f t="shared" si="186"/>
        <v>0</v>
      </c>
      <c r="R683" s="13">
        <f t="shared" si="186"/>
        <v>0</v>
      </c>
      <c r="S683" s="13">
        <f t="shared" si="186"/>
        <v>0</v>
      </c>
      <c r="T683" s="13">
        <f t="shared" si="186"/>
        <v>0</v>
      </c>
      <c r="U683" s="13">
        <f t="shared" si="186"/>
        <v>0</v>
      </c>
      <c r="V683" s="13">
        <f t="shared" si="186"/>
        <v>0</v>
      </c>
      <c r="W683" s="13">
        <f t="shared" si="186"/>
        <v>0</v>
      </c>
      <c r="X683" s="13">
        <f t="shared" si="186"/>
        <v>0</v>
      </c>
      <c r="Y683" s="13">
        <f t="shared" si="186"/>
        <v>0</v>
      </c>
      <c r="Z683" s="13">
        <f t="shared" si="186"/>
        <v>0</v>
      </c>
      <c r="AA683" s="13">
        <f t="shared" si="186"/>
        <v>0</v>
      </c>
      <c r="AB683" s="13">
        <f t="shared" si="186"/>
        <v>0</v>
      </c>
      <c r="AC683" s="13">
        <f t="shared" si="186"/>
        <v>0</v>
      </c>
      <c r="AD683" s="13">
        <f t="shared" si="186"/>
        <v>0</v>
      </c>
      <c r="AE683" s="13">
        <f t="shared" si="186"/>
        <v>0</v>
      </c>
      <c r="AF683" s="13">
        <f t="shared" si="186"/>
        <v>0</v>
      </c>
    </row>
    <row r="684" spans="4:32">
      <c r="D684" t="s">
        <v>7</v>
      </c>
      <c r="E684" s="6"/>
      <c r="G684" t="s">
        <v>90</v>
      </c>
      <c r="I684" s="14">
        <v>0.5</v>
      </c>
      <c r="J684" s="14">
        <v>0.2</v>
      </c>
      <c r="K684" s="14">
        <v>0</v>
      </c>
      <c r="L684" s="14">
        <v>1.6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</row>
    <row r="685" spans="4:32">
      <c r="D685" t="s">
        <v>9</v>
      </c>
      <c r="E685" s="8">
        <v>0.1</v>
      </c>
      <c r="G685" t="s">
        <v>90</v>
      </c>
      <c r="I685" s="15">
        <f>I684*(1+$E685)</f>
        <v>0.55000000000000004</v>
      </c>
      <c r="J685" s="15">
        <f t="shared" ref="J685:AF686" si="187">J684*(1+$E685)</f>
        <v>0.22000000000000003</v>
      </c>
      <c r="K685" s="15">
        <f t="shared" si="187"/>
        <v>0</v>
      </c>
      <c r="L685" s="15">
        <f t="shared" si="187"/>
        <v>1.7600000000000002</v>
      </c>
      <c r="M685" s="15">
        <f t="shared" si="187"/>
        <v>0</v>
      </c>
      <c r="N685" s="15">
        <f t="shared" si="187"/>
        <v>0</v>
      </c>
      <c r="O685" s="15">
        <f t="shared" si="187"/>
        <v>0</v>
      </c>
      <c r="P685" s="15">
        <f t="shared" si="187"/>
        <v>0</v>
      </c>
      <c r="Q685" s="15">
        <f t="shared" si="187"/>
        <v>0</v>
      </c>
      <c r="R685" s="15">
        <f t="shared" si="187"/>
        <v>0</v>
      </c>
      <c r="S685" s="15">
        <f t="shared" si="187"/>
        <v>0</v>
      </c>
      <c r="T685" s="15">
        <f t="shared" si="187"/>
        <v>0</v>
      </c>
      <c r="U685" s="15">
        <f t="shared" si="187"/>
        <v>0</v>
      </c>
      <c r="V685" s="15">
        <f t="shared" si="187"/>
        <v>0</v>
      </c>
      <c r="W685" s="15">
        <f t="shared" si="187"/>
        <v>0</v>
      </c>
      <c r="X685" s="15">
        <f t="shared" si="187"/>
        <v>0</v>
      </c>
      <c r="Y685" s="15">
        <f t="shared" si="187"/>
        <v>0</v>
      </c>
      <c r="Z685" s="15">
        <f t="shared" si="187"/>
        <v>0</v>
      </c>
      <c r="AA685" s="15">
        <f t="shared" si="187"/>
        <v>0</v>
      </c>
      <c r="AB685" s="15">
        <f t="shared" si="187"/>
        <v>0</v>
      </c>
      <c r="AC685" s="15">
        <f t="shared" si="187"/>
        <v>0</v>
      </c>
      <c r="AD685" s="15">
        <f t="shared" si="187"/>
        <v>0</v>
      </c>
      <c r="AE685" s="15">
        <f t="shared" si="187"/>
        <v>0</v>
      </c>
      <c r="AF685" s="15">
        <f t="shared" si="187"/>
        <v>0</v>
      </c>
    </row>
    <row r="686" spans="4:32">
      <c r="D686" t="s">
        <v>10</v>
      </c>
      <c r="E686" s="8">
        <v>-0.1</v>
      </c>
      <c r="G686" t="s">
        <v>90</v>
      </c>
      <c r="I686" s="15">
        <f>I685*(1+$E686)</f>
        <v>0.49500000000000005</v>
      </c>
      <c r="J686" s="15">
        <f t="shared" si="187"/>
        <v>0.19800000000000004</v>
      </c>
      <c r="K686" s="15">
        <f t="shared" si="187"/>
        <v>0</v>
      </c>
      <c r="L686" s="15">
        <f t="shared" si="187"/>
        <v>1.5840000000000003</v>
      </c>
      <c r="M686" s="15">
        <f t="shared" si="187"/>
        <v>0</v>
      </c>
      <c r="N686" s="15">
        <f t="shared" si="187"/>
        <v>0</v>
      </c>
      <c r="O686" s="15">
        <f t="shared" si="187"/>
        <v>0</v>
      </c>
      <c r="P686" s="15">
        <f t="shared" si="187"/>
        <v>0</v>
      </c>
      <c r="Q686" s="15">
        <f t="shared" si="187"/>
        <v>0</v>
      </c>
      <c r="R686" s="15">
        <f t="shared" si="187"/>
        <v>0</v>
      </c>
      <c r="S686" s="15">
        <f t="shared" si="187"/>
        <v>0</v>
      </c>
      <c r="T686" s="15">
        <f t="shared" si="187"/>
        <v>0</v>
      </c>
      <c r="U686" s="15">
        <f t="shared" si="187"/>
        <v>0</v>
      </c>
      <c r="V686" s="15">
        <f t="shared" si="187"/>
        <v>0</v>
      </c>
      <c r="W686" s="15">
        <f t="shared" si="187"/>
        <v>0</v>
      </c>
      <c r="X686" s="15">
        <f t="shared" si="187"/>
        <v>0</v>
      </c>
      <c r="Y686" s="15">
        <f t="shared" si="187"/>
        <v>0</v>
      </c>
      <c r="Z686" s="15">
        <f t="shared" si="187"/>
        <v>0</v>
      </c>
      <c r="AA686" s="15">
        <f t="shared" si="187"/>
        <v>0</v>
      </c>
      <c r="AB686" s="15">
        <f t="shared" si="187"/>
        <v>0</v>
      </c>
      <c r="AC686" s="15">
        <f t="shared" si="187"/>
        <v>0</v>
      </c>
      <c r="AD686" s="15">
        <f t="shared" si="187"/>
        <v>0</v>
      </c>
      <c r="AE686" s="15">
        <f t="shared" si="187"/>
        <v>0</v>
      </c>
      <c r="AF686" s="15">
        <f t="shared" si="187"/>
        <v>0</v>
      </c>
    </row>
    <row r="687" spans="4:32">
      <c r="D687" t="s">
        <v>11</v>
      </c>
      <c r="E687" s="8"/>
      <c r="G687" t="s">
        <v>90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</row>
    <row r="688" spans="4:32">
      <c r="D688" t="s">
        <v>12</v>
      </c>
      <c r="E688" s="8"/>
      <c r="G688" t="s">
        <v>90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</row>
    <row r="690" spans="8:18"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spans="8:18">
      <c r="H691" s="23"/>
    </row>
    <row r="692" spans="8:18">
      <c r="I692" s="23"/>
      <c r="N692" s="21"/>
    </row>
    <row r="749" spans="9:32"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F880-75E2-492F-BC12-15CF90754628}">
  <dimension ref="A1:AF480"/>
  <sheetViews>
    <sheetView tabSelected="1" zoomScale="70" zoomScaleNormal="70" workbookViewId="0">
      <selection activeCell="G82" sqref="G82"/>
    </sheetView>
  </sheetViews>
  <sheetFormatPr defaultRowHeight="15.6"/>
  <cols>
    <col min="1" max="3" width="2.625" customWidth="1"/>
    <col min="4" max="4" width="49.125" customWidth="1"/>
    <col min="7" max="7" width="20" customWidth="1"/>
    <col min="8" max="8" width="10.875" customWidth="1"/>
    <col min="9" max="32" width="9.875" customWidth="1"/>
  </cols>
  <sheetData>
    <row r="1" spans="4:32">
      <c r="D1" s="1"/>
      <c r="E1" s="1"/>
      <c r="F1" s="1"/>
      <c r="G1" s="1"/>
      <c r="H1" s="1"/>
      <c r="I1" s="24">
        <v>2023</v>
      </c>
      <c r="J1" s="24">
        <f t="shared" ref="J1:AF1" si="0">I1+1</f>
        <v>2024</v>
      </c>
      <c r="K1" s="24">
        <f t="shared" si="0"/>
        <v>2025</v>
      </c>
      <c r="L1" s="24">
        <f t="shared" si="0"/>
        <v>2026</v>
      </c>
      <c r="M1" s="24">
        <f t="shared" si="0"/>
        <v>2027</v>
      </c>
      <c r="N1" s="24">
        <f t="shared" si="0"/>
        <v>2028</v>
      </c>
      <c r="O1" s="24">
        <f t="shared" si="0"/>
        <v>2029</v>
      </c>
      <c r="P1" s="24">
        <f t="shared" si="0"/>
        <v>2030</v>
      </c>
      <c r="Q1" s="24">
        <f t="shared" si="0"/>
        <v>2031</v>
      </c>
      <c r="R1" s="24">
        <f t="shared" si="0"/>
        <v>2032</v>
      </c>
      <c r="S1" s="24">
        <f t="shared" si="0"/>
        <v>2033</v>
      </c>
      <c r="T1" s="24">
        <f t="shared" si="0"/>
        <v>2034</v>
      </c>
      <c r="U1" s="24">
        <f t="shared" si="0"/>
        <v>2035</v>
      </c>
      <c r="V1" s="24">
        <f t="shared" si="0"/>
        <v>2036</v>
      </c>
      <c r="W1" s="24">
        <f t="shared" si="0"/>
        <v>2037</v>
      </c>
      <c r="X1" s="24">
        <f t="shared" si="0"/>
        <v>2038</v>
      </c>
      <c r="Y1" s="24">
        <f t="shared" si="0"/>
        <v>2039</v>
      </c>
      <c r="Z1" s="24">
        <f t="shared" si="0"/>
        <v>2040</v>
      </c>
      <c r="AA1" s="24">
        <f t="shared" si="0"/>
        <v>2041</v>
      </c>
      <c r="AB1" s="24">
        <f t="shared" si="0"/>
        <v>2042</v>
      </c>
      <c r="AC1" s="24">
        <f t="shared" si="0"/>
        <v>2043</v>
      </c>
      <c r="AD1" s="24">
        <f t="shared" si="0"/>
        <v>2044</v>
      </c>
      <c r="AE1" s="24">
        <f t="shared" si="0"/>
        <v>2045</v>
      </c>
      <c r="AF1" s="24">
        <f t="shared" si="0"/>
        <v>2046</v>
      </c>
    </row>
    <row r="2" spans="4:32">
      <c r="D2" s="3" t="s">
        <v>98</v>
      </c>
      <c r="E2" s="3"/>
      <c r="F2" s="3"/>
      <c r="G2" s="3" t="s">
        <v>3</v>
      </c>
      <c r="H2" s="3" t="s">
        <v>99</v>
      </c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</row>
    <row r="3" spans="4:32">
      <c r="D3" s="4" t="s">
        <v>98</v>
      </c>
      <c r="E3" s="4"/>
      <c r="F3" s="4"/>
      <c r="G3" s="4"/>
      <c r="H3" s="4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4:32" ht="6" customHeight="1">
      <c r="D4" s="2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</row>
    <row r="5" spans="4:32">
      <c r="D5" s="28" t="s">
        <v>100</v>
      </c>
      <c r="H5" s="29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spans="4:32">
      <c r="D6" t="s">
        <v>101</v>
      </c>
      <c r="H6" s="29"/>
      <c r="I6" s="30">
        <v>3.82</v>
      </c>
      <c r="J6" s="30">
        <v>3.78</v>
      </c>
      <c r="K6" s="30">
        <v>3.63</v>
      </c>
      <c r="L6" s="30">
        <v>3.97</v>
      </c>
      <c r="M6" s="30">
        <v>3.97</v>
      </c>
      <c r="N6" s="30">
        <v>3.97</v>
      </c>
      <c r="O6" s="30">
        <v>3.97</v>
      </c>
      <c r="P6" s="30">
        <v>3.97</v>
      </c>
      <c r="Q6" s="30">
        <v>3.97</v>
      </c>
      <c r="R6" s="30">
        <v>3.97</v>
      </c>
      <c r="S6" s="30">
        <v>3.97</v>
      </c>
      <c r="T6" s="30">
        <v>3.97</v>
      </c>
      <c r="U6" s="30">
        <v>3.97</v>
      </c>
      <c r="V6" s="30">
        <v>3.97</v>
      </c>
      <c r="W6" s="30">
        <v>3.97</v>
      </c>
      <c r="X6" s="30">
        <v>3.97</v>
      </c>
      <c r="Y6" s="30">
        <v>3.97</v>
      </c>
      <c r="Z6" s="30">
        <v>3.97</v>
      </c>
      <c r="AA6" s="30">
        <v>3.97</v>
      </c>
      <c r="AB6" s="30">
        <v>3.97</v>
      </c>
      <c r="AC6" s="30">
        <v>3.97</v>
      </c>
      <c r="AD6" s="30">
        <v>3.97</v>
      </c>
      <c r="AE6" s="30">
        <v>3.97</v>
      </c>
      <c r="AF6" s="30">
        <v>3.97</v>
      </c>
    </row>
    <row r="7" spans="4:32">
      <c r="D7" t="s">
        <v>102</v>
      </c>
      <c r="H7" s="29"/>
      <c r="I7" s="30">
        <v>1991</v>
      </c>
      <c r="J7" s="30">
        <v>1950</v>
      </c>
      <c r="K7" s="30">
        <v>1875</v>
      </c>
      <c r="L7" s="30">
        <v>1850</v>
      </c>
      <c r="M7" s="30">
        <v>1850</v>
      </c>
      <c r="N7" s="30">
        <v>1850</v>
      </c>
      <c r="O7" s="30">
        <v>1850</v>
      </c>
      <c r="P7" s="30">
        <v>1850</v>
      </c>
      <c r="Q7" s="30">
        <v>1850</v>
      </c>
      <c r="R7" s="30">
        <v>1850</v>
      </c>
      <c r="S7" s="30">
        <v>1850</v>
      </c>
      <c r="T7" s="30">
        <v>1850</v>
      </c>
      <c r="U7" s="30">
        <v>1850</v>
      </c>
      <c r="V7" s="30">
        <v>1850</v>
      </c>
      <c r="W7" s="30">
        <v>1850</v>
      </c>
      <c r="X7" s="30">
        <v>1850</v>
      </c>
      <c r="Y7" s="30">
        <v>1850</v>
      </c>
      <c r="Z7" s="30">
        <v>1850</v>
      </c>
      <c r="AA7" s="30">
        <v>1850</v>
      </c>
      <c r="AB7" s="30">
        <v>1850</v>
      </c>
      <c r="AC7" s="30">
        <v>1850</v>
      </c>
      <c r="AD7" s="30">
        <v>1850</v>
      </c>
      <c r="AE7" s="30">
        <v>1850</v>
      </c>
      <c r="AF7" s="30">
        <v>1850</v>
      </c>
    </row>
    <row r="8" spans="4:32">
      <c r="D8" t="s">
        <v>103</v>
      </c>
      <c r="H8" s="29"/>
      <c r="I8" s="30">
        <v>23.39</v>
      </c>
      <c r="J8" s="30">
        <v>22.7</v>
      </c>
      <c r="K8" s="30">
        <v>22.75</v>
      </c>
      <c r="L8" s="30">
        <v>22.25</v>
      </c>
      <c r="M8" s="30">
        <v>22.25</v>
      </c>
      <c r="N8" s="30">
        <v>22.25</v>
      </c>
      <c r="O8" s="30">
        <v>22.25</v>
      </c>
      <c r="P8" s="30">
        <v>22.25</v>
      </c>
      <c r="Q8" s="30">
        <v>22.25</v>
      </c>
      <c r="R8" s="30">
        <v>22.25</v>
      </c>
      <c r="S8" s="30">
        <v>22.25</v>
      </c>
      <c r="T8" s="30">
        <v>22.25</v>
      </c>
      <c r="U8" s="30">
        <v>22.25</v>
      </c>
      <c r="V8" s="30">
        <v>22.25</v>
      </c>
      <c r="W8" s="30">
        <v>22.25</v>
      </c>
      <c r="X8" s="30">
        <v>22.25</v>
      </c>
      <c r="Y8" s="30">
        <v>22.25</v>
      </c>
      <c r="Z8" s="30">
        <v>22.25</v>
      </c>
      <c r="AA8" s="30">
        <v>22.25</v>
      </c>
      <c r="AB8" s="30">
        <v>22.25</v>
      </c>
      <c r="AC8" s="30">
        <v>22.25</v>
      </c>
      <c r="AD8" s="30">
        <v>22.25</v>
      </c>
      <c r="AE8" s="30">
        <v>22.25</v>
      </c>
      <c r="AF8" s="30">
        <v>22.25</v>
      </c>
    </row>
    <row r="9" spans="4:32" ht="6" customHeight="1">
      <c r="D9" s="2"/>
      <c r="H9" s="29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4:32">
      <c r="D10" s="3" t="s">
        <v>2</v>
      </c>
      <c r="E10" s="3"/>
      <c r="F10" s="3"/>
      <c r="G10" s="3" t="s">
        <v>3</v>
      </c>
      <c r="H10" s="3" t="s">
        <v>99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</row>
    <row r="11" spans="4:32" ht="6" customHeight="1">
      <c r="D11" s="2"/>
      <c r="H11" s="29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4:32">
      <c r="D12" s="4" t="s">
        <v>104</v>
      </c>
      <c r="E12" s="4"/>
      <c r="F12" s="4"/>
      <c r="G12" s="4"/>
      <c r="H12" s="31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 spans="4:32" ht="6" customHeight="1">
      <c r="D13" s="2"/>
      <c r="H13" s="29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4:32">
      <c r="D14" s="28" t="s">
        <v>13</v>
      </c>
      <c r="H14" s="29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4:32">
      <c r="D15" t="s">
        <v>6</v>
      </c>
      <c r="G15" t="s">
        <v>8</v>
      </c>
      <c r="H15" s="33">
        <f>SUM(I15:AF15)</f>
        <v>753583</v>
      </c>
      <c r="I15" s="34">
        <f>'Candelaria Inputs'!I4</f>
        <v>72094</v>
      </c>
      <c r="J15" s="34">
        <f>'Candelaria Inputs'!J4</f>
        <v>67516</v>
      </c>
      <c r="K15" s="34">
        <f>'Candelaria Inputs'!K4</f>
        <v>64748</v>
      </c>
      <c r="L15" s="34">
        <f>'Candelaria Inputs'!L4</f>
        <v>52918</v>
      </c>
      <c r="M15" s="34">
        <f>'Candelaria Inputs'!M4</f>
        <v>61881</v>
      </c>
      <c r="N15" s="34">
        <f>'Candelaria Inputs'!N4</f>
        <v>75416</v>
      </c>
      <c r="O15" s="34">
        <f>'Candelaria Inputs'!O4</f>
        <v>73631</v>
      </c>
      <c r="P15" s="34">
        <f>'Candelaria Inputs'!P4</f>
        <v>66729</v>
      </c>
      <c r="Q15" s="34">
        <f>'Candelaria Inputs'!Q4</f>
        <v>54220</v>
      </c>
      <c r="R15" s="34">
        <f>'Candelaria Inputs'!R4</f>
        <v>37531</v>
      </c>
      <c r="S15" s="34">
        <f>'Candelaria Inputs'!S4</f>
        <v>30774</v>
      </c>
      <c r="T15" s="34">
        <f>'Candelaria Inputs'!T4</f>
        <v>21924</v>
      </c>
      <c r="U15" s="34">
        <f>'Candelaria Inputs'!U4</f>
        <v>16842</v>
      </c>
      <c r="V15" s="34">
        <f>'Candelaria Inputs'!V4</f>
        <v>13896</v>
      </c>
      <c r="W15" s="34">
        <f>'Candelaria Inputs'!W4</f>
        <v>11263</v>
      </c>
      <c r="X15" s="34">
        <f>'Candelaria Inputs'!X4</f>
        <v>10226</v>
      </c>
      <c r="Y15" s="34">
        <f>'Candelaria Inputs'!Y4</f>
        <v>7752</v>
      </c>
      <c r="Z15" s="34">
        <f>'Candelaria Inputs'!Z4</f>
        <v>8992</v>
      </c>
      <c r="AA15" s="34">
        <f>'Candelaria Inputs'!AA4</f>
        <v>5230</v>
      </c>
      <c r="AB15" s="34">
        <f>'Candelaria Inputs'!AB4</f>
        <v>0</v>
      </c>
      <c r="AC15" s="34">
        <f>'Candelaria Inputs'!AC4</f>
        <v>0</v>
      </c>
      <c r="AD15" s="34">
        <f>'Candelaria Inputs'!AD4</f>
        <v>0</v>
      </c>
      <c r="AE15" s="34">
        <f>'Candelaria Inputs'!AE4</f>
        <v>0</v>
      </c>
      <c r="AF15" s="34">
        <f>'Candelaria Inputs'!AF4</f>
        <v>0</v>
      </c>
    </row>
    <row r="16" spans="4:32">
      <c r="D16" t="s">
        <v>105</v>
      </c>
      <c r="G16" t="s">
        <v>8</v>
      </c>
      <c r="H16" s="33">
        <f>SUM(I16:AF16)</f>
        <v>204534</v>
      </c>
      <c r="I16" s="34">
        <f>'Candelaria Inputs'!I11</f>
        <v>13723</v>
      </c>
      <c r="J16" s="34">
        <f>'Candelaria Inputs'!J11</f>
        <v>17280</v>
      </c>
      <c r="K16" s="34">
        <f>'Candelaria Inputs'!K11</f>
        <v>19122</v>
      </c>
      <c r="L16" s="34">
        <f>'Candelaria Inputs'!L11</f>
        <v>16053</v>
      </c>
      <c r="M16" s="34">
        <f>'Candelaria Inputs'!M11</f>
        <v>15601</v>
      </c>
      <c r="N16" s="34">
        <f>'Candelaria Inputs'!N11</f>
        <v>12155</v>
      </c>
      <c r="O16" s="34">
        <f>'Candelaria Inputs'!O11</f>
        <v>6100</v>
      </c>
      <c r="P16" s="34">
        <f>'Candelaria Inputs'!P11</f>
        <v>2725</v>
      </c>
      <c r="Q16" s="34">
        <f>'Candelaria Inputs'!Q11</f>
        <v>3343</v>
      </c>
      <c r="R16" s="34">
        <f>'Candelaria Inputs'!R11</f>
        <v>8965</v>
      </c>
      <c r="S16" s="34">
        <f>'Candelaria Inputs'!S11</f>
        <v>9686</v>
      </c>
      <c r="T16" s="34">
        <f>'Candelaria Inputs'!T11</f>
        <v>7530</v>
      </c>
      <c r="U16" s="34">
        <f>'Candelaria Inputs'!U11</f>
        <v>7571</v>
      </c>
      <c r="V16" s="34">
        <f>'Candelaria Inputs'!V11</f>
        <v>8568</v>
      </c>
      <c r="W16" s="34">
        <f>'Candelaria Inputs'!W11</f>
        <v>12517</v>
      </c>
      <c r="X16" s="34">
        <f>'Candelaria Inputs'!X11</f>
        <v>13499</v>
      </c>
      <c r="Y16" s="34">
        <f>'Candelaria Inputs'!Y11</f>
        <v>16352</v>
      </c>
      <c r="Z16" s="34">
        <f>'Candelaria Inputs'!Z11</f>
        <v>8973</v>
      </c>
      <c r="AA16" s="34">
        <f>'Candelaria Inputs'!AA11</f>
        <v>4771</v>
      </c>
      <c r="AB16" s="34">
        <f>'Candelaria Inputs'!AB11</f>
        <v>0</v>
      </c>
      <c r="AC16" s="34">
        <f>'Candelaria Inputs'!AC11</f>
        <v>0</v>
      </c>
      <c r="AD16" s="34">
        <f>'Candelaria Inputs'!AD11</f>
        <v>0</v>
      </c>
      <c r="AE16" s="34">
        <f>'Candelaria Inputs'!AE11</f>
        <v>0</v>
      </c>
      <c r="AF16" s="34">
        <f>'Candelaria Inputs'!AF11</f>
        <v>0</v>
      </c>
    </row>
    <row r="17" spans="4:32">
      <c r="D17" t="s">
        <v>106</v>
      </c>
      <c r="G17" t="s">
        <v>50</v>
      </c>
      <c r="H17" s="35">
        <f>IF(SUM(I16:AF16)&lt;&gt;0,SUMPRODUCT(I16:AF16,I17:AF17)/SUM(I16:AF16),0)</f>
        <v>6.0797945573841019E-3</v>
      </c>
      <c r="I17" s="36">
        <f>'Candelaria Inputs'!I18</f>
        <v>5.7000000000000002E-3</v>
      </c>
      <c r="J17" s="36">
        <f>'Candelaria Inputs'!J18</f>
        <v>6.4000000000000003E-3</v>
      </c>
      <c r="K17" s="36">
        <f>'Candelaria Inputs'!K18</f>
        <v>5.1000000000000004E-3</v>
      </c>
      <c r="L17" s="36">
        <f>'Candelaria Inputs'!L18</f>
        <v>5.7999999999999996E-3</v>
      </c>
      <c r="M17" s="36">
        <f>'Candelaria Inputs'!M18</f>
        <v>5.7999999999999996E-3</v>
      </c>
      <c r="N17" s="36">
        <f>'Candelaria Inputs'!N18</f>
        <v>5.8999999999999999E-3</v>
      </c>
      <c r="O17" s="36">
        <f>'Candelaria Inputs'!O18</f>
        <v>5.4000000000000003E-3</v>
      </c>
      <c r="P17" s="36">
        <f>'Candelaria Inputs'!P18</f>
        <v>4.5999999999999999E-3</v>
      </c>
      <c r="Q17" s="36">
        <f>'Candelaria Inputs'!Q18</f>
        <v>9.1000000000000004E-3</v>
      </c>
      <c r="R17" s="36">
        <f>'Candelaria Inputs'!R18</f>
        <v>8.3999999999999995E-3</v>
      </c>
      <c r="S17" s="36">
        <f>'Candelaria Inputs'!S18</f>
        <v>5.8999999999999999E-3</v>
      </c>
      <c r="T17" s="36">
        <f>'Candelaria Inputs'!T18</f>
        <v>4.8999999999999998E-3</v>
      </c>
      <c r="U17" s="36">
        <f>'Candelaria Inputs'!U18</f>
        <v>5.0000000000000001E-3</v>
      </c>
      <c r="V17" s="36">
        <f>'Candelaria Inputs'!V18</f>
        <v>5.7000000000000002E-3</v>
      </c>
      <c r="W17" s="36">
        <f>'Candelaria Inputs'!W18</f>
        <v>6.8999999999999999E-3</v>
      </c>
      <c r="X17" s="36">
        <f>'Candelaria Inputs'!X18</f>
        <v>7.6E-3</v>
      </c>
      <c r="Y17" s="36">
        <f>'Candelaria Inputs'!Y18</f>
        <v>6.4999999999999997E-3</v>
      </c>
      <c r="Z17" s="36">
        <f>'Candelaria Inputs'!Z18</f>
        <v>5.4000000000000003E-3</v>
      </c>
      <c r="AA17" s="36">
        <f>'Candelaria Inputs'!AA18</f>
        <v>5.4999999999999997E-3</v>
      </c>
      <c r="AB17" s="36">
        <f>'Candelaria Inputs'!AB18</f>
        <v>0</v>
      </c>
      <c r="AC17" s="36">
        <f>'Candelaria Inputs'!AC18</f>
        <v>0</v>
      </c>
      <c r="AD17" s="36">
        <f>'Candelaria Inputs'!AD18</f>
        <v>0</v>
      </c>
      <c r="AE17" s="36">
        <f>'Candelaria Inputs'!AE18</f>
        <v>0</v>
      </c>
      <c r="AF17" s="36">
        <f>'Candelaria Inputs'!AF18</f>
        <v>0</v>
      </c>
    </row>
    <row r="18" spans="4:32">
      <c r="D18" t="s">
        <v>107</v>
      </c>
      <c r="G18" t="s">
        <v>108</v>
      </c>
      <c r="H18" s="37">
        <f t="shared" ref="H18:H19" si="1">IF(SUM(I17:AF17)&lt;&gt;0,SUMPRODUCT(I17:AF17,I18:AF18)/SUM(I17:AF17),0)</f>
        <v>0.14433391003460208</v>
      </c>
      <c r="I18" s="34">
        <f>'Candelaria Inputs'!I25</f>
        <v>0.13</v>
      </c>
      <c r="J18" s="34">
        <f>'Candelaria Inputs'!J25</f>
        <v>0.16</v>
      </c>
      <c r="K18" s="34">
        <f>'Candelaria Inputs'!K25</f>
        <v>0.12</v>
      </c>
      <c r="L18" s="34">
        <f>'Candelaria Inputs'!L25</f>
        <v>0.13</v>
      </c>
      <c r="M18" s="34">
        <f>'Candelaria Inputs'!M25</f>
        <v>0.13</v>
      </c>
      <c r="N18" s="34">
        <f>'Candelaria Inputs'!N25</f>
        <v>0.13</v>
      </c>
      <c r="O18" s="34">
        <f>'Candelaria Inputs'!O25</f>
        <v>0.12</v>
      </c>
      <c r="P18" s="34">
        <f>'Candelaria Inputs'!P25</f>
        <v>0.11</v>
      </c>
      <c r="Q18" s="34">
        <f>'Candelaria Inputs'!Q25</f>
        <v>0.2</v>
      </c>
      <c r="R18" s="34">
        <f>'Candelaria Inputs'!R25</f>
        <v>0.19</v>
      </c>
      <c r="S18" s="34">
        <f>'Candelaria Inputs'!S25</f>
        <v>0.15</v>
      </c>
      <c r="T18" s="34">
        <f>'Candelaria Inputs'!T25</f>
        <v>0.13</v>
      </c>
      <c r="U18" s="34">
        <f>'Candelaria Inputs'!U25</f>
        <v>0.12</v>
      </c>
      <c r="V18" s="34">
        <f>'Candelaria Inputs'!V25</f>
        <v>0.13</v>
      </c>
      <c r="W18" s="34">
        <f>'Candelaria Inputs'!W25</f>
        <v>0.15</v>
      </c>
      <c r="X18" s="34">
        <f>'Candelaria Inputs'!X25</f>
        <v>0.17</v>
      </c>
      <c r="Y18" s="34">
        <f>'Candelaria Inputs'!Y25</f>
        <v>0.14000000000000001</v>
      </c>
      <c r="Z18" s="34">
        <f>'Candelaria Inputs'!Z25</f>
        <v>0.12</v>
      </c>
      <c r="AA18" s="34">
        <f>'Candelaria Inputs'!AA25</f>
        <v>0.13</v>
      </c>
      <c r="AB18" s="34">
        <f>'Candelaria Inputs'!AB25</f>
        <v>0</v>
      </c>
      <c r="AC18" s="34">
        <f>'Candelaria Inputs'!AC25</f>
        <v>0</v>
      </c>
      <c r="AD18" s="34">
        <f>'Candelaria Inputs'!AD25</f>
        <v>0</v>
      </c>
      <c r="AE18" s="34">
        <f>'Candelaria Inputs'!AE25</f>
        <v>0</v>
      </c>
      <c r="AF18" s="34">
        <f>'Candelaria Inputs'!AF25</f>
        <v>0</v>
      </c>
    </row>
    <row r="19" spans="4:32">
      <c r="D19" t="s">
        <v>109</v>
      </c>
      <c r="G19" t="s">
        <v>108</v>
      </c>
      <c r="H19" s="37">
        <f t="shared" si="1"/>
        <v>1.836263157894737</v>
      </c>
      <c r="I19" s="38">
        <f>'Candelaria Inputs'!I32</f>
        <v>1.46</v>
      </c>
      <c r="J19" s="38">
        <f>'Candelaria Inputs'!J32</f>
        <v>2.74</v>
      </c>
      <c r="K19" s="38">
        <f>'Candelaria Inputs'!K32</f>
        <v>2.0299999999999998</v>
      </c>
      <c r="L19" s="38">
        <f>'Candelaria Inputs'!L32</f>
        <v>1.8</v>
      </c>
      <c r="M19" s="38">
        <f>'Candelaria Inputs'!M32</f>
        <v>1.71</v>
      </c>
      <c r="N19" s="38">
        <f>'Candelaria Inputs'!N32</f>
        <v>1.94</v>
      </c>
      <c r="O19" s="38">
        <f>'Candelaria Inputs'!O32</f>
        <v>1.49</v>
      </c>
      <c r="P19" s="38">
        <f>'Candelaria Inputs'!P32</f>
        <v>1.26</v>
      </c>
      <c r="Q19" s="38">
        <f>'Candelaria Inputs'!Q32</f>
        <v>2.73</v>
      </c>
      <c r="R19" s="38">
        <f>'Candelaria Inputs'!R32</f>
        <v>2.29</v>
      </c>
      <c r="S19" s="38">
        <f>'Candelaria Inputs'!S32</f>
        <v>1.55</v>
      </c>
      <c r="T19" s="38">
        <f>'Candelaria Inputs'!T32</f>
        <v>1.19</v>
      </c>
      <c r="U19" s="38">
        <f>'Candelaria Inputs'!U32</f>
        <v>1.1399999999999999</v>
      </c>
      <c r="V19" s="38">
        <f>'Candelaria Inputs'!V32</f>
        <v>1.22</v>
      </c>
      <c r="W19" s="38">
        <f>'Candelaria Inputs'!W32</f>
        <v>1.7</v>
      </c>
      <c r="X19" s="38">
        <f>'Candelaria Inputs'!X32</f>
        <v>2.4</v>
      </c>
      <c r="Y19" s="38">
        <f>'Candelaria Inputs'!Y32</f>
        <v>2.2240000000000002</v>
      </c>
      <c r="Z19" s="38">
        <f>'Candelaria Inputs'!Z32</f>
        <v>1.53</v>
      </c>
      <c r="AA19" s="38">
        <f>'Candelaria Inputs'!AA32</f>
        <v>1.27</v>
      </c>
      <c r="AB19" s="38">
        <f>'Candelaria Inputs'!AB32</f>
        <v>0</v>
      </c>
      <c r="AC19" s="38">
        <f>'Candelaria Inputs'!AC32</f>
        <v>0</v>
      </c>
      <c r="AD19" s="38">
        <f>'Candelaria Inputs'!AD32</f>
        <v>0</v>
      </c>
      <c r="AE19" s="38">
        <f>'Candelaria Inputs'!AE32</f>
        <v>0</v>
      </c>
      <c r="AF19" s="38">
        <f>'Candelaria Inputs'!AF32</f>
        <v>0</v>
      </c>
    </row>
    <row r="20" spans="4:32" ht="6" customHeight="1">
      <c r="D20" s="2"/>
      <c r="H20" s="29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spans="4:32">
      <c r="D21" s="28" t="s">
        <v>110</v>
      </c>
      <c r="H21" s="29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4:32">
      <c r="D22" t="s">
        <v>111</v>
      </c>
      <c r="G22" t="s">
        <v>8</v>
      </c>
      <c r="H22" s="33">
        <f>SUM(I22:AF22)</f>
        <v>138889</v>
      </c>
      <c r="I22" s="34">
        <f>'Candelaria Inputs'!I40</f>
        <v>0</v>
      </c>
      <c r="J22" s="34">
        <f>'Candelaria Inputs'!J40</f>
        <v>9655</v>
      </c>
      <c r="K22" s="34">
        <f>'Candelaria Inputs'!K40</f>
        <v>17090</v>
      </c>
      <c r="L22" s="34">
        <f>'Candelaria Inputs'!L40</f>
        <v>19267</v>
      </c>
      <c r="M22" s="34">
        <f>'Candelaria Inputs'!M40</f>
        <v>17113</v>
      </c>
      <c r="N22" s="34">
        <f>'Candelaria Inputs'!N40</f>
        <v>15524</v>
      </c>
      <c r="O22" s="34">
        <f>'Candelaria Inputs'!O40</f>
        <v>13588</v>
      </c>
      <c r="P22" s="34">
        <f>'Candelaria Inputs'!P40</f>
        <v>12084</v>
      </c>
      <c r="Q22" s="34">
        <f>'Candelaria Inputs'!Q40</f>
        <v>10635</v>
      </c>
      <c r="R22" s="34">
        <f>'Candelaria Inputs'!R40</f>
        <v>9952</v>
      </c>
      <c r="S22" s="34">
        <f>'Candelaria Inputs'!S40</f>
        <v>6643</v>
      </c>
      <c r="T22" s="34">
        <f>'Candelaria Inputs'!T40</f>
        <v>3865</v>
      </c>
      <c r="U22" s="34">
        <f>'Candelaria Inputs'!U40</f>
        <v>1424</v>
      </c>
      <c r="V22" s="34">
        <f>'Candelaria Inputs'!V40</f>
        <v>2049</v>
      </c>
      <c r="W22" s="34">
        <f>'Candelaria Inputs'!W40</f>
        <v>0</v>
      </c>
      <c r="X22" s="34">
        <f>'Candelaria Inputs'!X40</f>
        <v>0</v>
      </c>
      <c r="Y22" s="34">
        <f>'Candelaria Inputs'!Y40</f>
        <v>0</v>
      </c>
      <c r="Z22" s="34">
        <f>'Candelaria Inputs'!Z40</f>
        <v>0</v>
      </c>
      <c r="AA22" s="34">
        <f>'Candelaria Inputs'!AA40</f>
        <v>0</v>
      </c>
      <c r="AB22" s="34">
        <f>'Candelaria Inputs'!AB40</f>
        <v>0</v>
      </c>
      <c r="AC22" s="34">
        <f>'Candelaria Inputs'!AC40</f>
        <v>0</v>
      </c>
      <c r="AD22" s="34">
        <f>'Candelaria Inputs'!AD40</f>
        <v>0</v>
      </c>
      <c r="AE22" s="34">
        <f>'Candelaria Inputs'!AE40</f>
        <v>0</v>
      </c>
      <c r="AF22" s="34">
        <f>'Candelaria Inputs'!AF40</f>
        <v>0</v>
      </c>
    </row>
    <row r="23" spans="4:32">
      <c r="D23" t="s">
        <v>105</v>
      </c>
      <c r="G23" t="s">
        <v>8</v>
      </c>
      <c r="H23" s="33">
        <f>SUM(I23:AF23)</f>
        <v>48709</v>
      </c>
      <c r="I23" s="34">
        <f>'Candelaria Inputs'!I47</f>
        <v>0</v>
      </c>
      <c r="J23" s="34">
        <f>'Candelaria Inputs'!J47</f>
        <v>0</v>
      </c>
      <c r="K23" s="34">
        <f>'Candelaria Inputs'!K47</f>
        <v>0</v>
      </c>
      <c r="L23" s="34">
        <f>'Candelaria Inputs'!L47</f>
        <v>2395</v>
      </c>
      <c r="M23" s="34">
        <f>'Candelaria Inputs'!M47</f>
        <v>3965</v>
      </c>
      <c r="N23" s="34">
        <f>'Candelaria Inputs'!N47</f>
        <v>424</v>
      </c>
      <c r="O23" s="34">
        <f>'Candelaria Inputs'!O47</f>
        <v>6162</v>
      </c>
      <c r="P23" s="34">
        <f>'Candelaria Inputs'!P47</f>
        <v>7707</v>
      </c>
      <c r="Q23" s="34">
        <f>'Candelaria Inputs'!Q47</f>
        <v>7927</v>
      </c>
      <c r="R23" s="34">
        <f>'Candelaria Inputs'!R47</f>
        <v>6143</v>
      </c>
      <c r="S23" s="34">
        <f>'Candelaria Inputs'!S47</f>
        <v>6855</v>
      </c>
      <c r="T23" s="34">
        <f>'Candelaria Inputs'!T47</f>
        <v>4792</v>
      </c>
      <c r="U23" s="34">
        <f>'Candelaria Inputs'!U47</f>
        <v>2049</v>
      </c>
      <c r="V23" s="34">
        <f>'Candelaria Inputs'!V47</f>
        <v>290</v>
      </c>
      <c r="W23" s="34">
        <f>'Candelaria Inputs'!W47</f>
        <v>0</v>
      </c>
      <c r="X23" s="34">
        <f>'Candelaria Inputs'!X47</f>
        <v>0</v>
      </c>
      <c r="Y23" s="34">
        <f>'Candelaria Inputs'!Y47</f>
        <v>0</v>
      </c>
      <c r="Z23" s="34">
        <f>'Candelaria Inputs'!Z47</f>
        <v>0</v>
      </c>
      <c r="AA23" s="34">
        <f>'Candelaria Inputs'!AA47</f>
        <v>0</v>
      </c>
      <c r="AB23" s="34">
        <f>'Candelaria Inputs'!AB47</f>
        <v>0</v>
      </c>
      <c r="AC23" s="34">
        <f>'Candelaria Inputs'!AC47</f>
        <v>0</v>
      </c>
      <c r="AD23" s="34">
        <f>'Candelaria Inputs'!AD47</f>
        <v>0</v>
      </c>
      <c r="AE23" s="34">
        <f>'Candelaria Inputs'!AE47</f>
        <v>0</v>
      </c>
      <c r="AF23" s="34">
        <f>'Candelaria Inputs'!AF47</f>
        <v>0</v>
      </c>
    </row>
    <row r="24" spans="4:32">
      <c r="D24" t="s">
        <v>106</v>
      </c>
      <c r="G24" t="s">
        <v>50</v>
      </c>
      <c r="H24" s="35">
        <f>IF(SUM(I23:AF23)&lt;&gt;0,SUMPRODUCT(I23:AF23,I24:AF24)/SUM(I23:AF23),0)</f>
        <v>4.2528813976883129E-3</v>
      </c>
      <c r="I24" s="36">
        <f>'Candelaria Inputs'!I54</f>
        <v>0</v>
      </c>
      <c r="J24" s="36">
        <f>'Candelaria Inputs'!J54</f>
        <v>0</v>
      </c>
      <c r="K24" s="36">
        <f>'Candelaria Inputs'!K54</f>
        <v>0</v>
      </c>
      <c r="L24" s="36">
        <f>'Candelaria Inputs'!L54</f>
        <v>4.1999999999999997E-3</v>
      </c>
      <c r="M24" s="36">
        <f>'Candelaria Inputs'!M54</f>
        <v>4.0000000000000001E-3</v>
      </c>
      <c r="N24" s="36">
        <f>'Candelaria Inputs'!N54</f>
        <v>4.3E-3</v>
      </c>
      <c r="O24" s="36">
        <f>'Candelaria Inputs'!O54</f>
        <v>4.1999999999999997E-3</v>
      </c>
      <c r="P24" s="36">
        <f>'Candelaria Inputs'!P54</f>
        <v>4.4000000000000003E-3</v>
      </c>
      <c r="Q24" s="36">
        <f>'Candelaria Inputs'!Q54</f>
        <v>4.0000000000000001E-3</v>
      </c>
      <c r="R24" s="36">
        <f>'Candelaria Inputs'!R54</f>
        <v>4.1000000000000003E-3</v>
      </c>
      <c r="S24" s="36">
        <f>'Candelaria Inputs'!S54</f>
        <v>4.4999999999999997E-3</v>
      </c>
      <c r="T24" s="36">
        <f>'Candelaria Inputs'!T54</f>
        <v>4.7000000000000002E-3</v>
      </c>
      <c r="U24" s="36">
        <f>'Candelaria Inputs'!U54</f>
        <v>4.0000000000000001E-3</v>
      </c>
      <c r="V24" s="36">
        <f>'Candelaria Inputs'!V54</f>
        <v>4.0000000000000001E-3</v>
      </c>
      <c r="W24" s="36">
        <f>'Candelaria Inputs'!W54</f>
        <v>0</v>
      </c>
      <c r="X24" s="36">
        <f>'Candelaria Inputs'!X54</f>
        <v>0</v>
      </c>
      <c r="Y24" s="36">
        <f>'Candelaria Inputs'!Y54</f>
        <v>0</v>
      </c>
      <c r="Z24" s="36">
        <f>'Candelaria Inputs'!Z54</f>
        <v>0</v>
      </c>
      <c r="AA24" s="36">
        <f>'Candelaria Inputs'!AA54</f>
        <v>0</v>
      </c>
      <c r="AB24" s="36">
        <f>'Candelaria Inputs'!AB54</f>
        <v>0</v>
      </c>
      <c r="AC24" s="36">
        <f>'Candelaria Inputs'!AC54</f>
        <v>0</v>
      </c>
      <c r="AD24" s="36">
        <f>'Candelaria Inputs'!AD54</f>
        <v>0</v>
      </c>
      <c r="AE24" s="36">
        <f>'Candelaria Inputs'!AE54</f>
        <v>0</v>
      </c>
      <c r="AF24" s="36">
        <f>'Candelaria Inputs'!AF54</f>
        <v>0</v>
      </c>
    </row>
    <row r="25" spans="4:32">
      <c r="D25" t="s">
        <v>107</v>
      </c>
      <c r="G25" t="s">
        <v>108</v>
      </c>
      <c r="H25" s="37">
        <f t="shared" ref="H25:H26" si="2">IF(SUM(I24:AF24)&lt;&gt;0,SUMPRODUCT(I24:AF24,I25:AF25)/SUM(I24:AF24),0)</f>
        <v>8.913793103448274E-2</v>
      </c>
      <c r="I25" s="38">
        <f>'Candelaria Inputs'!I61</f>
        <v>0</v>
      </c>
      <c r="J25" s="38">
        <f>'Candelaria Inputs'!J61</f>
        <v>0</v>
      </c>
      <c r="K25" s="38">
        <f>'Candelaria Inputs'!K61</f>
        <v>0</v>
      </c>
      <c r="L25" s="38">
        <f>'Candelaria Inputs'!L61</f>
        <v>0.09</v>
      </c>
      <c r="M25" s="38">
        <f>'Candelaria Inputs'!M61</f>
        <v>0.08</v>
      </c>
      <c r="N25" s="38">
        <f>'Candelaria Inputs'!N61</f>
        <v>0.09</v>
      </c>
      <c r="O25" s="38">
        <f>'Candelaria Inputs'!O61</f>
        <v>0.09</v>
      </c>
      <c r="P25" s="38">
        <f>'Candelaria Inputs'!P61</f>
        <v>0.09</v>
      </c>
      <c r="Q25" s="38">
        <f>'Candelaria Inputs'!Q61</f>
        <v>0.09</v>
      </c>
      <c r="R25" s="38">
        <f>'Candelaria Inputs'!R61</f>
        <v>0.09</v>
      </c>
      <c r="S25" s="38">
        <f>'Candelaria Inputs'!S61</f>
        <v>0.09</v>
      </c>
      <c r="T25" s="38">
        <f>'Candelaria Inputs'!T61</f>
        <v>0.09</v>
      </c>
      <c r="U25" s="38">
        <f>'Candelaria Inputs'!U61</f>
        <v>0.08</v>
      </c>
      <c r="V25" s="38">
        <f>'Candelaria Inputs'!V61</f>
        <v>0.1</v>
      </c>
      <c r="W25" s="38">
        <f>'Candelaria Inputs'!W61</f>
        <v>0</v>
      </c>
      <c r="X25" s="38">
        <f>'Candelaria Inputs'!X61</f>
        <v>0</v>
      </c>
      <c r="Y25" s="38">
        <f>'Candelaria Inputs'!Y61</f>
        <v>0</v>
      </c>
      <c r="Z25" s="38">
        <f>'Candelaria Inputs'!Z61</f>
        <v>0</v>
      </c>
      <c r="AA25" s="38">
        <f>'Candelaria Inputs'!AA61</f>
        <v>0</v>
      </c>
      <c r="AB25" s="38">
        <f>'Candelaria Inputs'!AB61</f>
        <v>0</v>
      </c>
      <c r="AC25" s="38">
        <f>'Candelaria Inputs'!AC61</f>
        <v>0</v>
      </c>
      <c r="AD25" s="38">
        <f>'Candelaria Inputs'!AD61</f>
        <v>0</v>
      </c>
      <c r="AE25" s="38">
        <f>'Candelaria Inputs'!AE61</f>
        <v>0</v>
      </c>
      <c r="AF25" s="38">
        <f>'Candelaria Inputs'!AF61</f>
        <v>0</v>
      </c>
    </row>
    <row r="26" spans="4:32">
      <c r="D26" t="s">
        <v>109</v>
      </c>
      <c r="G26" t="s">
        <v>108</v>
      </c>
      <c r="H26" s="37">
        <f t="shared" si="2"/>
        <v>0.37397959183673485</v>
      </c>
      <c r="I26" s="38">
        <f>'Candelaria Inputs'!I68</f>
        <v>0</v>
      </c>
      <c r="J26" s="38">
        <f>'Candelaria Inputs'!J68</f>
        <v>0</v>
      </c>
      <c r="K26" s="38">
        <f>'Candelaria Inputs'!K68</f>
        <v>0</v>
      </c>
      <c r="L26" s="38">
        <f>'Candelaria Inputs'!L68</f>
        <v>0.35</v>
      </c>
      <c r="M26" s="38">
        <f>'Candelaria Inputs'!M68</f>
        <v>0.37</v>
      </c>
      <c r="N26" s="38">
        <f>'Candelaria Inputs'!N68</f>
        <v>0.36</v>
      </c>
      <c r="O26" s="38">
        <f>'Candelaria Inputs'!O68</f>
        <v>0.33</v>
      </c>
      <c r="P26" s="38">
        <f>'Candelaria Inputs'!P68</f>
        <v>0.36</v>
      </c>
      <c r="Q26" s="38">
        <f>'Candelaria Inputs'!Q68</f>
        <v>0.4</v>
      </c>
      <c r="R26" s="38">
        <f>'Candelaria Inputs'!R68</f>
        <v>0.56000000000000005</v>
      </c>
      <c r="S26" s="38">
        <f>'Candelaria Inputs'!S68</f>
        <v>0.4</v>
      </c>
      <c r="T26" s="38">
        <f>'Candelaria Inputs'!T68</f>
        <v>0.37</v>
      </c>
      <c r="U26" s="38">
        <f>'Candelaria Inputs'!U68</f>
        <v>0.34</v>
      </c>
      <c r="V26" s="38">
        <f>'Candelaria Inputs'!V68</f>
        <v>0.28000000000000003</v>
      </c>
      <c r="W26" s="38">
        <f>'Candelaria Inputs'!W68</f>
        <v>0</v>
      </c>
      <c r="X26" s="38">
        <f>'Candelaria Inputs'!X68</f>
        <v>0</v>
      </c>
      <c r="Y26" s="38">
        <f>'Candelaria Inputs'!Y68</f>
        <v>0</v>
      </c>
      <c r="Z26" s="38">
        <f>'Candelaria Inputs'!Z68</f>
        <v>0</v>
      </c>
      <c r="AA26" s="38">
        <f>'Candelaria Inputs'!AA68</f>
        <v>0</v>
      </c>
      <c r="AB26" s="38">
        <f>'Candelaria Inputs'!AB68</f>
        <v>0</v>
      </c>
      <c r="AC26" s="38">
        <f>'Candelaria Inputs'!AC68</f>
        <v>0</v>
      </c>
      <c r="AD26" s="38">
        <f>'Candelaria Inputs'!AD68</f>
        <v>0</v>
      </c>
      <c r="AE26" s="38">
        <f>'Candelaria Inputs'!AE68</f>
        <v>0</v>
      </c>
      <c r="AF26" s="38">
        <f>'Candelaria Inputs'!AF68</f>
        <v>0</v>
      </c>
    </row>
    <row r="27" spans="4:32" ht="6" customHeight="1">
      <c r="D27" s="2"/>
      <c r="H27" s="29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4:32">
      <c r="D28" s="28" t="s">
        <v>112</v>
      </c>
      <c r="H28" s="29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4:32">
      <c r="D29" t="s">
        <v>105</v>
      </c>
      <c r="G29" t="s">
        <v>8</v>
      </c>
      <c r="H29" s="33">
        <f>SUM(I29:AF29)</f>
        <v>174326</v>
      </c>
      <c r="I29" s="34">
        <f>'Candelaria Inputs'!I76</f>
        <v>4610</v>
      </c>
      <c r="J29" s="34">
        <f>'Candelaria Inputs'!J76</f>
        <v>12464</v>
      </c>
      <c r="K29" s="34">
        <f>'Candelaria Inputs'!K76</f>
        <v>13998</v>
      </c>
      <c r="L29" s="34">
        <f>'Candelaria Inputs'!L76</f>
        <v>19387</v>
      </c>
      <c r="M29" s="34">
        <f>'Candelaria Inputs'!M76</f>
        <v>13281</v>
      </c>
      <c r="N29" s="34">
        <f>'Candelaria Inputs'!N76</f>
        <v>13553</v>
      </c>
      <c r="O29" s="34">
        <f>'Candelaria Inputs'!O76</f>
        <v>10012</v>
      </c>
      <c r="P29" s="34">
        <f>'Candelaria Inputs'!P76</f>
        <v>7480</v>
      </c>
      <c r="Q29" s="34">
        <f>'Candelaria Inputs'!Q76</f>
        <v>4394</v>
      </c>
      <c r="R29" s="34">
        <f>'Candelaria Inputs'!R76</f>
        <v>6158</v>
      </c>
      <c r="S29" s="34">
        <f>'Candelaria Inputs'!S76</f>
        <v>10541</v>
      </c>
      <c r="T29" s="34">
        <f>'Candelaria Inputs'!T76</f>
        <v>12189</v>
      </c>
      <c r="U29" s="34">
        <f>'Candelaria Inputs'!U76</f>
        <v>11421</v>
      </c>
      <c r="V29" s="34">
        <f>'Candelaria Inputs'!V76</f>
        <v>7643</v>
      </c>
      <c r="W29" s="34">
        <f>'Candelaria Inputs'!W76</f>
        <v>6220</v>
      </c>
      <c r="X29" s="34">
        <f>'Candelaria Inputs'!X76</f>
        <v>5775</v>
      </c>
      <c r="Y29" s="34">
        <f>'Candelaria Inputs'!Y76</f>
        <v>5192</v>
      </c>
      <c r="Z29" s="34">
        <f>'Candelaria Inputs'!Z76</f>
        <v>7136</v>
      </c>
      <c r="AA29" s="34">
        <f>'Candelaria Inputs'!AA76</f>
        <v>2872</v>
      </c>
      <c r="AB29" s="34">
        <f>'Candelaria Inputs'!AB76</f>
        <v>0</v>
      </c>
      <c r="AC29" s="34">
        <f>'Candelaria Inputs'!AC76</f>
        <v>0</v>
      </c>
      <c r="AD29" s="34">
        <f>'Candelaria Inputs'!AD76</f>
        <v>0</v>
      </c>
      <c r="AE29" s="34">
        <f>'Candelaria Inputs'!AE76</f>
        <v>0</v>
      </c>
      <c r="AF29" s="34">
        <f>'Candelaria Inputs'!AF76</f>
        <v>0</v>
      </c>
    </row>
    <row r="30" spans="4:32">
      <c r="D30" t="s">
        <v>106</v>
      </c>
      <c r="G30" t="s">
        <v>50</v>
      </c>
      <c r="H30" s="35">
        <f>IF(SUM(I29:AF29)&lt;&gt;0,SUMPRODUCT(I29:AF29,I30:AF30)/SUM(I29:AF29),0)</f>
        <v>2.312358454848961E-3</v>
      </c>
      <c r="I30" s="36">
        <f>'Candelaria Inputs'!I83</f>
        <v>2E-3</v>
      </c>
      <c r="J30" s="36">
        <f>'Candelaria Inputs'!J83</f>
        <v>2.2000000000000001E-3</v>
      </c>
      <c r="K30" s="36">
        <f>'Candelaria Inputs'!K83</f>
        <v>2.3E-3</v>
      </c>
      <c r="L30" s="36">
        <f>'Candelaria Inputs'!L83</f>
        <v>2.3999999999999998E-3</v>
      </c>
      <c r="M30" s="36">
        <f>'Candelaria Inputs'!M83</f>
        <v>2.5000000000000001E-3</v>
      </c>
      <c r="N30" s="36">
        <f>'Candelaria Inputs'!N83</f>
        <v>2.8999999999999998E-3</v>
      </c>
      <c r="O30" s="36">
        <f>'Candelaria Inputs'!O83</f>
        <v>2.3999999999999998E-3</v>
      </c>
      <c r="P30" s="36">
        <f>'Candelaria Inputs'!P83</f>
        <v>2.3E-3</v>
      </c>
      <c r="Q30" s="36">
        <f>'Candelaria Inputs'!Q83</f>
        <v>2.5000000000000001E-3</v>
      </c>
      <c r="R30" s="36">
        <f>'Candelaria Inputs'!R83</f>
        <v>2.2000000000000001E-3</v>
      </c>
      <c r="S30" s="36">
        <f>'Candelaria Inputs'!S83</f>
        <v>2.3999999999999998E-3</v>
      </c>
      <c r="T30" s="36">
        <f>'Candelaria Inputs'!T83</f>
        <v>2.0999999999999999E-3</v>
      </c>
      <c r="U30" s="36">
        <f>'Candelaria Inputs'!U83</f>
        <v>2.0999999999999999E-3</v>
      </c>
      <c r="V30" s="36">
        <f>'Candelaria Inputs'!V83</f>
        <v>2.0999999999999999E-3</v>
      </c>
      <c r="W30" s="36">
        <f>'Candelaria Inputs'!W83</f>
        <v>2.2000000000000001E-3</v>
      </c>
      <c r="X30" s="36">
        <f>'Candelaria Inputs'!X83</f>
        <v>2.0999999999999999E-3</v>
      </c>
      <c r="Y30" s="36">
        <f>'Candelaria Inputs'!Y83</f>
        <v>2.2000000000000001E-3</v>
      </c>
      <c r="Z30" s="36">
        <f>'Candelaria Inputs'!Z83</f>
        <v>2.0999999999999999E-3</v>
      </c>
      <c r="AA30" s="36">
        <f>'Candelaria Inputs'!AA83</f>
        <v>2.2000000000000001E-3</v>
      </c>
      <c r="AB30" s="36">
        <f>'Candelaria Inputs'!AB83</f>
        <v>0</v>
      </c>
      <c r="AC30" s="36">
        <f>'Candelaria Inputs'!AC83</f>
        <v>0</v>
      </c>
      <c r="AD30" s="36">
        <f>'Candelaria Inputs'!AD83</f>
        <v>0</v>
      </c>
      <c r="AE30" s="36">
        <f>'Candelaria Inputs'!AE83</f>
        <v>0</v>
      </c>
      <c r="AF30" s="36">
        <f>'Candelaria Inputs'!AF83</f>
        <v>0</v>
      </c>
    </row>
    <row r="31" spans="4:32">
      <c r="D31" t="s">
        <v>107</v>
      </c>
      <c r="G31" t="s">
        <v>108</v>
      </c>
      <c r="H31" s="37">
        <f>IF(SUM(I29:AF29)&lt;&gt;0,SUMPRODUCT(I29:AF29,I31:AF31)/SUM(I29:AF29),0)</f>
        <v>6.2689616006791876E-2</v>
      </c>
      <c r="I31" s="38">
        <f>'Candelaria Inputs'!I90</f>
        <v>0.06</v>
      </c>
      <c r="J31" s="38">
        <f>'Candelaria Inputs'!J90</f>
        <v>7.0000000000000007E-2</v>
      </c>
      <c r="K31" s="38">
        <f>'Candelaria Inputs'!K90</f>
        <v>0.06</v>
      </c>
      <c r="L31" s="38">
        <f>'Candelaria Inputs'!L90</f>
        <v>7.0000000000000007E-2</v>
      </c>
      <c r="M31" s="38">
        <f>'Candelaria Inputs'!M90</f>
        <v>7.0000000000000007E-2</v>
      </c>
      <c r="N31" s="38">
        <f>'Candelaria Inputs'!N90</f>
        <v>7.0000000000000007E-2</v>
      </c>
      <c r="O31" s="38">
        <f>'Candelaria Inputs'!O90</f>
        <v>0.06</v>
      </c>
      <c r="P31" s="38">
        <f>'Candelaria Inputs'!P90</f>
        <v>0.06</v>
      </c>
      <c r="Q31" s="38">
        <f>'Candelaria Inputs'!Q90</f>
        <v>7.0000000000000007E-2</v>
      </c>
      <c r="R31" s="38">
        <f>'Candelaria Inputs'!R90</f>
        <v>0.06</v>
      </c>
      <c r="S31" s="38">
        <f>'Candelaria Inputs'!S90</f>
        <v>0.06</v>
      </c>
      <c r="T31" s="38">
        <f>'Candelaria Inputs'!T90</f>
        <v>0.06</v>
      </c>
      <c r="U31" s="38">
        <f>'Candelaria Inputs'!U90</f>
        <v>0.05</v>
      </c>
      <c r="V31" s="38">
        <f>'Candelaria Inputs'!V90</f>
        <v>0.05</v>
      </c>
      <c r="W31" s="38">
        <f>'Candelaria Inputs'!W90</f>
        <v>0.06</v>
      </c>
      <c r="X31" s="38">
        <f>'Candelaria Inputs'!X90</f>
        <v>0.06</v>
      </c>
      <c r="Y31" s="38">
        <f>'Candelaria Inputs'!Y90</f>
        <v>0.06</v>
      </c>
      <c r="Z31" s="38">
        <f>'Candelaria Inputs'!Z90</f>
        <v>0.06</v>
      </c>
      <c r="AA31" s="38">
        <f>'Candelaria Inputs'!AA90</f>
        <v>7.0000000000000007E-2</v>
      </c>
      <c r="AB31" s="38">
        <f>'Candelaria Inputs'!AB90</f>
        <v>0</v>
      </c>
      <c r="AC31" s="38">
        <f>'Candelaria Inputs'!AC90</f>
        <v>0</v>
      </c>
      <c r="AD31" s="38">
        <f>'Candelaria Inputs'!AD90</f>
        <v>0</v>
      </c>
      <c r="AE31" s="38">
        <f>'Candelaria Inputs'!AE90</f>
        <v>0</v>
      </c>
      <c r="AF31" s="38">
        <f>'Candelaria Inputs'!AF90</f>
        <v>0</v>
      </c>
    </row>
    <row r="32" spans="4:32">
      <c r="D32" t="s">
        <v>109</v>
      </c>
      <c r="G32" t="s">
        <v>108</v>
      </c>
      <c r="H32" s="37">
        <f>IF(SUM(I29:AF29)&lt;&gt;0,SUMPRODUCT(I29:AF29,I32:AF32)/SUM(I29:AF29),0)</f>
        <v>0.88632091598499341</v>
      </c>
      <c r="I32" s="38">
        <f>'Candelaria Inputs'!I97</f>
        <v>0.95</v>
      </c>
      <c r="J32" s="38">
        <f>'Candelaria Inputs'!J97</f>
        <v>1.26</v>
      </c>
      <c r="K32" s="38">
        <f>'Candelaria Inputs'!K97</f>
        <v>1.07</v>
      </c>
      <c r="L32" s="38">
        <f>'Candelaria Inputs'!L97</f>
        <v>1.25</v>
      </c>
      <c r="M32" s="38">
        <f>'Candelaria Inputs'!M97</f>
        <v>0.98</v>
      </c>
      <c r="N32" s="38">
        <f>'Candelaria Inputs'!N97</f>
        <v>0.75</v>
      </c>
      <c r="O32" s="38">
        <f>'Candelaria Inputs'!O97</f>
        <v>0.83</v>
      </c>
      <c r="P32" s="38">
        <f>'Candelaria Inputs'!P97</f>
        <v>0.67</v>
      </c>
      <c r="Q32" s="38">
        <f>'Candelaria Inputs'!Q97</f>
        <v>0.73</v>
      </c>
      <c r="R32" s="38">
        <f>'Candelaria Inputs'!R97</f>
        <v>0.95</v>
      </c>
      <c r="S32" s="38">
        <f>'Candelaria Inputs'!S97</f>
        <v>0.75</v>
      </c>
      <c r="T32" s="38">
        <f>'Candelaria Inputs'!T97</f>
        <v>0.65</v>
      </c>
      <c r="U32" s="38">
        <f>'Candelaria Inputs'!U97</f>
        <v>0.56000000000000005</v>
      </c>
      <c r="V32" s="38">
        <f>'Candelaria Inputs'!V97</f>
        <v>0.6</v>
      </c>
      <c r="W32" s="38">
        <f>'Candelaria Inputs'!W97</f>
        <v>0.59</v>
      </c>
      <c r="X32" s="38">
        <f>'Candelaria Inputs'!X97</f>
        <v>0.98</v>
      </c>
      <c r="Y32" s="38">
        <f>'Candelaria Inputs'!Y97</f>
        <v>1.24</v>
      </c>
      <c r="Z32" s="38">
        <f>'Candelaria Inputs'!Z97</f>
        <v>0.73</v>
      </c>
      <c r="AA32" s="38">
        <f>'Candelaria Inputs'!AA97</f>
        <v>0.65</v>
      </c>
      <c r="AB32" s="38">
        <f>'Candelaria Inputs'!AB97</f>
        <v>0</v>
      </c>
      <c r="AC32" s="38">
        <f>'Candelaria Inputs'!AC97</f>
        <v>0</v>
      </c>
      <c r="AD32" s="38">
        <f>'Candelaria Inputs'!AD97</f>
        <v>0</v>
      </c>
      <c r="AE32" s="38">
        <f>'Candelaria Inputs'!AE97</f>
        <v>0</v>
      </c>
      <c r="AF32" s="38">
        <f>'Candelaria Inputs'!AF97</f>
        <v>0</v>
      </c>
    </row>
    <row r="33" spans="4:32" ht="6" customHeight="1">
      <c r="D33" s="2"/>
      <c r="H33" s="29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4:32">
      <c r="D34" s="28" t="s">
        <v>26</v>
      </c>
      <c r="H34" s="29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4:32">
      <c r="D35" t="s">
        <v>105</v>
      </c>
      <c r="G35" t="s">
        <v>8</v>
      </c>
      <c r="H35" s="33">
        <f>SUM(I35:AF35)</f>
        <v>252669</v>
      </c>
      <c r="I35" s="34">
        <f>'Candelaria Inputs'!I105</f>
        <v>7133</v>
      </c>
      <c r="J35" s="34">
        <f>'Candelaria Inputs'!J105</f>
        <v>3106</v>
      </c>
      <c r="K35" s="34">
        <f>'Candelaria Inputs'!K105</f>
        <v>2395</v>
      </c>
      <c r="L35" s="34">
        <f>'Candelaria Inputs'!L105</f>
        <v>3673</v>
      </c>
      <c r="M35" s="34">
        <f>'Candelaria Inputs'!M105</f>
        <v>2612</v>
      </c>
      <c r="N35" s="34">
        <f>'Candelaria Inputs'!N105</f>
        <v>9639</v>
      </c>
      <c r="O35" s="34">
        <f>'Candelaria Inputs'!O105</f>
        <v>9784</v>
      </c>
      <c r="P35" s="34">
        <f>'Candelaria Inputs'!P105</f>
        <v>11540</v>
      </c>
      <c r="Q35" s="34">
        <f>'Candelaria Inputs'!Q105</f>
        <v>10162</v>
      </c>
      <c r="R35" s="34">
        <f>'Candelaria Inputs'!R105</f>
        <v>6818</v>
      </c>
      <c r="S35" s="34">
        <f>'Candelaria Inputs'!S105</f>
        <v>5475</v>
      </c>
      <c r="T35" s="34">
        <f>'Candelaria Inputs'!T105</f>
        <v>9725</v>
      </c>
      <c r="U35" s="34">
        <f>'Candelaria Inputs'!U105</f>
        <v>12427</v>
      </c>
      <c r="V35" s="34">
        <f>'Candelaria Inputs'!V105</f>
        <v>13286</v>
      </c>
      <c r="W35" s="34">
        <f>'Candelaria Inputs'!W105</f>
        <v>9623</v>
      </c>
      <c r="X35" s="34">
        <f>'Candelaria Inputs'!X105</f>
        <v>8312</v>
      </c>
      <c r="Y35" s="34">
        <f>'Candelaria Inputs'!Y105</f>
        <v>5475</v>
      </c>
      <c r="Z35" s="34">
        <f>'Candelaria Inputs'!Z105</f>
        <v>12778</v>
      </c>
      <c r="AA35" s="34">
        <f>'Candelaria Inputs'!AA105</f>
        <v>16730</v>
      </c>
      <c r="AB35" s="34">
        <f>'Candelaria Inputs'!AB105</f>
        <v>22170</v>
      </c>
      <c r="AC35" s="34">
        <f>'Candelaria Inputs'!AC105</f>
        <v>22170</v>
      </c>
      <c r="AD35" s="34">
        <f>'Candelaria Inputs'!AD105</f>
        <v>22231</v>
      </c>
      <c r="AE35" s="34">
        <f>'Candelaria Inputs'!AE105</f>
        <v>22170</v>
      </c>
      <c r="AF35" s="34">
        <f>'Candelaria Inputs'!AF105</f>
        <v>3235</v>
      </c>
    </row>
    <row r="36" spans="4:32">
      <c r="D36" t="s">
        <v>106</v>
      </c>
      <c r="G36" t="s">
        <v>50</v>
      </c>
      <c r="H36" s="35">
        <f>IF(SUM(I35:AF35)&lt;&gt;0,SUMPRODUCT(I35:AF35,I36:AF36)/SUM(I35:AF35),0)</f>
        <v>2.4780479599792616E-3</v>
      </c>
      <c r="I36" s="36">
        <f>'Candelaria Inputs'!I112</f>
        <v>2.8E-3</v>
      </c>
      <c r="J36" s="36">
        <f>'Candelaria Inputs'!J112</f>
        <v>2.3E-3</v>
      </c>
      <c r="K36" s="36">
        <f>'Candelaria Inputs'!K112</f>
        <v>2.3999999999999998E-3</v>
      </c>
      <c r="L36" s="36">
        <f>'Candelaria Inputs'!L112</f>
        <v>2.5999999999999999E-3</v>
      </c>
      <c r="M36" s="36">
        <f>'Candelaria Inputs'!M112</f>
        <v>2.3999999999999998E-3</v>
      </c>
      <c r="N36" s="36">
        <f>'Candelaria Inputs'!N112</f>
        <v>2.5000000000000001E-3</v>
      </c>
      <c r="O36" s="36">
        <f>'Candelaria Inputs'!O112</f>
        <v>3.0999999999999999E-3</v>
      </c>
      <c r="P36" s="36">
        <f>'Candelaria Inputs'!P112</f>
        <v>2.7000000000000001E-3</v>
      </c>
      <c r="Q36" s="36">
        <f>'Candelaria Inputs'!Q112</f>
        <v>2.8999999999999998E-3</v>
      </c>
      <c r="R36" s="36">
        <f>'Candelaria Inputs'!R112</f>
        <v>2.8999999999999998E-3</v>
      </c>
      <c r="S36" s="36">
        <f>'Candelaria Inputs'!S112</f>
        <v>2.8E-3</v>
      </c>
      <c r="T36" s="36">
        <f>'Candelaria Inputs'!T112</f>
        <v>2.8E-3</v>
      </c>
      <c r="U36" s="36">
        <f>'Candelaria Inputs'!U112</f>
        <v>2.8E-3</v>
      </c>
      <c r="V36" s="36">
        <f>'Candelaria Inputs'!V112</f>
        <v>2.8E-3</v>
      </c>
      <c r="W36" s="36">
        <f>'Candelaria Inputs'!W112</f>
        <v>2.7000000000000001E-3</v>
      </c>
      <c r="X36" s="36">
        <f>'Candelaria Inputs'!X112</f>
        <v>2.7000000000000001E-3</v>
      </c>
      <c r="Y36" s="36">
        <f>'Candelaria Inputs'!Y112</f>
        <v>2.7000000000000001E-3</v>
      </c>
      <c r="Z36" s="36">
        <f>'Candelaria Inputs'!Z112</f>
        <v>2.7000000000000001E-3</v>
      </c>
      <c r="AA36" s="36">
        <f>'Candelaria Inputs'!AA112</f>
        <v>2.7000000000000001E-3</v>
      </c>
      <c r="AB36" s="36">
        <f>'Candelaria Inputs'!AB112</f>
        <v>2.7000000000000001E-3</v>
      </c>
      <c r="AC36" s="36">
        <f>'Candelaria Inputs'!AC112</f>
        <v>2E-3</v>
      </c>
      <c r="AD36" s="36">
        <f>'Candelaria Inputs'!AD112</f>
        <v>1.6999999999999999E-3</v>
      </c>
      <c r="AE36" s="36">
        <f>'Candelaria Inputs'!AE112</f>
        <v>1.6999999999999999E-3</v>
      </c>
      <c r="AF36" s="36">
        <f>'Candelaria Inputs'!AF112</f>
        <v>1.6999999999999999E-3</v>
      </c>
    </row>
    <row r="37" spans="4:32">
      <c r="D37" t="s">
        <v>107</v>
      </c>
      <c r="G37" t="s">
        <v>108</v>
      </c>
      <c r="H37" s="37">
        <f>IF(SUM(I35:AF35)&lt;&gt;0,SUMPRODUCT(I35:AF35,I37:AF37)/SUM(I35:AF35),0)</f>
        <v>7.1079119322117079E-2</v>
      </c>
      <c r="I37" s="38">
        <f>'Candelaria Inputs'!I119</f>
        <v>0.08</v>
      </c>
      <c r="J37" s="38">
        <f>'Candelaria Inputs'!J119</f>
        <v>7.0000000000000007E-2</v>
      </c>
      <c r="K37" s="38">
        <f>'Candelaria Inputs'!K119</f>
        <v>7.0000000000000007E-2</v>
      </c>
      <c r="L37" s="38">
        <f>'Candelaria Inputs'!L119</f>
        <v>7.0000000000000007E-2</v>
      </c>
      <c r="M37" s="38">
        <f>'Candelaria Inputs'!M119</f>
        <v>7.0000000000000007E-2</v>
      </c>
      <c r="N37" s="38">
        <f>'Candelaria Inputs'!N119</f>
        <v>7.0000000000000007E-2</v>
      </c>
      <c r="O37" s="38">
        <f>'Candelaria Inputs'!O119</f>
        <v>0.08</v>
      </c>
      <c r="P37" s="38">
        <f>'Candelaria Inputs'!P119</f>
        <v>0.08</v>
      </c>
      <c r="Q37" s="38">
        <f>'Candelaria Inputs'!Q119</f>
        <v>0.08</v>
      </c>
      <c r="R37" s="38">
        <f>'Candelaria Inputs'!R119</f>
        <v>0.08</v>
      </c>
      <c r="S37" s="38">
        <f>'Candelaria Inputs'!S119</f>
        <v>0.08</v>
      </c>
      <c r="T37" s="38">
        <f>'Candelaria Inputs'!T119</f>
        <v>0.08</v>
      </c>
      <c r="U37" s="38">
        <f>'Candelaria Inputs'!U119</f>
        <v>0.08</v>
      </c>
      <c r="V37" s="38">
        <f>'Candelaria Inputs'!V119</f>
        <v>0.08</v>
      </c>
      <c r="W37" s="38">
        <f>'Candelaria Inputs'!W119</f>
        <v>0.08</v>
      </c>
      <c r="X37" s="38">
        <f>'Candelaria Inputs'!X119</f>
        <v>0.08</v>
      </c>
      <c r="Y37" s="38">
        <f>'Candelaria Inputs'!Y119</f>
        <v>0.08</v>
      </c>
      <c r="Z37" s="38">
        <f>'Candelaria Inputs'!Z119</f>
        <v>0.08</v>
      </c>
      <c r="AA37" s="38">
        <f>'Candelaria Inputs'!AA119</f>
        <v>7.0000000000000007E-2</v>
      </c>
      <c r="AB37" s="38">
        <f>'Candelaria Inputs'!AB119</f>
        <v>0.08</v>
      </c>
      <c r="AC37" s="38">
        <f>'Candelaria Inputs'!AC119</f>
        <v>0.06</v>
      </c>
      <c r="AD37" s="38">
        <f>'Candelaria Inputs'!AD119</f>
        <v>0.05</v>
      </c>
      <c r="AE37" s="38">
        <f>'Candelaria Inputs'!AE119</f>
        <v>0.05</v>
      </c>
      <c r="AF37" s="38">
        <f>'Candelaria Inputs'!AF119</f>
        <v>0.05</v>
      </c>
    </row>
    <row r="38" spans="4:32">
      <c r="D38" t="s">
        <v>109</v>
      </c>
      <c r="G38" t="s">
        <v>108</v>
      </c>
      <c r="H38" s="37">
        <f>IF(SUM(I35:AF35)&lt;&gt;0,SUMPRODUCT(I35:AF35,I38:AF38)/SUM(I35:AF35),0)</f>
        <v>1.068555580621287</v>
      </c>
      <c r="I38" s="38">
        <f>'Candelaria Inputs'!I126</f>
        <v>1.2</v>
      </c>
      <c r="J38" s="38">
        <f>'Candelaria Inputs'!J126</f>
        <v>1.06</v>
      </c>
      <c r="K38" s="38">
        <f>'Candelaria Inputs'!K126</f>
        <v>1.06</v>
      </c>
      <c r="L38" s="38">
        <f>'Candelaria Inputs'!L126</f>
        <v>0.94</v>
      </c>
      <c r="M38" s="38">
        <f>'Candelaria Inputs'!M126</f>
        <v>1.1000000000000001</v>
      </c>
      <c r="N38" s="38">
        <f>'Candelaria Inputs'!N126</f>
        <v>1.1399999999999999</v>
      </c>
      <c r="O38" s="38">
        <f>'Candelaria Inputs'!O126</f>
        <v>0.71</v>
      </c>
      <c r="P38" s="38">
        <f>'Candelaria Inputs'!P126</f>
        <v>1.19</v>
      </c>
      <c r="Q38" s="38">
        <f>'Candelaria Inputs'!Q126</f>
        <v>1.24</v>
      </c>
      <c r="R38" s="38">
        <f>'Candelaria Inputs'!R126</f>
        <v>1.23</v>
      </c>
      <c r="S38" s="38">
        <f>'Candelaria Inputs'!S126</f>
        <v>1.22</v>
      </c>
      <c r="T38" s="38">
        <f>'Candelaria Inputs'!T126</f>
        <v>1.21</v>
      </c>
      <c r="U38" s="38">
        <f>'Candelaria Inputs'!U126</f>
        <v>1.21</v>
      </c>
      <c r="V38" s="38">
        <f>'Candelaria Inputs'!V126</f>
        <v>1.2</v>
      </c>
      <c r="W38" s="38">
        <f>'Candelaria Inputs'!W126</f>
        <v>1.2</v>
      </c>
      <c r="X38" s="38">
        <f>'Candelaria Inputs'!X126</f>
        <v>1.2</v>
      </c>
      <c r="Y38" s="38">
        <f>'Candelaria Inputs'!Y126</f>
        <v>1.19</v>
      </c>
      <c r="Z38" s="38">
        <f>'Candelaria Inputs'!Z126</f>
        <v>1.19</v>
      </c>
      <c r="AA38" s="38">
        <f>'Candelaria Inputs'!AA126</f>
        <v>0.65</v>
      </c>
      <c r="AB38" s="38">
        <f>'Candelaria Inputs'!AB126</f>
        <v>1.19</v>
      </c>
      <c r="AC38" s="38">
        <f>'Candelaria Inputs'!AC126</f>
        <v>1.01</v>
      </c>
      <c r="AD38" s="38">
        <f>'Candelaria Inputs'!AD126</f>
        <v>0.93</v>
      </c>
      <c r="AE38" s="38">
        <f>'Candelaria Inputs'!AE126</f>
        <v>0.93</v>
      </c>
      <c r="AF38" s="38">
        <f>'Candelaria Inputs'!AF126</f>
        <v>0.93</v>
      </c>
    </row>
    <row r="39" spans="4:32" ht="6" customHeight="1">
      <c r="D39" s="2"/>
      <c r="H39" s="29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4:32">
      <c r="D40" s="28" t="s">
        <v>113</v>
      </c>
      <c r="H40" s="29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4:32">
      <c r="D41" t="s">
        <v>105</v>
      </c>
      <c r="G41" t="s">
        <v>8</v>
      </c>
      <c r="H41" s="33">
        <f>SUM(I41:AF41)</f>
        <v>131507</v>
      </c>
      <c r="I41" s="34">
        <f>'Candelaria Inputs'!I134</f>
        <v>5462</v>
      </c>
      <c r="J41" s="34">
        <f>'Candelaria Inputs'!J134</f>
        <v>5490</v>
      </c>
      <c r="K41" s="34">
        <f>'Candelaria Inputs'!K134</f>
        <v>5475</v>
      </c>
      <c r="L41" s="34">
        <f>'Candelaria Inputs'!L134</f>
        <v>5475</v>
      </c>
      <c r="M41" s="34">
        <f>'Candelaria Inputs'!M134</f>
        <v>5505</v>
      </c>
      <c r="N41" s="34">
        <f>'Candelaria Inputs'!N134</f>
        <v>5490</v>
      </c>
      <c r="O41" s="34">
        <f>'Candelaria Inputs'!O134</f>
        <v>5475</v>
      </c>
      <c r="P41" s="34">
        <f>'Candelaria Inputs'!P134</f>
        <v>5475</v>
      </c>
      <c r="Q41" s="34">
        <f>'Candelaria Inputs'!Q134</f>
        <v>5475</v>
      </c>
      <c r="R41" s="34">
        <f>'Candelaria Inputs'!R134</f>
        <v>5490</v>
      </c>
      <c r="S41" s="34">
        <f>'Candelaria Inputs'!S134</f>
        <v>5475</v>
      </c>
      <c r="T41" s="34">
        <f>'Candelaria Inputs'!T134</f>
        <v>5475</v>
      </c>
      <c r="U41" s="34">
        <f>'Candelaria Inputs'!U134</f>
        <v>5475</v>
      </c>
      <c r="V41" s="34">
        <f>'Candelaria Inputs'!V134</f>
        <v>5490</v>
      </c>
      <c r="W41" s="34">
        <f>'Candelaria Inputs'!W134</f>
        <v>5475</v>
      </c>
      <c r="X41" s="34">
        <f>'Candelaria Inputs'!X134</f>
        <v>5475</v>
      </c>
      <c r="Y41" s="34">
        <f>'Candelaria Inputs'!Y134</f>
        <v>5475</v>
      </c>
      <c r="Z41" s="34">
        <f>'Candelaria Inputs'!Z134</f>
        <v>5490</v>
      </c>
      <c r="AA41" s="34">
        <f>'Candelaria Inputs'!AA134</f>
        <v>5475</v>
      </c>
      <c r="AB41" s="34">
        <f>'Candelaria Inputs'!AB134</f>
        <v>5475</v>
      </c>
      <c r="AC41" s="34">
        <f>'Candelaria Inputs'!AC134</f>
        <v>5475</v>
      </c>
      <c r="AD41" s="34">
        <f>'Candelaria Inputs'!AD134</f>
        <v>5490</v>
      </c>
      <c r="AE41" s="34">
        <f>'Candelaria Inputs'!AE134</f>
        <v>5475</v>
      </c>
      <c r="AF41" s="34">
        <f>'Candelaria Inputs'!AF134</f>
        <v>5475</v>
      </c>
    </row>
    <row r="42" spans="4:32">
      <c r="D42" t="s">
        <v>106</v>
      </c>
      <c r="G42" t="s">
        <v>50</v>
      </c>
      <c r="H42" s="35">
        <f>IF(SUM(I41:AF41)&lt;&gt;0,SUMPRODUCT(I41:AF41,I42:AF42)/SUM(I41:AF41),0)</f>
        <v>7.8751921950922753E-3</v>
      </c>
      <c r="I42" s="36">
        <f>'Candelaria Inputs'!I141</f>
        <v>8.6999999999999994E-3</v>
      </c>
      <c r="J42" s="36">
        <f>'Candelaria Inputs'!J141</f>
        <v>9.1000000000000004E-3</v>
      </c>
      <c r="K42" s="36">
        <f>'Candelaria Inputs'!K141</f>
        <v>9.2999999999999992E-3</v>
      </c>
      <c r="L42" s="36">
        <f>'Candelaria Inputs'!L141</f>
        <v>8.0999999999999996E-3</v>
      </c>
      <c r="M42" s="36">
        <f>'Candelaria Inputs'!M141</f>
        <v>8.2000000000000007E-3</v>
      </c>
      <c r="N42" s="36">
        <f>'Candelaria Inputs'!N141</f>
        <v>8.0999999999999996E-3</v>
      </c>
      <c r="O42" s="36">
        <f>'Candelaria Inputs'!O141</f>
        <v>9.4999999999999998E-3</v>
      </c>
      <c r="P42" s="36">
        <f>'Candelaria Inputs'!P141</f>
        <v>8.6E-3</v>
      </c>
      <c r="Q42" s="36">
        <f>'Candelaria Inputs'!Q141</f>
        <v>7.9000000000000008E-3</v>
      </c>
      <c r="R42" s="36">
        <f>'Candelaria Inputs'!R141</f>
        <v>7.7999999999999996E-3</v>
      </c>
      <c r="S42" s="36">
        <f>'Candelaria Inputs'!S141</f>
        <v>7.4999999999999997E-3</v>
      </c>
      <c r="T42" s="36">
        <f>'Candelaria Inputs'!T141</f>
        <v>6.7999999999999996E-3</v>
      </c>
      <c r="U42" s="36">
        <f>'Candelaria Inputs'!U141</f>
        <v>7.4000000000000003E-3</v>
      </c>
      <c r="V42" s="36">
        <f>'Candelaria Inputs'!V141</f>
        <v>8.5000000000000006E-3</v>
      </c>
      <c r="W42" s="36">
        <f>'Candelaria Inputs'!W141</f>
        <v>7.4000000000000003E-3</v>
      </c>
      <c r="X42" s="36">
        <f>'Candelaria Inputs'!X141</f>
        <v>9.1999999999999998E-3</v>
      </c>
      <c r="Y42" s="36">
        <f>'Candelaria Inputs'!Y141</f>
        <v>8.6E-3</v>
      </c>
      <c r="Z42" s="36">
        <f>'Candelaria Inputs'!Z141</f>
        <v>9.1000000000000004E-3</v>
      </c>
      <c r="AA42" s="36">
        <f>'Candelaria Inputs'!AA141</f>
        <v>6.1999999999999998E-3</v>
      </c>
      <c r="AB42" s="36">
        <f>'Candelaria Inputs'!AB141</f>
        <v>6.7000000000000002E-3</v>
      </c>
      <c r="AC42" s="36">
        <f>'Candelaria Inputs'!AC141</f>
        <v>7.1000000000000004E-3</v>
      </c>
      <c r="AD42" s="36">
        <f>'Candelaria Inputs'!AD141</f>
        <v>6.4000000000000003E-3</v>
      </c>
      <c r="AE42" s="36">
        <f>'Candelaria Inputs'!AE141</f>
        <v>6.4999999999999997E-3</v>
      </c>
      <c r="AF42" s="36">
        <f>'Candelaria Inputs'!AF141</f>
        <v>6.3E-3</v>
      </c>
    </row>
    <row r="43" spans="4:32">
      <c r="D43" t="s">
        <v>107</v>
      </c>
      <c r="G43" t="s">
        <v>108</v>
      </c>
      <c r="H43" s="37">
        <f>IF(SUM(I41:AF41)&lt;&gt;0,SUMPRODUCT(I41:AF41,I43:AF43)/SUM(I41:AF41),0)</f>
        <v>0.17959538275529061</v>
      </c>
      <c r="I43" s="38">
        <f>'Candelaria Inputs'!I148</f>
        <v>0.2</v>
      </c>
      <c r="J43" s="38">
        <f>'Candelaria Inputs'!J148</f>
        <v>0.2</v>
      </c>
      <c r="K43" s="38">
        <f>'Candelaria Inputs'!K148</f>
        <v>0.2</v>
      </c>
      <c r="L43" s="38">
        <f>'Candelaria Inputs'!L148</f>
        <v>0.19</v>
      </c>
      <c r="M43" s="38">
        <f>'Candelaria Inputs'!M148</f>
        <v>0.22</v>
      </c>
      <c r="N43" s="38">
        <f>'Candelaria Inputs'!N148</f>
        <v>0.19</v>
      </c>
      <c r="O43" s="38">
        <f>'Candelaria Inputs'!O148</f>
        <v>0.2</v>
      </c>
      <c r="P43" s="38">
        <f>'Candelaria Inputs'!P148</f>
        <v>0.19</v>
      </c>
      <c r="Q43" s="38">
        <f>'Candelaria Inputs'!Q148</f>
        <v>0.19</v>
      </c>
      <c r="R43" s="38">
        <f>'Candelaria Inputs'!R148</f>
        <v>0.19</v>
      </c>
      <c r="S43" s="38">
        <f>'Candelaria Inputs'!S148</f>
        <v>0.17</v>
      </c>
      <c r="T43" s="38">
        <f>'Candelaria Inputs'!T148</f>
        <v>0.16</v>
      </c>
      <c r="U43" s="38">
        <f>'Candelaria Inputs'!U148</f>
        <v>0.17</v>
      </c>
      <c r="V43" s="38">
        <f>'Candelaria Inputs'!V148</f>
        <v>0.18</v>
      </c>
      <c r="W43" s="38">
        <f>'Candelaria Inputs'!W148</f>
        <v>0.16</v>
      </c>
      <c r="X43" s="38">
        <f>'Candelaria Inputs'!X148</f>
        <v>0.19</v>
      </c>
      <c r="Y43" s="38">
        <f>'Candelaria Inputs'!Y148</f>
        <v>0.18</v>
      </c>
      <c r="Z43" s="38">
        <f>'Candelaria Inputs'!Z148</f>
        <v>0.21</v>
      </c>
      <c r="AA43" s="38">
        <f>'Candelaria Inputs'!AA148</f>
        <v>0.15</v>
      </c>
      <c r="AB43" s="38">
        <f>'Candelaria Inputs'!AB148</f>
        <v>0.16</v>
      </c>
      <c r="AC43" s="38">
        <f>'Candelaria Inputs'!AC148</f>
        <v>0.16</v>
      </c>
      <c r="AD43" s="38">
        <f>'Candelaria Inputs'!AD148</f>
        <v>0.15</v>
      </c>
      <c r="AE43" s="38">
        <f>'Candelaria Inputs'!AE148</f>
        <v>0.15</v>
      </c>
      <c r="AF43" s="38">
        <f>'Candelaria Inputs'!AF148</f>
        <v>0.15</v>
      </c>
    </row>
    <row r="44" spans="4:32">
      <c r="D44" t="s">
        <v>109</v>
      </c>
      <c r="G44" t="s">
        <v>108</v>
      </c>
      <c r="H44" s="37">
        <f>IF(SUM(I41:AF41)&lt;&gt;0,SUMPRODUCT(I41:AF41,I44:AF44)/SUM(I41:AF41),0)</f>
        <v>3.2032639327184107</v>
      </c>
      <c r="I44" s="38">
        <f>'Candelaria Inputs'!I155</f>
        <v>3.69</v>
      </c>
      <c r="J44" s="38">
        <f>'Candelaria Inputs'!J155</f>
        <v>3.34</v>
      </c>
      <c r="K44" s="38">
        <f>'Candelaria Inputs'!K155</f>
        <v>2.78</v>
      </c>
      <c r="L44" s="38">
        <f>'Candelaria Inputs'!L155</f>
        <v>3</v>
      </c>
      <c r="M44" s="38">
        <f>'Candelaria Inputs'!M155</f>
        <v>2.66</v>
      </c>
      <c r="N44" s="38">
        <f>'Candelaria Inputs'!N155</f>
        <v>2.86</v>
      </c>
      <c r="O44" s="38">
        <f>'Candelaria Inputs'!O155</f>
        <v>4.37</v>
      </c>
      <c r="P44" s="38">
        <f>'Candelaria Inputs'!P155</f>
        <v>3.68</v>
      </c>
      <c r="Q44" s="38">
        <f>'Candelaria Inputs'!Q155</f>
        <v>3.39</v>
      </c>
      <c r="R44" s="38">
        <f>'Candelaria Inputs'!R155</f>
        <v>3.46</v>
      </c>
      <c r="S44" s="38">
        <f>'Candelaria Inputs'!S155</f>
        <v>2.79</v>
      </c>
      <c r="T44" s="38">
        <f>'Candelaria Inputs'!T155</f>
        <v>2.14</v>
      </c>
      <c r="U44" s="38">
        <f>'Candelaria Inputs'!U155</f>
        <v>2.96</v>
      </c>
      <c r="V44" s="38">
        <f>'Candelaria Inputs'!V155</f>
        <v>4.28</v>
      </c>
      <c r="W44" s="38">
        <f>'Candelaria Inputs'!W155</f>
        <v>3.53</v>
      </c>
      <c r="X44" s="38">
        <f>'Candelaria Inputs'!X155</f>
        <v>3.08</v>
      </c>
      <c r="Y44" s="38">
        <f>'Candelaria Inputs'!Y155</f>
        <v>3</v>
      </c>
      <c r="Z44" s="38">
        <f>'Candelaria Inputs'!Z155</f>
        <v>3.13</v>
      </c>
      <c r="AA44" s="38">
        <f>'Candelaria Inputs'!AA155</f>
        <v>2.92</v>
      </c>
      <c r="AB44" s="38">
        <f>'Candelaria Inputs'!AB155</f>
        <v>3.18</v>
      </c>
      <c r="AC44" s="38">
        <f>'Candelaria Inputs'!AC155</f>
        <v>3.64</v>
      </c>
      <c r="AD44" s="38">
        <f>'Candelaria Inputs'!AD155</f>
        <v>3.05</v>
      </c>
      <c r="AE44" s="38">
        <f>'Candelaria Inputs'!AE155</f>
        <v>3.23</v>
      </c>
      <c r="AF44" s="38">
        <f>'Candelaria Inputs'!AF155</f>
        <v>2.72</v>
      </c>
    </row>
    <row r="45" spans="4:32" ht="6" customHeight="1">
      <c r="D45" s="2"/>
      <c r="H45" s="29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4:32">
      <c r="D46" s="28" t="s">
        <v>114</v>
      </c>
      <c r="H46" s="29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4:32">
      <c r="D47" t="s">
        <v>105</v>
      </c>
      <c r="G47" t="s">
        <v>8</v>
      </c>
      <c r="H47" s="33">
        <f>SUM(I47:AF47)</f>
        <v>1534</v>
      </c>
      <c r="I47" s="34">
        <f>'Candelaria Inputs'!I163</f>
        <v>511</v>
      </c>
      <c r="J47" s="34">
        <f>'Candelaria Inputs'!J163</f>
        <v>512</v>
      </c>
      <c r="K47" s="34">
        <f>'Candelaria Inputs'!K163</f>
        <v>511</v>
      </c>
      <c r="L47" s="34">
        <f>'Candelaria Inputs'!L163</f>
        <v>0</v>
      </c>
      <c r="M47" s="34">
        <f>'Candelaria Inputs'!M163</f>
        <v>0</v>
      </c>
      <c r="N47" s="34">
        <f>'Candelaria Inputs'!N163</f>
        <v>0</v>
      </c>
      <c r="O47" s="34">
        <f>'Candelaria Inputs'!O163</f>
        <v>0</v>
      </c>
      <c r="P47" s="34">
        <f>'Candelaria Inputs'!P163</f>
        <v>0</v>
      </c>
      <c r="Q47" s="34">
        <f>'Candelaria Inputs'!Q163</f>
        <v>0</v>
      </c>
      <c r="R47" s="34">
        <f>'Candelaria Inputs'!R163</f>
        <v>0</v>
      </c>
      <c r="S47" s="34">
        <f>'Candelaria Inputs'!S163</f>
        <v>0</v>
      </c>
      <c r="T47" s="34">
        <f>'Candelaria Inputs'!T163</f>
        <v>0</v>
      </c>
      <c r="U47" s="34">
        <f>'Candelaria Inputs'!U163</f>
        <v>0</v>
      </c>
      <c r="V47" s="34">
        <f>'Candelaria Inputs'!V163</f>
        <v>0</v>
      </c>
      <c r="W47" s="34">
        <f>'Candelaria Inputs'!W163</f>
        <v>0</v>
      </c>
      <c r="X47" s="34">
        <f>'Candelaria Inputs'!X163</f>
        <v>0</v>
      </c>
      <c r="Y47" s="34">
        <f>'Candelaria Inputs'!Y163</f>
        <v>0</v>
      </c>
      <c r="Z47" s="34">
        <f>'Candelaria Inputs'!Z163</f>
        <v>0</v>
      </c>
      <c r="AA47" s="34">
        <f>'Candelaria Inputs'!AA163</f>
        <v>0</v>
      </c>
      <c r="AB47" s="34">
        <f>'Candelaria Inputs'!AB163</f>
        <v>0</v>
      </c>
      <c r="AC47" s="34">
        <f>'Candelaria Inputs'!AC163</f>
        <v>0</v>
      </c>
      <c r="AD47" s="34">
        <f>'Candelaria Inputs'!AD163</f>
        <v>0</v>
      </c>
      <c r="AE47" s="34">
        <f>'Candelaria Inputs'!AE163</f>
        <v>0</v>
      </c>
      <c r="AF47" s="34">
        <f>'Candelaria Inputs'!AF163</f>
        <v>0</v>
      </c>
    </row>
    <row r="48" spans="4:32">
      <c r="D48" t="s">
        <v>106</v>
      </c>
      <c r="G48" t="s">
        <v>50</v>
      </c>
      <c r="H48" s="35">
        <f>IF(SUM(I47:AF47)&lt;&gt;0,SUMPRODUCT(I47:AF47,I48:AF48)/SUM(I47:AF47),0)</f>
        <v>8.5331812255541074E-3</v>
      </c>
      <c r="I48" s="36">
        <f>'Candelaria Inputs'!I170</f>
        <v>8.5000000000000006E-3</v>
      </c>
      <c r="J48" s="36">
        <f>'Candelaria Inputs'!J170</f>
        <v>8.3000000000000001E-3</v>
      </c>
      <c r="K48" s="36">
        <f>'Candelaria Inputs'!K170</f>
        <v>8.8000000000000005E-3</v>
      </c>
      <c r="L48" s="36">
        <f>'Candelaria Inputs'!L170</f>
        <v>0</v>
      </c>
      <c r="M48" s="36">
        <f>'Candelaria Inputs'!M170</f>
        <v>0</v>
      </c>
      <c r="N48" s="36">
        <f>'Candelaria Inputs'!N170</f>
        <v>0</v>
      </c>
      <c r="O48" s="36">
        <f>'Candelaria Inputs'!O170</f>
        <v>0</v>
      </c>
      <c r="P48" s="36">
        <f>'Candelaria Inputs'!P170</f>
        <v>0</v>
      </c>
      <c r="Q48" s="36">
        <f>'Candelaria Inputs'!Q170</f>
        <v>0</v>
      </c>
      <c r="R48" s="36">
        <f>'Candelaria Inputs'!R170</f>
        <v>0</v>
      </c>
      <c r="S48" s="36">
        <f>'Candelaria Inputs'!S170</f>
        <v>0</v>
      </c>
      <c r="T48" s="36">
        <f>'Candelaria Inputs'!T170</f>
        <v>0</v>
      </c>
      <c r="U48" s="36">
        <f>'Candelaria Inputs'!U170</f>
        <v>0</v>
      </c>
      <c r="V48" s="36">
        <f>'Candelaria Inputs'!V170</f>
        <v>0</v>
      </c>
      <c r="W48" s="36">
        <f>'Candelaria Inputs'!W170</f>
        <v>0</v>
      </c>
      <c r="X48" s="36">
        <f>'Candelaria Inputs'!X170</f>
        <v>0</v>
      </c>
      <c r="Y48" s="36">
        <f>'Candelaria Inputs'!Y170</f>
        <v>0</v>
      </c>
      <c r="Z48" s="36">
        <f>'Candelaria Inputs'!Z170</f>
        <v>0</v>
      </c>
      <c r="AA48" s="36">
        <f>'Candelaria Inputs'!AA170</f>
        <v>0</v>
      </c>
      <c r="AB48" s="36">
        <f>'Candelaria Inputs'!AB170</f>
        <v>0</v>
      </c>
      <c r="AC48" s="36">
        <f>'Candelaria Inputs'!AC170</f>
        <v>0</v>
      </c>
      <c r="AD48" s="36">
        <f>'Candelaria Inputs'!AD170</f>
        <v>0</v>
      </c>
      <c r="AE48" s="36">
        <f>'Candelaria Inputs'!AE170</f>
        <v>0</v>
      </c>
      <c r="AF48" s="36">
        <f>'Candelaria Inputs'!AF170</f>
        <v>0</v>
      </c>
    </row>
    <row r="49" spans="4:32">
      <c r="D49" t="s">
        <v>107</v>
      </c>
      <c r="G49" t="s">
        <v>108</v>
      </c>
      <c r="H49" s="37">
        <f>IF(SUM(I47:AF47)&lt;&gt;0,SUMPRODUCT(I47:AF47,I49:AF49)/SUM(I47:AF47),0)</f>
        <v>0.18999999999999997</v>
      </c>
      <c r="I49" s="38">
        <f>'Candelaria Inputs'!I177</f>
        <v>0.18</v>
      </c>
      <c r="J49" s="38">
        <f>'Candelaria Inputs'!J177</f>
        <v>0.19</v>
      </c>
      <c r="K49" s="38">
        <f>'Candelaria Inputs'!K177</f>
        <v>0.2</v>
      </c>
      <c r="L49" s="38">
        <f>'Candelaria Inputs'!L177</f>
        <v>0</v>
      </c>
      <c r="M49" s="38">
        <f>'Candelaria Inputs'!M177</f>
        <v>0</v>
      </c>
      <c r="N49" s="38">
        <f>'Candelaria Inputs'!N177</f>
        <v>0</v>
      </c>
      <c r="O49" s="38">
        <f>'Candelaria Inputs'!O177</f>
        <v>0</v>
      </c>
      <c r="P49" s="38">
        <f>'Candelaria Inputs'!P177</f>
        <v>0</v>
      </c>
      <c r="Q49" s="38">
        <f>'Candelaria Inputs'!Q177</f>
        <v>0</v>
      </c>
      <c r="R49" s="38">
        <f>'Candelaria Inputs'!R177</f>
        <v>0</v>
      </c>
      <c r="S49" s="38">
        <f>'Candelaria Inputs'!S177</f>
        <v>0</v>
      </c>
      <c r="T49" s="38">
        <f>'Candelaria Inputs'!T177</f>
        <v>0</v>
      </c>
      <c r="U49" s="38">
        <f>'Candelaria Inputs'!U177</f>
        <v>0</v>
      </c>
      <c r="V49" s="38">
        <f>'Candelaria Inputs'!V177</f>
        <v>0</v>
      </c>
      <c r="W49" s="38">
        <f>'Candelaria Inputs'!W177</f>
        <v>0</v>
      </c>
      <c r="X49" s="38">
        <f>'Candelaria Inputs'!X177</f>
        <v>0</v>
      </c>
      <c r="Y49" s="38">
        <f>'Candelaria Inputs'!Y177</f>
        <v>0</v>
      </c>
      <c r="Z49" s="38">
        <f>'Candelaria Inputs'!Z177</f>
        <v>0</v>
      </c>
      <c r="AA49" s="38">
        <f>'Candelaria Inputs'!AA177</f>
        <v>0</v>
      </c>
      <c r="AB49" s="38">
        <f>'Candelaria Inputs'!AB177</f>
        <v>0</v>
      </c>
      <c r="AC49" s="38">
        <f>'Candelaria Inputs'!AC177</f>
        <v>0</v>
      </c>
      <c r="AD49" s="38">
        <f>'Candelaria Inputs'!AD177</f>
        <v>0</v>
      </c>
      <c r="AE49" s="38">
        <f>'Candelaria Inputs'!AE177</f>
        <v>0</v>
      </c>
      <c r="AF49" s="38">
        <f>'Candelaria Inputs'!AF177</f>
        <v>0</v>
      </c>
    </row>
    <row r="50" spans="4:32">
      <c r="D50" t="s">
        <v>109</v>
      </c>
      <c r="G50" t="s">
        <v>108</v>
      </c>
      <c r="H50" s="37">
        <f>IF(SUM(I47:AF47)&lt;&gt;0,SUMPRODUCT(I47:AF47,I50:AF50)/SUM(I47:AF47),0)</f>
        <v>1.9400586701434159</v>
      </c>
      <c r="I50" s="38">
        <f>'Candelaria Inputs'!I184</f>
        <v>1.74</v>
      </c>
      <c r="J50" s="38">
        <f>'Candelaria Inputs'!J184</f>
        <v>2.0299999999999998</v>
      </c>
      <c r="K50" s="38">
        <f>'Candelaria Inputs'!K184</f>
        <v>2.0499999999999998</v>
      </c>
      <c r="L50" s="38">
        <f>'Candelaria Inputs'!L184</f>
        <v>0</v>
      </c>
      <c r="M50" s="38">
        <f>'Candelaria Inputs'!M184</f>
        <v>0</v>
      </c>
      <c r="N50" s="38">
        <f>'Candelaria Inputs'!N184</f>
        <v>0</v>
      </c>
      <c r="O50" s="38">
        <f>'Candelaria Inputs'!O184</f>
        <v>0</v>
      </c>
      <c r="P50" s="38">
        <f>'Candelaria Inputs'!P184</f>
        <v>0</v>
      </c>
      <c r="Q50" s="38">
        <f>'Candelaria Inputs'!Q184</f>
        <v>0</v>
      </c>
      <c r="R50" s="38">
        <f>'Candelaria Inputs'!R184</f>
        <v>0</v>
      </c>
      <c r="S50" s="38">
        <f>'Candelaria Inputs'!S184</f>
        <v>0</v>
      </c>
      <c r="T50" s="38">
        <f>'Candelaria Inputs'!T184</f>
        <v>0</v>
      </c>
      <c r="U50" s="38">
        <f>'Candelaria Inputs'!U184</f>
        <v>0</v>
      </c>
      <c r="V50" s="38">
        <f>'Candelaria Inputs'!V184</f>
        <v>0</v>
      </c>
      <c r="W50" s="38">
        <f>'Candelaria Inputs'!W184</f>
        <v>0</v>
      </c>
      <c r="X50" s="38">
        <f>'Candelaria Inputs'!X184</f>
        <v>0</v>
      </c>
      <c r="Y50" s="38">
        <f>'Candelaria Inputs'!Y184</f>
        <v>0</v>
      </c>
      <c r="Z50" s="38">
        <f>'Candelaria Inputs'!Z184</f>
        <v>0</v>
      </c>
      <c r="AA50" s="38">
        <f>'Candelaria Inputs'!AA184</f>
        <v>0</v>
      </c>
      <c r="AB50" s="38">
        <f>'Candelaria Inputs'!AB184</f>
        <v>0</v>
      </c>
      <c r="AC50" s="38">
        <f>'Candelaria Inputs'!AC184</f>
        <v>0</v>
      </c>
      <c r="AD50" s="38">
        <f>'Candelaria Inputs'!AD184</f>
        <v>0</v>
      </c>
      <c r="AE50" s="38">
        <f>'Candelaria Inputs'!AE184</f>
        <v>0</v>
      </c>
      <c r="AF50" s="38">
        <f>'Candelaria Inputs'!AF184</f>
        <v>0</v>
      </c>
    </row>
    <row r="51" spans="4:32" ht="6" customHeight="1">
      <c r="D51" s="2"/>
      <c r="H51" s="29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spans="4:32">
      <c r="D52" s="28" t="s">
        <v>31</v>
      </c>
      <c r="H52" s="29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spans="4:32">
      <c r="D53" t="s">
        <v>105</v>
      </c>
      <c r="G53" t="s">
        <v>8</v>
      </c>
      <c r="H53" s="33">
        <f>SUM(I53:AF53)</f>
        <v>0</v>
      </c>
      <c r="I53" s="34">
        <f>'Candelaria Inputs'!I192</f>
        <v>0</v>
      </c>
      <c r="J53" s="34">
        <f>'Candelaria Inputs'!J192</f>
        <v>0</v>
      </c>
      <c r="K53" s="34">
        <f>'Candelaria Inputs'!K192</f>
        <v>0</v>
      </c>
      <c r="L53" s="34">
        <f>'Candelaria Inputs'!L192</f>
        <v>0</v>
      </c>
      <c r="M53" s="34">
        <f>'Candelaria Inputs'!M192</f>
        <v>0</v>
      </c>
      <c r="N53" s="34">
        <f>'Candelaria Inputs'!N192</f>
        <v>0</v>
      </c>
      <c r="O53" s="34">
        <f>'Candelaria Inputs'!O192</f>
        <v>0</v>
      </c>
      <c r="P53" s="34">
        <f>'Candelaria Inputs'!P192</f>
        <v>0</v>
      </c>
      <c r="Q53" s="34">
        <f>'Candelaria Inputs'!Q192</f>
        <v>0</v>
      </c>
      <c r="R53" s="34">
        <f>'Candelaria Inputs'!R192</f>
        <v>0</v>
      </c>
      <c r="S53" s="34">
        <f>'Candelaria Inputs'!S192</f>
        <v>0</v>
      </c>
      <c r="T53" s="34">
        <f>'Candelaria Inputs'!T192</f>
        <v>0</v>
      </c>
      <c r="U53" s="34">
        <f>'Candelaria Inputs'!U192</f>
        <v>0</v>
      </c>
      <c r="V53" s="34">
        <f>'Candelaria Inputs'!V192</f>
        <v>0</v>
      </c>
      <c r="W53" s="34">
        <f>'Candelaria Inputs'!W192</f>
        <v>0</v>
      </c>
      <c r="X53" s="34">
        <f>'Candelaria Inputs'!X192</f>
        <v>0</v>
      </c>
      <c r="Y53" s="34">
        <f>'Candelaria Inputs'!Y192</f>
        <v>0</v>
      </c>
      <c r="Z53" s="34">
        <f>'Candelaria Inputs'!Z192</f>
        <v>0</v>
      </c>
      <c r="AA53" s="34">
        <f>'Candelaria Inputs'!AA192</f>
        <v>0</v>
      </c>
      <c r="AB53" s="34">
        <f>'Candelaria Inputs'!AB192</f>
        <v>0</v>
      </c>
      <c r="AC53" s="34">
        <f>'Candelaria Inputs'!AC192</f>
        <v>0</v>
      </c>
      <c r="AD53" s="34">
        <f>'Candelaria Inputs'!AD192</f>
        <v>0</v>
      </c>
      <c r="AE53" s="34">
        <f>'Candelaria Inputs'!AE192</f>
        <v>0</v>
      </c>
      <c r="AF53" s="34">
        <f>'Candelaria Inputs'!AF192</f>
        <v>0</v>
      </c>
    </row>
    <row r="54" spans="4:32">
      <c r="D54" t="s">
        <v>106</v>
      </c>
      <c r="G54" t="s">
        <v>50</v>
      </c>
      <c r="H54" s="35">
        <f>IF(SUM(I53:AF53)&lt;&gt;0,SUMPRODUCT(I53:AF53,I54:AF54)/SUM(I53:AF53),0)</f>
        <v>0</v>
      </c>
      <c r="I54" s="36">
        <f>'Candelaria Inputs'!I199</f>
        <v>0</v>
      </c>
      <c r="J54" s="36">
        <f>'Candelaria Inputs'!J199</f>
        <v>0</v>
      </c>
      <c r="K54" s="36">
        <f>'Candelaria Inputs'!K199</f>
        <v>0</v>
      </c>
      <c r="L54" s="36">
        <f>'Candelaria Inputs'!L199</f>
        <v>0</v>
      </c>
      <c r="M54" s="36">
        <f>'Candelaria Inputs'!M199</f>
        <v>0</v>
      </c>
      <c r="N54" s="36">
        <f>'Candelaria Inputs'!N199</f>
        <v>0</v>
      </c>
      <c r="O54" s="36">
        <f>'Candelaria Inputs'!O199</f>
        <v>0</v>
      </c>
      <c r="P54" s="36">
        <f>'Candelaria Inputs'!P199</f>
        <v>0</v>
      </c>
      <c r="Q54" s="36">
        <f>'Candelaria Inputs'!Q199</f>
        <v>0</v>
      </c>
      <c r="R54" s="36">
        <f>'Candelaria Inputs'!R199</f>
        <v>0</v>
      </c>
      <c r="S54" s="36">
        <f>'Candelaria Inputs'!S199</f>
        <v>0</v>
      </c>
      <c r="T54" s="36">
        <f>'Candelaria Inputs'!T199</f>
        <v>0</v>
      </c>
      <c r="U54" s="36">
        <f>'Candelaria Inputs'!U199</f>
        <v>0</v>
      </c>
      <c r="V54" s="36">
        <f>'Candelaria Inputs'!V199</f>
        <v>0</v>
      </c>
      <c r="W54" s="36">
        <f>'Candelaria Inputs'!W199</f>
        <v>0</v>
      </c>
      <c r="X54" s="36">
        <f>'Candelaria Inputs'!X199</f>
        <v>0</v>
      </c>
      <c r="Y54" s="36">
        <f>'Candelaria Inputs'!Y199</f>
        <v>0</v>
      </c>
      <c r="Z54" s="36">
        <f>'Candelaria Inputs'!Z199</f>
        <v>0</v>
      </c>
      <c r="AA54" s="36">
        <f>'Candelaria Inputs'!AA199</f>
        <v>0</v>
      </c>
      <c r="AB54" s="36">
        <f>'Candelaria Inputs'!AB199</f>
        <v>0</v>
      </c>
      <c r="AC54" s="36">
        <f>'Candelaria Inputs'!AC199</f>
        <v>0</v>
      </c>
      <c r="AD54" s="36">
        <f>'Candelaria Inputs'!AD199</f>
        <v>0</v>
      </c>
      <c r="AE54" s="36">
        <f>'Candelaria Inputs'!AE199</f>
        <v>0</v>
      </c>
      <c r="AF54" s="36">
        <f>'Candelaria Inputs'!AF199</f>
        <v>0</v>
      </c>
    </row>
    <row r="55" spans="4:32">
      <c r="D55" t="s">
        <v>107</v>
      </c>
      <c r="G55" t="s">
        <v>108</v>
      </c>
      <c r="H55" s="37">
        <f>IF(SUM(I53:AF53)&lt;&gt;0,SUMPRODUCT(I53:AF53,I55:AF55)/SUM(I53:AF53),0)</f>
        <v>0</v>
      </c>
      <c r="I55" s="38">
        <f>'Candelaria Inputs'!I206</f>
        <v>0</v>
      </c>
      <c r="J55" s="38">
        <f>'Candelaria Inputs'!J206</f>
        <v>0</v>
      </c>
      <c r="K55" s="38">
        <f>'Candelaria Inputs'!K206</f>
        <v>0</v>
      </c>
      <c r="L55" s="38">
        <f>'Candelaria Inputs'!L206</f>
        <v>0</v>
      </c>
      <c r="M55" s="38">
        <f>'Candelaria Inputs'!M206</f>
        <v>0</v>
      </c>
      <c r="N55" s="38">
        <f>'Candelaria Inputs'!N206</f>
        <v>0</v>
      </c>
      <c r="O55" s="38">
        <f>'Candelaria Inputs'!O206</f>
        <v>0</v>
      </c>
      <c r="P55" s="38">
        <f>'Candelaria Inputs'!P206</f>
        <v>0</v>
      </c>
      <c r="Q55" s="38">
        <f>'Candelaria Inputs'!Q206</f>
        <v>0</v>
      </c>
      <c r="R55" s="38">
        <f>'Candelaria Inputs'!R206</f>
        <v>0</v>
      </c>
      <c r="S55" s="38">
        <f>'Candelaria Inputs'!S206</f>
        <v>0</v>
      </c>
      <c r="T55" s="38">
        <f>'Candelaria Inputs'!T206</f>
        <v>0</v>
      </c>
      <c r="U55" s="38">
        <f>'Candelaria Inputs'!U206</f>
        <v>0</v>
      </c>
      <c r="V55" s="38">
        <f>'Candelaria Inputs'!V206</f>
        <v>0</v>
      </c>
      <c r="W55" s="38">
        <f>'Candelaria Inputs'!W206</f>
        <v>0</v>
      </c>
      <c r="X55" s="38">
        <f>'Candelaria Inputs'!X206</f>
        <v>0</v>
      </c>
      <c r="Y55" s="38">
        <f>'Candelaria Inputs'!Y206</f>
        <v>0</v>
      </c>
      <c r="Z55" s="38">
        <f>'Candelaria Inputs'!Z206</f>
        <v>0</v>
      </c>
      <c r="AA55" s="38">
        <f>'Candelaria Inputs'!AA206</f>
        <v>0</v>
      </c>
      <c r="AB55" s="38">
        <f>'Candelaria Inputs'!AB206</f>
        <v>0</v>
      </c>
      <c r="AC55" s="38">
        <f>'Candelaria Inputs'!AC206</f>
        <v>0</v>
      </c>
      <c r="AD55" s="38">
        <f>'Candelaria Inputs'!AD206</f>
        <v>0</v>
      </c>
      <c r="AE55" s="38">
        <f>'Candelaria Inputs'!AE206</f>
        <v>0</v>
      </c>
      <c r="AF55" s="38">
        <f>'Candelaria Inputs'!AF206</f>
        <v>0</v>
      </c>
    </row>
    <row r="56" spans="4:32">
      <c r="D56" t="s">
        <v>109</v>
      </c>
      <c r="G56" t="s">
        <v>108</v>
      </c>
      <c r="H56" s="37">
        <f>IF(SUM(I53:AF53)&lt;&gt;0,SUMPRODUCT(I53:AF53,I56:AF56)/SUM(I53:AF53),0)</f>
        <v>0</v>
      </c>
      <c r="I56" s="38">
        <f>'Candelaria Inputs'!I213</f>
        <v>0</v>
      </c>
      <c r="J56" s="38">
        <f>'Candelaria Inputs'!J213</f>
        <v>0</v>
      </c>
      <c r="K56" s="38">
        <f>'Candelaria Inputs'!K213</f>
        <v>0</v>
      </c>
      <c r="L56" s="38">
        <f>'Candelaria Inputs'!L213</f>
        <v>0</v>
      </c>
      <c r="M56" s="38">
        <f>'Candelaria Inputs'!M213</f>
        <v>0</v>
      </c>
      <c r="N56" s="38">
        <f>'Candelaria Inputs'!N213</f>
        <v>0</v>
      </c>
      <c r="O56" s="38">
        <f>'Candelaria Inputs'!O213</f>
        <v>0</v>
      </c>
      <c r="P56" s="38">
        <f>'Candelaria Inputs'!P213</f>
        <v>0</v>
      </c>
      <c r="Q56" s="38">
        <f>'Candelaria Inputs'!Q213</f>
        <v>0</v>
      </c>
      <c r="R56" s="38">
        <f>'Candelaria Inputs'!R213</f>
        <v>0</v>
      </c>
      <c r="S56" s="38">
        <f>'Candelaria Inputs'!S213</f>
        <v>0</v>
      </c>
      <c r="T56" s="38">
        <f>'Candelaria Inputs'!T213</f>
        <v>0</v>
      </c>
      <c r="U56" s="38">
        <f>'Candelaria Inputs'!U213</f>
        <v>0</v>
      </c>
      <c r="V56" s="38">
        <f>'Candelaria Inputs'!V213</f>
        <v>0</v>
      </c>
      <c r="W56" s="38">
        <f>'Candelaria Inputs'!W213</f>
        <v>0</v>
      </c>
      <c r="X56" s="38">
        <f>'Candelaria Inputs'!X213</f>
        <v>0</v>
      </c>
      <c r="Y56" s="38">
        <f>'Candelaria Inputs'!Y213</f>
        <v>0</v>
      </c>
      <c r="Z56" s="38">
        <f>'Candelaria Inputs'!Z213</f>
        <v>0</v>
      </c>
      <c r="AA56" s="38">
        <f>'Candelaria Inputs'!AA213</f>
        <v>0</v>
      </c>
      <c r="AB56" s="38">
        <f>'Candelaria Inputs'!AB213</f>
        <v>0</v>
      </c>
      <c r="AC56" s="38">
        <f>'Candelaria Inputs'!AC213</f>
        <v>0</v>
      </c>
      <c r="AD56" s="38">
        <f>'Candelaria Inputs'!AD213</f>
        <v>0</v>
      </c>
      <c r="AE56" s="38">
        <f>'Candelaria Inputs'!AE213</f>
        <v>0</v>
      </c>
      <c r="AF56" s="38">
        <f>'Candelaria Inputs'!AF213</f>
        <v>0</v>
      </c>
    </row>
    <row r="57" spans="4:32" ht="6" customHeight="1">
      <c r="D57" s="2"/>
      <c r="H57" s="29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spans="4:32">
      <c r="D58" s="28" t="s">
        <v>115</v>
      </c>
      <c r="H58" s="29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spans="4:32">
      <c r="D59" t="s">
        <v>116</v>
      </c>
      <c r="G59" t="s">
        <v>8</v>
      </c>
      <c r="H59" s="33">
        <f>SUM(I59:AF59)</f>
        <v>15263</v>
      </c>
      <c r="I59" s="34">
        <f>'Candelaria Inputs'!I221</f>
        <v>1312</v>
      </c>
      <c r="J59" s="34">
        <f>'Candelaria Inputs'!J221</f>
        <v>1329</v>
      </c>
      <c r="K59" s="34">
        <f>'Candelaria Inputs'!K221</f>
        <v>1327</v>
      </c>
      <c r="L59" s="34">
        <f>'Candelaria Inputs'!L221</f>
        <v>1348</v>
      </c>
      <c r="M59" s="34">
        <f>'Candelaria Inputs'!M221</f>
        <v>1358</v>
      </c>
      <c r="N59" s="34">
        <f>'Candelaria Inputs'!N221</f>
        <v>1354</v>
      </c>
      <c r="O59" s="34">
        <f>'Candelaria Inputs'!O221</f>
        <v>1351</v>
      </c>
      <c r="P59" s="34">
        <f>'Candelaria Inputs'!P221</f>
        <v>1351</v>
      </c>
      <c r="Q59" s="34">
        <f>'Candelaria Inputs'!Q221</f>
        <v>1351</v>
      </c>
      <c r="R59" s="34">
        <f>'Candelaria Inputs'!R221</f>
        <v>1351</v>
      </c>
      <c r="S59" s="34">
        <f>'Candelaria Inputs'!S221</f>
        <v>1351</v>
      </c>
      <c r="T59" s="34">
        <f>'Candelaria Inputs'!T221</f>
        <v>480</v>
      </c>
      <c r="U59" s="34">
        <f>'Candelaria Inputs'!U221</f>
        <v>0</v>
      </c>
      <c r="V59" s="34">
        <f>'Candelaria Inputs'!V221</f>
        <v>0</v>
      </c>
      <c r="W59" s="34">
        <f>'Candelaria Inputs'!W221</f>
        <v>0</v>
      </c>
      <c r="X59" s="34">
        <f>'Candelaria Inputs'!X221</f>
        <v>0</v>
      </c>
      <c r="Y59" s="34">
        <f>'Candelaria Inputs'!Y221</f>
        <v>0</v>
      </c>
      <c r="Z59" s="34">
        <f>'Candelaria Inputs'!Z221</f>
        <v>0</v>
      </c>
      <c r="AA59" s="34">
        <f>'Candelaria Inputs'!AA221</f>
        <v>0</v>
      </c>
      <c r="AB59" s="34">
        <f>'Candelaria Inputs'!AB221</f>
        <v>0</v>
      </c>
      <c r="AC59" s="34">
        <f>'Candelaria Inputs'!AC221</f>
        <v>0</v>
      </c>
      <c r="AD59" s="34">
        <f>'Candelaria Inputs'!AD221</f>
        <v>0</v>
      </c>
      <c r="AE59" s="34">
        <f>'Candelaria Inputs'!AE221</f>
        <v>0</v>
      </c>
      <c r="AF59" s="34">
        <f>'Candelaria Inputs'!AF221</f>
        <v>0</v>
      </c>
    </row>
    <row r="60" spans="4:32">
      <c r="D60" t="s">
        <v>106</v>
      </c>
      <c r="G60" t="s">
        <v>50</v>
      </c>
      <c r="H60" s="35">
        <f>IF(SUM(I59:AF59)&lt;&gt;0,SUMPRODUCT(I59:AF59,I60:AF60)/SUM(I59:AF59),0)</f>
        <v>8.8602502784511546E-3</v>
      </c>
      <c r="I60" s="36">
        <f>'Candelaria Inputs'!I228</f>
        <v>1.03E-2</v>
      </c>
      <c r="J60" s="36">
        <f>'Candelaria Inputs'!J228</f>
        <v>0.01</v>
      </c>
      <c r="K60" s="36">
        <f>'Candelaria Inputs'!K228</f>
        <v>1.0500000000000001E-2</v>
      </c>
      <c r="L60" s="36">
        <f>'Candelaria Inputs'!L228</f>
        <v>1.0200000000000001E-2</v>
      </c>
      <c r="M60" s="36">
        <f>'Candelaria Inputs'!M228</f>
        <v>9.1999999999999998E-3</v>
      </c>
      <c r="N60" s="36">
        <f>'Candelaria Inputs'!N228</f>
        <v>9.2999999999999992E-3</v>
      </c>
      <c r="O60" s="36">
        <f>'Candelaria Inputs'!O228</f>
        <v>8.6999999999999994E-3</v>
      </c>
      <c r="P60" s="36">
        <f>'Candelaria Inputs'!P228</f>
        <v>7.0000000000000001E-3</v>
      </c>
      <c r="Q60" s="36">
        <f>'Candelaria Inputs'!Q228</f>
        <v>7.6E-3</v>
      </c>
      <c r="R60" s="36">
        <f>'Candelaria Inputs'!R228</f>
        <v>7.6E-3</v>
      </c>
      <c r="S60" s="36">
        <f>'Candelaria Inputs'!S228</f>
        <v>7.6E-3</v>
      </c>
      <c r="T60" s="36">
        <f>'Candelaria Inputs'!T228</f>
        <v>7.6E-3</v>
      </c>
      <c r="U60" s="36">
        <f>'Candelaria Inputs'!U228</f>
        <v>0</v>
      </c>
      <c r="V60" s="36">
        <f>'Candelaria Inputs'!V228</f>
        <v>0</v>
      </c>
      <c r="W60" s="36">
        <f>'Candelaria Inputs'!W228</f>
        <v>0</v>
      </c>
      <c r="X60" s="36">
        <f>'Candelaria Inputs'!X228</f>
        <v>0</v>
      </c>
      <c r="Y60" s="36">
        <f>'Candelaria Inputs'!Y228</f>
        <v>0</v>
      </c>
      <c r="Z60" s="36">
        <f>'Candelaria Inputs'!Z228</f>
        <v>0</v>
      </c>
      <c r="AA60" s="36">
        <f>'Candelaria Inputs'!AA228</f>
        <v>0</v>
      </c>
      <c r="AB60" s="36">
        <f>'Candelaria Inputs'!AB228</f>
        <v>0</v>
      </c>
      <c r="AC60" s="36">
        <f>'Candelaria Inputs'!AC228</f>
        <v>0</v>
      </c>
      <c r="AD60" s="36">
        <f>'Candelaria Inputs'!AD228</f>
        <v>0</v>
      </c>
      <c r="AE60" s="36">
        <f>'Candelaria Inputs'!AE228</f>
        <v>0</v>
      </c>
      <c r="AF60" s="36">
        <f>'Candelaria Inputs'!AF228</f>
        <v>0</v>
      </c>
    </row>
    <row r="61" spans="4:32">
      <c r="D61" t="s">
        <v>107</v>
      </c>
      <c r="G61" t="s">
        <v>108</v>
      </c>
      <c r="H61" s="37">
        <f>IF(SUM(I59:AF59)&lt;&gt;0,SUMPRODUCT(I59:AF59,I61:AF61)/SUM(I59:AF59),0)</f>
        <v>0.20630216864312387</v>
      </c>
      <c r="I61" s="38">
        <f>'Candelaria Inputs'!I235</f>
        <v>0.22</v>
      </c>
      <c r="J61" s="38">
        <f>'Candelaria Inputs'!J235</f>
        <v>0.23</v>
      </c>
      <c r="K61" s="38">
        <f>'Candelaria Inputs'!K235</f>
        <v>0.24</v>
      </c>
      <c r="L61" s="38">
        <f>'Candelaria Inputs'!L235</f>
        <v>0.23</v>
      </c>
      <c r="M61" s="38">
        <f>'Candelaria Inputs'!M235</f>
        <v>0.22</v>
      </c>
      <c r="N61" s="38">
        <f>'Candelaria Inputs'!N235</f>
        <v>0.22</v>
      </c>
      <c r="O61" s="38">
        <f>'Candelaria Inputs'!O235</f>
        <v>0.2</v>
      </c>
      <c r="P61" s="38">
        <f>'Candelaria Inputs'!P235</f>
        <v>0.17</v>
      </c>
      <c r="Q61" s="38">
        <f>'Candelaria Inputs'!Q235</f>
        <v>0.19</v>
      </c>
      <c r="R61" s="38">
        <f>'Candelaria Inputs'!R235</f>
        <v>0.18</v>
      </c>
      <c r="S61" s="38">
        <f>'Candelaria Inputs'!S235</f>
        <v>0.18</v>
      </c>
      <c r="T61" s="38">
        <f>'Candelaria Inputs'!T235</f>
        <v>0.18</v>
      </c>
      <c r="U61" s="38">
        <f>'Candelaria Inputs'!U235</f>
        <v>0</v>
      </c>
      <c r="V61" s="38">
        <f>'Candelaria Inputs'!V235</f>
        <v>0</v>
      </c>
      <c r="W61" s="38">
        <f>'Candelaria Inputs'!W235</f>
        <v>0</v>
      </c>
      <c r="X61" s="38">
        <f>'Candelaria Inputs'!X235</f>
        <v>0</v>
      </c>
      <c r="Y61" s="38">
        <f>'Candelaria Inputs'!Y235</f>
        <v>0</v>
      </c>
      <c r="Z61" s="38">
        <f>'Candelaria Inputs'!Z235</f>
        <v>0</v>
      </c>
      <c r="AA61" s="38">
        <f>'Candelaria Inputs'!AA235</f>
        <v>0</v>
      </c>
      <c r="AB61" s="38">
        <f>'Candelaria Inputs'!AB235</f>
        <v>0</v>
      </c>
      <c r="AC61" s="38">
        <f>'Candelaria Inputs'!AC235</f>
        <v>0</v>
      </c>
      <c r="AD61" s="38">
        <f>'Candelaria Inputs'!AD235</f>
        <v>0</v>
      </c>
      <c r="AE61" s="38">
        <f>'Candelaria Inputs'!AE235</f>
        <v>0</v>
      </c>
      <c r="AF61" s="38">
        <f>'Candelaria Inputs'!AF235</f>
        <v>0</v>
      </c>
    </row>
    <row r="62" spans="4:32">
      <c r="D62" t="s">
        <v>109</v>
      </c>
      <c r="G62" t="s">
        <v>108</v>
      </c>
      <c r="H62" s="37">
        <f>IF(SUM(I59:AF59)&lt;&gt;0,SUMPRODUCT(I59:AF59,I62:AF62)/SUM(I59:AF59),0)</f>
        <v>2.0628028565812753</v>
      </c>
      <c r="I62" s="38">
        <f>'Candelaria Inputs'!I242</f>
        <v>2.1</v>
      </c>
      <c r="J62" s="38">
        <f>'Candelaria Inputs'!J242</f>
        <v>2.44</v>
      </c>
      <c r="K62" s="38">
        <f>'Candelaria Inputs'!K242</f>
        <v>2.44</v>
      </c>
      <c r="L62" s="38">
        <f>'Candelaria Inputs'!L242</f>
        <v>2.4700000000000002</v>
      </c>
      <c r="M62" s="38">
        <f>'Candelaria Inputs'!M242</f>
        <v>2.54</v>
      </c>
      <c r="N62" s="38">
        <f>'Candelaria Inputs'!N242</f>
        <v>2.11</v>
      </c>
      <c r="O62" s="38">
        <f>'Candelaria Inputs'!O242</f>
        <v>1.95</v>
      </c>
      <c r="P62" s="38">
        <f>'Candelaria Inputs'!P242</f>
        <v>1.48</v>
      </c>
      <c r="Q62" s="38">
        <f>'Candelaria Inputs'!Q242</f>
        <v>1.69</v>
      </c>
      <c r="R62" s="38">
        <f>'Candelaria Inputs'!R242</f>
        <v>1.79</v>
      </c>
      <c r="S62" s="38">
        <f>'Candelaria Inputs'!S242</f>
        <v>1.79</v>
      </c>
      <c r="T62" s="38">
        <f>'Candelaria Inputs'!T242</f>
        <v>1.79</v>
      </c>
      <c r="U62" s="38">
        <f>'Candelaria Inputs'!U242</f>
        <v>0</v>
      </c>
      <c r="V62" s="38">
        <f>'Candelaria Inputs'!V242</f>
        <v>0</v>
      </c>
      <c r="W62" s="38">
        <f>'Candelaria Inputs'!W242</f>
        <v>0</v>
      </c>
      <c r="X62" s="38">
        <f>'Candelaria Inputs'!X242</f>
        <v>0</v>
      </c>
      <c r="Y62" s="38">
        <f>'Candelaria Inputs'!Y242</f>
        <v>0</v>
      </c>
      <c r="Z62" s="38">
        <f>'Candelaria Inputs'!Z242</f>
        <v>0</v>
      </c>
      <c r="AA62" s="38">
        <f>'Candelaria Inputs'!AA242</f>
        <v>0</v>
      </c>
      <c r="AB62" s="38">
        <f>'Candelaria Inputs'!AB242</f>
        <v>0</v>
      </c>
      <c r="AC62" s="38">
        <f>'Candelaria Inputs'!AC242</f>
        <v>0</v>
      </c>
      <c r="AD62" s="38">
        <f>'Candelaria Inputs'!AD242</f>
        <v>0</v>
      </c>
      <c r="AE62" s="38">
        <f>'Candelaria Inputs'!AE242</f>
        <v>0</v>
      </c>
      <c r="AF62" s="38">
        <f>'Candelaria Inputs'!AF242</f>
        <v>0</v>
      </c>
    </row>
    <row r="63" spans="4:32" ht="6" customHeight="1">
      <c r="D63" s="2"/>
      <c r="H63" s="29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spans="4:32">
      <c r="D64" s="4" t="s">
        <v>117</v>
      </c>
      <c r="E64" s="4"/>
      <c r="F64" s="4"/>
      <c r="G64" s="4"/>
      <c r="H64" s="31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spans="3:32" ht="6" customHeight="1">
      <c r="D65" s="2"/>
      <c r="H65" s="29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3:32">
      <c r="D66" s="28" t="s">
        <v>118</v>
      </c>
      <c r="H66" s="29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spans="3:32">
      <c r="C67" s="22"/>
      <c r="D67" t="s">
        <v>119</v>
      </c>
      <c r="G67" t="s">
        <v>8</v>
      </c>
      <c r="H67" s="39"/>
      <c r="I67" s="30">
        <v>78343</v>
      </c>
      <c r="J67" s="40">
        <f>I79</f>
        <v>75820</v>
      </c>
      <c r="K67" s="40">
        <f t="shared" ref="K67:Z70" si="3">J79</f>
        <v>85178</v>
      </c>
      <c r="L67" s="40">
        <f t="shared" si="3"/>
        <v>96781</v>
      </c>
      <c r="M67" s="40">
        <f t="shared" si="3"/>
        <v>112495</v>
      </c>
      <c r="N67" s="40">
        <f t="shared" si="3"/>
        <v>123164</v>
      </c>
      <c r="O67" s="40">
        <f t="shared" si="3"/>
        <v>127078</v>
      </c>
      <c r="P67" s="40">
        <f t="shared" si="3"/>
        <v>127306</v>
      </c>
      <c r="Q67" s="40">
        <f t="shared" si="3"/>
        <v>123246</v>
      </c>
      <c r="R67" s="40">
        <f t="shared" si="3"/>
        <v>117478</v>
      </c>
      <c r="S67" s="40">
        <f t="shared" si="3"/>
        <v>116818</v>
      </c>
      <c r="T67" s="40">
        <f t="shared" si="3"/>
        <v>121884</v>
      </c>
      <c r="U67" s="40">
        <f t="shared" si="3"/>
        <v>124348</v>
      </c>
      <c r="V67" s="40">
        <f t="shared" si="3"/>
        <v>123342</v>
      </c>
      <c r="W67" s="40">
        <f t="shared" si="3"/>
        <v>117699</v>
      </c>
      <c r="X67" s="40">
        <f t="shared" si="3"/>
        <v>114296</v>
      </c>
      <c r="Y67" s="40">
        <f t="shared" si="3"/>
        <v>111759</v>
      </c>
      <c r="Z67" s="40">
        <f t="shared" si="3"/>
        <v>111476</v>
      </c>
      <c r="AA67" s="40">
        <f t="shared" ref="AA67:AF70" si="4">Z79</f>
        <v>105834</v>
      </c>
      <c r="AB67" s="40">
        <f t="shared" si="4"/>
        <v>91976</v>
      </c>
      <c r="AC67" s="40">
        <f t="shared" si="4"/>
        <v>69806</v>
      </c>
      <c r="AD67" s="40">
        <f t="shared" si="4"/>
        <v>47636</v>
      </c>
      <c r="AE67" s="40">
        <f t="shared" si="4"/>
        <v>25405</v>
      </c>
      <c r="AF67" s="40">
        <f t="shared" si="4"/>
        <v>3235</v>
      </c>
    </row>
    <row r="68" spans="3:32">
      <c r="C68" s="22"/>
      <c r="D68" t="s">
        <v>106</v>
      </c>
      <c r="G68" t="s">
        <v>50</v>
      </c>
      <c r="H68" s="41"/>
      <c r="I68" s="42">
        <v>2.8467342327968045E-3</v>
      </c>
      <c r="J68" s="43">
        <f>I80</f>
        <v>2.7996478501714599E-3</v>
      </c>
      <c r="K68" s="43">
        <f t="shared" si="3"/>
        <v>2.7301216276503335E-3</v>
      </c>
      <c r="L68" s="43">
        <f t="shared" si="3"/>
        <v>2.6760800157055631E-3</v>
      </c>
      <c r="M68" s="43">
        <f t="shared" si="3"/>
        <v>2.6309853771278729E-3</v>
      </c>
      <c r="N68" s="43">
        <f t="shared" si="3"/>
        <v>2.6217596050794071E-3</v>
      </c>
      <c r="O68" s="43">
        <f t="shared" si="3"/>
        <v>2.6606698248319931E-3</v>
      </c>
      <c r="P68" s="43">
        <f t="shared" si="3"/>
        <v>2.6064050398253032E-3</v>
      </c>
      <c r="Q68" s="43">
        <f t="shared" si="3"/>
        <v>2.5790451617091021E-3</v>
      </c>
      <c r="R68" s="43">
        <f t="shared" si="3"/>
        <v>2.5483256439503567E-3</v>
      </c>
      <c r="S68" s="43">
        <f t="shared" si="3"/>
        <v>2.5094386139122397E-3</v>
      </c>
      <c r="T68" s="43">
        <f t="shared" si="3"/>
        <v>2.4869219914016609E-3</v>
      </c>
      <c r="U68" s="43">
        <f t="shared" si="3"/>
        <v>2.4245094412455371E-3</v>
      </c>
      <c r="V68" s="43">
        <f t="shared" si="3"/>
        <v>2.3566295341408447E-3</v>
      </c>
      <c r="W68" s="43">
        <f t="shared" si="3"/>
        <v>2.2899166517982316E-3</v>
      </c>
      <c r="X68" s="43">
        <f t="shared" si="3"/>
        <v>2.2504969552740259E-3</v>
      </c>
      <c r="Y68" s="43">
        <f t="shared" si="3"/>
        <v>2.2092887373723821E-3</v>
      </c>
      <c r="Z68" s="43">
        <f t="shared" si="3"/>
        <v>2.1847554630593136E-3</v>
      </c>
      <c r="AA68" s="43">
        <f t="shared" si="4"/>
        <v>2.11683201995578E-3</v>
      </c>
      <c r="AB68" s="43">
        <f t="shared" si="4"/>
        <v>2.0133534835174395E-3</v>
      </c>
      <c r="AC68" s="43">
        <f t="shared" si="4"/>
        <v>1.7952783428358595E-3</v>
      </c>
      <c r="AD68" s="43">
        <f t="shared" si="4"/>
        <v>1.7000000000000001E-3</v>
      </c>
      <c r="AE68" s="43">
        <f t="shared" si="4"/>
        <v>1.7000000000000001E-3</v>
      </c>
      <c r="AF68" s="43">
        <f t="shared" si="4"/>
        <v>1.7000000000000014E-3</v>
      </c>
    </row>
    <row r="69" spans="3:32">
      <c r="C69" s="22"/>
      <c r="D69" t="s">
        <v>107</v>
      </c>
      <c r="G69" t="s">
        <v>108</v>
      </c>
      <c r="H69" s="39"/>
      <c r="I69" s="39">
        <v>8.9747137587276454E-2</v>
      </c>
      <c r="J69" s="37">
        <f>I81</f>
        <v>8.8855447111580055E-2</v>
      </c>
      <c r="K69" s="37">
        <f t="shared" si="3"/>
        <v>8.6783911338608563E-2</v>
      </c>
      <c r="L69" s="37">
        <f t="shared" si="3"/>
        <v>8.3325342784224168E-2</v>
      </c>
      <c r="M69" s="37">
        <f t="shared" si="3"/>
        <v>8.1463976176718952E-2</v>
      </c>
      <c r="N69" s="37">
        <f t="shared" si="3"/>
        <v>8.0470916826345357E-2</v>
      </c>
      <c r="O69" s="37">
        <f t="shared" si="3"/>
        <v>8.0148412785848056E-2</v>
      </c>
      <c r="P69" s="37">
        <f t="shared" si="3"/>
        <v>7.8575243900523131E-2</v>
      </c>
      <c r="Q69" s="37">
        <f t="shared" si="3"/>
        <v>7.7314476737581725E-2</v>
      </c>
      <c r="R69" s="37">
        <f t="shared" si="3"/>
        <v>7.6808593949505399E-2</v>
      </c>
      <c r="S69" s="37">
        <f t="shared" si="3"/>
        <v>7.5736273519491817E-2</v>
      </c>
      <c r="T69" s="37">
        <f t="shared" si="3"/>
        <v>7.418381411834199E-2</v>
      </c>
      <c r="U69" s="37">
        <f t="shared" si="3"/>
        <v>7.2338598127834747E-2</v>
      </c>
      <c r="V69" s="37">
        <f t="shared" si="3"/>
        <v>6.9498224449092719E-2</v>
      </c>
      <c r="W69" s="37">
        <f t="shared" si="3"/>
        <v>6.7046618917747755E-2</v>
      </c>
      <c r="X69" s="37">
        <f t="shared" si="3"/>
        <v>6.5572548470637579E-2</v>
      </c>
      <c r="Y69" s="37">
        <f t="shared" si="3"/>
        <v>6.421156237976354E-2</v>
      </c>
      <c r="Z69" s="37">
        <f t="shared" si="3"/>
        <v>6.3239979905988689E-2</v>
      </c>
      <c r="AA69" s="37">
        <f t="shared" si="4"/>
        <v>6.0997977965493083E-2</v>
      </c>
      <c r="AB69" s="37">
        <f t="shared" si="4"/>
        <v>5.9641645646690389E-2</v>
      </c>
      <c r="AC69" s="37">
        <f t="shared" si="4"/>
        <v>5.3175944761195235E-2</v>
      </c>
      <c r="AD69" s="37">
        <f t="shared" si="4"/>
        <v>4.9999999999999892E-2</v>
      </c>
      <c r="AE69" s="37">
        <f t="shared" si="4"/>
        <v>4.9999999999999795E-2</v>
      </c>
      <c r="AF69" s="37">
        <f t="shared" si="4"/>
        <v>4.9999999999998386E-2</v>
      </c>
    </row>
    <row r="70" spans="3:32">
      <c r="C70" s="22"/>
      <c r="D70" t="s">
        <v>109</v>
      </c>
      <c r="G70" t="s">
        <v>108</v>
      </c>
      <c r="H70" s="39"/>
      <c r="I70" s="39">
        <v>1.4740575418352628</v>
      </c>
      <c r="J70" s="37">
        <f>I82</f>
        <v>1.4679766552360853</v>
      </c>
      <c r="K70" s="37">
        <f t="shared" si="3"/>
        <v>1.4524204606823357</v>
      </c>
      <c r="L70" s="37">
        <f t="shared" si="3"/>
        <v>1.4068198303385995</v>
      </c>
      <c r="M70" s="37">
        <f t="shared" si="3"/>
        <v>1.3950358682608115</v>
      </c>
      <c r="N70" s="37">
        <f t="shared" si="3"/>
        <v>1.3565387613263615</v>
      </c>
      <c r="O70" s="37">
        <f t="shared" si="3"/>
        <v>1.3082754686098301</v>
      </c>
      <c r="P70" s="37">
        <f t="shared" si="3"/>
        <v>1.3166413994627117</v>
      </c>
      <c r="Q70" s="37">
        <f t="shared" si="3"/>
        <v>1.2892536066079221</v>
      </c>
      <c r="R70" s="37">
        <f t="shared" si="3"/>
        <v>1.2725964861505981</v>
      </c>
      <c r="S70" s="37">
        <f t="shared" si="3"/>
        <v>1.2580770942834152</v>
      </c>
      <c r="T70" s="37">
        <f t="shared" si="3"/>
        <v>1.215847034885629</v>
      </c>
      <c r="U70" s="37">
        <f t="shared" si="3"/>
        <v>1.1608381316949206</v>
      </c>
      <c r="V70" s="37">
        <f t="shared" si="3"/>
        <v>1.1002496311070031</v>
      </c>
      <c r="W70" s="37">
        <f t="shared" si="3"/>
        <v>1.0565050680124723</v>
      </c>
      <c r="X70" s="37">
        <f t="shared" si="3"/>
        <v>1.01903644921957</v>
      </c>
      <c r="Y70" s="37">
        <f t="shared" si="3"/>
        <v>1.0035602501811933</v>
      </c>
      <c r="Z70" s="37">
        <f t="shared" si="3"/>
        <v>1.0054156948580859</v>
      </c>
      <c r="AA70" s="37">
        <f t="shared" si="4"/>
        <v>0.9645594043502087</v>
      </c>
      <c r="AB70" s="37">
        <f t="shared" si="4"/>
        <v>1.0119539879968686</v>
      </c>
      <c r="AC70" s="37">
        <f t="shared" si="4"/>
        <v>0.95540755808956235</v>
      </c>
      <c r="AD70" s="37">
        <f t="shared" si="4"/>
        <v>0.92999999999999994</v>
      </c>
      <c r="AE70" s="37">
        <f t="shared" si="4"/>
        <v>0.92999999999999972</v>
      </c>
      <c r="AF70" s="37">
        <f t="shared" si="4"/>
        <v>0.9299999999999975</v>
      </c>
    </row>
    <row r="71" spans="3:32">
      <c r="D71" t="s">
        <v>120</v>
      </c>
      <c r="G71" t="s">
        <v>8</v>
      </c>
      <c r="H71" s="39"/>
      <c r="I71" s="40">
        <f t="shared" ref="I71:AF74" si="5">I29</f>
        <v>4610</v>
      </c>
      <c r="J71" s="40">
        <f t="shared" si="5"/>
        <v>12464</v>
      </c>
      <c r="K71" s="40">
        <f t="shared" si="5"/>
        <v>13998</v>
      </c>
      <c r="L71" s="40">
        <f t="shared" si="5"/>
        <v>19387</v>
      </c>
      <c r="M71" s="40">
        <f t="shared" si="5"/>
        <v>13281</v>
      </c>
      <c r="N71" s="40">
        <f t="shared" si="5"/>
        <v>13553</v>
      </c>
      <c r="O71" s="40">
        <f t="shared" si="5"/>
        <v>10012</v>
      </c>
      <c r="P71" s="40">
        <f t="shared" si="5"/>
        <v>7480</v>
      </c>
      <c r="Q71" s="40">
        <f t="shared" si="5"/>
        <v>4394</v>
      </c>
      <c r="R71" s="40">
        <f t="shared" si="5"/>
        <v>6158</v>
      </c>
      <c r="S71" s="40">
        <f t="shared" si="5"/>
        <v>10541</v>
      </c>
      <c r="T71" s="40">
        <f t="shared" si="5"/>
        <v>12189</v>
      </c>
      <c r="U71" s="40">
        <f t="shared" si="5"/>
        <v>11421</v>
      </c>
      <c r="V71" s="40">
        <f t="shared" si="5"/>
        <v>7643</v>
      </c>
      <c r="W71" s="40">
        <f t="shared" si="5"/>
        <v>6220</v>
      </c>
      <c r="X71" s="40">
        <f t="shared" si="5"/>
        <v>5775</v>
      </c>
      <c r="Y71" s="40">
        <f t="shared" si="5"/>
        <v>5192</v>
      </c>
      <c r="Z71" s="40">
        <f t="shared" si="5"/>
        <v>7136</v>
      </c>
      <c r="AA71" s="40">
        <f t="shared" si="5"/>
        <v>2872</v>
      </c>
      <c r="AB71" s="40">
        <f t="shared" si="5"/>
        <v>0</v>
      </c>
      <c r="AC71" s="40">
        <f t="shared" si="5"/>
        <v>0</v>
      </c>
      <c r="AD71" s="40">
        <f t="shared" si="5"/>
        <v>0</v>
      </c>
      <c r="AE71" s="40">
        <f t="shared" si="5"/>
        <v>0</v>
      </c>
      <c r="AF71" s="40">
        <f t="shared" si="5"/>
        <v>0</v>
      </c>
    </row>
    <row r="72" spans="3:32">
      <c r="D72" t="s">
        <v>106</v>
      </c>
      <c r="G72" t="s">
        <v>50</v>
      </c>
      <c r="H72" s="39"/>
      <c r="I72" s="43">
        <f t="shared" si="5"/>
        <v>2E-3</v>
      </c>
      <c r="J72" s="43">
        <f t="shared" si="5"/>
        <v>2.2000000000000001E-3</v>
      </c>
      <c r="K72" s="43">
        <f t="shared" si="5"/>
        <v>2.3E-3</v>
      </c>
      <c r="L72" s="43">
        <f t="shared" si="5"/>
        <v>2.3999999999999998E-3</v>
      </c>
      <c r="M72" s="43">
        <f t="shared" si="5"/>
        <v>2.5000000000000001E-3</v>
      </c>
      <c r="N72" s="43">
        <f t="shared" si="5"/>
        <v>2.8999999999999998E-3</v>
      </c>
      <c r="O72" s="43">
        <f t="shared" si="5"/>
        <v>2.3999999999999998E-3</v>
      </c>
      <c r="P72" s="43">
        <f t="shared" si="5"/>
        <v>2.3E-3</v>
      </c>
      <c r="Q72" s="43">
        <f t="shared" si="5"/>
        <v>2.5000000000000001E-3</v>
      </c>
      <c r="R72" s="43">
        <f t="shared" si="5"/>
        <v>2.2000000000000001E-3</v>
      </c>
      <c r="S72" s="43">
        <f t="shared" si="5"/>
        <v>2.3999999999999998E-3</v>
      </c>
      <c r="T72" s="43">
        <f t="shared" si="5"/>
        <v>2.0999999999999999E-3</v>
      </c>
      <c r="U72" s="43">
        <f t="shared" si="5"/>
        <v>2.0999999999999999E-3</v>
      </c>
      <c r="V72" s="43">
        <f t="shared" si="5"/>
        <v>2.0999999999999999E-3</v>
      </c>
      <c r="W72" s="43">
        <f t="shared" si="5"/>
        <v>2.2000000000000001E-3</v>
      </c>
      <c r="X72" s="43">
        <f t="shared" si="5"/>
        <v>2.0999999999999999E-3</v>
      </c>
      <c r="Y72" s="43">
        <f t="shared" si="5"/>
        <v>2.2000000000000001E-3</v>
      </c>
      <c r="Z72" s="43">
        <f t="shared" si="5"/>
        <v>2.0999999999999999E-3</v>
      </c>
      <c r="AA72" s="43">
        <f t="shared" si="5"/>
        <v>2.2000000000000001E-3</v>
      </c>
      <c r="AB72" s="43">
        <f t="shared" si="5"/>
        <v>0</v>
      </c>
      <c r="AC72" s="43">
        <f t="shared" si="5"/>
        <v>0</v>
      </c>
      <c r="AD72" s="43">
        <f t="shared" si="5"/>
        <v>0</v>
      </c>
      <c r="AE72" s="43">
        <f t="shared" si="5"/>
        <v>0</v>
      </c>
      <c r="AF72" s="43">
        <f t="shared" si="5"/>
        <v>0</v>
      </c>
    </row>
    <row r="73" spans="3:32">
      <c r="D73" t="s">
        <v>107</v>
      </c>
      <c r="G73" t="s">
        <v>108</v>
      </c>
      <c r="H73" s="39"/>
      <c r="I73" s="37">
        <f t="shared" si="5"/>
        <v>0.06</v>
      </c>
      <c r="J73" s="37">
        <f t="shared" si="5"/>
        <v>7.0000000000000007E-2</v>
      </c>
      <c r="K73" s="37">
        <f t="shared" si="5"/>
        <v>0.06</v>
      </c>
      <c r="L73" s="37">
        <f t="shared" si="5"/>
        <v>7.0000000000000007E-2</v>
      </c>
      <c r="M73" s="37">
        <f t="shared" si="5"/>
        <v>7.0000000000000007E-2</v>
      </c>
      <c r="N73" s="37">
        <f t="shared" si="5"/>
        <v>7.0000000000000007E-2</v>
      </c>
      <c r="O73" s="37">
        <f t="shared" si="5"/>
        <v>0.06</v>
      </c>
      <c r="P73" s="37">
        <f t="shared" si="5"/>
        <v>0.06</v>
      </c>
      <c r="Q73" s="37">
        <f t="shared" si="5"/>
        <v>7.0000000000000007E-2</v>
      </c>
      <c r="R73" s="37">
        <f t="shared" si="5"/>
        <v>0.06</v>
      </c>
      <c r="S73" s="37">
        <f t="shared" si="5"/>
        <v>0.06</v>
      </c>
      <c r="T73" s="37">
        <f t="shared" si="5"/>
        <v>0.06</v>
      </c>
      <c r="U73" s="37">
        <f t="shared" si="5"/>
        <v>0.05</v>
      </c>
      <c r="V73" s="37">
        <f t="shared" si="5"/>
        <v>0.05</v>
      </c>
      <c r="W73" s="37">
        <f t="shared" si="5"/>
        <v>0.06</v>
      </c>
      <c r="X73" s="37">
        <f t="shared" si="5"/>
        <v>0.06</v>
      </c>
      <c r="Y73" s="37">
        <f t="shared" si="5"/>
        <v>0.06</v>
      </c>
      <c r="Z73" s="37">
        <f t="shared" si="5"/>
        <v>0.06</v>
      </c>
      <c r="AA73" s="37">
        <f t="shared" si="5"/>
        <v>7.0000000000000007E-2</v>
      </c>
      <c r="AB73" s="37">
        <f t="shared" si="5"/>
        <v>0</v>
      </c>
      <c r="AC73" s="37">
        <f t="shared" si="5"/>
        <v>0</v>
      </c>
      <c r="AD73" s="37">
        <f t="shared" si="5"/>
        <v>0</v>
      </c>
      <c r="AE73" s="37">
        <f t="shared" si="5"/>
        <v>0</v>
      </c>
      <c r="AF73" s="37">
        <f t="shared" si="5"/>
        <v>0</v>
      </c>
    </row>
    <row r="74" spans="3:32">
      <c r="D74" t="s">
        <v>109</v>
      </c>
      <c r="G74" t="s">
        <v>108</v>
      </c>
      <c r="H74" s="39"/>
      <c r="I74" s="37">
        <f t="shared" si="5"/>
        <v>0.95</v>
      </c>
      <c r="J74" s="37">
        <f t="shared" si="5"/>
        <v>1.26</v>
      </c>
      <c r="K74" s="37">
        <f t="shared" si="5"/>
        <v>1.07</v>
      </c>
      <c r="L74" s="37">
        <f t="shared" si="5"/>
        <v>1.25</v>
      </c>
      <c r="M74" s="37">
        <f t="shared" si="5"/>
        <v>0.98</v>
      </c>
      <c r="N74" s="37">
        <f t="shared" si="5"/>
        <v>0.75</v>
      </c>
      <c r="O74" s="37">
        <f t="shared" si="5"/>
        <v>0.83</v>
      </c>
      <c r="P74" s="37">
        <f t="shared" si="5"/>
        <v>0.67</v>
      </c>
      <c r="Q74" s="37">
        <f t="shared" si="5"/>
        <v>0.73</v>
      </c>
      <c r="R74" s="37">
        <f t="shared" si="5"/>
        <v>0.95</v>
      </c>
      <c r="S74" s="37">
        <f t="shared" si="5"/>
        <v>0.75</v>
      </c>
      <c r="T74" s="37">
        <f t="shared" si="5"/>
        <v>0.65</v>
      </c>
      <c r="U74" s="37">
        <f t="shared" si="5"/>
        <v>0.56000000000000005</v>
      </c>
      <c r="V74" s="37">
        <f t="shared" si="5"/>
        <v>0.6</v>
      </c>
      <c r="W74" s="37">
        <f t="shared" si="5"/>
        <v>0.59</v>
      </c>
      <c r="X74" s="37">
        <f t="shared" si="5"/>
        <v>0.98</v>
      </c>
      <c r="Y74" s="37">
        <f t="shared" si="5"/>
        <v>1.24</v>
      </c>
      <c r="Z74" s="37">
        <f t="shared" si="5"/>
        <v>0.73</v>
      </c>
      <c r="AA74" s="37">
        <f t="shared" si="5"/>
        <v>0.65</v>
      </c>
      <c r="AB74" s="37">
        <f t="shared" si="5"/>
        <v>0</v>
      </c>
      <c r="AC74" s="37">
        <f t="shared" si="5"/>
        <v>0</v>
      </c>
      <c r="AD74" s="37">
        <f t="shared" si="5"/>
        <v>0</v>
      </c>
      <c r="AE74" s="37">
        <f t="shared" si="5"/>
        <v>0</v>
      </c>
      <c r="AF74" s="37">
        <f t="shared" si="5"/>
        <v>0</v>
      </c>
    </row>
    <row r="75" spans="3:32">
      <c r="D75" t="s">
        <v>121</v>
      </c>
      <c r="G75" t="s">
        <v>8</v>
      </c>
      <c r="H75" s="39"/>
      <c r="I75" s="40">
        <f>IF((I67+I71)&gt;=I35,I35,I67+I71)</f>
        <v>7133</v>
      </c>
      <c r="J75" s="40">
        <f t="shared" ref="J75:AF75" si="6">IF((J67+J71)&gt;=J35,J35,J67+J71)</f>
        <v>3106</v>
      </c>
      <c r="K75" s="40">
        <f t="shared" si="6"/>
        <v>2395</v>
      </c>
      <c r="L75" s="40">
        <f t="shared" si="6"/>
        <v>3673</v>
      </c>
      <c r="M75" s="40">
        <f t="shared" si="6"/>
        <v>2612</v>
      </c>
      <c r="N75" s="40">
        <f t="shared" si="6"/>
        <v>9639</v>
      </c>
      <c r="O75" s="40">
        <f t="shared" si="6"/>
        <v>9784</v>
      </c>
      <c r="P75" s="40">
        <f t="shared" si="6"/>
        <v>11540</v>
      </c>
      <c r="Q75" s="40">
        <f t="shared" si="6"/>
        <v>10162</v>
      </c>
      <c r="R75" s="40">
        <f t="shared" si="6"/>
        <v>6818</v>
      </c>
      <c r="S75" s="40">
        <f t="shared" si="6"/>
        <v>5475</v>
      </c>
      <c r="T75" s="40">
        <f t="shared" si="6"/>
        <v>9725</v>
      </c>
      <c r="U75" s="40">
        <f t="shared" si="6"/>
        <v>12427</v>
      </c>
      <c r="V75" s="40">
        <f t="shared" si="6"/>
        <v>13286</v>
      </c>
      <c r="W75" s="40">
        <f t="shared" si="6"/>
        <v>9623</v>
      </c>
      <c r="X75" s="40">
        <f t="shared" si="6"/>
        <v>8312</v>
      </c>
      <c r="Y75" s="40">
        <f t="shared" si="6"/>
        <v>5475</v>
      </c>
      <c r="Z75" s="40">
        <f t="shared" si="6"/>
        <v>12778</v>
      </c>
      <c r="AA75" s="40">
        <f t="shared" si="6"/>
        <v>16730</v>
      </c>
      <c r="AB75" s="40">
        <f t="shared" si="6"/>
        <v>22170</v>
      </c>
      <c r="AC75" s="40">
        <f t="shared" si="6"/>
        <v>22170</v>
      </c>
      <c r="AD75" s="40">
        <f t="shared" si="6"/>
        <v>22231</v>
      </c>
      <c r="AE75" s="40">
        <f t="shared" si="6"/>
        <v>22170</v>
      </c>
      <c r="AF75" s="40">
        <f t="shared" si="6"/>
        <v>3235</v>
      </c>
    </row>
    <row r="76" spans="3:32">
      <c r="D76" t="s">
        <v>106</v>
      </c>
      <c r="G76" t="s">
        <v>50</v>
      </c>
      <c r="H76" s="39"/>
      <c r="I76" s="43">
        <f>IF(I36&lt;=(I$67*I68+I$71*I72)/I$75,I36,(I$67*I68+I$71*I72)/I$75)</f>
        <v>2.8E-3</v>
      </c>
      <c r="J76" s="43">
        <f t="shared" ref="J76:AF78" si="7">IF(J36&lt;=(J$67*J68+J$71*J72)/J$75,J36,(J$67*J68+J$71*J72)/J$75)</f>
        <v>2.3E-3</v>
      </c>
      <c r="K76" s="43">
        <f t="shared" si="7"/>
        <v>2.3999999999999998E-3</v>
      </c>
      <c r="L76" s="43">
        <f t="shared" si="7"/>
        <v>2.5999999999999999E-3</v>
      </c>
      <c r="M76" s="43">
        <f t="shared" si="7"/>
        <v>2.3999999999999998E-3</v>
      </c>
      <c r="N76" s="43">
        <f t="shared" si="7"/>
        <v>2.5000000000000001E-3</v>
      </c>
      <c r="O76" s="43">
        <f t="shared" si="7"/>
        <v>3.0999999999999999E-3</v>
      </c>
      <c r="P76" s="43">
        <f t="shared" si="7"/>
        <v>2.7000000000000001E-3</v>
      </c>
      <c r="Q76" s="43">
        <f t="shared" si="7"/>
        <v>2.8999999999999998E-3</v>
      </c>
      <c r="R76" s="43">
        <f t="shared" si="7"/>
        <v>2.8999999999999998E-3</v>
      </c>
      <c r="S76" s="43">
        <f t="shared" si="7"/>
        <v>2.8E-3</v>
      </c>
      <c r="T76" s="43">
        <f t="shared" si="7"/>
        <v>2.8E-3</v>
      </c>
      <c r="U76" s="43">
        <f t="shared" si="7"/>
        <v>2.8E-3</v>
      </c>
      <c r="V76" s="43">
        <f t="shared" si="7"/>
        <v>2.8E-3</v>
      </c>
      <c r="W76" s="43">
        <f t="shared" si="7"/>
        <v>2.7000000000000001E-3</v>
      </c>
      <c r="X76" s="43">
        <f t="shared" si="7"/>
        <v>2.7000000000000001E-3</v>
      </c>
      <c r="Y76" s="43">
        <f t="shared" si="7"/>
        <v>2.7000000000000001E-3</v>
      </c>
      <c r="Z76" s="43">
        <f t="shared" si="7"/>
        <v>2.7000000000000001E-3</v>
      </c>
      <c r="AA76" s="43">
        <f t="shared" si="7"/>
        <v>2.7000000000000001E-3</v>
      </c>
      <c r="AB76" s="43">
        <f t="shared" si="7"/>
        <v>2.7000000000000001E-3</v>
      </c>
      <c r="AC76" s="43">
        <f t="shared" si="7"/>
        <v>2E-3</v>
      </c>
      <c r="AD76" s="43">
        <f t="shared" si="7"/>
        <v>1.6999999999999999E-3</v>
      </c>
      <c r="AE76" s="43">
        <f t="shared" si="7"/>
        <v>1.6999999999999999E-3</v>
      </c>
      <c r="AF76" s="43">
        <f t="shared" si="7"/>
        <v>1.6999999999999999E-3</v>
      </c>
    </row>
    <row r="77" spans="3:32">
      <c r="D77" t="s">
        <v>107</v>
      </c>
      <c r="G77" t="s">
        <v>108</v>
      </c>
      <c r="H77" s="39"/>
      <c r="I77" s="37">
        <f>IF(I37&lt;=(I$67*I69+I$71*I73)/I$75,I37,(I$67*I69+I$71*I73)/I$75)</f>
        <v>0.08</v>
      </c>
      <c r="J77" s="37">
        <f t="shared" si="7"/>
        <v>7.0000000000000007E-2</v>
      </c>
      <c r="K77" s="37">
        <f t="shared" si="7"/>
        <v>7.0000000000000007E-2</v>
      </c>
      <c r="L77" s="37">
        <f t="shared" si="7"/>
        <v>7.0000000000000007E-2</v>
      </c>
      <c r="M77" s="37">
        <f t="shared" si="7"/>
        <v>7.0000000000000007E-2</v>
      </c>
      <c r="N77" s="37">
        <f t="shared" si="7"/>
        <v>7.0000000000000007E-2</v>
      </c>
      <c r="O77" s="37">
        <f t="shared" si="7"/>
        <v>0.08</v>
      </c>
      <c r="P77" s="37">
        <f t="shared" si="7"/>
        <v>0.08</v>
      </c>
      <c r="Q77" s="37">
        <f t="shared" si="7"/>
        <v>0.08</v>
      </c>
      <c r="R77" s="37">
        <f t="shared" si="7"/>
        <v>0.08</v>
      </c>
      <c r="S77" s="37">
        <f t="shared" si="7"/>
        <v>0.08</v>
      </c>
      <c r="T77" s="37">
        <f t="shared" si="7"/>
        <v>0.08</v>
      </c>
      <c r="U77" s="37">
        <f t="shared" si="7"/>
        <v>0.08</v>
      </c>
      <c r="V77" s="37">
        <f t="shared" si="7"/>
        <v>0.08</v>
      </c>
      <c r="W77" s="37">
        <f t="shared" si="7"/>
        <v>0.08</v>
      </c>
      <c r="X77" s="37">
        <f t="shared" si="7"/>
        <v>0.08</v>
      </c>
      <c r="Y77" s="37">
        <f t="shared" si="7"/>
        <v>0.08</v>
      </c>
      <c r="Z77" s="37">
        <f t="shared" si="7"/>
        <v>0.08</v>
      </c>
      <c r="AA77" s="37">
        <f t="shared" si="7"/>
        <v>7.0000000000000007E-2</v>
      </c>
      <c r="AB77" s="37">
        <f t="shared" si="7"/>
        <v>0.08</v>
      </c>
      <c r="AC77" s="37">
        <f t="shared" si="7"/>
        <v>0.06</v>
      </c>
      <c r="AD77" s="37">
        <f t="shared" si="7"/>
        <v>0.05</v>
      </c>
      <c r="AE77" s="37">
        <f t="shared" si="7"/>
        <v>0.05</v>
      </c>
      <c r="AF77" s="37">
        <f t="shared" si="7"/>
        <v>4.9999999999998386E-2</v>
      </c>
    </row>
    <row r="78" spans="3:32">
      <c r="D78" s="5" t="s">
        <v>109</v>
      </c>
      <c r="E78" s="5"/>
      <c r="F78" s="5"/>
      <c r="G78" s="5" t="s">
        <v>108</v>
      </c>
      <c r="H78" s="44"/>
      <c r="I78" s="45">
        <f>IF(I38&lt;=(I$67*I70+I$71*I74)/I$75,I38,(I$67*I70+I$71*I74)/I$75)</f>
        <v>1.2</v>
      </c>
      <c r="J78" s="45">
        <f t="shared" si="7"/>
        <v>1.06</v>
      </c>
      <c r="K78" s="45">
        <f t="shared" si="7"/>
        <v>1.06</v>
      </c>
      <c r="L78" s="45">
        <f t="shared" si="7"/>
        <v>0.94</v>
      </c>
      <c r="M78" s="45">
        <f t="shared" si="7"/>
        <v>1.1000000000000001</v>
      </c>
      <c r="N78" s="45">
        <f t="shared" si="7"/>
        <v>1.1399999999999999</v>
      </c>
      <c r="O78" s="45">
        <f t="shared" si="7"/>
        <v>0.71</v>
      </c>
      <c r="P78" s="45">
        <f t="shared" si="7"/>
        <v>1.19</v>
      </c>
      <c r="Q78" s="45">
        <f t="shared" si="7"/>
        <v>1.24</v>
      </c>
      <c r="R78" s="45">
        <f t="shared" si="7"/>
        <v>1.23</v>
      </c>
      <c r="S78" s="45">
        <f t="shared" si="7"/>
        <v>1.22</v>
      </c>
      <c r="T78" s="45">
        <f t="shared" si="7"/>
        <v>1.21</v>
      </c>
      <c r="U78" s="45">
        <f t="shared" si="7"/>
        <v>1.21</v>
      </c>
      <c r="V78" s="45">
        <f t="shared" si="7"/>
        <v>1.2</v>
      </c>
      <c r="W78" s="45">
        <f t="shared" si="7"/>
        <v>1.2</v>
      </c>
      <c r="X78" s="45">
        <f t="shared" si="7"/>
        <v>1.2</v>
      </c>
      <c r="Y78" s="45">
        <f t="shared" si="7"/>
        <v>1.19</v>
      </c>
      <c r="Z78" s="45">
        <f t="shared" si="7"/>
        <v>1.19</v>
      </c>
      <c r="AA78" s="45">
        <f t="shared" si="7"/>
        <v>0.65</v>
      </c>
      <c r="AB78" s="45">
        <f t="shared" si="7"/>
        <v>1.19</v>
      </c>
      <c r="AC78" s="45">
        <f t="shared" si="7"/>
        <v>1.01</v>
      </c>
      <c r="AD78" s="45">
        <f t="shared" si="7"/>
        <v>0.93</v>
      </c>
      <c r="AE78" s="45">
        <f t="shared" si="7"/>
        <v>0.93</v>
      </c>
      <c r="AF78" s="45">
        <f t="shared" si="7"/>
        <v>0.9299999999999975</v>
      </c>
    </row>
    <row r="79" spans="3:32">
      <c r="D79" t="s">
        <v>122</v>
      </c>
      <c r="G79" t="s">
        <v>8</v>
      </c>
      <c r="H79" s="39"/>
      <c r="I79" s="40">
        <f>I67+I71-I75</f>
        <v>75820</v>
      </c>
      <c r="J79" s="40">
        <f t="shared" ref="J79:AF79" si="8">J67+J71-J75</f>
        <v>85178</v>
      </c>
      <c r="K79" s="40">
        <f t="shared" si="8"/>
        <v>96781</v>
      </c>
      <c r="L79" s="40">
        <f t="shared" si="8"/>
        <v>112495</v>
      </c>
      <c r="M79" s="40">
        <f t="shared" si="8"/>
        <v>123164</v>
      </c>
      <c r="N79" s="40">
        <f t="shared" si="8"/>
        <v>127078</v>
      </c>
      <c r="O79" s="40">
        <f t="shared" si="8"/>
        <v>127306</v>
      </c>
      <c r="P79" s="40">
        <f t="shared" si="8"/>
        <v>123246</v>
      </c>
      <c r="Q79" s="40">
        <f t="shared" si="8"/>
        <v>117478</v>
      </c>
      <c r="R79" s="40">
        <f t="shared" si="8"/>
        <v>116818</v>
      </c>
      <c r="S79" s="40">
        <f t="shared" si="8"/>
        <v>121884</v>
      </c>
      <c r="T79" s="40">
        <f t="shared" si="8"/>
        <v>124348</v>
      </c>
      <c r="U79" s="40">
        <f t="shared" si="8"/>
        <v>123342</v>
      </c>
      <c r="V79" s="40">
        <f t="shared" si="8"/>
        <v>117699</v>
      </c>
      <c r="W79" s="40">
        <f t="shared" si="8"/>
        <v>114296</v>
      </c>
      <c r="X79" s="40">
        <f t="shared" si="8"/>
        <v>111759</v>
      </c>
      <c r="Y79" s="40">
        <f t="shared" si="8"/>
        <v>111476</v>
      </c>
      <c r="Z79" s="40">
        <f t="shared" si="8"/>
        <v>105834</v>
      </c>
      <c r="AA79" s="40">
        <f t="shared" si="8"/>
        <v>91976</v>
      </c>
      <c r="AB79" s="40">
        <f t="shared" si="8"/>
        <v>69806</v>
      </c>
      <c r="AC79" s="40">
        <f t="shared" si="8"/>
        <v>47636</v>
      </c>
      <c r="AD79" s="40">
        <f t="shared" si="8"/>
        <v>25405</v>
      </c>
      <c r="AE79" s="40">
        <f t="shared" si="8"/>
        <v>3235</v>
      </c>
      <c r="AF79" s="40">
        <f t="shared" si="8"/>
        <v>0</v>
      </c>
    </row>
    <row r="80" spans="3:32">
      <c r="D80" t="s">
        <v>106</v>
      </c>
      <c r="G80" t="s">
        <v>50</v>
      </c>
      <c r="H80" s="39"/>
      <c r="I80" s="43">
        <f>IF((I67+I71-I75)&lt;&gt;0,(I67*I68+I71*I72-I75*I76)/(I67+I71-I75),0)</f>
        <v>2.7996478501714599E-3</v>
      </c>
      <c r="J80" s="43">
        <f t="shared" ref="J80:AF80" si="9">IF((J67+J71-J75)&lt;&gt;0,(J67*J68+J71*J72-J75*J76)/(J67+J71-J75),0)</f>
        <v>2.7301216276503335E-3</v>
      </c>
      <c r="K80" s="43">
        <f t="shared" si="9"/>
        <v>2.6760800157055631E-3</v>
      </c>
      <c r="L80" s="43">
        <f t="shared" si="9"/>
        <v>2.6309853771278729E-3</v>
      </c>
      <c r="M80" s="43">
        <f t="shared" si="9"/>
        <v>2.6217596050794071E-3</v>
      </c>
      <c r="N80" s="43">
        <f t="shared" si="9"/>
        <v>2.6606698248319931E-3</v>
      </c>
      <c r="O80" s="43">
        <f t="shared" si="9"/>
        <v>2.6064050398253032E-3</v>
      </c>
      <c r="P80" s="43">
        <f t="shared" si="9"/>
        <v>2.5790451617091021E-3</v>
      </c>
      <c r="Q80" s="43">
        <f t="shared" si="9"/>
        <v>2.5483256439503567E-3</v>
      </c>
      <c r="R80" s="43">
        <f t="shared" si="9"/>
        <v>2.5094386139122397E-3</v>
      </c>
      <c r="S80" s="43">
        <f t="shared" si="9"/>
        <v>2.4869219914016609E-3</v>
      </c>
      <c r="T80" s="43">
        <f t="shared" si="9"/>
        <v>2.4245094412455371E-3</v>
      </c>
      <c r="U80" s="43">
        <f t="shared" si="9"/>
        <v>2.3566295341408447E-3</v>
      </c>
      <c r="V80" s="43">
        <f t="shared" si="9"/>
        <v>2.2899166517982316E-3</v>
      </c>
      <c r="W80" s="43">
        <f t="shared" si="9"/>
        <v>2.2504969552740259E-3</v>
      </c>
      <c r="X80" s="43">
        <f t="shared" si="9"/>
        <v>2.2092887373723821E-3</v>
      </c>
      <c r="Y80" s="43">
        <f t="shared" si="9"/>
        <v>2.1847554630593136E-3</v>
      </c>
      <c r="Z80" s="43">
        <f t="shared" si="9"/>
        <v>2.11683201995578E-3</v>
      </c>
      <c r="AA80" s="43">
        <f t="shared" si="9"/>
        <v>2.0133534835174395E-3</v>
      </c>
      <c r="AB80" s="43">
        <f t="shared" si="9"/>
        <v>1.7952783428358595E-3</v>
      </c>
      <c r="AC80" s="43">
        <f t="shared" si="9"/>
        <v>1.7000000000000001E-3</v>
      </c>
      <c r="AD80" s="43">
        <f t="shared" si="9"/>
        <v>1.7000000000000001E-3</v>
      </c>
      <c r="AE80" s="43">
        <f t="shared" si="9"/>
        <v>1.7000000000000014E-3</v>
      </c>
      <c r="AF80" s="43">
        <f t="shared" si="9"/>
        <v>0</v>
      </c>
    </row>
    <row r="81" spans="4:32">
      <c r="D81" t="s">
        <v>107</v>
      </c>
      <c r="G81" t="s">
        <v>108</v>
      </c>
      <c r="H81" s="39"/>
      <c r="I81" s="37">
        <f>IF((I67+I71-I75)&lt;&gt;0,(I67*I69+I71*I73-I75*I77)/(I67+I71-I75),0)</f>
        <v>8.8855447111580055E-2</v>
      </c>
      <c r="J81" s="37">
        <f t="shared" ref="J81:AF81" si="10">IF((J67+J71-J75)&lt;&gt;0,(J67*J69+J71*J73-J75*J77)/(J67+J71-J75),0)</f>
        <v>8.6783911338608563E-2</v>
      </c>
      <c r="K81" s="37">
        <f t="shared" si="10"/>
        <v>8.3325342784224168E-2</v>
      </c>
      <c r="L81" s="37">
        <f t="shared" si="10"/>
        <v>8.1463976176718952E-2</v>
      </c>
      <c r="M81" s="37">
        <f t="shared" si="10"/>
        <v>8.0470916826345357E-2</v>
      </c>
      <c r="N81" s="37">
        <f t="shared" si="10"/>
        <v>8.0148412785848056E-2</v>
      </c>
      <c r="O81" s="37">
        <f t="shared" si="10"/>
        <v>7.8575243900523131E-2</v>
      </c>
      <c r="P81" s="37">
        <f t="shared" si="10"/>
        <v>7.7314476737581725E-2</v>
      </c>
      <c r="Q81" s="37">
        <f t="shared" si="10"/>
        <v>7.6808593949505399E-2</v>
      </c>
      <c r="R81" s="37">
        <f t="shared" si="10"/>
        <v>7.5736273519491817E-2</v>
      </c>
      <c r="S81" s="37">
        <f t="shared" si="10"/>
        <v>7.418381411834199E-2</v>
      </c>
      <c r="T81" s="37">
        <f t="shared" si="10"/>
        <v>7.2338598127834747E-2</v>
      </c>
      <c r="U81" s="37">
        <f t="shared" si="10"/>
        <v>6.9498224449092719E-2</v>
      </c>
      <c r="V81" s="37">
        <f t="shared" si="10"/>
        <v>6.7046618917747755E-2</v>
      </c>
      <c r="W81" s="37">
        <f t="shared" si="10"/>
        <v>6.5572548470637579E-2</v>
      </c>
      <c r="X81" s="37">
        <f t="shared" si="10"/>
        <v>6.421156237976354E-2</v>
      </c>
      <c r="Y81" s="37">
        <f t="shared" si="10"/>
        <v>6.3239979905988689E-2</v>
      </c>
      <c r="Z81" s="37">
        <f t="shared" si="10"/>
        <v>6.0997977965493083E-2</v>
      </c>
      <c r="AA81" s="37">
        <f t="shared" si="10"/>
        <v>5.9641645646690389E-2</v>
      </c>
      <c r="AB81" s="37">
        <f t="shared" si="10"/>
        <v>5.3175944761195235E-2</v>
      </c>
      <c r="AC81" s="37">
        <f t="shared" si="10"/>
        <v>4.9999999999999892E-2</v>
      </c>
      <c r="AD81" s="37">
        <f t="shared" si="10"/>
        <v>4.9999999999999795E-2</v>
      </c>
      <c r="AE81" s="37">
        <f t="shared" si="10"/>
        <v>4.9999999999998386E-2</v>
      </c>
      <c r="AF81" s="37">
        <f t="shared" si="10"/>
        <v>0</v>
      </c>
    </row>
    <row r="82" spans="4:32">
      <c r="D82" t="s">
        <v>109</v>
      </c>
      <c r="G82" t="s">
        <v>108</v>
      </c>
      <c r="H82" s="39"/>
      <c r="I82" s="37">
        <f>IF((I67+I71-I75)&lt;&gt;0,(I67*I70+I71*I74-I75*I78)/(I67+I71-I75),0)</f>
        <v>1.4679766552360853</v>
      </c>
      <c r="J82" s="37">
        <f t="shared" ref="J82:AF82" si="11">IF((J67+J71-J75)&lt;&gt;0,(J67*J70+J71*J74-J75*J78)/(J67+J71-J75),0)</f>
        <v>1.4524204606823357</v>
      </c>
      <c r="K82" s="37">
        <f t="shared" si="11"/>
        <v>1.4068198303385995</v>
      </c>
      <c r="L82" s="37">
        <f t="shared" si="11"/>
        <v>1.3950358682608115</v>
      </c>
      <c r="M82" s="37">
        <f t="shared" si="11"/>
        <v>1.3565387613263615</v>
      </c>
      <c r="N82" s="37">
        <f t="shared" si="11"/>
        <v>1.3082754686098301</v>
      </c>
      <c r="O82" s="37">
        <f t="shared" si="11"/>
        <v>1.3166413994627117</v>
      </c>
      <c r="P82" s="37">
        <f t="shared" si="11"/>
        <v>1.2892536066079221</v>
      </c>
      <c r="Q82" s="37">
        <f t="shared" si="11"/>
        <v>1.2725964861505981</v>
      </c>
      <c r="R82" s="37">
        <f t="shared" si="11"/>
        <v>1.2580770942834152</v>
      </c>
      <c r="S82" s="37">
        <f t="shared" si="11"/>
        <v>1.215847034885629</v>
      </c>
      <c r="T82" s="37">
        <f t="shared" si="11"/>
        <v>1.1608381316949206</v>
      </c>
      <c r="U82" s="37">
        <f t="shared" si="11"/>
        <v>1.1002496311070031</v>
      </c>
      <c r="V82" s="37">
        <f t="shared" si="11"/>
        <v>1.0565050680124723</v>
      </c>
      <c r="W82" s="37">
        <f t="shared" si="11"/>
        <v>1.01903644921957</v>
      </c>
      <c r="X82" s="37">
        <f t="shared" si="11"/>
        <v>1.0035602501811933</v>
      </c>
      <c r="Y82" s="37">
        <f t="shared" si="11"/>
        <v>1.0054156948580859</v>
      </c>
      <c r="Z82" s="37">
        <f t="shared" si="11"/>
        <v>0.9645594043502087</v>
      </c>
      <c r="AA82" s="37">
        <f t="shared" si="11"/>
        <v>1.0119539879968686</v>
      </c>
      <c r="AB82" s="37">
        <f t="shared" si="11"/>
        <v>0.95540755808956235</v>
      </c>
      <c r="AC82" s="37">
        <f t="shared" si="11"/>
        <v>0.92999999999999994</v>
      </c>
      <c r="AD82" s="37">
        <f t="shared" si="11"/>
        <v>0.92999999999999972</v>
      </c>
      <c r="AE82" s="37">
        <f t="shared" si="11"/>
        <v>0.9299999999999975</v>
      </c>
      <c r="AF82" s="37">
        <f t="shared" si="11"/>
        <v>0</v>
      </c>
    </row>
    <row r="83" spans="4:32" ht="6" customHeight="1">
      <c r="D83" s="2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spans="4:32">
      <c r="D84" s="4" t="s">
        <v>123</v>
      </c>
      <c r="E84" s="4"/>
      <c r="F84" s="4"/>
      <c r="G84" s="4"/>
      <c r="H84" s="31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spans="4:32" ht="6" customHeight="1">
      <c r="D85" s="2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spans="4:32">
      <c r="D86" s="28" t="s">
        <v>124</v>
      </c>
      <c r="H86" s="29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spans="4:32">
      <c r="D87" t="s">
        <v>105</v>
      </c>
      <c r="G87" t="s">
        <v>8</v>
      </c>
      <c r="H87" s="33">
        <f>SUM(I87:AF87)</f>
        <v>638953</v>
      </c>
      <c r="I87" s="40">
        <f t="shared" ref="I87:AF87" si="12">I16+I23+I35+I41+I47+I53</f>
        <v>26829</v>
      </c>
      <c r="J87" s="40">
        <f t="shared" si="12"/>
        <v>26388</v>
      </c>
      <c r="K87" s="40">
        <f t="shared" si="12"/>
        <v>27503</v>
      </c>
      <c r="L87" s="40">
        <f t="shared" si="12"/>
        <v>27596</v>
      </c>
      <c r="M87" s="40">
        <f t="shared" si="12"/>
        <v>27683</v>
      </c>
      <c r="N87" s="40">
        <f t="shared" si="12"/>
        <v>27708</v>
      </c>
      <c r="O87" s="40">
        <f t="shared" si="12"/>
        <v>27521</v>
      </c>
      <c r="P87" s="40">
        <f t="shared" si="12"/>
        <v>27447</v>
      </c>
      <c r="Q87" s="40">
        <f t="shared" si="12"/>
        <v>26907</v>
      </c>
      <c r="R87" s="40">
        <f t="shared" si="12"/>
        <v>27416</v>
      </c>
      <c r="S87" s="40">
        <f t="shared" si="12"/>
        <v>27491</v>
      </c>
      <c r="T87" s="40">
        <f t="shared" si="12"/>
        <v>27522</v>
      </c>
      <c r="U87" s="40">
        <f t="shared" si="12"/>
        <v>27522</v>
      </c>
      <c r="V87" s="40">
        <f t="shared" si="12"/>
        <v>27634</v>
      </c>
      <c r="W87" s="40">
        <f t="shared" si="12"/>
        <v>27615</v>
      </c>
      <c r="X87" s="40">
        <f t="shared" si="12"/>
        <v>27286</v>
      </c>
      <c r="Y87" s="40">
        <f t="shared" si="12"/>
        <v>27302</v>
      </c>
      <c r="Z87" s="40">
        <f t="shared" si="12"/>
        <v>27241</v>
      </c>
      <c r="AA87" s="40">
        <f t="shared" si="12"/>
        <v>26976</v>
      </c>
      <c r="AB87" s="40">
        <f t="shared" si="12"/>
        <v>27645</v>
      </c>
      <c r="AC87" s="40">
        <f t="shared" si="12"/>
        <v>27645</v>
      </c>
      <c r="AD87" s="40">
        <f t="shared" si="12"/>
        <v>27721</v>
      </c>
      <c r="AE87" s="40">
        <f t="shared" si="12"/>
        <v>27645</v>
      </c>
      <c r="AF87" s="40">
        <f t="shared" si="12"/>
        <v>8710</v>
      </c>
    </row>
    <row r="88" spans="4:32">
      <c r="D88" t="s">
        <v>106</v>
      </c>
      <c r="G88" t="s">
        <v>50</v>
      </c>
      <c r="H88" s="35">
        <f>IF(SUM(I87:AF87)&lt;&gt;0,SUMPRODUCT(I87:AF87,I88:AF88)/SUM(I87:AF87),0)</f>
        <v>4.8916540027200738E-3</v>
      </c>
      <c r="I88" s="43">
        <f t="shared" ref="I88:AF90" si="13">(I$16*I17+I$23*I24+I$35*I36+I$41*I42+I$47*I48+I$53*I54)/I$87</f>
        <v>5.5930672033993063E-3</v>
      </c>
      <c r="J88" s="43">
        <f t="shared" si="13"/>
        <v>6.5160072760345605E-3</v>
      </c>
      <c r="K88" s="43">
        <f t="shared" si="13"/>
        <v>5.7697160309784388E-3</v>
      </c>
      <c r="L88" s="43">
        <f t="shared" si="13"/>
        <v>5.6915386287867799E-3</v>
      </c>
      <c r="M88" s="43">
        <f t="shared" si="13"/>
        <v>5.6986453780298388E-3</v>
      </c>
      <c r="N88" s="43">
        <f t="shared" si="13"/>
        <v>5.1286343294355422E-3</v>
      </c>
      <c r="O88" s="43">
        <f t="shared" si="13"/>
        <v>5.1292939936775552E-3</v>
      </c>
      <c r="P88" s="43">
        <f t="shared" si="13"/>
        <v>4.5428935767114808E-3</v>
      </c>
      <c r="Q88" s="43">
        <f t="shared" si="13"/>
        <v>5.0117664548258818E-3</v>
      </c>
      <c r="R88" s="43">
        <f t="shared" si="13"/>
        <v>5.9485884155237815E-3</v>
      </c>
      <c r="S88" s="43">
        <f t="shared" si="13"/>
        <v>5.2521698010257909E-3</v>
      </c>
      <c r="T88" s="43">
        <f t="shared" si="13"/>
        <v>4.501104570888744E-3</v>
      </c>
      <c r="U88" s="43">
        <f t="shared" si="13"/>
        <v>4.4096213937940554E-3</v>
      </c>
      <c r="V88" s="43">
        <f t="shared" si="13"/>
        <v>4.8441557501628435E-3</v>
      </c>
      <c r="W88" s="43">
        <f t="shared" si="13"/>
        <v>5.5355567626290056E-3</v>
      </c>
      <c r="X88" s="43">
        <f t="shared" si="13"/>
        <v>6.4283808546507365E-3</v>
      </c>
      <c r="Y88" s="43">
        <f t="shared" si="13"/>
        <v>6.1590909090909083E-3</v>
      </c>
      <c r="Z88" s="43">
        <f t="shared" si="13"/>
        <v>4.879182115194009E-3</v>
      </c>
      <c r="AA88" s="43">
        <f t="shared" si="13"/>
        <v>3.9055642052194537E-3</v>
      </c>
      <c r="AB88" s="43">
        <f t="shared" si="13"/>
        <v>3.4921866521975048E-3</v>
      </c>
      <c r="AC88" s="43">
        <f t="shared" si="13"/>
        <v>3.0100379815518178E-3</v>
      </c>
      <c r="AD88" s="43">
        <f t="shared" si="13"/>
        <v>2.6308105768190178E-3</v>
      </c>
      <c r="AE88" s="43">
        <f t="shared" si="13"/>
        <v>2.6506239826370047E-3</v>
      </c>
      <c r="AF88" s="43">
        <f t="shared" si="13"/>
        <v>4.59150401836969E-3</v>
      </c>
    </row>
    <row r="89" spans="4:32">
      <c r="D89" t="s">
        <v>107</v>
      </c>
      <c r="G89" t="s">
        <v>108</v>
      </c>
      <c r="H89" s="37">
        <f t="shared" ref="H89:H90" si="14">IF(SUM(I88:AF88)&lt;&gt;0,SUMPRODUCT(I88:AF88,I89:AF89)/SUM(I88:AF88),0)</f>
        <v>0.12180021918727618</v>
      </c>
      <c r="I89" s="46">
        <f t="shared" si="13"/>
        <v>0.13190987364419099</v>
      </c>
      <c r="J89" s="46">
        <f t="shared" si="13"/>
        <v>0.15831059572532968</v>
      </c>
      <c r="K89" s="46">
        <f t="shared" si="13"/>
        <v>0.13305784823473801</v>
      </c>
      <c r="L89" s="46">
        <f t="shared" si="13"/>
        <v>0.13044644151326279</v>
      </c>
      <c r="M89" s="46">
        <f t="shared" si="13"/>
        <v>0.13507459451649026</v>
      </c>
      <c r="N89" s="46">
        <f t="shared" si="13"/>
        <v>0.12040349357586257</v>
      </c>
      <c r="O89" s="46">
        <f t="shared" si="13"/>
        <v>0.11497765342829112</v>
      </c>
      <c r="P89" s="46">
        <f t="shared" si="13"/>
        <v>0.10772871352060334</v>
      </c>
      <c r="Q89" s="46">
        <f t="shared" si="13"/>
        <v>0.12023785631991674</v>
      </c>
      <c r="R89" s="46">
        <f t="shared" si="13"/>
        <v>0.14023781733294427</v>
      </c>
      <c r="S89" s="46">
        <f t="shared" si="13"/>
        <v>0.12508093557891672</v>
      </c>
      <c r="T89" s="46">
        <f t="shared" si="13"/>
        <v>0.11133565874573068</v>
      </c>
      <c r="U89" s="46">
        <f t="shared" si="13"/>
        <v>0.10890741951893031</v>
      </c>
      <c r="V89" s="46">
        <f t="shared" si="13"/>
        <v>0.11557935876094666</v>
      </c>
      <c r="W89" s="46">
        <f t="shared" si="13"/>
        <v>0.12758971573420241</v>
      </c>
      <c r="X89" s="46">
        <f t="shared" si="13"/>
        <v>0.14659678956241298</v>
      </c>
      <c r="Y89" s="46">
        <f t="shared" si="13"/>
        <v>0.13598930481283422</v>
      </c>
      <c r="Z89" s="46">
        <f t="shared" si="13"/>
        <v>0.11937520649021693</v>
      </c>
      <c r="AA89" s="46">
        <f t="shared" si="13"/>
        <v>9.684830960854092E-2</v>
      </c>
      <c r="AB89" s="46">
        <f t="shared" si="13"/>
        <v>9.5843733043950094E-2</v>
      </c>
      <c r="AC89" s="46">
        <f t="shared" si="13"/>
        <v>7.9804666304937599E-2</v>
      </c>
      <c r="AD89" s="46">
        <f t="shared" si="13"/>
        <v>6.9804480357851445E-2</v>
      </c>
      <c r="AE89" s="46">
        <f t="shared" si="13"/>
        <v>6.9804666304937604E-2</v>
      </c>
      <c r="AF89" s="46">
        <f t="shared" si="13"/>
        <v>0.11285878300803674</v>
      </c>
    </row>
    <row r="90" spans="4:32">
      <c r="D90" s="5" t="s">
        <v>109</v>
      </c>
      <c r="E90" s="5"/>
      <c r="F90" s="5"/>
      <c r="G90" s="5" t="s">
        <v>108</v>
      </c>
      <c r="H90" s="45">
        <f t="shared" si="14"/>
        <v>1.7698597617568717</v>
      </c>
      <c r="I90" s="47">
        <f t="shared" si="13"/>
        <v>1.8502031383950202</v>
      </c>
      <c r="J90" s="47">
        <f t="shared" si="13"/>
        <v>2.6533090798847963</v>
      </c>
      <c r="K90" s="47">
        <f t="shared" si="13"/>
        <v>2.0952045231429297</v>
      </c>
      <c r="L90" s="47">
        <f t="shared" si="13"/>
        <v>1.7977703290331934</v>
      </c>
      <c r="M90" s="47">
        <f t="shared" si="13"/>
        <v>1.6494332261676843</v>
      </c>
      <c r="N90" s="47">
        <f t="shared" si="13"/>
        <v>1.8198065540638084</v>
      </c>
      <c r="O90" s="47">
        <f t="shared" si="13"/>
        <v>1.5259202063878492</v>
      </c>
      <c r="P90" s="47">
        <f t="shared" si="13"/>
        <v>1.4605829416693989</v>
      </c>
      <c r="Q90" s="47">
        <f t="shared" si="13"/>
        <v>1.6151306351507042</v>
      </c>
      <c r="R90" s="47">
        <f t="shared" si="13"/>
        <v>1.8730474905164867</v>
      </c>
      <c r="S90" s="47">
        <f t="shared" si="13"/>
        <v>1.4444745553090104</v>
      </c>
      <c r="T90" s="47">
        <f t="shared" si="13"/>
        <v>1.243277741443209</v>
      </c>
      <c r="U90" s="47">
        <f t="shared" si="13"/>
        <v>1.4741032628442698</v>
      </c>
      <c r="V90" s="47">
        <f t="shared" si="13"/>
        <v>1.8084446696099008</v>
      </c>
      <c r="W90" s="47">
        <f t="shared" si="13"/>
        <v>1.888584102842658</v>
      </c>
      <c r="X90" s="47">
        <f t="shared" si="13"/>
        <v>2.170893498497398</v>
      </c>
      <c r="Y90" s="47">
        <f t="shared" si="13"/>
        <v>2.1722620320855617</v>
      </c>
      <c r="Z90" s="47">
        <f t="shared" si="13"/>
        <v>1.6929705223743625</v>
      </c>
      <c r="AA90" s="47">
        <f t="shared" si="13"/>
        <v>1.2203688463819691</v>
      </c>
      <c r="AB90" s="47">
        <f t="shared" si="13"/>
        <v>1.5841128594682583</v>
      </c>
      <c r="AC90" s="47">
        <f t="shared" si="13"/>
        <v>1.5308627238198589</v>
      </c>
      <c r="AD90" s="47">
        <f t="shared" si="13"/>
        <v>1.3498549835864508</v>
      </c>
      <c r="AE90" s="47">
        <f t="shared" si="13"/>
        <v>1.385507325013565</v>
      </c>
      <c r="AF90" s="47">
        <f t="shared" si="13"/>
        <v>2.0551722158438581</v>
      </c>
    </row>
    <row r="91" spans="4:32">
      <c r="D91" t="s">
        <v>125</v>
      </c>
      <c r="G91" t="s">
        <v>126</v>
      </c>
      <c r="H91" s="48">
        <f>SUM(I91:AF91)</f>
        <v>3125.5369999999994</v>
      </c>
      <c r="I91" s="37">
        <f>I87*I88</f>
        <v>150.0564</v>
      </c>
      <c r="J91" s="37">
        <f t="shared" ref="J91:AF91" si="15">J87*J88</f>
        <v>171.94439999999997</v>
      </c>
      <c r="K91" s="37">
        <f t="shared" si="15"/>
        <v>158.68450000000001</v>
      </c>
      <c r="L91" s="37">
        <f t="shared" si="15"/>
        <v>157.06369999999998</v>
      </c>
      <c r="M91" s="37">
        <f t="shared" si="15"/>
        <v>157.75560000000002</v>
      </c>
      <c r="N91" s="37">
        <f t="shared" si="15"/>
        <v>142.10419999999999</v>
      </c>
      <c r="O91" s="37">
        <f t="shared" si="15"/>
        <v>141.16329999999999</v>
      </c>
      <c r="P91" s="37">
        <f t="shared" si="15"/>
        <v>124.68880000000001</v>
      </c>
      <c r="Q91" s="37">
        <f t="shared" si="15"/>
        <v>134.85159999999999</v>
      </c>
      <c r="R91" s="37">
        <f t="shared" si="15"/>
        <v>163.0865</v>
      </c>
      <c r="S91" s="37">
        <f t="shared" si="15"/>
        <v>144.38740000000001</v>
      </c>
      <c r="T91" s="37">
        <f t="shared" si="15"/>
        <v>123.87940000000002</v>
      </c>
      <c r="U91" s="37">
        <f t="shared" si="15"/>
        <v>121.3616</v>
      </c>
      <c r="V91" s="37">
        <f t="shared" si="15"/>
        <v>133.86340000000001</v>
      </c>
      <c r="W91" s="37">
        <f t="shared" si="15"/>
        <v>152.86439999999999</v>
      </c>
      <c r="X91" s="37">
        <f t="shared" si="15"/>
        <v>175.40479999999999</v>
      </c>
      <c r="Y91" s="37">
        <f t="shared" si="15"/>
        <v>168.15549999999999</v>
      </c>
      <c r="Z91" s="37">
        <f t="shared" si="15"/>
        <v>132.91380000000001</v>
      </c>
      <c r="AA91" s="37">
        <f t="shared" si="15"/>
        <v>105.35649999999998</v>
      </c>
      <c r="AB91" s="37">
        <f t="shared" si="15"/>
        <v>96.541500000000013</v>
      </c>
      <c r="AC91" s="37">
        <f t="shared" si="15"/>
        <v>83.212500000000006</v>
      </c>
      <c r="AD91" s="37">
        <f t="shared" si="15"/>
        <v>72.928699999999992</v>
      </c>
      <c r="AE91" s="37">
        <f t="shared" si="15"/>
        <v>73.276499999999999</v>
      </c>
      <c r="AF91" s="37">
        <f t="shared" si="15"/>
        <v>39.991999999999997</v>
      </c>
    </row>
    <row r="92" spans="4:32">
      <c r="D92" t="s">
        <v>127</v>
      </c>
      <c r="G92" t="s">
        <v>128</v>
      </c>
      <c r="H92" s="48">
        <f>SUM(I92:AF92)</f>
        <v>2403.2866874760007</v>
      </c>
      <c r="I92" s="37">
        <f>I87*I89*32.1507/1000</f>
        <v>113.78164880700001</v>
      </c>
      <c r="J92" s="37">
        <f t="shared" ref="J92:AF92" si="16">J87*J89*32.1507/1000</f>
        <v>134.30954925</v>
      </c>
      <c r="K92" s="37">
        <f t="shared" si="16"/>
        <v>117.65516514299999</v>
      </c>
      <c r="L92" s="37">
        <f t="shared" si="16"/>
        <v>115.73608985999999</v>
      </c>
      <c r="M92" s="37">
        <f t="shared" si="16"/>
        <v>120.22014798900001</v>
      </c>
      <c r="N92" s="37">
        <f t="shared" si="16"/>
        <v>107.259236298</v>
      </c>
      <c r="O92" s="37">
        <f t="shared" si="16"/>
        <v>101.73446001000001</v>
      </c>
      <c r="P92" s="37">
        <f t="shared" si="16"/>
        <v>95.064154281</v>
      </c>
      <c r="Q92" s="37">
        <f t="shared" si="16"/>
        <v>104.01523066799999</v>
      </c>
      <c r="R92" s="37">
        <f t="shared" si="16"/>
        <v>123.61172533200001</v>
      </c>
      <c r="S92" s="37">
        <f t="shared" si="16"/>
        <v>110.55339701999999</v>
      </c>
      <c r="T92" s="37">
        <f t="shared" si="16"/>
        <v>98.515531925999994</v>
      </c>
      <c r="U92" s="37">
        <f t="shared" si="16"/>
        <v>96.366900645000001</v>
      </c>
      <c r="V92" s="37">
        <f t="shared" si="16"/>
        <v>102.686763744</v>
      </c>
      <c r="W92" s="37">
        <f t="shared" si="16"/>
        <v>113.27945487299999</v>
      </c>
      <c r="X92" s="37">
        <f t="shared" si="16"/>
        <v>128.60408602800001</v>
      </c>
      <c r="Y92" s="37">
        <f t="shared" si="16"/>
        <v>119.36847594599999</v>
      </c>
      <c r="Z92" s="37">
        <f t="shared" si="16"/>
        <v>104.55086132999999</v>
      </c>
      <c r="AA92" s="37">
        <f t="shared" si="16"/>
        <v>83.996275806</v>
      </c>
      <c r="AB92" s="37">
        <f t="shared" si="16"/>
        <v>85.186494720000013</v>
      </c>
      <c r="AC92" s="37">
        <f t="shared" si="16"/>
        <v>70.930874339999988</v>
      </c>
      <c r="AD92" s="37">
        <f t="shared" si="16"/>
        <v>62.213212034999998</v>
      </c>
      <c r="AE92" s="37">
        <f t="shared" si="16"/>
        <v>62.042813325000004</v>
      </c>
      <c r="AF92" s="37">
        <f t="shared" si="16"/>
        <v>31.6041381</v>
      </c>
    </row>
    <row r="93" spans="4:32">
      <c r="D93" t="s">
        <v>129</v>
      </c>
      <c r="G93" t="s">
        <v>128</v>
      </c>
      <c r="H93" s="48">
        <f>SUM(I93:AF93)</f>
        <v>35166.768355443608</v>
      </c>
      <c r="I93" s="37">
        <f>I87*I90*32.1507/1000</f>
        <v>1595.93181237</v>
      </c>
      <c r="J93" s="37">
        <f t="shared" ref="J93:AF93" si="17">J87*J90*32.1507/1000</f>
        <v>2251.047978864</v>
      </c>
      <c r="K93" s="37">
        <f t="shared" si="17"/>
        <v>1852.6651185869998</v>
      </c>
      <c r="L93" s="37">
        <f t="shared" si="17"/>
        <v>1595.0370583890001</v>
      </c>
      <c r="M93" s="37">
        <f t="shared" si="17"/>
        <v>1468.041471882</v>
      </c>
      <c r="N93" s="37">
        <f t="shared" si="17"/>
        <v>1621.1411762400003</v>
      </c>
      <c r="O93" s="37">
        <f t="shared" si="17"/>
        <v>1350.163823895</v>
      </c>
      <c r="P93" s="37">
        <f t="shared" si="17"/>
        <v>1288.8771950339999</v>
      </c>
      <c r="Q93" s="37">
        <f t="shared" si="17"/>
        <v>1397.215408824</v>
      </c>
      <c r="R93" s="37">
        <f t="shared" si="17"/>
        <v>1650.985706529</v>
      </c>
      <c r="S93" s="37">
        <f t="shared" si="17"/>
        <v>1276.7059045350002</v>
      </c>
      <c r="T93" s="37">
        <f t="shared" si="17"/>
        <v>1100.116255743</v>
      </c>
      <c r="U93" s="37">
        <f t="shared" si="17"/>
        <v>1304.3625796889999</v>
      </c>
      <c r="V93" s="37">
        <f t="shared" si="17"/>
        <v>1606.7170861919999</v>
      </c>
      <c r="W93" s="37">
        <f t="shared" si="17"/>
        <v>1676.763494775</v>
      </c>
      <c r="X93" s="37">
        <f t="shared" si="17"/>
        <v>1904.4467145000001</v>
      </c>
      <c r="Y93" s="37">
        <f t="shared" si="17"/>
        <v>1906.7647156686003</v>
      </c>
      <c r="Z93" s="37">
        <f t="shared" si="17"/>
        <v>1482.7327342470003</v>
      </c>
      <c r="AA93" s="37">
        <f t="shared" si="17"/>
        <v>1058.4225849689999</v>
      </c>
      <c r="AB93" s="37">
        <f t="shared" si="17"/>
        <v>1407.9691749600001</v>
      </c>
      <c r="AC93" s="37">
        <f t="shared" si="17"/>
        <v>1360.6401294899999</v>
      </c>
      <c r="AD93" s="37">
        <f t="shared" si="17"/>
        <v>1203.0576530310002</v>
      </c>
      <c r="AE93" s="37">
        <f t="shared" si="17"/>
        <v>1231.4473641450002</v>
      </c>
      <c r="AF93" s="37">
        <f t="shared" si="17"/>
        <v>575.5152128850001</v>
      </c>
    </row>
    <row r="94" spans="4:32" ht="6" customHeight="1">
      <c r="D94" s="2"/>
      <c r="H94" s="29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spans="4:32">
      <c r="D95" t="s">
        <v>130</v>
      </c>
      <c r="G95" t="s">
        <v>50</v>
      </c>
      <c r="H95" s="35">
        <f>IF(SUM(I91:AF91)&lt;&gt;0,SUMPRODUCT(I91:AF91,I95:AF95)/SUM(I91:AF91),0)</f>
        <v>0.90582646607606976</v>
      </c>
      <c r="I95" s="36">
        <f>'Candelaria Inputs'!I250</f>
        <v>0.92100000000000004</v>
      </c>
      <c r="J95" s="36">
        <f>'Candelaria Inputs'!J250</f>
        <v>0.92900000000000005</v>
      </c>
      <c r="K95" s="36">
        <f>'Candelaria Inputs'!K250</f>
        <v>0.93100000000000005</v>
      </c>
      <c r="L95" s="36">
        <f>'Candelaria Inputs'!L250</f>
        <v>0.92800000000000005</v>
      </c>
      <c r="M95" s="36">
        <f>'Candelaria Inputs'!M250</f>
        <v>0.93</v>
      </c>
      <c r="N95" s="36">
        <f>'Candelaria Inputs'!N250</f>
        <v>0.92500000000000004</v>
      </c>
      <c r="O95" s="36">
        <f>'Candelaria Inputs'!O250</f>
        <v>0.92200000000000004</v>
      </c>
      <c r="P95" s="36">
        <f>'Candelaria Inputs'!P250</f>
        <v>0.93</v>
      </c>
      <c r="Q95" s="36">
        <f>'Candelaria Inputs'!Q250</f>
        <v>0.93100000000000005</v>
      </c>
      <c r="R95" s="36">
        <f>'Candelaria Inputs'!R250</f>
        <v>0.92200000000000004</v>
      </c>
      <c r="S95" s="36">
        <f>'Candelaria Inputs'!S250</f>
        <v>0.92400000000000004</v>
      </c>
      <c r="T95" s="36">
        <f>'Candelaria Inputs'!T250</f>
        <v>0.93100000000000005</v>
      </c>
      <c r="U95" s="36">
        <f>'Candelaria Inputs'!U250</f>
        <v>0.93100000000000005</v>
      </c>
      <c r="V95" s="36">
        <f>'Candelaria Inputs'!V250</f>
        <v>0.92200000000000004</v>
      </c>
      <c r="W95" s="36">
        <f>'Candelaria Inputs'!W250</f>
        <v>0.91200000000000003</v>
      </c>
      <c r="X95" s="36">
        <f>'Candelaria Inputs'!X250</f>
        <v>0.88</v>
      </c>
      <c r="Y95" s="36">
        <f>'Candelaria Inputs'!Y250</f>
        <v>0.875</v>
      </c>
      <c r="Z95" s="36">
        <f>'Candelaria Inputs'!Z250</f>
        <v>0.875</v>
      </c>
      <c r="AA95" s="36">
        <f>'Candelaria Inputs'!AA250</f>
        <v>0.85499999999999998</v>
      </c>
      <c r="AB95" s="36">
        <f>'Candelaria Inputs'!AB250</f>
        <v>0.86099999999999999</v>
      </c>
      <c r="AC95" s="36">
        <f>'Candelaria Inputs'!AC250</f>
        <v>0.85</v>
      </c>
      <c r="AD95" s="36">
        <f>'Candelaria Inputs'!AD250</f>
        <v>0.81899999999999995</v>
      </c>
      <c r="AE95" s="36">
        <f>'Candelaria Inputs'!AE250</f>
        <v>0.82599999999999996</v>
      </c>
      <c r="AF95" s="36">
        <f>'Candelaria Inputs'!AF250</f>
        <v>0.82599999999999996</v>
      </c>
    </row>
    <row r="96" spans="4:32">
      <c r="D96" t="s">
        <v>131</v>
      </c>
      <c r="G96" t="s">
        <v>50</v>
      </c>
      <c r="H96" s="35">
        <f t="shared" ref="H96:H97" si="18">IF(SUM(I92:AF92)&lt;&gt;0,SUMPRODUCT(I92:AF92,I96:AF96)/SUM(I92:AF92),0)</f>
        <v>0.70457113326594456</v>
      </c>
      <c r="I96" s="36">
        <f>'Candelaria Inputs'!I257</f>
        <v>0.70899999999999996</v>
      </c>
      <c r="J96" s="36">
        <f>'Candelaria Inputs'!J257</f>
        <v>0.72199999999999998</v>
      </c>
      <c r="K96" s="36">
        <f>'Candelaria Inputs'!K257</f>
        <v>0.71799999999999997</v>
      </c>
      <c r="L96" s="36">
        <f>'Candelaria Inputs'!L257</f>
        <v>0.71799999999999997</v>
      </c>
      <c r="M96" s="36">
        <f>'Candelaria Inputs'!M257</f>
        <v>0.71799999999999997</v>
      </c>
      <c r="N96" s="36">
        <f>'Candelaria Inputs'!N257</f>
        <v>0.69899999999999995</v>
      </c>
      <c r="O96" s="36">
        <f>'Candelaria Inputs'!O257</f>
        <v>0.69899999999999995</v>
      </c>
      <c r="P96" s="36">
        <f>'Candelaria Inputs'!P257</f>
        <v>0.69899999999999995</v>
      </c>
      <c r="Q96" s="36">
        <f>'Candelaria Inputs'!Q257</f>
        <v>0.69899999999999995</v>
      </c>
      <c r="R96" s="36">
        <f>'Candelaria Inputs'!R257</f>
        <v>0.69899999999999995</v>
      </c>
      <c r="S96" s="36">
        <f>'Candelaria Inputs'!S257</f>
        <v>0.69899999999999995</v>
      </c>
      <c r="T96" s="36">
        <f>'Candelaria Inputs'!T257</f>
        <v>0.69899999999999995</v>
      </c>
      <c r="U96" s="36">
        <f>'Candelaria Inputs'!U257</f>
        <v>0.69899999999999995</v>
      </c>
      <c r="V96" s="36">
        <f>'Candelaria Inputs'!V257</f>
        <v>0.69899999999999995</v>
      </c>
      <c r="W96" s="36">
        <f>'Candelaria Inputs'!W257</f>
        <v>0.69899999999999995</v>
      </c>
      <c r="X96" s="36">
        <f>'Candelaria Inputs'!X257</f>
        <v>0.71799999999999997</v>
      </c>
      <c r="Y96" s="36">
        <f>'Candelaria Inputs'!Y257</f>
        <v>0.69899999999999995</v>
      </c>
      <c r="Z96" s="36">
        <f>'Candelaria Inputs'!Z257</f>
        <v>0.69899999999999995</v>
      </c>
      <c r="AA96" s="36">
        <f>'Candelaria Inputs'!AA257</f>
        <v>0.69899999999999995</v>
      </c>
      <c r="AB96" s="36">
        <f>'Candelaria Inputs'!AB257</f>
        <v>0.69899999999999995</v>
      </c>
      <c r="AC96" s="36">
        <f>'Candelaria Inputs'!AC257</f>
        <v>0.69899999999999995</v>
      </c>
      <c r="AD96" s="36">
        <f>'Candelaria Inputs'!AD257</f>
        <v>0.69899999999999995</v>
      </c>
      <c r="AE96" s="36">
        <f>'Candelaria Inputs'!AE257</f>
        <v>0.69899999999999995</v>
      </c>
      <c r="AF96" s="36">
        <f>'Candelaria Inputs'!AF257</f>
        <v>0.69899999999999995</v>
      </c>
    </row>
    <row r="97" spans="4:32">
      <c r="D97" t="s">
        <v>132</v>
      </c>
      <c r="G97" t="s">
        <v>50</v>
      </c>
      <c r="H97" s="35">
        <f t="shared" si="18"/>
        <v>0.81123286981190623</v>
      </c>
      <c r="I97" s="36">
        <f>'Candelaria Inputs'!I264</f>
        <v>0.81499999999999995</v>
      </c>
      <c r="J97" s="36">
        <f>'Candelaria Inputs'!J264</f>
        <v>0.82699999999999996</v>
      </c>
      <c r="K97" s="36">
        <f>'Candelaria Inputs'!K264</f>
        <v>0.82199999999999995</v>
      </c>
      <c r="L97" s="36">
        <f>'Candelaria Inputs'!L264</f>
        <v>0.81399999999999995</v>
      </c>
      <c r="M97" s="36">
        <f>'Candelaria Inputs'!M264</f>
        <v>0.81399999999999995</v>
      </c>
      <c r="N97" s="36">
        <f>'Candelaria Inputs'!N264</f>
        <v>0.81399999999999995</v>
      </c>
      <c r="O97" s="36">
        <f>'Candelaria Inputs'!O264</f>
        <v>0.79900000000000004</v>
      </c>
      <c r="P97" s="36">
        <f>'Candelaria Inputs'!P264</f>
        <v>0.79900000000000004</v>
      </c>
      <c r="Q97" s="36">
        <f>'Candelaria Inputs'!Q264</f>
        <v>0.81399999999999995</v>
      </c>
      <c r="R97" s="36">
        <f>'Candelaria Inputs'!R264</f>
        <v>0.81399999999999995</v>
      </c>
      <c r="S97" s="36">
        <f>'Candelaria Inputs'!S264</f>
        <v>0.79900000000000004</v>
      </c>
      <c r="T97" s="36">
        <f>'Candelaria Inputs'!T264</f>
        <v>0.79900000000000004</v>
      </c>
      <c r="U97" s="36">
        <f>'Candelaria Inputs'!U264</f>
        <v>0.79900000000000004</v>
      </c>
      <c r="V97" s="36">
        <f>'Candelaria Inputs'!V264</f>
        <v>0.81399999999999995</v>
      </c>
      <c r="W97" s="36">
        <f>'Candelaria Inputs'!W264</f>
        <v>0.81399999999999995</v>
      </c>
      <c r="X97" s="36">
        <f>'Candelaria Inputs'!X264</f>
        <v>0.82599999999999996</v>
      </c>
      <c r="Y97" s="36">
        <f>'Candelaria Inputs'!Y264</f>
        <v>0.82599999999999996</v>
      </c>
      <c r="Z97" s="36">
        <f>'Candelaria Inputs'!Z264</f>
        <v>0.81399999999999995</v>
      </c>
      <c r="AA97" s="36">
        <f>'Candelaria Inputs'!AA264</f>
        <v>0.79900000000000004</v>
      </c>
      <c r="AB97" s="36">
        <f>'Candelaria Inputs'!AB264</f>
        <v>0.79900000000000004</v>
      </c>
      <c r="AC97" s="36">
        <f>'Candelaria Inputs'!AC264</f>
        <v>0.79900000000000004</v>
      </c>
      <c r="AD97" s="36">
        <f>'Candelaria Inputs'!AD264</f>
        <v>0.79900000000000004</v>
      </c>
      <c r="AE97" s="36">
        <f>'Candelaria Inputs'!AE264</f>
        <v>0.79900000000000004</v>
      </c>
      <c r="AF97" s="36">
        <f>'Candelaria Inputs'!AF264</f>
        <v>0.81399999999999995</v>
      </c>
    </row>
    <row r="98" spans="4:32" ht="6" customHeight="1">
      <c r="D98" s="2"/>
      <c r="H98" s="29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4:32">
      <c r="D99" t="s">
        <v>133</v>
      </c>
      <c r="G99" t="s">
        <v>8</v>
      </c>
      <c r="H99" s="48">
        <f>SUM(I99:AF99)</f>
        <v>2831.1941353000002</v>
      </c>
      <c r="I99" s="37">
        <f>I91*I95</f>
        <v>138.2019444</v>
      </c>
      <c r="J99" s="37">
        <f t="shared" ref="J99:AF101" si="19">J91*J95</f>
        <v>159.73634759999999</v>
      </c>
      <c r="K99" s="37">
        <f t="shared" si="19"/>
        <v>147.73526950000002</v>
      </c>
      <c r="L99" s="37">
        <f t="shared" si="19"/>
        <v>145.75511359999999</v>
      </c>
      <c r="M99" s="37">
        <f t="shared" si="19"/>
        <v>146.71270800000002</v>
      </c>
      <c r="N99" s="37">
        <f t="shared" si="19"/>
        <v>131.44638499999999</v>
      </c>
      <c r="O99" s="37">
        <f t="shared" si="19"/>
        <v>130.15256260000001</v>
      </c>
      <c r="P99" s="37">
        <f t="shared" si="19"/>
        <v>115.96058400000003</v>
      </c>
      <c r="Q99" s="37">
        <f t="shared" si="19"/>
        <v>125.5468396</v>
      </c>
      <c r="R99" s="37">
        <f t="shared" si="19"/>
        <v>150.36575300000001</v>
      </c>
      <c r="S99" s="37">
        <f t="shared" si="19"/>
        <v>133.41395760000003</v>
      </c>
      <c r="T99" s="37">
        <f t="shared" si="19"/>
        <v>115.33172140000002</v>
      </c>
      <c r="U99" s="37">
        <f t="shared" si="19"/>
        <v>112.9876496</v>
      </c>
      <c r="V99" s="37">
        <f t="shared" si="19"/>
        <v>123.42205480000001</v>
      </c>
      <c r="W99" s="37">
        <f t="shared" si="19"/>
        <v>139.4123328</v>
      </c>
      <c r="X99" s="37">
        <f t="shared" si="19"/>
        <v>154.356224</v>
      </c>
      <c r="Y99" s="37">
        <f t="shared" si="19"/>
        <v>147.13606249999998</v>
      </c>
      <c r="Z99" s="37">
        <f t="shared" si="19"/>
        <v>116.299575</v>
      </c>
      <c r="AA99" s="37">
        <f t="shared" si="19"/>
        <v>90.079807499999987</v>
      </c>
      <c r="AB99" s="37">
        <f t="shared" si="19"/>
        <v>83.122231500000012</v>
      </c>
      <c r="AC99" s="37">
        <f t="shared" si="19"/>
        <v>70.730625000000003</v>
      </c>
      <c r="AD99" s="37">
        <f t="shared" si="19"/>
        <v>59.728605299999991</v>
      </c>
      <c r="AE99" s="37">
        <f t="shared" si="19"/>
        <v>60.526388999999995</v>
      </c>
      <c r="AF99" s="37">
        <f t="shared" si="19"/>
        <v>33.033391999999999</v>
      </c>
    </row>
    <row r="100" spans="4:32">
      <c r="D100" t="s">
        <v>134</v>
      </c>
      <c r="G100" t="s">
        <v>135</v>
      </c>
      <c r="H100" s="48">
        <f>SUM(I100:AF100)</f>
        <v>1693.2864249579238</v>
      </c>
      <c r="I100" s="37">
        <f t="shared" ref="I100:X101" si="20">I92*I96</f>
        <v>80.671189004162997</v>
      </c>
      <c r="J100" s="37">
        <f t="shared" si="20"/>
        <v>96.971494558499998</v>
      </c>
      <c r="K100" s="37">
        <f t="shared" si="20"/>
        <v>84.476408572673989</v>
      </c>
      <c r="L100" s="37">
        <f t="shared" si="20"/>
        <v>83.098512519479996</v>
      </c>
      <c r="M100" s="37">
        <f t="shared" si="20"/>
        <v>86.318066256102</v>
      </c>
      <c r="N100" s="37">
        <f t="shared" si="20"/>
        <v>74.974206172302004</v>
      </c>
      <c r="O100" s="37">
        <f t="shared" si="20"/>
        <v>71.112387546989993</v>
      </c>
      <c r="P100" s="37">
        <f t="shared" si="20"/>
        <v>66.449843842419</v>
      </c>
      <c r="Q100" s="37">
        <f t="shared" si="20"/>
        <v>72.706646236931988</v>
      </c>
      <c r="R100" s="37">
        <f t="shared" si="20"/>
        <v>86.404596007067994</v>
      </c>
      <c r="S100" s="37">
        <f t="shared" si="20"/>
        <v>77.276824516979985</v>
      </c>
      <c r="T100" s="37">
        <f t="shared" si="20"/>
        <v>68.862356816273987</v>
      </c>
      <c r="U100" s="37">
        <f t="shared" si="20"/>
        <v>67.360463550855002</v>
      </c>
      <c r="V100" s="37">
        <f t="shared" si="20"/>
        <v>71.778047857055995</v>
      </c>
      <c r="W100" s="37">
        <f t="shared" si="20"/>
        <v>79.182338956226985</v>
      </c>
      <c r="X100" s="37">
        <f t="shared" si="20"/>
        <v>92.337733768104002</v>
      </c>
      <c r="Y100" s="37">
        <f t="shared" si="19"/>
        <v>83.438564686253983</v>
      </c>
      <c r="Z100" s="37">
        <f t="shared" si="19"/>
        <v>73.081052069669994</v>
      </c>
      <c r="AA100" s="37">
        <f t="shared" si="19"/>
        <v>58.713396788393993</v>
      </c>
      <c r="AB100" s="37">
        <f t="shared" si="19"/>
        <v>59.545359809280008</v>
      </c>
      <c r="AC100" s="37">
        <f t="shared" si="19"/>
        <v>49.580681163659989</v>
      </c>
      <c r="AD100" s="37">
        <f t="shared" si="19"/>
        <v>43.487035212464995</v>
      </c>
      <c r="AE100" s="37">
        <f t="shared" si="19"/>
        <v>43.367926514175004</v>
      </c>
      <c r="AF100" s="37">
        <f t="shared" si="19"/>
        <v>22.091292531899999</v>
      </c>
    </row>
    <row r="101" spans="4:32">
      <c r="D101" t="s">
        <v>136</v>
      </c>
      <c r="G101" t="s">
        <v>135</v>
      </c>
      <c r="H101" s="48">
        <f>SUM(I101:AF101)</f>
        <v>28528.43841499705</v>
      </c>
      <c r="I101" s="37">
        <f t="shared" si="20"/>
        <v>1300.68442708155</v>
      </c>
      <c r="J101" s="37">
        <f t="shared" si="19"/>
        <v>1861.616678520528</v>
      </c>
      <c r="K101" s="37">
        <f t="shared" si="19"/>
        <v>1522.8907274785138</v>
      </c>
      <c r="L101" s="37">
        <f t="shared" si="19"/>
        <v>1298.3601655286459</v>
      </c>
      <c r="M101" s="37">
        <f t="shared" si="19"/>
        <v>1194.9857581119479</v>
      </c>
      <c r="N101" s="37">
        <f t="shared" si="19"/>
        <v>1319.6089174593601</v>
      </c>
      <c r="O101" s="37">
        <f t="shared" si="19"/>
        <v>1078.780895292105</v>
      </c>
      <c r="P101" s="37">
        <f t="shared" si="19"/>
        <v>1029.812878832166</v>
      </c>
      <c r="Q101" s="37">
        <f t="shared" si="19"/>
        <v>1137.3333427827358</v>
      </c>
      <c r="R101" s="37">
        <f t="shared" si="19"/>
        <v>1343.902365114606</v>
      </c>
      <c r="S101" s="37">
        <f t="shared" si="19"/>
        <v>1020.0880177234652</v>
      </c>
      <c r="T101" s="37">
        <f t="shared" si="19"/>
        <v>878.99288833865705</v>
      </c>
      <c r="U101" s="37">
        <f t="shared" si="19"/>
        <v>1042.185701171511</v>
      </c>
      <c r="V101" s="37">
        <f t="shared" si="19"/>
        <v>1307.8677081602877</v>
      </c>
      <c r="W101" s="37">
        <f t="shared" si="19"/>
        <v>1364.8854847468499</v>
      </c>
      <c r="X101" s="37">
        <f t="shared" si="19"/>
        <v>1573.0729861770001</v>
      </c>
      <c r="Y101" s="37">
        <f t="shared" si="19"/>
        <v>1574.9876551422637</v>
      </c>
      <c r="Z101" s="37">
        <f t="shared" si="19"/>
        <v>1206.9444456770582</v>
      </c>
      <c r="AA101" s="37">
        <f t="shared" si="19"/>
        <v>845.67964539023092</v>
      </c>
      <c r="AB101" s="37">
        <f t="shared" si="19"/>
        <v>1124.9673707930401</v>
      </c>
      <c r="AC101" s="37">
        <f t="shared" si="19"/>
        <v>1087.15146346251</v>
      </c>
      <c r="AD101" s="37">
        <f t="shared" si="19"/>
        <v>961.24306477176924</v>
      </c>
      <c r="AE101" s="37">
        <f t="shared" si="19"/>
        <v>983.92644395185516</v>
      </c>
      <c r="AF101" s="37">
        <f t="shared" si="19"/>
        <v>468.46938328839002</v>
      </c>
    </row>
    <row r="102" spans="4:32" ht="6" customHeight="1">
      <c r="D102" s="2"/>
      <c r="H102" s="29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spans="4:32">
      <c r="D103" s="28" t="s">
        <v>137</v>
      </c>
      <c r="H103" s="29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spans="4:32">
      <c r="D104" t="s">
        <v>116</v>
      </c>
      <c r="G104" t="s">
        <v>8</v>
      </c>
      <c r="H104" s="49">
        <f>SUM(I104:AF104)</f>
        <v>15263</v>
      </c>
      <c r="I104" s="40">
        <f>I59</f>
        <v>1312</v>
      </c>
      <c r="J104" s="40">
        <f t="shared" ref="J104:AF107" si="21">J59</f>
        <v>1329</v>
      </c>
      <c r="K104" s="40">
        <f t="shared" si="21"/>
        <v>1327</v>
      </c>
      <c r="L104" s="40">
        <f t="shared" si="21"/>
        <v>1348</v>
      </c>
      <c r="M104" s="40">
        <f t="shared" si="21"/>
        <v>1358</v>
      </c>
      <c r="N104" s="40">
        <f t="shared" si="21"/>
        <v>1354</v>
      </c>
      <c r="O104" s="40">
        <f t="shared" si="21"/>
        <v>1351</v>
      </c>
      <c r="P104" s="40">
        <f t="shared" si="21"/>
        <v>1351</v>
      </c>
      <c r="Q104" s="40">
        <f t="shared" si="21"/>
        <v>1351</v>
      </c>
      <c r="R104" s="40">
        <f t="shared" si="21"/>
        <v>1351</v>
      </c>
      <c r="S104" s="40">
        <f t="shared" si="21"/>
        <v>1351</v>
      </c>
      <c r="T104" s="40">
        <f t="shared" si="21"/>
        <v>480</v>
      </c>
      <c r="U104" s="40">
        <f t="shared" si="21"/>
        <v>0</v>
      </c>
      <c r="V104" s="40">
        <f t="shared" si="21"/>
        <v>0</v>
      </c>
      <c r="W104" s="40">
        <f t="shared" si="21"/>
        <v>0</v>
      </c>
      <c r="X104" s="40">
        <f t="shared" si="21"/>
        <v>0</v>
      </c>
      <c r="Y104" s="40">
        <f t="shared" si="21"/>
        <v>0</v>
      </c>
      <c r="Z104" s="40">
        <f t="shared" si="21"/>
        <v>0</v>
      </c>
      <c r="AA104" s="40">
        <f t="shared" si="21"/>
        <v>0</v>
      </c>
      <c r="AB104" s="40">
        <f t="shared" si="21"/>
        <v>0</v>
      </c>
      <c r="AC104" s="40">
        <f t="shared" si="21"/>
        <v>0</v>
      </c>
      <c r="AD104" s="40">
        <f t="shared" si="21"/>
        <v>0</v>
      </c>
      <c r="AE104" s="40">
        <f t="shared" si="21"/>
        <v>0</v>
      </c>
      <c r="AF104" s="40">
        <f t="shared" si="21"/>
        <v>0</v>
      </c>
    </row>
    <row r="105" spans="4:32">
      <c r="D105" t="s">
        <v>106</v>
      </c>
      <c r="G105" t="s">
        <v>50</v>
      </c>
      <c r="H105" s="50">
        <f>SUMPRODUCT(I104:AF104,I105:AF105)/SUM(I104:AF104)</f>
        <v>8.8602502784511546E-3</v>
      </c>
      <c r="I105" s="43">
        <f>I60</f>
        <v>1.03E-2</v>
      </c>
      <c r="J105" s="43">
        <f t="shared" si="21"/>
        <v>0.01</v>
      </c>
      <c r="K105" s="43">
        <f t="shared" si="21"/>
        <v>1.0500000000000001E-2</v>
      </c>
      <c r="L105" s="43">
        <f t="shared" si="21"/>
        <v>1.0200000000000001E-2</v>
      </c>
      <c r="M105" s="43">
        <f t="shared" si="21"/>
        <v>9.1999999999999998E-3</v>
      </c>
      <c r="N105" s="43">
        <f t="shared" si="21"/>
        <v>9.2999999999999992E-3</v>
      </c>
      <c r="O105" s="43">
        <f t="shared" si="21"/>
        <v>8.6999999999999994E-3</v>
      </c>
      <c r="P105" s="43">
        <f t="shared" si="21"/>
        <v>7.0000000000000001E-3</v>
      </c>
      <c r="Q105" s="43">
        <f t="shared" si="21"/>
        <v>7.6E-3</v>
      </c>
      <c r="R105" s="43">
        <f t="shared" si="21"/>
        <v>7.6E-3</v>
      </c>
      <c r="S105" s="43">
        <f t="shared" si="21"/>
        <v>7.6E-3</v>
      </c>
      <c r="T105" s="43">
        <f t="shared" si="21"/>
        <v>7.6E-3</v>
      </c>
      <c r="U105" s="43">
        <f t="shared" si="21"/>
        <v>0</v>
      </c>
      <c r="V105" s="43">
        <f t="shared" si="21"/>
        <v>0</v>
      </c>
      <c r="W105" s="43">
        <f t="shared" si="21"/>
        <v>0</v>
      </c>
      <c r="X105" s="43">
        <f t="shared" si="21"/>
        <v>0</v>
      </c>
      <c r="Y105" s="43">
        <f t="shared" si="21"/>
        <v>0</v>
      </c>
      <c r="Z105" s="43">
        <f t="shared" si="21"/>
        <v>0</v>
      </c>
      <c r="AA105" s="43">
        <f t="shared" si="21"/>
        <v>0</v>
      </c>
      <c r="AB105" s="43">
        <f t="shared" si="21"/>
        <v>0</v>
      </c>
      <c r="AC105" s="43">
        <f t="shared" si="21"/>
        <v>0</v>
      </c>
      <c r="AD105" s="43">
        <f t="shared" si="21"/>
        <v>0</v>
      </c>
      <c r="AE105" s="43">
        <f t="shared" si="21"/>
        <v>0</v>
      </c>
      <c r="AF105" s="43">
        <f t="shared" si="21"/>
        <v>0</v>
      </c>
    </row>
    <row r="106" spans="4:32">
      <c r="D106" t="s">
        <v>107</v>
      </c>
      <c r="G106" t="s">
        <v>108</v>
      </c>
      <c r="H106" s="48">
        <f>SUMPRODUCT(I104:AF104,I106:AF106)/SUM(I104:AF104)</f>
        <v>0.20630216864312387</v>
      </c>
      <c r="I106" s="37">
        <f>I61</f>
        <v>0.22</v>
      </c>
      <c r="J106" s="37">
        <f t="shared" si="21"/>
        <v>0.23</v>
      </c>
      <c r="K106" s="37">
        <f t="shared" si="21"/>
        <v>0.24</v>
      </c>
      <c r="L106" s="37">
        <f t="shared" si="21"/>
        <v>0.23</v>
      </c>
      <c r="M106" s="37">
        <f t="shared" si="21"/>
        <v>0.22</v>
      </c>
      <c r="N106" s="37">
        <f t="shared" si="21"/>
        <v>0.22</v>
      </c>
      <c r="O106" s="37">
        <f t="shared" si="21"/>
        <v>0.2</v>
      </c>
      <c r="P106" s="37">
        <f t="shared" si="21"/>
        <v>0.17</v>
      </c>
      <c r="Q106" s="37">
        <f t="shared" si="21"/>
        <v>0.19</v>
      </c>
      <c r="R106" s="37">
        <f t="shared" si="21"/>
        <v>0.18</v>
      </c>
      <c r="S106" s="37">
        <f t="shared" si="21"/>
        <v>0.18</v>
      </c>
      <c r="T106" s="37">
        <f t="shared" si="21"/>
        <v>0.18</v>
      </c>
      <c r="U106" s="37">
        <f t="shared" si="21"/>
        <v>0</v>
      </c>
      <c r="V106" s="37">
        <f t="shared" si="21"/>
        <v>0</v>
      </c>
      <c r="W106" s="37">
        <f t="shared" si="21"/>
        <v>0</v>
      </c>
      <c r="X106" s="37">
        <f t="shared" si="21"/>
        <v>0</v>
      </c>
      <c r="Y106" s="37">
        <f t="shared" si="21"/>
        <v>0</v>
      </c>
      <c r="Z106" s="37">
        <f t="shared" si="21"/>
        <v>0</v>
      </c>
      <c r="AA106" s="37">
        <f t="shared" si="21"/>
        <v>0</v>
      </c>
      <c r="AB106" s="37">
        <f t="shared" si="21"/>
        <v>0</v>
      </c>
      <c r="AC106" s="37">
        <f t="shared" si="21"/>
        <v>0</v>
      </c>
      <c r="AD106" s="37">
        <f t="shared" si="21"/>
        <v>0</v>
      </c>
      <c r="AE106" s="37">
        <f t="shared" si="21"/>
        <v>0</v>
      </c>
      <c r="AF106" s="37">
        <f t="shared" si="21"/>
        <v>0</v>
      </c>
    </row>
    <row r="107" spans="4:32">
      <c r="D107" s="5" t="s">
        <v>109</v>
      </c>
      <c r="E107" s="5"/>
      <c r="F107" s="5"/>
      <c r="G107" s="5" t="s">
        <v>108</v>
      </c>
      <c r="H107" s="51">
        <f>SUMPRODUCT(I104:AF104,I107:AF107)/SUM(I104:AF104)</f>
        <v>2.0628028565812753</v>
      </c>
      <c r="I107" s="45">
        <f>I62</f>
        <v>2.1</v>
      </c>
      <c r="J107" s="45">
        <f t="shared" si="21"/>
        <v>2.44</v>
      </c>
      <c r="K107" s="45">
        <f t="shared" si="21"/>
        <v>2.44</v>
      </c>
      <c r="L107" s="45">
        <f t="shared" si="21"/>
        <v>2.4700000000000002</v>
      </c>
      <c r="M107" s="45">
        <f t="shared" si="21"/>
        <v>2.54</v>
      </c>
      <c r="N107" s="45">
        <f t="shared" si="21"/>
        <v>2.11</v>
      </c>
      <c r="O107" s="45">
        <f t="shared" si="21"/>
        <v>1.95</v>
      </c>
      <c r="P107" s="45">
        <f t="shared" si="21"/>
        <v>1.48</v>
      </c>
      <c r="Q107" s="45">
        <f t="shared" si="21"/>
        <v>1.69</v>
      </c>
      <c r="R107" s="45">
        <f t="shared" si="21"/>
        <v>1.79</v>
      </c>
      <c r="S107" s="45">
        <f t="shared" si="21"/>
        <v>1.79</v>
      </c>
      <c r="T107" s="45">
        <f t="shared" si="21"/>
        <v>1.79</v>
      </c>
      <c r="U107" s="45">
        <f t="shared" si="21"/>
        <v>0</v>
      </c>
      <c r="V107" s="45">
        <f t="shared" si="21"/>
        <v>0</v>
      </c>
      <c r="W107" s="45">
        <f t="shared" si="21"/>
        <v>0</v>
      </c>
      <c r="X107" s="45">
        <f t="shared" si="21"/>
        <v>0</v>
      </c>
      <c r="Y107" s="45">
        <f t="shared" si="21"/>
        <v>0</v>
      </c>
      <c r="Z107" s="45">
        <f t="shared" si="21"/>
        <v>0</v>
      </c>
      <c r="AA107" s="45">
        <f t="shared" si="21"/>
        <v>0</v>
      </c>
      <c r="AB107" s="45">
        <f t="shared" si="21"/>
        <v>0</v>
      </c>
      <c r="AC107" s="45">
        <f t="shared" si="21"/>
        <v>0</v>
      </c>
      <c r="AD107" s="45">
        <f t="shared" si="21"/>
        <v>0</v>
      </c>
      <c r="AE107" s="45">
        <f t="shared" si="21"/>
        <v>0</v>
      </c>
      <c r="AF107" s="45">
        <f t="shared" si="21"/>
        <v>0</v>
      </c>
    </row>
    <row r="108" spans="4:32">
      <c r="D108" t="s">
        <v>138</v>
      </c>
      <c r="G108" t="s">
        <v>8</v>
      </c>
      <c r="H108" s="48">
        <f>SUM(I108:AF108)</f>
        <v>135.23399999999998</v>
      </c>
      <c r="I108" s="37">
        <f>I104*I105</f>
        <v>13.5136</v>
      </c>
      <c r="J108" s="37">
        <f t="shared" ref="J108:AF108" si="22">J104*J105</f>
        <v>13.290000000000001</v>
      </c>
      <c r="K108" s="37">
        <f t="shared" si="22"/>
        <v>13.9335</v>
      </c>
      <c r="L108" s="37">
        <f t="shared" si="22"/>
        <v>13.749600000000001</v>
      </c>
      <c r="M108" s="37">
        <f t="shared" si="22"/>
        <v>12.493599999999999</v>
      </c>
      <c r="N108" s="37">
        <f t="shared" si="22"/>
        <v>12.592199999999998</v>
      </c>
      <c r="O108" s="37">
        <f t="shared" si="22"/>
        <v>11.753699999999998</v>
      </c>
      <c r="P108" s="37">
        <f t="shared" si="22"/>
        <v>9.4570000000000007</v>
      </c>
      <c r="Q108" s="37">
        <f t="shared" si="22"/>
        <v>10.2676</v>
      </c>
      <c r="R108" s="37">
        <f t="shared" si="22"/>
        <v>10.2676</v>
      </c>
      <c r="S108" s="37">
        <f t="shared" si="22"/>
        <v>10.2676</v>
      </c>
      <c r="T108" s="37">
        <f t="shared" si="22"/>
        <v>3.6480000000000001</v>
      </c>
      <c r="U108" s="37">
        <f t="shared" si="22"/>
        <v>0</v>
      </c>
      <c r="V108" s="37">
        <f t="shared" si="22"/>
        <v>0</v>
      </c>
      <c r="W108" s="37">
        <f t="shared" si="22"/>
        <v>0</v>
      </c>
      <c r="X108" s="37">
        <f t="shared" si="22"/>
        <v>0</v>
      </c>
      <c r="Y108" s="37">
        <f t="shared" si="22"/>
        <v>0</v>
      </c>
      <c r="Z108" s="37">
        <f t="shared" si="22"/>
        <v>0</v>
      </c>
      <c r="AA108" s="37">
        <f t="shared" si="22"/>
        <v>0</v>
      </c>
      <c r="AB108" s="37">
        <f t="shared" si="22"/>
        <v>0</v>
      </c>
      <c r="AC108" s="37">
        <f t="shared" si="22"/>
        <v>0</v>
      </c>
      <c r="AD108" s="37">
        <f t="shared" si="22"/>
        <v>0</v>
      </c>
      <c r="AE108" s="37">
        <f t="shared" si="22"/>
        <v>0</v>
      </c>
      <c r="AF108" s="37">
        <f t="shared" si="22"/>
        <v>0</v>
      </c>
    </row>
    <row r="109" spans="4:32">
      <c r="D109" t="s">
        <v>139</v>
      </c>
      <c r="G109" t="s">
        <v>135</v>
      </c>
      <c r="H109" s="48">
        <f>SUM(I109:AF109)</f>
        <v>101.23580265300001</v>
      </c>
      <c r="I109" s="37">
        <f>I104*I106*32.1507/1000</f>
        <v>9.2799780479999985</v>
      </c>
      <c r="J109" s="37">
        <f t="shared" ref="J109:AF109" si="23">J104*J106*32.1507/1000</f>
        <v>9.8275044690000009</v>
      </c>
      <c r="K109" s="37">
        <f t="shared" si="23"/>
        <v>10.239354936</v>
      </c>
      <c r="L109" s="37">
        <f t="shared" si="23"/>
        <v>9.9680030280000018</v>
      </c>
      <c r="M109" s="37">
        <f t="shared" si="23"/>
        <v>9.6053431319999998</v>
      </c>
      <c r="N109" s="37">
        <f t="shared" si="23"/>
        <v>9.5770505159999999</v>
      </c>
      <c r="O109" s="37">
        <f t="shared" si="23"/>
        <v>8.6871191399999983</v>
      </c>
      <c r="P109" s="37">
        <f t="shared" si="23"/>
        <v>7.3840512690000004</v>
      </c>
      <c r="Q109" s="37">
        <f t="shared" si="23"/>
        <v>8.2527631830000008</v>
      </c>
      <c r="R109" s="37">
        <f t="shared" si="23"/>
        <v>7.8184072259999997</v>
      </c>
      <c r="S109" s="37">
        <f t="shared" si="23"/>
        <v>7.8184072259999997</v>
      </c>
      <c r="T109" s="37">
        <f t="shared" si="23"/>
        <v>2.7778204799999999</v>
      </c>
      <c r="U109" s="37">
        <f t="shared" si="23"/>
        <v>0</v>
      </c>
      <c r="V109" s="37">
        <f t="shared" si="23"/>
        <v>0</v>
      </c>
      <c r="W109" s="37">
        <f t="shared" si="23"/>
        <v>0</v>
      </c>
      <c r="X109" s="37">
        <f t="shared" si="23"/>
        <v>0</v>
      </c>
      <c r="Y109" s="37">
        <f t="shared" si="23"/>
        <v>0</v>
      </c>
      <c r="Z109" s="37">
        <f t="shared" si="23"/>
        <v>0</v>
      </c>
      <c r="AA109" s="37">
        <f t="shared" si="23"/>
        <v>0</v>
      </c>
      <c r="AB109" s="37">
        <f t="shared" si="23"/>
        <v>0</v>
      </c>
      <c r="AC109" s="37">
        <f t="shared" si="23"/>
        <v>0</v>
      </c>
      <c r="AD109" s="37">
        <f t="shared" si="23"/>
        <v>0</v>
      </c>
      <c r="AE109" s="37">
        <f t="shared" si="23"/>
        <v>0</v>
      </c>
      <c r="AF109" s="37">
        <f t="shared" si="23"/>
        <v>0</v>
      </c>
    </row>
    <row r="110" spans="4:32">
      <c r="D110" t="s">
        <v>140</v>
      </c>
      <c r="G110" t="s">
        <v>135</v>
      </c>
      <c r="H110" s="48">
        <f>SUM(I110:AF110)</f>
        <v>1012.250643192</v>
      </c>
      <c r="I110" s="37">
        <f>I104*I107*32.1507/1000</f>
        <v>88.581608639999999</v>
      </c>
      <c r="J110" s="37">
        <f t="shared" ref="J110:AF110" si="24">J104*J107*32.1507/1000</f>
        <v>104.25700393199999</v>
      </c>
      <c r="K110" s="37">
        <f t="shared" si="24"/>
        <v>104.10010851600001</v>
      </c>
      <c r="L110" s="37">
        <f t="shared" si="24"/>
        <v>107.047684692</v>
      </c>
      <c r="M110" s="37">
        <f t="shared" si="24"/>
        <v>110.89805252400001</v>
      </c>
      <c r="N110" s="37">
        <f t="shared" si="24"/>
        <v>91.852620858000009</v>
      </c>
      <c r="O110" s="37">
        <f t="shared" si="24"/>
        <v>84.699411614999988</v>
      </c>
      <c r="P110" s="37">
        <f t="shared" si="24"/>
        <v>64.284681636000002</v>
      </c>
      <c r="Q110" s="37">
        <f t="shared" si="24"/>
        <v>73.406156733000003</v>
      </c>
      <c r="R110" s="37">
        <f t="shared" si="24"/>
        <v>77.749716303</v>
      </c>
      <c r="S110" s="37">
        <f t="shared" si="24"/>
        <v>77.749716303</v>
      </c>
      <c r="T110" s="37">
        <f t="shared" si="24"/>
        <v>27.623881440000002</v>
      </c>
      <c r="U110" s="37">
        <f t="shared" si="24"/>
        <v>0</v>
      </c>
      <c r="V110" s="37">
        <f t="shared" si="24"/>
        <v>0</v>
      </c>
      <c r="W110" s="37">
        <f t="shared" si="24"/>
        <v>0</v>
      </c>
      <c r="X110" s="37">
        <f t="shared" si="24"/>
        <v>0</v>
      </c>
      <c r="Y110" s="37">
        <f t="shared" si="24"/>
        <v>0</v>
      </c>
      <c r="Z110" s="37">
        <f t="shared" si="24"/>
        <v>0</v>
      </c>
      <c r="AA110" s="37">
        <f t="shared" si="24"/>
        <v>0</v>
      </c>
      <c r="AB110" s="37">
        <f t="shared" si="24"/>
        <v>0</v>
      </c>
      <c r="AC110" s="37">
        <f t="shared" si="24"/>
        <v>0</v>
      </c>
      <c r="AD110" s="37">
        <f t="shared" si="24"/>
        <v>0</v>
      </c>
      <c r="AE110" s="37">
        <f t="shared" si="24"/>
        <v>0</v>
      </c>
      <c r="AF110" s="37">
        <f t="shared" si="24"/>
        <v>0</v>
      </c>
    </row>
    <row r="111" spans="4:32" ht="6" customHeight="1">
      <c r="D111" s="2"/>
      <c r="H111" s="29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spans="4:32">
      <c r="D112" t="s">
        <v>141</v>
      </c>
      <c r="G112" t="s">
        <v>50</v>
      </c>
      <c r="H112" s="35">
        <f>IF(SUM(I108:AF108)&lt;&gt;0,SUMPRODUCT(I108:AF108,I112:AF112)/SUM(I108:AF108),0)</f>
        <v>0.93500000000000028</v>
      </c>
      <c r="I112" s="36">
        <f>'Candelaria Inputs'!I272</f>
        <v>0.93500000000000005</v>
      </c>
      <c r="J112" s="36">
        <f>'Candelaria Inputs'!J272</f>
        <v>0.93500000000000005</v>
      </c>
      <c r="K112" s="36">
        <f>'Candelaria Inputs'!K272</f>
        <v>0.93500000000000005</v>
      </c>
      <c r="L112" s="36">
        <f>'Candelaria Inputs'!L272</f>
        <v>0.93500000000000005</v>
      </c>
      <c r="M112" s="36">
        <f>'Candelaria Inputs'!M272</f>
        <v>0.93500000000000005</v>
      </c>
      <c r="N112" s="36">
        <f>'Candelaria Inputs'!N272</f>
        <v>0.93500000000000005</v>
      </c>
      <c r="O112" s="36">
        <f>'Candelaria Inputs'!O272</f>
        <v>0.93500000000000005</v>
      </c>
      <c r="P112" s="36">
        <f>'Candelaria Inputs'!P272</f>
        <v>0.93500000000000005</v>
      </c>
      <c r="Q112" s="36">
        <f>'Candelaria Inputs'!Q272</f>
        <v>0.93500000000000005</v>
      </c>
      <c r="R112" s="36">
        <f>'Candelaria Inputs'!R272</f>
        <v>0.93500000000000005</v>
      </c>
      <c r="S112" s="36">
        <f>'Candelaria Inputs'!S272</f>
        <v>0.93500000000000005</v>
      </c>
      <c r="T112" s="36">
        <f>'Candelaria Inputs'!T272</f>
        <v>0.93500000000000005</v>
      </c>
      <c r="U112" s="36">
        <f>'Candelaria Inputs'!U272</f>
        <v>0</v>
      </c>
      <c r="V112" s="36">
        <f>'Candelaria Inputs'!V272</f>
        <v>0</v>
      </c>
      <c r="W112" s="36">
        <f>'Candelaria Inputs'!W272</f>
        <v>0</v>
      </c>
      <c r="X112" s="36">
        <f>'Candelaria Inputs'!X272</f>
        <v>0</v>
      </c>
      <c r="Y112" s="36">
        <f>'Candelaria Inputs'!Y272</f>
        <v>0</v>
      </c>
      <c r="Z112" s="36">
        <f>'Candelaria Inputs'!Z272</f>
        <v>0</v>
      </c>
      <c r="AA112" s="36">
        <f>'Candelaria Inputs'!AA272</f>
        <v>0</v>
      </c>
      <c r="AB112" s="36">
        <f>'Candelaria Inputs'!AB272</f>
        <v>0</v>
      </c>
      <c r="AC112" s="36">
        <f>'Candelaria Inputs'!AC272</f>
        <v>0</v>
      </c>
      <c r="AD112" s="36">
        <f>'Candelaria Inputs'!AD272</f>
        <v>0</v>
      </c>
      <c r="AE112" s="36">
        <f>'Candelaria Inputs'!AE272</f>
        <v>0</v>
      </c>
      <c r="AF112" s="36">
        <f>'Candelaria Inputs'!AF272</f>
        <v>0</v>
      </c>
    </row>
    <row r="113" spans="4:32">
      <c r="D113" t="s">
        <v>142</v>
      </c>
      <c r="G113" t="s">
        <v>50</v>
      </c>
      <c r="H113" s="35">
        <f t="shared" ref="H113:H114" si="25">IF(SUM(I109:AF109)&lt;&gt;0,SUMPRODUCT(I109:AF109,I113:AF113)/SUM(I109:AF109),0)</f>
        <v>0.74099999999999999</v>
      </c>
      <c r="I113" s="36">
        <f>'Candelaria Inputs'!I279</f>
        <v>0.74099999999999999</v>
      </c>
      <c r="J113" s="36">
        <f>'Candelaria Inputs'!J279</f>
        <v>0.74099999999999999</v>
      </c>
      <c r="K113" s="36">
        <f>'Candelaria Inputs'!K279</f>
        <v>0.74099999999999999</v>
      </c>
      <c r="L113" s="36">
        <f>'Candelaria Inputs'!L279</f>
        <v>0.74099999999999999</v>
      </c>
      <c r="M113" s="36">
        <f>'Candelaria Inputs'!M279</f>
        <v>0.74099999999999999</v>
      </c>
      <c r="N113" s="36">
        <f>'Candelaria Inputs'!N279</f>
        <v>0.74099999999999999</v>
      </c>
      <c r="O113" s="36">
        <f>'Candelaria Inputs'!O279</f>
        <v>0.74099999999999999</v>
      </c>
      <c r="P113" s="36">
        <f>'Candelaria Inputs'!P279</f>
        <v>0.74099999999999999</v>
      </c>
      <c r="Q113" s="36">
        <f>'Candelaria Inputs'!Q279</f>
        <v>0.74099999999999999</v>
      </c>
      <c r="R113" s="36">
        <f>'Candelaria Inputs'!R279</f>
        <v>0.74099999999999999</v>
      </c>
      <c r="S113" s="36">
        <f>'Candelaria Inputs'!S279</f>
        <v>0.74099999999999999</v>
      </c>
      <c r="T113" s="36">
        <f>'Candelaria Inputs'!T279</f>
        <v>0.74099999999999999</v>
      </c>
      <c r="U113" s="36">
        <f>'Candelaria Inputs'!U279</f>
        <v>0</v>
      </c>
      <c r="V113" s="36">
        <f>'Candelaria Inputs'!V279</f>
        <v>0</v>
      </c>
      <c r="W113" s="36">
        <f>'Candelaria Inputs'!W279</f>
        <v>0</v>
      </c>
      <c r="X113" s="36">
        <f>'Candelaria Inputs'!X279</f>
        <v>0</v>
      </c>
      <c r="Y113" s="36">
        <f>'Candelaria Inputs'!Y279</f>
        <v>0</v>
      </c>
      <c r="Z113" s="36">
        <f>'Candelaria Inputs'!Z279</f>
        <v>0</v>
      </c>
      <c r="AA113" s="36">
        <f>'Candelaria Inputs'!AA279</f>
        <v>0</v>
      </c>
      <c r="AB113" s="36">
        <f>'Candelaria Inputs'!AB279</f>
        <v>0</v>
      </c>
      <c r="AC113" s="36">
        <f>'Candelaria Inputs'!AC279</f>
        <v>0</v>
      </c>
      <c r="AD113" s="36">
        <f>'Candelaria Inputs'!AD279</f>
        <v>0</v>
      </c>
      <c r="AE113" s="36">
        <f>'Candelaria Inputs'!AE279</f>
        <v>0</v>
      </c>
      <c r="AF113" s="36">
        <f>'Candelaria Inputs'!AF279</f>
        <v>0</v>
      </c>
    </row>
    <row r="114" spans="4:32">
      <c r="D114" t="s">
        <v>143</v>
      </c>
      <c r="G114" t="s">
        <v>50</v>
      </c>
      <c r="H114" s="35">
        <f t="shared" si="25"/>
        <v>0.82</v>
      </c>
      <c r="I114" s="36">
        <f>'Candelaria Inputs'!I286</f>
        <v>0.82</v>
      </c>
      <c r="J114" s="36">
        <f>'Candelaria Inputs'!J286</f>
        <v>0.82</v>
      </c>
      <c r="K114" s="36">
        <f>'Candelaria Inputs'!K286</f>
        <v>0.82</v>
      </c>
      <c r="L114" s="36">
        <f>'Candelaria Inputs'!L286</f>
        <v>0.82</v>
      </c>
      <c r="M114" s="36">
        <f>'Candelaria Inputs'!M286</f>
        <v>0.82</v>
      </c>
      <c r="N114" s="36">
        <f>'Candelaria Inputs'!N286</f>
        <v>0.82</v>
      </c>
      <c r="O114" s="36">
        <f>'Candelaria Inputs'!O286</f>
        <v>0.82</v>
      </c>
      <c r="P114" s="36">
        <f>'Candelaria Inputs'!P286</f>
        <v>0.82</v>
      </c>
      <c r="Q114" s="36">
        <f>'Candelaria Inputs'!Q286</f>
        <v>0.82</v>
      </c>
      <c r="R114" s="36">
        <f>'Candelaria Inputs'!R286</f>
        <v>0.82</v>
      </c>
      <c r="S114" s="36">
        <f>'Candelaria Inputs'!S286</f>
        <v>0.82</v>
      </c>
      <c r="T114" s="36">
        <f>'Candelaria Inputs'!T286</f>
        <v>0.82</v>
      </c>
      <c r="U114" s="36">
        <f>'Candelaria Inputs'!U286</f>
        <v>0</v>
      </c>
      <c r="V114" s="36">
        <f>'Candelaria Inputs'!V286</f>
        <v>0</v>
      </c>
      <c r="W114" s="36">
        <f>'Candelaria Inputs'!W286</f>
        <v>0</v>
      </c>
      <c r="X114" s="36">
        <f>'Candelaria Inputs'!X286</f>
        <v>0</v>
      </c>
      <c r="Y114" s="36">
        <f>'Candelaria Inputs'!Y286</f>
        <v>0</v>
      </c>
      <c r="Z114" s="36">
        <f>'Candelaria Inputs'!Z286</f>
        <v>0</v>
      </c>
      <c r="AA114" s="36">
        <f>'Candelaria Inputs'!AA286</f>
        <v>0</v>
      </c>
      <c r="AB114" s="36">
        <f>'Candelaria Inputs'!AB286</f>
        <v>0</v>
      </c>
      <c r="AC114" s="36">
        <f>'Candelaria Inputs'!AC286</f>
        <v>0</v>
      </c>
      <c r="AD114" s="36">
        <f>'Candelaria Inputs'!AD286</f>
        <v>0</v>
      </c>
      <c r="AE114" s="36">
        <f>'Candelaria Inputs'!AE286</f>
        <v>0</v>
      </c>
      <c r="AF114" s="36">
        <f>'Candelaria Inputs'!AF286</f>
        <v>0</v>
      </c>
    </row>
    <row r="115" spans="4:32" ht="6" customHeight="1">
      <c r="D115" s="2"/>
      <c r="H115" s="29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</row>
    <row r="116" spans="4:32">
      <c r="D116" t="s">
        <v>144</v>
      </c>
      <c r="G116" t="s">
        <v>8</v>
      </c>
      <c r="H116" s="48">
        <f>SUM(I116:AF116)</f>
        <v>126.44379000000002</v>
      </c>
      <c r="I116" s="37">
        <f t="shared" ref="I116:AF118" si="26">I108*I112</f>
        <v>12.635216000000002</v>
      </c>
      <c r="J116" s="37">
        <f t="shared" si="26"/>
        <v>12.426150000000002</v>
      </c>
      <c r="K116" s="37">
        <f t="shared" si="26"/>
        <v>13.027822500000001</v>
      </c>
      <c r="L116" s="37">
        <f t="shared" si="26"/>
        <v>12.855876000000002</v>
      </c>
      <c r="M116" s="37">
        <f t="shared" si="26"/>
        <v>11.681516</v>
      </c>
      <c r="N116" s="37">
        <f t="shared" si="26"/>
        <v>11.773707</v>
      </c>
      <c r="O116" s="37">
        <f t="shared" si="26"/>
        <v>10.9897095</v>
      </c>
      <c r="P116" s="37">
        <f t="shared" si="26"/>
        <v>8.8422950000000018</v>
      </c>
      <c r="Q116" s="37">
        <f t="shared" si="26"/>
        <v>9.600206</v>
      </c>
      <c r="R116" s="37">
        <f t="shared" si="26"/>
        <v>9.600206</v>
      </c>
      <c r="S116" s="37">
        <f t="shared" si="26"/>
        <v>9.600206</v>
      </c>
      <c r="T116" s="37">
        <f t="shared" si="26"/>
        <v>3.4108800000000001</v>
      </c>
      <c r="U116" s="37">
        <f t="shared" si="26"/>
        <v>0</v>
      </c>
      <c r="V116" s="37">
        <f t="shared" si="26"/>
        <v>0</v>
      </c>
      <c r="W116" s="37">
        <f t="shared" si="26"/>
        <v>0</v>
      </c>
      <c r="X116" s="37">
        <f t="shared" si="26"/>
        <v>0</v>
      </c>
      <c r="Y116" s="37">
        <f t="shared" si="26"/>
        <v>0</v>
      </c>
      <c r="Z116" s="37">
        <f t="shared" si="26"/>
        <v>0</v>
      </c>
      <c r="AA116" s="37">
        <f t="shared" si="26"/>
        <v>0</v>
      </c>
      <c r="AB116" s="37">
        <f t="shared" si="26"/>
        <v>0</v>
      </c>
      <c r="AC116" s="37">
        <f t="shared" si="26"/>
        <v>0</v>
      </c>
      <c r="AD116" s="37">
        <f t="shared" si="26"/>
        <v>0</v>
      </c>
      <c r="AE116" s="37">
        <f t="shared" si="26"/>
        <v>0</v>
      </c>
      <c r="AF116" s="37">
        <f t="shared" si="26"/>
        <v>0</v>
      </c>
    </row>
    <row r="117" spans="4:32">
      <c r="D117" t="s">
        <v>145</v>
      </c>
      <c r="G117" t="s">
        <v>135</v>
      </c>
      <c r="H117" s="48">
        <f>SUM(I117:AF117)</f>
        <v>75.015729765873004</v>
      </c>
      <c r="I117" s="37">
        <f t="shared" si="26"/>
        <v>6.8764637335679986</v>
      </c>
      <c r="J117" s="37">
        <f t="shared" si="26"/>
        <v>7.2821808115290008</v>
      </c>
      <c r="K117" s="37">
        <f t="shared" si="26"/>
        <v>7.587362007576</v>
      </c>
      <c r="L117" s="37">
        <f t="shared" si="26"/>
        <v>7.3862902437480011</v>
      </c>
      <c r="M117" s="37">
        <f t="shared" si="26"/>
        <v>7.1175592608119995</v>
      </c>
      <c r="N117" s="37">
        <f t="shared" si="26"/>
        <v>7.0965944323559995</v>
      </c>
      <c r="O117" s="37">
        <f t="shared" si="26"/>
        <v>6.4371552827399983</v>
      </c>
      <c r="P117" s="37">
        <f t="shared" si="26"/>
        <v>5.4715819903290006</v>
      </c>
      <c r="Q117" s="37">
        <f t="shared" si="26"/>
        <v>6.1152975186030005</v>
      </c>
      <c r="R117" s="37">
        <f t="shared" si="26"/>
        <v>5.7934397544660001</v>
      </c>
      <c r="S117" s="37">
        <f t="shared" si="26"/>
        <v>5.7934397544660001</v>
      </c>
      <c r="T117" s="37">
        <f t="shared" si="26"/>
        <v>2.05836497568</v>
      </c>
      <c r="U117" s="37">
        <f t="shared" si="26"/>
        <v>0</v>
      </c>
      <c r="V117" s="37">
        <f t="shared" si="26"/>
        <v>0</v>
      </c>
      <c r="W117" s="37">
        <f t="shared" si="26"/>
        <v>0</v>
      </c>
      <c r="X117" s="37">
        <f t="shared" si="26"/>
        <v>0</v>
      </c>
      <c r="Y117" s="37">
        <f t="shared" si="26"/>
        <v>0</v>
      </c>
      <c r="Z117" s="37">
        <f t="shared" si="26"/>
        <v>0</v>
      </c>
      <c r="AA117" s="37">
        <f t="shared" si="26"/>
        <v>0</v>
      </c>
      <c r="AB117" s="37">
        <f t="shared" si="26"/>
        <v>0</v>
      </c>
      <c r="AC117" s="37">
        <f t="shared" si="26"/>
        <v>0</v>
      </c>
      <c r="AD117" s="37">
        <f t="shared" si="26"/>
        <v>0</v>
      </c>
      <c r="AE117" s="37">
        <f t="shared" si="26"/>
        <v>0</v>
      </c>
      <c r="AF117" s="37">
        <f t="shared" si="26"/>
        <v>0</v>
      </c>
    </row>
    <row r="118" spans="4:32">
      <c r="D118" t="s">
        <v>146</v>
      </c>
      <c r="G118" t="s">
        <v>135</v>
      </c>
      <c r="H118" s="48">
        <f>SUM(I118:AF118)</f>
        <v>830.04552741743998</v>
      </c>
      <c r="I118" s="37">
        <f t="shared" si="26"/>
        <v>72.636919084799999</v>
      </c>
      <c r="J118" s="37">
        <f t="shared" si="26"/>
        <v>85.490743224239992</v>
      </c>
      <c r="K118" s="37">
        <f t="shared" si="26"/>
        <v>85.362088983120003</v>
      </c>
      <c r="L118" s="37">
        <f t="shared" si="26"/>
        <v>87.779101447439999</v>
      </c>
      <c r="M118" s="37">
        <f t="shared" si="26"/>
        <v>90.936403069679997</v>
      </c>
      <c r="N118" s="37">
        <f t="shared" si="26"/>
        <v>75.319149103560008</v>
      </c>
      <c r="O118" s="37">
        <f t="shared" si="26"/>
        <v>69.453517524299983</v>
      </c>
      <c r="P118" s="37">
        <f t="shared" si="26"/>
        <v>52.713438941519996</v>
      </c>
      <c r="Q118" s="37">
        <f t="shared" si="26"/>
        <v>60.19304852106</v>
      </c>
      <c r="R118" s="37">
        <f t="shared" si="26"/>
        <v>63.754767368459994</v>
      </c>
      <c r="S118" s="37">
        <f t="shared" si="26"/>
        <v>63.754767368459994</v>
      </c>
      <c r="T118" s="37">
        <f t="shared" si="26"/>
        <v>22.651582780799998</v>
      </c>
      <c r="U118" s="37">
        <f t="shared" si="26"/>
        <v>0</v>
      </c>
      <c r="V118" s="37">
        <f t="shared" si="26"/>
        <v>0</v>
      </c>
      <c r="W118" s="37">
        <f t="shared" si="26"/>
        <v>0</v>
      </c>
      <c r="X118" s="37">
        <f t="shared" si="26"/>
        <v>0</v>
      </c>
      <c r="Y118" s="37">
        <f t="shared" si="26"/>
        <v>0</v>
      </c>
      <c r="Z118" s="37">
        <f t="shared" si="26"/>
        <v>0</v>
      </c>
      <c r="AA118" s="37">
        <f t="shared" si="26"/>
        <v>0</v>
      </c>
      <c r="AB118" s="37">
        <f t="shared" si="26"/>
        <v>0</v>
      </c>
      <c r="AC118" s="37">
        <f t="shared" si="26"/>
        <v>0</v>
      </c>
      <c r="AD118" s="37">
        <f t="shared" si="26"/>
        <v>0</v>
      </c>
      <c r="AE118" s="37">
        <f t="shared" si="26"/>
        <v>0</v>
      </c>
      <c r="AF118" s="37">
        <f t="shared" si="26"/>
        <v>0</v>
      </c>
    </row>
    <row r="119" spans="4:32" ht="6" customHeight="1">
      <c r="D119" s="2"/>
      <c r="H119" s="29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</row>
    <row r="120" spans="4:32">
      <c r="D120" s="28" t="s">
        <v>147</v>
      </c>
      <c r="H120" s="29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</row>
    <row r="121" spans="4:32">
      <c r="D121" t="s">
        <v>148</v>
      </c>
      <c r="G121" t="s">
        <v>8</v>
      </c>
      <c r="H121" s="48">
        <f>SUM(I121:AF121)</f>
        <v>2957.6379253000005</v>
      </c>
      <c r="I121" s="52">
        <f t="shared" ref="I121:AF123" si="27">I99+I116</f>
        <v>150.83716040000002</v>
      </c>
      <c r="J121" s="52">
        <f t="shared" si="27"/>
        <v>172.16249759999999</v>
      </c>
      <c r="K121" s="52">
        <f t="shared" si="27"/>
        <v>160.76309200000003</v>
      </c>
      <c r="L121" s="52">
        <f t="shared" si="27"/>
        <v>158.61098959999998</v>
      </c>
      <c r="M121" s="52">
        <f t="shared" si="27"/>
        <v>158.39422400000001</v>
      </c>
      <c r="N121" s="52">
        <f t="shared" si="27"/>
        <v>143.22009199999999</v>
      </c>
      <c r="O121" s="52">
        <f t="shared" si="27"/>
        <v>141.14227210000001</v>
      </c>
      <c r="P121" s="52">
        <f t="shared" si="27"/>
        <v>124.80287900000003</v>
      </c>
      <c r="Q121" s="52">
        <f t="shared" si="27"/>
        <v>135.14704560000001</v>
      </c>
      <c r="R121" s="52">
        <f t="shared" si="27"/>
        <v>159.965959</v>
      </c>
      <c r="S121" s="52">
        <f t="shared" si="27"/>
        <v>143.01416360000002</v>
      </c>
      <c r="T121" s="52">
        <f t="shared" si="27"/>
        <v>118.74260140000003</v>
      </c>
      <c r="U121" s="52">
        <f t="shared" si="27"/>
        <v>112.9876496</v>
      </c>
      <c r="V121" s="52">
        <f t="shared" si="27"/>
        <v>123.42205480000001</v>
      </c>
      <c r="W121" s="52">
        <f t="shared" si="27"/>
        <v>139.4123328</v>
      </c>
      <c r="X121" s="52">
        <f t="shared" si="27"/>
        <v>154.356224</v>
      </c>
      <c r="Y121" s="52">
        <f t="shared" si="27"/>
        <v>147.13606249999998</v>
      </c>
      <c r="Z121" s="52">
        <f t="shared" si="27"/>
        <v>116.299575</v>
      </c>
      <c r="AA121" s="52">
        <f t="shared" si="27"/>
        <v>90.079807499999987</v>
      </c>
      <c r="AB121" s="52">
        <f t="shared" si="27"/>
        <v>83.122231500000012</v>
      </c>
      <c r="AC121" s="52">
        <f t="shared" si="27"/>
        <v>70.730625000000003</v>
      </c>
      <c r="AD121" s="52">
        <f t="shared" si="27"/>
        <v>59.728605299999991</v>
      </c>
      <c r="AE121" s="52">
        <f t="shared" si="27"/>
        <v>60.526388999999995</v>
      </c>
      <c r="AF121" s="52">
        <f t="shared" si="27"/>
        <v>33.033391999999999</v>
      </c>
    </row>
    <row r="122" spans="4:32">
      <c r="D122" t="s">
        <v>149</v>
      </c>
      <c r="G122" t="s">
        <v>135</v>
      </c>
      <c r="H122" s="48">
        <f>SUM(I122:AF122)</f>
        <v>1768.302154723797</v>
      </c>
      <c r="I122" s="52">
        <f t="shared" si="27"/>
        <v>87.547652737730999</v>
      </c>
      <c r="J122" s="52">
        <f t="shared" si="27"/>
        <v>104.253675370029</v>
      </c>
      <c r="K122" s="52">
        <f t="shared" si="27"/>
        <v>92.063770580249994</v>
      </c>
      <c r="L122" s="52">
        <f t="shared" si="27"/>
        <v>90.484802763228004</v>
      </c>
      <c r="M122" s="52">
        <f t="shared" si="27"/>
        <v>93.435625516914001</v>
      </c>
      <c r="N122" s="52">
        <f t="shared" si="27"/>
        <v>82.070800604658004</v>
      </c>
      <c r="O122" s="52">
        <f t="shared" si="27"/>
        <v>77.549542829729987</v>
      </c>
      <c r="P122" s="52">
        <f t="shared" si="27"/>
        <v>71.921425832748</v>
      </c>
      <c r="Q122" s="52">
        <f t="shared" si="27"/>
        <v>78.821943755534988</v>
      </c>
      <c r="R122" s="52">
        <f t="shared" si="27"/>
        <v>92.198035761533987</v>
      </c>
      <c r="S122" s="52">
        <f t="shared" si="27"/>
        <v>83.070264271445978</v>
      </c>
      <c r="T122" s="52">
        <f t="shared" si="27"/>
        <v>70.92072179195398</v>
      </c>
      <c r="U122" s="52">
        <f t="shared" si="27"/>
        <v>67.360463550855002</v>
      </c>
      <c r="V122" s="52">
        <f t="shared" si="27"/>
        <v>71.778047857055995</v>
      </c>
      <c r="W122" s="52">
        <f t="shared" si="27"/>
        <v>79.182338956226985</v>
      </c>
      <c r="X122" s="52">
        <f t="shared" si="27"/>
        <v>92.337733768104002</v>
      </c>
      <c r="Y122" s="52">
        <f t="shared" si="27"/>
        <v>83.438564686253983</v>
      </c>
      <c r="Z122" s="52">
        <f t="shared" si="27"/>
        <v>73.081052069669994</v>
      </c>
      <c r="AA122" s="52">
        <f t="shared" si="27"/>
        <v>58.713396788393993</v>
      </c>
      <c r="AB122" s="52">
        <f t="shared" si="27"/>
        <v>59.545359809280008</v>
      </c>
      <c r="AC122" s="52">
        <f t="shared" si="27"/>
        <v>49.580681163659989</v>
      </c>
      <c r="AD122" s="52">
        <f t="shared" si="27"/>
        <v>43.487035212464995</v>
      </c>
      <c r="AE122" s="52">
        <f t="shared" si="27"/>
        <v>43.367926514175004</v>
      </c>
      <c r="AF122" s="52">
        <f t="shared" si="27"/>
        <v>22.091292531899999</v>
      </c>
    </row>
    <row r="123" spans="4:32">
      <c r="D123" t="s">
        <v>150</v>
      </c>
      <c r="G123" t="s">
        <v>135</v>
      </c>
      <c r="H123" s="48">
        <f>SUM(I123:AF123)</f>
        <v>29358.483942414488</v>
      </c>
      <c r="I123" s="52">
        <f t="shared" si="27"/>
        <v>1373.3213461663499</v>
      </c>
      <c r="J123" s="52">
        <f t="shared" si="27"/>
        <v>1947.1074217447681</v>
      </c>
      <c r="K123" s="52">
        <f t="shared" si="27"/>
        <v>1608.2528164616338</v>
      </c>
      <c r="L123" s="52">
        <f t="shared" si="27"/>
        <v>1386.139266976086</v>
      </c>
      <c r="M123" s="52">
        <f t="shared" si="27"/>
        <v>1285.9221611816279</v>
      </c>
      <c r="N123" s="52">
        <f t="shared" si="27"/>
        <v>1394.9280665629201</v>
      </c>
      <c r="O123" s="52">
        <f t="shared" si="27"/>
        <v>1148.234412816405</v>
      </c>
      <c r="P123" s="52">
        <f t="shared" si="27"/>
        <v>1082.5263177736861</v>
      </c>
      <c r="Q123" s="52">
        <f t="shared" si="27"/>
        <v>1197.5263913037959</v>
      </c>
      <c r="R123" s="52">
        <f t="shared" si="27"/>
        <v>1407.6571324830661</v>
      </c>
      <c r="S123" s="52">
        <f t="shared" si="27"/>
        <v>1083.8427850919252</v>
      </c>
      <c r="T123" s="52">
        <f t="shared" si="27"/>
        <v>901.64447111945708</v>
      </c>
      <c r="U123" s="52">
        <f t="shared" si="27"/>
        <v>1042.185701171511</v>
      </c>
      <c r="V123" s="52">
        <f t="shared" si="27"/>
        <v>1307.8677081602877</v>
      </c>
      <c r="W123" s="52">
        <f t="shared" si="27"/>
        <v>1364.8854847468499</v>
      </c>
      <c r="X123" s="52">
        <f t="shared" si="27"/>
        <v>1573.0729861770001</v>
      </c>
      <c r="Y123" s="52">
        <f t="shared" si="27"/>
        <v>1574.9876551422637</v>
      </c>
      <c r="Z123" s="52">
        <f t="shared" si="27"/>
        <v>1206.9444456770582</v>
      </c>
      <c r="AA123" s="52">
        <f t="shared" si="27"/>
        <v>845.67964539023092</v>
      </c>
      <c r="AB123" s="52">
        <f t="shared" si="27"/>
        <v>1124.9673707930401</v>
      </c>
      <c r="AC123" s="52">
        <f t="shared" si="27"/>
        <v>1087.15146346251</v>
      </c>
      <c r="AD123" s="52">
        <f t="shared" si="27"/>
        <v>961.24306477176924</v>
      </c>
      <c r="AE123" s="52">
        <f t="shared" si="27"/>
        <v>983.92644395185516</v>
      </c>
      <c r="AF123" s="52">
        <f t="shared" si="27"/>
        <v>468.46938328839002</v>
      </c>
    </row>
    <row r="124" spans="4:32" ht="6" customHeight="1">
      <c r="D124" s="2"/>
      <c r="H124" s="29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</row>
    <row r="125" spans="4:32">
      <c r="D125" t="s">
        <v>151</v>
      </c>
      <c r="G125" t="s">
        <v>50</v>
      </c>
      <c r="H125" s="35">
        <f>IF(SUM(I121:AF121)&lt;&gt;0,SUMPRODUCT(I121:AF121,I125:AF125)/SUM(I121:AF121),0)</f>
        <v>0.96499999999999997</v>
      </c>
      <c r="I125" s="36">
        <f>'Candelaria Inputs'!I295</f>
        <v>0.96499999999999997</v>
      </c>
      <c r="J125" s="36">
        <f>'Candelaria Inputs'!J295</f>
        <v>0.96499999999999997</v>
      </c>
      <c r="K125" s="36">
        <f>'Candelaria Inputs'!K295</f>
        <v>0.96499999999999997</v>
      </c>
      <c r="L125" s="36">
        <f>'Candelaria Inputs'!L295</f>
        <v>0.96499999999999997</v>
      </c>
      <c r="M125" s="36">
        <f>'Candelaria Inputs'!M295</f>
        <v>0.96499999999999997</v>
      </c>
      <c r="N125" s="36">
        <f>'Candelaria Inputs'!N295</f>
        <v>0.96499999999999997</v>
      </c>
      <c r="O125" s="36">
        <f>'Candelaria Inputs'!O295</f>
        <v>0.96499999999999997</v>
      </c>
      <c r="P125" s="36">
        <f>'Candelaria Inputs'!P295</f>
        <v>0.96499999999999997</v>
      </c>
      <c r="Q125" s="36">
        <f>'Candelaria Inputs'!Q295</f>
        <v>0.96499999999999997</v>
      </c>
      <c r="R125" s="36">
        <f>'Candelaria Inputs'!R295</f>
        <v>0.96499999999999997</v>
      </c>
      <c r="S125" s="36">
        <f>'Candelaria Inputs'!S295</f>
        <v>0.96499999999999997</v>
      </c>
      <c r="T125" s="36">
        <f>'Candelaria Inputs'!T295</f>
        <v>0.96499999999999997</v>
      </c>
      <c r="U125" s="36">
        <f>'Candelaria Inputs'!U295</f>
        <v>0.96499999999999997</v>
      </c>
      <c r="V125" s="36">
        <f>'Candelaria Inputs'!V295</f>
        <v>0.96499999999999997</v>
      </c>
      <c r="W125" s="36">
        <f>'Candelaria Inputs'!W295</f>
        <v>0.96499999999999997</v>
      </c>
      <c r="X125" s="36">
        <f>'Candelaria Inputs'!X295</f>
        <v>0.96499999999999997</v>
      </c>
      <c r="Y125" s="36">
        <f>'Candelaria Inputs'!Y295</f>
        <v>0.96499999999999997</v>
      </c>
      <c r="Z125" s="36">
        <f>'Candelaria Inputs'!Z295</f>
        <v>0.96499999999999997</v>
      </c>
      <c r="AA125" s="36">
        <f>'Candelaria Inputs'!AA295</f>
        <v>0.96499999999999997</v>
      </c>
      <c r="AB125" s="36">
        <f>'Candelaria Inputs'!AB295</f>
        <v>0.96499999999999997</v>
      </c>
      <c r="AC125" s="36">
        <f>'Candelaria Inputs'!AC295</f>
        <v>0.96499999999999997</v>
      </c>
      <c r="AD125" s="36">
        <f>'Candelaria Inputs'!AD295</f>
        <v>0.96499999999999997</v>
      </c>
      <c r="AE125" s="36">
        <f>'Candelaria Inputs'!AE295</f>
        <v>0.96499999999999997</v>
      </c>
      <c r="AF125" s="36">
        <f>'Candelaria Inputs'!AF295</f>
        <v>0.96499999999999997</v>
      </c>
    </row>
    <row r="126" spans="4:32">
      <c r="D126" t="s">
        <v>152</v>
      </c>
      <c r="G126" t="s">
        <v>50</v>
      </c>
      <c r="H126" s="35">
        <f t="shared" ref="H126:H127" si="28">IF(SUM(I122:AF122)&lt;&gt;0,SUMPRODUCT(I122:AF122,I126:AF126)/SUM(I122:AF122),0)</f>
        <v>0.96000000000000008</v>
      </c>
      <c r="I126" s="36">
        <f>'Candelaria Inputs'!I296</f>
        <v>0.96</v>
      </c>
      <c r="J126" s="36">
        <f>'Candelaria Inputs'!J296</f>
        <v>0.96</v>
      </c>
      <c r="K126" s="36">
        <f>'Candelaria Inputs'!K296</f>
        <v>0.96</v>
      </c>
      <c r="L126" s="36">
        <f>'Candelaria Inputs'!L296</f>
        <v>0.96</v>
      </c>
      <c r="M126" s="36">
        <f>'Candelaria Inputs'!M296</f>
        <v>0.96</v>
      </c>
      <c r="N126" s="36">
        <f>'Candelaria Inputs'!N296</f>
        <v>0.96</v>
      </c>
      <c r="O126" s="36">
        <f>'Candelaria Inputs'!O296</f>
        <v>0.96</v>
      </c>
      <c r="P126" s="36">
        <f>'Candelaria Inputs'!P296</f>
        <v>0.96</v>
      </c>
      <c r="Q126" s="36">
        <f>'Candelaria Inputs'!Q296</f>
        <v>0.96</v>
      </c>
      <c r="R126" s="36">
        <f>'Candelaria Inputs'!R296</f>
        <v>0.96</v>
      </c>
      <c r="S126" s="36">
        <f>'Candelaria Inputs'!S296</f>
        <v>0.96</v>
      </c>
      <c r="T126" s="36">
        <f>'Candelaria Inputs'!T296</f>
        <v>0.96</v>
      </c>
      <c r="U126" s="36">
        <f>'Candelaria Inputs'!U296</f>
        <v>0.96</v>
      </c>
      <c r="V126" s="36">
        <f>'Candelaria Inputs'!V296</f>
        <v>0.96</v>
      </c>
      <c r="W126" s="36">
        <f>'Candelaria Inputs'!W296</f>
        <v>0.96</v>
      </c>
      <c r="X126" s="36">
        <f>'Candelaria Inputs'!X296</f>
        <v>0.96</v>
      </c>
      <c r="Y126" s="36">
        <f>'Candelaria Inputs'!Y296</f>
        <v>0.96</v>
      </c>
      <c r="Z126" s="36">
        <f>'Candelaria Inputs'!Z296</f>
        <v>0.96</v>
      </c>
      <c r="AA126" s="36">
        <f>'Candelaria Inputs'!AA296</f>
        <v>0.96</v>
      </c>
      <c r="AB126" s="36">
        <f>'Candelaria Inputs'!AB296</f>
        <v>0.96</v>
      </c>
      <c r="AC126" s="36">
        <f>'Candelaria Inputs'!AC296</f>
        <v>0.96</v>
      </c>
      <c r="AD126" s="36">
        <f>'Candelaria Inputs'!AD296</f>
        <v>0.96</v>
      </c>
      <c r="AE126" s="36">
        <f>'Candelaria Inputs'!AE296</f>
        <v>0.96</v>
      </c>
      <c r="AF126" s="36">
        <f>'Candelaria Inputs'!AF296</f>
        <v>0.96</v>
      </c>
    </row>
    <row r="127" spans="4:32">
      <c r="D127" t="s">
        <v>153</v>
      </c>
      <c r="G127" t="s">
        <v>50</v>
      </c>
      <c r="H127" s="35">
        <f t="shared" si="28"/>
        <v>0.8999999999999998</v>
      </c>
      <c r="I127" s="36">
        <f>'Candelaria Inputs'!I297</f>
        <v>0.9</v>
      </c>
      <c r="J127" s="36">
        <f>'Candelaria Inputs'!J297</f>
        <v>0.9</v>
      </c>
      <c r="K127" s="36">
        <f>'Candelaria Inputs'!K297</f>
        <v>0.9</v>
      </c>
      <c r="L127" s="36">
        <f>'Candelaria Inputs'!L297</f>
        <v>0.9</v>
      </c>
      <c r="M127" s="36">
        <f>'Candelaria Inputs'!M297</f>
        <v>0.9</v>
      </c>
      <c r="N127" s="36">
        <f>'Candelaria Inputs'!N297</f>
        <v>0.9</v>
      </c>
      <c r="O127" s="36">
        <f>'Candelaria Inputs'!O297</f>
        <v>0.9</v>
      </c>
      <c r="P127" s="36">
        <f>'Candelaria Inputs'!P297</f>
        <v>0.9</v>
      </c>
      <c r="Q127" s="36">
        <f>'Candelaria Inputs'!Q297</f>
        <v>0.9</v>
      </c>
      <c r="R127" s="36">
        <f>'Candelaria Inputs'!R297</f>
        <v>0.9</v>
      </c>
      <c r="S127" s="36">
        <f>'Candelaria Inputs'!S297</f>
        <v>0.9</v>
      </c>
      <c r="T127" s="36">
        <f>'Candelaria Inputs'!T297</f>
        <v>0.9</v>
      </c>
      <c r="U127" s="36">
        <f>'Candelaria Inputs'!U297</f>
        <v>0.9</v>
      </c>
      <c r="V127" s="36">
        <f>'Candelaria Inputs'!V297</f>
        <v>0.9</v>
      </c>
      <c r="W127" s="36">
        <f>'Candelaria Inputs'!W297</f>
        <v>0.9</v>
      </c>
      <c r="X127" s="36">
        <f>'Candelaria Inputs'!X297</f>
        <v>0.9</v>
      </c>
      <c r="Y127" s="36">
        <f>'Candelaria Inputs'!Y297</f>
        <v>0.9</v>
      </c>
      <c r="Z127" s="36">
        <f>'Candelaria Inputs'!Z297</f>
        <v>0.9</v>
      </c>
      <c r="AA127" s="36">
        <f>'Candelaria Inputs'!AA297</f>
        <v>0.9</v>
      </c>
      <c r="AB127" s="36">
        <f>'Candelaria Inputs'!AB297</f>
        <v>0.9</v>
      </c>
      <c r="AC127" s="36">
        <f>'Candelaria Inputs'!AC297</f>
        <v>0.9</v>
      </c>
      <c r="AD127" s="36">
        <f>'Candelaria Inputs'!AD297</f>
        <v>0.9</v>
      </c>
      <c r="AE127" s="36">
        <f>'Candelaria Inputs'!AE297</f>
        <v>0.9</v>
      </c>
      <c r="AF127" s="36">
        <f>'Candelaria Inputs'!AF297</f>
        <v>0.9</v>
      </c>
    </row>
    <row r="128" spans="4:32" ht="6" customHeight="1">
      <c r="D128" s="2"/>
      <c r="H128" s="29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</row>
    <row r="129" spans="4:32">
      <c r="D129" t="s">
        <v>154</v>
      </c>
      <c r="G129" t="s">
        <v>8</v>
      </c>
      <c r="H129" s="48">
        <f>SUM(I129:AF129)</f>
        <v>2854.1205979145002</v>
      </c>
      <c r="I129" s="37">
        <f>I121*I125</f>
        <v>145.55785978600002</v>
      </c>
      <c r="J129" s="37">
        <f t="shared" ref="J129:AF131" si="29">J121*J125</f>
        <v>166.13681018399998</v>
      </c>
      <c r="K129" s="37">
        <f t="shared" si="29"/>
        <v>155.13638378000002</v>
      </c>
      <c r="L129" s="37">
        <f t="shared" si="29"/>
        <v>153.05960496399999</v>
      </c>
      <c r="M129" s="37">
        <f t="shared" si="29"/>
        <v>152.85042616000001</v>
      </c>
      <c r="N129" s="37">
        <f t="shared" si="29"/>
        <v>138.20738878</v>
      </c>
      <c r="O129" s="37">
        <f t="shared" si="29"/>
        <v>136.20229257650001</v>
      </c>
      <c r="P129" s="37">
        <f t="shared" si="29"/>
        <v>120.43477823500002</v>
      </c>
      <c r="Q129" s="37">
        <f t="shared" si="29"/>
        <v>130.41689900400002</v>
      </c>
      <c r="R129" s="37">
        <f t="shared" si="29"/>
        <v>154.36715043499999</v>
      </c>
      <c r="S129" s="37">
        <f t="shared" si="29"/>
        <v>138.00866787400003</v>
      </c>
      <c r="T129" s="37">
        <f t="shared" si="29"/>
        <v>114.58661035100002</v>
      </c>
      <c r="U129" s="37">
        <f t="shared" si="29"/>
        <v>109.033081864</v>
      </c>
      <c r="V129" s="37">
        <f t="shared" si="29"/>
        <v>119.10228288200001</v>
      </c>
      <c r="W129" s="37">
        <f t="shared" si="29"/>
        <v>134.53290115199999</v>
      </c>
      <c r="X129" s="37">
        <f t="shared" si="29"/>
        <v>148.95375615999998</v>
      </c>
      <c r="Y129" s="37">
        <f t="shared" si="29"/>
        <v>141.98630031249996</v>
      </c>
      <c r="Z129" s="37">
        <f t="shared" si="29"/>
        <v>112.229089875</v>
      </c>
      <c r="AA129" s="37">
        <f t="shared" si="29"/>
        <v>86.927014237499989</v>
      </c>
      <c r="AB129" s="37">
        <f t="shared" si="29"/>
        <v>80.212953397500016</v>
      </c>
      <c r="AC129" s="37">
        <f t="shared" si="29"/>
        <v>68.255053125000003</v>
      </c>
      <c r="AD129" s="37">
        <f t="shared" si="29"/>
        <v>57.638104114499988</v>
      </c>
      <c r="AE129" s="37">
        <f t="shared" si="29"/>
        <v>58.40796538499999</v>
      </c>
      <c r="AF129" s="37">
        <f t="shared" si="29"/>
        <v>31.877223279999999</v>
      </c>
    </row>
    <row r="130" spans="4:32">
      <c r="D130" t="s">
        <v>155</v>
      </c>
      <c r="G130" t="s">
        <v>135</v>
      </c>
      <c r="H130" s="48">
        <f>SUM(I130:AF130)</f>
        <v>1697.5700685348452</v>
      </c>
      <c r="I130" s="37">
        <f>I122*I126</f>
        <v>84.04574662822175</v>
      </c>
      <c r="J130" s="37">
        <f t="shared" si="29"/>
        <v>100.08352835522784</v>
      </c>
      <c r="K130" s="37">
        <f t="shared" si="29"/>
        <v>88.381219757039986</v>
      </c>
      <c r="L130" s="37">
        <f t="shared" si="29"/>
        <v>86.865410652698884</v>
      </c>
      <c r="M130" s="37">
        <f t="shared" si="29"/>
        <v>89.698200496237433</v>
      </c>
      <c r="N130" s="37">
        <f t="shared" si="29"/>
        <v>78.787968580471684</v>
      </c>
      <c r="O130" s="37">
        <f t="shared" si="29"/>
        <v>74.447561116540783</v>
      </c>
      <c r="P130" s="37">
        <f t="shared" si="29"/>
        <v>69.044568799438082</v>
      </c>
      <c r="Q130" s="37">
        <f t="shared" si="29"/>
        <v>75.669066005313582</v>
      </c>
      <c r="R130" s="37">
        <f t="shared" si="29"/>
        <v>88.510114331072629</v>
      </c>
      <c r="S130" s="37">
        <f t="shared" si="29"/>
        <v>79.747453700588139</v>
      </c>
      <c r="T130" s="37">
        <f t="shared" si="29"/>
        <v>68.083892920275815</v>
      </c>
      <c r="U130" s="37">
        <f t="shared" si="29"/>
        <v>64.666045008820802</v>
      </c>
      <c r="V130" s="37">
        <f t="shared" si="29"/>
        <v>68.906925942773753</v>
      </c>
      <c r="W130" s="37">
        <f t="shared" si="29"/>
        <v>76.0150453979779</v>
      </c>
      <c r="X130" s="37">
        <f t="shared" si="29"/>
        <v>88.644224417379831</v>
      </c>
      <c r="Y130" s="37">
        <f t="shared" si="29"/>
        <v>80.101022098803824</v>
      </c>
      <c r="Z130" s="37">
        <f t="shared" si="29"/>
        <v>70.157809986883194</v>
      </c>
      <c r="AA130" s="37">
        <f t="shared" si="29"/>
        <v>56.364860916858234</v>
      </c>
      <c r="AB130" s="37">
        <f t="shared" si="29"/>
        <v>57.163545416908804</v>
      </c>
      <c r="AC130" s="37">
        <f t="shared" si="29"/>
        <v>47.59745391711359</v>
      </c>
      <c r="AD130" s="37">
        <f t="shared" si="29"/>
        <v>41.747553803966397</v>
      </c>
      <c r="AE130" s="37">
        <f t="shared" si="29"/>
        <v>41.633209453608004</v>
      </c>
      <c r="AF130" s="37">
        <f t="shared" si="29"/>
        <v>21.207640830623998</v>
      </c>
    </row>
    <row r="131" spans="4:32">
      <c r="D131" t="s">
        <v>156</v>
      </c>
      <c r="G131" t="s">
        <v>135</v>
      </c>
      <c r="H131" s="48">
        <f>SUM(I131:AF131)</f>
        <v>26422.635548173035</v>
      </c>
      <c r="I131" s="37">
        <f>I123*I127</f>
        <v>1235.989211549715</v>
      </c>
      <c r="J131" s="37">
        <f t="shared" si="29"/>
        <v>1752.3966795702913</v>
      </c>
      <c r="K131" s="37">
        <f t="shared" si="29"/>
        <v>1447.4275348154704</v>
      </c>
      <c r="L131" s="37">
        <f t="shared" si="29"/>
        <v>1247.5253402784774</v>
      </c>
      <c r="M131" s="37">
        <f t="shared" si="29"/>
        <v>1157.3299450634652</v>
      </c>
      <c r="N131" s="37">
        <f t="shared" si="29"/>
        <v>1255.4352599066281</v>
      </c>
      <c r="O131" s="37">
        <f t="shared" si="29"/>
        <v>1033.4109715347645</v>
      </c>
      <c r="P131" s="37">
        <f t="shared" si="29"/>
        <v>974.27368599631745</v>
      </c>
      <c r="Q131" s="37">
        <f t="shared" si="29"/>
        <v>1077.7737521734164</v>
      </c>
      <c r="R131" s="37">
        <f t="shared" si="29"/>
        <v>1266.8914192347595</v>
      </c>
      <c r="S131" s="37">
        <f t="shared" si="29"/>
        <v>975.45850658273264</v>
      </c>
      <c r="T131" s="37">
        <f t="shared" si="29"/>
        <v>811.48002400751136</v>
      </c>
      <c r="U131" s="37">
        <f t="shared" si="29"/>
        <v>937.96713105435992</v>
      </c>
      <c r="V131" s="37">
        <f t="shared" si="29"/>
        <v>1177.0809373442589</v>
      </c>
      <c r="W131" s="37">
        <f t="shared" si="29"/>
        <v>1228.396936272165</v>
      </c>
      <c r="X131" s="37">
        <f t="shared" si="29"/>
        <v>1415.7656875593002</v>
      </c>
      <c r="Y131" s="37">
        <f t="shared" si="29"/>
        <v>1417.4888896280374</v>
      </c>
      <c r="Z131" s="37">
        <f t="shared" si="29"/>
        <v>1086.2500011093523</v>
      </c>
      <c r="AA131" s="37">
        <f t="shared" si="29"/>
        <v>761.11168085120789</v>
      </c>
      <c r="AB131" s="37">
        <f t="shared" si="29"/>
        <v>1012.4706337137361</v>
      </c>
      <c r="AC131" s="37">
        <f t="shared" si="29"/>
        <v>978.43631711625903</v>
      </c>
      <c r="AD131" s="37">
        <f t="shared" si="29"/>
        <v>865.11875829459234</v>
      </c>
      <c r="AE131" s="37">
        <f t="shared" si="29"/>
        <v>885.53379955666969</v>
      </c>
      <c r="AF131" s="37">
        <f t="shared" si="29"/>
        <v>421.62244495955105</v>
      </c>
    </row>
    <row r="132" spans="4:32" ht="6" customHeight="1">
      <c r="D132" s="2"/>
      <c r="H132" s="29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</row>
    <row r="133" spans="4:32">
      <c r="D133" s="4" t="s">
        <v>157</v>
      </c>
      <c r="E133" s="4"/>
      <c r="F133" s="4"/>
      <c r="G133" s="4"/>
      <c r="H133" s="31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</row>
    <row r="134" spans="4:32" ht="6" customHeight="1">
      <c r="D134" s="2"/>
      <c r="H134" s="29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</row>
    <row r="135" spans="4:32">
      <c r="D135" s="28" t="s">
        <v>54</v>
      </c>
      <c r="H135" s="29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</row>
    <row r="136" spans="4:32">
      <c r="D136" t="s">
        <v>158</v>
      </c>
      <c r="G136" t="s">
        <v>159</v>
      </c>
      <c r="H136" s="48">
        <f>SUM(I136:AF136)</f>
        <v>2957.6379253000005</v>
      </c>
      <c r="I136" s="52">
        <f t="shared" ref="I136:AF136" si="30">I121</f>
        <v>150.83716040000002</v>
      </c>
      <c r="J136" s="52">
        <f t="shared" si="30"/>
        <v>172.16249759999999</v>
      </c>
      <c r="K136" s="52">
        <f t="shared" si="30"/>
        <v>160.76309200000003</v>
      </c>
      <c r="L136" s="52">
        <f t="shared" si="30"/>
        <v>158.61098959999998</v>
      </c>
      <c r="M136" s="52">
        <f t="shared" si="30"/>
        <v>158.39422400000001</v>
      </c>
      <c r="N136" s="52">
        <f t="shared" si="30"/>
        <v>143.22009199999999</v>
      </c>
      <c r="O136" s="52">
        <f t="shared" si="30"/>
        <v>141.14227210000001</v>
      </c>
      <c r="P136" s="52">
        <f t="shared" si="30"/>
        <v>124.80287900000003</v>
      </c>
      <c r="Q136" s="52">
        <f t="shared" si="30"/>
        <v>135.14704560000001</v>
      </c>
      <c r="R136" s="52">
        <f t="shared" si="30"/>
        <v>159.965959</v>
      </c>
      <c r="S136" s="52">
        <f t="shared" si="30"/>
        <v>143.01416360000002</v>
      </c>
      <c r="T136" s="52">
        <f t="shared" si="30"/>
        <v>118.74260140000003</v>
      </c>
      <c r="U136" s="52">
        <f t="shared" si="30"/>
        <v>112.9876496</v>
      </c>
      <c r="V136" s="52">
        <f t="shared" si="30"/>
        <v>123.42205480000001</v>
      </c>
      <c r="W136" s="52">
        <f t="shared" si="30"/>
        <v>139.4123328</v>
      </c>
      <c r="X136" s="52">
        <f t="shared" si="30"/>
        <v>154.356224</v>
      </c>
      <c r="Y136" s="52">
        <f t="shared" si="30"/>
        <v>147.13606249999998</v>
      </c>
      <c r="Z136" s="52">
        <f t="shared" si="30"/>
        <v>116.299575</v>
      </c>
      <c r="AA136" s="52">
        <f t="shared" si="30"/>
        <v>90.079807499999987</v>
      </c>
      <c r="AB136" s="52">
        <f t="shared" si="30"/>
        <v>83.122231500000012</v>
      </c>
      <c r="AC136" s="52">
        <f t="shared" si="30"/>
        <v>70.730625000000003</v>
      </c>
      <c r="AD136" s="52">
        <f t="shared" si="30"/>
        <v>59.728605299999991</v>
      </c>
      <c r="AE136" s="52">
        <f t="shared" si="30"/>
        <v>60.526388999999995</v>
      </c>
      <c r="AF136" s="52">
        <f t="shared" si="30"/>
        <v>33.033391999999999</v>
      </c>
    </row>
    <row r="137" spans="4:32">
      <c r="D137" t="s">
        <v>51</v>
      </c>
      <c r="G137" t="s">
        <v>50</v>
      </c>
      <c r="H137" s="35">
        <f>IF(SUM(I136:AF136)&lt;&gt;0,SUMPRODUCT(I136:AF136,I137:AF137)/SUM(I136:AF136),0)</f>
        <v>0.29999999999999993</v>
      </c>
      <c r="I137" s="36">
        <f>'Candelaria Inputs'!I307</f>
        <v>0.3</v>
      </c>
      <c r="J137" s="36">
        <f>'Candelaria Inputs'!J307</f>
        <v>0.3</v>
      </c>
      <c r="K137" s="36">
        <f>'Candelaria Inputs'!K307</f>
        <v>0.3</v>
      </c>
      <c r="L137" s="36">
        <f>'Candelaria Inputs'!L307</f>
        <v>0.3</v>
      </c>
      <c r="M137" s="36">
        <f>'Candelaria Inputs'!M307</f>
        <v>0.3</v>
      </c>
      <c r="N137" s="36">
        <f>'Candelaria Inputs'!N307</f>
        <v>0.3</v>
      </c>
      <c r="O137" s="36">
        <f>'Candelaria Inputs'!O307</f>
        <v>0.3</v>
      </c>
      <c r="P137" s="36">
        <f>'Candelaria Inputs'!P307</f>
        <v>0.3</v>
      </c>
      <c r="Q137" s="36">
        <f>'Candelaria Inputs'!Q307</f>
        <v>0.3</v>
      </c>
      <c r="R137" s="36">
        <f>'Candelaria Inputs'!R307</f>
        <v>0.3</v>
      </c>
      <c r="S137" s="36">
        <f>'Candelaria Inputs'!S307</f>
        <v>0.3</v>
      </c>
      <c r="T137" s="36">
        <f>'Candelaria Inputs'!T307</f>
        <v>0.3</v>
      </c>
      <c r="U137" s="36">
        <f>'Candelaria Inputs'!U307</f>
        <v>0.3</v>
      </c>
      <c r="V137" s="36">
        <f>'Candelaria Inputs'!V307</f>
        <v>0.3</v>
      </c>
      <c r="W137" s="36">
        <f>'Candelaria Inputs'!W307</f>
        <v>0.3</v>
      </c>
      <c r="X137" s="36">
        <f>'Candelaria Inputs'!X307</f>
        <v>0.3</v>
      </c>
      <c r="Y137" s="36">
        <f>'Candelaria Inputs'!Y307</f>
        <v>0.3</v>
      </c>
      <c r="Z137" s="36">
        <f>'Candelaria Inputs'!Z307</f>
        <v>0.3</v>
      </c>
      <c r="AA137" s="36">
        <f>'Candelaria Inputs'!AA307</f>
        <v>0.3</v>
      </c>
      <c r="AB137" s="36">
        <f>'Candelaria Inputs'!AB307</f>
        <v>0.3</v>
      </c>
      <c r="AC137" s="36">
        <f>'Candelaria Inputs'!AC307</f>
        <v>0.3</v>
      </c>
      <c r="AD137" s="36">
        <f>'Candelaria Inputs'!AD307</f>
        <v>0.3</v>
      </c>
      <c r="AE137" s="36">
        <f>'Candelaria Inputs'!AE307</f>
        <v>0.3</v>
      </c>
      <c r="AF137" s="36">
        <f>'Candelaria Inputs'!AF307</f>
        <v>0.3</v>
      </c>
    </row>
    <row r="138" spans="4:32">
      <c r="D138" t="s">
        <v>49</v>
      </c>
      <c r="G138" t="s">
        <v>50</v>
      </c>
      <c r="H138" s="35">
        <f>IF(SUM(I136:AF136)&lt;&gt;0,SUMPRODUCT(I136:AF136,I138:AF138)/SUM(I136:AF136),0)</f>
        <v>9.5000000000000001E-2</v>
      </c>
      <c r="I138" s="36">
        <f>'Candelaria Inputs'!I300</f>
        <v>9.5000000000000001E-2</v>
      </c>
      <c r="J138" s="36">
        <f>'Candelaria Inputs'!J300</f>
        <v>9.5000000000000001E-2</v>
      </c>
      <c r="K138" s="36">
        <f>'Candelaria Inputs'!K300</f>
        <v>9.5000000000000001E-2</v>
      </c>
      <c r="L138" s="36">
        <f>'Candelaria Inputs'!L300</f>
        <v>9.5000000000000001E-2</v>
      </c>
      <c r="M138" s="36">
        <f>'Candelaria Inputs'!M300</f>
        <v>9.5000000000000001E-2</v>
      </c>
      <c r="N138" s="36">
        <f>'Candelaria Inputs'!N300</f>
        <v>9.5000000000000001E-2</v>
      </c>
      <c r="O138" s="36">
        <f>'Candelaria Inputs'!O300</f>
        <v>9.5000000000000001E-2</v>
      </c>
      <c r="P138" s="36">
        <f>'Candelaria Inputs'!P300</f>
        <v>9.5000000000000001E-2</v>
      </c>
      <c r="Q138" s="36">
        <f>'Candelaria Inputs'!Q300</f>
        <v>9.5000000000000001E-2</v>
      </c>
      <c r="R138" s="36">
        <f>'Candelaria Inputs'!R300</f>
        <v>9.5000000000000001E-2</v>
      </c>
      <c r="S138" s="36">
        <f>'Candelaria Inputs'!S300</f>
        <v>9.5000000000000001E-2</v>
      </c>
      <c r="T138" s="36">
        <f>'Candelaria Inputs'!T300</f>
        <v>9.5000000000000001E-2</v>
      </c>
      <c r="U138" s="36">
        <f>'Candelaria Inputs'!U300</f>
        <v>9.5000000000000001E-2</v>
      </c>
      <c r="V138" s="36">
        <f>'Candelaria Inputs'!V300</f>
        <v>9.5000000000000001E-2</v>
      </c>
      <c r="W138" s="36">
        <f>'Candelaria Inputs'!W300</f>
        <v>9.5000000000000001E-2</v>
      </c>
      <c r="X138" s="36">
        <f>'Candelaria Inputs'!X300</f>
        <v>9.5000000000000001E-2</v>
      </c>
      <c r="Y138" s="36">
        <f>'Candelaria Inputs'!Y300</f>
        <v>9.5000000000000001E-2</v>
      </c>
      <c r="Z138" s="36">
        <f>'Candelaria Inputs'!Z300</f>
        <v>9.5000000000000001E-2</v>
      </c>
      <c r="AA138" s="36">
        <f>'Candelaria Inputs'!AA300</f>
        <v>9.5000000000000001E-2</v>
      </c>
      <c r="AB138" s="36">
        <f>'Candelaria Inputs'!AB300</f>
        <v>9.5000000000000001E-2</v>
      </c>
      <c r="AC138" s="36">
        <f>'Candelaria Inputs'!AC300</f>
        <v>9.5000000000000001E-2</v>
      </c>
      <c r="AD138" s="36">
        <f>'Candelaria Inputs'!AD300</f>
        <v>9.5000000000000001E-2</v>
      </c>
      <c r="AE138" s="36">
        <f>'Candelaria Inputs'!AE300</f>
        <v>9.5000000000000001E-2</v>
      </c>
      <c r="AF138" s="36">
        <f>'Candelaria Inputs'!AF300</f>
        <v>9.5000000000000001E-2</v>
      </c>
    </row>
    <row r="139" spans="4:32">
      <c r="D139" t="s">
        <v>160</v>
      </c>
      <c r="G139" t="s">
        <v>159</v>
      </c>
      <c r="H139" s="48">
        <f>SUM(I139:AF139)</f>
        <v>10795.378427345002</v>
      </c>
      <c r="I139" s="52">
        <f>I136/I137*(1+I138)</f>
        <v>550.55563546000008</v>
      </c>
      <c r="J139" s="52">
        <f t="shared" ref="J139:AF139" si="31">J136/J137*(1+J138)</f>
        <v>628.39311624000004</v>
      </c>
      <c r="K139" s="52">
        <f t="shared" si="31"/>
        <v>586.78528580000011</v>
      </c>
      <c r="L139" s="52">
        <f t="shared" si="31"/>
        <v>578.93011204000004</v>
      </c>
      <c r="M139" s="52">
        <f t="shared" si="31"/>
        <v>578.13891760000001</v>
      </c>
      <c r="N139" s="52">
        <f t="shared" si="31"/>
        <v>522.75333579999995</v>
      </c>
      <c r="O139" s="52">
        <f t="shared" si="31"/>
        <v>515.16929316500011</v>
      </c>
      <c r="P139" s="52">
        <f t="shared" si="31"/>
        <v>455.5305083500001</v>
      </c>
      <c r="Q139" s="52">
        <f t="shared" si="31"/>
        <v>493.28671644000008</v>
      </c>
      <c r="R139" s="52">
        <f t="shared" si="31"/>
        <v>583.87575034999998</v>
      </c>
      <c r="S139" s="52">
        <f t="shared" si="31"/>
        <v>522.00169714000003</v>
      </c>
      <c r="T139" s="52">
        <f t="shared" si="31"/>
        <v>433.41049511000011</v>
      </c>
      <c r="U139" s="52">
        <f t="shared" si="31"/>
        <v>412.40492103999998</v>
      </c>
      <c r="V139" s="52">
        <f t="shared" si="31"/>
        <v>450.49050002000007</v>
      </c>
      <c r="W139" s="52">
        <f t="shared" si="31"/>
        <v>508.85501471999999</v>
      </c>
      <c r="X139" s="52">
        <f t="shared" si="31"/>
        <v>563.40021760000002</v>
      </c>
      <c r="Y139" s="52">
        <f t="shared" si="31"/>
        <v>537.04662812499998</v>
      </c>
      <c r="Z139" s="52">
        <f t="shared" si="31"/>
        <v>424.49344875000003</v>
      </c>
      <c r="AA139" s="52">
        <f t="shared" si="31"/>
        <v>328.79129737499994</v>
      </c>
      <c r="AB139" s="52">
        <f t="shared" si="31"/>
        <v>303.39614497500003</v>
      </c>
      <c r="AC139" s="52">
        <f t="shared" si="31"/>
        <v>258.16678124999999</v>
      </c>
      <c r="AD139" s="52">
        <f t="shared" si="31"/>
        <v>218.00940934499997</v>
      </c>
      <c r="AE139" s="52">
        <f t="shared" si="31"/>
        <v>220.92131984999997</v>
      </c>
      <c r="AF139" s="52">
        <f t="shared" si="31"/>
        <v>120.57188079999999</v>
      </c>
    </row>
    <row r="140" spans="4:32">
      <c r="D140" s="5" t="s">
        <v>54</v>
      </c>
      <c r="E140" s="5"/>
      <c r="F140" s="5"/>
      <c r="G140" s="5" t="s">
        <v>55</v>
      </c>
      <c r="H140" s="53">
        <f>IF(SUM(I139:AF139)&lt;&gt;0,SUMPRODUCT(I139:AF139,I140:AF140)/SUM(I139:AF139),0)</f>
        <v>49.499999999999993</v>
      </c>
      <c r="I140" s="54">
        <f>'Candelaria Inputs'!I315</f>
        <v>49.5</v>
      </c>
      <c r="J140" s="54">
        <f>'Candelaria Inputs'!J315</f>
        <v>49.5</v>
      </c>
      <c r="K140" s="54">
        <f>'Candelaria Inputs'!K315</f>
        <v>49.5</v>
      </c>
      <c r="L140" s="54">
        <f>'Candelaria Inputs'!L315</f>
        <v>49.5</v>
      </c>
      <c r="M140" s="54">
        <f>'Candelaria Inputs'!M315</f>
        <v>49.5</v>
      </c>
      <c r="N140" s="54">
        <f>'Candelaria Inputs'!N315</f>
        <v>49.5</v>
      </c>
      <c r="O140" s="54">
        <f>'Candelaria Inputs'!O315</f>
        <v>49.5</v>
      </c>
      <c r="P140" s="54">
        <f>'Candelaria Inputs'!P315</f>
        <v>49.5</v>
      </c>
      <c r="Q140" s="54">
        <f>'Candelaria Inputs'!Q315</f>
        <v>49.5</v>
      </c>
      <c r="R140" s="54">
        <f>'Candelaria Inputs'!R315</f>
        <v>49.5</v>
      </c>
      <c r="S140" s="54">
        <f>'Candelaria Inputs'!S315</f>
        <v>49.5</v>
      </c>
      <c r="T140" s="54">
        <f>'Candelaria Inputs'!T315</f>
        <v>49.5</v>
      </c>
      <c r="U140" s="54">
        <f>'Candelaria Inputs'!U315</f>
        <v>49.5</v>
      </c>
      <c r="V140" s="54">
        <f>'Candelaria Inputs'!V315</f>
        <v>49.5</v>
      </c>
      <c r="W140" s="54">
        <f>'Candelaria Inputs'!W315</f>
        <v>49.5</v>
      </c>
      <c r="X140" s="54">
        <f>'Candelaria Inputs'!X315</f>
        <v>49.5</v>
      </c>
      <c r="Y140" s="54">
        <f>'Candelaria Inputs'!Y315</f>
        <v>49.5</v>
      </c>
      <c r="Z140" s="54">
        <f>'Candelaria Inputs'!Z315</f>
        <v>49.5</v>
      </c>
      <c r="AA140" s="54">
        <f>'Candelaria Inputs'!AA315</f>
        <v>49.5</v>
      </c>
      <c r="AB140" s="54">
        <f>'Candelaria Inputs'!AB315</f>
        <v>49.5</v>
      </c>
      <c r="AC140" s="54">
        <f>'Candelaria Inputs'!AC315</f>
        <v>49.5</v>
      </c>
      <c r="AD140" s="54">
        <f>'Candelaria Inputs'!AD315</f>
        <v>49.5</v>
      </c>
      <c r="AE140" s="54">
        <f>'Candelaria Inputs'!AE315</f>
        <v>49.5</v>
      </c>
      <c r="AF140" s="54">
        <f>'Candelaria Inputs'!AF315</f>
        <v>49.5</v>
      </c>
    </row>
    <row r="141" spans="4:32">
      <c r="D141" t="s">
        <v>54</v>
      </c>
      <c r="G141" t="s">
        <v>90</v>
      </c>
      <c r="H141" s="48">
        <f>SUM(I141:AF141)</f>
        <v>534.37123215357758</v>
      </c>
      <c r="I141" s="37">
        <f t="shared" ref="I141:AF141" si="32">(I140*I139/1000)</f>
        <v>27.252503955270004</v>
      </c>
      <c r="J141" s="37">
        <f t="shared" si="32"/>
        <v>31.105459253880003</v>
      </c>
      <c r="K141" s="37">
        <f t="shared" si="32"/>
        <v>29.045871647100004</v>
      </c>
      <c r="L141" s="37">
        <f t="shared" si="32"/>
        <v>28.657040545980003</v>
      </c>
      <c r="M141" s="37">
        <f t="shared" si="32"/>
        <v>28.617876421200002</v>
      </c>
      <c r="N141" s="37">
        <f t="shared" si="32"/>
        <v>25.876290122099995</v>
      </c>
      <c r="O141" s="37">
        <f t="shared" si="32"/>
        <v>25.500880011667505</v>
      </c>
      <c r="P141" s="37">
        <f t="shared" si="32"/>
        <v>22.548760163325007</v>
      </c>
      <c r="Q141" s="37">
        <f t="shared" si="32"/>
        <v>24.417692463780003</v>
      </c>
      <c r="R141" s="37">
        <f t="shared" si="32"/>
        <v>28.901849642325001</v>
      </c>
      <c r="S141" s="37">
        <f t="shared" si="32"/>
        <v>25.83908400843</v>
      </c>
      <c r="T141" s="37">
        <f t="shared" si="32"/>
        <v>21.453819507945006</v>
      </c>
      <c r="U141" s="37">
        <f t="shared" si="32"/>
        <v>20.414043591479999</v>
      </c>
      <c r="V141" s="37">
        <f t="shared" si="32"/>
        <v>22.299279750990003</v>
      </c>
      <c r="W141" s="37">
        <f t="shared" si="32"/>
        <v>25.188323228639998</v>
      </c>
      <c r="X141" s="37">
        <f t="shared" si="32"/>
        <v>27.8883107712</v>
      </c>
      <c r="Y141" s="37">
        <f t="shared" si="32"/>
        <v>26.5838080921875</v>
      </c>
      <c r="Z141" s="37">
        <f t="shared" si="32"/>
        <v>21.012425713125001</v>
      </c>
      <c r="AA141" s="37">
        <f t="shared" si="32"/>
        <v>16.275169220062498</v>
      </c>
      <c r="AB141" s="37">
        <f t="shared" si="32"/>
        <v>15.018109176262502</v>
      </c>
      <c r="AC141" s="37">
        <f t="shared" si="32"/>
        <v>12.779255671874999</v>
      </c>
      <c r="AD141" s="37">
        <f t="shared" si="32"/>
        <v>10.791465762577499</v>
      </c>
      <c r="AE141" s="37">
        <f t="shared" si="32"/>
        <v>10.935605332574998</v>
      </c>
      <c r="AF141" s="37">
        <f t="shared" si="32"/>
        <v>5.9683080995999989</v>
      </c>
    </row>
    <row r="142" spans="4:32" ht="6" customHeight="1">
      <c r="D142" s="2"/>
      <c r="H142" s="29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</row>
    <row r="143" spans="4:32">
      <c r="D143" s="28" t="s">
        <v>56</v>
      </c>
      <c r="H143" s="29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</row>
    <row r="144" spans="4:32">
      <c r="D144" t="s">
        <v>158</v>
      </c>
      <c r="G144" t="s">
        <v>159</v>
      </c>
      <c r="H144" s="48">
        <f>SUM(I144:AF144)</f>
        <v>2957.6379253000005</v>
      </c>
      <c r="I144" s="52">
        <f t="shared" ref="I144:AF144" si="33">I121</f>
        <v>150.83716040000002</v>
      </c>
      <c r="J144" s="52">
        <f t="shared" si="33"/>
        <v>172.16249759999999</v>
      </c>
      <c r="K144" s="52">
        <f t="shared" si="33"/>
        <v>160.76309200000003</v>
      </c>
      <c r="L144" s="52">
        <f t="shared" si="33"/>
        <v>158.61098959999998</v>
      </c>
      <c r="M144" s="52">
        <f t="shared" si="33"/>
        <v>158.39422400000001</v>
      </c>
      <c r="N144" s="52">
        <f t="shared" si="33"/>
        <v>143.22009199999999</v>
      </c>
      <c r="O144" s="52">
        <f t="shared" si="33"/>
        <v>141.14227210000001</v>
      </c>
      <c r="P144" s="52">
        <f t="shared" si="33"/>
        <v>124.80287900000003</v>
      </c>
      <c r="Q144" s="52">
        <f t="shared" si="33"/>
        <v>135.14704560000001</v>
      </c>
      <c r="R144" s="52">
        <f t="shared" si="33"/>
        <v>159.965959</v>
      </c>
      <c r="S144" s="52">
        <f t="shared" si="33"/>
        <v>143.01416360000002</v>
      </c>
      <c r="T144" s="52">
        <f t="shared" si="33"/>
        <v>118.74260140000003</v>
      </c>
      <c r="U144" s="52">
        <f t="shared" si="33"/>
        <v>112.9876496</v>
      </c>
      <c r="V144" s="52">
        <f t="shared" si="33"/>
        <v>123.42205480000001</v>
      </c>
      <c r="W144" s="52">
        <f t="shared" si="33"/>
        <v>139.4123328</v>
      </c>
      <c r="X144" s="52">
        <f t="shared" si="33"/>
        <v>154.356224</v>
      </c>
      <c r="Y144" s="52">
        <f t="shared" si="33"/>
        <v>147.13606249999998</v>
      </c>
      <c r="Z144" s="52">
        <f t="shared" si="33"/>
        <v>116.299575</v>
      </c>
      <c r="AA144" s="52">
        <f t="shared" si="33"/>
        <v>90.079807499999987</v>
      </c>
      <c r="AB144" s="52">
        <f t="shared" si="33"/>
        <v>83.122231500000012</v>
      </c>
      <c r="AC144" s="52">
        <f t="shared" si="33"/>
        <v>70.730625000000003</v>
      </c>
      <c r="AD144" s="52">
        <f t="shared" si="33"/>
        <v>59.728605299999991</v>
      </c>
      <c r="AE144" s="52">
        <f t="shared" si="33"/>
        <v>60.526388999999995</v>
      </c>
      <c r="AF144" s="52">
        <f t="shared" si="33"/>
        <v>33.033391999999999</v>
      </c>
    </row>
    <row r="145" spans="4:32">
      <c r="D145" t="s">
        <v>51</v>
      </c>
      <c r="G145" t="s">
        <v>50</v>
      </c>
      <c r="H145" s="35">
        <f>IF(SUM(I144:AF144)&lt;&gt;0,SUMPRODUCT(I144:AF144,I145:AF145)/SUM(I144:AF144),0)</f>
        <v>0.29999999999999993</v>
      </c>
      <c r="I145" s="36">
        <f>'Candelaria Inputs'!I307</f>
        <v>0.3</v>
      </c>
      <c r="J145" s="36">
        <f>'Candelaria Inputs'!J307</f>
        <v>0.3</v>
      </c>
      <c r="K145" s="36">
        <f>'Candelaria Inputs'!K307</f>
        <v>0.3</v>
      </c>
      <c r="L145" s="36">
        <f>'Candelaria Inputs'!L307</f>
        <v>0.3</v>
      </c>
      <c r="M145" s="36">
        <f>'Candelaria Inputs'!M307</f>
        <v>0.3</v>
      </c>
      <c r="N145" s="36">
        <f>'Candelaria Inputs'!N307</f>
        <v>0.3</v>
      </c>
      <c r="O145" s="36">
        <f>'Candelaria Inputs'!O307</f>
        <v>0.3</v>
      </c>
      <c r="P145" s="36">
        <f>'Candelaria Inputs'!P307</f>
        <v>0.3</v>
      </c>
      <c r="Q145" s="36">
        <f>'Candelaria Inputs'!Q307</f>
        <v>0.3</v>
      </c>
      <c r="R145" s="36">
        <f>'Candelaria Inputs'!R307</f>
        <v>0.3</v>
      </c>
      <c r="S145" s="36">
        <f>'Candelaria Inputs'!S307</f>
        <v>0.3</v>
      </c>
      <c r="T145" s="36">
        <f>'Candelaria Inputs'!T307</f>
        <v>0.3</v>
      </c>
      <c r="U145" s="36">
        <f>'Candelaria Inputs'!U307</f>
        <v>0.3</v>
      </c>
      <c r="V145" s="36">
        <f>'Candelaria Inputs'!V307</f>
        <v>0.3</v>
      </c>
      <c r="W145" s="36">
        <f>'Candelaria Inputs'!W307</f>
        <v>0.3</v>
      </c>
      <c r="X145" s="36">
        <f>'Candelaria Inputs'!X307</f>
        <v>0.3</v>
      </c>
      <c r="Y145" s="36">
        <f>'Candelaria Inputs'!Y307</f>
        <v>0.3</v>
      </c>
      <c r="Z145" s="36">
        <f>'Candelaria Inputs'!Z307</f>
        <v>0.3</v>
      </c>
      <c r="AA145" s="36">
        <f>'Candelaria Inputs'!AA307</f>
        <v>0.3</v>
      </c>
      <c r="AB145" s="36">
        <f>'Candelaria Inputs'!AB307</f>
        <v>0.3</v>
      </c>
      <c r="AC145" s="36">
        <f>'Candelaria Inputs'!AC307</f>
        <v>0.3</v>
      </c>
      <c r="AD145" s="36">
        <f>'Candelaria Inputs'!AD307</f>
        <v>0.3</v>
      </c>
      <c r="AE145" s="36">
        <f>'Candelaria Inputs'!AE307</f>
        <v>0.3</v>
      </c>
      <c r="AF145" s="36">
        <f>'Candelaria Inputs'!AF307</f>
        <v>0.3</v>
      </c>
    </row>
    <row r="146" spans="4:32">
      <c r="D146" t="s">
        <v>161</v>
      </c>
      <c r="G146" t="s">
        <v>159</v>
      </c>
      <c r="H146" s="48">
        <f>SUM(I146:AF146)</f>
        <v>9858.7930843333324</v>
      </c>
      <c r="I146" s="40">
        <f>I144/I145</f>
        <v>502.79053466666676</v>
      </c>
      <c r="J146" s="40">
        <f t="shared" ref="J146:AF146" si="34">J144/J145</f>
        <v>573.87499200000002</v>
      </c>
      <c r="K146" s="40">
        <f t="shared" si="34"/>
        <v>535.87697333333347</v>
      </c>
      <c r="L146" s="40">
        <f t="shared" si="34"/>
        <v>528.70329866666668</v>
      </c>
      <c r="M146" s="40">
        <f t="shared" si="34"/>
        <v>527.98074666666673</v>
      </c>
      <c r="N146" s="40">
        <f t="shared" si="34"/>
        <v>477.40030666666667</v>
      </c>
      <c r="O146" s="40">
        <f t="shared" si="34"/>
        <v>470.4742403333334</v>
      </c>
      <c r="P146" s="40">
        <f t="shared" si="34"/>
        <v>416.00959666666677</v>
      </c>
      <c r="Q146" s="40">
        <f t="shared" si="34"/>
        <v>450.49015200000008</v>
      </c>
      <c r="R146" s="40">
        <f t="shared" si="34"/>
        <v>533.21986333333336</v>
      </c>
      <c r="S146" s="40">
        <f t="shared" si="34"/>
        <v>476.71387866666674</v>
      </c>
      <c r="T146" s="40">
        <f t="shared" si="34"/>
        <v>395.80867133333345</v>
      </c>
      <c r="U146" s="40">
        <f t="shared" si="34"/>
        <v>376.62549866666666</v>
      </c>
      <c r="V146" s="40">
        <f t="shared" si="34"/>
        <v>411.40684933333341</v>
      </c>
      <c r="W146" s="40">
        <f t="shared" si="34"/>
        <v>464.70777600000002</v>
      </c>
      <c r="X146" s="40">
        <f t="shared" si="34"/>
        <v>514.5207466666667</v>
      </c>
      <c r="Y146" s="40">
        <f t="shared" si="34"/>
        <v>490.45354166666664</v>
      </c>
      <c r="Z146" s="40">
        <f t="shared" si="34"/>
        <v>387.66525000000001</v>
      </c>
      <c r="AA146" s="40">
        <f t="shared" si="34"/>
        <v>300.26602499999996</v>
      </c>
      <c r="AB146" s="40">
        <f t="shared" si="34"/>
        <v>277.07410500000003</v>
      </c>
      <c r="AC146" s="40">
        <f t="shared" si="34"/>
        <v>235.76875000000001</v>
      </c>
      <c r="AD146" s="40">
        <f t="shared" si="34"/>
        <v>199.09535099999997</v>
      </c>
      <c r="AE146" s="40">
        <f t="shared" si="34"/>
        <v>201.75462999999999</v>
      </c>
      <c r="AF146" s="40">
        <f t="shared" si="34"/>
        <v>110.11130666666666</v>
      </c>
    </row>
    <row r="147" spans="4:32">
      <c r="D147" s="5" t="s">
        <v>56</v>
      </c>
      <c r="E147" s="5"/>
      <c r="F147" s="5"/>
      <c r="G147" s="5" t="s">
        <v>57</v>
      </c>
      <c r="H147" s="53">
        <f>IF(SUM(I146:AF146)&lt;&gt;0,SUMPRODUCT(I146:AF146,I147:AF147)/SUM(I146:AF146),0)</f>
        <v>90</v>
      </c>
      <c r="I147" s="55">
        <f>'Candelaria Inputs'!I322</f>
        <v>90</v>
      </c>
      <c r="J147" s="55">
        <f>'Candelaria Inputs'!J322</f>
        <v>90</v>
      </c>
      <c r="K147" s="55">
        <f>'Candelaria Inputs'!K322</f>
        <v>90</v>
      </c>
      <c r="L147" s="55">
        <f>'Candelaria Inputs'!L322</f>
        <v>90</v>
      </c>
      <c r="M147" s="55">
        <f>'Candelaria Inputs'!M322</f>
        <v>90</v>
      </c>
      <c r="N147" s="55">
        <f>'Candelaria Inputs'!N322</f>
        <v>90</v>
      </c>
      <c r="O147" s="55">
        <f>'Candelaria Inputs'!O322</f>
        <v>90</v>
      </c>
      <c r="P147" s="55">
        <f>'Candelaria Inputs'!P322</f>
        <v>90</v>
      </c>
      <c r="Q147" s="55">
        <f>'Candelaria Inputs'!Q322</f>
        <v>90</v>
      </c>
      <c r="R147" s="55">
        <f>'Candelaria Inputs'!R322</f>
        <v>90</v>
      </c>
      <c r="S147" s="55">
        <f>'Candelaria Inputs'!S322</f>
        <v>90</v>
      </c>
      <c r="T147" s="55">
        <f>'Candelaria Inputs'!T322</f>
        <v>90</v>
      </c>
      <c r="U147" s="55">
        <f>'Candelaria Inputs'!U322</f>
        <v>90</v>
      </c>
      <c r="V147" s="55">
        <f>'Candelaria Inputs'!V322</f>
        <v>90</v>
      </c>
      <c r="W147" s="55">
        <f>'Candelaria Inputs'!W322</f>
        <v>90</v>
      </c>
      <c r="X147" s="55">
        <f>'Candelaria Inputs'!X322</f>
        <v>90</v>
      </c>
      <c r="Y147" s="55">
        <f>'Candelaria Inputs'!Y322</f>
        <v>90</v>
      </c>
      <c r="Z147" s="55">
        <f>'Candelaria Inputs'!Z322</f>
        <v>90</v>
      </c>
      <c r="AA147" s="55">
        <f>'Candelaria Inputs'!AA322</f>
        <v>90</v>
      </c>
      <c r="AB147" s="55">
        <f>'Candelaria Inputs'!AB322</f>
        <v>90</v>
      </c>
      <c r="AC147" s="55">
        <f>'Candelaria Inputs'!AC322</f>
        <v>90</v>
      </c>
      <c r="AD147" s="55">
        <f>'Candelaria Inputs'!AD322</f>
        <v>90</v>
      </c>
      <c r="AE147" s="55">
        <f>'Candelaria Inputs'!AE322</f>
        <v>90</v>
      </c>
      <c r="AF147" s="55">
        <f>'Candelaria Inputs'!AF322</f>
        <v>90</v>
      </c>
    </row>
    <row r="148" spans="4:32">
      <c r="D148" t="s">
        <v>56</v>
      </c>
      <c r="G148" t="s">
        <v>90</v>
      </c>
      <c r="H148" s="48">
        <f>SUM(I148:AF148)</f>
        <v>887.29137759000014</v>
      </c>
      <c r="I148" s="40">
        <f>(I146*I147/1000)</f>
        <v>45.251148120000003</v>
      </c>
      <c r="J148" s="40">
        <f t="shared" ref="J148:AF148" si="35">(J146*J147/1000)</f>
        <v>51.648749280000004</v>
      </c>
      <c r="K148" s="40">
        <f t="shared" si="35"/>
        <v>48.228927600000013</v>
      </c>
      <c r="L148" s="40">
        <f t="shared" si="35"/>
        <v>47.583296879999999</v>
      </c>
      <c r="M148" s="40">
        <f t="shared" si="35"/>
        <v>47.518267200000011</v>
      </c>
      <c r="N148" s="40">
        <f t="shared" si="35"/>
        <v>42.966027600000004</v>
      </c>
      <c r="O148" s="40">
        <f t="shared" si="35"/>
        <v>42.342681630000008</v>
      </c>
      <c r="P148" s="40">
        <f t="shared" si="35"/>
        <v>37.440863700000008</v>
      </c>
      <c r="Q148" s="40">
        <f t="shared" si="35"/>
        <v>40.544113680000009</v>
      </c>
      <c r="R148" s="40">
        <f t="shared" si="35"/>
        <v>47.989787700000001</v>
      </c>
      <c r="S148" s="40">
        <f t="shared" si="35"/>
        <v>42.904249080000007</v>
      </c>
      <c r="T148" s="40">
        <f t="shared" si="35"/>
        <v>35.622780420000012</v>
      </c>
      <c r="U148" s="40">
        <f t="shared" si="35"/>
        <v>33.896294879999999</v>
      </c>
      <c r="V148" s="40">
        <f t="shared" si="35"/>
        <v>37.026616440000005</v>
      </c>
      <c r="W148" s="40">
        <f t="shared" si="35"/>
        <v>41.823699840000003</v>
      </c>
      <c r="X148" s="40">
        <f t="shared" si="35"/>
        <v>46.306867199999999</v>
      </c>
      <c r="Y148" s="40">
        <f t="shared" si="35"/>
        <v>44.140818750000001</v>
      </c>
      <c r="Z148" s="40">
        <f t="shared" si="35"/>
        <v>34.889872499999996</v>
      </c>
      <c r="AA148" s="40">
        <f t="shared" si="35"/>
        <v>27.023942249999998</v>
      </c>
      <c r="AB148" s="40">
        <f t="shared" si="35"/>
        <v>24.93666945</v>
      </c>
      <c r="AC148" s="40">
        <f t="shared" si="35"/>
        <v>21.2191875</v>
      </c>
      <c r="AD148" s="40">
        <f t="shared" si="35"/>
        <v>17.918581589999999</v>
      </c>
      <c r="AE148" s="40">
        <f t="shared" si="35"/>
        <v>18.157916699999998</v>
      </c>
      <c r="AF148" s="40">
        <f t="shared" si="35"/>
        <v>9.9100175999999998</v>
      </c>
    </row>
    <row r="149" spans="4:32" ht="6" customHeight="1">
      <c r="D149" s="2"/>
      <c r="H149" s="29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</row>
    <row r="150" spans="4:32">
      <c r="D150" s="28" t="s">
        <v>162</v>
      </c>
      <c r="H150" s="29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</row>
    <row r="151" spans="4:32">
      <c r="D151" t="s">
        <v>163</v>
      </c>
      <c r="E151" s="33"/>
      <c r="F151" s="33"/>
      <c r="G151" s="33" t="s">
        <v>159</v>
      </c>
      <c r="H151" s="48">
        <f>SUM(I151:AF151)</f>
        <v>2854.1205979145002</v>
      </c>
      <c r="I151" s="52">
        <f>I129</f>
        <v>145.55785978600002</v>
      </c>
      <c r="J151" s="52">
        <f t="shared" ref="J151:AF151" si="36">J129</f>
        <v>166.13681018399998</v>
      </c>
      <c r="K151" s="52">
        <f t="shared" si="36"/>
        <v>155.13638378000002</v>
      </c>
      <c r="L151" s="52">
        <f t="shared" si="36"/>
        <v>153.05960496399999</v>
      </c>
      <c r="M151" s="52">
        <f t="shared" si="36"/>
        <v>152.85042616000001</v>
      </c>
      <c r="N151" s="52">
        <f t="shared" si="36"/>
        <v>138.20738878</v>
      </c>
      <c r="O151" s="52">
        <f t="shared" si="36"/>
        <v>136.20229257650001</v>
      </c>
      <c r="P151" s="52">
        <f t="shared" si="36"/>
        <v>120.43477823500002</v>
      </c>
      <c r="Q151" s="52">
        <f t="shared" si="36"/>
        <v>130.41689900400002</v>
      </c>
      <c r="R151" s="52">
        <f t="shared" si="36"/>
        <v>154.36715043499999</v>
      </c>
      <c r="S151" s="52">
        <f t="shared" si="36"/>
        <v>138.00866787400003</v>
      </c>
      <c r="T151" s="52">
        <f t="shared" si="36"/>
        <v>114.58661035100002</v>
      </c>
      <c r="U151" s="52">
        <f t="shared" si="36"/>
        <v>109.033081864</v>
      </c>
      <c r="V151" s="52">
        <f t="shared" si="36"/>
        <v>119.10228288200001</v>
      </c>
      <c r="W151" s="52">
        <f t="shared" si="36"/>
        <v>134.53290115199999</v>
      </c>
      <c r="X151" s="52">
        <f t="shared" si="36"/>
        <v>148.95375615999998</v>
      </c>
      <c r="Y151" s="52">
        <f t="shared" si="36"/>
        <v>141.98630031249996</v>
      </c>
      <c r="Z151" s="52">
        <f t="shared" si="36"/>
        <v>112.229089875</v>
      </c>
      <c r="AA151" s="52">
        <f t="shared" si="36"/>
        <v>86.927014237499989</v>
      </c>
      <c r="AB151" s="52">
        <f t="shared" si="36"/>
        <v>80.212953397500016</v>
      </c>
      <c r="AC151" s="52">
        <f t="shared" si="36"/>
        <v>68.255053125000003</v>
      </c>
      <c r="AD151" s="52">
        <f t="shared" si="36"/>
        <v>57.638104114499988</v>
      </c>
      <c r="AE151" s="52">
        <f t="shared" si="36"/>
        <v>58.40796538499999</v>
      </c>
      <c r="AF151" s="52">
        <f t="shared" si="36"/>
        <v>31.877223279999999</v>
      </c>
    </row>
    <row r="152" spans="4:32">
      <c r="D152" t="s">
        <v>164</v>
      </c>
      <c r="E152" s="33"/>
      <c r="F152" s="33"/>
      <c r="G152" s="33" t="s">
        <v>59</v>
      </c>
      <c r="H152" s="37">
        <f>IF(SUM(I151:AF151)&lt;&gt;0,SUMPRODUCT(I151:AF151,I152:AF152)/SUM(I151:AF151),0)</f>
        <v>8.9999999999999983E-2</v>
      </c>
      <c r="I152" s="38">
        <f>'Candelaria Inputs'!I330</f>
        <v>0.09</v>
      </c>
      <c r="J152" s="38">
        <f>'Candelaria Inputs'!J330</f>
        <v>0.09</v>
      </c>
      <c r="K152" s="38">
        <f>'Candelaria Inputs'!K330</f>
        <v>0.09</v>
      </c>
      <c r="L152" s="38">
        <f>'Candelaria Inputs'!L330</f>
        <v>0.09</v>
      </c>
      <c r="M152" s="38">
        <f>'Candelaria Inputs'!M330</f>
        <v>0.09</v>
      </c>
      <c r="N152" s="38">
        <f>'Candelaria Inputs'!N330</f>
        <v>0.09</v>
      </c>
      <c r="O152" s="38">
        <f>'Candelaria Inputs'!O330</f>
        <v>0.09</v>
      </c>
      <c r="P152" s="38">
        <f>'Candelaria Inputs'!P330</f>
        <v>0.09</v>
      </c>
      <c r="Q152" s="38">
        <f>'Candelaria Inputs'!Q330</f>
        <v>0.09</v>
      </c>
      <c r="R152" s="38">
        <f>'Candelaria Inputs'!R330</f>
        <v>0.09</v>
      </c>
      <c r="S152" s="38">
        <f>'Candelaria Inputs'!S330</f>
        <v>0.09</v>
      </c>
      <c r="T152" s="38">
        <f>'Candelaria Inputs'!T330</f>
        <v>0.09</v>
      </c>
      <c r="U152" s="38">
        <f>'Candelaria Inputs'!U330</f>
        <v>0.09</v>
      </c>
      <c r="V152" s="38">
        <f>'Candelaria Inputs'!V330</f>
        <v>0.09</v>
      </c>
      <c r="W152" s="38">
        <f>'Candelaria Inputs'!W330</f>
        <v>0.09</v>
      </c>
      <c r="X152" s="38">
        <f>'Candelaria Inputs'!X330</f>
        <v>0.09</v>
      </c>
      <c r="Y152" s="38">
        <f>'Candelaria Inputs'!Y330</f>
        <v>0.09</v>
      </c>
      <c r="Z152" s="38">
        <f>'Candelaria Inputs'!Z330</f>
        <v>0.09</v>
      </c>
      <c r="AA152" s="38">
        <f>'Candelaria Inputs'!AA330</f>
        <v>0.09</v>
      </c>
      <c r="AB152" s="38">
        <f>'Candelaria Inputs'!AB330</f>
        <v>0.09</v>
      </c>
      <c r="AC152" s="38">
        <f>'Candelaria Inputs'!AC330</f>
        <v>0.09</v>
      </c>
      <c r="AD152" s="38">
        <f>'Candelaria Inputs'!AD330</f>
        <v>0.09</v>
      </c>
      <c r="AE152" s="38">
        <f>'Candelaria Inputs'!AE330</f>
        <v>0.09</v>
      </c>
      <c r="AF152" s="38">
        <f>'Candelaria Inputs'!AF330</f>
        <v>0.09</v>
      </c>
    </row>
    <row r="153" spans="4:32">
      <c r="D153" t="s">
        <v>165</v>
      </c>
      <c r="E153" s="33"/>
      <c r="F153" s="33"/>
      <c r="G153" t="s">
        <v>135</v>
      </c>
      <c r="H153" s="48">
        <f>SUM(I153:AF153)</f>
        <v>1697.5700685348452</v>
      </c>
      <c r="I153" s="37">
        <f>I130</f>
        <v>84.04574662822175</v>
      </c>
      <c r="J153" s="37">
        <f t="shared" ref="J153:AF153" si="37">J130</f>
        <v>100.08352835522784</v>
      </c>
      <c r="K153" s="37">
        <f t="shared" si="37"/>
        <v>88.381219757039986</v>
      </c>
      <c r="L153" s="37">
        <f t="shared" si="37"/>
        <v>86.865410652698884</v>
      </c>
      <c r="M153" s="37">
        <f t="shared" si="37"/>
        <v>89.698200496237433</v>
      </c>
      <c r="N153" s="37">
        <f t="shared" si="37"/>
        <v>78.787968580471684</v>
      </c>
      <c r="O153" s="37">
        <f t="shared" si="37"/>
        <v>74.447561116540783</v>
      </c>
      <c r="P153" s="37">
        <f t="shared" si="37"/>
        <v>69.044568799438082</v>
      </c>
      <c r="Q153" s="37">
        <f t="shared" si="37"/>
        <v>75.669066005313582</v>
      </c>
      <c r="R153" s="37">
        <f t="shared" si="37"/>
        <v>88.510114331072629</v>
      </c>
      <c r="S153" s="37">
        <f t="shared" si="37"/>
        <v>79.747453700588139</v>
      </c>
      <c r="T153" s="37">
        <f t="shared" si="37"/>
        <v>68.083892920275815</v>
      </c>
      <c r="U153" s="37">
        <f t="shared" si="37"/>
        <v>64.666045008820802</v>
      </c>
      <c r="V153" s="37">
        <f t="shared" si="37"/>
        <v>68.906925942773753</v>
      </c>
      <c r="W153" s="37">
        <f t="shared" si="37"/>
        <v>76.0150453979779</v>
      </c>
      <c r="X153" s="37">
        <f t="shared" si="37"/>
        <v>88.644224417379831</v>
      </c>
      <c r="Y153" s="37">
        <f t="shared" si="37"/>
        <v>80.101022098803824</v>
      </c>
      <c r="Z153" s="37">
        <f t="shared" si="37"/>
        <v>70.157809986883194</v>
      </c>
      <c r="AA153" s="37">
        <f t="shared" si="37"/>
        <v>56.364860916858234</v>
      </c>
      <c r="AB153" s="37">
        <f t="shared" si="37"/>
        <v>57.163545416908804</v>
      </c>
      <c r="AC153" s="37">
        <f t="shared" si="37"/>
        <v>47.59745391711359</v>
      </c>
      <c r="AD153" s="37">
        <f t="shared" si="37"/>
        <v>41.747553803966397</v>
      </c>
      <c r="AE153" s="37">
        <f t="shared" si="37"/>
        <v>41.633209453608004</v>
      </c>
      <c r="AF153" s="37">
        <f t="shared" si="37"/>
        <v>21.207640830623998</v>
      </c>
    </row>
    <row r="154" spans="4:32">
      <c r="D154" s="56" t="s">
        <v>166</v>
      </c>
      <c r="E154" s="33"/>
      <c r="F154" s="33"/>
      <c r="G154" s="33" t="s">
        <v>167</v>
      </c>
      <c r="H154" s="37">
        <f>IF(SUM(I153:AF153)&lt;&gt;0,SUMPRODUCT(I153:AF153,I154:AF154)/SUM(I153:AF153),0)</f>
        <v>4.9999999999999991</v>
      </c>
      <c r="I154" s="38">
        <f>'Candelaria Inputs'!I336</f>
        <v>5</v>
      </c>
      <c r="J154" s="38">
        <f>'Candelaria Inputs'!J336</f>
        <v>5</v>
      </c>
      <c r="K154" s="38">
        <f>'Candelaria Inputs'!K336</f>
        <v>5</v>
      </c>
      <c r="L154" s="38">
        <f>'Candelaria Inputs'!L336</f>
        <v>5</v>
      </c>
      <c r="M154" s="38">
        <f>'Candelaria Inputs'!M336</f>
        <v>5</v>
      </c>
      <c r="N154" s="38">
        <f>'Candelaria Inputs'!N336</f>
        <v>5</v>
      </c>
      <c r="O154" s="38">
        <f>'Candelaria Inputs'!O336</f>
        <v>5</v>
      </c>
      <c r="P154" s="38">
        <f>'Candelaria Inputs'!P336</f>
        <v>5</v>
      </c>
      <c r="Q154" s="38">
        <f>'Candelaria Inputs'!Q336</f>
        <v>5</v>
      </c>
      <c r="R154" s="38">
        <f>'Candelaria Inputs'!R336</f>
        <v>5</v>
      </c>
      <c r="S154" s="38">
        <f>'Candelaria Inputs'!S336</f>
        <v>5</v>
      </c>
      <c r="T154" s="38">
        <f>'Candelaria Inputs'!T336</f>
        <v>5</v>
      </c>
      <c r="U154" s="38">
        <f>'Candelaria Inputs'!U336</f>
        <v>5</v>
      </c>
      <c r="V154" s="38">
        <f>'Candelaria Inputs'!V336</f>
        <v>5</v>
      </c>
      <c r="W154" s="38">
        <f>'Candelaria Inputs'!W336</f>
        <v>5</v>
      </c>
      <c r="X154" s="38">
        <f>'Candelaria Inputs'!X336</f>
        <v>5</v>
      </c>
      <c r="Y154" s="38">
        <f>'Candelaria Inputs'!Y336</f>
        <v>5</v>
      </c>
      <c r="Z154" s="38">
        <f>'Candelaria Inputs'!Z336</f>
        <v>5</v>
      </c>
      <c r="AA154" s="38">
        <f>'Candelaria Inputs'!AA336</f>
        <v>5</v>
      </c>
      <c r="AB154" s="38">
        <f>'Candelaria Inputs'!AB336</f>
        <v>5</v>
      </c>
      <c r="AC154" s="38">
        <f>'Candelaria Inputs'!AC336</f>
        <v>5</v>
      </c>
      <c r="AD154" s="38">
        <f>'Candelaria Inputs'!AD336</f>
        <v>5</v>
      </c>
      <c r="AE154" s="38">
        <f>'Candelaria Inputs'!AE336</f>
        <v>5</v>
      </c>
      <c r="AF154" s="38">
        <f>'Candelaria Inputs'!AF336</f>
        <v>5</v>
      </c>
    </row>
    <row r="155" spans="4:32">
      <c r="D155" t="s">
        <v>168</v>
      </c>
      <c r="E155" s="33"/>
      <c r="F155" s="33"/>
      <c r="G155" t="s">
        <v>135</v>
      </c>
      <c r="H155" s="48">
        <f>SUM(I155:AF155)</f>
        <v>26422.635548173035</v>
      </c>
      <c r="I155" s="37">
        <f>I131</f>
        <v>1235.989211549715</v>
      </c>
      <c r="J155" s="37">
        <f t="shared" ref="J155:AF155" si="38">J131</f>
        <v>1752.3966795702913</v>
      </c>
      <c r="K155" s="37">
        <f t="shared" si="38"/>
        <v>1447.4275348154704</v>
      </c>
      <c r="L155" s="37">
        <f t="shared" si="38"/>
        <v>1247.5253402784774</v>
      </c>
      <c r="M155" s="37">
        <f t="shared" si="38"/>
        <v>1157.3299450634652</v>
      </c>
      <c r="N155" s="37">
        <f t="shared" si="38"/>
        <v>1255.4352599066281</v>
      </c>
      <c r="O155" s="37">
        <f t="shared" si="38"/>
        <v>1033.4109715347645</v>
      </c>
      <c r="P155" s="37">
        <f t="shared" si="38"/>
        <v>974.27368599631745</v>
      </c>
      <c r="Q155" s="37">
        <f t="shared" si="38"/>
        <v>1077.7737521734164</v>
      </c>
      <c r="R155" s="37">
        <f t="shared" si="38"/>
        <v>1266.8914192347595</v>
      </c>
      <c r="S155" s="37">
        <f t="shared" si="38"/>
        <v>975.45850658273264</v>
      </c>
      <c r="T155" s="37">
        <f t="shared" si="38"/>
        <v>811.48002400751136</v>
      </c>
      <c r="U155" s="37">
        <f t="shared" si="38"/>
        <v>937.96713105435992</v>
      </c>
      <c r="V155" s="37">
        <f t="shared" si="38"/>
        <v>1177.0809373442589</v>
      </c>
      <c r="W155" s="37">
        <f t="shared" si="38"/>
        <v>1228.396936272165</v>
      </c>
      <c r="X155" s="37">
        <f t="shared" si="38"/>
        <v>1415.7656875593002</v>
      </c>
      <c r="Y155" s="37">
        <f t="shared" si="38"/>
        <v>1417.4888896280374</v>
      </c>
      <c r="Z155" s="37">
        <f t="shared" si="38"/>
        <v>1086.2500011093523</v>
      </c>
      <c r="AA155" s="37">
        <f t="shared" si="38"/>
        <v>761.11168085120789</v>
      </c>
      <c r="AB155" s="37">
        <f t="shared" si="38"/>
        <v>1012.4706337137361</v>
      </c>
      <c r="AC155" s="37">
        <f t="shared" si="38"/>
        <v>978.43631711625903</v>
      </c>
      <c r="AD155" s="37">
        <f t="shared" si="38"/>
        <v>865.11875829459234</v>
      </c>
      <c r="AE155" s="37">
        <f t="shared" si="38"/>
        <v>885.53379955666969</v>
      </c>
      <c r="AF155" s="37">
        <f t="shared" si="38"/>
        <v>421.62244495955105</v>
      </c>
    </row>
    <row r="156" spans="4:32">
      <c r="D156" s="57" t="s">
        <v>169</v>
      </c>
      <c r="E156" s="58"/>
      <c r="F156" s="58"/>
      <c r="G156" s="58" t="s">
        <v>170</v>
      </c>
      <c r="H156" s="45">
        <f>IF(SUM(I155:AF155)&lt;&gt;0,SUMPRODUCT(I155:AF155,I156:AF156)/SUM(I155:AF155),0)</f>
        <v>0.34999999999999992</v>
      </c>
      <c r="I156" s="55">
        <f>'Candelaria Inputs'!I343</f>
        <v>0.35</v>
      </c>
      <c r="J156" s="55">
        <f>'Candelaria Inputs'!J343</f>
        <v>0.35</v>
      </c>
      <c r="K156" s="55">
        <f>'Candelaria Inputs'!K343</f>
        <v>0.35</v>
      </c>
      <c r="L156" s="55">
        <f>'Candelaria Inputs'!L343</f>
        <v>0.35</v>
      </c>
      <c r="M156" s="55">
        <f>'Candelaria Inputs'!M343</f>
        <v>0.35</v>
      </c>
      <c r="N156" s="55">
        <f>'Candelaria Inputs'!N343</f>
        <v>0.35</v>
      </c>
      <c r="O156" s="55">
        <f>'Candelaria Inputs'!O343</f>
        <v>0.35</v>
      </c>
      <c r="P156" s="55">
        <f>'Candelaria Inputs'!P343</f>
        <v>0.35</v>
      </c>
      <c r="Q156" s="55">
        <f>'Candelaria Inputs'!Q343</f>
        <v>0.35</v>
      </c>
      <c r="R156" s="55">
        <f>'Candelaria Inputs'!R343</f>
        <v>0.35</v>
      </c>
      <c r="S156" s="55">
        <f>'Candelaria Inputs'!S343</f>
        <v>0.35</v>
      </c>
      <c r="T156" s="55">
        <f>'Candelaria Inputs'!T343</f>
        <v>0.35</v>
      </c>
      <c r="U156" s="55">
        <f>'Candelaria Inputs'!U343</f>
        <v>0.35</v>
      </c>
      <c r="V156" s="55">
        <f>'Candelaria Inputs'!V343</f>
        <v>0.35</v>
      </c>
      <c r="W156" s="55">
        <f>'Candelaria Inputs'!W343</f>
        <v>0.35</v>
      </c>
      <c r="X156" s="55">
        <f>'Candelaria Inputs'!X343</f>
        <v>0.35</v>
      </c>
      <c r="Y156" s="55">
        <f>'Candelaria Inputs'!Y343</f>
        <v>0.35</v>
      </c>
      <c r="Z156" s="55">
        <f>'Candelaria Inputs'!Z343</f>
        <v>0.35</v>
      </c>
      <c r="AA156" s="55">
        <f>'Candelaria Inputs'!AA343</f>
        <v>0.35</v>
      </c>
      <c r="AB156" s="55">
        <f>'Candelaria Inputs'!AB343</f>
        <v>0.35</v>
      </c>
      <c r="AC156" s="55">
        <f>'Candelaria Inputs'!AC343</f>
        <v>0.35</v>
      </c>
      <c r="AD156" s="55">
        <f>'Candelaria Inputs'!AD343</f>
        <v>0.35</v>
      </c>
      <c r="AE156" s="55">
        <f>'Candelaria Inputs'!AE343</f>
        <v>0.35</v>
      </c>
      <c r="AF156" s="55">
        <f>'Candelaria Inputs'!AF343</f>
        <v>0.35</v>
      </c>
    </row>
    <row r="157" spans="4:32">
      <c r="D157" s="33" t="s">
        <v>162</v>
      </c>
      <c r="E157" s="33"/>
      <c r="F157" s="33"/>
      <c r="G157" s="33" t="s">
        <v>90</v>
      </c>
      <c r="H157" s="48">
        <f>SUM(I157:AF157)</f>
        <v>584.03839451621843</v>
      </c>
      <c r="I157" s="40">
        <f>I151*I152*2204.62/1000+I153*I154/1000+I155*I156/1000</f>
        <v>29.73380415291053</v>
      </c>
      <c r="J157" s="40">
        <f t="shared" ref="J157:AF157" si="39">J151*J152*2204.62/1000+J153*J154/1000+J155*J156/1000</f>
        <v>34.07792458173224</v>
      </c>
      <c r="K157" s="40">
        <f t="shared" si="39"/>
        <v>31.730015432786338</v>
      </c>
      <c r="L157" s="40">
        <f t="shared" si="39"/>
        <v>31.240404888976986</v>
      </c>
      <c r="M157" s="40">
        <f t="shared" si="39"/>
        <v>31.181496070130727</v>
      </c>
      <c r="N157" s="40">
        <f t="shared" si="39"/>
        <v>28.255871794564399</v>
      </c>
      <c r="O157" s="40">
        <f t="shared" si="39"/>
        <v>27.758618489020176</v>
      </c>
      <c r="P157" s="40">
        <f t="shared" si="39"/>
        <v>24.582381505416016</v>
      </c>
      <c r="Q157" s="40">
        <f t="shared" si="39"/>
        <v>26.632339492685126</v>
      </c>
      <c r="R157" s="40">
        <f t="shared" si="39"/>
        <v>31.514844215668397</v>
      </c>
      <c r="S157" s="40">
        <f t="shared" si="39"/>
        <v>28.123247988960912</v>
      </c>
      <c r="T157" s="40">
        <f t="shared" si="39"/>
        <v>23.360231435085957</v>
      </c>
      <c r="U157" s="40">
        <f t="shared" si="39"/>
        <v>22.285504885424174</v>
      </c>
      <c r="V157" s="40">
        <f t="shared" si="39"/>
        <v>24.388287697642696</v>
      </c>
      <c r="W157" s="40">
        <f t="shared" si="39"/>
        <v>27.503467363080144</v>
      </c>
      <c r="X157" s="40">
        <f t="shared" si="39"/>
        <v>30.493517804223977</v>
      </c>
      <c r="Y157" s="40">
        <f t="shared" si="39"/>
        <v>29.068951587408758</v>
      </c>
      <c r="Z157" s="40">
        <f t="shared" si="39"/>
        <v>22.999001201142715</v>
      </c>
      <c r="AA157" s="40">
        <f t="shared" si="39"/>
        <v>17.795906464427162</v>
      </c>
      <c r="AB157" s="40">
        <f t="shared" si="39"/>
        <v>16.555699767612033</v>
      </c>
      <c r="AC157" s="40">
        <f t="shared" si="39"/>
        <v>14.123320950415632</v>
      </c>
      <c r="AD157" s="40">
        <f t="shared" si="39"/>
        <v>11.947839872784744</v>
      </c>
      <c r="AE157" s="40">
        <f t="shared" si="39"/>
        <v>12.107166055349953</v>
      </c>
      <c r="AF157" s="40">
        <f t="shared" si="39"/>
        <v>6.578550818768786</v>
      </c>
    </row>
    <row r="158" spans="4:32" ht="6" customHeight="1">
      <c r="D158" s="2"/>
      <c r="H158" s="29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</row>
    <row r="159" spans="4:32">
      <c r="D159" s="28" t="s">
        <v>171</v>
      </c>
      <c r="H159" s="29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</row>
    <row r="160" spans="4:32">
      <c r="D160" t="s">
        <v>158</v>
      </c>
      <c r="G160" t="s">
        <v>159</v>
      </c>
      <c r="H160" s="48">
        <f>SUM(I160:AF160)</f>
        <v>2957.6379253000005</v>
      </c>
      <c r="I160" s="52">
        <f t="shared" ref="I160:AF160" si="40">I121</f>
        <v>150.83716040000002</v>
      </c>
      <c r="J160" s="52">
        <f t="shared" si="40"/>
        <v>172.16249759999999</v>
      </c>
      <c r="K160" s="52">
        <f t="shared" si="40"/>
        <v>160.76309200000003</v>
      </c>
      <c r="L160" s="52">
        <f t="shared" si="40"/>
        <v>158.61098959999998</v>
      </c>
      <c r="M160" s="52">
        <f t="shared" si="40"/>
        <v>158.39422400000001</v>
      </c>
      <c r="N160" s="52">
        <f t="shared" si="40"/>
        <v>143.22009199999999</v>
      </c>
      <c r="O160" s="52">
        <f t="shared" si="40"/>
        <v>141.14227210000001</v>
      </c>
      <c r="P160" s="52">
        <f t="shared" si="40"/>
        <v>124.80287900000003</v>
      </c>
      <c r="Q160" s="52">
        <f t="shared" si="40"/>
        <v>135.14704560000001</v>
      </c>
      <c r="R160" s="52">
        <f t="shared" si="40"/>
        <v>159.965959</v>
      </c>
      <c r="S160" s="52">
        <f t="shared" si="40"/>
        <v>143.01416360000002</v>
      </c>
      <c r="T160" s="52">
        <f t="shared" si="40"/>
        <v>118.74260140000003</v>
      </c>
      <c r="U160" s="52">
        <f t="shared" si="40"/>
        <v>112.9876496</v>
      </c>
      <c r="V160" s="52">
        <f t="shared" si="40"/>
        <v>123.42205480000001</v>
      </c>
      <c r="W160" s="52">
        <f t="shared" si="40"/>
        <v>139.4123328</v>
      </c>
      <c r="X160" s="52">
        <f t="shared" si="40"/>
        <v>154.356224</v>
      </c>
      <c r="Y160" s="52">
        <f t="shared" si="40"/>
        <v>147.13606249999998</v>
      </c>
      <c r="Z160" s="52">
        <f t="shared" si="40"/>
        <v>116.299575</v>
      </c>
      <c r="AA160" s="52">
        <f t="shared" si="40"/>
        <v>90.079807499999987</v>
      </c>
      <c r="AB160" s="52">
        <f t="shared" si="40"/>
        <v>83.122231500000012</v>
      </c>
      <c r="AC160" s="52">
        <f t="shared" si="40"/>
        <v>70.730625000000003</v>
      </c>
      <c r="AD160" s="52">
        <f t="shared" si="40"/>
        <v>59.728605299999991</v>
      </c>
      <c r="AE160" s="52">
        <f t="shared" si="40"/>
        <v>60.526388999999995</v>
      </c>
      <c r="AF160" s="52">
        <f t="shared" si="40"/>
        <v>33.033391999999999</v>
      </c>
    </row>
    <row r="161" spans="3:32">
      <c r="D161" s="5" t="s">
        <v>171</v>
      </c>
      <c r="E161" s="5"/>
      <c r="F161" s="5"/>
      <c r="G161" s="5" t="s">
        <v>59</v>
      </c>
      <c r="H161" s="45">
        <f>IF(SUM(I160:AF160)&lt;&gt;0,SUMPRODUCT(I160:AF160,I161:AF161)/SUM(I160:AF160),0)</f>
        <v>3.0000000000000005E-3</v>
      </c>
      <c r="I161" s="55">
        <f>'Candelaria Inputs'!I350</f>
        <v>3.0000000000000001E-3</v>
      </c>
      <c r="J161" s="55">
        <f>'Candelaria Inputs'!J350</f>
        <v>3.0000000000000001E-3</v>
      </c>
      <c r="K161" s="55">
        <f>'Candelaria Inputs'!K350</f>
        <v>3.0000000000000001E-3</v>
      </c>
      <c r="L161" s="55">
        <f>'Candelaria Inputs'!L350</f>
        <v>3.0000000000000001E-3</v>
      </c>
      <c r="M161" s="55">
        <f>'Candelaria Inputs'!M350</f>
        <v>3.0000000000000001E-3</v>
      </c>
      <c r="N161" s="55">
        <f>'Candelaria Inputs'!N350</f>
        <v>3.0000000000000001E-3</v>
      </c>
      <c r="O161" s="55">
        <f>'Candelaria Inputs'!O350</f>
        <v>3.0000000000000001E-3</v>
      </c>
      <c r="P161" s="55">
        <f>'Candelaria Inputs'!P350</f>
        <v>3.0000000000000001E-3</v>
      </c>
      <c r="Q161" s="55">
        <f>'Candelaria Inputs'!Q350</f>
        <v>3.0000000000000001E-3</v>
      </c>
      <c r="R161" s="55">
        <f>'Candelaria Inputs'!R350</f>
        <v>3.0000000000000001E-3</v>
      </c>
      <c r="S161" s="55">
        <f>'Candelaria Inputs'!S350</f>
        <v>3.0000000000000001E-3</v>
      </c>
      <c r="T161" s="55">
        <f>'Candelaria Inputs'!T350</f>
        <v>3.0000000000000001E-3</v>
      </c>
      <c r="U161" s="55">
        <f>'Candelaria Inputs'!U350</f>
        <v>3.0000000000000001E-3</v>
      </c>
      <c r="V161" s="55">
        <f>'Candelaria Inputs'!V350</f>
        <v>3.0000000000000001E-3</v>
      </c>
      <c r="W161" s="55">
        <f>'Candelaria Inputs'!W350</f>
        <v>3.0000000000000001E-3</v>
      </c>
      <c r="X161" s="55">
        <f>'Candelaria Inputs'!X350</f>
        <v>3.0000000000000001E-3</v>
      </c>
      <c r="Y161" s="55">
        <f>'Candelaria Inputs'!Y350</f>
        <v>3.0000000000000001E-3</v>
      </c>
      <c r="Z161" s="55">
        <f>'Candelaria Inputs'!Z350</f>
        <v>3.0000000000000001E-3</v>
      </c>
      <c r="AA161" s="55">
        <f>'Candelaria Inputs'!AA350</f>
        <v>3.0000000000000001E-3</v>
      </c>
      <c r="AB161" s="55">
        <f>'Candelaria Inputs'!AB350</f>
        <v>3.0000000000000001E-3</v>
      </c>
      <c r="AC161" s="55">
        <f>'Candelaria Inputs'!AC350</f>
        <v>3.0000000000000001E-3</v>
      </c>
      <c r="AD161" s="55">
        <f>'Candelaria Inputs'!AD350</f>
        <v>3.0000000000000001E-3</v>
      </c>
      <c r="AE161" s="55">
        <f>'Candelaria Inputs'!AE350</f>
        <v>3.0000000000000001E-3</v>
      </c>
      <c r="AF161" s="55">
        <f>'Candelaria Inputs'!AF350</f>
        <v>3.0000000000000001E-3</v>
      </c>
    </row>
    <row r="162" spans="3:32">
      <c r="D162" t="s">
        <v>171</v>
      </c>
      <c r="G162" t="s">
        <v>90</v>
      </c>
      <c r="H162" s="48">
        <f>SUM(I162:AF162)</f>
        <v>19.561403168624661</v>
      </c>
      <c r="I162" s="40">
        <f>I160*I161*2204.62/1000</f>
        <v>0.99761586168314409</v>
      </c>
      <c r="J162" s="40">
        <f t="shared" ref="J162:AF162" si="41">J160*J161*2204.62/1000</f>
        <v>1.1386586563767358</v>
      </c>
      <c r="K162" s="40">
        <f t="shared" si="41"/>
        <v>1.06326458365512</v>
      </c>
      <c r="L162" s="40">
        <f t="shared" si="41"/>
        <v>1.0490308796758558</v>
      </c>
      <c r="M162" s="40">
        <f t="shared" si="41"/>
        <v>1.0475972223446399</v>
      </c>
      <c r="N162" s="40">
        <f t="shared" si="41"/>
        <v>0.94723763767511993</v>
      </c>
      <c r="O162" s="40">
        <f t="shared" si="41"/>
        <v>0.93349522775130611</v>
      </c>
      <c r="P162" s="40">
        <f t="shared" si="41"/>
        <v>0.82542876930294018</v>
      </c>
      <c r="Q162" s="40">
        <f t="shared" si="41"/>
        <v>0.89384363901201602</v>
      </c>
      <c r="R162" s="40">
        <f t="shared" si="41"/>
        <v>1.0579924575917401</v>
      </c>
      <c r="S162" s="40">
        <f t="shared" si="41"/>
        <v>0.94587565606749613</v>
      </c>
      <c r="T162" s="40">
        <f t="shared" si="41"/>
        <v>0.7853469416954042</v>
      </c>
      <c r="U162" s="40">
        <f t="shared" si="41"/>
        <v>0.74728449618345594</v>
      </c>
      <c r="V162" s="40">
        <f t="shared" si="41"/>
        <v>0.81629619135952802</v>
      </c>
      <c r="W162" s="40">
        <f t="shared" si="41"/>
        <v>0.92205365141260798</v>
      </c>
      <c r="X162" s="40">
        <f t="shared" si="41"/>
        <v>1.0208904556646399</v>
      </c>
      <c r="Y162" s="40">
        <f t="shared" si="41"/>
        <v>0.97313731832624983</v>
      </c>
      <c r="Z162" s="40">
        <f t="shared" si="41"/>
        <v>0.76918910710950006</v>
      </c>
      <c r="AA162" s="40">
        <f t="shared" si="41"/>
        <v>0.59577523563195001</v>
      </c>
      <c r="AB162" s="40">
        <f t="shared" si="41"/>
        <v>0.54975880202859007</v>
      </c>
      <c r="AC162" s="40">
        <f t="shared" si="41"/>
        <v>0.46780245146249994</v>
      </c>
      <c r="AD162" s="40">
        <f t="shared" si="41"/>
        <v>0.39503663344945794</v>
      </c>
      <c r="AE162" s="40">
        <f t="shared" si="41"/>
        <v>0.40031306315153997</v>
      </c>
      <c r="AF162" s="40">
        <f t="shared" si="41"/>
        <v>0.21847823001312</v>
      </c>
    </row>
    <row r="163" spans="3:32" ht="6" customHeight="1">
      <c r="D163" s="2"/>
      <c r="H163" s="29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</row>
    <row r="164" spans="3:32">
      <c r="D164" s="28" t="s">
        <v>172</v>
      </c>
      <c r="H164" s="29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</row>
    <row r="165" spans="3:32">
      <c r="C165" s="22"/>
      <c r="D165" t="s">
        <v>173</v>
      </c>
      <c r="G165" t="s">
        <v>50</v>
      </c>
      <c r="H165" s="29"/>
      <c r="I165" s="59">
        <f>'Candelaria Inputs'!I359</f>
        <v>0.68</v>
      </c>
      <c r="J165" s="59">
        <f>'Candelaria Inputs'!J359</f>
        <v>0.68</v>
      </c>
      <c r="K165" s="59">
        <f>'Candelaria Inputs'!K359</f>
        <v>0.68</v>
      </c>
      <c r="L165" s="59">
        <f>'Candelaria Inputs'!L359</f>
        <v>0.68</v>
      </c>
      <c r="M165" s="59">
        <f>'Candelaria Inputs'!M359</f>
        <v>0.68</v>
      </c>
      <c r="N165" s="59">
        <f>'Candelaria Inputs'!N359</f>
        <v>0.4</v>
      </c>
      <c r="O165" s="59">
        <f>'Candelaria Inputs'!O359</f>
        <v>0.4</v>
      </c>
      <c r="P165" s="59">
        <f>'Candelaria Inputs'!P359</f>
        <v>0.4</v>
      </c>
      <c r="Q165" s="59">
        <f>'Candelaria Inputs'!Q359</f>
        <v>0.4</v>
      </c>
      <c r="R165" s="59">
        <f>'Candelaria Inputs'!R359</f>
        <v>0.4</v>
      </c>
      <c r="S165" s="59">
        <f>'Candelaria Inputs'!S359</f>
        <v>0.4</v>
      </c>
      <c r="T165" s="59">
        <f>'Candelaria Inputs'!T359</f>
        <v>0.4</v>
      </c>
      <c r="U165" s="59">
        <f>'Candelaria Inputs'!U359</f>
        <v>0.4</v>
      </c>
      <c r="V165" s="59">
        <f>'Candelaria Inputs'!V359</f>
        <v>0.4</v>
      </c>
      <c r="W165" s="59">
        <f>'Candelaria Inputs'!W359</f>
        <v>0.4</v>
      </c>
      <c r="X165" s="59">
        <f>'Candelaria Inputs'!X359</f>
        <v>0.4</v>
      </c>
      <c r="Y165" s="59">
        <f>'Candelaria Inputs'!Y359</f>
        <v>0.4</v>
      </c>
      <c r="Z165" s="59">
        <f>'Candelaria Inputs'!Z359</f>
        <v>0.4</v>
      </c>
      <c r="AA165" s="59">
        <f>'Candelaria Inputs'!AA359</f>
        <v>0.4</v>
      </c>
      <c r="AB165" s="59">
        <f>'Candelaria Inputs'!AB359</f>
        <v>0.4</v>
      </c>
      <c r="AC165" s="59">
        <f>'Candelaria Inputs'!AC359</f>
        <v>0.4</v>
      </c>
      <c r="AD165" s="59">
        <f>'Candelaria Inputs'!AD359</f>
        <v>0.4</v>
      </c>
      <c r="AE165" s="59">
        <f>'Candelaria Inputs'!AE359</f>
        <v>0.4</v>
      </c>
      <c r="AF165" s="59">
        <f>'Candelaria Inputs'!AF359</f>
        <v>0.4</v>
      </c>
    </row>
    <row r="166" spans="3:32">
      <c r="C166" s="22"/>
      <c r="D166" t="s">
        <v>174</v>
      </c>
      <c r="G166" t="s">
        <v>50</v>
      </c>
      <c r="H166" s="29"/>
      <c r="I166" s="59">
        <f>'Candelaria Inputs'!I360</f>
        <v>0.68</v>
      </c>
      <c r="J166" s="59">
        <f>'Candelaria Inputs'!J360</f>
        <v>0.68</v>
      </c>
      <c r="K166" s="59">
        <f>'Candelaria Inputs'!K360</f>
        <v>0.68</v>
      </c>
      <c r="L166" s="59">
        <f>'Candelaria Inputs'!L360</f>
        <v>0.68</v>
      </c>
      <c r="M166" s="59">
        <f>'Candelaria Inputs'!M360</f>
        <v>0.68</v>
      </c>
      <c r="N166" s="59">
        <f>'Candelaria Inputs'!N360</f>
        <v>0.4</v>
      </c>
      <c r="O166" s="59">
        <f>'Candelaria Inputs'!O360</f>
        <v>0.4</v>
      </c>
      <c r="P166" s="59">
        <f>'Candelaria Inputs'!P360</f>
        <v>0.4</v>
      </c>
      <c r="Q166" s="59">
        <f>'Candelaria Inputs'!Q360</f>
        <v>0.4</v>
      </c>
      <c r="R166" s="59">
        <f>'Candelaria Inputs'!R360</f>
        <v>0.4</v>
      </c>
      <c r="S166" s="59">
        <f>'Candelaria Inputs'!S360</f>
        <v>0.4</v>
      </c>
      <c r="T166" s="59">
        <f>'Candelaria Inputs'!T360</f>
        <v>0.4</v>
      </c>
      <c r="U166" s="59">
        <f>'Candelaria Inputs'!U360</f>
        <v>0.4</v>
      </c>
      <c r="V166" s="59">
        <f>'Candelaria Inputs'!V360</f>
        <v>0.4</v>
      </c>
      <c r="W166" s="59">
        <f>'Candelaria Inputs'!W360</f>
        <v>0.4</v>
      </c>
      <c r="X166" s="59">
        <f>'Candelaria Inputs'!X360</f>
        <v>0.4</v>
      </c>
      <c r="Y166" s="59">
        <f>'Candelaria Inputs'!Y360</f>
        <v>0.4</v>
      </c>
      <c r="Z166" s="59">
        <f>'Candelaria Inputs'!Z360</f>
        <v>0.4</v>
      </c>
      <c r="AA166" s="59">
        <f>'Candelaria Inputs'!AA360</f>
        <v>0.4</v>
      </c>
      <c r="AB166" s="59">
        <f>'Candelaria Inputs'!AB360</f>
        <v>0.4</v>
      </c>
      <c r="AC166" s="59">
        <f>'Candelaria Inputs'!AC360</f>
        <v>0.4</v>
      </c>
      <c r="AD166" s="59">
        <f>'Candelaria Inputs'!AD360</f>
        <v>0.4</v>
      </c>
      <c r="AE166" s="59">
        <f>'Candelaria Inputs'!AE360</f>
        <v>0.4</v>
      </c>
      <c r="AF166" s="59">
        <f>'Candelaria Inputs'!AF360</f>
        <v>0.4</v>
      </c>
    </row>
    <row r="167" spans="3:32" ht="6" customHeight="1">
      <c r="C167" s="22"/>
      <c r="D167" s="2"/>
      <c r="H167" s="29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</row>
    <row r="168" spans="3:32">
      <c r="C168" s="22"/>
      <c r="D168" t="s">
        <v>175</v>
      </c>
      <c r="G168" t="s">
        <v>176</v>
      </c>
      <c r="H168" s="29"/>
      <c r="I168" s="60">
        <f>'Candelaria Inputs'!I361</f>
        <v>424.60806024039999</v>
      </c>
      <c r="J168" s="60">
        <f>'Candelaria Inputs'!J361</f>
        <v>428.85414084280399</v>
      </c>
      <c r="K168" s="60">
        <f>'Candelaria Inputs'!K361</f>
        <v>433.14268225123203</v>
      </c>
      <c r="L168" s="60">
        <f>'Candelaria Inputs'!L361</f>
        <v>437.47410907374433</v>
      </c>
      <c r="M168" s="60">
        <f>'Candelaria Inputs'!M361</f>
        <v>441.8488501644818</v>
      </c>
      <c r="N168" s="60">
        <f>'Candelaria Inputs'!N361</f>
        <v>446.26733866612665</v>
      </c>
      <c r="O168" s="60">
        <f>'Candelaria Inputs'!O361</f>
        <v>450.73001205278791</v>
      </c>
      <c r="P168" s="60">
        <f>'Candelaria Inputs'!P361</f>
        <v>455.23731217331579</v>
      </c>
      <c r="Q168" s="60">
        <f>'Candelaria Inputs'!Q361</f>
        <v>459.78968529504897</v>
      </c>
      <c r="R168" s="60">
        <f>'Candelaria Inputs'!R361</f>
        <v>464.38758214799947</v>
      </c>
      <c r="S168" s="60">
        <f>'Candelaria Inputs'!S361</f>
        <v>469.03145796947945</v>
      </c>
      <c r="T168" s="60">
        <f>'Candelaria Inputs'!T361</f>
        <v>473.72177254917426</v>
      </c>
      <c r="U168" s="60">
        <f>'Candelaria Inputs'!U361</f>
        <v>478.45899027466601</v>
      </c>
      <c r="V168" s="60">
        <f>'Candelaria Inputs'!V361</f>
        <v>483.2435801774127</v>
      </c>
      <c r="W168" s="60">
        <f>'Candelaria Inputs'!W361</f>
        <v>488.07601597918682</v>
      </c>
      <c r="X168" s="60">
        <f>'Candelaria Inputs'!X361</f>
        <v>492.95677613897868</v>
      </c>
      <c r="Y168" s="60">
        <f>'Candelaria Inputs'!Y361</f>
        <v>497.8863439003685</v>
      </c>
      <c r="Z168" s="60">
        <f>'Candelaria Inputs'!Z361</f>
        <v>502.8652073393722</v>
      </c>
      <c r="AA168" s="60">
        <f>'Candelaria Inputs'!AA361</f>
        <v>507.89385941276595</v>
      </c>
      <c r="AB168" s="60">
        <f>'Candelaria Inputs'!AB361</f>
        <v>512.97279800689364</v>
      </c>
      <c r="AC168" s="60">
        <f>'Candelaria Inputs'!AC361</f>
        <v>518.10252598696263</v>
      </c>
      <c r="AD168" s="60">
        <f>'Candelaria Inputs'!AD361</f>
        <v>523.2835512468323</v>
      </c>
      <c r="AE168" s="60">
        <f>'Candelaria Inputs'!AE361</f>
        <v>528.51638675930064</v>
      </c>
      <c r="AF168" s="60">
        <f>'Candelaria Inputs'!AF361</f>
        <v>533.80155062689369</v>
      </c>
    </row>
    <row r="169" spans="3:32">
      <c r="C169" s="22"/>
      <c r="D169" t="s">
        <v>177</v>
      </c>
      <c r="G169" t="s">
        <v>176</v>
      </c>
      <c r="H169" s="29"/>
      <c r="I169" s="38">
        <f>'Candelaria Inputs'!I362</f>
        <v>4.2460806024039996</v>
      </c>
      <c r="J169" s="38">
        <f>'Candelaria Inputs'!J362</f>
        <v>4.2885414084280393</v>
      </c>
      <c r="K169" s="38">
        <f>'Candelaria Inputs'!K362</f>
        <v>4.33142682251232</v>
      </c>
      <c r="L169" s="38">
        <f>'Candelaria Inputs'!L362</f>
        <v>4.3747410907374435</v>
      </c>
      <c r="M169" s="38">
        <f>'Candelaria Inputs'!M362</f>
        <v>4.4184885016448181</v>
      </c>
      <c r="N169" s="38">
        <f>'Candelaria Inputs'!N362</f>
        <v>4.4626733866612662</v>
      </c>
      <c r="O169" s="38">
        <f>'Candelaria Inputs'!O362</f>
        <v>4.5073001205278791</v>
      </c>
      <c r="P169" s="38">
        <f>'Candelaria Inputs'!P362</f>
        <v>4.552373121733158</v>
      </c>
      <c r="Q169" s="38">
        <f>'Candelaria Inputs'!Q362</f>
        <v>4.5978968529504893</v>
      </c>
      <c r="R169" s="38">
        <f>'Candelaria Inputs'!R362</f>
        <v>4.6438758214799947</v>
      </c>
      <c r="S169" s="38">
        <f>'Candelaria Inputs'!S362</f>
        <v>4.6903145796947943</v>
      </c>
      <c r="T169" s="38">
        <f>'Candelaria Inputs'!T362</f>
        <v>4.7372177254917425</v>
      </c>
      <c r="U169" s="38">
        <f>'Candelaria Inputs'!U362</f>
        <v>4.7845899027466601</v>
      </c>
      <c r="V169" s="38">
        <f>'Candelaria Inputs'!V362</f>
        <v>4.8324358017741265</v>
      </c>
      <c r="W169" s="38">
        <f>'Candelaria Inputs'!W362</f>
        <v>4.8807601597918682</v>
      </c>
      <c r="X169" s="38">
        <f>'Candelaria Inputs'!X362</f>
        <v>4.9295677613897873</v>
      </c>
      <c r="Y169" s="38">
        <f>'Candelaria Inputs'!Y362</f>
        <v>4.9788634390036854</v>
      </c>
      <c r="Z169" s="38">
        <f>'Candelaria Inputs'!Z362</f>
        <v>5.0286520733937223</v>
      </c>
      <c r="AA169" s="38">
        <f>'Candelaria Inputs'!AA362</f>
        <v>5.0789385941276599</v>
      </c>
      <c r="AB169" s="38">
        <f>'Candelaria Inputs'!AB362</f>
        <v>5.1297279800689362</v>
      </c>
      <c r="AC169" s="38">
        <f>'Candelaria Inputs'!AC362</f>
        <v>5.1810252598696254</v>
      </c>
      <c r="AD169" s="38">
        <f>'Candelaria Inputs'!AD362</f>
        <v>5.2328355124683217</v>
      </c>
      <c r="AE169" s="38">
        <f>'Candelaria Inputs'!AE362</f>
        <v>5.2851638675930053</v>
      </c>
      <c r="AF169" s="38">
        <f>'Candelaria Inputs'!AF362</f>
        <v>5.3380155062689356</v>
      </c>
    </row>
    <row r="170" spans="3:32" ht="6" customHeight="1">
      <c r="D170" s="2"/>
      <c r="H170" s="29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</row>
    <row r="171" spans="3:32">
      <c r="D171" t="s">
        <v>178</v>
      </c>
      <c r="G171" t="s">
        <v>90</v>
      </c>
      <c r="H171" s="48">
        <f>SUM(I171:AF171)</f>
        <v>24746.226179545647</v>
      </c>
      <c r="I171" s="37">
        <f t="shared" ref="I171:AF171" si="42">I129*I6*2204.62/1000</f>
        <v>1225.8371169741913</v>
      </c>
      <c r="J171" s="37">
        <f t="shared" si="42"/>
        <v>1384.495060288473</v>
      </c>
      <c r="K171" s="37">
        <f t="shared" si="42"/>
        <v>1241.520891104901</v>
      </c>
      <c r="L171" s="37">
        <f t="shared" si="42"/>
        <v>1339.6299171940625</v>
      </c>
      <c r="M171" s="37">
        <f t="shared" si="42"/>
        <v>1337.7991128878109</v>
      </c>
      <c r="N171" s="37">
        <f t="shared" si="42"/>
        <v>1209.6382506050895</v>
      </c>
      <c r="O171" s="37">
        <f t="shared" si="42"/>
        <v>1192.0889640922139</v>
      </c>
      <c r="P171" s="37">
        <f t="shared" si="42"/>
        <v>1054.0862955460098</v>
      </c>
      <c r="Q171" s="37">
        <f t="shared" si="42"/>
        <v>1141.4532244123284</v>
      </c>
      <c r="R171" s="37">
        <f t="shared" si="42"/>
        <v>1351.0740015522783</v>
      </c>
      <c r="S171" s="37">
        <f t="shared" si="42"/>
        <v>1207.8989773924604</v>
      </c>
      <c r="T171" s="37">
        <f t="shared" si="42"/>
        <v>1002.9011336607259</v>
      </c>
      <c r="U171" s="37">
        <f t="shared" si="42"/>
        <v>954.2947563678764</v>
      </c>
      <c r="V171" s="37">
        <f t="shared" si="42"/>
        <v>1042.4238413026401</v>
      </c>
      <c r="W171" s="37">
        <f t="shared" si="42"/>
        <v>1177.4778804147572</v>
      </c>
      <c r="X171" s="37">
        <f t="shared" si="42"/>
        <v>1303.694126724673</v>
      </c>
      <c r="Y171" s="37">
        <f t="shared" si="42"/>
        <v>1242.7125744579264</v>
      </c>
      <c r="Z171" s="37">
        <f t="shared" si="42"/>
        <v>982.26730959728332</v>
      </c>
      <c r="AA171" s="37">
        <f t="shared" si="42"/>
        <v>760.81490548926058</v>
      </c>
      <c r="AB171" s="37">
        <f t="shared" si="42"/>
        <v>702.05115283721011</v>
      </c>
      <c r="AC171" s="37">
        <f t="shared" si="42"/>
        <v>597.39152722513688</v>
      </c>
      <c r="AD171" s="37">
        <f t="shared" si="42"/>
        <v>504.46836485884859</v>
      </c>
      <c r="AE171" s="37">
        <f t="shared" si="42"/>
        <v>511.20645352890239</v>
      </c>
      <c r="AF171" s="37">
        <f t="shared" si="42"/>
        <v>279.00034103058778</v>
      </c>
    </row>
    <row r="172" spans="3:32">
      <c r="D172" t="s">
        <v>179</v>
      </c>
      <c r="G172" t="s">
        <v>90</v>
      </c>
      <c r="H172" s="48">
        <f>SUM(I172:AF172)</f>
        <v>2033.1324348785949</v>
      </c>
      <c r="I172" s="37">
        <f t="shared" ref="I172:AF173" si="43">(I130*(I165)*I168+I130*(1-I165)*I7)/1000</f>
        <v>77.814047075913095</v>
      </c>
      <c r="J172" s="37">
        <f t="shared" si="43"/>
        <v>91.638561878064564</v>
      </c>
      <c r="K172" s="37">
        <f t="shared" si="43"/>
        <v>79.060273292839909</v>
      </c>
      <c r="L172" s="37">
        <f t="shared" si="43"/>
        <v>77.265253437935513</v>
      </c>
      <c r="M172" s="37">
        <f t="shared" si="43"/>
        <v>80.051806484510806</v>
      </c>
      <c r="N172" s="37">
        <f t="shared" si="43"/>
        <v>101.51884394725057</v>
      </c>
      <c r="O172" s="37">
        <f t="shared" si="43"/>
        <v>96.059092887103915</v>
      </c>
      <c r="P172" s="37">
        <f t="shared" si="43"/>
        <v>89.21213693554499</v>
      </c>
      <c r="Q172" s="37">
        <f t="shared" si="43"/>
        <v>97.909405683959434</v>
      </c>
      <c r="R172" s="37">
        <f t="shared" si="43"/>
        <v>114.68742610343054</v>
      </c>
      <c r="S172" s="37">
        <f t="shared" si="43"/>
        <v>103.481299399069</v>
      </c>
      <c r="T172" s="37">
        <f t="shared" si="43"/>
        <v>88.474250116002636</v>
      </c>
      <c r="U172" s="37">
        <f t="shared" si="43"/>
        <v>84.155330199781687</v>
      </c>
      <c r="V172" s="37">
        <f t="shared" si="43"/>
        <v>89.806219633121202</v>
      </c>
      <c r="W172" s="37">
        <f t="shared" si="43"/>
        <v>99.217148596684297</v>
      </c>
      <c r="X172" s="37">
        <f t="shared" si="43"/>
        <v>115.87419754014429</v>
      </c>
      <c r="Y172" s="37">
        <f t="shared" si="43"/>
        <v>104.86461654385468</v>
      </c>
      <c r="Z172" s="37">
        <f t="shared" si="43"/>
        <v>91.987137751652469</v>
      </c>
      <c r="AA172" s="37">
        <f t="shared" si="43"/>
        <v>74.015942316243411</v>
      </c>
      <c r="AB172" s="37">
        <f t="shared" si="43"/>
        <v>75.1808729473711</v>
      </c>
      <c r="AC172" s="37">
        <f t="shared" si="43"/>
        <v>62.697318289997924</v>
      </c>
      <c r="AD172" s="37">
        <f t="shared" si="43"/>
        <v>55.078108006565792</v>
      </c>
      <c r="AE172" s="37">
        <f t="shared" si="43"/>
        <v>55.014395865350501</v>
      </c>
      <c r="AF172" s="37">
        <f t="shared" si="43"/>
        <v>28.068749946202761</v>
      </c>
    </row>
    <row r="173" spans="3:32">
      <c r="D173" t="s">
        <v>180</v>
      </c>
      <c r="G173" t="s">
        <v>90</v>
      </c>
      <c r="H173" s="48">
        <f>SUM(I173:AF173)</f>
        <v>369.27469387655225</v>
      </c>
      <c r="I173" s="37">
        <f t="shared" si="43"/>
        <v>12.819846725447769</v>
      </c>
      <c r="J173" s="37">
        <f t="shared" si="43"/>
        <v>17.839762972942314</v>
      </c>
      <c r="K173" s="37">
        <f t="shared" si="43"/>
        <v>14.8004824380576</v>
      </c>
      <c r="L173" s="37">
        <f t="shared" si="43"/>
        <v>12.593548672922436</v>
      </c>
      <c r="M173" s="37">
        <f t="shared" si="43"/>
        <v>11.717470566164932</v>
      </c>
      <c r="N173" s="37">
        <f t="shared" si="43"/>
        <v>19.001099728978076</v>
      </c>
      <c r="O173" s="37">
        <f t="shared" si="43"/>
        <v>15.659193828610496</v>
      </c>
      <c r="P173" s="37">
        <f t="shared" si="43"/>
        <v>14.780656644587447</v>
      </c>
      <c r="Q173" s="37">
        <f t="shared" si="43"/>
        <v>16.370476608839425</v>
      </c>
      <c r="R173" s="37">
        <f t="shared" si="43"/>
        <v>19.266315018873954</v>
      </c>
      <c r="S173" s="37">
        <f t="shared" si="43"/>
        <v>14.852453965004401</v>
      </c>
      <c r="T173" s="37">
        <f t="shared" si="43"/>
        <v>12.370921341944616</v>
      </c>
      <c r="U173" s="37">
        <f t="shared" si="43"/>
        <v>14.316976425316081</v>
      </c>
      <c r="V173" s="37">
        <f t="shared" si="43"/>
        <v>17.989297738829155</v>
      </c>
      <c r="W173" s="37">
        <f t="shared" si="43"/>
        <v>18.797303430020431</v>
      </c>
      <c r="X173" s="37">
        <f t="shared" si="43"/>
        <v>21.692117085346325</v>
      </c>
      <c r="Y173" s="37">
        <f t="shared" si="43"/>
        <v>21.746470119639486</v>
      </c>
      <c r="Z173" s="37">
        <f t="shared" si="43"/>
        <v>16.686386842930844</v>
      </c>
      <c r="AA173" s="37">
        <f t="shared" si="43"/>
        <v>11.707096735490255</v>
      </c>
      <c r="AB173" s="37">
        <f t="shared" si="43"/>
        <v>15.593962535582168</v>
      </c>
      <c r="AC173" s="37">
        <f t="shared" si="43"/>
        <v>15.089846143163316</v>
      </c>
      <c r="AD173" s="37">
        <f t="shared" si="43"/>
        <v>13.360145087595384</v>
      </c>
      <c r="AE173" s="37">
        <f t="shared" si="43"/>
        <v>13.693952720461244</v>
      </c>
      <c r="AF173" s="37">
        <f t="shared" si="43"/>
        <v>6.5289104998040477</v>
      </c>
    </row>
    <row r="174" spans="3:32">
      <c r="D174" t="s">
        <v>172</v>
      </c>
      <c r="G174" t="s">
        <v>90</v>
      </c>
      <c r="H174" s="48">
        <f>SUM(I174:AF174)</f>
        <v>27148.633308300796</v>
      </c>
      <c r="I174" s="48">
        <f t="shared" ref="I174:AF174" si="44">I171+I172+I173</f>
        <v>1316.4710107755523</v>
      </c>
      <c r="J174" s="48">
        <f t="shared" si="44"/>
        <v>1493.9733851394799</v>
      </c>
      <c r="K174" s="48">
        <f t="shared" si="44"/>
        <v>1335.3816468357984</v>
      </c>
      <c r="L174" s="48">
        <f t="shared" si="44"/>
        <v>1429.4887193049206</v>
      </c>
      <c r="M174" s="48">
        <f t="shared" si="44"/>
        <v>1429.5683899384865</v>
      </c>
      <c r="N174" s="48">
        <f t="shared" si="44"/>
        <v>1330.1581942813182</v>
      </c>
      <c r="O174" s="48">
        <f t="shared" si="44"/>
        <v>1303.8072508079283</v>
      </c>
      <c r="P174" s="48">
        <f t="shared" si="44"/>
        <v>1158.0790891261422</v>
      </c>
      <c r="Q174" s="48">
        <f t="shared" si="44"/>
        <v>1255.7331067051273</v>
      </c>
      <c r="R174" s="48">
        <f t="shared" si="44"/>
        <v>1485.0277426745827</v>
      </c>
      <c r="S174" s="48">
        <f t="shared" si="44"/>
        <v>1326.2327307565338</v>
      </c>
      <c r="T174" s="48">
        <f t="shared" si="44"/>
        <v>1103.7463051186733</v>
      </c>
      <c r="U174" s="48">
        <f t="shared" si="44"/>
        <v>1052.7670629929742</v>
      </c>
      <c r="V174" s="48">
        <f t="shared" si="44"/>
        <v>1150.2193586745905</v>
      </c>
      <c r="W174" s="48">
        <f t="shared" si="44"/>
        <v>1295.4923324414619</v>
      </c>
      <c r="X174" s="48">
        <f t="shared" si="44"/>
        <v>1441.2604413501635</v>
      </c>
      <c r="Y174" s="48">
        <f t="shared" si="44"/>
        <v>1369.3236611214206</v>
      </c>
      <c r="Z174" s="48">
        <f t="shared" si="44"/>
        <v>1090.9408341918668</v>
      </c>
      <c r="AA174" s="48">
        <f t="shared" si="44"/>
        <v>846.5379445409942</v>
      </c>
      <c r="AB174" s="48">
        <f t="shared" si="44"/>
        <v>792.82598832016333</v>
      </c>
      <c r="AC174" s="48">
        <f t="shared" si="44"/>
        <v>675.17869165829813</v>
      </c>
      <c r="AD174" s="48">
        <f t="shared" si="44"/>
        <v>572.90661795300969</v>
      </c>
      <c r="AE174" s="48">
        <f t="shared" si="44"/>
        <v>579.91480211471412</v>
      </c>
      <c r="AF174" s="48">
        <f t="shared" si="44"/>
        <v>313.59800147659462</v>
      </c>
    </row>
    <row r="175" spans="3:32" ht="6" customHeight="1">
      <c r="D175" s="2"/>
      <c r="H175" s="29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</row>
    <row r="176" spans="3:32">
      <c r="D176" s="28" t="s">
        <v>181</v>
      </c>
      <c r="H176" s="29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</row>
    <row r="177" spans="4:32">
      <c r="D177" t="s">
        <v>182</v>
      </c>
      <c r="G177" t="s">
        <v>90</v>
      </c>
      <c r="H177" s="48">
        <f>SUM(I177:AF177)</f>
        <v>534.37123215357758</v>
      </c>
      <c r="I177" s="52">
        <f t="shared" ref="I177:AF177" si="45">I141</f>
        <v>27.252503955270004</v>
      </c>
      <c r="J177" s="52">
        <f t="shared" si="45"/>
        <v>31.105459253880003</v>
      </c>
      <c r="K177" s="52">
        <f t="shared" si="45"/>
        <v>29.045871647100004</v>
      </c>
      <c r="L177" s="52">
        <f t="shared" si="45"/>
        <v>28.657040545980003</v>
      </c>
      <c r="M177" s="52">
        <f t="shared" si="45"/>
        <v>28.617876421200002</v>
      </c>
      <c r="N177" s="52">
        <f t="shared" si="45"/>
        <v>25.876290122099995</v>
      </c>
      <c r="O177" s="52">
        <f t="shared" si="45"/>
        <v>25.500880011667505</v>
      </c>
      <c r="P177" s="52">
        <f t="shared" si="45"/>
        <v>22.548760163325007</v>
      </c>
      <c r="Q177" s="52">
        <f t="shared" si="45"/>
        <v>24.417692463780003</v>
      </c>
      <c r="R177" s="52">
        <f t="shared" si="45"/>
        <v>28.901849642325001</v>
      </c>
      <c r="S177" s="52">
        <f t="shared" si="45"/>
        <v>25.83908400843</v>
      </c>
      <c r="T177" s="52">
        <f t="shared" si="45"/>
        <v>21.453819507945006</v>
      </c>
      <c r="U177" s="52">
        <f t="shared" si="45"/>
        <v>20.414043591479999</v>
      </c>
      <c r="V177" s="52">
        <f t="shared" si="45"/>
        <v>22.299279750990003</v>
      </c>
      <c r="W177" s="52">
        <f t="shared" si="45"/>
        <v>25.188323228639998</v>
      </c>
      <c r="X177" s="52">
        <f t="shared" si="45"/>
        <v>27.8883107712</v>
      </c>
      <c r="Y177" s="52">
        <f t="shared" si="45"/>
        <v>26.5838080921875</v>
      </c>
      <c r="Z177" s="52">
        <f t="shared" si="45"/>
        <v>21.012425713125001</v>
      </c>
      <c r="AA177" s="52">
        <f t="shared" si="45"/>
        <v>16.275169220062498</v>
      </c>
      <c r="AB177" s="52">
        <f t="shared" si="45"/>
        <v>15.018109176262502</v>
      </c>
      <c r="AC177" s="52">
        <f t="shared" si="45"/>
        <v>12.779255671874999</v>
      </c>
      <c r="AD177" s="52">
        <f t="shared" si="45"/>
        <v>10.791465762577499</v>
      </c>
      <c r="AE177" s="52">
        <f t="shared" si="45"/>
        <v>10.935605332574998</v>
      </c>
      <c r="AF177" s="52">
        <f t="shared" si="45"/>
        <v>5.9683080995999989</v>
      </c>
    </row>
    <row r="178" spans="4:32">
      <c r="D178" t="s">
        <v>183</v>
      </c>
      <c r="G178" t="s">
        <v>90</v>
      </c>
      <c r="H178" s="48">
        <f>SUM(I178:AF178)</f>
        <v>887.29137759000014</v>
      </c>
      <c r="I178" s="52">
        <f t="shared" ref="I178:AF178" si="46">I148</f>
        <v>45.251148120000003</v>
      </c>
      <c r="J178" s="52">
        <f t="shared" si="46"/>
        <v>51.648749280000004</v>
      </c>
      <c r="K178" s="52">
        <f t="shared" si="46"/>
        <v>48.228927600000013</v>
      </c>
      <c r="L178" s="52">
        <f t="shared" si="46"/>
        <v>47.583296879999999</v>
      </c>
      <c r="M178" s="52">
        <f t="shared" si="46"/>
        <v>47.518267200000011</v>
      </c>
      <c r="N178" s="52">
        <f t="shared" si="46"/>
        <v>42.966027600000004</v>
      </c>
      <c r="O178" s="52">
        <f t="shared" si="46"/>
        <v>42.342681630000008</v>
      </c>
      <c r="P178" s="52">
        <f t="shared" si="46"/>
        <v>37.440863700000008</v>
      </c>
      <c r="Q178" s="52">
        <f t="shared" si="46"/>
        <v>40.544113680000009</v>
      </c>
      <c r="R178" s="52">
        <f t="shared" si="46"/>
        <v>47.989787700000001</v>
      </c>
      <c r="S178" s="52">
        <f t="shared" si="46"/>
        <v>42.904249080000007</v>
      </c>
      <c r="T178" s="52">
        <f t="shared" si="46"/>
        <v>35.622780420000012</v>
      </c>
      <c r="U178" s="52">
        <f t="shared" si="46"/>
        <v>33.896294879999999</v>
      </c>
      <c r="V178" s="52">
        <f t="shared" si="46"/>
        <v>37.026616440000005</v>
      </c>
      <c r="W178" s="52">
        <f t="shared" si="46"/>
        <v>41.823699840000003</v>
      </c>
      <c r="X178" s="52">
        <f t="shared" si="46"/>
        <v>46.306867199999999</v>
      </c>
      <c r="Y178" s="52">
        <f t="shared" si="46"/>
        <v>44.140818750000001</v>
      </c>
      <c r="Z178" s="52">
        <f t="shared" si="46"/>
        <v>34.889872499999996</v>
      </c>
      <c r="AA178" s="52">
        <f t="shared" si="46"/>
        <v>27.023942249999998</v>
      </c>
      <c r="AB178" s="52">
        <f t="shared" si="46"/>
        <v>24.93666945</v>
      </c>
      <c r="AC178" s="52">
        <f t="shared" si="46"/>
        <v>21.2191875</v>
      </c>
      <c r="AD178" s="52">
        <f t="shared" si="46"/>
        <v>17.918581589999999</v>
      </c>
      <c r="AE178" s="52">
        <f t="shared" si="46"/>
        <v>18.157916699999998</v>
      </c>
      <c r="AF178" s="52">
        <f t="shared" si="46"/>
        <v>9.9100175999999998</v>
      </c>
    </row>
    <row r="179" spans="4:32">
      <c r="D179" t="s">
        <v>184</v>
      </c>
      <c r="G179" t="s">
        <v>90</v>
      </c>
      <c r="H179" s="48">
        <f>SUM(I179:AF179)</f>
        <v>584.03839451621843</v>
      </c>
      <c r="I179" s="52">
        <f>I157</f>
        <v>29.73380415291053</v>
      </c>
      <c r="J179" s="52">
        <f t="shared" ref="J179:AF179" si="47">J157</f>
        <v>34.07792458173224</v>
      </c>
      <c r="K179" s="52">
        <f t="shared" si="47"/>
        <v>31.730015432786338</v>
      </c>
      <c r="L179" s="52">
        <f t="shared" si="47"/>
        <v>31.240404888976986</v>
      </c>
      <c r="M179" s="52">
        <f t="shared" si="47"/>
        <v>31.181496070130727</v>
      </c>
      <c r="N179" s="52">
        <f t="shared" si="47"/>
        <v>28.255871794564399</v>
      </c>
      <c r="O179" s="52">
        <f t="shared" si="47"/>
        <v>27.758618489020176</v>
      </c>
      <c r="P179" s="52">
        <f t="shared" si="47"/>
        <v>24.582381505416016</v>
      </c>
      <c r="Q179" s="52">
        <f t="shared" si="47"/>
        <v>26.632339492685126</v>
      </c>
      <c r="R179" s="52">
        <f t="shared" si="47"/>
        <v>31.514844215668397</v>
      </c>
      <c r="S179" s="52">
        <f t="shared" si="47"/>
        <v>28.123247988960912</v>
      </c>
      <c r="T179" s="52">
        <f t="shared" si="47"/>
        <v>23.360231435085957</v>
      </c>
      <c r="U179" s="52">
        <f t="shared" si="47"/>
        <v>22.285504885424174</v>
      </c>
      <c r="V179" s="52">
        <f t="shared" si="47"/>
        <v>24.388287697642696</v>
      </c>
      <c r="W179" s="52">
        <f t="shared" si="47"/>
        <v>27.503467363080144</v>
      </c>
      <c r="X179" s="52">
        <f t="shared" si="47"/>
        <v>30.493517804223977</v>
      </c>
      <c r="Y179" s="52">
        <f t="shared" si="47"/>
        <v>29.068951587408758</v>
      </c>
      <c r="Z179" s="52">
        <f t="shared" si="47"/>
        <v>22.999001201142715</v>
      </c>
      <c r="AA179" s="52">
        <f t="shared" si="47"/>
        <v>17.795906464427162</v>
      </c>
      <c r="AB179" s="52">
        <f t="shared" si="47"/>
        <v>16.555699767612033</v>
      </c>
      <c r="AC179" s="52">
        <f t="shared" si="47"/>
        <v>14.123320950415632</v>
      </c>
      <c r="AD179" s="52">
        <f t="shared" si="47"/>
        <v>11.947839872784744</v>
      </c>
      <c r="AE179" s="52">
        <f t="shared" si="47"/>
        <v>12.107166055349953</v>
      </c>
      <c r="AF179" s="52">
        <f t="shared" si="47"/>
        <v>6.578550818768786</v>
      </c>
    </row>
    <row r="180" spans="4:32">
      <c r="D180" s="5" t="s">
        <v>185</v>
      </c>
      <c r="E180" s="5"/>
      <c r="F180" s="5"/>
      <c r="G180" s="5" t="s">
        <v>90</v>
      </c>
      <c r="H180" s="51">
        <f>SUM(I180:AF180)</f>
        <v>19.561403168624661</v>
      </c>
      <c r="I180" s="53">
        <f>I162</f>
        <v>0.99761586168314409</v>
      </c>
      <c r="J180" s="53">
        <f t="shared" ref="J180:AF180" si="48">J162</f>
        <v>1.1386586563767358</v>
      </c>
      <c r="K180" s="53">
        <f t="shared" si="48"/>
        <v>1.06326458365512</v>
      </c>
      <c r="L180" s="53">
        <f t="shared" si="48"/>
        <v>1.0490308796758558</v>
      </c>
      <c r="M180" s="53">
        <f t="shared" si="48"/>
        <v>1.0475972223446399</v>
      </c>
      <c r="N180" s="53">
        <f t="shared" si="48"/>
        <v>0.94723763767511993</v>
      </c>
      <c r="O180" s="53">
        <f t="shared" si="48"/>
        <v>0.93349522775130611</v>
      </c>
      <c r="P180" s="53">
        <f t="shared" si="48"/>
        <v>0.82542876930294018</v>
      </c>
      <c r="Q180" s="53">
        <f t="shared" si="48"/>
        <v>0.89384363901201602</v>
      </c>
      <c r="R180" s="53">
        <f t="shared" si="48"/>
        <v>1.0579924575917401</v>
      </c>
      <c r="S180" s="53">
        <f t="shared" si="48"/>
        <v>0.94587565606749613</v>
      </c>
      <c r="T180" s="53">
        <f t="shared" si="48"/>
        <v>0.7853469416954042</v>
      </c>
      <c r="U180" s="53">
        <f t="shared" si="48"/>
        <v>0.74728449618345594</v>
      </c>
      <c r="V180" s="53">
        <f t="shared" si="48"/>
        <v>0.81629619135952802</v>
      </c>
      <c r="W180" s="53">
        <f t="shared" si="48"/>
        <v>0.92205365141260798</v>
      </c>
      <c r="X180" s="53">
        <f t="shared" si="48"/>
        <v>1.0208904556646399</v>
      </c>
      <c r="Y180" s="53">
        <f t="shared" si="48"/>
        <v>0.97313731832624983</v>
      </c>
      <c r="Z180" s="53">
        <f t="shared" si="48"/>
        <v>0.76918910710950006</v>
      </c>
      <c r="AA180" s="53">
        <f t="shared" si="48"/>
        <v>0.59577523563195001</v>
      </c>
      <c r="AB180" s="53">
        <f t="shared" si="48"/>
        <v>0.54975880202859007</v>
      </c>
      <c r="AC180" s="53">
        <f t="shared" si="48"/>
        <v>0.46780245146249994</v>
      </c>
      <c r="AD180" s="53">
        <f t="shared" si="48"/>
        <v>0.39503663344945794</v>
      </c>
      <c r="AE180" s="53">
        <f t="shared" si="48"/>
        <v>0.40031306315153997</v>
      </c>
      <c r="AF180" s="53">
        <f t="shared" si="48"/>
        <v>0.21847823001312</v>
      </c>
    </row>
    <row r="181" spans="4:32">
      <c r="D181" t="s">
        <v>181</v>
      </c>
      <c r="H181" s="48">
        <f>SUM(I181:AF181)</f>
        <v>2025.2624074284208</v>
      </c>
      <c r="I181" s="52">
        <f>I177+I178+I179+I180</f>
        <v>103.23507208986369</v>
      </c>
      <c r="J181" s="52">
        <f t="shared" ref="J181:AF181" si="49">J177+J178+J179+J180</f>
        <v>117.97079177198897</v>
      </c>
      <c r="K181" s="52">
        <f t="shared" si="49"/>
        <v>110.06807926354148</v>
      </c>
      <c r="L181" s="52">
        <f t="shared" si="49"/>
        <v>108.52977319463284</v>
      </c>
      <c r="M181" s="52">
        <f t="shared" si="49"/>
        <v>108.36523691367536</v>
      </c>
      <c r="N181" s="52">
        <f t="shared" si="49"/>
        <v>98.045427154339521</v>
      </c>
      <c r="O181" s="52">
        <f t="shared" si="49"/>
        <v>96.535675358439008</v>
      </c>
      <c r="P181" s="52">
        <f t="shared" si="49"/>
        <v>85.397434138043977</v>
      </c>
      <c r="Q181" s="52">
        <f t="shared" si="49"/>
        <v>92.487989275477148</v>
      </c>
      <c r="R181" s="52">
        <f t="shared" si="49"/>
        <v>109.46447401558514</v>
      </c>
      <c r="S181" s="52">
        <f t="shared" si="49"/>
        <v>97.812456733458419</v>
      </c>
      <c r="T181" s="52">
        <f t="shared" si="49"/>
        <v>81.222178304726384</v>
      </c>
      <c r="U181" s="52">
        <f t="shared" si="49"/>
        <v>77.343127853087623</v>
      </c>
      <c r="V181" s="52">
        <f t="shared" si="49"/>
        <v>84.53048007999223</v>
      </c>
      <c r="W181" s="52">
        <f t="shared" si="49"/>
        <v>95.437544083132764</v>
      </c>
      <c r="X181" s="52">
        <f t="shared" si="49"/>
        <v>105.70958623108862</v>
      </c>
      <c r="Y181" s="52">
        <f t="shared" si="49"/>
        <v>100.76671574792252</v>
      </c>
      <c r="Z181" s="52">
        <f t="shared" si="49"/>
        <v>79.670488521377209</v>
      </c>
      <c r="AA181" s="52">
        <f t="shared" si="49"/>
        <v>61.690793170121609</v>
      </c>
      <c r="AB181" s="52">
        <f t="shared" si="49"/>
        <v>57.060237195903127</v>
      </c>
      <c r="AC181" s="52">
        <f t="shared" si="49"/>
        <v>48.589566573753125</v>
      </c>
      <c r="AD181" s="52">
        <f t="shared" si="49"/>
        <v>41.052923858811702</v>
      </c>
      <c r="AE181" s="52">
        <f t="shared" si="49"/>
        <v>41.601001151076488</v>
      </c>
      <c r="AF181" s="52">
        <f t="shared" si="49"/>
        <v>22.675354748381903</v>
      </c>
    </row>
    <row r="182" spans="4:32" ht="6" customHeight="1">
      <c r="D182" s="2"/>
      <c r="H182" s="29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</row>
    <row r="183" spans="4:32">
      <c r="D183" s="28" t="s">
        <v>186</v>
      </c>
      <c r="H183" s="29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</row>
    <row r="184" spans="4:32">
      <c r="D184" t="s">
        <v>172</v>
      </c>
      <c r="G184" t="s">
        <v>90</v>
      </c>
      <c r="H184" s="48">
        <f>SUM(I184:AF184)</f>
        <v>27148.633308300796</v>
      </c>
      <c r="I184" s="37">
        <f>I174</f>
        <v>1316.4710107755523</v>
      </c>
      <c r="J184" s="37">
        <f t="shared" ref="J184:AF184" si="50">J174</f>
        <v>1493.9733851394799</v>
      </c>
      <c r="K184" s="37">
        <f t="shared" si="50"/>
        <v>1335.3816468357984</v>
      </c>
      <c r="L184" s="37">
        <f t="shared" si="50"/>
        <v>1429.4887193049206</v>
      </c>
      <c r="M184" s="37">
        <f t="shared" si="50"/>
        <v>1429.5683899384865</v>
      </c>
      <c r="N184" s="37">
        <f t="shared" si="50"/>
        <v>1330.1581942813182</v>
      </c>
      <c r="O184" s="37">
        <f t="shared" si="50"/>
        <v>1303.8072508079283</v>
      </c>
      <c r="P184" s="37">
        <f t="shared" si="50"/>
        <v>1158.0790891261422</v>
      </c>
      <c r="Q184" s="37">
        <f t="shared" si="50"/>
        <v>1255.7331067051273</v>
      </c>
      <c r="R184" s="37">
        <f t="shared" si="50"/>
        <v>1485.0277426745827</v>
      </c>
      <c r="S184" s="37">
        <f t="shared" si="50"/>
        <v>1326.2327307565338</v>
      </c>
      <c r="T184" s="37">
        <f t="shared" si="50"/>
        <v>1103.7463051186733</v>
      </c>
      <c r="U184" s="37">
        <f t="shared" si="50"/>
        <v>1052.7670629929742</v>
      </c>
      <c r="V184" s="37">
        <f t="shared" si="50"/>
        <v>1150.2193586745905</v>
      </c>
      <c r="W184" s="37">
        <f t="shared" si="50"/>
        <v>1295.4923324414619</v>
      </c>
      <c r="X184" s="37">
        <f t="shared" si="50"/>
        <v>1441.2604413501635</v>
      </c>
      <c r="Y184" s="37">
        <f t="shared" si="50"/>
        <v>1369.3236611214206</v>
      </c>
      <c r="Z184" s="37">
        <f t="shared" si="50"/>
        <v>1090.9408341918668</v>
      </c>
      <c r="AA184" s="37">
        <f t="shared" si="50"/>
        <v>846.5379445409942</v>
      </c>
      <c r="AB184" s="37">
        <f t="shared" si="50"/>
        <v>792.82598832016333</v>
      </c>
      <c r="AC184" s="37">
        <f t="shared" si="50"/>
        <v>675.17869165829813</v>
      </c>
      <c r="AD184" s="37">
        <f t="shared" si="50"/>
        <v>572.90661795300969</v>
      </c>
      <c r="AE184" s="37">
        <f t="shared" si="50"/>
        <v>579.91480211471412</v>
      </c>
      <c r="AF184" s="37">
        <f t="shared" si="50"/>
        <v>313.59800147659462</v>
      </c>
    </row>
    <row r="185" spans="4:32">
      <c r="D185" t="s">
        <v>187</v>
      </c>
      <c r="G185" t="s">
        <v>90</v>
      </c>
      <c r="H185" s="48">
        <f>SUM(I185:AF185)</f>
        <v>2025.2624074284208</v>
      </c>
      <c r="I185" s="37">
        <f>I181</f>
        <v>103.23507208986369</v>
      </c>
      <c r="J185" s="37">
        <f t="shared" ref="J185:AF185" si="51">J181</f>
        <v>117.97079177198897</v>
      </c>
      <c r="K185" s="37">
        <f t="shared" si="51"/>
        <v>110.06807926354148</v>
      </c>
      <c r="L185" s="37">
        <f t="shared" si="51"/>
        <v>108.52977319463284</v>
      </c>
      <c r="M185" s="37">
        <f t="shared" si="51"/>
        <v>108.36523691367536</v>
      </c>
      <c r="N185" s="37">
        <f t="shared" si="51"/>
        <v>98.045427154339521</v>
      </c>
      <c r="O185" s="37">
        <f t="shared" si="51"/>
        <v>96.535675358439008</v>
      </c>
      <c r="P185" s="37">
        <f t="shared" si="51"/>
        <v>85.397434138043977</v>
      </c>
      <c r="Q185" s="37">
        <f t="shared" si="51"/>
        <v>92.487989275477148</v>
      </c>
      <c r="R185" s="37">
        <f t="shared" si="51"/>
        <v>109.46447401558514</v>
      </c>
      <c r="S185" s="37">
        <f t="shared" si="51"/>
        <v>97.812456733458419</v>
      </c>
      <c r="T185" s="37">
        <f t="shared" si="51"/>
        <v>81.222178304726384</v>
      </c>
      <c r="U185" s="37">
        <f t="shared" si="51"/>
        <v>77.343127853087623</v>
      </c>
      <c r="V185" s="37">
        <f t="shared" si="51"/>
        <v>84.53048007999223</v>
      </c>
      <c r="W185" s="37">
        <f t="shared" si="51"/>
        <v>95.437544083132764</v>
      </c>
      <c r="X185" s="37">
        <f t="shared" si="51"/>
        <v>105.70958623108862</v>
      </c>
      <c r="Y185" s="37">
        <f t="shared" si="51"/>
        <v>100.76671574792252</v>
      </c>
      <c r="Z185" s="37">
        <f t="shared" si="51"/>
        <v>79.670488521377209</v>
      </c>
      <c r="AA185" s="37">
        <f t="shared" si="51"/>
        <v>61.690793170121609</v>
      </c>
      <c r="AB185" s="37">
        <f t="shared" si="51"/>
        <v>57.060237195903127</v>
      </c>
      <c r="AC185" s="37">
        <f t="shared" si="51"/>
        <v>48.589566573753125</v>
      </c>
      <c r="AD185" s="37">
        <f t="shared" si="51"/>
        <v>41.052923858811702</v>
      </c>
      <c r="AE185" s="37">
        <f t="shared" si="51"/>
        <v>41.601001151076488</v>
      </c>
      <c r="AF185" s="37">
        <f t="shared" si="51"/>
        <v>22.675354748381903</v>
      </c>
    </row>
    <row r="186" spans="4:32">
      <c r="D186" t="s">
        <v>186</v>
      </c>
      <c r="G186" t="s">
        <v>90</v>
      </c>
      <c r="H186" s="48">
        <f>SUM(I186:AF186)</f>
        <v>25123.370900872378</v>
      </c>
      <c r="I186" s="37">
        <f>I184-I181</f>
        <v>1213.2359386856886</v>
      </c>
      <c r="J186" s="37">
        <f t="shared" ref="J186:AF186" si="52">J184-J181</f>
        <v>1376.0025933674908</v>
      </c>
      <c r="K186" s="37">
        <f t="shared" si="52"/>
        <v>1225.3135675722569</v>
      </c>
      <c r="L186" s="37">
        <f t="shared" si="52"/>
        <v>1320.9589461102878</v>
      </c>
      <c r="M186" s="37">
        <f t="shared" si="52"/>
        <v>1321.2031530248112</v>
      </c>
      <c r="N186" s="37">
        <f t="shared" si="52"/>
        <v>1232.1127671269787</v>
      </c>
      <c r="O186" s="37">
        <f t="shared" si="52"/>
        <v>1207.2715754494893</v>
      </c>
      <c r="P186" s="37">
        <f t="shared" si="52"/>
        <v>1072.6816549880982</v>
      </c>
      <c r="Q186" s="37">
        <f t="shared" si="52"/>
        <v>1163.2451174296502</v>
      </c>
      <c r="R186" s="37">
        <f t="shared" si="52"/>
        <v>1375.5632686589975</v>
      </c>
      <c r="S186" s="37">
        <f t="shared" si="52"/>
        <v>1228.4202740230753</v>
      </c>
      <c r="T186" s="37">
        <f t="shared" si="52"/>
        <v>1022.5241268139469</v>
      </c>
      <c r="U186" s="37">
        <f t="shared" si="52"/>
        <v>975.42393513988657</v>
      </c>
      <c r="V186" s="37">
        <f t="shared" si="52"/>
        <v>1065.6888785945982</v>
      </c>
      <c r="W186" s="37">
        <f t="shared" si="52"/>
        <v>1200.0547883583292</v>
      </c>
      <c r="X186" s="37">
        <f t="shared" si="52"/>
        <v>1335.5508551190749</v>
      </c>
      <c r="Y186" s="37">
        <f t="shared" si="52"/>
        <v>1268.5569453734981</v>
      </c>
      <c r="Z186" s="37">
        <f t="shared" si="52"/>
        <v>1011.2703456704895</v>
      </c>
      <c r="AA186" s="37">
        <f t="shared" si="52"/>
        <v>784.84715137087255</v>
      </c>
      <c r="AB186" s="37">
        <f t="shared" si="52"/>
        <v>735.76575112426019</v>
      </c>
      <c r="AC186" s="37">
        <f t="shared" si="52"/>
        <v>626.589125084545</v>
      </c>
      <c r="AD186" s="37">
        <f t="shared" si="52"/>
        <v>531.85369409419798</v>
      </c>
      <c r="AE186" s="37">
        <f t="shared" si="52"/>
        <v>538.31380096363762</v>
      </c>
      <c r="AF186" s="37">
        <f t="shared" si="52"/>
        <v>290.92264672821273</v>
      </c>
    </row>
    <row r="187" spans="4:32" ht="6" customHeight="1">
      <c r="D187" s="2"/>
      <c r="H187" s="29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</row>
    <row r="188" spans="4:32">
      <c r="D188" s="61" t="s">
        <v>188</v>
      </c>
      <c r="E188" s="61"/>
      <c r="F188" s="61"/>
      <c r="G188" s="61"/>
      <c r="H188" s="62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</row>
    <row r="189" spans="4:32" ht="6" customHeight="1">
      <c r="D189" s="2"/>
      <c r="H189" s="29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</row>
    <row r="190" spans="4:32">
      <c r="D190" s="4" t="s">
        <v>189</v>
      </c>
      <c r="E190" s="4"/>
      <c r="F190" s="4"/>
      <c r="G190" s="4"/>
      <c r="H190" s="31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</row>
    <row r="191" spans="4:32" ht="6" customHeight="1">
      <c r="D191" s="2"/>
      <c r="H191" s="29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</row>
    <row r="192" spans="4:32">
      <c r="D192" s="28" t="s">
        <v>190</v>
      </c>
      <c r="H192" s="29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</row>
    <row r="193" spans="4:32">
      <c r="D193" t="s">
        <v>191</v>
      </c>
      <c r="G193" t="s">
        <v>8</v>
      </c>
      <c r="H193" s="48">
        <f>SUM(I193:AF193)</f>
        <v>204534</v>
      </c>
      <c r="I193" s="52">
        <f t="shared" ref="I193:AF193" si="53">I16</f>
        <v>13723</v>
      </c>
      <c r="J193" s="52">
        <f t="shared" si="53"/>
        <v>17280</v>
      </c>
      <c r="K193" s="52">
        <f t="shared" si="53"/>
        <v>19122</v>
      </c>
      <c r="L193" s="52">
        <f t="shared" si="53"/>
        <v>16053</v>
      </c>
      <c r="M193" s="52">
        <f t="shared" si="53"/>
        <v>15601</v>
      </c>
      <c r="N193" s="52">
        <f t="shared" si="53"/>
        <v>12155</v>
      </c>
      <c r="O193" s="52">
        <f t="shared" si="53"/>
        <v>6100</v>
      </c>
      <c r="P193" s="52">
        <f t="shared" si="53"/>
        <v>2725</v>
      </c>
      <c r="Q193" s="52">
        <f t="shared" si="53"/>
        <v>3343</v>
      </c>
      <c r="R193" s="52">
        <f t="shared" si="53"/>
        <v>8965</v>
      </c>
      <c r="S193" s="52">
        <f t="shared" si="53"/>
        <v>9686</v>
      </c>
      <c r="T193" s="52">
        <f t="shared" si="53"/>
        <v>7530</v>
      </c>
      <c r="U193" s="52">
        <f t="shared" si="53"/>
        <v>7571</v>
      </c>
      <c r="V193" s="52">
        <f t="shared" si="53"/>
        <v>8568</v>
      </c>
      <c r="W193" s="52">
        <f t="shared" si="53"/>
        <v>12517</v>
      </c>
      <c r="X193" s="52">
        <f t="shared" si="53"/>
        <v>13499</v>
      </c>
      <c r="Y193" s="52">
        <f t="shared" si="53"/>
        <v>16352</v>
      </c>
      <c r="Z193" s="52">
        <f t="shared" si="53"/>
        <v>8973</v>
      </c>
      <c r="AA193" s="52">
        <f t="shared" si="53"/>
        <v>4771</v>
      </c>
      <c r="AB193" s="52">
        <f t="shared" si="53"/>
        <v>0</v>
      </c>
      <c r="AC193" s="52">
        <f t="shared" si="53"/>
        <v>0</v>
      </c>
      <c r="AD193" s="52">
        <f t="shared" si="53"/>
        <v>0</v>
      </c>
      <c r="AE193" s="52">
        <f t="shared" si="53"/>
        <v>0</v>
      </c>
      <c r="AF193" s="52">
        <f t="shared" si="53"/>
        <v>0</v>
      </c>
    </row>
    <row r="194" spans="4:32">
      <c r="D194" t="s">
        <v>192</v>
      </c>
      <c r="G194" t="s">
        <v>8</v>
      </c>
      <c r="H194" s="48">
        <f t="shared" ref="H194:H199" si="54">SUM(I194:AF194)</f>
        <v>48709</v>
      </c>
      <c r="I194" s="52">
        <f t="shared" ref="I194:AF194" si="55">I23</f>
        <v>0</v>
      </c>
      <c r="J194" s="52">
        <f t="shared" si="55"/>
        <v>0</v>
      </c>
      <c r="K194" s="52">
        <f t="shared" si="55"/>
        <v>0</v>
      </c>
      <c r="L194" s="52">
        <f t="shared" si="55"/>
        <v>2395</v>
      </c>
      <c r="M194" s="52">
        <f t="shared" si="55"/>
        <v>3965</v>
      </c>
      <c r="N194" s="52">
        <f t="shared" si="55"/>
        <v>424</v>
      </c>
      <c r="O194" s="52">
        <f t="shared" si="55"/>
        <v>6162</v>
      </c>
      <c r="P194" s="52">
        <f t="shared" si="55"/>
        <v>7707</v>
      </c>
      <c r="Q194" s="52">
        <f t="shared" si="55"/>
        <v>7927</v>
      </c>
      <c r="R194" s="52">
        <f t="shared" si="55"/>
        <v>6143</v>
      </c>
      <c r="S194" s="52">
        <f t="shared" si="55"/>
        <v>6855</v>
      </c>
      <c r="T194" s="52">
        <f t="shared" si="55"/>
        <v>4792</v>
      </c>
      <c r="U194" s="52">
        <f t="shared" si="55"/>
        <v>2049</v>
      </c>
      <c r="V194" s="52">
        <f t="shared" si="55"/>
        <v>290</v>
      </c>
      <c r="W194" s="52">
        <f t="shared" si="55"/>
        <v>0</v>
      </c>
      <c r="X194" s="52">
        <f t="shared" si="55"/>
        <v>0</v>
      </c>
      <c r="Y194" s="52">
        <f t="shared" si="55"/>
        <v>0</v>
      </c>
      <c r="Z194" s="52">
        <f t="shared" si="55"/>
        <v>0</v>
      </c>
      <c r="AA194" s="52">
        <f t="shared" si="55"/>
        <v>0</v>
      </c>
      <c r="AB194" s="52">
        <f t="shared" si="55"/>
        <v>0</v>
      </c>
      <c r="AC194" s="52">
        <f t="shared" si="55"/>
        <v>0</v>
      </c>
      <c r="AD194" s="52">
        <f t="shared" si="55"/>
        <v>0</v>
      </c>
      <c r="AE194" s="52">
        <f t="shared" si="55"/>
        <v>0</v>
      </c>
      <c r="AF194" s="52">
        <f t="shared" si="55"/>
        <v>0</v>
      </c>
    </row>
    <row r="195" spans="4:32">
      <c r="D195" t="s">
        <v>112</v>
      </c>
      <c r="G195" t="s">
        <v>8</v>
      </c>
      <c r="H195" s="48">
        <f t="shared" si="54"/>
        <v>174326</v>
      </c>
      <c r="I195" s="52">
        <f t="shared" ref="I195:AF195" si="56">I29</f>
        <v>4610</v>
      </c>
      <c r="J195" s="52">
        <f t="shared" si="56"/>
        <v>12464</v>
      </c>
      <c r="K195" s="52">
        <f t="shared" si="56"/>
        <v>13998</v>
      </c>
      <c r="L195" s="52">
        <f t="shared" si="56"/>
        <v>19387</v>
      </c>
      <c r="M195" s="52">
        <f t="shared" si="56"/>
        <v>13281</v>
      </c>
      <c r="N195" s="52">
        <f t="shared" si="56"/>
        <v>13553</v>
      </c>
      <c r="O195" s="52">
        <f t="shared" si="56"/>
        <v>10012</v>
      </c>
      <c r="P195" s="52">
        <f t="shared" si="56"/>
        <v>7480</v>
      </c>
      <c r="Q195" s="52">
        <f t="shared" si="56"/>
        <v>4394</v>
      </c>
      <c r="R195" s="52">
        <f t="shared" si="56"/>
        <v>6158</v>
      </c>
      <c r="S195" s="52">
        <f t="shared" si="56"/>
        <v>10541</v>
      </c>
      <c r="T195" s="52">
        <f t="shared" si="56"/>
        <v>12189</v>
      </c>
      <c r="U195" s="52">
        <f t="shared" si="56"/>
        <v>11421</v>
      </c>
      <c r="V195" s="52">
        <f t="shared" si="56"/>
        <v>7643</v>
      </c>
      <c r="W195" s="52">
        <f t="shared" si="56"/>
        <v>6220</v>
      </c>
      <c r="X195" s="52">
        <f t="shared" si="56"/>
        <v>5775</v>
      </c>
      <c r="Y195" s="52">
        <f t="shared" si="56"/>
        <v>5192</v>
      </c>
      <c r="Z195" s="52">
        <f t="shared" si="56"/>
        <v>7136</v>
      </c>
      <c r="AA195" s="52">
        <f t="shared" si="56"/>
        <v>2872</v>
      </c>
      <c r="AB195" s="52">
        <f t="shared" si="56"/>
        <v>0</v>
      </c>
      <c r="AC195" s="52">
        <f t="shared" si="56"/>
        <v>0</v>
      </c>
      <c r="AD195" s="52">
        <f t="shared" si="56"/>
        <v>0</v>
      </c>
      <c r="AE195" s="52">
        <f t="shared" si="56"/>
        <v>0</v>
      </c>
      <c r="AF195" s="52">
        <f t="shared" si="56"/>
        <v>0</v>
      </c>
    </row>
    <row r="196" spans="4:32">
      <c r="D196" t="s">
        <v>193</v>
      </c>
      <c r="G196" t="s">
        <v>8</v>
      </c>
      <c r="H196" s="48">
        <f t="shared" si="54"/>
        <v>252669</v>
      </c>
      <c r="I196" s="52">
        <f t="shared" ref="I196:AF196" si="57">I35</f>
        <v>7133</v>
      </c>
      <c r="J196" s="52">
        <f t="shared" si="57"/>
        <v>3106</v>
      </c>
      <c r="K196" s="52">
        <f t="shared" si="57"/>
        <v>2395</v>
      </c>
      <c r="L196" s="52">
        <f t="shared" si="57"/>
        <v>3673</v>
      </c>
      <c r="M196" s="52">
        <f t="shared" si="57"/>
        <v>2612</v>
      </c>
      <c r="N196" s="52">
        <f t="shared" si="57"/>
        <v>9639</v>
      </c>
      <c r="O196" s="52">
        <f t="shared" si="57"/>
        <v>9784</v>
      </c>
      <c r="P196" s="52">
        <f t="shared" si="57"/>
        <v>11540</v>
      </c>
      <c r="Q196" s="52">
        <f t="shared" si="57"/>
        <v>10162</v>
      </c>
      <c r="R196" s="52">
        <f t="shared" si="57"/>
        <v>6818</v>
      </c>
      <c r="S196" s="52">
        <f t="shared" si="57"/>
        <v>5475</v>
      </c>
      <c r="T196" s="52">
        <f t="shared" si="57"/>
        <v>9725</v>
      </c>
      <c r="U196" s="52">
        <f t="shared" si="57"/>
        <v>12427</v>
      </c>
      <c r="V196" s="52">
        <f t="shared" si="57"/>
        <v>13286</v>
      </c>
      <c r="W196" s="52">
        <f t="shared" si="57"/>
        <v>9623</v>
      </c>
      <c r="X196" s="52">
        <f t="shared" si="57"/>
        <v>8312</v>
      </c>
      <c r="Y196" s="52">
        <f t="shared" si="57"/>
        <v>5475</v>
      </c>
      <c r="Z196" s="52">
        <f t="shared" si="57"/>
        <v>12778</v>
      </c>
      <c r="AA196" s="52">
        <f t="shared" si="57"/>
        <v>16730</v>
      </c>
      <c r="AB196" s="52">
        <f t="shared" si="57"/>
        <v>22170</v>
      </c>
      <c r="AC196" s="52">
        <f t="shared" si="57"/>
        <v>22170</v>
      </c>
      <c r="AD196" s="52">
        <f t="shared" si="57"/>
        <v>22231</v>
      </c>
      <c r="AE196" s="52">
        <f t="shared" si="57"/>
        <v>22170</v>
      </c>
      <c r="AF196" s="52">
        <f t="shared" si="57"/>
        <v>3235</v>
      </c>
    </row>
    <row r="197" spans="4:32">
      <c r="D197" t="s">
        <v>6</v>
      </c>
      <c r="G197" t="s">
        <v>8</v>
      </c>
      <c r="H197" s="48">
        <f>I15</f>
        <v>72094</v>
      </c>
      <c r="I197" s="52">
        <f t="shared" ref="I197:AF197" si="58">I15</f>
        <v>72094</v>
      </c>
      <c r="J197" s="52">
        <f t="shared" si="58"/>
        <v>67516</v>
      </c>
      <c r="K197" s="52">
        <f t="shared" si="58"/>
        <v>64748</v>
      </c>
      <c r="L197" s="52">
        <f t="shared" si="58"/>
        <v>52918</v>
      </c>
      <c r="M197" s="52">
        <f t="shared" si="58"/>
        <v>61881</v>
      </c>
      <c r="N197" s="52">
        <f t="shared" si="58"/>
        <v>75416</v>
      </c>
      <c r="O197" s="52">
        <f t="shared" si="58"/>
        <v>73631</v>
      </c>
      <c r="P197" s="52">
        <f t="shared" si="58"/>
        <v>66729</v>
      </c>
      <c r="Q197" s="52">
        <f t="shared" si="58"/>
        <v>54220</v>
      </c>
      <c r="R197" s="52">
        <f t="shared" si="58"/>
        <v>37531</v>
      </c>
      <c r="S197" s="52">
        <f t="shared" si="58"/>
        <v>30774</v>
      </c>
      <c r="T197" s="52">
        <f t="shared" si="58"/>
        <v>21924</v>
      </c>
      <c r="U197" s="52">
        <f t="shared" si="58"/>
        <v>16842</v>
      </c>
      <c r="V197" s="52">
        <f t="shared" si="58"/>
        <v>13896</v>
      </c>
      <c r="W197" s="52">
        <f t="shared" si="58"/>
        <v>11263</v>
      </c>
      <c r="X197" s="52">
        <f t="shared" si="58"/>
        <v>10226</v>
      </c>
      <c r="Y197" s="52">
        <f t="shared" si="58"/>
        <v>7752</v>
      </c>
      <c r="Z197" s="52">
        <f t="shared" si="58"/>
        <v>8992</v>
      </c>
      <c r="AA197" s="52">
        <f t="shared" si="58"/>
        <v>5230</v>
      </c>
      <c r="AB197" s="52">
        <f t="shared" si="58"/>
        <v>0</v>
      </c>
      <c r="AC197" s="52">
        <f t="shared" si="58"/>
        <v>0</v>
      </c>
      <c r="AD197" s="52">
        <f t="shared" si="58"/>
        <v>0</v>
      </c>
      <c r="AE197" s="52">
        <f t="shared" si="58"/>
        <v>0</v>
      </c>
      <c r="AF197" s="52">
        <f t="shared" si="58"/>
        <v>0</v>
      </c>
    </row>
    <row r="198" spans="4:32">
      <c r="D198" s="5" t="s">
        <v>111</v>
      </c>
      <c r="E198" s="5"/>
      <c r="F198" s="5"/>
      <c r="G198" s="5" t="s">
        <v>8</v>
      </c>
      <c r="H198" s="51">
        <f>I22</f>
        <v>0</v>
      </c>
      <c r="I198" s="53">
        <f t="shared" ref="I198:AF198" si="59">I22</f>
        <v>0</v>
      </c>
      <c r="J198" s="53">
        <f t="shared" si="59"/>
        <v>9655</v>
      </c>
      <c r="K198" s="53">
        <f t="shared" si="59"/>
        <v>17090</v>
      </c>
      <c r="L198" s="53">
        <f t="shared" si="59"/>
        <v>19267</v>
      </c>
      <c r="M198" s="53">
        <f t="shared" si="59"/>
        <v>17113</v>
      </c>
      <c r="N198" s="53">
        <f t="shared" si="59"/>
        <v>15524</v>
      </c>
      <c r="O198" s="53">
        <f t="shared" si="59"/>
        <v>13588</v>
      </c>
      <c r="P198" s="53">
        <f t="shared" si="59"/>
        <v>12084</v>
      </c>
      <c r="Q198" s="53">
        <f t="shared" si="59"/>
        <v>10635</v>
      </c>
      <c r="R198" s="53">
        <f t="shared" si="59"/>
        <v>9952</v>
      </c>
      <c r="S198" s="53">
        <f t="shared" si="59"/>
        <v>6643</v>
      </c>
      <c r="T198" s="53">
        <f t="shared" si="59"/>
        <v>3865</v>
      </c>
      <c r="U198" s="53">
        <f t="shared" si="59"/>
        <v>1424</v>
      </c>
      <c r="V198" s="53">
        <f t="shared" si="59"/>
        <v>2049</v>
      </c>
      <c r="W198" s="53">
        <f t="shared" si="59"/>
        <v>0</v>
      </c>
      <c r="X198" s="53">
        <f t="shared" si="59"/>
        <v>0</v>
      </c>
      <c r="Y198" s="53">
        <f t="shared" si="59"/>
        <v>0</v>
      </c>
      <c r="Z198" s="53">
        <f t="shared" si="59"/>
        <v>0</v>
      </c>
      <c r="AA198" s="53">
        <f t="shared" si="59"/>
        <v>0</v>
      </c>
      <c r="AB198" s="53">
        <f t="shared" si="59"/>
        <v>0</v>
      </c>
      <c r="AC198" s="53">
        <f t="shared" si="59"/>
        <v>0</v>
      </c>
      <c r="AD198" s="53">
        <f t="shared" si="59"/>
        <v>0</v>
      </c>
      <c r="AE198" s="53">
        <f t="shared" si="59"/>
        <v>0</v>
      </c>
      <c r="AF198" s="53">
        <f t="shared" si="59"/>
        <v>0</v>
      </c>
    </row>
    <row r="199" spans="4:32">
      <c r="D199" t="s">
        <v>194</v>
      </c>
      <c r="G199" t="s">
        <v>8</v>
      </c>
      <c r="H199" s="49">
        <f t="shared" si="54"/>
        <v>1572710</v>
      </c>
      <c r="I199" s="64">
        <f t="shared" ref="I199:AF199" si="60">I193+I194+I195+I196+I197+I198</f>
        <v>97560</v>
      </c>
      <c r="J199" s="64">
        <f t="shared" si="60"/>
        <v>110021</v>
      </c>
      <c r="K199" s="64">
        <f t="shared" si="60"/>
        <v>117353</v>
      </c>
      <c r="L199" s="64">
        <f t="shared" si="60"/>
        <v>113693</v>
      </c>
      <c r="M199" s="64">
        <f t="shared" si="60"/>
        <v>114453</v>
      </c>
      <c r="N199" s="64">
        <f t="shared" si="60"/>
        <v>126711</v>
      </c>
      <c r="O199" s="64">
        <f t="shared" si="60"/>
        <v>119277</v>
      </c>
      <c r="P199" s="64">
        <f t="shared" si="60"/>
        <v>108265</v>
      </c>
      <c r="Q199" s="64">
        <f t="shared" si="60"/>
        <v>90681</v>
      </c>
      <c r="R199" s="64">
        <f t="shared" si="60"/>
        <v>75567</v>
      </c>
      <c r="S199" s="64">
        <f t="shared" si="60"/>
        <v>69974</v>
      </c>
      <c r="T199" s="64">
        <f t="shared" si="60"/>
        <v>60025</v>
      </c>
      <c r="U199" s="64">
        <f t="shared" si="60"/>
        <v>51734</v>
      </c>
      <c r="V199" s="64">
        <f t="shared" si="60"/>
        <v>45732</v>
      </c>
      <c r="W199" s="64">
        <f t="shared" si="60"/>
        <v>39623</v>
      </c>
      <c r="X199" s="64">
        <f t="shared" si="60"/>
        <v>37812</v>
      </c>
      <c r="Y199" s="64">
        <f t="shared" si="60"/>
        <v>34771</v>
      </c>
      <c r="Z199" s="64">
        <f t="shared" si="60"/>
        <v>37879</v>
      </c>
      <c r="AA199" s="64">
        <f t="shared" si="60"/>
        <v>29603</v>
      </c>
      <c r="AB199" s="64">
        <f t="shared" si="60"/>
        <v>22170</v>
      </c>
      <c r="AC199" s="64">
        <f t="shared" si="60"/>
        <v>22170</v>
      </c>
      <c r="AD199" s="64">
        <f t="shared" si="60"/>
        <v>22231</v>
      </c>
      <c r="AE199" s="64">
        <f t="shared" si="60"/>
        <v>22170</v>
      </c>
      <c r="AF199" s="64">
        <f t="shared" si="60"/>
        <v>3235</v>
      </c>
    </row>
    <row r="200" spans="4:32" ht="6" customHeight="1">
      <c r="D200" s="2"/>
      <c r="H200" s="29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</row>
    <row r="201" spans="4:32">
      <c r="D201" t="s">
        <v>195</v>
      </c>
      <c r="G201" t="s">
        <v>74</v>
      </c>
      <c r="H201" s="48">
        <f>IF(SUM(I199:AF199)&lt;&gt;0,SUMPRODUCT(I199:AF199,I201:AF201)/SUM(I199:AF199),0)</f>
        <v>0.31860926680697649</v>
      </c>
      <c r="I201" s="65">
        <f>'Candelaria Inputs'!I366</f>
        <v>0.41</v>
      </c>
      <c r="J201" s="65">
        <f>'Candelaria Inputs'!J366</f>
        <v>0.35</v>
      </c>
      <c r="K201" s="65">
        <f>'Candelaria Inputs'!K366</f>
        <v>0.32</v>
      </c>
      <c r="L201" s="65">
        <f>'Candelaria Inputs'!L366</f>
        <v>0.33</v>
      </c>
      <c r="M201" s="65">
        <f>'Candelaria Inputs'!M366</f>
        <v>0.32</v>
      </c>
      <c r="N201" s="65">
        <f>'Candelaria Inputs'!N366</f>
        <v>0.31</v>
      </c>
      <c r="O201" s="65">
        <f>'Candelaria Inputs'!O366</f>
        <v>0.31</v>
      </c>
      <c r="P201" s="65">
        <f>'Candelaria Inputs'!P366</f>
        <v>0.31</v>
      </c>
      <c r="Q201" s="65">
        <f>'Candelaria Inputs'!Q366</f>
        <v>0.31</v>
      </c>
      <c r="R201" s="65">
        <f>'Candelaria Inputs'!R366</f>
        <v>0.31</v>
      </c>
      <c r="S201" s="65">
        <f>'Candelaria Inputs'!S366</f>
        <v>0.36</v>
      </c>
      <c r="T201" s="65">
        <f>'Candelaria Inputs'!T366</f>
        <v>0.36</v>
      </c>
      <c r="U201" s="65">
        <f>'Candelaria Inputs'!U366</f>
        <v>0.36</v>
      </c>
      <c r="V201" s="65">
        <f>'Candelaria Inputs'!V366</f>
        <v>0.36</v>
      </c>
      <c r="W201" s="65">
        <f>'Candelaria Inputs'!W366</f>
        <v>0.36</v>
      </c>
      <c r="X201" s="65">
        <f>'Candelaria Inputs'!X366</f>
        <v>0.23</v>
      </c>
      <c r="Y201" s="65">
        <f>'Candelaria Inputs'!Y366</f>
        <v>0.23</v>
      </c>
      <c r="Z201" s="65">
        <f>'Candelaria Inputs'!Z366</f>
        <v>0.23</v>
      </c>
      <c r="AA201" s="65">
        <f>'Candelaria Inputs'!AA366</f>
        <v>0.23</v>
      </c>
      <c r="AB201" s="65">
        <f>'Candelaria Inputs'!AB366</f>
        <v>0.23</v>
      </c>
      <c r="AC201" s="65">
        <f>'Candelaria Inputs'!AC366</f>
        <v>0.23</v>
      </c>
      <c r="AD201" s="65">
        <f>'Candelaria Inputs'!AD366</f>
        <v>0.23</v>
      </c>
      <c r="AE201" s="65">
        <f>'Candelaria Inputs'!AE366</f>
        <v>0.23</v>
      </c>
      <c r="AF201" s="65">
        <f>'Candelaria Inputs'!AF366</f>
        <v>0.23</v>
      </c>
    </row>
    <row r="202" spans="4:32">
      <c r="D202" t="s">
        <v>196</v>
      </c>
      <c r="G202" t="s">
        <v>74</v>
      </c>
      <c r="H202" s="48">
        <f>IF(SUM(I199:AF199)&lt;&gt;0,SUMPRODUCT(I199:AF199,I202:AF202)/SUM(I199:AF199),0)</f>
        <v>0.36226630465883725</v>
      </c>
      <c r="I202" s="65">
        <f>'Candelaria Inputs'!I373</f>
        <v>0.8</v>
      </c>
      <c r="J202" s="65">
        <f>'Candelaria Inputs'!J373</f>
        <v>0.43</v>
      </c>
      <c r="K202" s="65">
        <f>'Candelaria Inputs'!K373</f>
        <v>0.34</v>
      </c>
      <c r="L202" s="65">
        <f>'Candelaria Inputs'!L373</f>
        <v>0.31</v>
      </c>
      <c r="M202" s="65">
        <f>'Candelaria Inputs'!M373</f>
        <v>0.28999999999999998</v>
      </c>
      <c r="N202" s="65">
        <f>'Candelaria Inputs'!N373</f>
        <v>0.32</v>
      </c>
      <c r="O202" s="65">
        <f>'Candelaria Inputs'!O373</f>
        <v>0.32</v>
      </c>
      <c r="P202" s="65">
        <f>'Candelaria Inputs'!P373</f>
        <v>0.32</v>
      </c>
      <c r="Q202" s="65">
        <f>'Candelaria Inputs'!Q373</f>
        <v>0.32</v>
      </c>
      <c r="R202" s="65">
        <f>'Candelaria Inputs'!R373</f>
        <v>0.32</v>
      </c>
      <c r="S202" s="65">
        <f>'Candelaria Inputs'!S373</f>
        <v>0.4</v>
      </c>
      <c r="T202" s="65">
        <f>'Candelaria Inputs'!T373</f>
        <v>0.4</v>
      </c>
      <c r="U202" s="65">
        <f>'Candelaria Inputs'!U373</f>
        <v>0.4</v>
      </c>
      <c r="V202" s="65">
        <f>'Candelaria Inputs'!V373</f>
        <v>0.4</v>
      </c>
      <c r="W202" s="65">
        <f>'Candelaria Inputs'!W373</f>
        <v>0.4</v>
      </c>
      <c r="X202" s="65">
        <f>'Candelaria Inputs'!X373</f>
        <v>0.27</v>
      </c>
      <c r="Y202" s="65">
        <f>'Candelaria Inputs'!Y373</f>
        <v>0.27</v>
      </c>
      <c r="Z202" s="65">
        <f>'Candelaria Inputs'!Z373</f>
        <v>0.27</v>
      </c>
      <c r="AA202" s="65">
        <f>'Candelaria Inputs'!AA373</f>
        <v>0.27</v>
      </c>
      <c r="AB202" s="65">
        <f>'Candelaria Inputs'!AB373</f>
        <v>0.27</v>
      </c>
      <c r="AC202" s="65">
        <f>'Candelaria Inputs'!AC373</f>
        <v>0.27</v>
      </c>
      <c r="AD202" s="65">
        <f>'Candelaria Inputs'!AD373</f>
        <v>0.27</v>
      </c>
      <c r="AE202" s="65">
        <f>'Candelaria Inputs'!AE373</f>
        <v>0.27</v>
      </c>
      <c r="AF202" s="65">
        <f>'Candelaria Inputs'!AF373</f>
        <v>0.27</v>
      </c>
    </row>
    <row r="203" spans="4:32">
      <c r="D203" t="s">
        <v>197</v>
      </c>
      <c r="G203" t="s">
        <v>74</v>
      </c>
      <c r="H203" s="48">
        <f>IF(SUM(I199:AF199)&lt;&gt;0,SUMPRODUCT(I199:AF199,I203:AF203)/SUM(I199:AF199),0)</f>
        <v>1.1134401192845471</v>
      </c>
      <c r="I203" s="65">
        <f>'Candelaria Inputs'!I380</f>
        <v>1.46</v>
      </c>
      <c r="J203" s="65">
        <f>'Candelaria Inputs'!J380</f>
        <v>1.28</v>
      </c>
      <c r="K203" s="65">
        <f>'Candelaria Inputs'!K380</f>
        <v>1.27</v>
      </c>
      <c r="L203" s="65">
        <f>'Candelaria Inputs'!L380</f>
        <v>1.22</v>
      </c>
      <c r="M203" s="65">
        <f>'Candelaria Inputs'!M380</f>
        <v>1.0900000000000001</v>
      </c>
      <c r="N203" s="65">
        <f>'Candelaria Inputs'!N380</f>
        <v>1.0900000000000001</v>
      </c>
      <c r="O203" s="65">
        <f>'Candelaria Inputs'!O380</f>
        <v>1.0900000000000001</v>
      </c>
      <c r="P203" s="65">
        <f>'Candelaria Inputs'!P380</f>
        <v>1.0900000000000001</v>
      </c>
      <c r="Q203" s="65">
        <f>'Candelaria Inputs'!Q380</f>
        <v>1.0900000000000001</v>
      </c>
      <c r="R203" s="65">
        <f>'Candelaria Inputs'!R380</f>
        <v>1.0900000000000001</v>
      </c>
      <c r="S203" s="65">
        <f>'Candelaria Inputs'!S380</f>
        <v>1.08</v>
      </c>
      <c r="T203" s="65">
        <f>'Candelaria Inputs'!T380</f>
        <v>1.08</v>
      </c>
      <c r="U203" s="65">
        <f>'Candelaria Inputs'!U380</f>
        <v>1.08</v>
      </c>
      <c r="V203" s="65">
        <f>'Candelaria Inputs'!V380</f>
        <v>1.08</v>
      </c>
      <c r="W203" s="65">
        <f>'Candelaria Inputs'!W380</f>
        <v>1.08</v>
      </c>
      <c r="X203" s="65">
        <f>'Candelaria Inputs'!X380</f>
        <v>0.86</v>
      </c>
      <c r="Y203" s="65">
        <f>'Candelaria Inputs'!Y380</f>
        <v>0.86</v>
      </c>
      <c r="Z203" s="65">
        <f>'Candelaria Inputs'!Z380</f>
        <v>0.86</v>
      </c>
      <c r="AA203" s="65">
        <f>'Candelaria Inputs'!AA380</f>
        <v>0.86</v>
      </c>
      <c r="AB203" s="65">
        <f>'Candelaria Inputs'!AB380</f>
        <v>0.86</v>
      </c>
      <c r="AC203" s="65">
        <f>'Candelaria Inputs'!AC380</f>
        <v>0.86</v>
      </c>
      <c r="AD203" s="65">
        <f>'Candelaria Inputs'!AD380</f>
        <v>0.86</v>
      </c>
      <c r="AE203" s="65">
        <f>'Candelaria Inputs'!AE380</f>
        <v>0.86</v>
      </c>
      <c r="AF203" s="65">
        <f>'Candelaria Inputs'!AF380</f>
        <v>0.86</v>
      </c>
    </row>
    <row r="204" spans="4:32">
      <c r="D204" t="s">
        <v>198</v>
      </c>
      <c r="G204" t="s">
        <v>74</v>
      </c>
      <c r="H204" s="48">
        <f>IF(SUM(I199:AF199)&lt;&gt;0,SUMPRODUCT(I199:AF199,I204:AF204)/SUM(I199:AF199),0)</f>
        <v>0.53424685415620177</v>
      </c>
      <c r="I204" s="65">
        <f>'Candelaria Inputs'!I387</f>
        <v>0.95</v>
      </c>
      <c r="J204" s="65">
        <f>'Candelaria Inputs'!J387</f>
        <v>0.7</v>
      </c>
      <c r="K204" s="65">
        <f>'Candelaria Inputs'!K387</f>
        <v>0.44</v>
      </c>
      <c r="L204" s="65">
        <f>'Candelaria Inputs'!L387</f>
        <v>0.44</v>
      </c>
      <c r="M204" s="65">
        <f>'Candelaria Inputs'!M387</f>
        <v>0.43</v>
      </c>
      <c r="N204" s="65">
        <f>'Candelaria Inputs'!N387</f>
        <v>0.46</v>
      </c>
      <c r="O204" s="65">
        <f>'Candelaria Inputs'!O387</f>
        <v>0.46</v>
      </c>
      <c r="P204" s="65">
        <f>'Candelaria Inputs'!P387</f>
        <v>0.46</v>
      </c>
      <c r="Q204" s="65">
        <f>'Candelaria Inputs'!Q387</f>
        <v>0.46</v>
      </c>
      <c r="R204" s="65">
        <f>'Candelaria Inputs'!R387</f>
        <v>0.46</v>
      </c>
      <c r="S204" s="65">
        <f>'Candelaria Inputs'!S387</f>
        <v>0.57999999999999996</v>
      </c>
      <c r="T204" s="65">
        <f>'Candelaria Inputs'!T387</f>
        <v>0.57999999999999996</v>
      </c>
      <c r="U204" s="65">
        <f>'Candelaria Inputs'!U387</f>
        <v>0.57999999999999996</v>
      </c>
      <c r="V204" s="65">
        <f>'Candelaria Inputs'!V387</f>
        <v>0.57999999999999996</v>
      </c>
      <c r="W204" s="65">
        <f>'Candelaria Inputs'!W387</f>
        <v>0.57999999999999996</v>
      </c>
      <c r="X204" s="65">
        <f>'Candelaria Inputs'!X387</f>
        <v>0.54</v>
      </c>
      <c r="Y204" s="65">
        <f>'Candelaria Inputs'!Y387</f>
        <v>0.54</v>
      </c>
      <c r="Z204" s="65">
        <f>'Candelaria Inputs'!Z387</f>
        <v>0.54</v>
      </c>
      <c r="AA204" s="65">
        <f>'Candelaria Inputs'!AA387</f>
        <v>0.54</v>
      </c>
      <c r="AB204" s="65">
        <f>'Candelaria Inputs'!AB387</f>
        <v>0.54</v>
      </c>
      <c r="AC204" s="65">
        <f>'Candelaria Inputs'!AC387</f>
        <v>0.54</v>
      </c>
      <c r="AD204" s="65">
        <f>'Candelaria Inputs'!AD387</f>
        <v>0.54</v>
      </c>
      <c r="AE204" s="65">
        <f>'Candelaria Inputs'!AE387</f>
        <v>0.54</v>
      </c>
      <c r="AF204" s="65">
        <f>'Candelaria Inputs'!AF387</f>
        <v>0.54</v>
      </c>
    </row>
    <row r="205" spans="4:32">
      <c r="D205" s="5" t="s">
        <v>199</v>
      </c>
      <c r="E205" s="5"/>
      <c r="F205" s="5"/>
      <c r="G205" s="5" t="s">
        <v>74</v>
      </c>
      <c r="H205" s="51">
        <f>IF(SUM(I199:AF199)&lt;&gt;0,SUMPRODUCT(I199:AF199,I205:AF205)/SUM(I199:AF199),0)</f>
        <v>-6.8967597331993813E-2</v>
      </c>
      <c r="I205" s="54">
        <f>'Candelaria Inputs'!I394</f>
        <v>-0.1</v>
      </c>
      <c r="J205" s="54">
        <f>'Candelaria Inputs'!J394</f>
        <v>-0.1</v>
      </c>
      <c r="K205" s="54">
        <f>'Candelaria Inputs'!K394</f>
        <v>-0.09</v>
      </c>
      <c r="L205" s="54">
        <f>'Candelaria Inputs'!L394</f>
        <v>-0.11</v>
      </c>
      <c r="M205" s="54">
        <f>'Candelaria Inputs'!M394</f>
        <v>-0.11</v>
      </c>
      <c r="N205" s="54">
        <f>'Candelaria Inputs'!N394</f>
        <v>-0.1</v>
      </c>
      <c r="O205" s="54">
        <f>'Candelaria Inputs'!O394</f>
        <v>-0.1</v>
      </c>
      <c r="P205" s="54">
        <f>'Candelaria Inputs'!P394</f>
        <v>-0.1</v>
      </c>
      <c r="Q205" s="54">
        <f>'Candelaria Inputs'!Q394</f>
        <v>-0.1</v>
      </c>
      <c r="R205" s="54">
        <f>'Candelaria Inputs'!R394</f>
        <v>-0.1</v>
      </c>
      <c r="S205" s="54">
        <f>'Candelaria Inputs'!S394</f>
        <v>0</v>
      </c>
      <c r="T205" s="54">
        <f>'Candelaria Inputs'!T394</f>
        <v>0</v>
      </c>
      <c r="U205" s="54">
        <f>'Candelaria Inputs'!U394</f>
        <v>0</v>
      </c>
      <c r="V205" s="54">
        <f>'Candelaria Inputs'!V394</f>
        <v>0</v>
      </c>
      <c r="W205" s="54">
        <f>'Candelaria Inputs'!W394</f>
        <v>0</v>
      </c>
      <c r="X205" s="54">
        <f>'Candelaria Inputs'!X394</f>
        <v>0</v>
      </c>
      <c r="Y205" s="54">
        <f>'Candelaria Inputs'!Y394</f>
        <v>0</v>
      </c>
      <c r="Z205" s="54">
        <f>'Candelaria Inputs'!Z394</f>
        <v>0</v>
      </c>
      <c r="AA205" s="54">
        <f>'Candelaria Inputs'!AA394</f>
        <v>0</v>
      </c>
      <c r="AB205" s="54">
        <f>'Candelaria Inputs'!AB394</f>
        <v>0</v>
      </c>
      <c r="AC205" s="54">
        <f>'Candelaria Inputs'!AC394</f>
        <v>0</v>
      </c>
      <c r="AD205" s="54">
        <f>'Candelaria Inputs'!AD394</f>
        <v>0</v>
      </c>
      <c r="AE205" s="54">
        <f>'Candelaria Inputs'!AE394</f>
        <v>0</v>
      </c>
      <c r="AF205" s="54">
        <f>'Candelaria Inputs'!AF394</f>
        <v>0</v>
      </c>
    </row>
    <row r="206" spans="4:32">
      <c r="D206" t="s">
        <v>72</v>
      </c>
      <c r="G206" t="s">
        <v>74</v>
      </c>
      <c r="H206" s="48">
        <f>IF(SUM(I199:AF199)&lt;&gt;0,SUMPRODUCT(I199:AF199,I206:AF206)/SUM(I199:AF199),0)</f>
        <v>2.2595949475745685</v>
      </c>
      <c r="I206" s="52">
        <f>SUM(I201:I205)</f>
        <v>3.52</v>
      </c>
      <c r="J206" s="52">
        <f t="shared" ref="J206:AF206" si="61">SUM(J201:J205)</f>
        <v>2.6599999999999997</v>
      </c>
      <c r="K206" s="52">
        <f t="shared" si="61"/>
        <v>2.2800000000000002</v>
      </c>
      <c r="L206" s="52">
        <f t="shared" si="61"/>
        <v>2.19</v>
      </c>
      <c r="M206" s="52">
        <f t="shared" si="61"/>
        <v>2.0200000000000005</v>
      </c>
      <c r="N206" s="52">
        <f t="shared" si="61"/>
        <v>2.08</v>
      </c>
      <c r="O206" s="52">
        <f t="shared" si="61"/>
        <v>2.08</v>
      </c>
      <c r="P206" s="52">
        <f t="shared" si="61"/>
        <v>2.08</v>
      </c>
      <c r="Q206" s="52">
        <f t="shared" si="61"/>
        <v>2.08</v>
      </c>
      <c r="R206" s="52">
        <f t="shared" si="61"/>
        <v>2.08</v>
      </c>
      <c r="S206" s="52">
        <f t="shared" si="61"/>
        <v>2.42</v>
      </c>
      <c r="T206" s="52">
        <f t="shared" si="61"/>
        <v>2.42</v>
      </c>
      <c r="U206" s="52">
        <f t="shared" si="61"/>
        <v>2.42</v>
      </c>
      <c r="V206" s="52">
        <f t="shared" si="61"/>
        <v>2.42</v>
      </c>
      <c r="W206" s="52">
        <f t="shared" si="61"/>
        <v>2.42</v>
      </c>
      <c r="X206" s="52">
        <f t="shared" si="61"/>
        <v>1.9</v>
      </c>
      <c r="Y206" s="52">
        <f t="shared" si="61"/>
        <v>1.9</v>
      </c>
      <c r="Z206" s="52">
        <f t="shared" si="61"/>
        <v>1.9</v>
      </c>
      <c r="AA206" s="52">
        <f t="shared" si="61"/>
        <v>1.9</v>
      </c>
      <c r="AB206" s="52">
        <f t="shared" si="61"/>
        <v>1.9</v>
      </c>
      <c r="AC206" s="52">
        <f t="shared" si="61"/>
        <v>1.9</v>
      </c>
      <c r="AD206" s="52">
        <f t="shared" si="61"/>
        <v>1.9</v>
      </c>
      <c r="AE206" s="52">
        <f t="shared" si="61"/>
        <v>1.9</v>
      </c>
      <c r="AF206" s="52">
        <f t="shared" si="61"/>
        <v>1.9</v>
      </c>
    </row>
    <row r="207" spans="4:32" ht="6" customHeight="1">
      <c r="D207" s="2"/>
      <c r="H207" s="29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</row>
    <row r="208" spans="4:32">
      <c r="D208" t="s">
        <v>200</v>
      </c>
      <c r="G208" t="s">
        <v>8</v>
      </c>
      <c r="H208" s="49">
        <f t="shared" ref="H208:H210" si="62">SUM(I208:AF208)</f>
        <v>1572710</v>
      </c>
      <c r="I208" s="64">
        <f>I199</f>
        <v>97560</v>
      </c>
      <c r="J208" s="64">
        <f t="shared" ref="J208:AF208" si="63">J199</f>
        <v>110021</v>
      </c>
      <c r="K208" s="64">
        <f t="shared" si="63"/>
        <v>117353</v>
      </c>
      <c r="L208" s="64">
        <f t="shared" si="63"/>
        <v>113693</v>
      </c>
      <c r="M208" s="64">
        <f t="shared" si="63"/>
        <v>114453</v>
      </c>
      <c r="N208" s="64">
        <f t="shared" si="63"/>
        <v>126711</v>
      </c>
      <c r="O208" s="64">
        <f t="shared" si="63"/>
        <v>119277</v>
      </c>
      <c r="P208" s="64">
        <f t="shared" si="63"/>
        <v>108265</v>
      </c>
      <c r="Q208" s="64">
        <f t="shared" si="63"/>
        <v>90681</v>
      </c>
      <c r="R208" s="64">
        <f t="shared" si="63"/>
        <v>75567</v>
      </c>
      <c r="S208" s="64">
        <f t="shared" si="63"/>
        <v>69974</v>
      </c>
      <c r="T208" s="64">
        <f t="shared" si="63"/>
        <v>60025</v>
      </c>
      <c r="U208" s="64">
        <f t="shared" si="63"/>
        <v>51734</v>
      </c>
      <c r="V208" s="64">
        <f t="shared" si="63"/>
        <v>45732</v>
      </c>
      <c r="W208" s="64">
        <f t="shared" si="63"/>
        <v>39623</v>
      </c>
      <c r="X208" s="64">
        <f t="shared" si="63"/>
        <v>37812</v>
      </c>
      <c r="Y208" s="64">
        <f t="shared" si="63"/>
        <v>34771</v>
      </c>
      <c r="Z208" s="64">
        <f t="shared" si="63"/>
        <v>37879</v>
      </c>
      <c r="AA208" s="64">
        <f t="shared" si="63"/>
        <v>29603</v>
      </c>
      <c r="AB208" s="64">
        <f t="shared" si="63"/>
        <v>22170</v>
      </c>
      <c r="AC208" s="64">
        <f t="shared" si="63"/>
        <v>22170</v>
      </c>
      <c r="AD208" s="64">
        <f t="shared" si="63"/>
        <v>22231</v>
      </c>
      <c r="AE208" s="64">
        <f t="shared" si="63"/>
        <v>22170</v>
      </c>
      <c r="AF208" s="64">
        <f t="shared" si="63"/>
        <v>3235</v>
      </c>
    </row>
    <row r="209" spans="4:32">
      <c r="D209" s="5" t="s">
        <v>72</v>
      </c>
      <c r="E209" s="5"/>
      <c r="F209" s="5"/>
      <c r="G209" s="5" t="s">
        <v>74</v>
      </c>
      <c r="H209" s="51">
        <f>IF(SUM(I208:AF208)&lt;&gt;0,SUMPRODUCT(I208:AF208,I209:AF209)/SUM(I208:AF208),0)</f>
        <v>2.2595949475745685</v>
      </c>
      <c r="I209" s="53">
        <f>I206</f>
        <v>3.52</v>
      </c>
      <c r="J209" s="53">
        <f t="shared" ref="J209:AF209" si="64">J206</f>
        <v>2.6599999999999997</v>
      </c>
      <c r="K209" s="53">
        <f t="shared" si="64"/>
        <v>2.2800000000000002</v>
      </c>
      <c r="L209" s="53">
        <f t="shared" si="64"/>
        <v>2.19</v>
      </c>
      <c r="M209" s="53">
        <f t="shared" si="64"/>
        <v>2.0200000000000005</v>
      </c>
      <c r="N209" s="53">
        <f t="shared" si="64"/>
        <v>2.08</v>
      </c>
      <c r="O209" s="53">
        <f t="shared" si="64"/>
        <v>2.08</v>
      </c>
      <c r="P209" s="53">
        <f t="shared" si="64"/>
        <v>2.08</v>
      </c>
      <c r="Q209" s="53">
        <f t="shared" si="64"/>
        <v>2.08</v>
      </c>
      <c r="R209" s="53">
        <f t="shared" si="64"/>
        <v>2.08</v>
      </c>
      <c r="S209" s="53">
        <f t="shared" si="64"/>
        <v>2.42</v>
      </c>
      <c r="T209" s="53">
        <f t="shared" si="64"/>
        <v>2.42</v>
      </c>
      <c r="U209" s="53">
        <f t="shared" si="64"/>
        <v>2.42</v>
      </c>
      <c r="V209" s="53">
        <f t="shared" si="64"/>
        <v>2.42</v>
      </c>
      <c r="W209" s="53">
        <f t="shared" si="64"/>
        <v>2.42</v>
      </c>
      <c r="X209" s="53">
        <f t="shared" si="64"/>
        <v>1.9</v>
      </c>
      <c r="Y209" s="53">
        <f t="shared" si="64"/>
        <v>1.9</v>
      </c>
      <c r="Z209" s="53">
        <f t="shared" si="64"/>
        <v>1.9</v>
      </c>
      <c r="AA209" s="53">
        <f t="shared" si="64"/>
        <v>1.9</v>
      </c>
      <c r="AB209" s="53">
        <f t="shared" si="64"/>
        <v>1.9</v>
      </c>
      <c r="AC209" s="53">
        <f t="shared" si="64"/>
        <v>1.9</v>
      </c>
      <c r="AD209" s="53">
        <f t="shared" si="64"/>
        <v>1.9</v>
      </c>
      <c r="AE209" s="53">
        <f t="shared" si="64"/>
        <v>1.9</v>
      </c>
      <c r="AF209" s="53">
        <f t="shared" si="64"/>
        <v>1.9</v>
      </c>
    </row>
    <row r="210" spans="4:32">
      <c r="D210" t="s">
        <v>72</v>
      </c>
      <c r="G210" t="s">
        <v>90</v>
      </c>
      <c r="H210" s="48">
        <f t="shared" si="62"/>
        <v>3553.6875699999996</v>
      </c>
      <c r="I210" s="52">
        <f>I208*I209/1000</f>
        <v>343.41120000000001</v>
      </c>
      <c r="J210" s="52">
        <f t="shared" ref="J210:AF210" si="65">J208*J209/1000</f>
        <v>292.65585999999996</v>
      </c>
      <c r="K210" s="52">
        <f t="shared" si="65"/>
        <v>267.56484</v>
      </c>
      <c r="L210" s="52">
        <f t="shared" si="65"/>
        <v>248.98766999999998</v>
      </c>
      <c r="M210" s="52">
        <f t="shared" si="65"/>
        <v>231.19506000000007</v>
      </c>
      <c r="N210" s="52">
        <f t="shared" si="65"/>
        <v>263.55887999999999</v>
      </c>
      <c r="O210" s="52">
        <f t="shared" si="65"/>
        <v>248.09616</v>
      </c>
      <c r="P210" s="52">
        <f t="shared" si="65"/>
        <v>225.19120000000001</v>
      </c>
      <c r="Q210" s="52">
        <f t="shared" si="65"/>
        <v>188.61648000000002</v>
      </c>
      <c r="R210" s="52">
        <f t="shared" si="65"/>
        <v>157.17936</v>
      </c>
      <c r="S210" s="52">
        <f t="shared" si="65"/>
        <v>169.33707999999999</v>
      </c>
      <c r="T210" s="52">
        <f t="shared" si="65"/>
        <v>145.26050000000001</v>
      </c>
      <c r="U210" s="52">
        <f t="shared" si="65"/>
        <v>125.19628</v>
      </c>
      <c r="V210" s="52">
        <f t="shared" si="65"/>
        <v>110.67144</v>
      </c>
      <c r="W210" s="52">
        <f t="shared" si="65"/>
        <v>95.887659999999997</v>
      </c>
      <c r="X210" s="52">
        <f t="shared" si="65"/>
        <v>71.842799999999997</v>
      </c>
      <c r="Y210" s="52">
        <f t="shared" si="65"/>
        <v>66.064899999999994</v>
      </c>
      <c r="Z210" s="52">
        <f t="shared" si="65"/>
        <v>71.970099999999988</v>
      </c>
      <c r="AA210" s="52">
        <f t="shared" si="65"/>
        <v>56.245699999999999</v>
      </c>
      <c r="AB210" s="52">
        <f t="shared" si="65"/>
        <v>42.122999999999998</v>
      </c>
      <c r="AC210" s="52">
        <f t="shared" si="65"/>
        <v>42.122999999999998</v>
      </c>
      <c r="AD210" s="52">
        <f t="shared" si="65"/>
        <v>42.238900000000001</v>
      </c>
      <c r="AE210" s="52">
        <f t="shared" si="65"/>
        <v>42.122999999999998</v>
      </c>
      <c r="AF210" s="52">
        <f t="shared" si="65"/>
        <v>6.1464999999999996</v>
      </c>
    </row>
    <row r="211" spans="4:32" ht="6" customHeight="1">
      <c r="D211" s="2"/>
      <c r="H211" s="29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</row>
    <row r="212" spans="4:32">
      <c r="D212" s="28" t="s">
        <v>96</v>
      </c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spans="4:32">
      <c r="D213" t="s">
        <v>201</v>
      </c>
      <c r="G213" t="s">
        <v>90</v>
      </c>
      <c r="H213" s="48">
        <f>SUM(I213:AF213)</f>
        <v>1066</v>
      </c>
      <c r="I213" s="38">
        <f>'Candelaria Inputs'!I654</f>
        <v>185</v>
      </c>
      <c r="J213" s="38">
        <f>'Candelaria Inputs'!J654</f>
        <v>136</v>
      </c>
      <c r="K213" s="38">
        <f>'Candelaria Inputs'!K654</f>
        <v>87</v>
      </c>
      <c r="L213" s="38">
        <f>'Candelaria Inputs'!L654</f>
        <v>76</v>
      </c>
      <c r="M213" s="38">
        <f>'Candelaria Inputs'!M654</f>
        <v>94</v>
      </c>
      <c r="N213" s="38">
        <f>'Candelaria Inputs'!N654</f>
        <v>156.19377162629758</v>
      </c>
      <c r="O213" s="38">
        <f>'Candelaria Inputs'!O654</f>
        <v>114.82352941176471</v>
      </c>
      <c r="P213" s="38">
        <f>'Candelaria Inputs'!P654</f>
        <v>73.45328719723183</v>
      </c>
      <c r="Q213" s="38">
        <f>'Candelaria Inputs'!Q654</f>
        <v>64.166089965397916</v>
      </c>
      <c r="R213" s="38">
        <f>'Candelaria Inputs'!R654</f>
        <v>79.363321799307954</v>
      </c>
      <c r="S213" s="38">
        <f>'Candelaria Inputs'!S654</f>
        <v>0</v>
      </c>
      <c r="T213" s="38">
        <f>'Candelaria Inputs'!T654</f>
        <v>0</v>
      </c>
      <c r="U213" s="38">
        <f>'Candelaria Inputs'!U654</f>
        <v>0</v>
      </c>
      <c r="V213" s="38">
        <f>'Candelaria Inputs'!V654</f>
        <v>0</v>
      </c>
      <c r="W213" s="38">
        <f>'Candelaria Inputs'!W654</f>
        <v>0</v>
      </c>
      <c r="X213" s="38">
        <f>'Candelaria Inputs'!X654</f>
        <v>0</v>
      </c>
      <c r="Y213" s="38">
        <f>'Candelaria Inputs'!Y654</f>
        <v>0</v>
      </c>
      <c r="Z213" s="38">
        <f>'Candelaria Inputs'!Z654</f>
        <v>0</v>
      </c>
      <c r="AA213" s="38">
        <f>'Candelaria Inputs'!AA654</f>
        <v>0</v>
      </c>
      <c r="AB213" s="38">
        <f>'Candelaria Inputs'!AB654</f>
        <v>0</v>
      </c>
      <c r="AC213" s="38">
        <f>'Candelaria Inputs'!AC654</f>
        <v>0</v>
      </c>
      <c r="AD213" s="38">
        <f>'Candelaria Inputs'!AD654</f>
        <v>0</v>
      </c>
      <c r="AE213" s="38">
        <f>'Candelaria Inputs'!AE654</f>
        <v>0</v>
      </c>
      <c r="AF213" s="38">
        <f>'Candelaria Inputs'!AF654</f>
        <v>0</v>
      </c>
    </row>
    <row r="214" spans="4:32" ht="6" customHeight="1">
      <c r="D214" s="2"/>
      <c r="H214" s="29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</row>
    <row r="215" spans="4:32">
      <c r="D215" s="28" t="s">
        <v>202</v>
      </c>
      <c r="H215" s="29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</row>
    <row r="216" spans="4:32">
      <c r="D216" t="s">
        <v>203</v>
      </c>
      <c r="G216" t="s">
        <v>8</v>
      </c>
      <c r="H216" s="49">
        <f t="shared" ref="H216" si="66">SUM(I216:AF216)</f>
        <v>131507</v>
      </c>
      <c r="I216" s="64">
        <f t="shared" ref="I216:AF216" si="67">I41</f>
        <v>5462</v>
      </c>
      <c r="J216" s="64">
        <f t="shared" si="67"/>
        <v>5490</v>
      </c>
      <c r="K216" s="64">
        <f t="shared" si="67"/>
        <v>5475</v>
      </c>
      <c r="L216" s="64">
        <f t="shared" si="67"/>
        <v>5475</v>
      </c>
      <c r="M216" s="64">
        <f t="shared" si="67"/>
        <v>5505</v>
      </c>
      <c r="N216" s="64">
        <f t="shared" si="67"/>
        <v>5490</v>
      </c>
      <c r="O216" s="64">
        <f t="shared" si="67"/>
        <v>5475</v>
      </c>
      <c r="P216" s="64">
        <f t="shared" si="67"/>
        <v>5475</v>
      </c>
      <c r="Q216" s="64">
        <f t="shared" si="67"/>
        <v>5475</v>
      </c>
      <c r="R216" s="64">
        <f t="shared" si="67"/>
        <v>5490</v>
      </c>
      <c r="S216" s="64">
        <f t="shared" si="67"/>
        <v>5475</v>
      </c>
      <c r="T216" s="64">
        <f t="shared" si="67"/>
        <v>5475</v>
      </c>
      <c r="U216" s="64">
        <f t="shared" si="67"/>
        <v>5475</v>
      </c>
      <c r="V216" s="64">
        <f t="shared" si="67"/>
        <v>5490</v>
      </c>
      <c r="W216" s="64">
        <f t="shared" si="67"/>
        <v>5475</v>
      </c>
      <c r="X216" s="64">
        <f t="shared" si="67"/>
        <v>5475</v>
      </c>
      <c r="Y216" s="64">
        <f t="shared" si="67"/>
        <v>5475</v>
      </c>
      <c r="Z216" s="64">
        <f t="shared" si="67"/>
        <v>5490</v>
      </c>
      <c r="AA216" s="64">
        <f t="shared" si="67"/>
        <v>5475</v>
      </c>
      <c r="AB216" s="64">
        <f t="shared" si="67"/>
        <v>5475</v>
      </c>
      <c r="AC216" s="64">
        <f t="shared" si="67"/>
        <v>5475</v>
      </c>
      <c r="AD216" s="64">
        <f t="shared" si="67"/>
        <v>5490</v>
      </c>
      <c r="AE216" s="64">
        <f t="shared" si="67"/>
        <v>5475</v>
      </c>
      <c r="AF216" s="64">
        <f t="shared" si="67"/>
        <v>5475</v>
      </c>
    </row>
    <row r="217" spans="4:32" ht="6" customHeight="1">
      <c r="D217" s="2"/>
      <c r="H217" s="29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</row>
    <row r="218" spans="4:32">
      <c r="D218" t="s">
        <v>195</v>
      </c>
      <c r="G218" t="s">
        <v>204</v>
      </c>
      <c r="H218" s="48">
        <f>IF(SUM(I216:AF216)&lt;&gt;0,SUMPRODUCT(I216:AF216,I218:AF218)/SUM(I216:AF216),0)</f>
        <v>2.2746497905054484</v>
      </c>
      <c r="I218" s="65">
        <f>'Candelaria Inputs'!I402</f>
        <v>2.46</v>
      </c>
      <c r="J218" s="65">
        <f>'Candelaria Inputs'!J402</f>
        <v>2.57</v>
      </c>
      <c r="K218" s="65">
        <f>'Candelaria Inputs'!K402</f>
        <v>2.59</v>
      </c>
      <c r="L218" s="65">
        <f>'Candelaria Inputs'!L402</f>
        <v>2.61</v>
      </c>
      <c r="M218" s="65">
        <f>'Candelaria Inputs'!M402</f>
        <v>2.57</v>
      </c>
      <c r="N218" s="65">
        <f>'Candelaria Inputs'!N402</f>
        <v>2.48</v>
      </c>
      <c r="O218" s="65">
        <f>'Candelaria Inputs'!O402</f>
        <v>2.48</v>
      </c>
      <c r="P218" s="65">
        <f>'Candelaria Inputs'!P402</f>
        <v>2.48</v>
      </c>
      <c r="Q218" s="65">
        <f>'Candelaria Inputs'!Q402</f>
        <v>2.48</v>
      </c>
      <c r="R218" s="65">
        <f>'Candelaria Inputs'!R402</f>
        <v>2.48</v>
      </c>
      <c r="S218" s="65">
        <f>'Candelaria Inputs'!S402</f>
        <v>2.35</v>
      </c>
      <c r="T218" s="65">
        <f>'Candelaria Inputs'!T402</f>
        <v>2.35</v>
      </c>
      <c r="U218" s="65">
        <f>'Candelaria Inputs'!U402</f>
        <v>2.35</v>
      </c>
      <c r="V218" s="65">
        <f>'Candelaria Inputs'!V402</f>
        <v>2.35</v>
      </c>
      <c r="W218" s="65">
        <f>'Candelaria Inputs'!W402</f>
        <v>2.35</v>
      </c>
      <c r="X218" s="65">
        <f>'Candelaria Inputs'!X402</f>
        <v>1.96</v>
      </c>
      <c r="Y218" s="65">
        <f>'Candelaria Inputs'!Y402</f>
        <v>1.96</v>
      </c>
      <c r="Z218" s="65">
        <f>'Candelaria Inputs'!Z402</f>
        <v>1.96</v>
      </c>
      <c r="AA218" s="65">
        <f>'Candelaria Inputs'!AA402</f>
        <v>1.96</v>
      </c>
      <c r="AB218" s="65">
        <f>'Candelaria Inputs'!AB402</f>
        <v>1.96</v>
      </c>
      <c r="AC218" s="65">
        <f>'Candelaria Inputs'!AC402</f>
        <v>1.96</v>
      </c>
      <c r="AD218" s="65">
        <f>'Candelaria Inputs'!AD402</f>
        <v>1.96</v>
      </c>
      <c r="AE218" s="65">
        <f>'Candelaria Inputs'!AE402</f>
        <v>1.96</v>
      </c>
      <c r="AF218" s="65">
        <f>'Candelaria Inputs'!AF402</f>
        <v>1.96</v>
      </c>
    </row>
    <row r="219" spans="4:32">
      <c r="D219" t="s">
        <v>196</v>
      </c>
      <c r="G219" t="s">
        <v>204</v>
      </c>
      <c r="H219" s="48">
        <f>IF(SUM(I216:AF216)&lt;&gt;0,SUMPRODUCT(I216:AF216,I219:AF219)/SUM(I216:AF216),0)</f>
        <v>5.421415285878318</v>
      </c>
      <c r="I219" s="65">
        <f>'Candelaria Inputs'!I409</f>
        <v>9.98</v>
      </c>
      <c r="J219" s="65">
        <f>'Candelaria Inputs'!J409</f>
        <v>9.06</v>
      </c>
      <c r="K219" s="65">
        <f>'Candelaria Inputs'!K409</f>
        <v>7.43</v>
      </c>
      <c r="L219" s="65">
        <f>'Candelaria Inputs'!L409</f>
        <v>7.64</v>
      </c>
      <c r="M219" s="65">
        <f>'Candelaria Inputs'!M409</f>
        <v>7.94</v>
      </c>
      <c r="N219" s="65">
        <f>'Candelaria Inputs'!N409</f>
        <v>5.44</v>
      </c>
      <c r="O219" s="65">
        <f>'Candelaria Inputs'!O409</f>
        <v>5.44</v>
      </c>
      <c r="P219" s="65">
        <f>'Candelaria Inputs'!P409</f>
        <v>5.44</v>
      </c>
      <c r="Q219" s="65">
        <f>'Candelaria Inputs'!Q409</f>
        <v>5.44</v>
      </c>
      <c r="R219" s="65">
        <f>'Candelaria Inputs'!R409</f>
        <v>5.44</v>
      </c>
      <c r="S219" s="65">
        <f>'Candelaria Inputs'!S409</f>
        <v>5.17</v>
      </c>
      <c r="T219" s="65">
        <f>'Candelaria Inputs'!T409</f>
        <v>5.17</v>
      </c>
      <c r="U219" s="65">
        <f>'Candelaria Inputs'!U409</f>
        <v>5.17</v>
      </c>
      <c r="V219" s="65">
        <f>'Candelaria Inputs'!V409</f>
        <v>5.17</v>
      </c>
      <c r="W219" s="65">
        <f>'Candelaria Inputs'!W409</f>
        <v>5.17</v>
      </c>
      <c r="X219" s="65">
        <f>'Candelaria Inputs'!X409</f>
        <v>3.89</v>
      </c>
      <c r="Y219" s="65">
        <f>'Candelaria Inputs'!Y409</f>
        <v>3.89</v>
      </c>
      <c r="Z219" s="65">
        <f>'Candelaria Inputs'!Z409</f>
        <v>3.89</v>
      </c>
      <c r="AA219" s="65">
        <f>'Candelaria Inputs'!AA409</f>
        <v>3.89</v>
      </c>
      <c r="AB219" s="65">
        <f>'Candelaria Inputs'!AB409</f>
        <v>3.89</v>
      </c>
      <c r="AC219" s="65">
        <f>'Candelaria Inputs'!AC409</f>
        <v>3.89</v>
      </c>
      <c r="AD219" s="65">
        <f>'Candelaria Inputs'!AD409</f>
        <v>3.89</v>
      </c>
      <c r="AE219" s="65">
        <f>'Candelaria Inputs'!AE409</f>
        <v>3.89</v>
      </c>
      <c r="AF219" s="65">
        <f>'Candelaria Inputs'!AF409</f>
        <v>3.89</v>
      </c>
    </row>
    <row r="220" spans="4:32">
      <c r="D220" t="s">
        <v>197</v>
      </c>
      <c r="G220" t="s">
        <v>204</v>
      </c>
      <c r="H220" s="48">
        <f>IF(SUM(I216:AF216)&lt;&gt;0,SUMPRODUCT(I216:AF216,I220:AF220)/SUM(I216:AF216),0)</f>
        <v>2.6741933129034958</v>
      </c>
      <c r="I220" s="65">
        <f>'Candelaria Inputs'!I416</f>
        <v>2.77</v>
      </c>
      <c r="J220" s="65">
        <f>'Candelaria Inputs'!J416</f>
        <v>2.4500000000000002</v>
      </c>
      <c r="K220" s="65">
        <f>'Candelaria Inputs'!K416</f>
        <v>3.17</v>
      </c>
      <c r="L220" s="65">
        <f>'Candelaria Inputs'!L416</f>
        <v>3.62</v>
      </c>
      <c r="M220" s="65">
        <f>'Candelaria Inputs'!M416</f>
        <v>2.94</v>
      </c>
      <c r="N220" s="65">
        <f>'Candelaria Inputs'!N416</f>
        <v>3.13</v>
      </c>
      <c r="O220" s="65">
        <f>'Candelaria Inputs'!O416</f>
        <v>3.13</v>
      </c>
      <c r="P220" s="65">
        <f>'Candelaria Inputs'!P416</f>
        <v>3.13</v>
      </c>
      <c r="Q220" s="65">
        <f>'Candelaria Inputs'!Q416</f>
        <v>3.13</v>
      </c>
      <c r="R220" s="65">
        <f>'Candelaria Inputs'!R416</f>
        <v>3.13</v>
      </c>
      <c r="S220" s="65">
        <f>'Candelaria Inputs'!S416</f>
        <v>3.08</v>
      </c>
      <c r="T220" s="65">
        <f>'Candelaria Inputs'!T416</f>
        <v>3.08</v>
      </c>
      <c r="U220" s="65">
        <f>'Candelaria Inputs'!U416</f>
        <v>3.08</v>
      </c>
      <c r="V220" s="65">
        <f>'Candelaria Inputs'!V416</f>
        <v>3.08</v>
      </c>
      <c r="W220" s="65">
        <f>'Candelaria Inputs'!W416</f>
        <v>3.08</v>
      </c>
      <c r="X220" s="65">
        <f>'Candelaria Inputs'!X416</f>
        <v>2.02</v>
      </c>
      <c r="Y220" s="65">
        <f>'Candelaria Inputs'!Y416</f>
        <v>2.02</v>
      </c>
      <c r="Z220" s="65">
        <f>'Candelaria Inputs'!Z416</f>
        <v>2.02</v>
      </c>
      <c r="AA220" s="65">
        <f>'Candelaria Inputs'!AA416</f>
        <v>2.02</v>
      </c>
      <c r="AB220" s="65">
        <f>'Candelaria Inputs'!AB416</f>
        <v>2.02</v>
      </c>
      <c r="AC220" s="65">
        <f>'Candelaria Inputs'!AC416</f>
        <v>2.02</v>
      </c>
      <c r="AD220" s="65">
        <f>'Candelaria Inputs'!AD416</f>
        <v>2.02</v>
      </c>
      <c r="AE220" s="65">
        <f>'Candelaria Inputs'!AE416</f>
        <v>2.02</v>
      </c>
      <c r="AF220" s="65">
        <f>'Candelaria Inputs'!AF416</f>
        <v>2.02</v>
      </c>
    </row>
    <row r="221" spans="4:32">
      <c r="D221" t="s">
        <v>198</v>
      </c>
      <c r="G221" t="s">
        <v>204</v>
      </c>
      <c r="H221" s="48">
        <f>IF(SUM(I216:AF216)&lt;&gt;0,SUMPRODUCT(I216:AF216,I221:AF221)/SUM(I216:AF216),0)</f>
        <v>0.99083759799858562</v>
      </c>
      <c r="I221" s="65">
        <f>'Candelaria Inputs'!I423</f>
        <v>1.54</v>
      </c>
      <c r="J221" s="65">
        <f>'Candelaria Inputs'!J423</f>
        <v>1.42</v>
      </c>
      <c r="K221" s="65">
        <f>'Candelaria Inputs'!K423</f>
        <v>1.08</v>
      </c>
      <c r="L221" s="65">
        <f>'Candelaria Inputs'!L423</f>
        <v>1.08</v>
      </c>
      <c r="M221" s="65">
        <f>'Candelaria Inputs'!M423</f>
        <v>1.1299999999999999</v>
      </c>
      <c r="N221" s="65">
        <f>'Candelaria Inputs'!N423</f>
        <v>1.1000000000000001</v>
      </c>
      <c r="O221" s="65">
        <f>'Candelaria Inputs'!O423</f>
        <v>1.1000000000000001</v>
      </c>
      <c r="P221" s="65">
        <f>'Candelaria Inputs'!P423</f>
        <v>1.1000000000000001</v>
      </c>
      <c r="Q221" s="65">
        <f>'Candelaria Inputs'!Q423</f>
        <v>1.1000000000000001</v>
      </c>
      <c r="R221" s="65">
        <f>'Candelaria Inputs'!R423</f>
        <v>1.1000000000000001</v>
      </c>
      <c r="S221" s="65">
        <f>'Candelaria Inputs'!S423</f>
        <v>1.02</v>
      </c>
      <c r="T221" s="65">
        <f>'Candelaria Inputs'!T423</f>
        <v>1.02</v>
      </c>
      <c r="U221" s="65">
        <f>'Candelaria Inputs'!U423</f>
        <v>1.02</v>
      </c>
      <c r="V221" s="65">
        <f>'Candelaria Inputs'!V423</f>
        <v>1.02</v>
      </c>
      <c r="W221" s="65">
        <f>'Candelaria Inputs'!W423</f>
        <v>1.02</v>
      </c>
      <c r="X221" s="65">
        <f>'Candelaria Inputs'!X423</f>
        <v>0.77</v>
      </c>
      <c r="Y221" s="65">
        <f>'Candelaria Inputs'!Y423</f>
        <v>0.77</v>
      </c>
      <c r="Z221" s="65">
        <f>'Candelaria Inputs'!Z423</f>
        <v>0.77</v>
      </c>
      <c r="AA221" s="65">
        <f>'Candelaria Inputs'!AA423</f>
        <v>0.77</v>
      </c>
      <c r="AB221" s="65">
        <f>'Candelaria Inputs'!AB423</f>
        <v>0.77</v>
      </c>
      <c r="AC221" s="65">
        <f>'Candelaria Inputs'!AC423</f>
        <v>0.77</v>
      </c>
      <c r="AD221" s="65">
        <f>'Candelaria Inputs'!AD423</f>
        <v>0.77</v>
      </c>
      <c r="AE221" s="65">
        <f>'Candelaria Inputs'!AE423</f>
        <v>0.77</v>
      </c>
      <c r="AF221" s="65">
        <f>'Candelaria Inputs'!AF423</f>
        <v>0.77</v>
      </c>
    </row>
    <row r="222" spans="4:32">
      <c r="D222" s="5" t="s">
        <v>199</v>
      </c>
      <c r="E222" s="5"/>
      <c r="F222" s="5"/>
      <c r="G222" s="5" t="s">
        <v>204</v>
      </c>
      <c r="H222" s="51">
        <f>IF(SUM(I216:AF216)&lt;&gt;0,SUMPRODUCT(I216:AF216,I222:AF222)/SUM(I216:AF216),0)</f>
        <v>0.79124099857802244</v>
      </c>
      <c r="I222" s="54">
        <f>'Candelaria Inputs'!I430</f>
        <v>0.94</v>
      </c>
      <c r="J222" s="54">
        <f>'Candelaria Inputs'!J430</f>
        <v>0.82</v>
      </c>
      <c r="K222" s="54">
        <f>'Candelaria Inputs'!K430</f>
        <v>0.82</v>
      </c>
      <c r="L222" s="54">
        <f>'Candelaria Inputs'!L430</f>
        <v>0.82</v>
      </c>
      <c r="M222" s="54">
        <f>'Candelaria Inputs'!M430</f>
        <v>0.82</v>
      </c>
      <c r="N222" s="54">
        <f>'Candelaria Inputs'!N430</f>
        <v>0.82</v>
      </c>
      <c r="O222" s="54">
        <f>'Candelaria Inputs'!O430</f>
        <v>0.82</v>
      </c>
      <c r="P222" s="54">
        <f>'Candelaria Inputs'!P430</f>
        <v>0.82</v>
      </c>
      <c r="Q222" s="54">
        <f>'Candelaria Inputs'!Q430</f>
        <v>0.82</v>
      </c>
      <c r="R222" s="54">
        <f>'Candelaria Inputs'!R430</f>
        <v>0.82</v>
      </c>
      <c r="S222" s="54">
        <f>'Candelaria Inputs'!S430</f>
        <v>0.82</v>
      </c>
      <c r="T222" s="54">
        <f>'Candelaria Inputs'!T430</f>
        <v>0.82</v>
      </c>
      <c r="U222" s="54">
        <f>'Candelaria Inputs'!U430</f>
        <v>0.82</v>
      </c>
      <c r="V222" s="54">
        <f>'Candelaria Inputs'!V430</f>
        <v>0.82</v>
      </c>
      <c r="W222" s="54">
        <f>'Candelaria Inputs'!W430</f>
        <v>0.82</v>
      </c>
      <c r="X222" s="54">
        <f>'Candelaria Inputs'!X430</f>
        <v>0.73</v>
      </c>
      <c r="Y222" s="54">
        <f>'Candelaria Inputs'!Y430</f>
        <v>0.73</v>
      </c>
      <c r="Z222" s="54">
        <f>'Candelaria Inputs'!Z430</f>
        <v>0.73</v>
      </c>
      <c r="AA222" s="54">
        <f>'Candelaria Inputs'!AA430</f>
        <v>0.73</v>
      </c>
      <c r="AB222" s="54">
        <f>'Candelaria Inputs'!AB430</f>
        <v>0.73</v>
      </c>
      <c r="AC222" s="54">
        <f>'Candelaria Inputs'!AC430</f>
        <v>0.73</v>
      </c>
      <c r="AD222" s="54">
        <f>'Candelaria Inputs'!AD430</f>
        <v>0.73</v>
      </c>
      <c r="AE222" s="54">
        <f>'Candelaria Inputs'!AE430</f>
        <v>0.73</v>
      </c>
      <c r="AF222" s="54">
        <f>'Candelaria Inputs'!AF430</f>
        <v>0.73</v>
      </c>
    </row>
    <row r="223" spans="4:32">
      <c r="D223" t="s">
        <v>79</v>
      </c>
      <c r="G223" t="s">
        <v>204</v>
      </c>
      <c r="H223" s="48">
        <f>IF(SUM(I216:AF216)&lt;&gt;0,SUMPRODUCT(I216:AF216,I223:AF223)/SUM(I216:AF216),0)</f>
        <v>12.152336985863871</v>
      </c>
      <c r="I223" s="52">
        <f>SUM(I218:I222)</f>
        <v>17.690000000000001</v>
      </c>
      <c r="J223" s="52">
        <f t="shared" ref="J223:AF223" si="68">SUM(J218:J222)</f>
        <v>16.32</v>
      </c>
      <c r="K223" s="52">
        <f t="shared" si="68"/>
        <v>15.09</v>
      </c>
      <c r="L223" s="52">
        <f t="shared" si="68"/>
        <v>15.770000000000001</v>
      </c>
      <c r="M223" s="52">
        <f t="shared" si="68"/>
        <v>15.399999999999999</v>
      </c>
      <c r="N223" s="52">
        <f t="shared" si="68"/>
        <v>12.97</v>
      </c>
      <c r="O223" s="52">
        <f t="shared" si="68"/>
        <v>12.97</v>
      </c>
      <c r="P223" s="52">
        <f t="shared" si="68"/>
        <v>12.97</v>
      </c>
      <c r="Q223" s="52">
        <f t="shared" si="68"/>
        <v>12.97</v>
      </c>
      <c r="R223" s="52">
        <f t="shared" si="68"/>
        <v>12.97</v>
      </c>
      <c r="S223" s="52">
        <f t="shared" si="68"/>
        <v>12.44</v>
      </c>
      <c r="T223" s="52">
        <f t="shared" si="68"/>
        <v>12.44</v>
      </c>
      <c r="U223" s="52">
        <f t="shared" si="68"/>
        <v>12.44</v>
      </c>
      <c r="V223" s="52">
        <f t="shared" si="68"/>
        <v>12.44</v>
      </c>
      <c r="W223" s="52">
        <f t="shared" si="68"/>
        <v>12.44</v>
      </c>
      <c r="X223" s="52">
        <f t="shared" si="68"/>
        <v>9.3699999999999992</v>
      </c>
      <c r="Y223" s="52">
        <f t="shared" si="68"/>
        <v>9.3699999999999992</v>
      </c>
      <c r="Z223" s="52">
        <f t="shared" si="68"/>
        <v>9.3699999999999992</v>
      </c>
      <c r="AA223" s="52">
        <f t="shared" si="68"/>
        <v>9.3699999999999992</v>
      </c>
      <c r="AB223" s="52">
        <f t="shared" si="68"/>
        <v>9.3699999999999992</v>
      </c>
      <c r="AC223" s="52">
        <f t="shared" si="68"/>
        <v>9.3699999999999992</v>
      </c>
      <c r="AD223" s="52">
        <f t="shared" si="68"/>
        <v>9.3699999999999992</v>
      </c>
      <c r="AE223" s="52">
        <f t="shared" si="68"/>
        <v>9.3699999999999992</v>
      </c>
      <c r="AF223" s="52">
        <f t="shared" si="68"/>
        <v>9.3699999999999992</v>
      </c>
    </row>
    <row r="224" spans="4:32" ht="6" customHeight="1">
      <c r="D224" s="2"/>
      <c r="H224" s="29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</row>
    <row r="225" spans="4:32">
      <c r="D225" t="s">
        <v>205</v>
      </c>
      <c r="G225" t="s">
        <v>8</v>
      </c>
      <c r="H225" s="49">
        <f t="shared" ref="H225" si="69">SUM(I225:AF225)</f>
        <v>131507</v>
      </c>
      <c r="I225" s="64">
        <f>I216</f>
        <v>5462</v>
      </c>
      <c r="J225" s="64">
        <f t="shared" ref="J225:AF225" si="70">J216</f>
        <v>5490</v>
      </c>
      <c r="K225" s="64">
        <f t="shared" si="70"/>
        <v>5475</v>
      </c>
      <c r="L225" s="64">
        <f t="shared" si="70"/>
        <v>5475</v>
      </c>
      <c r="M225" s="64">
        <f t="shared" si="70"/>
        <v>5505</v>
      </c>
      <c r="N225" s="64">
        <f t="shared" si="70"/>
        <v>5490</v>
      </c>
      <c r="O225" s="64">
        <f t="shared" si="70"/>
        <v>5475</v>
      </c>
      <c r="P225" s="64">
        <f t="shared" si="70"/>
        <v>5475</v>
      </c>
      <c r="Q225" s="64">
        <f t="shared" si="70"/>
        <v>5475</v>
      </c>
      <c r="R225" s="64">
        <f t="shared" si="70"/>
        <v>5490</v>
      </c>
      <c r="S225" s="64">
        <f t="shared" si="70"/>
        <v>5475</v>
      </c>
      <c r="T225" s="64">
        <f t="shared" si="70"/>
        <v>5475</v>
      </c>
      <c r="U225" s="64">
        <f t="shared" si="70"/>
        <v>5475</v>
      </c>
      <c r="V225" s="64">
        <f t="shared" si="70"/>
        <v>5490</v>
      </c>
      <c r="W225" s="64">
        <f t="shared" si="70"/>
        <v>5475</v>
      </c>
      <c r="X225" s="64">
        <f t="shared" si="70"/>
        <v>5475</v>
      </c>
      <c r="Y225" s="64">
        <f t="shared" si="70"/>
        <v>5475</v>
      </c>
      <c r="Z225" s="64">
        <f t="shared" si="70"/>
        <v>5490</v>
      </c>
      <c r="AA225" s="64">
        <f t="shared" si="70"/>
        <v>5475</v>
      </c>
      <c r="AB225" s="64">
        <f t="shared" si="70"/>
        <v>5475</v>
      </c>
      <c r="AC225" s="64">
        <f t="shared" si="70"/>
        <v>5475</v>
      </c>
      <c r="AD225" s="64">
        <f t="shared" si="70"/>
        <v>5490</v>
      </c>
      <c r="AE225" s="64">
        <f t="shared" si="70"/>
        <v>5475</v>
      </c>
      <c r="AF225" s="64">
        <f t="shared" si="70"/>
        <v>5475</v>
      </c>
    </row>
    <row r="226" spans="4:32">
      <c r="D226" s="5" t="s">
        <v>79</v>
      </c>
      <c r="E226" s="5"/>
      <c r="F226" s="5"/>
      <c r="G226" s="5" t="s">
        <v>206</v>
      </c>
      <c r="H226" s="51">
        <f>IF(SUM(I225:AF225)&lt;&gt;0,SUMPRODUCT(I225:AF225,I226:AF226)/SUM(I225:AF225),0)</f>
        <v>12.152336985863871</v>
      </c>
      <c r="I226" s="53">
        <f>I223</f>
        <v>17.690000000000001</v>
      </c>
      <c r="J226" s="53">
        <f t="shared" ref="J226:AF226" si="71">J223</f>
        <v>16.32</v>
      </c>
      <c r="K226" s="53">
        <f t="shared" si="71"/>
        <v>15.09</v>
      </c>
      <c r="L226" s="53">
        <f t="shared" si="71"/>
        <v>15.770000000000001</v>
      </c>
      <c r="M226" s="53">
        <f t="shared" si="71"/>
        <v>15.399999999999999</v>
      </c>
      <c r="N226" s="53">
        <f t="shared" si="71"/>
        <v>12.97</v>
      </c>
      <c r="O226" s="53">
        <f t="shared" si="71"/>
        <v>12.97</v>
      </c>
      <c r="P226" s="53">
        <f t="shared" si="71"/>
        <v>12.97</v>
      </c>
      <c r="Q226" s="53">
        <f t="shared" si="71"/>
        <v>12.97</v>
      </c>
      <c r="R226" s="53">
        <f t="shared" si="71"/>
        <v>12.97</v>
      </c>
      <c r="S226" s="53">
        <f t="shared" si="71"/>
        <v>12.44</v>
      </c>
      <c r="T226" s="53">
        <f t="shared" si="71"/>
        <v>12.44</v>
      </c>
      <c r="U226" s="53">
        <f t="shared" si="71"/>
        <v>12.44</v>
      </c>
      <c r="V226" s="53">
        <f t="shared" si="71"/>
        <v>12.44</v>
      </c>
      <c r="W226" s="53">
        <f t="shared" si="71"/>
        <v>12.44</v>
      </c>
      <c r="X226" s="53">
        <f t="shared" si="71"/>
        <v>9.3699999999999992</v>
      </c>
      <c r="Y226" s="53">
        <f t="shared" si="71"/>
        <v>9.3699999999999992</v>
      </c>
      <c r="Z226" s="53">
        <f t="shared" si="71"/>
        <v>9.3699999999999992</v>
      </c>
      <c r="AA226" s="53">
        <f t="shared" si="71"/>
        <v>9.3699999999999992</v>
      </c>
      <c r="AB226" s="53">
        <f t="shared" si="71"/>
        <v>9.3699999999999992</v>
      </c>
      <c r="AC226" s="53">
        <f t="shared" si="71"/>
        <v>9.3699999999999992</v>
      </c>
      <c r="AD226" s="53">
        <f t="shared" si="71"/>
        <v>9.3699999999999992</v>
      </c>
      <c r="AE226" s="53">
        <f t="shared" si="71"/>
        <v>9.3699999999999992</v>
      </c>
      <c r="AF226" s="53">
        <f t="shared" si="71"/>
        <v>9.3699999999999992</v>
      </c>
    </row>
    <row r="227" spans="4:32">
      <c r="D227" t="s">
        <v>79</v>
      </c>
      <c r="G227" t="s">
        <v>90</v>
      </c>
      <c r="H227" s="48">
        <f t="shared" ref="H227" si="72">SUM(I227:AF227)</f>
        <v>1598.1173799999992</v>
      </c>
      <c r="I227" s="52">
        <f>I225*I226/1000</f>
        <v>96.62278000000002</v>
      </c>
      <c r="J227" s="52">
        <f t="shared" ref="J227:AF227" si="73">J225*J226/1000</f>
        <v>89.596800000000002</v>
      </c>
      <c r="K227" s="52">
        <f t="shared" si="73"/>
        <v>82.617750000000001</v>
      </c>
      <c r="L227" s="52">
        <f t="shared" si="73"/>
        <v>86.340750000000014</v>
      </c>
      <c r="M227" s="52">
        <f t="shared" si="73"/>
        <v>84.776999999999987</v>
      </c>
      <c r="N227" s="52">
        <f t="shared" si="73"/>
        <v>71.205300000000008</v>
      </c>
      <c r="O227" s="52">
        <f t="shared" si="73"/>
        <v>71.010750000000002</v>
      </c>
      <c r="P227" s="52">
        <f t="shared" si="73"/>
        <v>71.010750000000002</v>
      </c>
      <c r="Q227" s="52">
        <f t="shared" si="73"/>
        <v>71.010750000000002</v>
      </c>
      <c r="R227" s="52">
        <f t="shared" si="73"/>
        <v>71.205300000000008</v>
      </c>
      <c r="S227" s="52">
        <f t="shared" si="73"/>
        <v>68.108999999999995</v>
      </c>
      <c r="T227" s="52">
        <f t="shared" si="73"/>
        <v>68.108999999999995</v>
      </c>
      <c r="U227" s="52">
        <f t="shared" si="73"/>
        <v>68.108999999999995</v>
      </c>
      <c r="V227" s="52">
        <f t="shared" si="73"/>
        <v>68.295599999999993</v>
      </c>
      <c r="W227" s="52">
        <f t="shared" si="73"/>
        <v>68.108999999999995</v>
      </c>
      <c r="X227" s="52">
        <f t="shared" si="73"/>
        <v>51.300749999999994</v>
      </c>
      <c r="Y227" s="52">
        <f t="shared" si="73"/>
        <v>51.300749999999994</v>
      </c>
      <c r="Z227" s="52">
        <f t="shared" si="73"/>
        <v>51.441299999999998</v>
      </c>
      <c r="AA227" s="52">
        <f t="shared" si="73"/>
        <v>51.300749999999994</v>
      </c>
      <c r="AB227" s="52">
        <f t="shared" si="73"/>
        <v>51.300749999999994</v>
      </c>
      <c r="AC227" s="52">
        <f t="shared" si="73"/>
        <v>51.300749999999994</v>
      </c>
      <c r="AD227" s="52">
        <f t="shared" si="73"/>
        <v>51.441299999999998</v>
      </c>
      <c r="AE227" s="52">
        <f t="shared" si="73"/>
        <v>51.300749999999994</v>
      </c>
      <c r="AF227" s="52">
        <f t="shared" si="73"/>
        <v>51.300749999999994</v>
      </c>
    </row>
    <row r="228" spans="4:32" ht="6" customHeight="1">
      <c r="D228" s="2"/>
      <c r="H228" s="29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</row>
    <row r="229" spans="4:32">
      <c r="D229" s="28" t="s">
        <v>207</v>
      </c>
      <c r="H229" s="29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</row>
    <row r="230" spans="4:32">
      <c r="D230" t="s">
        <v>114</v>
      </c>
      <c r="G230" t="s">
        <v>8</v>
      </c>
      <c r="H230" s="48">
        <f t="shared" ref="H230:H232" si="74">SUM(I230:AF230)</f>
        <v>1534</v>
      </c>
      <c r="I230" s="52">
        <f t="shared" ref="I230:AF230" si="75">I47</f>
        <v>511</v>
      </c>
      <c r="J230" s="52">
        <f t="shared" si="75"/>
        <v>512</v>
      </c>
      <c r="K230" s="52">
        <f t="shared" si="75"/>
        <v>511</v>
      </c>
      <c r="L230" s="52">
        <f t="shared" si="75"/>
        <v>0</v>
      </c>
      <c r="M230" s="52">
        <f t="shared" si="75"/>
        <v>0</v>
      </c>
      <c r="N230" s="52">
        <f t="shared" si="75"/>
        <v>0</v>
      </c>
      <c r="O230" s="52">
        <f t="shared" si="75"/>
        <v>0</v>
      </c>
      <c r="P230" s="52">
        <f t="shared" si="75"/>
        <v>0</v>
      </c>
      <c r="Q230" s="52">
        <f t="shared" si="75"/>
        <v>0</v>
      </c>
      <c r="R230" s="52">
        <f t="shared" si="75"/>
        <v>0</v>
      </c>
      <c r="S230" s="52">
        <f t="shared" si="75"/>
        <v>0</v>
      </c>
      <c r="T230" s="52">
        <f t="shared" si="75"/>
        <v>0</v>
      </c>
      <c r="U230" s="52">
        <f t="shared" si="75"/>
        <v>0</v>
      </c>
      <c r="V230" s="52">
        <f t="shared" si="75"/>
        <v>0</v>
      </c>
      <c r="W230" s="52">
        <f t="shared" si="75"/>
        <v>0</v>
      </c>
      <c r="X230" s="52">
        <f t="shared" si="75"/>
        <v>0</v>
      </c>
      <c r="Y230" s="52">
        <f t="shared" si="75"/>
        <v>0</v>
      </c>
      <c r="Z230" s="52">
        <f t="shared" si="75"/>
        <v>0</v>
      </c>
      <c r="AA230" s="52">
        <f t="shared" si="75"/>
        <v>0</v>
      </c>
      <c r="AB230" s="52">
        <f t="shared" si="75"/>
        <v>0</v>
      </c>
      <c r="AC230" s="52">
        <f t="shared" si="75"/>
        <v>0</v>
      </c>
      <c r="AD230" s="52">
        <f t="shared" si="75"/>
        <v>0</v>
      </c>
      <c r="AE230" s="52">
        <f t="shared" si="75"/>
        <v>0</v>
      </c>
      <c r="AF230" s="52">
        <f t="shared" si="75"/>
        <v>0</v>
      </c>
    </row>
    <row r="231" spans="4:32">
      <c r="D231" s="5" t="s">
        <v>115</v>
      </c>
      <c r="E231" s="5"/>
      <c r="F231" s="5"/>
      <c r="G231" s="5" t="s">
        <v>8</v>
      </c>
      <c r="H231" s="51">
        <f t="shared" si="74"/>
        <v>15263</v>
      </c>
      <c r="I231" s="53">
        <f t="shared" ref="I231:AF231" si="76">I104</f>
        <v>1312</v>
      </c>
      <c r="J231" s="53">
        <f t="shared" si="76"/>
        <v>1329</v>
      </c>
      <c r="K231" s="53">
        <f t="shared" si="76"/>
        <v>1327</v>
      </c>
      <c r="L231" s="53">
        <f t="shared" si="76"/>
        <v>1348</v>
      </c>
      <c r="M231" s="53">
        <f t="shared" si="76"/>
        <v>1358</v>
      </c>
      <c r="N231" s="53">
        <f t="shared" si="76"/>
        <v>1354</v>
      </c>
      <c r="O231" s="53">
        <f t="shared" si="76"/>
        <v>1351</v>
      </c>
      <c r="P231" s="53">
        <f t="shared" si="76"/>
        <v>1351</v>
      </c>
      <c r="Q231" s="53">
        <f t="shared" si="76"/>
        <v>1351</v>
      </c>
      <c r="R231" s="53">
        <f t="shared" si="76"/>
        <v>1351</v>
      </c>
      <c r="S231" s="53">
        <f t="shared" si="76"/>
        <v>1351</v>
      </c>
      <c r="T231" s="53">
        <f t="shared" si="76"/>
        <v>480</v>
      </c>
      <c r="U231" s="53">
        <f t="shared" si="76"/>
        <v>0</v>
      </c>
      <c r="V231" s="53">
        <f t="shared" si="76"/>
        <v>0</v>
      </c>
      <c r="W231" s="53">
        <f t="shared" si="76"/>
        <v>0</v>
      </c>
      <c r="X231" s="53">
        <f t="shared" si="76"/>
        <v>0</v>
      </c>
      <c r="Y231" s="53">
        <f t="shared" si="76"/>
        <v>0</v>
      </c>
      <c r="Z231" s="53">
        <f t="shared" si="76"/>
        <v>0</v>
      </c>
      <c r="AA231" s="53">
        <f t="shared" si="76"/>
        <v>0</v>
      </c>
      <c r="AB231" s="53">
        <f t="shared" si="76"/>
        <v>0</v>
      </c>
      <c r="AC231" s="53">
        <f t="shared" si="76"/>
        <v>0</v>
      </c>
      <c r="AD231" s="53">
        <f t="shared" si="76"/>
        <v>0</v>
      </c>
      <c r="AE231" s="53">
        <f t="shared" si="76"/>
        <v>0</v>
      </c>
      <c r="AF231" s="53">
        <f t="shared" si="76"/>
        <v>0</v>
      </c>
    </row>
    <row r="232" spans="4:32">
      <c r="D232" t="s">
        <v>208</v>
      </c>
      <c r="G232" t="s">
        <v>8</v>
      </c>
      <c r="H232" s="48">
        <f t="shared" si="74"/>
        <v>16797</v>
      </c>
      <c r="I232" s="52">
        <f>I230+I231</f>
        <v>1823</v>
      </c>
      <c r="J232" s="52">
        <f t="shared" ref="J232:AF232" si="77">J230+J231</f>
        <v>1841</v>
      </c>
      <c r="K232" s="52">
        <f t="shared" si="77"/>
        <v>1838</v>
      </c>
      <c r="L232" s="52">
        <f t="shared" si="77"/>
        <v>1348</v>
      </c>
      <c r="M232" s="52">
        <f t="shared" si="77"/>
        <v>1358</v>
      </c>
      <c r="N232" s="52">
        <f t="shared" si="77"/>
        <v>1354</v>
      </c>
      <c r="O232" s="52">
        <f t="shared" si="77"/>
        <v>1351</v>
      </c>
      <c r="P232" s="52">
        <f t="shared" si="77"/>
        <v>1351</v>
      </c>
      <c r="Q232" s="52">
        <f t="shared" si="77"/>
        <v>1351</v>
      </c>
      <c r="R232" s="52">
        <f t="shared" si="77"/>
        <v>1351</v>
      </c>
      <c r="S232" s="52">
        <f t="shared" si="77"/>
        <v>1351</v>
      </c>
      <c r="T232" s="52">
        <f t="shared" si="77"/>
        <v>480</v>
      </c>
      <c r="U232" s="52">
        <f t="shared" si="77"/>
        <v>0</v>
      </c>
      <c r="V232" s="52">
        <f t="shared" si="77"/>
        <v>0</v>
      </c>
      <c r="W232" s="52">
        <f t="shared" si="77"/>
        <v>0</v>
      </c>
      <c r="X232" s="52">
        <f t="shared" si="77"/>
        <v>0</v>
      </c>
      <c r="Y232" s="52">
        <f t="shared" si="77"/>
        <v>0</v>
      </c>
      <c r="Z232" s="52">
        <f t="shared" si="77"/>
        <v>0</v>
      </c>
      <c r="AA232" s="52">
        <f t="shared" si="77"/>
        <v>0</v>
      </c>
      <c r="AB232" s="52">
        <f t="shared" si="77"/>
        <v>0</v>
      </c>
      <c r="AC232" s="52">
        <f t="shared" si="77"/>
        <v>0</v>
      </c>
      <c r="AD232" s="52">
        <f t="shared" si="77"/>
        <v>0</v>
      </c>
      <c r="AE232" s="52">
        <f t="shared" si="77"/>
        <v>0</v>
      </c>
      <c r="AF232" s="52">
        <f t="shared" si="77"/>
        <v>0</v>
      </c>
    </row>
    <row r="233" spans="4:32" ht="6" customHeight="1">
      <c r="D233" s="2"/>
      <c r="H233" s="29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</row>
    <row r="234" spans="4:32">
      <c r="D234" t="s">
        <v>195</v>
      </c>
      <c r="G234" t="s">
        <v>204</v>
      </c>
      <c r="H234" s="48">
        <f>IF(SUM(I231:AF231)&lt;&gt;0,SUMPRODUCT(I231:AF231,I234:AF234)/SUM(I231:AF231),0)</f>
        <v>1.720342003537968</v>
      </c>
      <c r="I234" s="65">
        <f>'Candelaria Inputs'!I438</f>
        <v>1.53</v>
      </c>
      <c r="J234" s="65">
        <f>'Candelaria Inputs'!J438</f>
        <v>1.65</v>
      </c>
      <c r="K234" s="65">
        <f>'Candelaria Inputs'!K438</f>
        <v>1.72</v>
      </c>
      <c r="L234" s="65">
        <f>'Candelaria Inputs'!L438</f>
        <v>2.25</v>
      </c>
      <c r="M234" s="65">
        <f>'Candelaria Inputs'!M438</f>
        <v>2.16</v>
      </c>
      <c r="N234" s="65">
        <f>'Candelaria Inputs'!N438</f>
        <v>1.58</v>
      </c>
      <c r="O234" s="65">
        <f>'Candelaria Inputs'!O438</f>
        <v>1.58</v>
      </c>
      <c r="P234" s="65">
        <f>'Candelaria Inputs'!P438</f>
        <v>1.58</v>
      </c>
      <c r="Q234" s="65">
        <f>'Candelaria Inputs'!Q438</f>
        <v>1.58</v>
      </c>
      <c r="R234" s="65">
        <f>'Candelaria Inputs'!R438</f>
        <v>1.58</v>
      </c>
      <c r="S234" s="65">
        <f>'Candelaria Inputs'!S438</f>
        <v>1.71</v>
      </c>
      <c r="T234" s="65">
        <f>'Candelaria Inputs'!T438</f>
        <v>1.71</v>
      </c>
      <c r="U234" s="65">
        <f>'Candelaria Inputs'!U438</f>
        <v>1.71</v>
      </c>
      <c r="V234" s="65">
        <f>'Candelaria Inputs'!V438</f>
        <v>1.71</v>
      </c>
      <c r="W234" s="65">
        <f>'Candelaria Inputs'!W438</f>
        <v>1.71</v>
      </c>
      <c r="X234" s="65">
        <f>'Candelaria Inputs'!X438</f>
        <v>0</v>
      </c>
      <c r="Y234" s="65">
        <f>'Candelaria Inputs'!Y438</f>
        <v>0</v>
      </c>
      <c r="Z234" s="65">
        <f>'Candelaria Inputs'!Z438</f>
        <v>0</v>
      </c>
      <c r="AA234" s="65">
        <f>'Candelaria Inputs'!AA438</f>
        <v>0</v>
      </c>
      <c r="AB234" s="65">
        <f>'Candelaria Inputs'!AB438</f>
        <v>0</v>
      </c>
      <c r="AC234" s="65">
        <f>'Candelaria Inputs'!AC438</f>
        <v>0</v>
      </c>
      <c r="AD234" s="65">
        <f>'Candelaria Inputs'!AD438</f>
        <v>0</v>
      </c>
      <c r="AE234" s="65">
        <f>'Candelaria Inputs'!AE438</f>
        <v>0</v>
      </c>
      <c r="AF234" s="65">
        <f>'Candelaria Inputs'!AF438</f>
        <v>0</v>
      </c>
    </row>
    <row r="235" spans="4:32">
      <c r="D235" t="s">
        <v>196</v>
      </c>
      <c r="G235" t="s">
        <v>204</v>
      </c>
      <c r="H235" s="48">
        <f>IF(SUM(I231:AF231)&lt;&gt;0,SUMPRODUCT(I231:AF231,I235:AF235)/SUM(I231:AF231),0)</f>
        <v>14.104527943392521</v>
      </c>
      <c r="I235" s="65">
        <f>'Candelaria Inputs'!I445</f>
        <v>19.78</v>
      </c>
      <c r="J235" s="65">
        <f>'Candelaria Inputs'!J445</f>
        <v>18.52</v>
      </c>
      <c r="K235" s="65">
        <f>'Candelaria Inputs'!K445</f>
        <v>16.489999999999998</v>
      </c>
      <c r="L235" s="65">
        <f>'Candelaria Inputs'!L445</f>
        <v>15.96</v>
      </c>
      <c r="M235" s="65">
        <f>'Candelaria Inputs'!M445</f>
        <v>15.82</v>
      </c>
      <c r="N235" s="65">
        <f>'Candelaria Inputs'!N445</f>
        <v>12.41</v>
      </c>
      <c r="O235" s="65">
        <f>'Candelaria Inputs'!O445</f>
        <v>12.41</v>
      </c>
      <c r="P235" s="65">
        <f>'Candelaria Inputs'!P445</f>
        <v>12.41</v>
      </c>
      <c r="Q235" s="65">
        <f>'Candelaria Inputs'!Q445</f>
        <v>12.41</v>
      </c>
      <c r="R235" s="65">
        <f>'Candelaria Inputs'!R445</f>
        <v>12.41</v>
      </c>
      <c r="S235" s="65">
        <f>'Candelaria Inputs'!S445</f>
        <v>8.7200000000000006</v>
      </c>
      <c r="T235" s="65">
        <f>'Candelaria Inputs'!T445</f>
        <v>8.7200000000000006</v>
      </c>
      <c r="U235" s="65">
        <f>'Candelaria Inputs'!U445</f>
        <v>8.7200000000000006</v>
      </c>
      <c r="V235" s="65">
        <f>'Candelaria Inputs'!V445</f>
        <v>8.7200000000000006</v>
      </c>
      <c r="W235" s="65">
        <f>'Candelaria Inputs'!W445</f>
        <v>8.7200000000000006</v>
      </c>
      <c r="X235" s="65">
        <f>'Candelaria Inputs'!X445</f>
        <v>0</v>
      </c>
      <c r="Y235" s="65">
        <f>'Candelaria Inputs'!Y445</f>
        <v>0</v>
      </c>
      <c r="Z235" s="65">
        <f>'Candelaria Inputs'!Z445</f>
        <v>0</v>
      </c>
      <c r="AA235" s="65">
        <f>'Candelaria Inputs'!AA445</f>
        <v>0</v>
      </c>
      <c r="AB235" s="65">
        <f>'Candelaria Inputs'!AB445</f>
        <v>0</v>
      </c>
      <c r="AC235" s="65">
        <f>'Candelaria Inputs'!AC445</f>
        <v>0</v>
      </c>
      <c r="AD235" s="65">
        <f>'Candelaria Inputs'!AD445</f>
        <v>0</v>
      </c>
      <c r="AE235" s="65">
        <f>'Candelaria Inputs'!AE445</f>
        <v>0</v>
      </c>
      <c r="AF235" s="65">
        <f>'Candelaria Inputs'!AF445</f>
        <v>0</v>
      </c>
    </row>
    <row r="236" spans="4:32">
      <c r="D236" t="s">
        <v>197</v>
      </c>
      <c r="G236" t="s">
        <v>204</v>
      </c>
      <c r="H236" s="48">
        <f>IF(SUM(I231:AF231)&lt;&gt;0,SUMPRODUCT(I231:AF231,I236:AF236)/SUM(I231:AF231),0)</f>
        <v>1.4111491843019066</v>
      </c>
      <c r="I236" s="65">
        <f>'Candelaria Inputs'!I452</f>
        <v>1.49</v>
      </c>
      <c r="J236" s="65">
        <f>'Candelaria Inputs'!J452</f>
        <v>1.47</v>
      </c>
      <c r="K236" s="65">
        <f>'Candelaria Inputs'!K452</f>
        <v>1.47</v>
      </c>
      <c r="L236" s="65">
        <f>'Candelaria Inputs'!L452</f>
        <v>1.71</v>
      </c>
      <c r="M236" s="65">
        <f>'Candelaria Inputs'!M452</f>
        <v>1.7</v>
      </c>
      <c r="N236" s="65">
        <f>'Candelaria Inputs'!N452</f>
        <v>1.38</v>
      </c>
      <c r="O236" s="65">
        <f>'Candelaria Inputs'!O452</f>
        <v>1.38</v>
      </c>
      <c r="P236" s="65">
        <f>'Candelaria Inputs'!P452</f>
        <v>1.38</v>
      </c>
      <c r="Q236" s="65">
        <f>'Candelaria Inputs'!Q452</f>
        <v>1.38</v>
      </c>
      <c r="R236" s="65">
        <f>'Candelaria Inputs'!R452</f>
        <v>1.38</v>
      </c>
      <c r="S236" s="65">
        <f>'Candelaria Inputs'!S452</f>
        <v>0.95</v>
      </c>
      <c r="T236" s="65">
        <f>'Candelaria Inputs'!T452</f>
        <v>0.95</v>
      </c>
      <c r="U236" s="65">
        <f>'Candelaria Inputs'!U452</f>
        <v>0.95</v>
      </c>
      <c r="V236" s="65">
        <f>'Candelaria Inputs'!V452</f>
        <v>0.95</v>
      </c>
      <c r="W236" s="65">
        <f>'Candelaria Inputs'!W452</f>
        <v>0.95</v>
      </c>
      <c r="X236" s="65">
        <f>'Candelaria Inputs'!X452</f>
        <v>0</v>
      </c>
      <c r="Y236" s="65">
        <f>'Candelaria Inputs'!Y452</f>
        <v>0</v>
      </c>
      <c r="Z236" s="65">
        <f>'Candelaria Inputs'!Z452</f>
        <v>0</v>
      </c>
      <c r="AA236" s="65">
        <f>'Candelaria Inputs'!AA452</f>
        <v>0</v>
      </c>
      <c r="AB236" s="65">
        <f>'Candelaria Inputs'!AB452</f>
        <v>0</v>
      </c>
      <c r="AC236" s="65">
        <f>'Candelaria Inputs'!AC452</f>
        <v>0</v>
      </c>
      <c r="AD236" s="65">
        <f>'Candelaria Inputs'!AD452</f>
        <v>0</v>
      </c>
      <c r="AE236" s="65">
        <f>'Candelaria Inputs'!AE452</f>
        <v>0</v>
      </c>
      <c r="AF236" s="65">
        <f>'Candelaria Inputs'!AF452</f>
        <v>0</v>
      </c>
    </row>
    <row r="237" spans="4:32">
      <c r="D237" t="s">
        <v>198</v>
      </c>
      <c r="G237" t="s">
        <v>204</v>
      </c>
      <c r="H237" s="48">
        <f>IF(SUM(I231:AF231)&lt;&gt;0,SUMPRODUCT(I231:AF231,I237:AF237)/SUM(I231:AF231),0)</f>
        <v>0.92401362772718343</v>
      </c>
      <c r="I237" s="65">
        <f>'Candelaria Inputs'!I459</f>
        <v>0.87</v>
      </c>
      <c r="J237" s="65">
        <f>'Candelaria Inputs'!J459</f>
        <v>0.82</v>
      </c>
      <c r="K237" s="65">
        <f>'Candelaria Inputs'!K459</f>
        <v>0.82</v>
      </c>
      <c r="L237" s="65">
        <f>'Candelaria Inputs'!L459</f>
        <v>1.1200000000000001</v>
      </c>
      <c r="M237" s="65">
        <f>'Candelaria Inputs'!M459</f>
        <v>1.1100000000000001</v>
      </c>
      <c r="N237" s="65">
        <f>'Candelaria Inputs'!N459</f>
        <v>0.9</v>
      </c>
      <c r="O237" s="65">
        <f>'Candelaria Inputs'!O459</f>
        <v>0.9</v>
      </c>
      <c r="P237" s="65">
        <f>'Candelaria Inputs'!P459</f>
        <v>0.9</v>
      </c>
      <c r="Q237" s="65">
        <f>'Candelaria Inputs'!Q459</f>
        <v>0.9</v>
      </c>
      <c r="R237" s="65">
        <f>'Candelaria Inputs'!R459</f>
        <v>0.9</v>
      </c>
      <c r="S237" s="65">
        <f>'Candelaria Inputs'!S459</f>
        <v>0.92</v>
      </c>
      <c r="T237" s="65">
        <f>'Candelaria Inputs'!T459</f>
        <v>0.92</v>
      </c>
      <c r="U237" s="65">
        <f>'Candelaria Inputs'!U459</f>
        <v>0.92</v>
      </c>
      <c r="V237" s="65">
        <f>'Candelaria Inputs'!V459</f>
        <v>0.92</v>
      </c>
      <c r="W237" s="65">
        <f>'Candelaria Inputs'!W459</f>
        <v>0.92</v>
      </c>
      <c r="X237" s="65">
        <f>'Candelaria Inputs'!X459</f>
        <v>0</v>
      </c>
      <c r="Y237" s="65">
        <f>'Candelaria Inputs'!Y459</f>
        <v>0</v>
      </c>
      <c r="Z237" s="65">
        <f>'Candelaria Inputs'!Z459</f>
        <v>0</v>
      </c>
      <c r="AA237" s="65">
        <f>'Candelaria Inputs'!AA459</f>
        <v>0</v>
      </c>
      <c r="AB237" s="65">
        <f>'Candelaria Inputs'!AB459</f>
        <v>0</v>
      </c>
      <c r="AC237" s="65">
        <f>'Candelaria Inputs'!AC459</f>
        <v>0</v>
      </c>
      <c r="AD237" s="65">
        <f>'Candelaria Inputs'!AD459</f>
        <v>0</v>
      </c>
      <c r="AE237" s="65">
        <f>'Candelaria Inputs'!AE459</f>
        <v>0</v>
      </c>
      <c r="AF237" s="65">
        <f>'Candelaria Inputs'!AF459</f>
        <v>0</v>
      </c>
    </row>
    <row r="238" spans="4:32">
      <c r="D238" s="5" t="s">
        <v>199</v>
      </c>
      <c r="E238" s="5"/>
      <c r="F238" s="5"/>
      <c r="G238" s="5" t="s">
        <v>204</v>
      </c>
      <c r="H238" s="51">
        <f>IF(SUM(I231:AF231)&lt;&gt;0,SUMPRODUCT(I231:AF231,I238:AF238)/SUM(I231:AF231),0)</f>
        <v>0.12371879709100439</v>
      </c>
      <c r="I238" s="54">
        <f>'Candelaria Inputs'!I466</f>
        <v>0.67</v>
      </c>
      <c r="J238" s="54">
        <f>'Candelaria Inputs'!J466</f>
        <v>0.38</v>
      </c>
      <c r="K238" s="54">
        <f>'Candelaria Inputs'!K466</f>
        <v>0.38</v>
      </c>
      <c r="L238" s="54">
        <f>'Candelaria Inputs'!L466</f>
        <v>0</v>
      </c>
      <c r="M238" s="54">
        <f>'Candelaria Inputs'!M466</f>
        <v>0</v>
      </c>
      <c r="N238" s="54">
        <f>'Candelaria Inputs'!N466</f>
        <v>0</v>
      </c>
      <c r="O238" s="54">
        <f>'Candelaria Inputs'!O466</f>
        <v>0</v>
      </c>
      <c r="P238" s="54">
        <f>'Candelaria Inputs'!P466</f>
        <v>0</v>
      </c>
      <c r="Q238" s="54">
        <f>'Candelaria Inputs'!Q466</f>
        <v>0</v>
      </c>
      <c r="R238" s="54">
        <f>'Candelaria Inputs'!R466</f>
        <v>0</v>
      </c>
      <c r="S238" s="54">
        <f>'Candelaria Inputs'!S466</f>
        <v>0</v>
      </c>
      <c r="T238" s="54">
        <f>'Candelaria Inputs'!T466</f>
        <v>0</v>
      </c>
      <c r="U238" s="54">
        <f>'Candelaria Inputs'!U466</f>
        <v>0</v>
      </c>
      <c r="V238" s="54">
        <f>'Candelaria Inputs'!V466</f>
        <v>0</v>
      </c>
      <c r="W238" s="54">
        <f>'Candelaria Inputs'!W466</f>
        <v>0</v>
      </c>
      <c r="X238" s="54">
        <f>'Candelaria Inputs'!X466</f>
        <v>0</v>
      </c>
      <c r="Y238" s="54">
        <f>'Candelaria Inputs'!Y466</f>
        <v>0</v>
      </c>
      <c r="Z238" s="54">
        <f>'Candelaria Inputs'!Z466</f>
        <v>0</v>
      </c>
      <c r="AA238" s="54">
        <f>'Candelaria Inputs'!AA466</f>
        <v>0</v>
      </c>
      <c r="AB238" s="54">
        <f>'Candelaria Inputs'!AB466</f>
        <v>0</v>
      </c>
      <c r="AC238" s="54">
        <f>'Candelaria Inputs'!AC466</f>
        <v>0</v>
      </c>
      <c r="AD238" s="54">
        <f>'Candelaria Inputs'!AD466</f>
        <v>0</v>
      </c>
      <c r="AE238" s="54">
        <f>'Candelaria Inputs'!AE466</f>
        <v>0</v>
      </c>
      <c r="AF238" s="54">
        <f>'Candelaria Inputs'!AF466</f>
        <v>0</v>
      </c>
    </row>
    <row r="239" spans="4:32">
      <c r="D239" t="s">
        <v>81</v>
      </c>
      <c r="G239" t="s">
        <v>204</v>
      </c>
      <c r="H239" s="48">
        <f>IF(SUM(I231:AF231)&lt;&gt;0,SUMPRODUCT(I231:AF231,I239:AF239)/SUM(I231:AF231),0)</f>
        <v>18.283751556050579</v>
      </c>
      <c r="I239" s="52">
        <f>SUM(I234:I238)</f>
        <v>24.340000000000003</v>
      </c>
      <c r="J239" s="52">
        <f t="shared" ref="J239:AF239" si="78">SUM(J234:J238)</f>
        <v>22.839999999999996</v>
      </c>
      <c r="K239" s="52">
        <f t="shared" si="78"/>
        <v>20.879999999999995</v>
      </c>
      <c r="L239" s="52">
        <f t="shared" si="78"/>
        <v>21.040000000000003</v>
      </c>
      <c r="M239" s="52">
        <f t="shared" si="78"/>
        <v>20.79</v>
      </c>
      <c r="N239" s="52">
        <f t="shared" si="78"/>
        <v>16.27</v>
      </c>
      <c r="O239" s="52">
        <f t="shared" si="78"/>
        <v>16.27</v>
      </c>
      <c r="P239" s="52">
        <f t="shared" si="78"/>
        <v>16.27</v>
      </c>
      <c r="Q239" s="52">
        <f t="shared" si="78"/>
        <v>16.27</v>
      </c>
      <c r="R239" s="52">
        <f t="shared" si="78"/>
        <v>16.27</v>
      </c>
      <c r="S239" s="52">
        <f t="shared" si="78"/>
        <v>12.299999999999999</v>
      </c>
      <c r="T239" s="52">
        <f t="shared" si="78"/>
        <v>12.299999999999999</v>
      </c>
      <c r="U239" s="52">
        <f t="shared" si="78"/>
        <v>12.299999999999999</v>
      </c>
      <c r="V239" s="52">
        <f t="shared" si="78"/>
        <v>12.299999999999999</v>
      </c>
      <c r="W239" s="52">
        <f t="shared" si="78"/>
        <v>12.299999999999999</v>
      </c>
      <c r="X239" s="52">
        <f t="shared" si="78"/>
        <v>0</v>
      </c>
      <c r="Y239" s="52">
        <f t="shared" si="78"/>
        <v>0</v>
      </c>
      <c r="Z239" s="52">
        <f t="shared" si="78"/>
        <v>0</v>
      </c>
      <c r="AA239" s="52">
        <f t="shared" si="78"/>
        <v>0</v>
      </c>
      <c r="AB239" s="52">
        <f t="shared" si="78"/>
        <v>0</v>
      </c>
      <c r="AC239" s="52">
        <f t="shared" si="78"/>
        <v>0</v>
      </c>
      <c r="AD239" s="52">
        <f t="shared" si="78"/>
        <v>0</v>
      </c>
      <c r="AE239" s="52">
        <f t="shared" si="78"/>
        <v>0</v>
      </c>
      <c r="AF239" s="52">
        <f t="shared" si="78"/>
        <v>0</v>
      </c>
    </row>
    <row r="240" spans="4:32" ht="6" customHeight="1">
      <c r="D240" s="2"/>
      <c r="H240" s="29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</row>
    <row r="241" spans="4:32">
      <c r="D241" t="s">
        <v>209</v>
      </c>
      <c r="G241" t="s">
        <v>8</v>
      </c>
      <c r="H241" s="48">
        <f t="shared" ref="H241" si="79">SUM(I241:AF241)</f>
        <v>16797</v>
      </c>
      <c r="I241" s="52">
        <f>I230+I231</f>
        <v>1823</v>
      </c>
      <c r="J241" s="52">
        <f t="shared" ref="J241:AF241" si="80">J230+J231</f>
        <v>1841</v>
      </c>
      <c r="K241" s="52">
        <f t="shared" si="80"/>
        <v>1838</v>
      </c>
      <c r="L241" s="52">
        <f t="shared" si="80"/>
        <v>1348</v>
      </c>
      <c r="M241" s="52">
        <f t="shared" si="80"/>
        <v>1358</v>
      </c>
      <c r="N241" s="52">
        <f t="shared" si="80"/>
        <v>1354</v>
      </c>
      <c r="O241" s="52">
        <f t="shared" si="80"/>
        <v>1351</v>
      </c>
      <c r="P241" s="52">
        <f t="shared" si="80"/>
        <v>1351</v>
      </c>
      <c r="Q241" s="52">
        <f t="shared" si="80"/>
        <v>1351</v>
      </c>
      <c r="R241" s="52">
        <f t="shared" si="80"/>
        <v>1351</v>
      </c>
      <c r="S241" s="52">
        <f t="shared" si="80"/>
        <v>1351</v>
      </c>
      <c r="T241" s="52">
        <f t="shared" si="80"/>
        <v>480</v>
      </c>
      <c r="U241" s="52">
        <f t="shared" si="80"/>
        <v>0</v>
      </c>
      <c r="V241" s="52">
        <f t="shared" si="80"/>
        <v>0</v>
      </c>
      <c r="W241" s="52">
        <f t="shared" si="80"/>
        <v>0</v>
      </c>
      <c r="X241" s="52">
        <f t="shared" si="80"/>
        <v>0</v>
      </c>
      <c r="Y241" s="52">
        <f t="shared" si="80"/>
        <v>0</v>
      </c>
      <c r="Z241" s="52">
        <f t="shared" si="80"/>
        <v>0</v>
      </c>
      <c r="AA241" s="52">
        <f t="shared" si="80"/>
        <v>0</v>
      </c>
      <c r="AB241" s="52">
        <f t="shared" si="80"/>
        <v>0</v>
      </c>
      <c r="AC241" s="52">
        <f t="shared" si="80"/>
        <v>0</v>
      </c>
      <c r="AD241" s="52">
        <f t="shared" si="80"/>
        <v>0</v>
      </c>
      <c r="AE241" s="52">
        <f t="shared" si="80"/>
        <v>0</v>
      </c>
      <c r="AF241" s="52">
        <f t="shared" si="80"/>
        <v>0</v>
      </c>
    </row>
    <row r="242" spans="4:32">
      <c r="D242" s="5" t="s">
        <v>81</v>
      </c>
      <c r="E242" s="5"/>
      <c r="F242" s="5"/>
      <c r="G242" s="5" t="s">
        <v>204</v>
      </c>
      <c r="H242" s="51">
        <f>IF(SUM(I241:AF241)&lt;&gt;0,SUMPRODUCT(I241:AF241,I242:AF242)/SUM(I241:AF241),0)</f>
        <v>18.685860570339944</v>
      </c>
      <c r="I242" s="53">
        <f>I239</f>
        <v>24.340000000000003</v>
      </c>
      <c r="J242" s="53">
        <f t="shared" ref="J242:AF242" si="81">J239</f>
        <v>22.839999999999996</v>
      </c>
      <c r="K242" s="53">
        <f t="shared" si="81"/>
        <v>20.879999999999995</v>
      </c>
      <c r="L242" s="53">
        <f t="shared" si="81"/>
        <v>21.040000000000003</v>
      </c>
      <c r="M242" s="53">
        <f t="shared" si="81"/>
        <v>20.79</v>
      </c>
      <c r="N242" s="53">
        <f t="shared" si="81"/>
        <v>16.27</v>
      </c>
      <c r="O242" s="53">
        <f t="shared" si="81"/>
        <v>16.27</v>
      </c>
      <c r="P242" s="53">
        <f t="shared" si="81"/>
        <v>16.27</v>
      </c>
      <c r="Q242" s="53">
        <f t="shared" si="81"/>
        <v>16.27</v>
      </c>
      <c r="R242" s="53">
        <f t="shared" si="81"/>
        <v>16.27</v>
      </c>
      <c r="S242" s="53">
        <f t="shared" si="81"/>
        <v>12.299999999999999</v>
      </c>
      <c r="T242" s="53">
        <f t="shared" si="81"/>
        <v>12.299999999999999</v>
      </c>
      <c r="U242" s="53">
        <f t="shared" si="81"/>
        <v>12.299999999999999</v>
      </c>
      <c r="V242" s="53">
        <f t="shared" si="81"/>
        <v>12.299999999999999</v>
      </c>
      <c r="W242" s="53">
        <f t="shared" si="81"/>
        <v>12.299999999999999</v>
      </c>
      <c r="X242" s="53">
        <f t="shared" si="81"/>
        <v>0</v>
      </c>
      <c r="Y242" s="53">
        <f t="shared" si="81"/>
        <v>0</v>
      </c>
      <c r="Z242" s="53">
        <f t="shared" si="81"/>
        <v>0</v>
      </c>
      <c r="AA242" s="53">
        <f t="shared" si="81"/>
        <v>0</v>
      </c>
      <c r="AB242" s="53">
        <f t="shared" si="81"/>
        <v>0</v>
      </c>
      <c r="AC242" s="53">
        <f t="shared" si="81"/>
        <v>0</v>
      </c>
      <c r="AD242" s="53">
        <f t="shared" si="81"/>
        <v>0</v>
      </c>
      <c r="AE242" s="53">
        <f t="shared" si="81"/>
        <v>0</v>
      </c>
      <c r="AF242" s="53">
        <f t="shared" si="81"/>
        <v>0</v>
      </c>
    </row>
    <row r="243" spans="4:32">
      <c r="D243" t="s">
        <v>81</v>
      </c>
      <c r="G243" t="s">
        <v>90</v>
      </c>
      <c r="H243" s="48">
        <f t="shared" ref="H243" si="82">SUM(I243:AF243)</f>
        <v>313.8664</v>
      </c>
      <c r="I243" s="52">
        <f>I241*I242/1000</f>
        <v>44.371820000000007</v>
      </c>
      <c r="J243" s="52">
        <f t="shared" ref="J243:AF243" si="83">J241*J242/1000</f>
        <v>42.048439999999992</v>
      </c>
      <c r="K243" s="52">
        <f t="shared" si="83"/>
        <v>38.377439999999993</v>
      </c>
      <c r="L243" s="52">
        <f t="shared" si="83"/>
        <v>28.361920000000001</v>
      </c>
      <c r="M243" s="52">
        <f t="shared" si="83"/>
        <v>28.23282</v>
      </c>
      <c r="N243" s="52">
        <f t="shared" si="83"/>
        <v>22.029579999999999</v>
      </c>
      <c r="O243" s="52">
        <f t="shared" si="83"/>
        <v>21.98077</v>
      </c>
      <c r="P243" s="52">
        <f t="shared" si="83"/>
        <v>21.98077</v>
      </c>
      <c r="Q243" s="52">
        <f t="shared" si="83"/>
        <v>21.98077</v>
      </c>
      <c r="R243" s="52">
        <f t="shared" si="83"/>
        <v>21.98077</v>
      </c>
      <c r="S243" s="52">
        <f t="shared" si="83"/>
        <v>16.6173</v>
      </c>
      <c r="T243" s="52">
        <f t="shared" si="83"/>
        <v>5.903999999999999</v>
      </c>
      <c r="U243" s="52">
        <f t="shared" si="83"/>
        <v>0</v>
      </c>
      <c r="V243" s="52">
        <f t="shared" si="83"/>
        <v>0</v>
      </c>
      <c r="W243" s="52">
        <f t="shared" si="83"/>
        <v>0</v>
      </c>
      <c r="X243" s="52">
        <f t="shared" si="83"/>
        <v>0</v>
      </c>
      <c r="Y243" s="52">
        <f t="shared" si="83"/>
        <v>0</v>
      </c>
      <c r="Z243" s="52">
        <f t="shared" si="83"/>
        <v>0</v>
      </c>
      <c r="AA243" s="52">
        <f t="shared" si="83"/>
        <v>0</v>
      </c>
      <c r="AB243" s="52">
        <f t="shared" si="83"/>
        <v>0</v>
      </c>
      <c r="AC243" s="52">
        <f t="shared" si="83"/>
        <v>0</v>
      </c>
      <c r="AD243" s="52">
        <f t="shared" si="83"/>
        <v>0</v>
      </c>
      <c r="AE243" s="52">
        <f t="shared" si="83"/>
        <v>0</v>
      </c>
      <c r="AF243" s="52">
        <f t="shared" si="83"/>
        <v>0</v>
      </c>
    </row>
    <row r="244" spans="4:32" ht="6" customHeight="1">
      <c r="D244" s="2"/>
      <c r="H244" s="29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</row>
    <row r="245" spans="4:32">
      <c r="D245" s="28" t="s">
        <v>189</v>
      </c>
      <c r="G245" s="21"/>
      <c r="H245" s="29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</row>
    <row r="246" spans="4:32">
      <c r="D246" t="s">
        <v>72</v>
      </c>
      <c r="G246" t="s">
        <v>90</v>
      </c>
      <c r="H246" s="48">
        <f>SUM(I246:AF246)</f>
        <v>3553.6875699999996</v>
      </c>
      <c r="I246" s="52">
        <f>I210</f>
        <v>343.41120000000001</v>
      </c>
      <c r="J246" s="52">
        <f t="shared" ref="J246:AF246" si="84">J210</f>
        <v>292.65585999999996</v>
      </c>
      <c r="K246" s="52">
        <f t="shared" si="84"/>
        <v>267.56484</v>
      </c>
      <c r="L246" s="52">
        <f t="shared" si="84"/>
        <v>248.98766999999998</v>
      </c>
      <c r="M246" s="52">
        <f t="shared" si="84"/>
        <v>231.19506000000007</v>
      </c>
      <c r="N246" s="52">
        <f t="shared" si="84"/>
        <v>263.55887999999999</v>
      </c>
      <c r="O246" s="52">
        <f t="shared" si="84"/>
        <v>248.09616</v>
      </c>
      <c r="P246" s="52">
        <f t="shared" si="84"/>
        <v>225.19120000000001</v>
      </c>
      <c r="Q246" s="52">
        <f t="shared" si="84"/>
        <v>188.61648000000002</v>
      </c>
      <c r="R246" s="52">
        <f t="shared" si="84"/>
        <v>157.17936</v>
      </c>
      <c r="S246" s="52">
        <f t="shared" si="84"/>
        <v>169.33707999999999</v>
      </c>
      <c r="T246" s="52">
        <f t="shared" si="84"/>
        <v>145.26050000000001</v>
      </c>
      <c r="U246" s="52">
        <f t="shared" si="84"/>
        <v>125.19628</v>
      </c>
      <c r="V246" s="52">
        <f t="shared" si="84"/>
        <v>110.67144</v>
      </c>
      <c r="W246" s="52">
        <f t="shared" si="84"/>
        <v>95.887659999999997</v>
      </c>
      <c r="X246" s="52">
        <f t="shared" si="84"/>
        <v>71.842799999999997</v>
      </c>
      <c r="Y246" s="52">
        <f t="shared" si="84"/>
        <v>66.064899999999994</v>
      </c>
      <c r="Z246" s="52">
        <f t="shared" si="84"/>
        <v>71.970099999999988</v>
      </c>
      <c r="AA246" s="52">
        <f t="shared" si="84"/>
        <v>56.245699999999999</v>
      </c>
      <c r="AB246" s="52">
        <f t="shared" si="84"/>
        <v>42.122999999999998</v>
      </c>
      <c r="AC246" s="52">
        <f t="shared" si="84"/>
        <v>42.122999999999998</v>
      </c>
      <c r="AD246" s="52">
        <f t="shared" si="84"/>
        <v>42.238900000000001</v>
      </c>
      <c r="AE246" s="52">
        <f t="shared" si="84"/>
        <v>42.122999999999998</v>
      </c>
      <c r="AF246" s="52">
        <f t="shared" si="84"/>
        <v>6.1464999999999996</v>
      </c>
    </row>
    <row r="247" spans="4:32">
      <c r="D247" t="s">
        <v>210</v>
      </c>
      <c r="G247" t="s">
        <v>90</v>
      </c>
      <c r="H247" s="48">
        <f>SUM(I247:AF247)</f>
        <v>1066</v>
      </c>
      <c r="I247" s="65">
        <f>'Candelaria Inputs'!I654</f>
        <v>185</v>
      </c>
      <c r="J247" s="65">
        <f>'Candelaria Inputs'!J654</f>
        <v>136</v>
      </c>
      <c r="K247" s="65">
        <f>'Candelaria Inputs'!K654</f>
        <v>87</v>
      </c>
      <c r="L247" s="65">
        <f>'Candelaria Inputs'!L654</f>
        <v>76</v>
      </c>
      <c r="M247" s="65">
        <f>'Candelaria Inputs'!M654</f>
        <v>94</v>
      </c>
      <c r="N247" s="65">
        <f>'Candelaria Inputs'!N654</f>
        <v>156.19377162629758</v>
      </c>
      <c r="O247" s="65">
        <f>'Candelaria Inputs'!O654</f>
        <v>114.82352941176471</v>
      </c>
      <c r="P247" s="65">
        <f>'Candelaria Inputs'!P654</f>
        <v>73.45328719723183</v>
      </c>
      <c r="Q247" s="65">
        <f>'Candelaria Inputs'!Q654</f>
        <v>64.166089965397916</v>
      </c>
      <c r="R247" s="65">
        <f>'Candelaria Inputs'!R654</f>
        <v>79.363321799307954</v>
      </c>
      <c r="S247" s="65">
        <f>'Candelaria Inputs'!S654</f>
        <v>0</v>
      </c>
      <c r="T247" s="65">
        <f>'Candelaria Inputs'!T654</f>
        <v>0</v>
      </c>
      <c r="U247" s="65">
        <f>'Candelaria Inputs'!U654</f>
        <v>0</v>
      </c>
      <c r="V247" s="65">
        <f>'Candelaria Inputs'!V654</f>
        <v>0</v>
      </c>
      <c r="W247" s="65">
        <f>'Candelaria Inputs'!W654</f>
        <v>0</v>
      </c>
      <c r="X247" s="65">
        <f>'Candelaria Inputs'!X654</f>
        <v>0</v>
      </c>
      <c r="Y247" s="65">
        <f>'Candelaria Inputs'!Y654</f>
        <v>0</v>
      </c>
      <c r="Z247" s="65">
        <f>'Candelaria Inputs'!Z654</f>
        <v>0</v>
      </c>
      <c r="AA247" s="65">
        <f>'Candelaria Inputs'!AA654</f>
        <v>0</v>
      </c>
      <c r="AB247" s="65">
        <f>'Candelaria Inputs'!AB654</f>
        <v>0</v>
      </c>
      <c r="AC247" s="65">
        <f>'Candelaria Inputs'!AC654</f>
        <v>0</v>
      </c>
      <c r="AD247" s="65">
        <f>'Candelaria Inputs'!AD654</f>
        <v>0</v>
      </c>
      <c r="AE247" s="65">
        <f>'Candelaria Inputs'!AE654</f>
        <v>0</v>
      </c>
      <c r="AF247" s="65">
        <f>'Candelaria Inputs'!AF654</f>
        <v>0</v>
      </c>
    </row>
    <row r="248" spans="4:32">
      <c r="D248" t="s">
        <v>79</v>
      </c>
      <c r="G248" t="s">
        <v>211</v>
      </c>
      <c r="H248" s="48">
        <f>SUM(I248:AF248)</f>
        <v>1598.1173799999992</v>
      </c>
      <c r="I248" s="52">
        <f>I227</f>
        <v>96.62278000000002</v>
      </c>
      <c r="J248" s="52">
        <f t="shared" ref="J248:AF248" si="85">J227</f>
        <v>89.596800000000002</v>
      </c>
      <c r="K248" s="52">
        <f t="shared" si="85"/>
        <v>82.617750000000001</v>
      </c>
      <c r="L248" s="52">
        <f t="shared" si="85"/>
        <v>86.340750000000014</v>
      </c>
      <c r="M248" s="52">
        <f t="shared" si="85"/>
        <v>84.776999999999987</v>
      </c>
      <c r="N248" s="52">
        <f t="shared" si="85"/>
        <v>71.205300000000008</v>
      </c>
      <c r="O248" s="52">
        <f t="shared" si="85"/>
        <v>71.010750000000002</v>
      </c>
      <c r="P248" s="52">
        <f t="shared" si="85"/>
        <v>71.010750000000002</v>
      </c>
      <c r="Q248" s="52">
        <f t="shared" si="85"/>
        <v>71.010750000000002</v>
      </c>
      <c r="R248" s="52">
        <f t="shared" si="85"/>
        <v>71.205300000000008</v>
      </c>
      <c r="S248" s="52">
        <f t="shared" si="85"/>
        <v>68.108999999999995</v>
      </c>
      <c r="T248" s="52">
        <f t="shared" si="85"/>
        <v>68.108999999999995</v>
      </c>
      <c r="U248" s="52">
        <f t="shared" si="85"/>
        <v>68.108999999999995</v>
      </c>
      <c r="V248" s="52">
        <f t="shared" si="85"/>
        <v>68.295599999999993</v>
      </c>
      <c r="W248" s="52">
        <f t="shared" si="85"/>
        <v>68.108999999999995</v>
      </c>
      <c r="X248" s="52">
        <f t="shared" si="85"/>
        <v>51.300749999999994</v>
      </c>
      <c r="Y248" s="52">
        <f t="shared" si="85"/>
        <v>51.300749999999994</v>
      </c>
      <c r="Z248" s="52">
        <f t="shared" si="85"/>
        <v>51.441299999999998</v>
      </c>
      <c r="AA248" s="52">
        <f t="shared" si="85"/>
        <v>51.300749999999994</v>
      </c>
      <c r="AB248" s="52">
        <f t="shared" si="85"/>
        <v>51.300749999999994</v>
      </c>
      <c r="AC248" s="52">
        <f t="shared" si="85"/>
        <v>51.300749999999994</v>
      </c>
      <c r="AD248" s="52">
        <f t="shared" si="85"/>
        <v>51.441299999999998</v>
      </c>
      <c r="AE248" s="52">
        <f t="shared" si="85"/>
        <v>51.300749999999994</v>
      </c>
      <c r="AF248" s="52">
        <f t="shared" si="85"/>
        <v>51.300749999999994</v>
      </c>
    </row>
    <row r="249" spans="4:32">
      <c r="D249" s="5" t="s">
        <v>81</v>
      </c>
      <c r="E249" s="5"/>
      <c r="F249" s="5"/>
      <c r="G249" s="5" t="s">
        <v>211</v>
      </c>
      <c r="H249" s="51">
        <f>SUM(I249:AF249)</f>
        <v>313.8664</v>
      </c>
      <c r="I249" s="53">
        <f>I243</f>
        <v>44.371820000000007</v>
      </c>
      <c r="J249" s="53">
        <f t="shared" ref="J249:AF249" si="86">J243</f>
        <v>42.048439999999992</v>
      </c>
      <c r="K249" s="53">
        <f t="shared" si="86"/>
        <v>38.377439999999993</v>
      </c>
      <c r="L249" s="53">
        <f t="shared" si="86"/>
        <v>28.361920000000001</v>
      </c>
      <c r="M249" s="53">
        <f t="shared" si="86"/>
        <v>28.23282</v>
      </c>
      <c r="N249" s="53">
        <f t="shared" si="86"/>
        <v>22.029579999999999</v>
      </c>
      <c r="O249" s="53">
        <f t="shared" si="86"/>
        <v>21.98077</v>
      </c>
      <c r="P249" s="53">
        <f t="shared" si="86"/>
        <v>21.98077</v>
      </c>
      <c r="Q249" s="53">
        <f t="shared" si="86"/>
        <v>21.98077</v>
      </c>
      <c r="R249" s="53">
        <f t="shared" si="86"/>
        <v>21.98077</v>
      </c>
      <c r="S249" s="53">
        <f t="shared" si="86"/>
        <v>16.6173</v>
      </c>
      <c r="T249" s="53">
        <f t="shared" si="86"/>
        <v>5.903999999999999</v>
      </c>
      <c r="U249" s="53">
        <f t="shared" si="86"/>
        <v>0</v>
      </c>
      <c r="V249" s="53">
        <f t="shared" si="86"/>
        <v>0</v>
      </c>
      <c r="W249" s="53">
        <f t="shared" si="86"/>
        <v>0</v>
      </c>
      <c r="X249" s="53">
        <f t="shared" si="86"/>
        <v>0</v>
      </c>
      <c r="Y249" s="53">
        <f t="shared" si="86"/>
        <v>0</v>
      </c>
      <c r="Z249" s="53">
        <f t="shared" si="86"/>
        <v>0</v>
      </c>
      <c r="AA249" s="53">
        <f t="shared" si="86"/>
        <v>0</v>
      </c>
      <c r="AB249" s="53">
        <f t="shared" si="86"/>
        <v>0</v>
      </c>
      <c r="AC249" s="53">
        <f t="shared" si="86"/>
        <v>0</v>
      </c>
      <c r="AD249" s="53">
        <f t="shared" si="86"/>
        <v>0</v>
      </c>
      <c r="AE249" s="53">
        <f t="shared" si="86"/>
        <v>0</v>
      </c>
      <c r="AF249" s="53">
        <f t="shared" si="86"/>
        <v>0</v>
      </c>
    </row>
    <row r="250" spans="4:32">
      <c r="D250" t="s">
        <v>212</v>
      </c>
      <c r="G250" t="s">
        <v>211</v>
      </c>
      <c r="H250" s="48">
        <f>SUM(I250:AF250)</f>
        <v>4399.6713499999996</v>
      </c>
      <c r="I250" s="52">
        <f>I246-I247+I248+I249</f>
        <v>299.40580000000006</v>
      </c>
      <c r="J250" s="52">
        <f t="shared" ref="J250:AF250" si="87">J246-J247+J248+J249</f>
        <v>288.30109999999996</v>
      </c>
      <c r="K250" s="52">
        <f t="shared" si="87"/>
        <v>301.56002999999998</v>
      </c>
      <c r="L250" s="52">
        <f t="shared" si="87"/>
        <v>287.69033999999999</v>
      </c>
      <c r="M250" s="52">
        <f t="shared" si="87"/>
        <v>250.20488000000006</v>
      </c>
      <c r="N250" s="52">
        <f t="shared" si="87"/>
        <v>200.59998837370244</v>
      </c>
      <c r="O250" s="52">
        <f t="shared" si="87"/>
        <v>226.26415058823531</v>
      </c>
      <c r="P250" s="52">
        <f t="shared" si="87"/>
        <v>244.72943280276817</v>
      </c>
      <c r="Q250" s="52">
        <f t="shared" si="87"/>
        <v>217.44191003460213</v>
      </c>
      <c r="R250" s="52">
        <f t="shared" si="87"/>
        <v>171.00210820069208</v>
      </c>
      <c r="S250" s="52">
        <f t="shared" si="87"/>
        <v>254.06338</v>
      </c>
      <c r="T250" s="52">
        <f t="shared" si="87"/>
        <v>219.27350000000001</v>
      </c>
      <c r="U250" s="52">
        <f t="shared" si="87"/>
        <v>193.30527999999998</v>
      </c>
      <c r="V250" s="52">
        <f t="shared" si="87"/>
        <v>178.96704</v>
      </c>
      <c r="W250" s="52">
        <f t="shared" si="87"/>
        <v>163.99665999999999</v>
      </c>
      <c r="X250" s="52">
        <f t="shared" si="87"/>
        <v>123.14354999999999</v>
      </c>
      <c r="Y250" s="52">
        <f t="shared" si="87"/>
        <v>117.36564999999999</v>
      </c>
      <c r="Z250" s="52">
        <f t="shared" si="87"/>
        <v>123.41139999999999</v>
      </c>
      <c r="AA250" s="52">
        <f t="shared" si="87"/>
        <v>107.54644999999999</v>
      </c>
      <c r="AB250" s="52">
        <f t="shared" si="87"/>
        <v>93.423749999999984</v>
      </c>
      <c r="AC250" s="52">
        <f t="shared" si="87"/>
        <v>93.423749999999984</v>
      </c>
      <c r="AD250" s="52">
        <f t="shared" si="87"/>
        <v>93.680199999999999</v>
      </c>
      <c r="AE250" s="52">
        <f t="shared" si="87"/>
        <v>93.423749999999984</v>
      </c>
      <c r="AF250" s="52">
        <f t="shared" si="87"/>
        <v>57.447249999999997</v>
      </c>
    </row>
    <row r="251" spans="4:32" ht="6" customHeight="1">
      <c r="D251" s="2"/>
      <c r="H251" s="29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</row>
    <row r="252" spans="4:32">
      <c r="D252" s="4" t="s">
        <v>213</v>
      </c>
      <c r="E252" s="4"/>
      <c r="F252" s="4"/>
      <c r="G252" s="4"/>
      <c r="H252" s="31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</row>
    <row r="253" spans="4:32" ht="6" customHeight="1">
      <c r="D253" s="2"/>
      <c r="H253" s="29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</row>
    <row r="254" spans="4:32">
      <c r="D254" s="28" t="s">
        <v>214</v>
      </c>
      <c r="H254" s="29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</row>
    <row r="255" spans="4:32">
      <c r="D255" t="s">
        <v>215</v>
      </c>
      <c r="G255" t="s">
        <v>8</v>
      </c>
      <c r="H255" s="48">
        <f t="shared" ref="H255" si="88">SUM(I255:AF255)</f>
        <v>638953</v>
      </c>
      <c r="I255" s="52">
        <f>I87</f>
        <v>26829</v>
      </c>
      <c r="J255" s="52">
        <f t="shared" ref="J255:AF255" si="89">J87</f>
        <v>26388</v>
      </c>
      <c r="K255" s="52">
        <f t="shared" si="89"/>
        <v>27503</v>
      </c>
      <c r="L255" s="52">
        <f t="shared" si="89"/>
        <v>27596</v>
      </c>
      <c r="M255" s="52">
        <f t="shared" si="89"/>
        <v>27683</v>
      </c>
      <c r="N255" s="52">
        <f t="shared" si="89"/>
        <v>27708</v>
      </c>
      <c r="O255" s="52">
        <f t="shared" si="89"/>
        <v>27521</v>
      </c>
      <c r="P255" s="52">
        <f t="shared" si="89"/>
        <v>27447</v>
      </c>
      <c r="Q255" s="52">
        <f t="shared" si="89"/>
        <v>26907</v>
      </c>
      <c r="R255" s="52">
        <f t="shared" si="89"/>
        <v>27416</v>
      </c>
      <c r="S255" s="52">
        <f t="shared" si="89"/>
        <v>27491</v>
      </c>
      <c r="T255" s="52">
        <f t="shared" si="89"/>
        <v>27522</v>
      </c>
      <c r="U255" s="52">
        <f t="shared" si="89"/>
        <v>27522</v>
      </c>
      <c r="V255" s="52">
        <f t="shared" si="89"/>
        <v>27634</v>
      </c>
      <c r="W255" s="52">
        <f t="shared" si="89"/>
        <v>27615</v>
      </c>
      <c r="X255" s="52">
        <f t="shared" si="89"/>
        <v>27286</v>
      </c>
      <c r="Y255" s="52">
        <f t="shared" si="89"/>
        <v>27302</v>
      </c>
      <c r="Z255" s="52">
        <f t="shared" si="89"/>
        <v>27241</v>
      </c>
      <c r="AA255" s="52">
        <f t="shared" si="89"/>
        <v>26976</v>
      </c>
      <c r="AB255" s="52">
        <f t="shared" si="89"/>
        <v>27645</v>
      </c>
      <c r="AC255" s="52">
        <f t="shared" si="89"/>
        <v>27645</v>
      </c>
      <c r="AD255" s="52">
        <f t="shared" si="89"/>
        <v>27721</v>
      </c>
      <c r="AE255" s="52">
        <f t="shared" si="89"/>
        <v>27645</v>
      </c>
      <c r="AF255" s="52">
        <f t="shared" si="89"/>
        <v>8710</v>
      </c>
    </row>
    <row r="256" spans="4:32" ht="6" customHeight="1">
      <c r="D256" s="2"/>
      <c r="H256" s="29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</row>
    <row r="257" spans="4:32">
      <c r="D257" t="s">
        <v>195</v>
      </c>
      <c r="G257" t="s">
        <v>83</v>
      </c>
      <c r="H257" s="48">
        <f>IF(SUM(I255:AF255)&lt;&gt;0,SUMPRODUCT(I255:AF255,I257:AF257)/SUM(I255:AF255),0)</f>
        <v>0.58169231539722033</v>
      </c>
      <c r="I257" s="65">
        <f>'Candelaria Inputs'!I474</f>
        <v>0.75</v>
      </c>
      <c r="J257" s="65">
        <f>'Candelaria Inputs'!J474</f>
        <v>0.77</v>
      </c>
      <c r="K257" s="65">
        <f>'Candelaria Inputs'!K474</f>
        <v>0.73</v>
      </c>
      <c r="L257" s="65">
        <f>'Candelaria Inputs'!L474</f>
        <v>0.73</v>
      </c>
      <c r="M257" s="65">
        <f>'Candelaria Inputs'!M474</f>
        <v>0.7</v>
      </c>
      <c r="N257" s="65">
        <f>'Candelaria Inputs'!N474</f>
        <v>0.66</v>
      </c>
      <c r="O257" s="65">
        <f>'Candelaria Inputs'!O474</f>
        <v>0.66</v>
      </c>
      <c r="P257" s="65">
        <f>'Candelaria Inputs'!P474</f>
        <v>0.66</v>
      </c>
      <c r="Q257" s="65">
        <f>'Candelaria Inputs'!Q474</f>
        <v>0.66</v>
      </c>
      <c r="R257" s="65">
        <f>'Candelaria Inputs'!R474</f>
        <v>0.66</v>
      </c>
      <c r="S257" s="65">
        <f>'Candelaria Inputs'!S474</f>
        <v>0.56999999999999995</v>
      </c>
      <c r="T257" s="65">
        <f>'Candelaria Inputs'!T474</f>
        <v>0.56999999999999995</v>
      </c>
      <c r="U257" s="65">
        <f>'Candelaria Inputs'!U474</f>
        <v>0.56999999999999995</v>
      </c>
      <c r="V257" s="65">
        <f>'Candelaria Inputs'!V474</f>
        <v>0.56999999999999995</v>
      </c>
      <c r="W257" s="65">
        <f>'Candelaria Inputs'!W474</f>
        <v>0.56999999999999995</v>
      </c>
      <c r="X257" s="65">
        <f>'Candelaria Inputs'!X474</f>
        <v>0.45</v>
      </c>
      <c r="Y257" s="65">
        <f>'Candelaria Inputs'!Y474</f>
        <v>0.45</v>
      </c>
      <c r="Z257" s="65">
        <f>'Candelaria Inputs'!Z474</f>
        <v>0.45</v>
      </c>
      <c r="AA257" s="65">
        <f>'Candelaria Inputs'!AA474</f>
        <v>0.45</v>
      </c>
      <c r="AB257" s="65">
        <f>'Candelaria Inputs'!AB474</f>
        <v>0.45</v>
      </c>
      <c r="AC257" s="65">
        <f>'Candelaria Inputs'!AC474</f>
        <v>0.45</v>
      </c>
      <c r="AD257" s="65">
        <f>'Candelaria Inputs'!AD474</f>
        <v>0.45</v>
      </c>
      <c r="AE257" s="65">
        <f>'Candelaria Inputs'!AE474</f>
        <v>0.45</v>
      </c>
      <c r="AF257" s="65">
        <f>'Candelaria Inputs'!AF474</f>
        <v>0.45</v>
      </c>
    </row>
    <row r="258" spans="4:32">
      <c r="D258" t="s">
        <v>196</v>
      </c>
      <c r="G258" t="s">
        <v>83</v>
      </c>
      <c r="H258" s="48">
        <f>IF(SUM(I255:AF255)&lt;&gt;0,SUMPRODUCT(I255:AF255,I258:AF258)/SUM(I255:AF255),0)</f>
        <v>0.25884881986624991</v>
      </c>
      <c r="I258" s="65">
        <f>'Candelaria Inputs'!I481</f>
        <v>0.69</v>
      </c>
      <c r="J258" s="65">
        <f>'Candelaria Inputs'!J481</f>
        <v>0.46</v>
      </c>
      <c r="K258" s="65">
        <f>'Candelaria Inputs'!K481</f>
        <v>0.34</v>
      </c>
      <c r="L258" s="65">
        <f>'Candelaria Inputs'!L481</f>
        <v>0.16</v>
      </c>
      <c r="M258" s="65">
        <f>'Candelaria Inputs'!M481</f>
        <v>0.28999999999999998</v>
      </c>
      <c r="N258" s="65">
        <f>'Candelaria Inputs'!N481</f>
        <v>0.2</v>
      </c>
      <c r="O258" s="65">
        <f>'Candelaria Inputs'!O481</f>
        <v>0.2</v>
      </c>
      <c r="P258" s="65">
        <f>'Candelaria Inputs'!P481</f>
        <v>0.2</v>
      </c>
      <c r="Q258" s="65">
        <f>'Candelaria Inputs'!Q481</f>
        <v>0.2</v>
      </c>
      <c r="R258" s="65">
        <f>'Candelaria Inputs'!R481</f>
        <v>0.2</v>
      </c>
      <c r="S258" s="65">
        <f>'Candelaria Inputs'!S481</f>
        <v>0.24</v>
      </c>
      <c r="T258" s="65">
        <f>'Candelaria Inputs'!T481</f>
        <v>0.24</v>
      </c>
      <c r="U258" s="65">
        <f>'Candelaria Inputs'!U481</f>
        <v>0.24</v>
      </c>
      <c r="V258" s="65">
        <f>'Candelaria Inputs'!V481</f>
        <v>0.24</v>
      </c>
      <c r="W258" s="65">
        <f>'Candelaria Inputs'!W481</f>
        <v>0.24</v>
      </c>
      <c r="X258" s="65">
        <f>'Candelaria Inputs'!X481</f>
        <v>0.23</v>
      </c>
      <c r="Y258" s="65">
        <f>'Candelaria Inputs'!Y481</f>
        <v>0.23</v>
      </c>
      <c r="Z258" s="65">
        <f>'Candelaria Inputs'!Z481</f>
        <v>0.23</v>
      </c>
      <c r="AA258" s="65">
        <f>'Candelaria Inputs'!AA481</f>
        <v>0.23</v>
      </c>
      <c r="AB258" s="65">
        <f>'Candelaria Inputs'!AB481</f>
        <v>0.23</v>
      </c>
      <c r="AC258" s="65">
        <f>'Candelaria Inputs'!AC481</f>
        <v>0.23</v>
      </c>
      <c r="AD258" s="65">
        <f>'Candelaria Inputs'!AD481</f>
        <v>0.23</v>
      </c>
      <c r="AE258" s="65">
        <f>'Candelaria Inputs'!AE481</f>
        <v>0.23</v>
      </c>
      <c r="AF258" s="65">
        <f>'Candelaria Inputs'!AF481</f>
        <v>0.23</v>
      </c>
    </row>
    <row r="259" spans="4:32">
      <c r="D259" t="s">
        <v>197</v>
      </c>
      <c r="G259" t="s">
        <v>83</v>
      </c>
      <c r="H259" s="48">
        <f>IF(SUM(I255:AF255)&lt;&gt;0,SUMPRODUCT(I255:AF255,I259:AF259)/SUM(I255:AF255),0)</f>
        <v>2.069173632489401</v>
      </c>
      <c r="I259" s="65">
        <f>'Candelaria Inputs'!I488</f>
        <v>2.15</v>
      </c>
      <c r="J259" s="65">
        <f>'Candelaria Inputs'!J488</f>
        <v>2.0699999999999998</v>
      </c>
      <c r="K259" s="65">
        <f>'Candelaria Inputs'!K488</f>
        <v>2.0099999999999998</v>
      </c>
      <c r="L259" s="65">
        <f>'Candelaria Inputs'!L488</f>
        <v>2.0299999999999998</v>
      </c>
      <c r="M259" s="65">
        <f>'Candelaria Inputs'!M488</f>
        <v>2.09</v>
      </c>
      <c r="N259" s="65">
        <f>'Candelaria Inputs'!N488</f>
        <v>2.0699999999999998</v>
      </c>
      <c r="O259" s="65">
        <f>'Candelaria Inputs'!O488</f>
        <v>2.0699999999999998</v>
      </c>
      <c r="P259" s="65">
        <f>'Candelaria Inputs'!P488</f>
        <v>2.0699999999999998</v>
      </c>
      <c r="Q259" s="65">
        <f>'Candelaria Inputs'!Q488</f>
        <v>2.0699999999999998</v>
      </c>
      <c r="R259" s="65">
        <f>'Candelaria Inputs'!R488</f>
        <v>2.0699999999999998</v>
      </c>
      <c r="S259" s="65">
        <f>'Candelaria Inputs'!S488</f>
        <v>2.0499999999999998</v>
      </c>
      <c r="T259" s="65">
        <f>'Candelaria Inputs'!T488</f>
        <v>2.0499999999999998</v>
      </c>
      <c r="U259" s="65">
        <f>'Candelaria Inputs'!U488</f>
        <v>2.0499999999999998</v>
      </c>
      <c r="V259" s="65">
        <f>'Candelaria Inputs'!V488</f>
        <v>2.0499999999999998</v>
      </c>
      <c r="W259" s="65">
        <f>'Candelaria Inputs'!W488</f>
        <v>2.0499999999999998</v>
      </c>
      <c r="X259" s="65">
        <f>'Candelaria Inputs'!X488</f>
        <v>2.08</v>
      </c>
      <c r="Y259" s="65">
        <f>'Candelaria Inputs'!Y488</f>
        <v>2.08</v>
      </c>
      <c r="Z259" s="65">
        <f>'Candelaria Inputs'!Z488</f>
        <v>2.08</v>
      </c>
      <c r="AA259" s="65">
        <f>'Candelaria Inputs'!AA488</f>
        <v>2.08</v>
      </c>
      <c r="AB259" s="65">
        <f>'Candelaria Inputs'!AB488</f>
        <v>2.08</v>
      </c>
      <c r="AC259" s="65">
        <f>'Candelaria Inputs'!AC488</f>
        <v>2.08</v>
      </c>
      <c r="AD259" s="65">
        <f>'Candelaria Inputs'!AD488</f>
        <v>2.08</v>
      </c>
      <c r="AE259" s="65">
        <f>'Candelaria Inputs'!AE488</f>
        <v>2.08</v>
      </c>
      <c r="AF259" s="65">
        <f>'Candelaria Inputs'!AF488</f>
        <v>2.08</v>
      </c>
    </row>
    <row r="260" spans="4:32">
      <c r="D260" t="s">
        <v>198</v>
      </c>
      <c r="G260" t="s">
        <v>83</v>
      </c>
      <c r="H260" s="48">
        <f>IF(SUM(I255:AF255)&lt;&gt;0,SUMPRODUCT(I255:AF255,I260:AF260)/SUM(I255:AF255),0)</f>
        <v>1.8068472015938573</v>
      </c>
      <c r="I260" s="65">
        <f>'Candelaria Inputs'!I495</f>
        <v>2.17</v>
      </c>
      <c r="J260" s="65">
        <f>'Candelaria Inputs'!J495</f>
        <v>2.2400000000000002</v>
      </c>
      <c r="K260" s="65">
        <f>'Candelaria Inputs'!K495</f>
        <v>1.93</v>
      </c>
      <c r="L260" s="65">
        <f>'Candelaria Inputs'!L495</f>
        <v>1.86</v>
      </c>
      <c r="M260" s="65">
        <f>'Candelaria Inputs'!M495</f>
        <v>1.85</v>
      </c>
      <c r="N260" s="65">
        <f>'Candelaria Inputs'!N495</f>
        <v>1.76</v>
      </c>
      <c r="O260" s="65">
        <f>'Candelaria Inputs'!O495</f>
        <v>1.76</v>
      </c>
      <c r="P260" s="65">
        <f>'Candelaria Inputs'!P495</f>
        <v>1.76</v>
      </c>
      <c r="Q260" s="65">
        <f>'Candelaria Inputs'!Q495</f>
        <v>1.76</v>
      </c>
      <c r="R260" s="65">
        <f>'Candelaria Inputs'!R495</f>
        <v>1.76</v>
      </c>
      <c r="S260" s="65">
        <f>'Candelaria Inputs'!S495</f>
        <v>1.75</v>
      </c>
      <c r="T260" s="65">
        <f>'Candelaria Inputs'!T495</f>
        <v>1.75</v>
      </c>
      <c r="U260" s="65">
        <f>'Candelaria Inputs'!U495</f>
        <v>1.75</v>
      </c>
      <c r="V260" s="65">
        <f>'Candelaria Inputs'!V495</f>
        <v>1.75</v>
      </c>
      <c r="W260" s="65">
        <f>'Candelaria Inputs'!W495</f>
        <v>1.75</v>
      </c>
      <c r="X260" s="65">
        <f>'Candelaria Inputs'!X495</f>
        <v>1.75</v>
      </c>
      <c r="Y260" s="65">
        <f>'Candelaria Inputs'!Y495</f>
        <v>1.75</v>
      </c>
      <c r="Z260" s="65">
        <f>'Candelaria Inputs'!Z495</f>
        <v>1.75</v>
      </c>
      <c r="AA260" s="65">
        <f>'Candelaria Inputs'!AA495</f>
        <v>1.75</v>
      </c>
      <c r="AB260" s="65">
        <f>'Candelaria Inputs'!AB495</f>
        <v>1.75</v>
      </c>
      <c r="AC260" s="65">
        <f>'Candelaria Inputs'!AC495</f>
        <v>1.75</v>
      </c>
      <c r="AD260" s="65">
        <f>'Candelaria Inputs'!AD495</f>
        <v>1.75</v>
      </c>
      <c r="AE260" s="65">
        <f>'Candelaria Inputs'!AE495</f>
        <v>1.75</v>
      </c>
      <c r="AF260" s="65">
        <f>'Candelaria Inputs'!AF495</f>
        <v>1.75</v>
      </c>
    </row>
    <row r="261" spans="4:32">
      <c r="D261" s="5" t="s">
        <v>199</v>
      </c>
      <c r="E261" s="5"/>
      <c r="F261" s="5"/>
      <c r="G261" s="5" t="s">
        <v>83</v>
      </c>
      <c r="H261" s="51">
        <f>IF(SUM(I255:AF255)&lt;&gt;0,SUMPRODUCT(I255:AF255,I261:AF261)/SUM(I255:AF255),0)</f>
        <v>-0.126088710750243</v>
      </c>
      <c r="I261" s="54">
        <f>'Candelaria Inputs'!I502</f>
        <v>-0.15</v>
      </c>
      <c r="J261" s="54">
        <f>'Candelaria Inputs'!J502</f>
        <v>-0.16</v>
      </c>
      <c r="K261" s="54">
        <f>'Candelaria Inputs'!K502</f>
        <v>-0.15</v>
      </c>
      <c r="L261" s="54">
        <f>'Candelaria Inputs'!L502</f>
        <v>-0.15</v>
      </c>
      <c r="M261" s="54">
        <f>'Candelaria Inputs'!M502</f>
        <v>-0.15</v>
      </c>
      <c r="N261" s="54">
        <f>'Candelaria Inputs'!N502</f>
        <v>-0.15</v>
      </c>
      <c r="O261" s="54">
        <f>'Candelaria Inputs'!O502</f>
        <v>-0.15</v>
      </c>
      <c r="P261" s="54">
        <f>'Candelaria Inputs'!P502</f>
        <v>-0.15</v>
      </c>
      <c r="Q261" s="54">
        <f>'Candelaria Inputs'!Q502</f>
        <v>-0.15</v>
      </c>
      <c r="R261" s="54">
        <f>'Candelaria Inputs'!R502</f>
        <v>-0.15</v>
      </c>
      <c r="S261" s="54">
        <f>'Candelaria Inputs'!S502</f>
        <v>-0.12</v>
      </c>
      <c r="T261" s="54">
        <f>'Candelaria Inputs'!T502</f>
        <v>-0.12</v>
      </c>
      <c r="U261" s="54">
        <f>'Candelaria Inputs'!U502</f>
        <v>-0.12</v>
      </c>
      <c r="V261" s="54">
        <f>'Candelaria Inputs'!V502</f>
        <v>-0.12</v>
      </c>
      <c r="W261" s="54">
        <f>'Candelaria Inputs'!W502</f>
        <v>-0.12</v>
      </c>
      <c r="X261" s="54">
        <f>'Candelaria Inputs'!X502</f>
        <v>-0.1</v>
      </c>
      <c r="Y261" s="54">
        <f>'Candelaria Inputs'!Y502</f>
        <v>-0.1</v>
      </c>
      <c r="Z261" s="54">
        <f>'Candelaria Inputs'!Z502</f>
        <v>-0.1</v>
      </c>
      <c r="AA261" s="54">
        <f>'Candelaria Inputs'!AA502</f>
        <v>-0.1</v>
      </c>
      <c r="AB261" s="54">
        <f>'Candelaria Inputs'!AB502</f>
        <v>-0.1</v>
      </c>
      <c r="AC261" s="54">
        <f>'Candelaria Inputs'!AC502</f>
        <v>-0.1</v>
      </c>
      <c r="AD261" s="54">
        <f>'Candelaria Inputs'!AD502</f>
        <v>-0.1</v>
      </c>
      <c r="AE261" s="54">
        <f>'Candelaria Inputs'!AE502</f>
        <v>-0.1</v>
      </c>
      <c r="AF261" s="54">
        <f>'Candelaria Inputs'!AF502</f>
        <v>-0.1</v>
      </c>
    </row>
    <row r="262" spans="4:32">
      <c r="D262" t="s">
        <v>214</v>
      </c>
      <c r="G262" t="s">
        <v>83</v>
      </c>
      <c r="H262" s="48">
        <f>IF(SUM(I255:AF255)&lt;&gt;0,SUMPRODUCT(I255:AF255,I262:AF262)/SUM(I255:AF255),0)</f>
        <v>4.5904732585964858</v>
      </c>
      <c r="I262" s="52">
        <f>SUM(I257:I261)</f>
        <v>5.6099999999999994</v>
      </c>
      <c r="J262" s="52">
        <f t="shared" ref="J262:AF262" si="90">SUM(J257:J261)</f>
        <v>5.38</v>
      </c>
      <c r="K262" s="52">
        <f t="shared" si="90"/>
        <v>4.8599999999999994</v>
      </c>
      <c r="L262" s="52">
        <f t="shared" si="90"/>
        <v>4.63</v>
      </c>
      <c r="M262" s="52">
        <f t="shared" si="90"/>
        <v>4.7799999999999994</v>
      </c>
      <c r="N262" s="52">
        <f t="shared" si="90"/>
        <v>4.5399999999999991</v>
      </c>
      <c r="O262" s="52">
        <f t="shared" si="90"/>
        <v>4.5399999999999991</v>
      </c>
      <c r="P262" s="52">
        <f t="shared" si="90"/>
        <v>4.5399999999999991</v>
      </c>
      <c r="Q262" s="52">
        <f t="shared" si="90"/>
        <v>4.5399999999999991</v>
      </c>
      <c r="R262" s="52">
        <f t="shared" si="90"/>
        <v>4.5399999999999991</v>
      </c>
      <c r="S262" s="52">
        <f t="shared" si="90"/>
        <v>4.4899999999999993</v>
      </c>
      <c r="T262" s="52">
        <f t="shared" si="90"/>
        <v>4.4899999999999993</v>
      </c>
      <c r="U262" s="52">
        <f t="shared" si="90"/>
        <v>4.4899999999999993</v>
      </c>
      <c r="V262" s="52">
        <f t="shared" si="90"/>
        <v>4.4899999999999993</v>
      </c>
      <c r="W262" s="52">
        <f t="shared" si="90"/>
        <v>4.4899999999999993</v>
      </c>
      <c r="X262" s="52">
        <f t="shared" si="90"/>
        <v>4.41</v>
      </c>
      <c r="Y262" s="52">
        <f t="shared" si="90"/>
        <v>4.41</v>
      </c>
      <c r="Z262" s="52">
        <f t="shared" si="90"/>
        <v>4.41</v>
      </c>
      <c r="AA262" s="52">
        <f t="shared" si="90"/>
        <v>4.41</v>
      </c>
      <c r="AB262" s="52">
        <f t="shared" si="90"/>
        <v>4.41</v>
      </c>
      <c r="AC262" s="52">
        <f t="shared" si="90"/>
        <v>4.41</v>
      </c>
      <c r="AD262" s="52">
        <f t="shared" si="90"/>
        <v>4.41</v>
      </c>
      <c r="AE262" s="52">
        <f t="shared" si="90"/>
        <v>4.41</v>
      </c>
      <c r="AF262" s="52">
        <f t="shared" si="90"/>
        <v>4.41</v>
      </c>
    </row>
    <row r="263" spans="4:32" ht="6" customHeight="1">
      <c r="D263" s="2"/>
      <c r="H263" s="29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</row>
    <row r="264" spans="4:32">
      <c r="D264" t="s">
        <v>215</v>
      </c>
      <c r="G264" t="s">
        <v>8</v>
      </c>
      <c r="H264" s="48">
        <f t="shared" ref="H264" si="91">SUM(I264:AF264)</f>
        <v>638953</v>
      </c>
      <c r="I264" s="52">
        <f>I255</f>
        <v>26829</v>
      </c>
      <c r="J264" s="52">
        <f t="shared" ref="J264:AF264" si="92">J255</f>
        <v>26388</v>
      </c>
      <c r="K264" s="52">
        <f t="shared" si="92"/>
        <v>27503</v>
      </c>
      <c r="L264" s="52">
        <f t="shared" si="92"/>
        <v>27596</v>
      </c>
      <c r="M264" s="52">
        <f t="shared" si="92"/>
        <v>27683</v>
      </c>
      <c r="N264" s="52">
        <f t="shared" si="92"/>
        <v>27708</v>
      </c>
      <c r="O264" s="52">
        <f t="shared" si="92"/>
        <v>27521</v>
      </c>
      <c r="P264" s="52">
        <f t="shared" si="92"/>
        <v>27447</v>
      </c>
      <c r="Q264" s="52">
        <f t="shared" si="92"/>
        <v>26907</v>
      </c>
      <c r="R264" s="52">
        <f t="shared" si="92"/>
        <v>27416</v>
      </c>
      <c r="S264" s="52">
        <f t="shared" si="92"/>
        <v>27491</v>
      </c>
      <c r="T264" s="52">
        <f t="shared" si="92"/>
        <v>27522</v>
      </c>
      <c r="U264" s="52">
        <f t="shared" si="92"/>
        <v>27522</v>
      </c>
      <c r="V264" s="52">
        <f t="shared" si="92"/>
        <v>27634</v>
      </c>
      <c r="W264" s="52">
        <f t="shared" si="92"/>
        <v>27615</v>
      </c>
      <c r="X264" s="52">
        <f t="shared" si="92"/>
        <v>27286</v>
      </c>
      <c r="Y264" s="52">
        <f t="shared" si="92"/>
        <v>27302</v>
      </c>
      <c r="Z264" s="52">
        <f t="shared" si="92"/>
        <v>27241</v>
      </c>
      <c r="AA264" s="52">
        <f t="shared" si="92"/>
        <v>26976</v>
      </c>
      <c r="AB264" s="52">
        <f t="shared" si="92"/>
        <v>27645</v>
      </c>
      <c r="AC264" s="52">
        <f t="shared" si="92"/>
        <v>27645</v>
      </c>
      <c r="AD264" s="52">
        <f t="shared" si="92"/>
        <v>27721</v>
      </c>
      <c r="AE264" s="52">
        <f t="shared" si="92"/>
        <v>27645</v>
      </c>
      <c r="AF264" s="52">
        <f t="shared" si="92"/>
        <v>8710</v>
      </c>
    </row>
    <row r="265" spans="4:32">
      <c r="D265" s="5" t="s">
        <v>214</v>
      </c>
      <c r="E265" s="5"/>
      <c r="F265" s="5"/>
      <c r="G265" s="5" t="s">
        <v>83</v>
      </c>
      <c r="H265" s="51">
        <f>IF(SUM(I264:AF264)&lt;&gt;0,SUMPRODUCT(I264:AF264,I265:AF265)/SUM(I264:AF264),0)</f>
        <v>4.5904732585964858</v>
      </c>
      <c r="I265" s="53">
        <f>I262</f>
        <v>5.6099999999999994</v>
      </c>
      <c r="J265" s="53">
        <f t="shared" ref="J265:AF265" si="93">J262</f>
        <v>5.38</v>
      </c>
      <c r="K265" s="53">
        <f t="shared" si="93"/>
        <v>4.8599999999999994</v>
      </c>
      <c r="L265" s="53">
        <f t="shared" si="93"/>
        <v>4.63</v>
      </c>
      <c r="M265" s="53">
        <f t="shared" si="93"/>
        <v>4.7799999999999994</v>
      </c>
      <c r="N265" s="53">
        <f t="shared" si="93"/>
        <v>4.5399999999999991</v>
      </c>
      <c r="O265" s="53">
        <f t="shared" si="93"/>
        <v>4.5399999999999991</v>
      </c>
      <c r="P265" s="53">
        <f t="shared" si="93"/>
        <v>4.5399999999999991</v>
      </c>
      <c r="Q265" s="53">
        <f t="shared" si="93"/>
        <v>4.5399999999999991</v>
      </c>
      <c r="R265" s="53">
        <f t="shared" si="93"/>
        <v>4.5399999999999991</v>
      </c>
      <c r="S265" s="53">
        <f t="shared" si="93"/>
        <v>4.4899999999999993</v>
      </c>
      <c r="T265" s="53">
        <f t="shared" si="93"/>
        <v>4.4899999999999993</v>
      </c>
      <c r="U265" s="53">
        <f t="shared" si="93"/>
        <v>4.4899999999999993</v>
      </c>
      <c r="V265" s="53">
        <f t="shared" si="93"/>
        <v>4.4899999999999993</v>
      </c>
      <c r="W265" s="53">
        <f t="shared" si="93"/>
        <v>4.4899999999999993</v>
      </c>
      <c r="X265" s="53">
        <f t="shared" si="93"/>
        <v>4.41</v>
      </c>
      <c r="Y265" s="53">
        <f t="shared" si="93"/>
        <v>4.41</v>
      </c>
      <c r="Z265" s="53">
        <f t="shared" si="93"/>
        <v>4.41</v>
      </c>
      <c r="AA265" s="53">
        <f t="shared" si="93"/>
        <v>4.41</v>
      </c>
      <c r="AB265" s="53">
        <f t="shared" si="93"/>
        <v>4.41</v>
      </c>
      <c r="AC265" s="53">
        <f t="shared" si="93"/>
        <v>4.41</v>
      </c>
      <c r="AD265" s="53">
        <f t="shared" si="93"/>
        <v>4.41</v>
      </c>
      <c r="AE265" s="53">
        <f t="shared" si="93"/>
        <v>4.41</v>
      </c>
      <c r="AF265" s="53">
        <f t="shared" si="93"/>
        <v>4.41</v>
      </c>
    </row>
    <row r="266" spans="4:32">
      <c r="D266" t="s">
        <v>214</v>
      </c>
      <c r="G266" t="s">
        <v>90</v>
      </c>
      <c r="H266" s="48">
        <f t="shared" ref="H266" si="94">SUM(I266:AF266)</f>
        <v>2933.0966600000002</v>
      </c>
      <c r="I266" s="52">
        <f>I264*I265/1000</f>
        <v>150.51068999999998</v>
      </c>
      <c r="J266" s="52">
        <f t="shared" ref="J266:AF266" si="95">J264*J265/1000</f>
        <v>141.96744000000001</v>
      </c>
      <c r="K266" s="52">
        <f t="shared" si="95"/>
        <v>133.66458</v>
      </c>
      <c r="L266" s="52">
        <f t="shared" si="95"/>
        <v>127.76948</v>
      </c>
      <c r="M266" s="52">
        <f t="shared" si="95"/>
        <v>132.32473999999999</v>
      </c>
      <c r="N266" s="52">
        <f t="shared" si="95"/>
        <v>125.79431999999998</v>
      </c>
      <c r="O266" s="52">
        <f t="shared" si="95"/>
        <v>124.94533999999999</v>
      </c>
      <c r="P266" s="52">
        <f t="shared" si="95"/>
        <v>124.60937999999997</v>
      </c>
      <c r="Q266" s="52">
        <f t="shared" si="95"/>
        <v>122.15777999999999</v>
      </c>
      <c r="R266" s="52">
        <f t="shared" si="95"/>
        <v>124.46863999999997</v>
      </c>
      <c r="S266" s="52">
        <f t="shared" si="95"/>
        <v>123.43458999999999</v>
      </c>
      <c r="T266" s="52">
        <f t="shared" si="95"/>
        <v>123.57377999999999</v>
      </c>
      <c r="U266" s="52">
        <f t="shared" si="95"/>
        <v>123.57377999999999</v>
      </c>
      <c r="V266" s="52">
        <f t="shared" si="95"/>
        <v>124.07665999999998</v>
      </c>
      <c r="W266" s="52">
        <f t="shared" si="95"/>
        <v>123.99134999999998</v>
      </c>
      <c r="X266" s="52">
        <f t="shared" si="95"/>
        <v>120.33126000000001</v>
      </c>
      <c r="Y266" s="52">
        <f t="shared" si="95"/>
        <v>120.40182</v>
      </c>
      <c r="Z266" s="52">
        <f t="shared" si="95"/>
        <v>120.13280999999999</v>
      </c>
      <c r="AA266" s="52">
        <f t="shared" si="95"/>
        <v>118.96416000000001</v>
      </c>
      <c r="AB266" s="52">
        <f t="shared" si="95"/>
        <v>121.91445</v>
      </c>
      <c r="AC266" s="52">
        <f t="shared" si="95"/>
        <v>121.91445</v>
      </c>
      <c r="AD266" s="52">
        <f t="shared" si="95"/>
        <v>122.24961</v>
      </c>
      <c r="AE266" s="52">
        <f t="shared" si="95"/>
        <v>121.91445</v>
      </c>
      <c r="AF266" s="52">
        <f t="shared" si="95"/>
        <v>38.411099999999998</v>
      </c>
    </row>
    <row r="267" spans="4:32" ht="6" customHeight="1">
      <c r="D267" s="2"/>
      <c r="H267" s="29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</row>
    <row r="268" spans="4:32">
      <c r="D268" s="28" t="s">
        <v>84</v>
      </c>
      <c r="H268" s="29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</row>
    <row r="269" spans="4:32">
      <c r="D269" t="s">
        <v>216</v>
      </c>
      <c r="G269" t="s">
        <v>8</v>
      </c>
      <c r="H269" s="48">
        <f t="shared" ref="H269" si="96">SUM(I269:AF269)</f>
        <v>15263</v>
      </c>
      <c r="I269" s="52">
        <f t="shared" ref="I269:AF269" si="97">I104</f>
        <v>1312</v>
      </c>
      <c r="J269" s="52">
        <f t="shared" si="97"/>
        <v>1329</v>
      </c>
      <c r="K269" s="52">
        <f t="shared" si="97"/>
        <v>1327</v>
      </c>
      <c r="L269" s="52">
        <f t="shared" si="97"/>
        <v>1348</v>
      </c>
      <c r="M269" s="52">
        <f t="shared" si="97"/>
        <v>1358</v>
      </c>
      <c r="N269" s="52">
        <f t="shared" si="97"/>
        <v>1354</v>
      </c>
      <c r="O269" s="52">
        <f t="shared" si="97"/>
        <v>1351</v>
      </c>
      <c r="P269" s="52">
        <f t="shared" si="97"/>
        <v>1351</v>
      </c>
      <c r="Q269" s="52">
        <f t="shared" si="97"/>
        <v>1351</v>
      </c>
      <c r="R269" s="52">
        <f t="shared" si="97"/>
        <v>1351</v>
      </c>
      <c r="S269" s="52">
        <f t="shared" si="97"/>
        <v>1351</v>
      </c>
      <c r="T269" s="52">
        <f t="shared" si="97"/>
        <v>480</v>
      </c>
      <c r="U269" s="52">
        <f t="shared" si="97"/>
        <v>0</v>
      </c>
      <c r="V269" s="52">
        <f t="shared" si="97"/>
        <v>0</v>
      </c>
      <c r="W269" s="52">
        <f t="shared" si="97"/>
        <v>0</v>
      </c>
      <c r="X269" s="52">
        <f t="shared" si="97"/>
        <v>0</v>
      </c>
      <c r="Y269" s="52">
        <f t="shared" si="97"/>
        <v>0</v>
      </c>
      <c r="Z269" s="52">
        <f t="shared" si="97"/>
        <v>0</v>
      </c>
      <c r="AA269" s="52">
        <f t="shared" si="97"/>
        <v>0</v>
      </c>
      <c r="AB269" s="52">
        <f t="shared" si="97"/>
        <v>0</v>
      </c>
      <c r="AC269" s="52">
        <f t="shared" si="97"/>
        <v>0</v>
      </c>
      <c r="AD269" s="52">
        <f t="shared" si="97"/>
        <v>0</v>
      </c>
      <c r="AE269" s="52">
        <f t="shared" si="97"/>
        <v>0</v>
      </c>
      <c r="AF269" s="52">
        <f t="shared" si="97"/>
        <v>0</v>
      </c>
    </row>
    <row r="270" spans="4:32" ht="6" customHeight="1">
      <c r="D270" s="2"/>
      <c r="H270" s="29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</row>
    <row r="271" spans="4:32">
      <c r="D271" t="s">
        <v>195</v>
      </c>
      <c r="G271" t="s">
        <v>83</v>
      </c>
      <c r="H271" s="48">
        <f>IF(SUM(I269:AF269)&lt;&gt;0,SUMPRODUCT(I269:AF269,I271:AF271)/SUM(I269:AF269),0)</f>
        <v>1.1076426652689508</v>
      </c>
      <c r="I271" s="65">
        <f>'Candelaria Inputs'!I510</f>
        <v>1.1200000000000001</v>
      </c>
      <c r="J271" s="65">
        <f>'Candelaria Inputs'!J510</f>
        <v>1.2</v>
      </c>
      <c r="K271" s="65">
        <f>'Candelaria Inputs'!K510</f>
        <v>1.29</v>
      </c>
      <c r="L271" s="65">
        <f>'Candelaria Inputs'!L510</f>
        <v>1.36</v>
      </c>
      <c r="M271" s="65">
        <f>'Candelaria Inputs'!M510</f>
        <v>1.33</v>
      </c>
      <c r="N271" s="65">
        <f>'Candelaria Inputs'!N510</f>
        <v>0.98</v>
      </c>
      <c r="O271" s="65">
        <f>'Candelaria Inputs'!O510</f>
        <v>0.98</v>
      </c>
      <c r="P271" s="65">
        <f>'Candelaria Inputs'!P510</f>
        <v>0.98</v>
      </c>
      <c r="Q271" s="65">
        <f>'Candelaria Inputs'!Q510</f>
        <v>0.98</v>
      </c>
      <c r="R271" s="65">
        <f>'Candelaria Inputs'!R510</f>
        <v>0.98</v>
      </c>
      <c r="S271" s="65">
        <f>'Candelaria Inputs'!S510</f>
        <v>1.02</v>
      </c>
      <c r="T271" s="65">
        <f>'Candelaria Inputs'!T510</f>
        <v>1.02</v>
      </c>
      <c r="U271" s="65">
        <f>'Candelaria Inputs'!U510</f>
        <v>1.02</v>
      </c>
      <c r="V271" s="65">
        <f>'Candelaria Inputs'!V510</f>
        <v>1.02</v>
      </c>
      <c r="W271" s="65">
        <f>'Candelaria Inputs'!W510</f>
        <v>1.02</v>
      </c>
      <c r="X271" s="65">
        <f>'Candelaria Inputs'!X510</f>
        <v>0</v>
      </c>
      <c r="Y271" s="65">
        <f>'Candelaria Inputs'!Y510</f>
        <v>0</v>
      </c>
      <c r="Z271" s="65">
        <f>'Candelaria Inputs'!Z510</f>
        <v>0</v>
      </c>
      <c r="AA271" s="65">
        <f>'Candelaria Inputs'!AA510</f>
        <v>0</v>
      </c>
      <c r="AB271" s="65">
        <f>'Candelaria Inputs'!AB510</f>
        <v>0</v>
      </c>
      <c r="AC271" s="65">
        <f>'Candelaria Inputs'!AC510</f>
        <v>0</v>
      </c>
      <c r="AD271" s="65">
        <f>'Candelaria Inputs'!AD510</f>
        <v>0</v>
      </c>
      <c r="AE271" s="65">
        <f>'Candelaria Inputs'!AE510</f>
        <v>0</v>
      </c>
      <c r="AF271" s="65">
        <f>'Candelaria Inputs'!AF510</f>
        <v>0</v>
      </c>
    </row>
    <row r="272" spans="4:32">
      <c r="D272" t="s">
        <v>196</v>
      </c>
      <c r="G272" t="s">
        <v>83</v>
      </c>
      <c r="H272" s="48">
        <f>IF(SUM(I269:AF269)&lt;&gt;0,SUMPRODUCT(I269:AF269,I272:AF272)/SUM(I269:AF269),0)</f>
        <v>3.6031114459804754</v>
      </c>
      <c r="I272" s="65">
        <f>'Candelaria Inputs'!I517</f>
        <v>4.17</v>
      </c>
      <c r="J272" s="65">
        <f>'Candelaria Inputs'!J517</f>
        <v>4.01</v>
      </c>
      <c r="K272" s="65">
        <f>'Candelaria Inputs'!K517</f>
        <v>3.65</v>
      </c>
      <c r="L272" s="65">
        <f>'Candelaria Inputs'!L517</f>
        <v>3.43</v>
      </c>
      <c r="M272" s="65">
        <f>'Candelaria Inputs'!M517</f>
        <v>3.14</v>
      </c>
      <c r="N272" s="65">
        <f>'Candelaria Inputs'!N517</f>
        <v>3.6</v>
      </c>
      <c r="O272" s="65">
        <f>'Candelaria Inputs'!O517</f>
        <v>3.6</v>
      </c>
      <c r="P272" s="65">
        <f>'Candelaria Inputs'!P517</f>
        <v>3.6</v>
      </c>
      <c r="Q272" s="65">
        <f>'Candelaria Inputs'!Q517</f>
        <v>3.6</v>
      </c>
      <c r="R272" s="65">
        <f>'Candelaria Inputs'!R517</f>
        <v>3.6</v>
      </c>
      <c r="S272" s="65">
        <f>'Candelaria Inputs'!S517</f>
        <v>3.35</v>
      </c>
      <c r="T272" s="65">
        <f>'Candelaria Inputs'!T517</f>
        <v>3.35</v>
      </c>
      <c r="U272" s="65">
        <f>'Candelaria Inputs'!U517</f>
        <v>3.35</v>
      </c>
      <c r="V272" s="65">
        <f>'Candelaria Inputs'!V517</f>
        <v>3.35</v>
      </c>
      <c r="W272" s="65">
        <f>'Candelaria Inputs'!W517</f>
        <v>3.35</v>
      </c>
      <c r="X272" s="65">
        <f>'Candelaria Inputs'!X517</f>
        <v>0</v>
      </c>
      <c r="Y272" s="65">
        <f>'Candelaria Inputs'!Y517</f>
        <v>0</v>
      </c>
      <c r="Z272" s="65">
        <f>'Candelaria Inputs'!Z517</f>
        <v>0</v>
      </c>
      <c r="AA272" s="65">
        <f>'Candelaria Inputs'!AA517</f>
        <v>0</v>
      </c>
      <c r="AB272" s="65">
        <f>'Candelaria Inputs'!AB517</f>
        <v>0</v>
      </c>
      <c r="AC272" s="65">
        <f>'Candelaria Inputs'!AC517</f>
        <v>0</v>
      </c>
      <c r="AD272" s="65">
        <f>'Candelaria Inputs'!AD517</f>
        <v>0</v>
      </c>
      <c r="AE272" s="65">
        <f>'Candelaria Inputs'!AE517</f>
        <v>0</v>
      </c>
      <c r="AF272" s="65">
        <f>'Candelaria Inputs'!AF517</f>
        <v>0</v>
      </c>
    </row>
    <row r="273" spans="4:32">
      <c r="D273" t="s">
        <v>197</v>
      </c>
      <c r="G273" t="s">
        <v>83</v>
      </c>
      <c r="H273" s="48">
        <f>IF(SUM(I269:AF269)&lt;&gt;0,SUMPRODUCT(I269:AF269,I273:AF273)/SUM(I269:AF269),0)</f>
        <v>3.2261580292209922</v>
      </c>
      <c r="I273" s="65">
        <f>'Candelaria Inputs'!I524</f>
        <v>3.5</v>
      </c>
      <c r="J273" s="65">
        <f>'Candelaria Inputs'!J524</f>
        <v>3.46</v>
      </c>
      <c r="K273" s="65">
        <f>'Candelaria Inputs'!K524</f>
        <v>3.49</v>
      </c>
      <c r="L273" s="65">
        <f>'Candelaria Inputs'!L524</f>
        <v>3.4</v>
      </c>
      <c r="M273" s="65">
        <f>'Candelaria Inputs'!M524</f>
        <v>3.43</v>
      </c>
      <c r="N273" s="65">
        <f>'Candelaria Inputs'!N524</f>
        <v>3.05</v>
      </c>
      <c r="O273" s="65">
        <f>'Candelaria Inputs'!O524</f>
        <v>3.05</v>
      </c>
      <c r="P273" s="65">
        <f>'Candelaria Inputs'!P524</f>
        <v>3.05</v>
      </c>
      <c r="Q273" s="65">
        <f>'Candelaria Inputs'!Q524</f>
        <v>3.05</v>
      </c>
      <c r="R273" s="65">
        <f>'Candelaria Inputs'!R524</f>
        <v>3.05</v>
      </c>
      <c r="S273" s="65">
        <f>'Candelaria Inputs'!S524</f>
        <v>3.04</v>
      </c>
      <c r="T273" s="65">
        <f>'Candelaria Inputs'!T524</f>
        <v>3.04</v>
      </c>
      <c r="U273" s="65">
        <f>'Candelaria Inputs'!U524</f>
        <v>3.04</v>
      </c>
      <c r="V273" s="65">
        <f>'Candelaria Inputs'!V524</f>
        <v>3.04</v>
      </c>
      <c r="W273" s="65">
        <f>'Candelaria Inputs'!W524</f>
        <v>3.04</v>
      </c>
      <c r="X273" s="65">
        <f>'Candelaria Inputs'!X524</f>
        <v>0</v>
      </c>
      <c r="Y273" s="65">
        <f>'Candelaria Inputs'!Y524</f>
        <v>0</v>
      </c>
      <c r="Z273" s="65">
        <f>'Candelaria Inputs'!Z524</f>
        <v>0</v>
      </c>
      <c r="AA273" s="65">
        <f>'Candelaria Inputs'!AA524</f>
        <v>0</v>
      </c>
      <c r="AB273" s="65">
        <f>'Candelaria Inputs'!AB524</f>
        <v>0</v>
      </c>
      <c r="AC273" s="65">
        <f>'Candelaria Inputs'!AC524</f>
        <v>0</v>
      </c>
      <c r="AD273" s="65">
        <f>'Candelaria Inputs'!AD524</f>
        <v>0</v>
      </c>
      <c r="AE273" s="65">
        <f>'Candelaria Inputs'!AE524</f>
        <v>0</v>
      </c>
      <c r="AF273" s="65">
        <f>'Candelaria Inputs'!AF524</f>
        <v>0</v>
      </c>
    </row>
    <row r="274" spans="4:32">
      <c r="D274" t="s">
        <v>198</v>
      </c>
      <c r="G274" t="s">
        <v>83</v>
      </c>
      <c r="H274" s="48">
        <f>IF(SUM(I269:AF269)&lt;&gt;0,SUMPRODUCT(I269:AF269,I274:AF274)/SUM(I269:AF269),0)</f>
        <v>2.1377913909454236</v>
      </c>
      <c r="I274" s="65">
        <f>'Candelaria Inputs'!I531</f>
        <v>2.6</v>
      </c>
      <c r="J274" s="65">
        <f>'Candelaria Inputs'!J531</f>
        <v>2.4700000000000002</v>
      </c>
      <c r="K274" s="65">
        <f>'Candelaria Inputs'!K531</f>
        <v>2.2400000000000002</v>
      </c>
      <c r="L274" s="65">
        <f>'Candelaria Inputs'!L531</f>
        <v>2.0499999999999998</v>
      </c>
      <c r="M274" s="65">
        <f>'Candelaria Inputs'!M531</f>
        <v>2.0299999999999998</v>
      </c>
      <c r="N274" s="65">
        <f>'Candelaria Inputs'!N531</f>
        <v>2.0499999999999998</v>
      </c>
      <c r="O274" s="65">
        <f>'Candelaria Inputs'!O531</f>
        <v>2.0499999999999998</v>
      </c>
      <c r="P274" s="65">
        <f>'Candelaria Inputs'!P531</f>
        <v>2.0499999999999998</v>
      </c>
      <c r="Q274" s="65">
        <f>'Candelaria Inputs'!Q531</f>
        <v>2.0499999999999998</v>
      </c>
      <c r="R274" s="65">
        <f>'Candelaria Inputs'!R531</f>
        <v>2.0499999999999998</v>
      </c>
      <c r="S274" s="65">
        <f>'Candelaria Inputs'!S531</f>
        <v>1.96</v>
      </c>
      <c r="T274" s="65">
        <f>'Candelaria Inputs'!T531</f>
        <v>1.96</v>
      </c>
      <c r="U274" s="65">
        <f>'Candelaria Inputs'!U531</f>
        <v>1.96</v>
      </c>
      <c r="V274" s="65">
        <f>'Candelaria Inputs'!V531</f>
        <v>1.96</v>
      </c>
      <c r="W274" s="65">
        <f>'Candelaria Inputs'!W531</f>
        <v>1.96</v>
      </c>
      <c r="X274" s="65">
        <f>'Candelaria Inputs'!X531</f>
        <v>0</v>
      </c>
      <c r="Y274" s="65">
        <f>'Candelaria Inputs'!Y531</f>
        <v>0</v>
      </c>
      <c r="Z274" s="65">
        <f>'Candelaria Inputs'!Z531</f>
        <v>0</v>
      </c>
      <c r="AA274" s="65">
        <f>'Candelaria Inputs'!AA531</f>
        <v>0</v>
      </c>
      <c r="AB274" s="65">
        <f>'Candelaria Inputs'!AB531</f>
        <v>0</v>
      </c>
      <c r="AC274" s="65">
        <f>'Candelaria Inputs'!AC531</f>
        <v>0</v>
      </c>
      <c r="AD274" s="65">
        <f>'Candelaria Inputs'!AD531</f>
        <v>0</v>
      </c>
      <c r="AE274" s="65">
        <f>'Candelaria Inputs'!AE531</f>
        <v>0</v>
      </c>
      <c r="AF274" s="65">
        <f>'Candelaria Inputs'!AF531</f>
        <v>0</v>
      </c>
    </row>
    <row r="275" spans="4:32">
      <c r="D275" s="5" t="s">
        <v>199</v>
      </c>
      <c r="E275" s="5"/>
      <c r="F275" s="5"/>
      <c r="G275" s="5" t="s">
        <v>83</v>
      </c>
      <c r="H275" s="51">
        <f>IF(SUM(I269:AF269)&lt;&gt;0,SUMPRODUCT(I269:AF269,I275:AF275)/SUM(I269:AF269),0)</f>
        <v>0</v>
      </c>
      <c r="I275" s="54">
        <f>'Candelaria Inputs'!I538</f>
        <v>0</v>
      </c>
      <c r="J275" s="54">
        <f>'Candelaria Inputs'!J538</f>
        <v>0</v>
      </c>
      <c r="K275" s="54">
        <f>'Candelaria Inputs'!K538</f>
        <v>0</v>
      </c>
      <c r="L275" s="54">
        <f>'Candelaria Inputs'!L538</f>
        <v>0</v>
      </c>
      <c r="M275" s="54">
        <f>'Candelaria Inputs'!M538</f>
        <v>0</v>
      </c>
      <c r="N275" s="54">
        <f>'Candelaria Inputs'!N538</f>
        <v>0</v>
      </c>
      <c r="O275" s="54">
        <f>'Candelaria Inputs'!O538</f>
        <v>0</v>
      </c>
      <c r="P275" s="54">
        <f>'Candelaria Inputs'!P538</f>
        <v>0</v>
      </c>
      <c r="Q275" s="54">
        <f>'Candelaria Inputs'!Q538</f>
        <v>0</v>
      </c>
      <c r="R275" s="54">
        <f>'Candelaria Inputs'!R538</f>
        <v>0</v>
      </c>
      <c r="S275" s="54">
        <f>'Candelaria Inputs'!S538</f>
        <v>0</v>
      </c>
      <c r="T275" s="54">
        <f>'Candelaria Inputs'!T538</f>
        <v>0</v>
      </c>
      <c r="U275" s="54">
        <f>'Candelaria Inputs'!U538</f>
        <v>0</v>
      </c>
      <c r="V275" s="54">
        <f>'Candelaria Inputs'!V538</f>
        <v>0</v>
      </c>
      <c r="W275" s="54">
        <f>'Candelaria Inputs'!W538</f>
        <v>0</v>
      </c>
      <c r="X275" s="54">
        <f>'Candelaria Inputs'!X538</f>
        <v>0</v>
      </c>
      <c r="Y275" s="54">
        <f>'Candelaria Inputs'!Y538</f>
        <v>0</v>
      </c>
      <c r="Z275" s="54">
        <f>'Candelaria Inputs'!Z538</f>
        <v>0</v>
      </c>
      <c r="AA275" s="54">
        <f>'Candelaria Inputs'!AA538</f>
        <v>0</v>
      </c>
      <c r="AB275" s="54">
        <f>'Candelaria Inputs'!AB538</f>
        <v>0</v>
      </c>
      <c r="AC275" s="54">
        <f>'Candelaria Inputs'!AC538</f>
        <v>0</v>
      </c>
      <c r="AD275" s="54">
        <f>'Candelaria Inputs'!AD538</f>
        <v>0</v>
      </c>
      <c r="AE275" s="54">
        <f>'Candelaria Inputs'!AE538</f>
        <v>0</v>
      </c>
      <c r="AF275" s="54">
        <f>'Candelaria Inputs'!AF538</f>
        <v>0</v>
      </c>
    </row>
    <row r="276" spans="4:32">
      <c r="D276" t="s">
        <v>84</v>
      </c>
      <c r="G276" t="s">
        <v>83</v>
      </c>
      <c r="H276" s="48">
        <f>IF(SUM(I269:AF269)&lt;&gt;0,SUMPRODUCT(I269:AF269,I276:AF276)/SUM(I269:AF269),0)</f>
        <v>10.074703531415841</v>
      </c>
      <c r="I276" s="52">
        <f>SUM(I271:I275)</f>
        <v>11.389999999999999</v>
      </c>
      <c r="J276" s="52">
        <f t="shared" ref="J276:AF276" si="98">SUM(J271:J275)</f>
        <v>11.14</v>
      </c>
      <c r="K276" s="52">
        <f t="shared" si="98"/>
        <v>10.67</v>
      </c>
      <c r="L276" s="52">
        <f t="shared" si="98"/>
        <v>10.239999999999998</v>
      </c>
      <c r="M276" s="52">
        <f t="shared" si="98"/>
        <v>9.93</v>
      </c>
      <c r="N276" s="52">
        <f t="shared" si="98"/>
        <v>9.68</v>
      </c>
      <c r="O276" s="52">
        <f t="shared" si="98"/>
        <v>9.68</v>
      </c>
      <c r="P276" s="52">
        <f t="shared" si="98"/>
        <v>9.68</v>
      </c>
      <c r="Q276" s="52">
        <f t="shared" si="98"/>
        <v>9.68</v>
      </c>
      <c r="R276" s="52">
        <f t="shared" si="98"/>
        <v>9.68</v>
      </c>
      <c r="S276" s="52">
        <f t="shared" si="98"/>
        <v>9.370000000000001</v>
      </c>
      <c r="T276" s="52">
        <f t="shared" si="98"/>
        <v>9.370000000000001</v>
      </c>
      <c r="U276" s="52">
        <f t="shared" si="98"/>
        <v>9.370000000000001</v>
      </c>
      <c r="V276" s="52">
        <f t="shared" si="98"/>
        <v>9.370000000000001</v>
      </c>
      <c r="W276" s="52">
        <f t="shared" si="98"/>
        <v>9.370000000000001</v>
      </c>
      <c r="X276" s="52">
        <f t="shared" si="98"/>
        <v>0</v>
      </c>
      <c r="Y276" s="52">
        <f t="shared" si="98"/>
        <v>0</v>
      </c>
      <c r="Z276" s="52">
        <f t="shared" si="98"/>
        <v>0</v>
      </c>
      <c r="AA276" s="52">
        <f t="shared" si="98"/>
        <v>0</v>
      </c>
      <c r="AB276" s="52">
        <f t="shared" si="98"/>
        <v>0</v>
      </c>
      <c r="AC276" s="52">
        <f t="shared" si="98"/>
        <v>0</v>
      </c>
      <c r="AD276" s="52">
        <f t="shared" si="98"/>
        <v>0</v>
      </c>
      <c r="AE276" s="52">
        <f t="shared" si="98"/>
        <v>0</v>
      </c>
      <c r="AF276" s="52">
        <f t="shared" si="98"/>
        <v>0</v>
      </c>
    </row>
    <row r="277" spans="4:32" ht="6" customHeight="1">
      <c r="D277" s="2"/>
      <c r="H277" s="29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</row>
    <row r="278" spans="4:32">
      <c r="D278" t="s">
        <v>216</v>
      </c>
      <c r="G278" t="s">
        <v>8</v>
      </c>
      <c r="H278" s="48">
        <f t="shared" ref="H278" si="99">SUM(I278:AF278)</f>
        <v>16797</v>
      </c>
      <c r="I278" s="52">
        <f>I241</f>
        <v>1823</v>
      </c>
      <c r="J278" s="52">
        <f t="shared" ref="J278:AF278" si="100">J241</f>
        <v>1841</v>
      </c>
      <c r="K278" s="52">
        <f t="shared" si="100"/>
        <v>1838</v>
      </c>
      <c r="L278" s="52">
        <f t="shared" si="100"/>
        <v>1348</v>
      </c>
      <c r="M278" s="52">
        <f t="shared" si="100"/>
        <v>1358</v>
      </c>
      <c r="N278" s="52">
        <f t="shared" si="100"/>
        <v>1354</v>
      </c>
      <c r="O278" s="52">
        <f t="shared" si="100"/>
        <v>1351</v>
      </c>
      <c r="P278" s="52">
        <f t="shared" si="100"/>
        <v>1351</v>
      </c>
      <c r="Q278" s="52">
        <f t="shared" si="100"/>
        <v>1351</v>
      </c>
      <c r="R278" s="52">
        <f t="shared" si="100"/>
        <v>1351</v>
      </c>
      <c r="S278" s="52">
        <f t="shared" si="100"/>
        <v>1351</v>
      </c>
      <c r="T278" s="52">
        <f t="shared" si="100"/>
        <v>480</v>
      </c>
      <c r="U278" s="52">
        <f t="shared" si="100"/>
        <v>0</v>
      </c>
      <c r="V278" s="52">
        <f t="shared" si="100"/>
        <v>0</v>
      </c>
      <c r="W278" s="52">
        <f t="shared" si="100"/>
        <v>0</v>
      </c>
      <c r="X278" s="52">
        <f t="shared" si="100"/>
        <v>0</v>
      </c>
      <c r="Y278" s="52">
        <f t="shared" si="100"/>
        <v>0</v>
      </c>
      <c r="Z278" s="52">
        <f t="shared" si="100"/>
        <v>0</v>
      </c>
      <c r="AA278" s="52">
        <f t="shared" si="100"/>
        <v>0</v>
      </c>
      <c r="AB278" s="52">
        <f t="shared" si="100"/>
        <v>0</v>
      </c>
      <c r="AC278" s="52">
        <f t="shared" si="100"/>
        <v>0</v>
      </c>
      <c r="AD278" s="52">
        <f t="shared" si="100"/>
        <v>0</v>
      </c>
      <c r="AE278" s="52">
        <f t="shared" si="100"/>
        <v>0</v>
      </c>
      <c r="AF278" s="52">
        <f t="shared" si="100"/>
        <v>0</v>
      </c>
    </row>
    <row r="279" spans="4:32">
      <c r="D279" s="5" t="s">
        <v>84</v>
      </c>
      <c r="E279" s="5"/>
      <c r="F279" s="5"/>
      <c r="G279" s="5" t="s">
        <v>83</v>
      </c>
      <c r="H279" s="51">
        <f>IF(SUM(I278:AF278)&lt;&gt;0,SUMPRODUCT(I278:AF278,I279:AF279)/SUM(I278:AF278),0)</f>
        <v>10.165299755908793</v>
      </c>
      <c r="I279" s="53">
        <f>I276</f>
        <v>11.389999999999999</v>
      </c>
      <c r="J279" s="53">
        <f t="shared" ref="J279:AF279" si="101">J276</f>
        <v>11.14</v>
      </c>
      <c r="K279" s="53">
        <f t="shared" si="101"/>
        <v>10.67</v>
      </c>
      <c r="L279" s="53">
        <f t="shared" si="101"/>
        <v>10.239999999999998</v>
      </c>
      <c r="M279" s="53">
        <f t="shared" si="101"/>
        <v>9.93</v>
      </c>
      <c r="N279" s="53">
        <f t="shared" si="101"/>
        <v>9.68</v>
      </c>
      <c r="O279" s="53">
        <f t="shared" si="101"/>
        <v>9.68</v>
      </c>
      <c r="P279" s="53">
        <f t="shared" si="101"/>
        <v>9.68</v>
      </c>
      <c r="Q279" s="53">
        <f t="shared" si="101"/>
        <v>9.68</v>
      </c>
      <c r="R279" s="53">
        <f t="shared" si="101"/>
        <v>9.68</v>
      </c>
      <c r="S279" s="53">
        <f t="shared" si="101"/>
        <v>9.370000000000001</v>
      </c>
      <c r="T279" s="53">
        <f t="shared" si="101"/>
        <v>9.370000000000001</v>
      </c>
      <c r="U279" s="53">
        <f t="shared" si="101"/>
        <v>9.370000000000001</v>
      </c>
      <c r="V279" s="53">
        <f t="shared" si="101"/>
        <v>9.370000000000001</v>
      </c>
      <c r="W279" s="53">
        <f t="shared" si="101"/>
        <v>9.370000000000001</v>
      </c>
      <c r="X279" s="53">
        <f t="shared" si="101"/>
        <v>0</v>
      </c>
      <c r="Y279" s="53">
        <f t="shared" si="101"/>
        <v>0</v>
      </c>
      <c r="Z279" s="53">
        <f t="shared" si="101"/>
        <v>0</v>
      </c>
      <c r="AA279" s="53">
        <f t="shared" si="101"/>
        <v>0</v>
      </c>
      <c r="AB279" s="53">
        <f t="shared" si="101"/>
        <v>0</v>
      </c>
      <c r="AC279" s="53">
        <f t="shared" si="101"/>
        <v>0</v>
      </c>
      <c r="AD279" s="53">
        <f t="shared" si="101"/>
        <v>0</v>
      </c>
      <c r="AE279" s="53">
        <f t="shared" si="101"/>
        <v>0</v>
      </c>
      <c r="AF279" s="53">
        <f t="shared" si="101"/>
        <v>0</v>
      </c>
    </row>
    <row r="280" spans="4:32">
      <c r="D280" t="s">
        <v>84</v>
      </c>
      <c r="G280" t="s">
        <v>90</v>
      </c>
      <c r="H280" s="48">
        <f t="shared" ref="H280" si="102">SUM(I280:AF280)</f>
        <v>170.74653999999998</v>
      </c>
      <c r="I280" s="52">
        <f>I278*I279/1000</f>
        <v>20.763969999999997</v>
      </c>
      <c r="J280" s="52">
        <f t="shared" ref="J280:AF280" si="103">J278*J279/1000</f>
        <v>20.508740000000003</v>
      </c>
      <c r="K280" s="52">
        <f t="shared" si="103"/>
        <v>19.611459999999997</v>
      </c>
      <c r="L280" s="52">
        <f t="shared" si="103"/>
        <v>13.803519999999999</v>
      </c>
      <c r="M280" s="52">
        <f t="shared" si="103"/>
        <v>13.48494</v>
      </c>
      <c r="N280" s="52">
        <f t="shared" si="103"/>
        <v>13.106719999999999</v>
      </c>
      <c r="O280" s="52">
        <f t="shared" si="103"/>
        <v>13.077680000000001</v>
      </c>
      <c r="P280" s="52">
        <f t="shared" si="103"/>
        <v>13.077680000000001</v>
      </c>
      <c r="Q280" s="52">
        <f t="shared" si="103"/>
        <v>13.077680000000001</v>
      </c>
      <c r="R280" s="52">
        <f t="shared" si="103"/>
        <v>13.077680000000001</v>
      </c>
      <c r="S280" s="52">
        <f t="shared" si="103"/>
        <v>12.65887</v>
      </c>
      <c r="T280" s="52">
        <f t="shared" si="103"/>
        <v>4.4976000000000003</v>
      </c>
      <c r="U280" s="52">
        <f t="shared" si="103"/>
        <v>0</v>
      </c>
      <c r="V280" s="52">
        <f t="shared" si="103"/>
        <v>0</v>
      </c>
      <c r="W280" s="52">
        <f t="shared" si="103"/>
        <v>0</v>
      </c>
      <c r="X280" s="52">
        <f t="shared" si="103"/>
        <v>0</v>
      </c>
      <c r="Y280" s="52">
        <f t="shared" si="103"/>
        <v>0</v>
      </c>
      <c r="Z280" s="52">
        <f t="shared" si="103"/>
        <v>0</v>
      </c>
      <c r="AA280" s="52">
        <f t="shared" si="103"/>
        <v>0</v>
      </c>
      <c r="AB280" s="52">
        <f t="shared" si="103"/>
        <v>0</v>
      </c>
      <c r="AC280" s="52">
        <f t="shared" si="103"/>
        <v>0</v>
      </c>
      <c r="AD280" s="52">
        <f t="shared" si="103"/>
        <v>0</v>
      </c>
      <c r="AE280" s="52">
        <f t="shared" si="103"/>
        <v>0</v>
      </c>
      <c r="AF280" s="52">
        <f t="shared" si="103"/>
        <v>0</v>
      </c>
    </row>
    <row r="281" spans="4:32" ht="6" customHeight="1">
      <c r="D281" s="2"/>
      <c r="H281" s="29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</row>
    <row r="282" spans="4:32">
      <c r="D282" s="28" t="s">
        <v>213</v>
      </c>
      <c r="H282" s="29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</row>
    <row r="283" spans="4:32">
      <c r="D283" t="s">
        <v>214</v>
      </c>
      <c r="G283" t="s">
        <v>211</v>
      </c>
      <c r="H283" s="48">
        <f>SUM(I283:AF283)</f>
        <v>2933.0966600000002</v>
      </c>
      <c r="I283" s="52">
        <f t="shared" ref="I283:AF283" si="104">I266</f>
        <v>150.51068999999998</v>
      </c>
      <c r="J283" s="52">
        <f t="shared" si="104"/>
        <v>141.96744000000001</v>
      </c>
      <c r="K283" s="52">
        <f t="shared" si="104"/>
        <v>133.66458</v>
      </c>
      <c r="L283" s="52">
        <f t="shared" si="104"/>
        <v>127.76948</v>
      </c>
      <c r="M283" s="52">
        <f t="shared" si="104"/>
        <v>132.32473999999999</v>
      </c>
      <c r="N283" s="52">
        <f t="shared" si="104"/>
        <v>125.79431999999998</v>
      </c>
      <c r="O283" s="52">
        <f t="shared" si="104"/>
        <v>124.94533999999999</v>
      </c>
      <c r="P283" s="52">
        <f t="shared" si="104"/>
        <v>124.60937999999997</v>
      </c>
      <c r="Q283" s="52">
        <f t="shared" si="104"/>
        <v>122.15777999999999</v>
      </c>
      <c r="R283" s="52">
        <f t="shared" si="104"/>
        <v>124.46863999999997</v>
      </c>
      <c r="S283" s="52">
        <f t="shared" si="104"/>
        <v>123.43458999999999</v>
      </c>
      <c r="T283" s="52">
        <f t="shared" si="104"/>
        <v>123.57377999999999</v>
      </c>
      <c r="U283" s="52">
        <f t="shared" si="104"/>
        <v>123.57377999999999</v>
      </c>
      <c r="V283" s="52">
        <f t="shared" si="104"/>
        <v>124.07665999999998</v>
      </c>
      <c r="W283" s="52">
        <f t="shared" si="104"/>
        <v>123.99134999999998</v>
      </c>
      <c r="X283" s="52">
        <f t="shared" si="104"/>
        <v>120.33126000000001</v>
      </c>
      <c r="Y283" s="52">
        <f t="shared" si="104"/>
        <v>120.40182</v>
      </c>
      <c r="Z283" s="52">
        <f t="shared" si="104"/>
        <v>120.13280999999999</v>
      </c>
      <c r="AA283" s="52">
        <f t="shared" si="104"/>
        <v>118.96416000000001</v>
      </c>
      <c r="AB283" s="52">
        <f t="shared" si="104"/>
        <v>121.91445</v>
      </c>
      <c r="AC283" s="52">
        <f t="shared" si="104"/>
        <v>121.91445</v>
      </c>
      <c r="AD283" s="52">
        <f t="shared" si="104"/>
        <v>122.24961</v>
      </c>
      <c r="AE283" s="52">
        <f t="shared" si="104"/>
        <v>121.91445</v>
      </c>
      <c r="AF283" s="52">
        <f t="shared" si="104"/>
        <v>38.411099999999998</v>
      </c>
    </row>
    <row r="284" spans="4:32">
      <c r="D284" s="5" t="s">
        <v>84</v>
      </c>
      <c r="E284" s="5"/>
      <c r="F284" s="5"/>
      <c r="G284" s="5" t="s">
        <v>211</v>
      </c>
      <c r="H284" s="51">
        <f>SUM(I284:AF284)</f>
        <v>170.74653999999998</v>
      </c>
      <c r="I284" s="53">
        <f>I280</f>
        <v>20.763969999999997</v>
      </c>
      <c r="J284" s="53">
        <f t="shared" ref="J284:AF284" si="105">J280</f>
        <v>20.508740000000003</v>
      </c>
      <c r="K284" s="53">
        <f t="shared" si="105"/>
        <v>19.611459999999997</v>
      </c>
      <c r="L284" s="53">
        <f t="shared" si="105"/>
        <v>13.803519999999999</v>
      </c>
      <c r="M284" s="53">
        <f t="shared" si="105"/>
        <v>13.48494</v>
      </c>
      <c r="N284" s="53">
        <f t="shared" si="105"/>
        <v>13.106719999999999</v>
      </c>
      <c r="O284" s="53">
        <f t="shared" si="105"/>
        <v>13.077680000000001</v>
      </c>
      <c r="P284" s="53">
        <f t="shared" si="105"/>
        <v>13.077680000000001</v>
      </c>
      <c r="Q284" s="53">
        <f t="shared" si="105"/>
        <v>13.077680000000001</v>
      </c>
      <c r="R284" s="53">
        <f t="shared" si="105"/>
        <v>13.077680000000001</v>
      </c>
      <c r="S284" s="53">
        <f t="shared" si="105"/>
        <v>12.65887</v>
      </c>
      <c r="T284" s="53">
        <f t="shared" si="105"/>
        <v>4.4976000000000003</v>
      </c>
      <c r="U284" s="53">
        <f t="shared" si="105"/>
        <v>0</v>
      </c>
      <c r="V284" s="53">
        <f t="shared" si="105"/>
        <v>0</v>
      </c>
      <c r="W284" s="53">
        <f t="shared" si="105"/>
        <v>0</v>
      </c>
      <c r="X284" s="53">
        <f t="shared" si="105"/>
        <v>0</v>
      </c>
      <c r="Y284" s="53">
        <f t="shared" si="105"/>
        <v>0</v>
      </c>
      <c r="Z284" s="53">
        <f t="shared" si="105"/>
        <v>0</v>
      </c>
      <c r="AA284" s="53">
        <f t="shared" si="105"/>
        <v>0</v>
      </c>
      <c r="AB284" s="53">
        <f t="shared" si="105"/>
        <v>0</v>
      </c>
      <c r="AC284" s="53">
        <f t="shared" si="105"/>
        <v>0</v>
      </c>
      <c r="AD284" s="53">
        <f t="shared" si="105"/>
        <v>0</v>
      </c>
      <c r="AE284" s="53">
        <f t="shared" si="105"/>
        <v>0</v>
      </c>
      <c r="AF284" s="53">
        <f t="shared" si="105"/>
        <v>0</v>
      </c>
    </row>
    <row r="285" spans="4:32">
      <c r="D285" t="s">
        <v>212</v>
      </c>
      <c r="G285" t="s">
        <v>211</v>
      </c>
      <c r="H285" s="48">
        <f>SUM(I285:AF285)</f>
        <v>3103.8431999999998</v>
      </c>
      <c r="I285" s="52">
        <f>I283+I284</f>
        <v>171.27465999999998</v>
      </c>
      <c r="J285" s="52">
        <f t="shared" ref="J285:AF285" si="106">J283+J284</f>
        <v>162.47618</v>
      </c>
      <c r="K285" s="52">
        <f t="shared" si="106"/>
        <v>153.27603999999999</v>
      </c>
      <c r="L285" s="52">
        <f t="shared" si="106"/>
        <v>141.57300000000001</v>
      </c>
      <c r="M285" s="52">
        <f t="shared" si="106"/>
        <v>145.80967999999999</v>
      </c>
      <c r="N285" s="52">
        <f t="shared" si="106"/>
        <v>138.90103999999999</v>
      </c>
      <c r="O285" s="52">
        <f t="shared" si="106"/>
        <v>138.02301999999997</v>
      </c>
      <c r="P285" s="52">
        <f t="shared" si="106"/>
        <v>137.68705999999997</v>
      </c>
      <c r="Q285" s="52">
        <f t="shared" si="106"/>
        <v>135.23545999999999</v>
      </c>
      <c r="R285" s="52">
        <f t="shared" si="106"/>
        <v>137.54631999999998</v>
      </c>
      <c r="S285" s="52">
        <f t="shared" si="106"/>
        <v>136.09345999999999</v>
      </c>
      <c r="T285" s="52">
        <f t="shared" si="106"/>
        <v>128.07137999999998</v>
      </c>
      <c r="U285" s="52">
        <f t="shared" si="106"/>
        <v>123.57377999999999</v>
      </c>
      <c r="V285" s="52">
        <f t="shared" si="106"/>
        <v>124.07665999999998</v>
      </c>
      <c r="W285" s="52">
        <f t="shared" si="106"/>
        <v>123.99134999999998</v>
      </c>
      <c r="X285" s="52">
        <f t="shared" si="106"/>
        <v>120.33126000000001</v>
      </c>
      <c r="Y285" s="52">
        <f t="shared" si="106"/>
        <v>120.40182</v>
      </c>
      <c r="Z285" s="52">
        <f t="shared" si="106"/>
        <v>120.13280999999999</v>
      </c>
      <c r="AA285" s="52">
        <f t="shared" si="106"/>
        <v>118.96416000000001</v>
      </c>
      <c r="AB285" s="52">
        <f t="shared" si="106"/>
        <v>121.91445</v>
      </c>
      <c r="AC285" s="52">
        <f t="shared" si="106"/>
        <v>121.91445</v>
      </c>
      <c r="AD285" s="52">
        <f t="shared" si="106"/>
        <v>122.24961</v>
      </c>
      <c r="AE285" s="52">
        <f t="shared" si="106"/>
        <v>121.91445</v>
      </c>
      <c r="AF285" s="52">
        <f t="shared" si="106"/>
        <v>38.411099999999998</v>
      </c>
    </row>
    <row r="286" spans="4:32" ht="6" customHeight="1">
      <c r="D286" s="2"/>
      <c r="H286" s="29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</row>
    <row r="287" spans="4:32">
      <c r="D287" s="4" t="s">
        <v>217</v>
      </c>
      <c r="E287" s="4"/>
      <c r="F287" s="4"/>
      <c r="G287" s="4"/>
      <c r="H287" s="31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</row>
    <row r="288" spans="4:32" ht="6" customHeight="1">
      <c r="D288" s="2"/>
      <c r="H288" s="29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</row>
    <row r="289" spans="4:32">
      <c r="D289" s="28" t="s">
        <v>85</v>
      </c>
      <c r="H289" s="29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</row>
    <row r="290" spans="4:32">
      <c r="D290" t="s">
        <v>191</v>
      </c>
      <c r="G290" t="s">
        <v>8</v>
      </c>
      <c r="H290" s="48">
        <f>SUM(I290:AF290)</f>
        <v>204534</v>
      </c>
      <c r="I290" s="52">
        <f>I16</f>
        <v>13723</v>
      </c>
      <c r="J290" s="52">
        <f t="shared" ref="J290:AF290" si="107">J16</f>
        <v>17280</v>
      </c>
      <c r="K290" s="52">
        <f t="shared" si="107"/>
        <v>19122</v>
      </c>
      <c r="L290" s="52">
        <f t="shared" si="107"/>
        <v>16053</v>
      </c>
      <c r="M290" s="52">
        <f t="shared" si="107"/>
        <v>15601</v>
      </c>
      <c r="N290" s="52">
        <f t="shared" si="107"/>
        <v>12155</v>
      </c>
      <c r="O290" s="52">
        <f t="shared" si="107"/>
        <v>6100</v>
      </c>
      <c r="P290" s="52">
        <f t="shared" si="107"/>
        <v>2725</v>
      </c>
      <c r="Q290" s="52">
        <f t="shared" si="107"/>
        <v>3343</v>
      </c>
      <c r="R290" s="52">
        <f t="shared" si="107"/>
        <v>8965</v>
      </c>
      <c r="S290" s="52">
        <f t="shared" si="107"/>
        <v>9686</v>
      </c>
      <c r="T290" s="52">
        <f t="shared" si="107"/>
        <v>7530</v>
      </c>
      <c r="U290" s="52">
        <f t="shared" si="107"/>
        <v>7571</v>
      </c>
      <c r="V290" s="52">
        <f t="shared" si="107"/>
        <v>8568</v>
      </c>
      <c r="W290" s="52">
        <f t="shared" si="107"/>
        <v>12517</v>
      </c>
      <c r="X290" s="52">
        <f t="shared" si="107"/>
        <v>13499</v>
      </c>
      <c r="Y290" s="52">
        <f t="shared" si="107"/>
        <v>16352</v>
      </c>
      <c r="Z290" s="52">
        <f t="shared" si="107"/>
        <v>8973</v>
      </c>
      <c r="AA290" s="52">
        <f t="shared" si="107"/>
        <v>4771</v>
      </c>
      <c r="AB290" s="52">
        <f t="shared" si="107"/>
        <v>0</v>
      </c>
      <c r="AC290" s="52">
        <f t="shared" si="107"/>
        <v>0</v>
      </c>
      <c r="AD290" s="52">
        <f t="shared" si="107"/>
        <v>0</v>
      </c>
      <c r="AE290" s="52">
        <f t="shared" si="107"/>
        <v>0</v>
      </c>
      <c r="AF290" s="52">
        <f t="shared" si="107"/>
        <v>0</v>
      </c>
    </row>
    <row r="291" spans="4:32">
      <c r="D291" t="s">
        <v>192</v>
      </c>
      <c r="G291" t="s">
        <v>8</v>
      </c>
      <c r="H291" s="48">
        <f>SUM(I291:AF291)</f>
        <v>48709</v>
      </c>
      <c r="I291" s="52">
        <f>I23</f>
        <v>0</v>
      </c>
      <c r="J291" s="52">
        <f t="shared" ref="J291:AF291" si="108">J23</f>
        <v>0</v>
      </c>
      <c r="K291" s="52">
        <f t="shared" si="108"/>
        <v>0</v>
      </c>
      <c r="L291" s="52">
        <f t="shared" si="108"/>
        <v>2395</v>
      </c>
      <c r="M291" s="52">
        <f t="shared" si="108"/>
        <v>3965</v>
      </c>
      <c r="N291" s="52">
        <f t="shared" si="108"/>
        <v>424</v>
      </c>
      <c r="O291" s="52">
        <f t="shared" si="108"/>
        <v>6162</v>
      </c>
      <c r="P291" s="52">
        <f t="shared" si="108"/>
        <v>7707</v>
      </c>
      <c r="Q291" s="52">
        <f t="shared" si="108"/>
        <v>7927</v>
      </c>
      <c r="R291" s="52">
        <f t="shared" si="108"/>
        <v>6143</v>
      </c>
      <c r="S291" s="52">
        <f t="shared" si="108"/>
        <v>6855</v>
      </c>
      <c r="T291" s="52">
        <f t="shared" si="108"/>
        <v>4792</v>
      </c>
      <c r="U291" s="52">
        <f t="shared" si="108"/>
        <v>2049</v>
      </c>
      <c r="V291" s="52">
        <f t="shared" si="108"/>
        <v>290</v>
      </c>
      <c r="W291" s="52">
        <f t="shared" si="108"/>
        <v>0</v>
      </c>
      <c r="X291" s="52">
        <f t="shared" si="108"/>
        <v>0</v>
      </c>
      <c r="Y291" s="52">
        <f t="shared" si="108"/>
        <v>0</v>
      </c>
      <c r="Z291" s="52">
        <f t="shared" si="108"/>
        <v>0</v>
      </c>
      <c r="AA291" s="52">
        <f t="shared" si="108"/>
        <v>0</v>
      </c>
      <c r="AB291" s="52">
        <f t="shared" si="108"/>
        <v>0</v>
      </c>
      <c r="AC291" s="52">
        <f t="shared" si="108"/>
        <v>0</v>
      </c>
      <c r="AD291" s="52">
        <f t="shared" si="108"/>
        <v>0</v>
      </c>
      <c r="AE291" s="52">
        <f t="shared" si="108"/>
        <v>0</v>
      </c>
      <c r="AF291" s="52">
        <f t="shared" si="108"/>
        <v>0</v>
      </c>
    </row>
    <row r="292" spans="4:32">
      <c r="D292" t="s">
        <v>193</v>
      </c>
      <c r="G292" t="s">
        <v>8</v>
      </c>
      <c r="H292" s="48">
        <f>SUM(I292:AF292)</f>
        <v>252669</v>
      </c>
      <c r="I292" s="52">
        <f>I35</f>
        <v>7133</v>
      </c>
      <c r="J292" s="52">
        <f t="shared" ref="J292:AF292" si="109">J35</f>
        <v>3106</v>
      </c>
      <c r="K292" s="52">
        <f t="shared" si="109"/>
        <v>2395</v>
      </c>
      <c r="L292" s="52">
        <f t="shared" si="109"/>
        <v>3673</v>
      </c>
      <c r="M292" s="52">
        <f t="shared" si="109"/>
        <v>2612</v>
      </c>
      <c r="N292" s="52">
        <f t="shared" si="109"/>
        <v>9639</v>
      </c>
      <c r="O292" s="52">
        <f t="shared" si="109"/>
        <v>9784</v>
      </c>
      <c r="P292" s="52">
        <f t="shared" si="109"/>
        <v>11540</v>
      </c>
      <c r="Q292" s="52">
        <f t="shared" si="109"/>
        <v>10162</v>
      </c>
      <c r="R292" s="52">
        <f t="shared" si="109"/>
        <v>6818</v>
      </c>
      <c r="S292" s="52">
        <f t="shared" si="109"/>
        <v>5475</v>
      </c>
      <c r="T292" s="52">
        <f t="shared" si="109"/>
        <v>9725</v>
      </c>
      <c r="U292" s="52">
        <f t="shared" si="109"/>
        <v>12427</v>
      </c>
      <c r="V292" s="52">
        <f t="shared" si="109"/>
        <v>13286</v>
      </c>
      <c r="W292" s="52">
        <f t="shared" si="109"/>
        <v>9623</v>
      </c>
      <c r="X292" s="52">
        <f t="shared" si="109"/>
        <v>8312</v>
      </c>
      <c r="Y292" s="52">
        <f t="shared" si="109"/>
        <v>5475</v>
      </c>
      <c r="Z292" s="52">
        <f t="shared" si="109"/>
        <v>12778</v>
      </c>
      <c r="AA292" s="52">
        <f t="shared" si="109"/>
        <v>16730</v>
      </c>
      <c r="AB292" s="52">
        <f t="shared" si="109"/>
        <v>22170</v>
      </c>
      <c r="AC292" s="52">
        <f t="shared" si="109"/>
        <v>22170</v>
      </c>
      <c r="AD292" s="52">
        <f t="shared" si="109"/>
        <v>22231</v>
      </c>
      <c r="AE292" s="52">
        <f t="shared" si="109"/>
        <v>22170</v>
      </c>
      <c r="AF292" s="52">
        <f t="shared" si="109"/>
        <v>3235</v>
      </c>
    </row>
    <row r="293" spans="4:32">
      <c r="D293" t="s">
        <v>113</v>
      </c>
      <c r="G293" t="s">
        <v>8</v>
      </c>
      <c r="H293" s="48">
        <f t="shared" ref="H293:H295" si="110">SUM(I293:AF293)</f>
        <v>131507</v>
      </c>
      <c r="I293" s="52">
        <f>I41</f>
        <v>5462</v>
      </c>
      <c r="J293" s="52">
        <f t="shared" ref="J293:AF293" si="111">J41</f>
        <v>5490</v>
      </c>
      <c r="K293" s="52">
        <f t="shared" si="111"/>
        <v>5475</v>
      </c>
      <c r="L293" s="52">
        <f t="shared" si="111"/>
        <v>5475</v>
      </c>
      <c r="M293" s="52">
        <f t="shared" si="111"/>
        <v>5505</v>
      </c>
      <c r="N293" s="52">
        <f t="shared" si="111"/>
        <v>5490</v>
      </c>
      <c r="O293" s="52">
        <f t="shared" si="111"/>
        <v>5475</v>
      </c>
      <c r="P293" s="52">
        <f t="shared" si="111"/>
        <v>5475</v>
      </c>
      <c r="Q293" s="52">
        <f t="shared" si="111"/>
        <v>5475</v>
      </c>
      <c r="R293" s="52">
        <f t="shared" si="111"/>
        <v>5490</v>
      </c>
      <c r="S293" s="52">
        <f t="shared" si="111"/>
        <v>5475</v>
      </c>
      <c r="T293" s="52">
        <f t="shared" si="111"/>
        <v>5475</v>
      </c>
      <c r="U293" s="52">
        <f t="shared" si="111"/>
        <v>5475</v>
      </c>
      <c r="V293" s="52">
        <f t="shared" si="111"/>
        <v>5490</v>
      </c>
      <c r="W293" s="52">
        <f t="shared" si="111"/>
        <v>5475</v>
      </c>
      <c r="X293" s="52">
        <f t="shared" si="111"/>
        <v>5475</v>
      </c>
      <c r="Y293" s="52">
        <f t="shared" si="111"/>
        <v>5475</v>
      </c>
      <c r="Z293" s="52">
        <f t="shared" si="111"/>
        <v>5490</v>
      </c>
      <c r="AA293" s="52">
        <f t="shared" si="111"/>
        <v>5475</v>
      </c>
      <c r="AB293" s="52">
        <f t="shared" si="111"/>
        <v>5475</v>
      </c>
      <c r="AC293" s="52">
        <f t="shared" si="111"/>
        <v>5475</v>
      </c>
      <c r="AD293" s="52">
        <f t="shared" si="111"/>
        <v>5490</v>
      </c>
      <c r="AE293" s="52">
        <f t="shared" si="111"/>
        <v>5475</v>
      </c>
      <c r="AF293" s="52">
        <f t="shared" si="111"/>
        <v>5475</v>
      </c>
    </row>
    <row r="294" spans="4:32">
      <c r="D294" s="5" t="s">
        <v>218</v>
      </c>
      <c r="E294" s="5"/>
      <c r="F294" s="5"/>
      <c r="G294" s="5" t="s">
        <v>8</v>
      </c>
      <c r="H294" s="51">
        <f t="shared" si="110"/>
        <v>0</v>
      </c>
      <c r="I294" s="53">
        <f>I53</f>
        <v>0</v>
      </c>
      <c r="J294" s="53">
        <f t="shared" ref="J294:AF294" si="112">J53</f>
        <v>0</v>
      </c>
      <c r="K294" s="53">
        <f t="shared" si="112"/>
        <v>0</v>
      </c>
      <c r="L294" s="53">
        <f t="shared" si="112"/>
        <v>0</v>
      </c>
      <c r="M294" s="53">
        <f t="shared" si="112"/>
        <v>0</v>
      </c>
      <c r="N294" s="53">
        <f t="shared" si="112"/>
        <v>0</v>
      </c>
      <c r="O294" s="53">
        <f t="shared" si="112"/>
        <v>0</v>
      </c>
      <c r="P294" s="53">
        <f t="shared" si="112"/>
        <v>0</v>
      </c>
      <c r="Q294" s="53">
        <f t="shared" si="112"/>
        <v>0</v>
      </c>
      <c r="R294" s="53">
        <f t="shared" si="112"/>
        <v>0</v>
      </c>
      <c r="S294" s="53">
        <f t="shared" si="112"/>
        <v>0</v>
      </c>
      <c r="T294" s="53">
        <f t="shared" si="112"/>
        <v>0</v>
      </c>
      <c r="U294" s="53">
        <f t="shared" si="112"/>
        <v>0</v>
      </c>
      <c r="V294" s="53">
        <f t="shared" si="112"/>
        <v>0</v>
      </c>
      <c r="W294" s="53">
        <f t="shared" si="112"/>
        <v>0</v>
      </c>
      <c r="X294" s="53">
        <f t="shared" si="112"/>
        <v>0</v>
      </c>
      <c r="Y294" s="53">
        <f t="shared" si="112"/>
        <v>0</v>
      </c>
      <c r="Z294" s="53">
        <f t="shared" si="112"/>
        <v>0</v>
      </c>
      <c r="AA294" s="53">
        <f t="shared" si="112"/>
        <v>0</v>
      </c>
      <c r="AB294" s="53">
        <f t="shared" si="112"/>
        <v>0</v>
      </c>
      <c r="AC294" s="53">
        <f t="shared" si="112"/>
        <v>0</v>
      </c>
      <c r="AD294" s="53">
        <f t="shared" si="112"/>
        <v>0</v>
      </c>
      <c r="AE294" s="53">
        <f t="shared" si="112"/>
        <v>0</v>
      </c>
      <c r="AF294" s="53">
        <f t="shared" si="112"/>
        <v>0</v>
      </c>
    </row>
    <row r="295" spans="4:32">
      <c r="D295" t="s">
        <v>219</v>
      </c>
      <c r="G295" t="s">
        <v>8</v>
      </c>
      <c r="H295" s="48">
        <f t="shared" si="110"/>
        <v>637419</v>
      </c>
      <c r="I295" s="52">
        <f>I290+I291+I292+I293+I294</f>
        <v>26318</v>
      </c>
      <c r="J295" s="52">
        <f t="shared" ref="J295:AF295" si="113">J290+J291+J292+J293+J294</f>
        <v>25876</v>
      </c>
      <c r="K295" s="52">
        <f t="shared" si="113"/>
        <v>26992</v>
      </c>
      <c r="L295" s="52">
        <f t="shared" si="113"/>
        <v>27596</v>
      </c>
      <c r="M295" s="52">
        <f t="shared" si="113"/>
        <v>27683</v>
      </c>
      <c r="N295" s="52">
        <f t="shared" si="113"/>
        <v>27708</v>
      </c>
      <c r="O295" s="52">
        <f t="shared" si="113"/>
        <v>27521</v>
      </c>
      <c r="P295" s="52">
        <f t="shared" si="113"/>
        <v>27447</v>
      </c>
      <c r="Q295" s="52">
        <f t="shared" si="113"/>
        <v>26907</v>
      </c>
      <c r="R295" s="52">
        <f t="shared" si="113"/>
        <v>27416</v>
      </c>
      <c r="S295" s="52">
        <f t="shared" si="113"/>
        <v>27491</v>
      </c>
      <c r="T295" s="52">
        <f t="shared" si="113"/>
        <v>27522</v>
      </c>
      <c r="U295" s="52">
        <f t="shared" si="113"/>
        <v>27522</v>
      </c>
      <c r="V295" s="52">
        <f t="shared" si="113"/>
        <v>27634</v>
      </c>
      <c r="W295" s="52">
        <f t="shared" si="113"/>
        <v>27615</v>
      </c>
      <c r="X295" s="52">
        <f t="shared" si="113"/>
        <v>27286</v>
      </c>
      <c r="Y295" s="52">
        <f t="shared" si="113"/>
        <v>27302</v>
      </c>
      <c r="Z295" s="52">
        <f t="shared" si="113"/>
        <v>27241</v>
      </c>
      <c r="AA295" s="52">
        <f t="shared" si="113"/>
        <v>26976</v>
      </c>
      <c r="AB295" s="52">
        <f t="shared" si="113"/>
        <v>27645</v>
      </c>
      <c r="AC295" s="52">
        <f t="shared" si="113"/>
        <v>27645</v>
      </c>
      <c r="AD295" s="52">
        <f t="shared" si="113"/>
        <v>27721</v>
      </c>
      <c r="AE295" s="52">
        <f t="shared" si="113"/>
        <v>27645</v>
      </c>
      <c r="AF295" s="52">
        <f t="shared" si="113"/>
        <v>8710</v>
      </c>
    </row>
    <row r="296" spans="4:32" ht="6" customHeight="1">
      <c r="D296" s="2"/>
      <c r="H296" s="29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</row>
    <row r="297" spans="4:32">
      <c r="D297" t="s">
        <v>195</v>
      </c>
      <c r="G297" t="s">
        <v>83</v>
      </c>
      <c r="H297" s="48">
        <f>IF(SUM(I295:AF295)&lt;&gt;0,SUMPRODUCT(I295:AF295,I297:AF297)/SUM(I295:AF295),0)</f>
        <v>0.50453072468815652</v>
      </c>
      <c r="I297" s="65">
        <f>'Candelaria Inputs'!I546</f>
        <v>0.89</v>
      </c>
      <c r="J297" s="65">
        <f>'Candelaria Inputs'!J546</f>
        <v>0.91</v>
      </c>
      <c r="K297" s="65">
        <f>'Candelaria Inputs'!K546</f>
        <v>0.89</v>
      </c>
      <c r="L297" s="65">
        <f>'Candelaria Inputs'!L546</f>
        <v>0.88</v>
      </c>
      <c r="M297" s="65">
        <f>'Candelaria Inputs'!M546</f>
        <v>0.87</v>
      </c>
      <c r="N297" s="65">
        <f>'Candelaria Inputs'!N546</f>
        <v>0.77</v>
      </c>
      <c r="O297" s="65">
        <f>'Candelaria Inputs'!O546</f>
        <v>0.77</v>
      </c>
      <c r="P297" s="65">
        <f>'Candelaria Inputs'!P546</f>
        <v>0.77</v>
      </c>
      <c r="Q297" s="65">
        <f>'Candelaria Inputs'!Q546</f>
        <v>0.77</v>
      </c>
      <c r="R297" s="65">
        <f>'Candelaria Inputs'!R546</f>
        <v>0.77</v>
      </c>
      <c r="S297" s="65">
        <f>'Candelaria Inputs'!S546</f>
        <v>0.52</v>
      </c>
      <c r="T297" s="65">
        <f>'Candelaria Inputs'!T546</f>
        <v>0.52</v>
      </c>
      <c r="U297" s="65">
        <f>'Candelaria Inputs'!U546</f>
        <v>0.52</v>
      </c>
      <c r="V297" s="65">
        <f>'Candelaria Inputs'!V546</f>
        <v>0.52</v>
      </c>
      <c r="W297" s="65">
        <f>'Candelaria Inputs'!W546</f>
        <v>0.52</v>
      </c>
      <c r="X297" s="65">
        <f>'Candelaria Inputs'!X546</f>
        <v>0.11</v>
      </c>
      <c r="Y297" s="65">
        <f>'Candelaria Inputs'!Y546</f>
        <v>0.11</v>
      </c>
      <c r="Z297" s="65">
        <f>'Candelaria Inputs'!Z546</f>
        <v>0.11</v>
      </c>
      <c r="AA297" s="65">
        <f>'Candelaria Inputs'!AA546</f>
        <v>0.11</v>
      </c>
      <c r="AB297" s="65">
        <f>'Candelaria Inputs'!AB546</f>
        <v>0.11</v>
      </c>
      <c r="AC297" s="65">
        <f>'Candelaria Inputs'!AC546</f>
        <v>0.11</v>
      </c>
      <c r="AD297" s="65">
        <f>'Candelaria Inputs'!AD546</f>
        <v>0.11</v>
      </c>
      <c r="AE297" s="65">
        <f>'Candelaria Inputs'!AE546</f>
        <v>0.11</v>
      </c>
      <c r="AF297" s="65">
        <f>'Candelaria Inputs'!AF546</f>
        <v>0.11</v>
      </c>
    </row>
    <row r="298" spans="4:32">
      <c r="D298" t="s">
        <v>196</v>
      </c>
      <c r="G298" t="s">
        <v>83</v>
      </c>
      <c r="H298" s="48">
        <f>IF(SUM(I295:AF295)&lt;&gt;0,SUMPRODUCT(I295:AF295,I298:AF298)/SUM(I295:AF295),0)</f>
        <v>0.86320243042645406</v>
      </c>
      <c r="I298" s="65">
        <f>'Candelaria Inputs'!I553</f>
        <v>1.33</v>
      </c>
      <c r="J298" s="65">
        <f>'Candelaria Inputs'!J553</f>
        <v>1.34</v>
      </c>
      <c r="K298" s="65">
        <f>'Candelaria Inputs'!K553</f>
        <v>1.5</v>
      </c>
      <c r="L298" s="65">
        <f>'Candelaria Inputs'!L553</f>
        <v>0.98</v>
      </c>
      <c r="M298" s="65">
        <f>'Candelaria Inputs'!M553</f>
        <v>0.96</v>
      </c>
      <c r="N298" s="65">
        <f>'Candelaria Inputs'!N553</f>
        <v>0.91</v>
      </c>
      <c r="O298" s="65">
        <f>'Candelaria Inputs'!O553</f>
        <v>0.91</v>
      </c>
      <c r="P298" s="65">
        <f>'Candelaria Inputs'!P553</f>
        <v>0.91</v>
      </c>
      <c r="Q298" s="65">
        <f>'Candelaria Inputs'!Q553</f>
        <v>0.91</v>
      </c>
      <c r="R298" s="65">
        <f>'Candelaria Inputs'!R553</f>
        <v>0.91</v>
      </c>
      <c r="S298" s="65">
        <f>'Candelaria Inputs'!S553</f>
        <v>0.84</v>
      </c>
      <c r="T298" s="65">
        <f>'Candelaria Inputs'!T553</f>
        <v>0.84</v>
      </c>
      <c r="U298" s="65">
        <f>'Candelaria Inputs'!U553</f>
        <v>0.84</v>
      </c>
      <c r="V298" s="65">
        <f>'Candelaria Inputs'!V553</f>
        <v>0.84</v>
      </c>
      <c r="W298" s="65">
        <f>'Candelaria Inputs'!W553</f>
        <v>0.84</v>
      </c>
      <c r="X298" s="65">
        <f>'Candelaria Inputs'!X553</f>
        <v>0.64</v>
      </c>
      <c r="Y298" s="65">
        <f>'Candelaria Inputs'!Y553</f>
        <v>0.64</v>
      </c>
      <c r="Z298" s="65">
        <f>'Candelaria Inputs'!Z553</f>
        <v>0.64</v>
      </c>
      <c r="AA298" s="65">
        <f>'Candelaria Inputs'!AA553</f>
        <v>0.64</v>
      </c>
      <c r="AB298" s="65">
        <f>'Candelaria Inputs'!AB553</f>
        <v>0.64</v>
      </c>
      <c r="AC298" s="65">
        <f>'Candelaria Inputs'!AC553</f>
        <v>0.64</v>
      </c>
      <c r="AD298" s="65">
        <f>'Candelaria Inputs'!AD553</f>
        <v>0.64</v>
      </c>
      <c r="AE298" s="65">
        <f>'Candelaria Inputs'!AE553</f>
        <v>0.64</v>
      </c>
      <c r="AF298" s="65">
        <f>'Candelaria Inputs'!AF553</f>
        <v>0.64</v>
      </c>
    </row>
    <row r="299" spans="4:32">
      <c r="D299" t="s">
        <v>197</v>
      </c>
      <c r="G299" t="s">
        <v>83</v>
      </c>
      <c r="H299" s="48">
        <f>IF(SUM(I295:AF295)&lt;&gt;0,SUMPRODUCT(I295:AF295,I299:AF299)/SUM(I295:AF295),0)</f>
        <v>0.14146093856631195</v>
      </c>
      <c r="I299" s="65">
        <f>'Candelaria Inputs'!I560</f>
        <v>0.32</v>
      </c>
      <c r="J299" s="65">
        <f>'Candelaria Inputs'!J560</f>
        <v>0.24</v>
      </c>
      <c r="K299" s="65">
        <f>'Candelaria Inputs'!K560</f>
        <v>0.24</v>
      </c>
      <c r="L299" s="65">
        <f>'Candelaria Inputs'!L560</f>
        <v>0.22</v>
      </c>
      <c r="M299" s="65">
        <f>'Candelaria Inputs'!M560</f>
        <v>0.16</v>
      </c>
      <c r="N299" s="65">
        <f>'Candelaria Inputs'!N560</f>
        <v>0.16</v>
      </c>
      <c r="O299" s="65">
        <f>'Candelaria Inputs'!O560</f>
        <v>0.16</v>
      </c>
      <c r="P299" s="65">
        <f>'Candelaria Inputs'!P560</f>
        <v>0.16</v>
      </c>
      <c r="Q299" s="65">
        <f>'Candelaria Inputs'!Q560</f>
        <v>0.16</v>
      </c>
      <c r="R299" s="65">
        <f>'Candelaria Inputs'!R560</f>
        <v>0.16</v>
      </c>
      <c r="S299" s="65">
        <f>'Candelaria Inputs'!S560</f>
        <v>0.15</v>
      </c>
      <c r="T299" s="65">
        <f>'Candelaria Inputs'!T560</f>
        <v>0.15</v>
      </c>
      <c r="U299" s="65">
        <f>'Candelaria Inputs'!U560</f>
        <v>0.15</v>
      </c>
      <c r="V299" s="65">
        <f>'Candelaria Inputs'!V560</f>
        <v>0.15</v>
      </c>
      <c r="W299" s="65">
        <f>'Candelaria Inputs'!W560</f>
        <v>0.15</v>
      </c>
      <c r="X299" s="65">
        <f>'Candelaria Inputs'!X560</f>
        <v>7.0000000000000007E-2</v>
      </c>
      <c r="Y299" s="65">
        <f>'Candelaria Inputs'!Y560</f>
        <v>7.0000000000000007E-2</v>
      </c>
      <c r="Z299" s="65">
        <f>'Candelaria Inputs'!Z560</f>
        <v>7.0000000000000007E-2</v>
      </c>
      <c r="AA299" s="65">
        <f>'Candelaria Inputs'!AA560</f>
        <v>7.0000000000000007E-2</v>
      </c>
      <c r="AB299" s="65">
        <f>'Candelaria Inputs'!AB560</f>
        <v>7.0000000000000007E-2</v>
      </c>
      <c r="AC299" s="65">
        <f>'Candelaria Inputs'!AC560</f>
        <v>7.0000000000000007E-2</v>
      </c>
      <c r="AD299" s="65">
        <f>'Candelaria Inputs'!AD560</f>
        <v>7.0000000000000007E-2</v>
      </c>
      <c r="AE299" s="65">
        <f>'Candelaria Inputs'!AE560</f>
        <v>7.0000000000000007E-2</v>
      </c>
      <c r="AF299" s="65">
        <f>'Candelaria Inputs'!AF560</f>
        <v>7.0000000000000007E-2</v>
      </c>
    </row>
    <row r="300" spans="4:32">
      <c r="D300" t="s">
        <v>198</v>
      </c>
      <c r="G300" t="s">
        <v>83</v>
      </c>
      <c r="H300" s="48">
        <f>IF(SUM(I295:AF295)&lt;&gt;0,SUMPRODUCT(I295:AF295,I300:AF300)/SUM(I295:AF295),0)</f>
        <v>1.0412883833083104E-2</v>
      </c>
      <c r="I300" s="65">
        <f>'Candelaria Inputs'!I567</f>
        <v>0.02</v>
      </c>
      <c r="J300" s="65">
        <f>'Candelaria Inputs'!J567</f>
        <v>0.01</v>
      </c>
      <c r="K300" s="65">
        <f>'Candelaria Inputs'!K567</f>
        <v>0.01</v>
      </c>
      <c r="L300" s="65">
        <f>'Candelaria Inputs'!L567</f>
        <v>0.01</v>
      </c>
      <c r="M300" s="65">
        <f>'Candelaria Inputs'!M567</f>
        <v>0.01</v>
      </c>
      <c r="N300" s="65">
        <f>'Candelaria Inputs'!N567</f>
        <v>0.01</v>
      </c>
      <c r="O300" s="65">
        <f>'Candelaria Inputs'!O567</f>
        <v>0.01</v>
      </c>
      <c r="P300" s="65">
        <f>'Candelaria Inputs'!P567</f>
        <v>0.01</v>
      </c>
      <c r="Q300" s="65">
        <f>'Candelaria Inputs'!Q567</f>
        <v>0.01</v>
      </c>
      <c r="R300" s="65">
        <f>'Candelaria Inputs'!R567</f>
        <v>0.01</v>
      </c>
      <c r="S300" s="65">
        <f>'Candelaria Inputs'!S567</f>
        <v>0.01</v>
      </c>
      <c r="T300" s="65">
        <f>'Candelaria Inputs'!T567</f>
        <v>0.01</v>
      </c>
      <c r="U300" s="65">
        <f>'Candelaria Inputs'!U567</f>
        <v>0.01</v>
      </c>
      <c r="V300" s="65">
        <f>'Candelaria Inputs'!V567</f>
        <v>0.01</v>
      </c>
      <c r="W300" s="65">
        <f>'Candelaria Inputs'!W567</f>
        <v>0.01</v>
      </c>
      <c r="X300" s="65">
        <f>'Candelaria Inputs'!X567</f>
        <v>0.01</v>
      </c>
      <c r="Y300" s="65">
        <f>'Candelaria Inputs'!Y567</f>
        <v>0.01</v>
      </c>
      <c r="Z300" s="65">
        <f>'Candelaria Inputs'!Z567</f>
        <v>0.01</v>
      </c>
      <c r="AA300" s="65">
        <f>'Candelaria Inputs'!AA567</f>
        <v>0.01</v>
      </c>
      <c r="AB300" s="65">
        <f>'Candelaria Inputs'!AB567</f>
        <v>0.01</v>
      </c>
      <c r="AC300" s="65">
        <f>'Candelaria Inputs'!AC567</f>
        <v>0.01</v>
      </c>
      <c r="AD300" s="65">
        <f>'Candelaria Inputs'!AD567</f>
        <v>0.01</v>
      </c>
      <c r="AE300" s="65">
        <f>'Candelaria Inputs'!AE567</f>
        <v>0.01</v>
      </c>
      <c r="AF300" s="65">
        <f>'Candelaria Inputs'!AF567</f>
        <v>0.01</v>
      </c>
    </row>
    <row r="301" spans="4:32">
      <c r="D301" s="5" t="s">
        <v>199</v>
      </c>
      <c r="E301" s="5"/>
      <c r="F301" s="5"/>
      <c r="G301" s="5" t="s">
        <v>83</v>
      </c>
      <c r="H301" s="51">
        <f>IF(SUM(I295:AF295)&lt;&gt;0,SUMPRODUCT(I295:AF295,I301:AF301)/SUM(I295:AF295),0)</f>
        <v>-0.13675301489287267</v>
      </c>
      <c r="I301" s="54">
        <f>'Candelaria Inputs'!I574</f>
        <v>-0.12</v>
      </c>
      <c r="J301" s="54">
        <f>'Candelaria Inputs'!J574</f>
        <v>-0.15</v>
      </c>
      <c r="K301" s="54">
        <f>'Candelaria Inputs'!K574</f>
        <v>-0.17</v>
      </c>
      <c r="L301" s="54">
        <f>'Candelaria Inputs'!L574</f>
        <v>-0.2</v>
      </c>
      <c r="M301" s="54">
        <f>'Candelaria Inputs'!M574</f>
        <v>-0.2</v>
      </c>
      <c r="N301" s="54">
        <f>'Candelaria Inputs'!N574</f>
        <v>-0.18</v>
      </c>
      <c r="O301" s="54">
        <f>'Candelaria Inputs'!O574</f>
        <v>-0.18</v>
      </c>
      <c r="P301" s="54">
        <f>'Candelaria Inputs'!P574</f>
        <v>-0.18</v>
      </c>
      <c r="Q301" s="54">
        <f>'Candelaria Inputs'!Q574</f>
        <v>-0.18</v>
      </c>
      <c r="R301" s="54">
        <f>'Candelaria Inputs'!R574</f>
        <v>-0.18</v>
      </c>
      <c r="S301" s="54">
        <f>'Candelaria Inputs'!S574</f>
        <v>-0.14000000000000001</v>
      </c>
      <c r="T301" s="54">
        <f>'Candelaria Inputs'!T574</f>
        <v>-0.14000000000000001</v>
      </c>
      <c r="U301" s="54">
        <f>'Candelaria Inputs'!U574</f>
        <v>-0.14000000000000001</v>
      </c>
      <c r="V301" s="54">
        <f>'Candelaria Inputs'!V574</f>
        <v>-0.14000000000000001</v>
      </c>
      <c r="W301" s="54">
        <f>'Candelaria Inputs'!W574</f>
        <v>-0.14000000000000001</v>
      </c>
      <c r="X301" s="54">
        <f>'Candelaria Inputs'!X574</f>
        <v>-0.09</v>
      </c>
      <c r="Y301" s="54">
        <f>'Candelaria Inputs'!Y574</f>
        <v>-0.09</v>
      </c>
      <c r="Z301" s="54">
        <f>'Candelaria Inputs'!Z574</f>
        <v>-0.09</v>
      </c>
      <c r="AA301" s="54">
        <f>'Candelaria Inputs'!AA574</f>
        <v>-0.09</v>
      </c>
      <c r="AB301" s="54">
        <f>'Candelaria Inputs'!AB574</f>
        <v>-0.09</v>
      </c>
      <c r="AC301" s="54">
        <f>'Candelaria Inputs'!AC574</f>
        <v>-0.09</v>
      </c>
      <c r="AD301" s="54">
        <f>'Candelaria Inputs'!AD574</f>
        <v>-0.09</v>
      </c>
      <c r="AE301" s="54">
        <f>'Candelaria Inputs'!AE574</f>
        <v>-0.09</v>
      </c>
      <c r="AF301" s="54">
        <f>'Candelaria Inputs'!AF574</f>
        <v>-0.09</v>
      </c>
    </row>
    <row r="302" spans="4:32">
      <c r="D302" t="s">
        <v>214</v>
      </c>
      <c r="G302" t="s">
        <v>83</v>
      </c>
      <c r="H302" s="48">
        <f>IF(SUM(I295:AF295)&lt;&gt;0,SUMPRODUCT(I295:AF295,I302:AF302)/SUM(I295:AF295),0)</f>
        <v>1.3828539626211331</v>
      </c>
      <c r="I302" s="52">
        <f>SUM(I297:I301)</f>
        <v>2.44</v>
      </c>
      <c r="J302" s="52">
        <f t="shared" ref="J302:AF302" si="114">SUM(J297:J301)</f>
        <v>2.35</v>
      </c>
      <c r="K302" s="52">
        <f t="shared" si="114"/>
        <v>2.4699999999999998</v>
      </c>
      <c r="L302" s="52">
        <f t="shared" si="114"/>
        <v>1.89</v>
      </c>
      <c r="M302" s="52">
        <f t="shared" si="114"/>
        <v>1.8</v>
      </c>
      <c r="N302" s="52">
        <f t="shared" si="114"/>
        <v>1.6700000000000002</v>
      </c>
      <c r="O302" s="52">
        <f t="shared" si="114"/>
        <v>1.6700000000000002</v>
      </c>
      <c r="P302" s="52">
        <f t="shared" si="114"/>
        <v>1.6700000000000002</v>
      </c>
      <c r="Q302" s="52">
        <f t="shared" si="114"/>
        <v>1.6700000000000002</v>
      </c>
      <c r="R302" s="52">
        <f t="shared" si="114"/>
        <v>1.6700000000000002</v>
      </c>
      <c r="S302" s="52">
        <f t="shared" si="114"/>
        <v>1.38</v>
      </c>
      <c r="T302" s="52">
        <f t="shared" si="114"/>
        <v>1.38</v>
      </c>
      <c r="U302" s="52">
        <f t="shared" si="114"/>
        <v>1.38</v>
      </c>
      <c r="V302" s="52">
        <f t="shared" si="114"/>
        <v>1.38</v>
      </c>
      <c r="W302" s="52">
        <f t="shared" si="114"/>
        <v>1.38</v>
      </c>
      <c r="X302" s="52">
        <f t="shared" si="114"/>
        <v>0.7400000000000001</v>
      </c>
      <c r="Y302" s="52">
        <f t="shared" si="114"/>
        <v>0.7400000000000001</v>
      </c>
      <c r="Z302" s="52">
        <f t="shared" si="114"/>
        <v>0.7400000000000001</v>
      </c>
      <c r="AA302" s="52">
        <f t="shared" si="114"/>
        <v>0.7400000000000001</v>
      </c>
      <c r="AB302" s="52">
        <f t="shared" si="114"/>
        <v>0.7400000000000001</v>
      </c>
      <c r="AC302" s="52">
        <f t="shared" si="114"/>
        <v>0.7400000000000001</v>
      </c>
      <c r="AD302" s="52">
        <f t="shared" si="114"/>
        <v>0.7400000000000001</v>
      </c>
      <c r="AE302" s="52">
        <f t="shared" si="114"/>
        <v>0.7400000000000001</v>
      </c>
      <c r="AF302" s="52">
        <f t="shared" si="114"/>
        <v>0.7400000000000001</v>
      </c>
    </row>
    <row r="303" spans="4:32" ht="6" customHeight="1">
      <c r="D303" s="2"/>
      <c r="H303" s="29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</row>
    <row r="304" spans="4:32">
      <c r="D304" t="s">
        <v>215</v>
      </c>
      <c r="G304" t="s">
        <v>8</v>
      </c>
      <c r="H304" s="48">
        <f t="shared" ref="H304" si="115">SUM(I304:AF304)</f>
        <v>637419</v>
      </c>
      <c r="I304" s="52">
        <f>I295</f>
        <v>26318</v>
      </c>
      <c r="J304" s="52">
        <f t="shared" ref="J304:AF304" si="116">J295</f>
        <v>25876</v>
      </c>
      <c r="K304" s="52">
        <f t="shared" si="116"/>
        <v>26992</v>
      </c>
      <c r="L304" s="52">
        <f t="shared" si="116"/>
        <v>27596</v>
      </c>
      <c r="M304" s="52">
        <f t="shared" si="116"/>
        <v>27683</v>
      </c>
      <c r="N304" s="52">
        <f t="shared" si="116"/>
        <v>27708</v>
      </c>
      <c r="O304" s="52">
        <f t="shared" si="116"/>
        <v>27521</v>
      </c>
      <c r="P304" s="52">
        <f t="shared" si="116"/>
        <v>27447</v>
      </c>
      <c r="Q304" s="52">
        <f t="shared" si="116"/>
        <v>26907</v>
      </c>
      <c r="R304" s="52">
        <f t="shared" si="116"/>
        <v>27416</v>
      </c>
      <c r="S304" s="52">
        <f t="shared" si="116"/>
        <v>27491</v>
      </c>
      <c r="T304" s="52">
        <f t="shared" si="116"/>
        <v>27522</v>
      </c>
      <c r="U304" s="52">
        <f t="shared" si="116"/>
        <v>27522</v>
      </c>
      <c r="V304" s="52">
        <f t="shared" si="116"/>
        <v>27634</v>
      </c>
      <c r="W304" s="52">
        <f t="shared" si="116"/>
        <v>27615</v>
      </c>
      <c r="X304" s="52">
        <f t="shared" si="116"/>
        <v>27286</v>
      </c>
      <c r="Y304" s="52">
        <f t="shared" si="116"/>
        <v>27302</v>
      </c>
      <c r="Z304" s="52">
        <f t="shared" si="116"/>
        <v>27241</v>
      </c>
      <c r="AA304" s="52">
        <f t="shared" si="116"/>
        <v>26976</v>
      </c>
      <c r="AB304" s="52">
        <f t="shared" si="116"/>
        <v>27645</v>
      </c>
      <c r="AC304" s="52">
        <f t="shared" si="116"/>
        <v>27645</v>
      </c>
      <c r="AD304" s="52">
        <f t="shared" si="116"/>
        <v>27721</v>
      </c>
      <c r="AE304" s="52">
        <f t="shared" si="116"/>
        <v>27645</v>
      </c>
      <c r="AF304" s="52">
        <f t="shared" si="116"/>
        <v>8710</v>
      </c>
    </row>
    <row r="305" spans="4:32">
      <c r="D305" s="5" t="s">
        <v>214</v>
      </c>
      <c r="E305" s="5"/>
      <c r="F305" s="5"/>
      <c r="G305" s="5" t="s">
        <v>83</v>
      </c>
      <c r="H305" s="51">
        <f>IF(SUM(I304:AF304)&lt;&gt;0,SUMPRODUCT(I304:AF304,I305:AF305)/SUM(I304:AF304),0)</f>
        <v>1.3828539626211331</v>
      </c>
      <c r="I305" s="53">
        <f>I302</f>
        <v>2.44</v>
      </c>
      <c r="J305" s="53">
        <f t="shared" ref="J305:AF305" si="117">J302</f>
        <v>2.35</v>
      </c>
      <c r="K305" s="53">
        <f t="shared" si="117"/>
        <v>2.4699999999999998</v>
      </c>
      <c r="L305" s="53">
        <f t="shared" si="117"/>
        <v>1.89</v>
      </c>
      <c r="M305" s="53">
        <f t="shared" si="117"/>
        <v>1.8</v>
      </c>
      <c r="N305" s="53">
        <f t="shared" si="117"/>
        <v>1.6700000000000002</v>
      </c>
      <c r="O305" s="53">
        <f t="shared" si="117"/>
        <v>1.6700000000000002</v>
      </c>
      <c r="P305" s="53">
        <f t="shared" si="117"/>
        <v>1.6700000000000002</v>
      </c>
      <c r="Q305" s="53">
        <f t="shared" si="117"/>
        <v>1.6700000000000002</v>
      </c>
      <c r="R305" s="53">
        <f t="shared" si="117"/>
        <v>1.6700000000000002</v>
      </c>
      <c r="S305" s="53">
        <f t="shared" si="117"/>
        <v>1.38</v>
      </c>
      <c r="T305" s="53">
        <f t="shared" si="117"/>
        <v>1.38</v>
      </c>
      <c r="U305" s="53">
        <f t="shared" si="117"/>
        <v>1.38</v>
      </c>
      <c r="V305" s="53">
        <f t="shared" si="117"/>
        <v>1.38</v>
      </c>
      <c r="W305" s="53">
        <f t="shared" si="117"/>
        <v>1.38</v>
      </c>
      <c r="X305" s="53">
        <f t="shared" si="117"/>
        <v>0.7400000000000001</v>
      </c>
      <c r="Y305" s="53">
        <f t="shared" si="117"/>
        <v>0.7400000000000001</v>
      </c>
      <c r="Z305" s="53">
        <f t="shared" si="117"/>
        <v>0.7400000000000001</v>
      </c>
      <c r="AA305" s="53">
        <f t="shared" si="117"/>
        <v>0.7400000000000001</v>
      </c>
      <c r="AB305" s="53">
        <f t="shared" si="117"/>
        <v>0.7400000000000001</v>
      </c>
      <c r="AC305" s="53">
        <f t="shared" si="117"/>
        <v>0.7400000000000001</v>
      </c>
      <c r="AD305" s="53">
        <f t="shared" si="117"/>
        <v>0.7400000000000001</v>
      </c>
      <c r="AE305" s="53">
        <f t="shared" si="117"/>
        <v>0.7400000000000001</v>
      </c>
      <c r="AF305" s="53">
        <f t="shared" si="117"/>
        <v>0.7400000000000001</v>
      </c>
    </row>
    <row r="306" spans="4:32">
      <c r="D306" t="s">
        <v>214</v>
      </c>
      <c r="G306" t="s">
        <v>90</v>
      </c>
      <c r="H306" s="48">
        <f t="shared" ref="H306" si="118">SUM(I306:AF306)</f>
        <v>881.45739000000003</v>
      </c>
      <c r="I306" s="52">
        <f>I304*I305/1000</f>
        <v>64.215919999999997</v>
      </c>
      <c r="J306" s="52">
        <f t="shared" ref="J306:AF306" si="119">J304*J305/1000</f>
        <v>60.808600000000006</v>
      </c>
      <c r="K306" s="52">
        <f t="shared" si="119"/>
        <v>66.670239999999993</v>
      </c>
      <c r="L306" s="52">
        <f t="shared" si="119"/>
        <v>52.156439999999996</v>
      </c>
      <c r="M306" s="52">
        <f t="shared" si="119"/>
        <v>49.8294</v>
      </c>
      <c r="N306" s="52">
        <f t="shared" si="119"/>
        <v>46.272359999999999</v>
      </c>
      <c r="O306" s="52">
        <f t="shared" si="119"/>
        <v>45.960070000000009</v>
      </c>
      <c r="P306" s="52">
        <f t="shared" si="119"/>
        <v>45.836490000000005</v>
      </c>
      <c r="Q306" s="52">
        <f t="shared" si="119"/>
        <v>44.934690000000003</v>
      </c>
      <c r="R306" s="52">
        <f t="shared" si="119"/>
        <v>45.78472</v>
      </c>
      <c r="S306" s="52">
        <f t="shared" si="119"/>
        <v>37.937579999999997</v>
      </c>
      <c r="T306" s="52">
        <f t="shared" si="119"/>
        <v>37.980359999999997</v>
      </c>
      <c r="U306" s="52">
        <f t="shared" si="119"/>
        <v>37.980359999999997</v>
      </c>
      <c r="V306" s="52">
        <f t="shared" si="119"/>
        <v>38.134920000000001</v>
      </c>
      <c r="W306" s="52">
        <f t="shared" si="119"/>
        <v>38.108699999999999</v>
      </c>
      <c r="X306" s="52">
        <f t="shared" si="119"/>
        <v>20.191640000000003</v>
      </c>
      <c r="Y306" s="52">
        <f t="shared" si="119"/>
        <v>20.203480000000003</v>
      </c>
      <c r="Z306" s="52">
        <f t="shared" si="119"/>
        <v>20.158340000000003</v>
      </c>
      <c r="AA306" s="52">
        <f t="shared" si="119"/>
        <v>19.962240000000001</v>
      </c>
      <c r="AB306" s="52">
        <f t="shared" si="119"/>
        <v>20.457300000000004</v>
      </c>
      <c r="AC306" s="52">
        <f t="shared" si="119"/>
        <v>20.457300000000004</v>
      </c>
      <c r="AD306" s="52">
        <f t="shared" si="119"/>
        <v>20.513540000000006</v>
      </c>
      <c r="AE306" s="52">
        <f t="shared" si="119"/>
        <v>20.457300000000004</v>
      </c>
      <c r="AF306" s="52">
        <f t="shared" si="119"/>
        <v>6.4454000000000002</v>
      </c>
    </row>
    <row r="307" spans="4:32" ht="6" customHeight="1">
      <c r="D307" s="2"/>
      <c r="H307" s="29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</row>
    <row r="308" spans="4:32">
      <c r="D308" s="28" t="s">
        <v>86</v>
      </c>
      <c r="H308" s="29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</row>
    <row r="309" spans="4:32">
      <c r="D309" t="s">
        <v>114</v>
      </c>
      <c r="G309" t="s">
        <v>8</v>
      </c>
      <c r="H309" s="48">
        <f>SUM(I309:AF309)</f>
        <v>1534</v>
      </c>
      <c r="I309" s="52">
        <f>I47</f>
        <v>511</v>
      </c>
      <c r="J309" s="52">
        <f t="shared" ref="J309:AF309" si="120">J47</f>
        <v>512</v>
      </c>
      <c r="K309" s="52">
        <f t="shared" si="120"/>
        <v>511</v>
      </c>
      <c r="L309" s="52">
        <f t="shared" si="120"/>
        <v>0</v>
      </c>
      <c r="M309" s="52">
        <f t="shared" si="120"/>
        <v>0</v>
      </c>
      <c r="N309" s="52">
        <f t="shared" si="120"/>
        <v>0</v>
      </c>
      <c r="O309" s="52">
        <f t="shared" si="120"/>
        <v>0</v>
      </c>
      <c r="P309" s="52">
        <f t="shared" si="120"/>
        <v>0</v>
      </c>
      <c r="Q309" s="52">
        <f t="shared" si="120"/>
        <v>0</v>
      </c>
      <c r="R309" s="52">
        <f t="shared" si="120"/>
        <v>0</v>
      </c>
      <c r="S309" s="52">
        <f t="shared" si="120"/>
        <v>0</v>
      </c>
      <c r="T309" s="52">
        <f t="shared" si="120"/>
        <v>0</v>
      </c>
      <c r="U309" s="52">
        <f t="shared" si="120"/>
        <v>0</v>
      </c>
      <c r="V309" s="52">
        <f t="shared" si="120"/>
        <v>0</v>
      </c>
      <c r="W309" s="52">
        <f t="shared" si="120"/>
        <v>0</v>
      </c>
      <c r="X309" s="52">
        <f t="shared" si="120"/>
        <v>0</v>
      </c>
      <c r="Y309" s="52">
        <f t="shared" si="120"/>
        <v>0</v>
      </c>
      <c r="Z309" s="52">
        <f t="shared" si="120"/>
        <v>0</v>
      </c>
      <c r="AA309" s="52">
        <f t="shared" si="120"/>
        <v>0</v>
      </c>
      <c r="AB309" s="52">
        <f t="shared" si="120"/>
        <v>0</v>
      </c>
      <c r="AC309" s="52">
        <f t="shared" si="120"/>
        <v>0</v>
      </c>
      <c r="AD309" s="52">
        <f t="shared" si="120"/>
        <v>0</v>
      </c>
      <c r="AE309" s="52">
        <f t="shared" si="120"/>
        <v>0</v>
      </c>
      <c r="AF309" s="52">
        <f t="shared" si="120"/>
        <v>0</v>
      </c>
    </row>
    <row r="310" spans="4:32">
      <c r="D310" s="5" t="s">
        <v>115</v>
      </c>
      <c r="E310" s="5"/>
      <c r="F310" s="5"/>
      <c r="G310" s="5" t="s">
        <v>8</v>
      </c>
      <c r="H310" s="51">
        <f t="shared" ref="H310:H311" si="121">SUM(I310:AF310)</f>
        <v>15263</v>
      </c>
      <c r="I310" s="53">
        <f>I104</f>
        <v>1312</v>
      </c>
      <c r="J310" s="53">
        <f t="shared" ref="J310:AF310" si="122">J104</f>
        <v>1329</v>
      </c>
      <c r="K310" s="53">
        <f t="shared" si="122"/>
        <v>1327</v>
      </c>
      <c r="L310" s="53">
        <f t="shared" si="122"/>
        <v>1348</v>
      </c>
      <c r="M310" s="53">
        <f t="shared" si="122"/>
        <v>1358</v>
      </c>
      <c r="N310" s="53">
        <f t="shared" si="122"/>
        <v>1354</v>
      </c>
      <c r="O310" s="53">
        <f t="shared" si="122"/>
        <v>1351</v>
      </c>
      <c r="P310" s="53">
        <f t="shared" si="122"/>
        <v>1351</v>
      </c>
      <c r="Q310" s="53">
        <f t="shared" si="122"/>
        <v>1351</v>
      </c>
      <c r="R310" s="53">
        <f t="shared" si="122"/>
        <v>1351</v>
      </c>
      <c r="S310" s="53">
        <f t="shared" si="122"/>
        <v>1351</v>
      </c>
      <c r="T310" s="53">
        <f t="shared" si="122"/>
        <v>480</v>
      </c>
      <c r="U310" s="53">
        <f t="shared" si="122"/>
        <v>0</v>
      </c>
      <c r="V310" s="53">
        <f t="shared" si="122"/>
        <v>0</v>
      </c>
      <c r="W310" s="53">
        <f t="shared" si="122"/>
        <v>0</v>
      </c>
      <c r="X310" s="53">
        <f t="shared" si="122"/>
        <v>0</v>
      </c>
      <c r="Y310" s="53">
        <f t="shared" si="122"/>
        <v>0</v>
      </c>
      <c r="Z310" s="53">
        <f t="shared" si="122"/>
        <v>0</v>
      </c>
      <c r="AA310" s="53">
        <f t="shared" si="122"/>
        <v>0</v>
      </c>
      <c r="AB310" s="53">
        <f t="shared" si="122"/>
        <v>0</v>
      </c>
      <c r="AC310" s="53">
        <f t="shared" si="122"/>
        <v>0</v>
      </c>
      <c r="AD310" s="53">
        <f t="shared" si="122"/>
        <v>0</v>
      </c>
      <c r="AE310" s="53">
        <f t="shared" si="122"/>
        <v>0</v>
      </c>
      <c r="AF310" s="53">
        <f t="shared" si="122"/>
        <v>0</v>
      </c>
    </row>
    <row r="311" spans="4:32">
      <c r="D311" t="s">
        <v>220</v>
      </c>
      <c r="G311" t="s">
        <v>8</v>
      </c>
      <c r="H311" s="48">
        <f t="shared" si="121"/>
        <v>16797</v>
      </c>
      <c r="I311" s="52">
        <f>I309+I310</f>
        <v>1823</v>
      </c>
      <c r="J311" s="52">
        <f t="shared" ref="J311:AF311" si="123">J309+J310</f>
        <v>1841</v>
      </c>
      <c r="K311" s="52">
        <f t="shared" si="123"/>
        <v>1838</v>
      </c>
      <c r="L311" s="52">
        <f t="shared" si="123"/>
        <v>1348</v>
      </c>
      <c r="M311" s="52">
        <f t="shared" si="123"/>
        <v>1358</v>
      </c>
      <c r="N311" s="52">
        <f t="shared" si="123"/>
        <v>1354</v>
      </c>
      <c r="O311" s="52">
        <f t="shared" si="123"/>
        <v>1351</v>
      </c>
      <c r="P311" s="52">
        <f t="shared" si="123"/>
        <v>1351</v>
      </c>
      <c r="Q311" s="52">
        <f t="shared" si="123"/>
        <v>1351</v>
      </c>
      <c r="R311" s="52">
        <f t="shared" si="123"/>
        <v>1351</v>
      </c>
      <c r="S311" s="52">
        <f t="shared" si="123"/>
        <v>1351</v>
      </c>
      <c r="T311" s="52">
        <f t="shared" si="123"/>
        <v>480</v>
      </c>
      <c r="U311" s="52">
        <f t="shared" si="123"/>
        <v>0</v>
      </c>
      <c r="V311" s="52">
        <f t="shared" si="123"/>
        <v>0</v>
      </c>
      <c r="W311" s="52">
        <f t="shared" si="123"/>
        <v>0</v>
      </c>
      <c r="X311" s="52">
        <f t="shared" si="123"/>
        <v>0</v>
      </c>
      <c r="Y311" s="52">
        <f t="shared" si="123"/>
        <v>0</v>
      </c>
      <c r="Z311" s="52">
        <f t="shared" si="123"/>
        <v>0</v>
      </c>
      <c r="AA311" s="52">
        <f t="shared" si="123"/>
        <v>0</v>
      </c>
      <c r="AB311" s="52">
        <f t="shared" si="123"/>
        <v>0</v>
      </c>
      <c r="AC311" s="52">
        <f t="shared" si="123"/>
        <v>0</v>
      </c>
      <c r="AD311" s="52">
        <f t="shared" si="123"/>
        <v>0</v>
      </c>
      <c r="AE311" s="52">
        <f t="shared" si="123"/>
        <v>0</v>
      </c>
      <c r="AF311" s="52">
        <f t="shared" si="123"/>
        <v>0</v>
      </c>
    </row>
    <row r="312" spans="4:32" ht="6" customHeight="1">
      <c r="D312" s="2"/>
      <c r="H312" s="29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</row>
    <row r="313" spans="4:32">
      <c r="D313" t="s">
        <v>195</v>
      </c>
      <c r="G313" t="s">
        <v>83</v>
      </c>
      <c r="H313" s="48">
        <f>IF(SUM(I309:AF309)&lt;&gt;0,SUMPRODUCT(I309:AF309,I313:AF313)/SUM(I309:AF309),0)</f>
        <v>0.14666232073011734</v>
      </c>
      <c r="I313" s="65">
        <f>'Candelaria Inputs'!I582</f>
        <v>0.13</v>
      </c>
      <c r="J313" s="65">
        <f>'Candelaria Inputs'!J582</f>
        <v>0.14000000000000001</v>
      </c>
      <c r="K313" s="65">
        <f>'Candelaria Inputs'!K582</f>
        <v>0.17</v>
      </c>
      <c r="L313" s="65">
        <f>'Candelaria Inputs'!L582</f>
        <v>0.26</v>
      </c>
      <c r="M313" s="65">
        <f>'Candelaria Inputs'!M582</f>
        <v>0.25</v>
      </c>
      <c r="N313" s="65">
        <f>'Candelaria Inputs'!N582</f>
        <v>0.19</v>
      </c>
      <c r="O313" s="65">
        <f>'Candelaria Inputs'!O582</f>
        <v>0.19</v>
      </c>
      <c r="P313" s="65">
        <f>'Candelaria Inputs'!P582</f>
        <v>0.19</v>
      </c>
      <c r="Q313" s="65">
        <f>'Candelaria Inputs'!Q582</f>
        <v>0.19</v>
      </c>
      <c r="R313" s="65">
        <f>'Candelaria Inputs'!R582</f>
        <v>0.19</v>
      </c>
      <c r="S313" s="65">
        <f>'Candelaria Inputs'!S582</f>
        <v>0.27</v>
      </c>
      <c r="T313" s="65">
        <f>'Candelaria Inputs'!T582</f>
        <v>0.27</v>
      </c>
      <c r="U313" s="65">
        <f>'Candelaria Inputs'!U582</f>
        <v>0.27</v>
      </c>
      <c r="V313" s="65">
        <f>'Candelaria Inputs'!V582</f>
        <v>0.27</v>
      </c>
      <c r="W313" s="65">
        <f>'Candelaria Inputs'!W582</f>
        <v>0.27</v>
      </c>
      <c r="X313" s="65">
        <f>'Candelaria Inputs'!X582</f>
        <v>0</v>
      </c>
      <c r="Y313" s="65">
        <f>'Candelaria Inputs'!Y582</f>
        <v>0</v>
      </c>
      <c r="Z313" s="65">
        <f>'Candelaria Inputs'!Z582</f>
        <v>0</v>
      </c>
      <c r="AA313" s="65">
        <f>'Candelaria Inputs'!AA582</f>
        <v>0</v>
      </c>
      <c r="AB313" s="65">
        <f>'Candelaria Inputs'!AB582</f>
        <v>0</v>
      </c>
      <c r="AC313" s="65">
        <f>'Candelaria Inputs'!AC582</f>
        <v>0</v>
      </c>
      <c r="AD313" s="65">
        <f>'Candelaria Inputs'!AD582</f>
        <v>0</v>
      </c>
      <c r="AE313" s="65">
        <f>'Candelaria Inputs'!AE582</f>
        <v>0</v>
      </c>
      <c r="AF313" s="65">
        <f>'Candelaria Inputs'!AF582</f>
        <v>0</v>
      </c>
    </row>
    <row r="314" spans="4:32">
      <c r="D314" t="s">
        <v>196</v>
      </c>
      <c r="G314" t="s">
        <v>83</v>
      </c>
      <c r="H314" s="48">
        <f>IF(SUM(I309:AF309)&lt;&gt;0,SUMPRODUCT(I309:AF309,I314:AF314)/SUM(I309:AF309),0)</f>
        <v>2.0399934810951761</v>
      </c>
      <c r="I314" s="65">
        <f>'Candelaria Inputs'!I589</f>
        <v>2.19</v>
      </c>
      <c r="J314" s="65">
        <f>'Candelaria Inputs'!J589</f>
        <v>2.0299999999999998</v>
      </c>
      <c r="K314" s="65">
        <f>'Candelaria Inputs'!K589</f>
        <v>1.9</v>
      </c>
      <c r="L314" s="65">
        <f>'Candelaria Inputs'!L589</f>
        <v>2.57</v>
      </c>
      <c r="M314" s="65">
        <f>'Candelaria Inputs'!M589</f>
        <v>2.56</v>
      </c>
      <c r="N314" s="65">
        <f>'Candelaria Inputs'!N589</f>
        <v>1.44</v>
      </c>
      <c r="O314" s="65">
        <f>'Candelaria Inputs'!O589</f>
        <v>1.44</v>
      </c>
      <c r="P314" s="65">
        <f>'Candelaria Inputs'!P589</f>
        <v>1.44</v>
      </c>
      <c r="Q314" s="65">
        <f>'Candelaria Inputs'!Q589</f>
        <v>1.44</v>
      </c>
      <c r="R314" s="65">
        <f>'Candelaria Inputs'!R589</f>
        <v>1.44</v>
      </c>
      <c r="S314" s="65">
        <f>'Candelaria Inputs'!S589</f>
        <v>0.4</v>
      </c>
      <c r="T314" s="65">
        <f>'Candelaria Inputs'!T589</f>
        <v>0.4</v>
      </c>
      <c r="U314" s="65">
        <f>'Candelaria Inputs'!U589</f>
        <v>0.4</v>
      </c>
      <c r="V314" s="65">
        <f>'Candelaria Inputs'!V589</f>
        <v>0.4</v>
      </c>
      <c r="W314" s="65">
        <f>'Candelaria Inputs'!W589</f>
        <v>0.4</v>
      </c>
      <c r="X314" s="65">
        <f>'Candelaria Inputs'!X589</f>
        <v>0</v>
      </c>
      <c r="Y314" s="65">
        <f>'Candelaria Inputs'!Y589</f>
        <v>0</v>
      </c>
      <c r="Z314" s="65">
        <f>'Candelaria Inputs'!Z589</f>
        <v>0</v>
      </c>
      <c r="AA314" s="65">
        <f>'Candelaria Inputs'!AA589</f>
        <v>0</v>
      </c>
      <c r="AB314" s="65">
        <f>'Candelaria Inputs'!AB589</f>
        <v>0</v>
      </c>
      <c r="AC314" s="65">
        <f>'Candelaria Inputs'!AC589</f>
        <v>0</v>
      </c>
      <c r="AD314" s="65">
        <f>'Candelaria Inputs'!AD589</f>
        <v>0</v>
      </c>
      <c r="AE314" s="65">
        <f>'Candelaria Inputs'!AE589</f>
        <v>0</v>
      </c>
      <c r="AF314" s="65">
        <f>'Candelaria Inputs'!AF589</f>
        <v>0</v>
      </c>
    </row>
    <row r="315" spans="4:32">
      <c r="D315" t="s">
        <v>197</v>
      </c>
      <c r="G315" t="s">
        <v>83</v>
      </c>
      <c r="H315" s="48">
        <f>IF(SUM(I309:AF309)&lt;&gt;0,SUMPRODUCT(I309:AF309,I315:AF315)/SUM(I309:AF309),0)</f>
        <v>0.06</v>
      </c>
      <c r="I315" s="65">
        <f>'Candelaria Inputs'!I596</f>
        <v>0.06</v>
      </c>
      <c r="J315" s="65">
        <f>'Candelaria Inputs'!J596</f>
        <v>0.06</v>
      </c>
      <c r="K315" s="65">
        <f>'Candelaria Inputs'!K596</f>
        <v>0.06</v>
      </c>
      <c r="L315" s="65">
        <f>'Candelaria Inputs'!L596</f>
        <v>0.08</v>
      </c>
      <c r="M315" s="65">
        <f>'Candelaria Inputs'!M596</f>
        <v>0.08</v>
      </c>
      <c r="N315" s="65">
        <f>'Candelaria Inputs'!N596</f>
        <v>0.03</v>
      </c>
      <c r="O315" s="65">
        <f>'Candelaria Inputs'!O596</f>
        <v>0.03</v>
      </c>
      <c r="P315" s="65">
        <f>'Candelaria Inputs'!P596</f>
        <v>0.03</v>
      </c>
      <c r="Q315" s="65">
        <f>'Candelaria Inputs'!Q596</f>
        <v>0.03</v>
      </c>
      <c r="R315" s="65">
        <f>'Candelaria Inputs'!R596</f>
        <v>0.03</v>
      </c>
      <c r="S315" s="65">
        <f>'Candelaria Inputs'!S596</f>
        <v>0</v>
      </c>
      <c r="T315" s="65">
        <f>'Candelaria Inputs'!T596</f>
        <v>0</v>
      </c>
      <c r="U315" s="65">
        <f>'Candelaria Inputs'!U596</f>
        <v>0</v>
      </c>
      <c r="V315" s="65">
        <f>'Candelaria Inputs'!V596</f>
        <v>0</v>
      </c>
      <c r="W315" s="65">
        <f>'Candelaria Inputs'!W596</f>
        <v>0</v>
      </c>
      <c r="X315" s="65">
        <f>'Candelaria Inputs'!X596</f>
        <v>0</v>
      </c>
      <c r="Y315" s="65">
        <f>'Candelaria Inputs'!Y596</f>
        <v>0</v>
      </c>
      <c r="Z315" s="65">
        <f>'Candelaria Inputs'!Z596</f>
        <v>0</v>
      </c>
      <c r="AA315" s="65">
        <f>'Candelaria Inputs'!AA596</f>
        <v>0</v>
      </c>
      <c r="AB315" s="65">
        <f>'Candelaria Inputs'!AB596</f>
        <v>0</v>
      </c>
      <c r="AC315" s="65">
        <f>'Candelaria Inputs'!AC596</f>
        <v>0</v>
      </c>
      <c r="AD315" s="65">
        <f>'Candelaria Inputs'!AD596</f>
        <v>0</v>
      </c>
      <c r="AE315" s="65">
        <f>'Candelaria Inputs'!AE596</f>
        <v>0</v>
      </c>
      <c r="AF315" s="65">
        <f>'Candelaria Inputs'!AF596</f>
        <v>0</v>
      </c>
    </row>
    <row r="316" spans="4:32">
      <c r="D316" t="s">
        <v>198</v>
      </c>
      <c r="G316" t="s">
        <v>83</v>
      </c>
      <c r="H316" s="48">
        <f>IF(SUM(I309:AF309)&lt;&gt;0,SUMPRODUCT(I309:AF309,I316:AF316)/SUM(I309:AF309),0)</f>
        <v>2.3331160365058671E-2</v>
      </c>
      <c r="I316" s="65">
        <f>'Candelaria Inputs'!I603</f>
        <v>0.03</v>
      </c>
      <c r="J316" s="65">
        <f>'Candelaria Inputs'!J603</f>
        <v>0.02</v>
      </c>
      <c r="K316" s="65">
        <f>'Candelaria Inputs'!K603</f>
        <v>0.02</v>
      </c>
      <c r="L316" s="65">
        <f>'Candelaria Inputs'!L603</f>
        <v>0.02</v>
      </c>
      <c r="M316" s="65">
        <f>'Candelaria Inputs'!M603</f>
        <v>0.02</v>
      </c>
      <c r="N316" s="65">
        <f>'Candelaria Inputs'!N603</f>
        <v>0.02</v>
      </c>
      <c r="O316" s="65">
        <f>'Candelaria Inputs'!O603</f>
        <v>0.02</v>
      </c>
      <c r="P316" s="65">
        <f>'Candelaria Inputs'!P603</f>
        <v>0.02</v>
      </c>
      <c r="Q316" s="65">
        <f>'Candelaria Inputs'!Q603</f>
        <v>0.02</v>
      </c>
      <c r="R316" s="65">
        <f>'Candelaria Inputs'!R603</f>
        <v>0.02</v>
      </c>
      <c r="S316" s="65">
        <f>'Candelaria Inputs'!S603</f>
        <v>0.03</v>
      </c>
      <c r="T316" s="65">
        <f>'Candelaria Inputs'!T603</f>
        <v>0.03</v>
      </c>
      <c r="U316" s="65">
        <f>'Candelaria Inputs'!U603</f>
        <v>0.03</v>
      </c>
      <c r="V316" s="65">
        <f>'Candelaria Inputs'!V603</f>
        <v>0.03</v>
      </c>
      <c r="W316" s="65">
        <f>'Candelaria Inputs'!W603</f>
        <v>0.03</v>
      </c>
      <c r="X316" s="65">
        <f>'Candelaria Inputs'!X603</f>
        <v>0</v>
      </c>
      <c r="Y316" s="65">
        <f>'Candelaria Inputs'!Y603</f>
        <v>0</v>
      </c>
      <c r="Z316" s="65">
        <f>'Candelaria Inputs'!Z603</f>
        <v>0</v>
      </c>
      <c r="AA316" s="65">
        <f>'Candelaria Inputs'!AA603</f>
        <v>0</v>
      </c>
      <c r="AB316" s="65">
        <f>'Candelaria Inputs'!AB603</f>
        <v>0</v>
      </c>
      <c r="AC316" s="65">
        <f>'Candelaria Inputs'!AC603</f>
        <v>0</v>
      </c>
      <c r="AD316" s="65">
        <f>'Candelaria Inputs'!AD603</f>
        <v>0</v>
      </c>
      <c r="AE316" s="65">
        <f>'Candelaria Inputs'!AE603</f>
        <v>0</v>
      </c>
      <c r="AF316" s="65">
        <f>'Candelaria Inputs'!AF603</f>
        <v>0</v>
      </c>
    </row>
    <row r="317" spans="4:32">
      <c r="D317" s="5" t="s">
        <v>199</v>
      </c>
      <c r="E317" s="5"/>
      <c r="F317" s="5"/>
      <c r="G317" s="5" t="s">
        <v>83</v>
      </c>
      <c r="H317" s="51">
        <f>IF(SUM(I309:AF309)&lt;&gt;0,SUMPRODUCT(I309:AF309,I317:AF317)/SUM(I309:AF309),0)</f>
        <v>0</v>
      </c>
      <c r="I317" s="54">
        <f>'Candelaria Inputs'!I610</f>
        <v>0</v>
      </c>
      <c r="J317" s="54">
        <f>'Candelaria Inputs'!J610</f>
        <v>0</v>
      </c>
      <c r="K317" s="54">
        <f>'Candelaria Inputs'!K610</f>
        <v>0</v>
      </c>
      <c r="L317" s="54">
        <f>'Candelaria Inputs'!L610</f>
        <v>0</v>
      </c>
      <c r="M317" s="54">
        <f>'Candelaria Inputs'!M610</f>
        <v>0</v>
      </c>
      <c r="N317" s="54">
        <f>'Candelaria Inputs'!N610</f>
        <v>0</v>
      </c>
      <c r="O317" s="54">
        <f>'Candelaria Inputs'!O610</f>
        <v>0</v>
      </c>
      <c r="P317" s="54">
        <f>'Candelaria Inputs'!P610</f>
        <v>0</v>
      </c>
      <c r="Q317" s="54">
        <f>'Candelaria Inputs'!Q610</f>
        <v>0</v>
      </c>
      <c r="R317" s="54">
        <f>'Candelaria Inputs'!R610</f>
        <v>0</v>
      </c>
      <c r="S317" s="54">
        <f>'Candelaria Inputs'!S610</f>
        <v>0</v>
      </c>
      <c r="T317" s="54">
        <f>'Candelaria Inputs'!T610</f>
        <v>0</v>
      </c>
      <c r="U317" s="54">
        <f>'Candelaria Inputs'!U610</f>
        <v>0</v>
      </c>
      <c r="V317" s="54">
        <f>'Candelaria Inputs'!V610</f>
        <v>0</v>
      </c>
      <c r="W317" s="54">
        <f>'Candelaria Inputs'!W610</f>
        <v>0</v>
      </c>
      <c r="X317" s="54">
        <f>'Candelaria Inputs'!X610</f>
        <v>0</v>
      </c>
      <c r="Y317" s="54">
        <f>'Candelaria Inputs'!Y610</f>
        <v>0</v>
      </c>
      <c r="Z317" s="54">
        <f>'Candelaria Inputs'!Z610</f>
        <v>0</v>
      </c>
      <c r="AA317" s="54">
        <f>'Candelaria Inputs'!AA610</f>
        <v>0</v>
      </c>
      <c r="AB317" s="54">
        <f>'Candelaria Inputs'!AB610</f>
        <v>0</v>
      </c>
      <c r="AC317" s="54">
        <f>'Candelaria Inputs'!AC610</f>
        <v>0</v>
      </c>
      <c r="AD317" s="54">
        <f>'Candelaria Inputs'!AD610</f>
        <v>0</v>
      </c>
      <c r="AE317" s="54">
        <f>'Candelaria Inputs'!AE610</f>
        <v>0</v>
      </c>
      <c r="AF317" s="54">
        <f>'Candelaria Inputs'!AF610</f>
        <v>0</v>
      </c>
    </row>
    <row r="318" spans="4:32">
      <c r="D318" t="s">
        <v>84</v>
      </c>
      <c r="G318" t="s">
        <v>83</v>
      </c>
      <c r="H318" s="48">
        <f>IF(SUM(I309:AF309)&lt;&gt;0,SUMPRODUCT(I309:AF309,I318:AF318)/SUM(I309:AF309),0)</f>
        <v>2.2699869621903521</v>
      </c>
      <c r="I318" s="52">
        <f>SUM(I313:I317)</f>
        <v>2.4099999999999997</v>
      </c>
      <c r="J318" s="52">
        <f t="shared" ref="J318:AF318" si="124">SUM(J313:J317)</f>
        <v>2.25</v>
      </c>
      <c r="K318" s="52">
        <f t="shared" si="124"/>
        <v>2.15</v>
      </c>
      <c r="L318" s="52">
        <f t="shared" si="124"/>
        <v>2.93</v>
      </c>
      <c r="M318" s="52">
        <f t="shared" si="124"/>
        <v>2.91</v>
      </c>
      <c r="N318" s="52">
        <f t="shared" si="124"/>
        <v>1.68</v>
      </c>
      <c r="O318" s="52">
        <f t="shared" si="124"/>
        <v>1.68</v>
      </c>
      <c r="P318" s="52">
        <f t="shared" si="124"/>
        <v>1.68</v>
      </c>
      <c r="Q318" s="52">
        <f t="shared" si="124"/>
        <v>1.68</v>
      </c>
      <c r="R318" s="52">
        <f t="shared" si="124"/>
        <v>1.68</v>
      </c>
      <c r="S318" s="52">
        <f t="shared" si="124"/>
        <v>0.70000000000000007</v>
      </c>
      <c r="T318" s="52">
        <f t="shared" si="124"/>
        <v>0.70000000000000007</v>
      </c>
      <c r="U318" s="52">
        <f t="shared" si="124"/>
        <v>0.70000000000000007</v>
      </c>
      <c r="V318" s="52">
        <f t="shared" si="124"/>
        <v>0.70000000000000007</v>
      </c>
      <c r="W318" s="52">
        <f t="shared" si="124"/>
        <v>0.70000000000000007</v>
      </c>
      <c r="X318" s="52">
        <f t="shared" si="124"/>
        <v>0</v>
      </c>
      <c r="Y318" s="52">
        <f t="shared" si="124"/>
        <v>0</v>
      </c>
      <c r="Z318" s="52">
        <f t="shared" si="124"/>
        <v>0</v>
      </c>
      <c r="AA318" s="52">
        <f t="shared" si="124"/>
        <v>0</v>
      </c>
      <c r="AB318" s="52">
        <f t="shared" si="124"/>
        <v>0</v>
      </c>
      <c r="AC318" s="52">
        <f t="shared" si="124"/>
        <v>0</v>
      </c>
      <c r="AD318" s="52">
        <f t="shared" si="124"/>
        <v>0</v>
      </c>
      <c r="AE318" s="52">
        <f t="shared" si="124"/>
        <v>0</v>
      </c>
      <c r="AF318" s="52">
        <f t="shared" si="124"/>
        <v>0</v>
      </c>
    </row>
    <row r="319" spans="4:32" ht="6" customHeight="1">
      <c r="D319" s="2"/>
      <c r="H319" s="29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</row>
    <row r="320" spans="4:32">
      <c r="D320" t="s">
        <v>216</v>
      </c>
      <c r="G320" t="s">
        <v>8</v>
      </c>
      <c r="H320" s="48">
        <f t="shared" ref="H320" si="125">SUM(I320:AF320)</f>
        <v>16797</v>
      </c>
      <c r="I320" s="52">
        <f t="shared" ref="I320:AF320" si="126">I311</f>
        <v>1823</v>
      </c>
      <c r="J320" s="52">
        <f t="shared" si="126"/>
        <v>1841</v>
      </c>
      <c r="K320" s="52">
        <f t="shared" si="126"/>
        <v>1838</v>
      </c>
      <c r="L320" s="52">
        <f t="shared" si="126"/>
        <v>1348</v>
      </c>
      <c r="M320" s="52">
        <f t="shared" si="126"/>
        <v>1358</v>
      </c>
      <c r="N320" s="52">
        <f t="shared" si="126"/>
        <v>1354</v>
      </c>
      <c r="O320" s="52">
        <f t="shared" si="126"/>
        <v>1351</v>
      </c>
      <c r="P320" s="52">
        <f t="shared" si="126"/>
        <v>1351</v>
      </c>
      <c r="Q320" s="52">
        <f t="shared" si="126"/>
        <v>1351</v>
      </c>
      <c r="R320" s="52">
        <f t="shared" si="126"/>
        <v>1351</v>
      </c>
      <c r="S320" s="52">
        <f t="shared" si="126"/>
        <v>1351</v>
      </c>
      <c r="T320" s="52">
        <f t="shared" si="126"/>
        <v>480</v>
      </c>
      <c r="U320" s="52">
        <f t="shared" si="126"/>
        <v>0</v>
      </c>
      <c r="V320" s="52">
        <f t="shared" si="126"/>
        <v>0</v>
      </c>
      <c r="W320" s="52">
        <f t="shared" si="126"/>
        <v>0</v>
      </c>
      <c r="X320" s="52">
        <f t="shared" si="126"/>
        <v>0</v>
      </c>
      <c r="Y320" s="52">
        <f t="shared" si="126"/>
        <v>0</v>
      </c>
      <c r="Z320" s="52">
        <f t="shared" si="126"/>
        <v>0</v>
      </c>
      <c r="AA320" s="52">
        <f t="shared" si="126"/>
        <v>0</v>
      </c>
      <c r="AB320" s="52">
        <f t="shared" si="126"/>
        <v>0</v>
      </c>
      <c r="AC320" s="52">
        <f t="shared" si="126"/>
        <v>0</v>
      </c>
      <c r="AD320" s="52">
        <f t="shared" si="126"/>
        <v>0</v>
      </c>
      <c r="AE320" s="52">
        <f t="shared" si="126"/>
        <v>0</v>
      </c>
      <c r="AF320" s="52">
        <f t="shared" si="126"/>
        <v>0</v>
      </c>
    </row>
    <row r="321" spans="4:32">
      <c r="D321" s="5" t="s">
        <v>84</v>
      </c>
      <c r="E321" s="5"/>
      <c r="F321" s="5"/>
      <c r="G321" s="5" t="s">
        <v>83</v>
      </c>
      <c r="H321" s="51">
        <f>IF(SUM(I320:AF320)&lt;&gt;0,SUMPRODUCT(I320:AF320,I321:AF321)/SUM(I320:AF320),0)</f>
        <v>1.9660617967494196</v>
      </c>
      <c r="I321" s="53">
        <f>I318</f>
        <v>2.4099999999999997</v>
      </c>
      <c r="J321" s="53">
        <f t="shared" ref="J321:AF321" si="127">J318</f>
        <v>2.25</v>
      </c>
      <c r="K321" s="53">
        <f t="shared" si="127"/>
        <v>2.15</v>
      </c>
      <c r="L321" s="53">
        <f t="shared" si="127"/>
        <v>2.93</v>
      </c>
      <c r="M321" s="53">
        <f t="shared" si="127"/>
        <v>2.91</v>
      </c>
      <c r="N321" s="53">
        <f t="shared" si="127"/>
        <v>1.68</v>
      </c>
      <c r="O321" s="53">
        <f t="shared" si="127"/>
        <v>1.68</v>
      </c>
      <c r="P321" s="53">
        <f t="shared" si="127"/>
        <v>1.68</v>
      </c>
      <c r="Q321" s="53">
        <f t="shared" si="127"/>
        <v>1.68</v>
      </c>
      <c r="R321" s="53">
        <f t="shared" si="127"/>
        <v>1.68</v>
      </c>
      <c r="S321" s="53">
        <f t="shared" si="127"/>
        <v>0.70000000000000007</v>
      </c>
      <c r="T321" s="53">
        <f t="shared" si="127"/>
        <v>0.70000000000000007</v>
      </c>
      <c r="U321" s="53">
        <f t="shared" si="127"/>
        <v>0.70000000000000007</v>
      </c>
      <c r="V321" s="53">
        <f t="shared" si="127"/>
        <v>0.70000000000000007</v>
      </c>
      <c r="W321" s="53">
        <f t="shared" si="127"/>
        <v>0.70000000000000007</v>
      </c>
      <c r="X321" s="53">
        <f t="shared" si="127"/>
        <v>0</v>
      </c>
      <c r="Y321" s="53">
        <f t="shared" si="127"/>
        <v>0</v>
      </c>
      <c r="Z321" s="53">
        <f t="shared" si="127"/>
        <v>0</v>
      </c>
      <c r="AA321" s="53">
        <f t="shared" si="127"/>
        <v>0</v>
      </c>
      <c r="AB321" s="53">
        <f t="shared" si="127"/>
        <v>0</v>
      </c>
      <c r="AC321" s="53">
        <f t="shared" si="127"/>
        <v>0</v>
      </c>
      <c r="AD321" s="53">
        <f t="shared" si="127"/>
        <v>0</v>
      </c>
      <c r="AE321" s="53">
        <f t="shared" si="127"/>
        <v>0</v>
      </c>
      <c r="AF321" s="53">
        <f t="shared" si="127"/>
        <v>0</v>
      </c>
    </row>
    <row r="322" spans="4:32">
      <c r="D322" t="s">
        <v>84</v>
      </c>
      <c r="G322" t="s">
        <v>90</v>
      </c>
      <c r="H322" s="48">
        <f t="shared" ref="H322" si="128">SUM(I322:AF322)</f>
        <v>33.023939999999996</v>
      </c>
      <c r="I322" s="52">
        <f>I320*I321/1000</f>
        <v>4.3934299999999995</v>
      </c>
      <c r="J322" s="52">
        <f t="shared" ref="J322:AF322" si="129">J320*J321/1000</f>
        <v>4.1422499999999998</v>
      </c>
      <c r="K322" s="52">
        <f t="shared" si="129"/>
        <v>3.9516999999999998</v>
      </c>
      <c r="L322" s="52">
        <f t="shared" si="129"/>
        <v>3.9496400000000005</v>
      </c>
      <c r="M322" s="52">
        <f t="shared" si="129"/>
        <v>3.9517800000000003</v>
      </c>
      <c r="N322" s="52">
        <f t="shared" si="129"/>
        <v>2.2747199999999999</v>
      </c>
      <c r="O322" s="52">
        <f t="shared" si="129"/>
        <v>2.2696799999999997</v>
      </c>
      <c r="P322" s="52">
        <f t="shared" si="129"/>
        <v>2.2696799999999997</v>
      </c>
      <c r="Q322" s="52">
        <f t="shared" si="129"/>
        <v>2.2696799999999997</v>
      </c>
      <c r="R322" s="52">
        <f t="shared" si="129"/>
        <v>2.2696799999999997</v>
      </c>
      <c r="S322" s="52">
        <f t="shared" si="129"/>
        <v>0.9457000000000001</v>
      </c>
      <c r="T322" s="52">
        <f t="shared" si="129"/>
        <v>0.33600000000000008</v>
      </c>
      <c r="U322" s="52">
        <f t="shared" si="129"/>
        <v>0</v>
      </c>
      <c r="V322" s="52">
        <f t="shared" si="129"/>
        <v>0</v>
      </c>
      <c r="W322" s="52">
        <f t="shared" si="129"/>
        <v>0</v>
      </c>
      <c r="X322" s="52">
        <f t="shared" si="129"/>
        <v>0</v>
      </c>
      <c r="Y322" s="52">
        <f t="shared" si="129"/>
        <v>0</v>
      </c>
      <c r="Z322" s="52">
        <f t="shared" si="129"/>
        <v>0</v>
      </c>
      <c r="AA322" s="52">
        <f t="shared" si="129"/>
        <v>0</v>
      </c>
      <c r="AB322" s="52">
        <f t="shared" si="129"/>
        <v>0</v>
      </c>
      <c r="AC322" s="52">
        <f t="shared" si="129"/>
        <v>0</v>
      </c>
      <c r="AD322" s="52">
        <f t="shared" si="129"/>
        <v>0</v>
      </c>
      <c r="AE322" s="52">
        <f t="shared" si="129"/>
        <v>0</v>
      </c>
      <c r="AF322" s="52">
        <f t="shared" si="129"/>
        <v>0</v>
      </c>
    </row>
    <row r="323" spans="4:32" ht="6" customHeight="1">
      <c r="D323" s="2"/>
      <c r="H323" s="29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</row>
    <row r="324" spans="4:32">
      <c r="D324" s="28" t="s">
        <v>221</v>
      </c>
      <c r="H324" s="29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</row>
    <row r="325" spans="4:32">
      <c r="D325" t="s">
        <v>214</v>
      </c>
      <c r="G325" t="s">
        <v>211</v>
      </c>
      <c r="H325" s="48">
        <f>SUM(I325:AF325)</f>
        <v>881.45739000000003</v>
      </c>
      <c r="I325" s="52">
        <f t="shared" ref="I325:AF325" si="130">I306</f>
        <v>64.215919999999997</v>
      </c>
      <c r="J325" s="52">
        <f t="shared" si="130"/>
        <v>60.808600000000006</v>
      </c>
      <c r="K325" s="52">
        <f t="shared" si="130"/>
        <v>66.670239999999993</v>
      </c>
      <c r="L325" s="52">
        <f t="shared" si="130"/>
        <v>52.156439999999996</v>
      </c>
      <c r="M325" s="52">
        <f t="shared" si="130"/>
        <v>49.8294</v>
      </c>
      <c r="N325" s="52">
        <f t="shared" si="130"/>
        <v>46.272359999999999</v>
      </c>
      <c r="O325" s="52">
        <f t="shared" si="130"/>
        <v>45.960070000000009</v>
      </c>
      <c r="P325" s="52">
        <f t="shared" si="130"/>
        <v>45.836490000000005</v>
      </c>
      <c r="Q325" s="52">
        <f t="shared" si="130"/>
        <v>44.934690000000003</v>
      </c>
      <c r="R325" s="52">
        <f t="shared" si="130"/>
        <v>45.78472</v>
      </c>
      <c r="S325" s="52">
        <f t="shared" si="130"/>
        <v>37.937579999999997</v>
      </c>
      <c r="T325" s="52">
        <f t="shared" si="130"/>
        <v>37.980359999999997</v>
      </c>
      <c r="U325" s="52">
        <f t="shared" si="130"/>
        <v>37.980359999999997</v>
      </c>
      <c r="V325" s="52">
        <f t="shared" si="130"/>
        <v>38.134920000000001</v>
      </c>
      <c r="W325" s="52">
        <f t="shared" si="130"/>
        <v>38.108699999999999</v>
      </c>
      <c r="X325" s="52">
        <f t="shared" si="130"/>
        <v>20.191640000000003</v>
      </c>
      <c r="Y325" s="52">
        <f t="shared" si="130"/>
        <v>20.203480000000003</v>
      </c>
      <c r="Z325" s="52">
        <f t="shared" si="130"/>
        <v>20.158340000000003</v>
      </c>
      <c r="AA325" s="52">
        <f t="shared" si="130"/>
        <v>19.962240000000001</v>
      </c>
      <c r="AB325" s="52">
        <f t="shared" si="130"/>
        <v>20.457300000000004</v>
      </c>
      <c r="AC325" s="52">
        <f t="shared" si="130"/>
        <v>20.457300000000004</v>
      </c>
      <c r="AD325" s="52">
        <f t="shared" si="130"/>
        <v>20.513540000000006</v>
      </c>
      <c r="AE325" s="52">
        <f t="shared" si="130"/>
        <v>20.457300000000004</v>
      </c>
      <c r="AF325" s="52">
        <f t="shared" si="130"/>
        <v>6.4454000000000002</v>
      </c>
    </row>
    <row r="326" spans="4:32">
      <c r="D326" s="5" t="s">
        <v>84</v>
      </c>
      <c r="E326" s="5"/>
      <c r="F326" s="5"/>
      <c r="G326" s="5" t="s">
        <v>211</v>
      </c>
      <c r="H326" s="51">
        <f>SUM(I326:AF326)</f>
        <v>33.023939999999996</v>
      </c>
      <c r="I326" s="53">
        <f>I322</f>
        <v>4.3934299999999995</v>
      </c>
      <c r="J326" s="53">
        <f t="shared" ref="J326:AF326" si="131">J322</f>
        <v>4.1422499999999998</v>
      </c>
      <c r="K326" s="53">
        <f t="shared" si="131"/>
        <v>3.9516999999999998</v>
      </c>
      <c r="L326" s="53">
        <f t="shared" si="131"/>
        <v>3.9496400000000005</v>
      </c>
      <c r="M326" s="53">
        <f t="shared" si="131"/>
        <v>3.9517800000000003</v>
      </c>
      <c r="N326" s="53">
        <f t="shared" si="131"/>
        <v>2.2747199999999999</v>
      </c>
      <c r="O326" s="53">
        <f t="shared" si="131"/>
        <v>2.2696799999999997</v>
      </c>
      <c r="P326" s="53">
        <f t="shared" si="131"/>
        <v>2.2696799999999997</v>
      </c>
      <c r="Q326" s="53">
        <f t="shared" si="131"/>
        <v>2.2696799999999997</v>
      </c>
      <c r="R326" s="53">
        <f t="shared" si="131"/>
        <v>2.2696799999999997</v>
      </c>
      <c r="S326" s="53">
        <f t="shared" si="131"/>
        <v>0.9457000000000001</v>
      </c>
      <c r="T326" s="53">
        <f t="shared" si="131"/>
        <v>0.33600000000000008</v>
      </c>
      <c r="U326" s="53">
        <f t="shared" si="131"/>
        <v>0</v>
      </c>
      <c r="V326" s="53">
        <f t="shared" si="131"/>
        <v>0</v>
      </c>
      <c r="W326" s="53">
        <f t="shared" si="131"/>
        <v>0</v>
      </c>
      <c r="X326" s="53">
        <f t="shared" si="131"/>
        <v>0</v>
      </c>
      <c r="Y326" s="53">
        <f t="shared" si="131"/>
        <v>0</v>
      </c>
      <c r="Z326" s="53">
        <f t="shared" si="131"/>
        <v>0</v>
      </c>
      <c r="AA326" s="53">
        <f t="shared" si="131"/>
        <v>0</v>
      </c>
      <c r="AB326" s="53">
        <f t="shared" si="131"/>
        <v>0</v>
      </c>
      <c r="AC326" s="53">
        <f t="shared" si="131"/>
        <v>0</v>
      </c>
      <c r="AD326" s="53">
        <f t="shared" si="131"/>
        <v>0</v>
      </c>
      <c r="AE326" s="53">
        <f t="shared" si="131"/>
        <v>0</v>
      </c>
      <c r="AF326" s="53">
        <f t="shared" si="131"/>
        <v>0</v>
      </c>
    </row>
    <row r="327" spans="4:32">
      <c r="D327" t="s">
        <v>212</v>
      </c>
      <c r="G327" t="s">
        <v>211</v>
      </c>
      <c r="H327" s="48">
        <f>SUM(I327:AF327)</f>
        <v>914.48133000000007</v>
      </c>
      <c r="I327" s="52">
        <f>I325+I326</f>
        <v>68.609349999999992</v>
      </c>
      <c r="J327" s="52">
        <f t="shared" ref="J327:AF327" si="132">J325+J326</f>
        <v>64.950850000000003</v>
      </c>
      <c r="K327" s="52">
        <f t="shared" si="132"/>
        <v>70.621939999999995</v>
      </c>
      <c r="L327" s="52">
        <f t="shared" si="132"/>
        <v>56.106079999999999</v>
      </c>
      <c r="M327" s="52">
        <f t="shared" si="132"/>
        <v>53.781179999999999</v>
      </c>
      <c r="N327" s="52">
        <f t="shared" si="132"/>
        <v>48.547080000000001</v>
      </c>
      <c r="O327" s="52">
        <f t="shared" si="132"/>
        <v>48.22975000000001</v>
      </c>
      <c r="P327" s="52">
        <f t="shared" si="132"/>
        <v>48.106170000000006</v>
      </c>
      <c r="Q327" s="52">
        <f t="shared" si="132"/>
        <v>47.204370000000004</v>
      </c>
      <c r="R327" s="52">
        <f t="shared" si="132"/>
        <v>48.054400000000001</v>
      </c>
      <c r="S327" s="52">
        <f t="shared" si="132"/>
        <v>38.883279999999999</v>
      </c>
      <c r="T327" s="52">
        <f t="shared" si="132"/>
        <v>38.316359999999996</v>
      </c>
      <c r="U327" s="52">
        <f t="shared" si="132"/>
        <v>37.980359999999997</v>
      </c>
      <c r="V327" s="52">
        <f t="shared" si="132"/>
        <v>38.134920000000001</v>
      </c>
      <c r="W327" s="52">
        <f t="shared" si="132"/>
        <v>38.108699999999999</v>
      </c>
      <c r="X327" s="52">
        <f t="shared" si="132"/>
        <v>20.191640000000003</v>
      </c>
      <c r="Y327" s="52">
        <f t="shared" si="132"/>
        <v>20.203480000000003</v>
      </c>
      <c r="Z327" s="52">
        <f t="shared" si="132"/>
        <v>20.158340000000003</v>
      </c>
      <c r="AA327" s="52">
        <f t="shared" si="132"/>
        <v>19.962240000000001</v>
      </c>
      <c r="AB327" s="52">
        <f t="shared" si="132"/>
        <v>20.457300000000004</v>
      </c>
      <c r="AC327" s="52">
        <f t="shared" si="132"/>
        <v>20.457300000000004</v>
      </c>
      <c r="AD327" s="52">
        <f t="shared" si="132"/>
        <v>20.513540000000006</v>
      </c>
      <c r="AE327" s="52">
        <f t="shared" si="132"/>
        <v>20.457300000000004</v>
      </c>
      <c r="AF327" s="52">
        <f t="shared" si="132"/>
        <v>6.4454000000000002</v>
      </c>
    </row>
    <row r="328" spans="4:32" ht="6" customHeight="1">
      <c r="D328" s="2"/>
      <c r="H328" s="29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</row>
    <row r="329" spans="4:32">
      <c r="D329" s="4" t="s">
        <v>222</v>
      </c>
      <c r="E329" s="4"/>
      <c r="F329" s="4"/>
      <c r="G329" s="4"/>
      <c r="H329" s="31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</row>
    <row r="330" spans="4:32" ht="6" customHeight="1">
      <c r="D330" s="2"/>
      <c r="H330" s="29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</row>
    <row r="331" spans="4:32">
      <c r="D331" s="28" t="s">
        <v>222</v>
      </c>
      <c r="H331" s="29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</row>
    <row r="332" spans="4:32">
      <c r="D332" t="s">
        <v>223</v>
      </c>
      <c r="G332" t="s">
        <v>211</v>
      </c>
      <c r="H332" s="48">
        <f>SUM(I332:AF332)</f>
        <v>4399.6713499999996</v>
      </c>
      <c r="I332" s="52">
        <f t="shared" ref="I332:AF332" si="133">I250</f>
        <v>299.40580000000006</v>
      </c>
      <c r="J332" s="52">
        <f t="shared" si="133"/>
        <v>288.30109999999996</v>
      </c>
      <c r="K332" s="52">
        <f t="shared" si="133"/>
        <v>301.56002999999998</v>
      </c>
      <c r="L332" s="52">
        <f t="shared" si="133"/>
        <v>287.69033999999999</v>
      </c>
      <c r="M332" s="52">
        <f t="shared" si="133"/>
        <v>250.20488000000006</v>
      </c>
      <c r="N332" s="52">
        <f t="shared" si="133"/>
        <v>200.59998837370244</v>
      </c>
      <c r="O332" s="52">
        <f t="shared" si="133"/>
        <v>226.26415058823531</v>
      </c>
      <c r="P332" s="52">
        <f t="shared" si="133"/>
        <v>244.72943280276817</v>
      </c>
      <c r="Q332" s="52">
        <f t="shared" si="133"/>
        <v>217.44191003460213</v>
      </c>
      <c r="R332" s="52">
        <f t="shared" si="133"/>
        <v>171.00210820069208</v>
      </c>
      <c r="S332" s="52">
        <f t="shared" si="133"/>
        <v>254.06338</v>
      </c>
      <c r="T332" s="52">
        <f t="shared" si="133"/>
        <v>219.27350000000001</v>
      </c>
      <c r="U332" s="52">
        <f t="shared" si="133"/>
        <v>193.30527999999998</v>
      </c>
      <c r="V332" s="52">
        <f t="shared" si="133"/>
        <v>178.96704</v>
      </c>
      <c r="W332" s="52">
        <f t="shared" si="133"/>
        <v>163.99665999999999</v>
      </c>
      <c r="X332" s="52">
        <f t="shared" si="133"/>
        <v>123.14354999999999</v>
      </c>
      <c r="Y332" s="52">
        <f t="shared" si="133"/>
        <v>117.36564999999999</v>
      </c>
      <c r="Z332" s="52">
        <f t="shared" si="133"/>
        <v>123.41139999999999</v>
      </c>
      <c r="AA332" s="52">
        <f t="shared" si="133"/>
        <v>107.54644999999999</v>
      </c>
      <c r="AB332" s="52">
        <f t="shared" si="133"/>
        <v>93.423749999999984</v>
      </c>
      <c r="AC332" s="52">
        <f t="shared" si="133"/>
        <v>93.423749999999984</v>
      </c>
      <c r="AD332" s="52">
        <f t="shared" si="133"/>
        <v>93.680199999999999</v>
      </c>
      <c r="AE332" s="52">
        <f t="shared" si="133"/>
        <v>93.423749999999984</v>
      </c>
      <c r="AF332" s="52">
        <f t="shared" si="133"/>
        <v>57.447249999999997</v>
      </c>
    </row>
    <row r="333" spans="4:32">
      <c r="D333" t="s">
        <v>224</v>
      </c>
      <c r="G333" t="s">
        <v>211</v>
      </c>
      <c r="H333" s="48">
        <f t="shared" ref="H333:H335" si="134">SUM(I333:AF333)</f>
        <v>2933.0966600000002</v>
      </c>
      <c r="I333" s="52">
        <f t="shared" ref="I333:AF333" si="135">I266</f>
        <v>150.51068999999998</v>
      </c>
      <c r="J333" s="52">
        <f t="shared" si="135"/>
        <v>141.96744000000001</v>
      </c>
      <c r="K333" s="52">
        <f t="shared" si="135"/>
        <v>133.66458</v>
      </c>
      <c r="L333" s="52">
        <f t="shared" si="135"/>
        <v>127.76948</v>
      </c>
      <c r="M333" s="52">
        <f t="shared" si="135"/>
        <v>132.32473999999999</v>
      </c>
      <c r="N333" s="52">
        <f t="shared" si="135"/>
        <v>125.79431999999998</v>
      </c>
      <c r="O333" s="52">
        <f t="shared" si="135"/>
        <v>124.94533999999999</v>
      </c>
      <c r="P333" s="52">
        <f t="shared" si="135"/>
        <v>124.60937999999997</v>
      </c>
      <c r="Q333" s="52">
        <f t="shared" si="135"/>
        <v>122.15777999999999</v>
      </c>
      <c r="R333" s="52">
        <f t="shared" si="135"/>
        <v>124.46863999999997</v>
      </c>
      <c r="S333" s="52">
        <f t="shared" si="135"/>
        <v>123.43458999999999</v>
      </c>
      <c r="T333" s="52">
        <f t="shared" si="135"/>
        <v>123.57377999999999</v>
      </c>
      <c r="U333" s="52">
        <f t="shared" si="135"/>
        <v>123.57377999999999</v>
      </c>
      <c r="V333" s="52">
        <f t="shared" si="135"/>
        <v>124.07665999999998</v>
      </c>
      <c r="W333" s="52">
        <f t="shared" si="135"/>
        <v>123.99134999999998</v>
      </c>
      <c r="X333" s="52">
        <f t="shared" si="135"/>
        <v>120.33126000000001</v>
      </c>
      <c r="Y333" s="52">
        <f t="shared" si="135"/>
        <v>120.40182</v>
      </c>
      <c r="Z333" s="52">
        <f t="shared" si="135"/>
        <v>120.13280999999999</v>
      </c>
      <c r="AA333" s="52">
        <f t="shared" si="135"/>
        <v>118.96416000000001</v>
      </c>
      <c r="AB333" s="52">
        <f t="shared" si="135"/>
        <v>121.91445</v>
      </c>
      <c r="AC333" s="52">
        <f t="shared" si="135"/>
        <v>121.91445</v>
      </c>
      <c r="AD333" s="52">
        <f t="shared" si="135"/>
        <v>122.24961</v>
      </c>
      <c r="AE333" s="52">
        <f t="shared" si="135"/>
        <v>121.91445</v>
      </c>
      <c r="AF333" s="52">
        <f t="shared" si="135"/>
        <v>38.411099999999998</v>
      </c>
    </row>
    <row r="334" spans="4:32">
      <c r="D334" t="s">
        <v>221</v>
      </c>
      <c r="G334" t="s">
        <v>211</v>
      </c>
      <c r="H334" s="48">
        <f t="shared" si="134"/>
        <v>914.48133000000007</v>
      </c>
      <c r="I334" s="52">
        <f>I327</f>
        <v>68.609349999999992</v>
      </c>
      <c r="J334" s="52">
        <f t="shared" ref="J334:AF334" si="136">J327</f>
        <v>64.950850000000003</v>
      </c>
      <c r="K334" s="52">
        <f t="shared" si="136"/>
        <v>70.621939999999995</v>
      </c>
      <c r="L334" s="52">
        <f t="shared" si="136"/>
        <v>56.106079999999999</v>
      </c>
      <c r="M334" s="52">
        <f t="shared" si="136"/>
        <v>53.781179999999999</v>
      </c>
      <c r="N334" s="52">
        <f t="shared" si="136"/>
        <v>48.547080000000001</v>
      </c>
      <c r="O334" s="52">
        <f t="shared" si="136"/>
        <v>48.22975000000001</v>
      </c>
      <c r="P334" s="52">
        <f t="shared" si="136"/>
        <v>48.106170000000006</v>
      </c>
      <c r="Q334" s="52">
        <f t="shared" si="136"/>
        <v>47.204370000000004</v>
      </c>
      <c r="R334" s="52">
        <f t="shared" si="136"/>
        <v>48.054400000000001</v>
      </c>
      <c r="S334" s="52">
        <f t="shared" si="136"/>
        <v>38.883279999999999</v>
      </c>
      <c r="T334" s="52">
        <f t="shared" si="136"/>
        <v>38.316359999999996</v>
      </c>
      <c r="U334" s="52">
        <f t="shared" si="136"/>
        <v>37.980359999999997</v>
      </c>
      <c r="V334" s="52">
        <f t="shared" si="136"/>
        <v>38.134920000000001</v>
      </c>
      <c r="W334" s="52">
        <f t="shared" si="136"/>
        <v>38.108699999999999</v>
      </c>
      <c r="X334" s="52">
        <f t="shared" si="136"/>
        <v>20.191640000000003</v>
      </c>
      <c r="Y334" s="52">
        <f t="shared" si="136"/>
        <v>20.203480000000003</v>
      </c>
      <c r="Z334" s="52">
        <f t="shared" si="136"/>
        <v>20.158340000000003</v>
      </c>
      <c r="AA334" s="52">
        <f t="shared" si="136"/>
        <v>19.962240000000001</v>
      </c>
      <c r="AB334" s="52">
        <f t="shared" si="136"/>
        <v>20.457300000000004</v>
      </c>
      <c r="AC334" s="52">
        <f t="shared" si="136"/>
        <v>20.457300000000004</v>
      </c>
      <c r="AD334" s="52">
        <f t="shared" si="136"/>
        <v>20.513540000000006</v>
      </c>
      <c r="AE334" s="52">
        <f t="shared" si="136"/>
        <v>20.457300000000004</v>
      </c>
      <c r="AF334" s="52">
        <f t="shared" si="136"/>
        <v>6.4454000000000002</v>
      </c>
    </row>
    <row r="335" spans="4:32">
      <c r="D335" t="s">
        <v>225</v>
      </c>
      <c r="G335" t="s">
        <v>211</v>
      </c>
      <c r="H335" s="48">
        <f t="shared" si="134"/>
        <v>8247.2493399999985</v>
      </c>
      <c r="I335" s="52">
        <f>I332+I333+I334</f>
        <v>518.52584000000002</v>
      </c>
      <c r="J335" s="52">
        <f t="shared" ref="J335:AF335" si="137">J332+J333+J334</f>
        <v>495.21938999999998</v>
      </c>
      <c r="K335" s="52">
        <f t="shared" si="137"/>
        <v>505.84654999999998</v>
      </c>
      <c r="L335" s="52">
        <f t="shared" si="137"/>
        <v>471.5659</v>
      </c>
      <c r="M335" s="52">
        <f t="shared" si="137"/>
        <v>436.31080000000003</v>
      </c>
      <c r="N335" s="52">
        <f t="shared" si="137"/>
        <v>374.94138837370241</v>
      </c>
      <c r="O335" s="52">
        <f t="shared" si="137"/>
        <v>399.43924058823535</v>
      </c>
      <c r="P335" s="52">
        <f t="shared" si="137"/>
        <v>417.44498280276815</v>
      </c>
      <c r="Q335" s="52">
        <f t="shared" si="137"/>
        <v>386.80406003460212</v>
      </c>
      <c r="R335" s="52">
        <f t="shared" si="137"/>
        <v>343.525148200692</v>
      </c>
      <c r="S335" s="52">
        <f t="shared" si="137"/>
        <v>416.38125000000002</v>
      </c>
      <c r="T335" s="52">
        <f t="shared" si="137"/>
        <v>381.16363999999999</v>
      </c>
      <c r="U335" s="52">
        <f t="shared" si="137"/>
        <v>354.85942</v>
      </c>
      <c r="V335" s="52">
        <f t="shared" si="137"/>
        <v>341.17861999999997</v>
      </c>
      <c r="W335" s="52">
        <f t="shared" si="137"/>
        <v>326.09670999999997</v>
      </c>
      <c r="X335" s="52">
        <f t="shared" si="137"/>
        <v>263.66645</v>
      </c>
      <c r="Y335" s="52">
        <f t="shared" si="137"/>
        <v>257.97095000000002</v>
      </c>
      <c r="Z335" s="52">
        <f t="shared" si="137"/>
        <v>263.70254999999997</v>
      </c>
      <c r="AA335" s="52">
        <f t="shared" si="137"/>
        <v>246.47284999999999</v>
      </c>
      <c r="AB335" s="52">
        <f t="shared" si="137"/>
        <v>235.79549999999998</v>
      </c>
      <c r="AC335" s="52">
        <f t="shared" si="137"/>
        <v>235.79549999999998</v>
      </c>
      <c r="AD335" s="52">
        <f t="shared" si="137"/>
        <v>236.44335000000001</v>
      </c>
      <c r="AE335" s="52">
        <f t="shared" si="137"/>
        <v>235.79549999999998</v>
      </c>
      <c r="AF335" s="52">
        <f t="shared" si="137"/>
        <v>102.30375000000001</v>
      </c>
    </row>
    <row r="336" spans="4:32" ht="6" customHeight="1">
      <c r="D336" s="2"/>
      <c r="H336" s="29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</row>
    <row r="337" spans="4:32">
      <c r="D337" s="61" t="s">
        <v>226</v>
      </c>
      <c r="E337" s="61"/>
      <c r="F337" s="61"/>
      <c r="G337" s="61"/>
      <c r="H337" s="62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3"/>
    </row>
    <row r="338" spans="4:32" ht="6" customHeight="1">
      <c r="D338" s="2"/>
      <c r="H338" s="29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</row>
    <row r="339" spans="4:32">
      <c r="D339" s="28" t="s">
        <v>227</v>
      </c>
      <c r="H339" s="29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</row>
    <row r="340" spans="4:32">
      <c r="D340" t="s">
        <v>228</v>
      </c>
      <c r="H340" s="29"/>
      <c r="I340" s="66">
        <v>0.05</v>
      </c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  <c r="AD340" s="67"/>
      <c r="AE340" s="67"/>
      <c r="AF340" s="67"/>
    </row>
    <row r="341" spans="4:32">
      <c r="D341" t="s">
        <v>229</v>
      </c>
      <c r="G341" t="s">
        <v>211</v>
      </c>
      <c r="H341" s="48"/>
      <c r="I341" s="52">
        <f t="shared" ref="I341:AE341" si="138">PV($I$340,$AF$1-I1,,-$AF$341)</f>
        <v>49.81240978690775</v>
      </c>
      <c r="J341" s="52">
        <f t="shared" si="138"/>
        <v>52.303030276253146</v>
      </c>
      <c r="K341" s="52">
        <f t="shared" si="138"/>
        <v>54.918181790065802</v>
      </c>
      <c r="L341" s="52">
        <f t="shared" si="138"/>
        <v>57.664090879569095</v>
      </c>
      <c r="M341" s="52">
        <f t="shared" si="138"/>
        <v>60.547295423547546</v>
      </c>
      <c r="N341" s="52">
        <f t="shared" si="138"/>
        <v>63.57466019472492</v>
      </c>
      <c r="O341" s="52">
        <f t="shared" si="138"/>
        <v>66.753393204461162</v>
      </c>
      <c r="P341" s="52">
        <f t="shared" si="138"/>
        <v>70.091062864684233</v>
      </c>
      <c r="Q341" s="52">
        <f t="shared" si="138"/>
        <v>73.595616007918437</v>
      </c>
      <c r="R341" s="52">
        <f t="shared" si="138"/>
        <v>77.275396808314383</v>
      </c>
      <c r="S341" s="52">
        <f t="shared" si="138"/>
        <v>81.139166648730082</v>
      </c>
      <c r="T341" s="52">
        <f t="shared" si="138"/>
        <v>85.196124981166605</v>
      </c>
      <c r="U341" s="52">
        <f t="shared" si="138"/>
        <v>89.45593123022492</v>
      </c>
      <c r="V341" s="52">
        <f t="shared" si="138"/>
        <v>93.928727791736179</v>
      </c>
      <c r="W341" s="52">
        <f t="shared" si="138"/>
        <v>98.625164181322987</v>
      </c>
      <c r="X341" s="52">
        <f t="shared" si="138"/>
        <v>103.55642239038914</v>
      </c>
      <c r="Y341" s="52">
        <f t="shared" si="138"/>
        <v>108.73424350990858</v>
      </c>
      <c r="Z341" s="52">
        <f t="shared" si="138"/>
        <v>114.17095568540404</v>
      </c>
      <c r="AA341" s="52">
        <f t="shared" si="138"/>
        <v>119.87950346967422</v>
      </c>
      <c r="AB341" s="52">
        <f t="shared" si="138"/>
        <v>125.87347864315794</v>
      </c>
      <c r="AC341" s="52">
        <f t="shared" si="138"/>
        <v>132.16715257531584</v>
      </c>
      <c r="AD341" s="52">
        <f t="shared" si="138"/>
        <v>138.77551020408163</v>
      </c>
      <c r="AE341" s="52">
        <f t="shared" si="138"/>
        <v>145.71428571428569</v>
      </c>
      <c r="AF341" s="67">
        <v>153</v>
      </c>
    </row>
    <row r="342" spans="4:32">
      <c r="D342" s="5" t="s">
        <v>230</v>
      </c>
      <c r="E342" s="5"/>
      <c r="F342" s="5"/>
      <c r="G342" s="5" t="s">
        <v>211</v>
      </c>
      <c r="H342" s="68"/>
      <c r="I342" s="53">
        <f>PV($I$340,$T$1-I1+1,,-$T$342)</f>
        <v>4.454699345420476</v>
      </c>
      <c r="J342" s="53">
        <f t="shared" ref="J342:S342" si="139">PV($I$340,$T$1-J1,,-$T$342)</f>
        <v>4.9113060283260745</v>
      </c>
      <c r="K342" s="53">
        <f t="shared" si="139"/>
        <v>5.1568713297423781</v>
      </c>
      <c r="L342" s="53">
        <f t="shared" si="139"/>
        <v>5.4147148962294978</v>
      </c>
      <c r="M342" s="53">
        <f t="shared" si="139"/>
        <v>5.6854506410409718</v>
      </c>
      <c r="N342" s="53">
        <f t="shared" si="139"/>
        <v>5.9697231730930209</v>
      </c>
      <c r="O342" s="53">
        <f t="shared" si="139"/>
        <v>6.2682093317476717</v>
      </c>
      <c r="P342" s="53">
        <f t="shared" si="139"/>
        <v>6.5816197983350557</v>
      </c>
      <c r="Q342" s="53">
        <f t="shared" si="139"/>
        <v>6.9107007882518081</v>
      </c>
      <c r="R342" s="53">
        <f t="shared" si="139"/>
        <v>7.2562358276643986</v>
      </c>
      <c r="S342" s="53">
        <f t="shared" si="139"/>
        <v>7.6190476190476186</v>
      </c>
      <c r="T342" s="69">
        <v>8</v>
      </c>
      <c r="U342" s="69">
        <v>0</v>
      </c>
      <c r="V342" s="69">
        <v>0</v>
      </c>
      <c r="W342" s="69">
        <v>0</v>
      </c>
      <c r="X342" s="69">
        <v>0</v>
      </c>
      <c r="Y342" s="69">
        <v>0</v>
      </c>
      <c r="Z342" s="69">
        <v>0</v>
      </c>
      <c r="AA342" s="69">
        <v>0</v>
      </c>
      <c r="AB342" s="69">
        <v>0</v>
      </c>
      <c r="AC342" s="69">
        <v>0</v>
      </c>
      <c r="AD342" s="69">
        <v>0</v>
      </c>
      <c r="AE342" s="69">
        <v>0</v>
      </c>
      <c r="AF342" s="69">
        <v>0</v>
      </c>
    </row>
    <row r="343" spans="4:32">
      <c r="D343" t="s">
        <v>231</v>
      </c>
      <c r="G343" t="s">
        <v>211</v>
      </c>
      <c r="H343" s="70"/>
      <c r="I343" s="67">
        <f>I341-I341/(I340+1)</f>
        <v>2.3720195136622735</v>
      </c>
      <c r="J343" s="52">
        <f>J341-I341</f>
        <v>2.490620489345396</v>
      </c>
      <c r="K343" s="52">
        <f t="shared" ref="K343:AF343" si="140">K341-J341</f>
        <v>2.6151515138126555</v>
      </c>
      <c r="L343" s="52">
        <f t="shared" si="140"/>
        <v>2.7459090895032929</v>
      </c>
      <c r="M343" s="52">
        <f t="shared" si="140"/>
        <v>2.8832045439784508</v>
      </c>
      <c r="N343" s="52">
        <f t="shared" si="140"/>
        <v>3.0273647711773748</v>
      </c>
      <c r="O343" s="52">
        <f t="shared" si="140"/>
        <v>3.1787330097362414</v>
      </c>
      <c r="P343" s="52">
        <f t="shared" si="140"/>
        <v>3.3376696602230709</v>
      </c>
      <c r="Q343" s="52">
        <f t="shared" si="140"/>
        <v>3.5045531432342045</v>
      </c>
      <c r="R343" s="52">
        <f t="shared" si="140"/>
        <v>3.679780800395946</v>
      </c>
      <c r="S343" s="52">
        <f t="shared" si="140"/>
        <v>3.8637698404156993</v>
      </c>
      <c r="T343" s="52">
        <f t="shared" si="140"/>
        <v>4.0569583324365226</v>
      </c>
      <c r="U343" s="52">
        <f t="shared" si="140"/>
        <v>4.2598062490583146</v>
      </c>
      <c r="V343" s="52">
        <f t="shared" si="140"/>
        <v>4.4727965615112595</v>
      </c>
      <c r="W343" s="52">
        <f t="shared" si="140"/>
        <v>4.6964363895868075</v>
      </c>
      <c r="X343" s="52">
        <f t="shared" si="140"/>
        <v>4.9312582090661579</v>
      </c>
      <c r="Y343" s="52">
        <f t="shared" si="140"/>
        <v>5.1778211195194359</v>
      </c>
      <c r="Z343" s="52">
        <f t="shared" si="140"/>
        <v>5.4367121754954582</v>
      </c>
      <c r="AA343" s="52">
        <f t="shared" si="140"/>
        <v>5.7085477842701806</v>
      </c>
      <c r="AB343" s="52">
        <f t="shared" si="140"/>
        <v>5.9939751734837188</v>
      </c>
      <c r="AC343" s="52">
        <f t="shared" si="140"/>
        <v>6.2936739321579012</v>
      </c>
      <c r="AD343" s="52">
        <f t="shared" si="140"/>
        <v>6.6083576287657877</v>
      </c>
      <c r="AE343" s="52">
        <f t="shared" si="140"/>
        <v>6.9387755102040671</v>
      </c>
      <c r="AF343" s="52">
        <f t="shared" si="140"/>
        <v>7.285714285714306</v>
      </c>
    </row>
    <row r="344" spans="4:32">
      <c r="D344" s="5" t="s">
        <v>232</v>
      </c>
      <c r="E344" s="5"/>
      <c r="F344" s="5"/>
      <c r="G344" s="5" t="s">
        <v>211</v>
      </c>
      <c r="H344" s="68"/>
      <c r="I344" s="69">
        <f>I342-I342/(1+I340)</f>
        <v>0.21212854025811811</v>
      </c>
      <c r="J344" s="53">
        <f t="shared" ref="J344:AF344" si="141">MAX(J342-I342,0)</f>
        <v>0.45660668290559858</v>
      </c>
      <c r="K344" s="53">
        <f t="shared" si="141"/>
        <v>0.24556530141630351</v>
      </c>
      <c r="L344" s="53">
        <f t="shared" si="141"/>
        <v>0.2578435664871197</v>
      </c>
      <c r="M344" s="53">
        <f t="shared" si="141"/>
        <v>0.270735744811474</v>
      </c>
      <c r="N344" s="53">
        <f t="shared" si="141"/>
        <v>0.28427253205204916</v>
      </c>
      <c r="O344" s="53">
        <f t="shared" si="141"/>
        <v>0.29848615865465078</v>
      </c>
      <c r="P344" s="53">
        <f t="shared" si="141"/>
        <v>0.31341046658738403</v>
      </c>
      <c r="Q344" s="53">
        <f t="shared" si="141"/>
        <v>0.32908098991675239</v>
      </c>
      <c r="R344" s="53">
        <f t="shared" si="141"/>
        <v>0.34553503941259045</v>
      </c>
      <c r="S344" s="53">
        <f t="shared" si="141"/>
        <v>0.36281179138322006</v>
      </c>
      <c r="T344" s="53">
        <f t="shared" si="141"/>
        <v>0.38095238095238138</v>
      </c>
      <c r="U344" s="53">
        <f t="shared" si="141"/>
        <v>0</v>
      </c>
      <c r="V344" s="53">
        <f t="shared" si="141"/>
        <v>0</v>
      </c>
      <c r="W344" s="53">
        <f t="shared" si="141"/>
        <v>0</v>
      </c>
      <c r="X344" s="53">
        <f t="shared" si="141"/>
        <v>0</v>
      </c>
      <c r="Y344" s="53">
        <f t="shared" si="141"/>
        <v>0</v>
      </c>
      <c r="Z344" s="53">
        <f t="shared" si="141"/>
        <v>0</v>
      </c>
      <c r="AA344" s="53">
        <f t="shared" si="141"/>
        <v>0</v>
      </c>
      <c r="AB344" s="53">
        <f t="shared" si="141"/>
        <v>0</v>
      </c>
      <c r="AC344" s="53">
        <f t="shared" si="141"/>
        <v>0</v>
      </c>
      <c r="AD344" s="53">
        <f t="shared" si="141"/>
        <v>0</v>
      </c>
      <c r="AE344" s="53">
        <f t="shared" si="141"/>
        <v>0</v>
      </c>
      <c r="AF344" s="53">
        <f t="shared" si="141"/>
        <v>0</v>
      </c>
    </row>
    <row r="345" spans="4:32">
      <c r="D345" t="s">
        <v>233</v>
      </c>
      <c r="G345" t="s">
        <v>211</v>
      </c>
      <c r="H345" s="70"/>
      <c r="I345" s="52">
        <f>I343+I344</f>
        <v>2.5841480539203916</v>
      </c>
      <c r="J345" s="52">
        <f t="shared" ref="J345:AF345" si="142">J343+J344</f>
        <v>2.9472271722509946</v>
      </c>
      <c r="K345" s="52">
        <f t="shared" si="142"/>
        <v>2.860716815228959</v>
      </c>
      <c r="L345" s="52">
        <f t="shared" si="142"/>
        <v>3.0037526559904126</v>
      </c>
      <c r="M345" s="52">
        <f t="shared" si="142"/>
        <v>3.1539402887899248</v>
      </c>
      <c r="N345" s="52">
        <f t="shared" si="142"/>
        <v>3.311637303229424</v>
      </c>
      <c r="O345" s="52">
        <f t="shared" si="142"/>
        <v>3.4772191683908922</v>
      </c>
      <c r="P345" s="52">
        <f t="shared" si="142"/>
        <v>3.6510801268104549</v>
      </c>
      <c r="Q345" s="52">
        <f t="shared" si="142"/>
        <v>3.8336341331509569</v>
      </c>
      <c r="R345" s="52">
        <f t="shared" si="142"/>
        <v>4.0253158398085365</v>
      </c>
      <c r="S345" s="52">
        <f t="shared" si="142"/>
        <v>4.2265816317989193</v>
      </c>
      <c r="T345" s="52">
        <f t="shared" si="142"/>
        <v>4.437910713388904</v>
      </c>
      <c r="U345" s="52">
        <f t="shared" si="142"/>
        <v>4.2598062490583146</v>
      </c>
      <c r="V345" s="52">
        <f t="shared" si="142"/>
        <v>4.4727965615112595</v>
      </c>
      <c r="W345" s="52">
        <f t="shared" si="142"/>
        <v>4.6964363895868075</v>
      </c>
      <c r="X345" s="52">
        <f t="shared" si="142"/>
        <v>4.9312582090661579</v>
      </c>
      <c r="Y345" s="52">
        <f t="shared" si="142"/>
        <v>5.1778211195194359</v>
      </c>
      <c r="Z345" s="52">
        <f t="shared" si="142"/>
        <v>5.4367121754954582</v>
      </c>
      <c r="AA345" s="52">
        <f t="shared" si="142"/>
        <v>5.7085477842701806</v>
      </c>
      <c r="AB345" s="52">
        <f t="shared" si="142"/>
        <v>5.9939751734837188</v>
      </c>
      <c r="AC345" s="52">
        <f t="shared" si="142"/>
        <v>6.2936739321579012</v>
      </c>
      <c r="AD345" s="52">
        <f t="shared" si="142"/>
        <v>6.6083576287657877</v>
      </c>
      <c r="AE345" s="52">
        <f t="shared" si="142"/>
        <v>6.9387755102040671</v>
      </c>
      <c r="AF345" s="52">
        <f t="shared" si="142"/>
        <v>7.285714285714306</v>
      </c>
    </row>
    <row r="346" spans="4:32" ht="6" customHeight="1">
      <c r="D346" s="2"/>
      <c r="H346" s="29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</row>
    <row r="347" spans="4:32">
      <c r="D347" s="28" t="s">
        <v>234</v>
      </c>
      <c r="H347" s="2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</row>
    <row r="348" spans="4:32">
      <c r="D348" t="s">
        <v>235</v>
      </c>
      <c r="G348" t="s">
        <v>211</v>
      </c>
      <c r="H348" s="70"/>
      <c r="I348" s="71">
        <f>2974.567-108.845+I377</f>
        <v>3265.1220000000003</v>
      </c>
      <c r="J348" s="71">
        <f t="shared" ref="J348:AF348" si="143">I348-I351+J377</f>
        <v>3461.8033985759894</v>
      </c>
      <c r="K348" s="71">
        <f t="shared" si="143"/>
        <v>3486.464593929752</v>
      </c>
      <c r="L348" s="71">
        <f t="shared" si="143"/>
        <v>3460.6238791131136</v>
      </c>
      <c r="M348" s="71">
        <f t="shared" si="143"/>
        <v>3423.34810155576</v>
      </c>
      <c r="N348" s="71">
        <f t="shared" si="143"/>
        <v>3416.8802777974443</v>
      </c>
      <c r="O348" s="71">
        <f t="shared" si="143"/>
        <v>3376.3567363941343</v>
      </c>
      <c r="P348" s="71">
        <f t="shared" si="143"/>
        <v>3284.69186947751</v>
      </c>
      <c r="Q348" s="71">
        <f t="shared" si="143"/>
        <v>3201.472811975359</v>
      </c>
      <c r="R348" s="71">
        <f t="shared" si="143"/>
        <v>3104.8116639288774</v>
      </c>
      <c r="S348" s="71">
        <f t="shared" si="143"/>
        <v>2842.0738889340923</v>
      </c>
      <c r="T348" s="71">
        <f t="shared" si="143"/>
        <v>2607.5189786617152</v>
      </c>
      <c r="U348" s="71">
        <f t="shared" si="143"/>
        <v>2416.3488515328631</v>
      </c>
      <c r="V348" s="71">
        <f t="shared" si="143"/>
        <v>2232.3431774126811</v>
      </c>
      <c r="W348" s="71">
        <f t="shared" si="143"/>
        <v>2021.9821983292743</v>
      </c>
      <c r="X348" s="71">
        <f t="shared" si="143"/>
        <v>1744.9324506732426</v>
      </c>
      <c r="Y348" s="71">
        <f t="shared" si="143"/>
        <v>1432.7577056460339</v>
      </c>
      <c r="Z348" s="71">
        <f t="shared" si="143"/>
        <v>1131.9656095268012</v>
      </c>
      <c r="AA348" s="71">
        <f t="shared" si="143"/>
        <v>893.90371709906401</v>
      </c>
      <c r="AB348" s="71">
        <f t="shared" si="143"/>
        <v>709.48869306143138</v>
      </c>
      <c r="AC348" s="71">
        <f t="shared" si="143"/>
        <v>517.47838909295137</v>
      </c>
      <c r="AD348" s="71">
        <f t="shared" si="143"/>
        <v>354.09239041303647</v>
      </c>
      <c r="AE348" s="71">
        <f t="shared" si="143"/>
        <v>216.12078579765304</v>
      </c>
      <c r="AF348" s="71">
        <f t="shared" si="143"/>
        <v>76.306320518235339</v>
      </c>
    </row>
    <row r="349" spans="4:32">
      <c r="D349" t="s">
        <v>236</v>
      </c>
      <c r="G349" t="s">
        <v>8</v>
      </c>
      <c r="H349" s="70"/>
      <c r="I349" s="71">
        <f>SUM(I121:$AF121)</f>
        <v>2957.6379253000005</v>
      </c>
      <c r="J349" s="71">
        <f>SUM(J121:$AF121)</f>
        <v>2806.8007649000001</v>
      </c>
      <c r="K349" s="71">
        <f>SUM(K121:$AF121)</f>
        <v>2634.6382672999998</v>
      </c>
      <c r="L349" s="71">
        <f>SUM(L121:$AF121)</f>
        <v>2473.8751752999997</v>
      </c>
      <c r="M349" s="71">
        <f>SUM(M121:$AF121)</f>
        <v>2315.2641856999999</v>
      </c>
      <c r="N349" s="71">
        <f>SUM(N121:$AF121)</f>
        <v>2156.8699617000002</v>
      </c>
      <c r="O349" s="71">
        <f>SUM(O121:$AF121)</f>
        <v>2013.6498697000004</v>
      </c>
      <c r="P349" s="71">
        <f>SUM(P121:$AF121)</f>
        <v>1872.5075976000001</v>
      </c>
      <c r="Q349" s="71">
        <f>SUM(Q121:$AF121)</f>
        <v>1747.7047186000002</v>
      </c>
      <c r="R349" s="71">
        <f>SUM(R121:$AF121)</f>
        <v>1612.557673</v>
      </c>
      <c r="S349" s="71">
        <f>SUM(S121:$AF121)</f>
        <v>1452.5917139999999</v>
      </c>
      <c r="T349" s="71">
        <f>SUM(T121:$AF121)</f>
        <v>1309.5775504000001</v>
      </c>
      <c r="U349" s="71">
        <f>SUM(U121:$AF121)</f>
        <v>1190.8349489999998</v>
      </c>
      <c r="V349" s="71">
        <f>SUM(V121:$AF121)</f>
        <v>1077.8472994000001</v>
      </c>
      <c r="W349" s="71">
        <f>SUM(W121:$AF121)</f>
        <v>954.42524460000004</v>
      </c>
      <c r="X349" s="71">
        <f>SUM(X121:$AF121)</f>
        <v>815.0129118000001</v>
      </c>
      <c r="Y349" s="71">
        <f>SUM(Y121:$AF121)</f>
        <v>660.6566878000001</v>
      </c>
      <c r="Z349" s="71">
        <f>SUM(Z121:$AF121)</f>
        <v>513.52062530000001</v>
      </c>
      <c r="AA349" s="71">
        <f>SUM(AA121:$AF121)</f>
        <v>397.2210503</v>
      </c>
      <c r="AB349" s="71">
        <f>SUM(AB121:$AF121)</f>
        <v>307.14124280000004</v>
      </c>
      <c r="AC349" s="71">
        <f>SUM(AC121:$AF121)</f>
        <v>224.01901129999999</v>
      </c>
      <c r="AD349" s="71">
        <f>SUM(AD121:$AF121)</f>
        <v>153.28838629999998</v>
      </c>
      <c r="AE349" s="71">
        <f>SUM(AE121:$AF121)</f>
        <v>93.559780999999987</v>
      </c>
      <c r="AF349" s="71">
        <f>SUM(AF121:$AF121)</f>
        <v>33.033391999999999</v>
      </c>
    </row>
    <row r="350" spans="4:32">
      <c r="D350" s="5" t="s">
        <v>237</v>
      </c>
      <c r="E350" s="5"/>
      <c r="F350" s="5"/>
      <c r="G350" s="5" t="s">
        <v>8</v>
      </c>
      <c r="H350" s="68"/>
      <c r="I350" s="72">
        <f>I121</f>
        <v>150.83716040000002</v>
      </c>
      <c r="J350" s="72">
        <f t="shared" ref="J350:AF350" si="144">J121</f>
        <v>172.16249759999999</v>
      </c>
      <c r="K350" s="72">
        <f t="shared" si="144"/>
        <v>160.76309200000003</v>
      </c>
      <c r="L350" s="72">
        <f t="shared" si="144"/>
        <v>158.61098959999998</v>
      </c>
      <c r="M350" s="72">
        <f t="shared" si="144"/>
        <v>158.39422400000001</v>
      </c>
      <c r="N350" s="72">
        <f t="shared" si="144"/>
        <v>143.22009199999999</v>
      </c>
      <c r="O350" s="72">
        <f t="shared" si="144"/>
        <v>141.14227210000001</v>
      </c>
      <c r="P350" s="72">
        <f t="shared" si="144"/>
        <v>124.80287900000003</v>
      </c>
      <c r="Q350" s="72">
        <f t="shared" si="144"/>
        <v>135.14704560000001</v>
      </c>
      <c r="R350" s="72">
        <f t="shared" si="144"/>
        <v>159.965959</v>
      </c>
      <c r="S350" s="72">
        <f t="shared" si="144"/>
        <v>143.01416360000002</v>
      </c>
      <c r="T350" s="72">
        <f t="shared" si="144"/>
        <v>118.74260140000003</v>
      </c>
      <c r="U350" s="72">
        <f t="shared" si="144"/>
        <v>112.9876496</v>
      </c>
      <c r="V350" s="72">
        <f t="shared" si="144"/>
        <v>123.42205480000001</v>
      </c>
      <c r="W350" s="72">
        <f t="shared" si="144"/>
        <v>139.4123328</v>
      </c>
      <c r="X350" s="72">
        <f t="shared" si="144"/>
        <v>154.356224</v>
      </c>
      <c r="Y350" s="72">
        <f t="shared" si="144"/>
        <v>147.13606249999998</v>
      </c>
      <c r="Z350" s="72">
        <f t="shared" si="144"/>
        <v>116.299575</v>
      </c>
      <c r="AA350" s="72">
        <f t="shared" si="144"/>
        <v>90.079807499999987</v>
      </c>
      <c r="AB350" s="72">
        <f t="shared" si="144"/>
        <v>83.122231500000012</v>
      </c>
      <c r="AC350" s="72">
        <f t="shared" si="144"/>
        <v>70.730625000000003</v>
      </c>
      <c r="AD350" s="72">
        <f t="shared" si="144"/>
        <v>59.728605299999991</v>
      </c>
      <c r="AE350" s="72">
        <f t="shared" si="144"/>
        <v>60.526388999999995</v>
      </c>
      <c r="AF350" s="72">
        <f t="shared" si="144"/>
        <v>33.033391999999999</v>
      </c>
    </row>
    <row r="351" spans="4:32">
      <c r="D351" t="s">
        <v>238</v>
      </c>
      <c r="G351" t="s">
        <v>211</v>
      </c>
      <c r="H351" s="70"/>
      <c r="I351" s="52">
        <f>I348*I350/I349</f>
        <v>166.51860142401077</v>
      </c>
      <c r="J351" s="52">
        <f>J348*J350/J349</f>
        <v>212.33880464623732</v>
      </c>
      <c r="K351" s="52">
        <f t="shared" ref="K351:AF351" si="145">K348*K350/K349</f>
        <v>212.74071481663839</v>
      </c>
      <c r="L351" s="52">
        <f t="shared" si="145"/>
        <v>221.87577755735353</v>
      </c>
      <c r="M351" s="52">
        <f t="shared" si="145"/>
        <v>234.20159538461343</v>
      </c>
      <c r="N351" s="52">
        <f t="shared" si="145"/>
        <v>226.88707081507474</v>
      </c>
      <c r="O351" s="52">
        <f t="shared" si="145"/>
        <v>236.65815411385609</v>
      </c>
      <c r="P351" s="52">
        <f t="shared" si="145"/>
        <v>218.92514746754884</v>
      </c>
      <c r="Q351" s="52">
        <f t="shared" si="145"/>
        <v>247.56446984578969</v>
      </c>
      <c r="R351" s="52">
        <f t="shared" si="145"/>
        <v>307.99777499478529</v>
      </c>
      <c r="S351" s="52">
        <f t="shared" si="145"/>
        <v>279.81491027237718</v>
      </c>
      <c r="T351" s="52">
        <f t="shared" si="145"/>
        <v>236.43012712885246</v>
      </c>
      <c r="U351" s="52">
        <f t="shared" si="145"/>
        <v>229.26567412018201</v>
      </c>
      <c r="V351" s="52">
        <f t="shared" si="145"/>
        <v>255.62097908340692</v>
      </c>
      <c r="W351" s="52">
        <f t="shared" si="145"/>
        <v>295.34974765603175</v>
      </c>
      <c r="X351" s="52">
        <f t="shared" si="145"/>
        <v>330.47474502720871</v>
      </c>
      <c r="Y351" s="52">
        <f t="shared" si="145"/>
        <v>319.09209611923251</v>
      </c>
      <c r="Z351" s="52">
        <f t="shared" si="145"/>
        <v>256.36189242773719</v>
      </c>
      <c r="AA351" s="52">
        <f t="shared" si="145"/>
        <v>202.71502403763253</v>
      </c>
      <c r="AB351" s="52">
        <f t="shared" si="145"/>
        <v>192.01030396848006</v>
      </c>
      <c r="AC351" s="52">
        <f t="shared" si="145"/>
        <v>163.38599867991491</v>
      </c>
      <c r="AD351" s="52">
        <f t="shared" si="145"/>
        <v>137.97160461538343</v>
      </c>
      <c r="AE351" s="52">
        <f t="shared" si="145"/>
        <v>139.8144652794177</v>
      </c>
      <c r="AF351" s="52">
        <f t="shared" si="145"/>
        <v>76.306320518235339</v>
      </c>
    </row>
    <row r="352" spans="4:32" ht="6" customHeight="1">
      <c r="D352" s="2"/>
      <c r="H352" s="29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</row>
    <row r="353" spans="4:32">
      <c r="D353" s="61" t="s">
        <v>239</v>
      </c>
      <c r="E353" s="61"/>
      <c r="F353" s="61"/>
      <c r="G353" s="61"/>
      <c r="H353" s="62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3"/>
    </row>
    <row r="354" spans="4:32">
      <c r="D354" s="28" t="s">
        <v>240</v>
      </c>
      <c r="H354" s="29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</row>
    <row r="355" spans="4:32">
      <c r="D355" t="s">
        <v>89</v>
      </c>
      <c r="G355" t="s">
        <v>90</v>
      </c>
      <c r="H355" s="48">
        <f>SUM(I355:AF355)</f>
        <v>342.90000000000009</v>
      </c>
      <c r="I355" s="65">
        <f>'Candelaria Inputs'!I619</f>
        <v>66.099999999999994</v>
      </c>
      <c r="J355" s="65">
        <f>'Candelaria Inputs'!J619</f>
        <v>97.3</v>
      </c>
      <c r="K355" s="65">
        <f>'Candelaria Inputs'!K619</f>
        <v>58</v>
      </c>
      <c r="L355" s="65">
        <f>'Candelaria Inputs'!L619</f>
        <v>43</v>
      </c>
      <c r="M355" s="65">
        <f>'Candelaria Inputs'!M619</f>
        <v>12.7</v>
      </c>
      <c r="N355" s="65">
        <f>'Candelaria Inputs'!N619</f>
        <v>6.6599999999999993</v>
      </c>
      <c r="O355" s="65">
        <f>'Candelaria Inputs'!O619</f>
        <v>6.6599999999999993</v>
      </c>
      <c r="P355" s="65">
        <f>'Candelaria Inputs'!P619</f>
        <v>6.6599999999999993</v>
      </c>
      <c r="Q355" s="65">
        <f>'Candelaria Inputs'!Q619</f>
        <v>6.6599999999999993</v>
      </c>
      <c r="R355" s="65">
        <f>'Candelaria Inputs'!R619</f>
        <v>6.6599999999999993</v>
      </c>
      <c r="S355" s="65">
        <f>'Candelaria Inputs'!S619</f>
        <v>6.5</v>
      </c>
      <c r="T355" s="65">
        <f>'Candelaria Inputs'!T619</f>
        <v>6.5</v>
      </c>
      <c r="U355" s="65">
        <f>'Candelaria Inputs'!U619</f>
        <v>6.5</v>
      </c>
      <c r="V355" s="65">
        <f>'Candelaria Inputs'!V619</f>
        <v>6.5</v>
      </c>
      <c r="W355" s="65">
        <f>'Candelaria Inputs'!W619</f>
        <v>6.5</v>
      </c>
      <c r="X355" s="65">
        <f>'Candelaria Inputs'!X619</f>
        <v>0</v>
      </c>
      <c r="Y355" s="65">
        <f>'Candelaria Inputs'!Y619</f>
        <v>0</v>
      </c>
      <c r="Z355" s="65">
        <f>'Candelaria Inputs'!Z619</f>
        <v>0</v>
      </c>
      <c r="AA355" s="65">
        <f>'Candelaria Inputs'!AA619</f>
        <v>0</v>
      </c>
      <c r="AB355" s="65">
        <f>'Candelaria Inputs'!AB619</f>
        <v>0</v>
      </c>
      <c r="AC355" s="65">
        <f>'Candelaria Inputs'!AC619</f>
        <v>0</v>
      </c>
      <c r="AD355" s="65">
        <f>'Candelaria Inputs'!AD619</f>
        <v>0</v>
      </c>
      <c r="AE355" s="65">
        <f>'Candelaria Inputs'!AE619</f>
        <v>0</v>
      </c>
      <c r="AF355" s="65">
        <f>'Candelaria Inputs'!AF619</f>
        <v>0</v>
      </c>
    </row>
    <row r="356" spans="4:32">
      <c r="D356" t="s">
        <v>91</v>
      </c>
      <c r="G356" t="s">
        <v>90</v>
      </c>
      <c r="H356" s="48">
        <f t="shared" ref="H356:H368" si="146">SUM(I356:AF356)</f>
        <v>765.8</v>
      </c>
      <c r="I356" s="65">
        <f>'Candelaria Inputs'!I626</f>
        <v>50.2</v>
      </c>
      <c r="J356" s="65">
        <f>'Candelaria Inputs'!J626</f>
        <v>47.6</v>
      </c>
      <c r="K356" s="65">
        <f>'Candelaria Inputs'!K626</f>
        <v>49.5</v>
      </c>
      <c r="L356" s="65">
        <f>'Candelaria Inputs'!L626</f>
        <v>44.9</v>
      </c>
      <c r="M356" s="65">
        <f>'Candelaria Inputs'!M626</f>
        <v>45.4</v>
      </c>
      <c r="N356" s="65">
        <f>'Candelaria Inputs'!N626</f>
        <v>52.120000000000005</v>
      </c>
      <c r="O356" s="65">
        <f>'Candelaria Inputs'!O626</f>
        <v>52.120000000000005</v>
      </c>
      <c r="P356" s="65">
        <f>'Candelaria Inputs'!P626</f>
        <v>52.120000000000005</v>
      </c>
      <c r="Q356" s="65">
        <f>'Candelaria Inputs'!Q626</f>
        <v>52.120000000000005</v>
      </c>
      <c r="R356" s="65">
        <f>'Candelaria Inputs'!R626</f>
        <v>52.120000000000005</v>
      </c>
      <c r="S356" s="65">
        <f>'Candelaria Inputs'!S626</f>
        <v>35.22</v>
      </c>
      <c r="T356" s="65">
        <f>'Candelaria Inputs'!T626</f>
        <v>35.22</v>
      </c>
      <c r="U356" s="65">
        <f>'Candelaria Inputs'!U626</f>
        <v>35.22</v>
      </c>
      <c r="V356" s="65">
        <f>'Candelaria Inputs'!V626</f>
        <v>35.22</v>
      </c>
      <c r="W356" s="65">
        <f>'Candelaria Inputs'!W626</f>
        <v>35.22</v>
      </c>
      <c r="X356" s="65">
        <f>'Candelaria Inputs'!X626</f>
        <v>18.3</v>
      </c>
      <c r="Y356" s="65">
        <f>'Candelaria Inputs'!Y626</f>
        <v>18.3</v>
      </c>
      <c r="Z356" s="65">
        <f>'Candelaria Inputs'!Z626</f>
        <v>18.3</v>
      </c>
      <c r="AA356" s="65">
        <f>'Candelaria Inputs'!AA626</f>
        <v>18.3</v>
      </c>
      <c r="AB356" s="65">
        <f>'Candelaria Inputs'!AB626</f>
        <v>18.3</v>
      </c>
      <c r="AC356" s="65">
        <f>'Candelaria Inputs'!AC626</f>
        <v>0</v>
      </c>
      <c r="AD356" s="65">
        <f>'Candelaria Inputs'!AD626</f>
        <v>0</v>
      </c>
      <c r="AE356" s="65">
        <f>'Candelaria Inputs'!AE626</f>
        <v>0</v>
      </c>
      <c r="AF356" s="65">
        <f>'Candelaria Inputs'!AF626</f>
        <v>0</v>
      </c>
    </row>
    <row r="357" spans="4:32">
      <c r="D357" t="s">
        <v>92</v>
      </c>
      <c r="G357" t="s">
        <v>90</v>
      </c>
      <c r="H357" s="48">
        <f t="shared" si="146"/>
        <v>85.1</v>
      </c>
      <c r="I357" s="65">
        <f>'Candelaria Inputs'!I633</f>
        <v>13.5</v>
      </c>
      <c r="J357" s="65">
        <f>'Candelaria Inputs'!J633</f>
        <v>19.3</v>
      </c>
      <c r="K357" s="65">
        <f>'Candelaria Inputs'!K633</f>
        <v>14.8</v>
      </c>
      <c r="L357" s="65">
        <f>'Candelaria Inputs'!L633</f>
        <v>3</v>
      </c>
      <c r="M357" s="65">
        <f>'Candelaria Inputs'!M633</f>
        <v>20.6</v>
      </c>
      <c r="N357" s="65">
        <f>'Candelaria Inputs'!N633</f>
        <v>1.72</v>
      </c>
      <c r="O357" s="65">
        <f>'Candelaria Inputs'!O633</f>
        <v>1.72</v>
      </c>
      <c r="P357" s="65">
        <f>'Candelaria Inputs'!P633</f>
        <v>1.72</v>
      </c>
      <c r="Q357" s="65">
        <f>'Candelaria Inputs'!Q633</f>
        <v>1.72</v>
      </c>
      <c r="R357" s="65">
        <f>'Candelaria Inputs'!R633</f>
        <v>1.72</v>
      </c>
      <c r="S357" s="65">
        <f>'Candelaria Inputs'!S633</f>
        <v>1.06</v>
      </c>
      <c r="T357" s="65">
        <f>'Candelaria Inputs'!T633</f>
        <v>1.06</v>
      </c>
      <c r="U357" s="65">
        <f>'Candelaria Inputs'!U633</f>
        <v>1.06</v>
      </c>
      <c r="V357" s="65">
        <f>'Candelaria Inputs'!V633</f>
        <v>1.06</v>
      </c>
      <c r="W357" s="65">
        <f>'Candelaria Inputs'!W633</f>
        <v>1.06</v>
      </c>
      <c r="X357" s="65">
        <f>'Candelaria Inputs'!X633</f>
        <v>0</v>
      </c>
      <c r="Y357" s="65">
        <f>'Candelaria Inputs'!Y633</f>
        <v>0</v>
      </c>
      <c r="Z357" s="65">
        <f>'Candelaria Inputs'!Z633</f>
        <v>0</v>
      </c>
      <c r="AA357" s="65">
        <f>'Candelaria Inputs'!AA633</f>
        <v>0</v>
      </c>
      <c r="AB357" s="65">
        <f>'Candelaria Inputs'!AB633</f>
        <v>0</v>
      </c>
      <c r="AC357" s="65">
        <f>'Candelaria Inputs'!AC633</f>
        <v>0</v>
      </c>
      <c r="AD357" s="65">
        <f>'Candelaria Inputs'!AD633</f>
        <v>0</v>
      </c>
      <c r="AE357" s="65">
        <f>'Candelaria Inputs'!AE633</f>
        <v>0</v>
      </c>
      <c r="AF357" s="65">
        <f>'Candelaria Inputs'!AF633</f>
        <v>0</v>
      </c>
    </row>
    <row r="358" spans="4:32">
      <c r="D358" t="s">
        <v>93</v>
      </c>
      <c r="G358" t="s">
        <v>90</v>
      </c>
      <c r="H358" s="48">
        <f t="shared" si="146"/>
        <v>165.5</v>
      </c>
      <c r="I358" s="65">
        <f>'Candelaria Inputs'!I640</f>
        <v>55.2</v>
      </c>
      <c r="J358" s="65">
        <f>'Candelaria Inputs'!J640</f>
        <v>29.8</v>
      </c>
      <c r="K358" s="65">
        <f>'Candelaria Inputs'!K640</f>
        <v>12.2</v>
      </c>
      <c r="L358" s="65">
        <f>'Candelaria Inputs'!L640</f>
        <v>13.1</v>
      </c>
      <c r="M358" s="65">
        <f>'Candelaria Inputs'!M640</f>
        <v>8</v>
      </c>
      <c r="N358" s="65">
        <f>'Candelaria Inputs'!N640</f>
        <v>6.9799999999999995</v>
      </c>
      <c r="O358" s="65">
        <f>'Candelaria Inputs'!O640</f>
        <v>6.9799999999999995</v>
      </c>
      <c r="P358" s="65">
        <f>'Candelaria Inputs'!P640</f>
        <v>6.9799999999999995</v>
      </c>
      <c r="Q358" s="65">
        <f>'Candelaria Inputs'!Q640</f>
        <v>6.9799999999999995</v>
      </c>
      <c r="R358" s="65">
        <f>'Candelaria Inputs'!R640</f>
        <v>6.9799999999999995</v>
      </c>
      <c r="S358" s="65">
        <f>'Candelaria Inputs'!S640</f>
        <v>2.46</v>
      </c>
      <c r="T358" s="65">
        <f>'Candelaria Inputs'!T640</f>
        <v>2.46</v>
      </c>
      <c r="U358" s="65">
        <f>'Candelaria Inputs'!U640</f>
        <v>2.46</v>
      </c>
      <c r="V358" s="65">
        <f>'Candelaria Inputs'!V640</f>
        <v>2.46</v>
      </c>
      <c r="W358" s="65">
        <f>'Candelaria Inputs'!W640</f>
        <v>2.46</v>
      </c>
      <c r="X358" s="65">
        <f>'Candelaria Inputs'!X640</f>
        <v>0</v>
      </c>
      <c r="Y358" s="65">
        <f>'Candelaria Inputs'!Y640</f>
        <v>0</v>
      </c>
      <c r="Z358" s="65">
        <f>'Candelaria Inputs'!Z640</f>
        <v>0</v>
      </c>
      <c r="AA358" s="65">
        <f>'Candelaria Inputs'!AA640</f>
        <v>0</v>
      </c>
      <c r="AB358" s="65">
        <f>'Candelaria Inputs'!AB640</f>
        <v>0</v>
      </c>
      <c r="AC358" s="65">
        <f>'Candelaria Inputs'!AC640</f>
        <v>0</v>
      </c>
      <c r="AD358" s="65">
        <f>'Candelaria Inputs'!AD640</f>
        <v>0</v>
      </c>
      <c r="AE358" s="65">
        <f>'Candelaria Inputs'!AE640</f>
        <v>0</v>
      </c>
      <c r="AF358" s="65">
        <f>'Candelaria Inputs'!AF640</f>
        <v>0</v>
      </c>
    </row>
    <row r="359" spans="4:32">
      <c r="D359" t="s">
        <v>94</v>
      </c>
      <c r="G359" t="s">
        <v>90</v>
      </c>
      <c r="H359" s="48">
        <f t="shared" si="146"/>
        <v>28.4</v>
      </c>
      <c r="I359" s="65">
        <f>'Candelaria Inputs'!I647</f>
        <v>9.6</v>
      </c>
      <c r="J359" s="65">
        <f>'Candelaria Inputs'!J647</f>
        <v>16</v>
      </c>
      <c r="K359" s="65">
        <f>'Candelaria Inputs'!K647</f>
        <v>2.6</v>
      </c>
      <c r="L359" s="65">
        <f>'Candelaria Inputs'!L647</f>
        <v>0</v>
      </c>
      <c r="M359" s="65">
        <f>'Candelaria Inputs'!M647</f>
        <v>0</v>
      </c>
      <c r="N359" s="65">
        <f>'Candelaria Inputs'!N647</f>
        <v>0.02</v>
      </c>
      <c r="O359" s="65">
        <f>'Candelaria Inputs'!O647</f>
        <v>0.02</v>
      </c>
      <c r="P359" s="65">
        <f>'Candelaria Inputs'!P647</f>
        <v>0.02</v>
      </c>
      <c r="Q359" s="65">
        <f>'Candelaria Inputs'!Q647</f>
        <v>0.02</v>
      </c>
      <c r="R359" s="65">
        <f>'Candelaria Inputs'!R647</f>
        <v>0.02</v>
      </c>
      <c r="S359" s="65">
        <f>'Candelaria Inputs'!S647</f>
        <v>0.02</v>
      </c>
      <c r="T359" s="65">
        <f>'Candelaria Inputs'!T647</f>
        <v>0.02</v>
      </c>
      <c r="U359" s="65">
        <f>'Candelaria Inputs'!U647</f>
        <v>0.02</v>
      </c>
      <c r="V359" s="65">
        <f>'Candelaria Inputs'!V647</f>
        <v>0.02</v>
      </c>
      <c r="W359" s="65">
        <f>'Candelaria Inputs'!W647</f>
        <v>0.02</v>
      </c>
      <c r="X359" s="65">
        <f>'Candelaria Inputs'!X647</f>
        <v>0</v>
      </c>
      <c r="Y359" s="65">
        <f>'Candelaria Inputs'!Y647</f>
        <v>0</v>
      </c>
      <c r="Z359" s="65">
        <f>'Candelaria Inputs'!Z647</f>
        <v>0</v>
      </c>
      <c r="AA359" s="65">
        <f>'Candelaria Inputs'!AA647</f>
        <v>0</v>
      </c>
      <c r="AB359" s="65">
        <f>'Candelaria Inputs'!AB647</f>
        <v>0</v>
      </c>
      <c r="AC359" s="65">
        <f>'Candelaria Inputs'!AC647</f>
        <v>0</v>
      </c>
      <c r="AD359" s="65">
        <f>'Candelaria Inputs'!AD647</f>
        <v>0</v>
      </c>
      <c r="AE359" s="65">
        <f>'Candelaria Inputs'!AE647</f>
        <v>0</v>
      </c>
      <c r="AF359" s="65">
        <f>'Candelaria Inputs'!AF647</f>
        <v>0</v>
      </c>
    </row>
    <row r="360" spans="4:32">
      <c r="D360" s="5" t="s">
        <v>96</v>
      </c>
      <c r="E360" s="5"/>
      <c r="F360" s="5"/>
      <c r="G360" s="5" t="s">
        <v>90</v>
      </c>
      <c r="H360" s="51">
        <f t="shared" si="146"/>
        <v>1066</v>
      </c>
      <c r="I360" s="54">
        <f>'Candelaria Inputs'!I654</f>
        <v>185</v>
      </c>
      <c r="J360" s="54">
        <f>'Candelaria Inputs'!J654</f>
        <v>136</v>
      </c>
      <c r="K360" s="54">
        <f>'Candelaria Inputs'!K654</f>
        <v>87</v>
      </c>
      <c r="L360" s="54">
        <f>'Candelaria Inputs'!L654</f>
        <v>76</v>
      </c>
      <c r="M360" s="54">
        <f>'Candelaria Inputs'!M654</f>
        <v>94</v>
      </c>
      <c r="N360" s="54">
        <f>'Candelaria Inputs'!N654</f>
        <v>156.19377162629758</v>
      </c>
      <c r="O360" s="54">
        <f>'Candelaria Inputs'!O654</f>
        <v>114.82352941176471</v>
      </c>
      <c r="P360" s="54">
        <f>'Candelaria Inputs'!P654</f>
        <v>73.45328719723183</v>
      </c>
      <c r="Q360" s="54">
        <f>'Candelaria Inputs'!Q654</f>
        <v>64.166089965397916</v>
      </c>
      <c r="R360" s="54">
        <f>'Candelaria Inputs'!R654</f>
        <v>79.363321799307954</v>
      </c>
      <c r="S360" s="54">
        <f>'Candelaria Inputs'!S654</f>
        <v>0</v>
      </c>
      <c r="T360" s="54">
        <f>'Candelaria Inputs'!T654</f>
        <v>0</v>
      </c>
      <c r="U360" s="54">
        <f>'Candelaria Inputs'!U654</f>
        <v>0</v>
      </c>
      <c r="V360" s="54">
        <f>'Candelaria Inputs'!V654</f>
        <v>0</v>
      </c>
      <c r="W360" s="54">
        <f>'Candelaria Inputs'!W654</f>
        <v>0</v>
      </c>
      <c r="X360" s="54">
        <f>'Candelaria Inputs'!X654</f>
        <v>0</v>
      </c>
      <c r="Y360" s="54">
        <f>'Candelaria Inputs'!Y654</f>
        <v>0</v>
      </c>
      <c r="Z360" s="54">
        <f>'Candelaria Inputs'!Z654</f>
        <v>0</v>
      </c>
      <c r="AA360" s="54">
        <f>'Candelaria Inputs'!AA654</f>
        <v>0</v>
      </c>
      <c r="AB360" s="54">
        <f>'Candelaria Inputs'!AB654</f>
        <v>0</v>
      </c>
      <c r="AC360" s="54">
        <f>'Candelaria Inputs'!AC654</f>
        <v>0</v>
      </c>
      <c r="AD360" s="54">
        <f>'Candelaria Inputs'!AD654</f>
        <v>0</v>
      </c>
      <c r="AE360" s="54">
        <f>'Candelaria Inputs'!AE654</f>
        <v>0</v>
      </c>
      <c r="AF360" s="54">
        <f>'Candelaria Inputs'!AF654</f>
        <v>0</v>
      </c>
    </row>
    <row r="361" spans="4:32">
      <c r="D361" t="s">
        <v>241</v>
      </c>
      <c r="G361" t="s">
        <v>211</v>
      </c>
      <c r="H361" s="48">
        <f t="shared" si="146"/>
        <v>2453.7000000000021</v>
      </c>
      <c r="I361" s="73">
        <f>I355+I356+I357+I358+I359+I360</f>
        <v>379.6</v>
      </c>
      <c r="J361" s="73">
        <f t="shared" ref="J361:AF361" si="147">J355+J356+J357+J358+J359+J360</f>
        <v>346</v>
      </c>
      <c r="K361" s="73">
        <f t="shared" si="147"/>
        <v>224.1</v>
      </c>
      <c r="L361" s="73">
        <f t="shared" si="147"/>
        <v>180</v>
      </c>
      <c r="M361" s="73">
        <f t="shared" si="147"/>
        <v>180.7</v>
      </c>
      <c r="N361" s="73">
        <f t="shared" si="147"/>
        <v>223.69377162629758</v>
      </c>
      <c r="O361" s="73">
        <f t="shared" si="147"/>
        <v>182.3235294117647</v>
      </c>
      <c r="P361" s="73">
        <f t="shared" si="147"/>
        <v>140.95328719723182</v>
      </c>
      <c r="Q361" s="73">
        <f t="shared" si="147"/>
        <v>131.66608996539793</v>
      </c>
      <c r="R361" s="73">
        <f t="shared" si="147"/>
        <v>146.86332179930795</v>
      </c>
      <c r="S361" s="73">
        <f t="shared" si="147"/>
        <v>45.260000000000005</v>
      </c>
      <c r="T361" s="73">
        <f t="shared" si="147"/>
        <v>45.260000000000005</v>
      </c>
      <c r="U361" s="73">
        <f t="shared" si="147"/>
        <v>45.260000000000005</v>
      </c>
      <c r="V361" s="73">
        <f t="shared" si="147"/>
        <v>45.260000000000005</v>
      </c>
      <c r="W361" s="73">
        <f t="shared" si="147"/>
        <v>45.260000000000005</v>
      </c>
      <c r="X361" s="73">
        <f t="shared" si="147"/>
        <v>18.3</v>
      </c>
      <c r="Y361" s="73">
        <f t="shared" si="147"/>
        <v>18.3</v>
      </c>
      <c r="Z361" s="73">
        <f t="shared" si="147"/>
        <v>18.3</v>
      </c>
      <c r="AA361" s="73">
        <f t="shared" si="147"/>
        <v>18.3</v>
      </c>
      <c r="AB361" s="73">
        <f t="shared" si="147"/>
        <v>18.3</v>
      </c>
      <c r="AC361" s="73">
        <f t="shared" si="147"/>
        <v>0</v>
      </c>
      <c r="AD361" s="73">
        <f t="shared" si="147"/>
        <v>0</v>
      </c>
      <c r="AE361" s="73">
        <f t="shared" si="147"/>
        <v>0</v>
      </c>
      <c r="AF361" s="73">
        <f t="shared" si="147"/>
        <v>0</v>
      </c>
    </row>
    <row r="362" spans="4:32" ht="6" customHeight="1">
      <c r="D362" s="2"/>
      <c r="H362" s="29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</row>
    <row r="363" spans="4:32">
      <c r="D363" s="28" t="s">
        <v>240</v>
      </c>
      <c r="H363" s="74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</row>
    <row r="364" spans="4:32">
      <c r="D364" t="s">
        <v>91</v>
      </c>
      <c r="G364" t="s">
        <v>90</v>
      </c>
      <c r="H364" s="48">
        <f t="shared" si="146"/>
        <v>72.800000000000011</v>
      </c>
      <c r="I364" s="65">
        <f>'Candelaria Inputs'!I662</f>
        <v>16.899999999999999</v>
      </c>
      <c r="J364" s="65">
        <f>'Candelaria Inputs'!J662</f>
        <v>13.6</v>
      </c>
      <c r="K364" s="65">
        <f>'Candelaria Inputs'!K662</f>
        <v>12.9</v>
      </c>
      <c r="L364" s="65">
        <f>'Candelaria Inputs'!L662</f>
        <v>5.3</v>
      </c>
      <c r="M364" s="65">
        <f>'Candelaria Inputs'!M662</f>
        <v>3.9</v>
      </c>
      <c r="N364" s="65">
        <f>'Candelaria Inputs'!N662</f>
        <v>4.04</v>
      </c>
      <c r="O364" s="65">
        <f>'Candelaria Inputs'!O662</f>
        <v>4.04</v>
      </c>
      <c r="P364" s="65">
        <f>'Candelaria Inputs'!P662</f>
        <v>4.04</v>
      </c>
      <c r="Q364" s="65">
        <f>'Candelaria Inputs'!Q662</f>
        <v>4.04</v>
      </c>
      <c r="R364" s="65">
        <f>'Candelaria Inputs'!R662</f>
        <v>4.04</v>
      </c>
      <c r="S364" s="65">
        <f>'Candelaria Inputs'!S662</f>
        <v>0</v>
      </c>
      <c r="T364" s="65">
        <f>'Candelaria Inputs'!T662</f>
        <v>0</v>
      </c>
      <c r="U364" s="65">
        <f>'Candelaria Inputs'!U662</f>
        <v>0</v>
      </c>
      <c r="V364" s="65">
        <f>'Candelaria Inputs'!V662</f>
        <v>0</v>
      </c>
      <c r="W364" s="65">
        <f>'Candelaria Inputs'!W662</f>
        <v>0</v>
      </c>
      <c r="X364" s="65">
        <f>'Candelaria Inputs'!X662</f>
        <v>0</v>
      </c>
      <c r="Y364" s="65">
        <f>'Candelaria Inputs'!Y662</f>
        <v>0</v>
      </c>
      <c r="Z364" s="65">
        <f>'Candelaria Inputs'!Z662</f>
        <v>0</v>
      </c>
      <c r="AA364" s="65">
        <f>'Candelaria Inputs'!AA662</f>
        <v>0</v>
      </c>
      <c r="AB364" s="65">
        <f>'Candelaria Inputs'!AB662</f>
        <v>0</v>
      </c>
      <c r="AC364" s="65">
        <f>'Candelaria Inputs'!AC662</f>
        <v>0</v>
      </c>
      <c r="AD364" s="65">
        <f>'Candelaria Inputs'!AD662</f>
        <v>0</v>
      </c>
      <c r="AE364" s="65">
        <f>'Candelaria Inputs'!AE662</f>
        <v>0</v>
      </c>
      <c r="AF364" s="65">
        <f>'Candelaria Inputs'!AF662</f>
        <v>0</v>
      </c>
    </row>
    <row r="365" spans="4:32">
      <c r="D365" t="s">
        <v>92</v>
      </c>
      <c r="G365" t="s">
        <v>90</v>
      </c>
      <c r="H365" s="48">
        <f t="shared" si="146"/>
        <v>5.8</v>
      </c>
      <c r="I365" s="65">
        <f>'Candelaria Inputs'!I669</f>
        <v>2.4</v>
      </c>
      <c r="J365" s="65">
        <f>'Candelaria Inputs'!J669</f>
        <v>3.4</v>
      </c>
      <c r="K365" s="65">
        <f>'Candelaria Inputs'!K669</f>
        <v>0</v>
      </c>
      <c r="L365" s="65">
        <f>'Candelaria Inputs'!L669</f>
        <v>0</v>
      </c>
      <c r="M365" s="65">
        <f>'Candelaria Inputs'!M669</f>
        <v>0</v>
      </c>
      <c r="N365" s="65">
        <f>'Candelaria Inputs'!N669</f>
        <v>0</v>
      </c>
      <c r="O365" s="65">
        <f>'Candelaria Inputs'!O669</f>
        <v>0</v>
      </c>
      <c r="P365" s="65">
        <f>'Candelaria Inputs'!P669</f>
        <v>0</v>
      </c>
      <c r="Q365" s="65">
        <f>'Candelaria Inputs'!Q669</f>
        <v>0</v>
      </c>
      <c r="R365" s="65">
        <f>'Candelaria Inputs'!R669</f>
        <v>0</v>
      </c>
      <c r="S365" s="65">
        <f>'Candelaria Inputs'!S669</f>
        <v>0</v>
      </c>
      <c r="T365" s="65">
        <f>'Candelaria Inputs'!T669</f>
        <v>0</v>
      </c>
      <c r="U365" s="65">
        <f>'Candelaria Inputs'!U669</f>
        <v>0</v>
      </c>
      <c r="V365" s="65">
        <f>'Candelaria Inputs'!V669</f>
        <v>0</v>
      </c>
      <c r="W365" s="65">
        <f>'Candelaria Inputs'!W669</f>
        <v>0</v>
      </c>
      <c r="X365" s="65">
        <f>'Candelaria Inputs'!X669</f>
        <v>0</v>
      </c>
      <c r="Y365" s="65">
        <f>'Candelaria Inputs'!Y669</f>
        <v>0</v>
      </c>
      <c r="Z365" s="65">
        <f>'Candelaria Inputs'!Z669</f>
        <v>0</v>
      </c>
      <c r="AA365" s="65">
        <f>'Candelaria Inputs'!AA669</f>
        <v>0</v>
      </c>
      <c r="AB365" s="65">
        <f>'Candelaria Inputs'!AB669</f>
        <v>0</v>
      </c>
      <c r="AC365" s="65">
        <f>'Candelaria Inputs'!AC669</f>
        <v>0</v>
      </c>
      <c r="AD365" s="65">
        <f>'Candelaria Inputs'!AD669</f>
        <v>0</v>
      </c>
      <c r="AE365" s="65">
        <f>'Candelaria Inputs'!AE669</f>
        <v>0</v>
      </c>
      <c r="AF365" s="65">
        <f>'Candelaria Inputs'!AF669</f>
        <v>0</v>
      </c>
    </row>
    <row r="366" spans="4:32">
      <c r="D366" t="s">
        <v>93</v>
      </c>
      <c r="G366" t="s">
        <v>90</v>
      </c>
      <c r="H366" s="48">
        <f t="shared" si="146"/>
        <v>0</v>
      </c>
      <c r="I366" s="65">
        <f>'Candelaria Inputs'!I676</f>
        <v>0</v>
      </c>
      <c r="J366" s="65">
        <f>'Candelaria Inputs'!J676</f>
        <v>0</v>
      </c>
      <c r="K366" s="65">
        <f>'Candelaria Inputs'!K676</f>
        <v>0</v>
      </c>
      <c r="L366" s="65">
        <f>'Candelaria Inputs'!L676</f>
        <v>0</v>
      </c>
      <c r="M366" s="65">
        <f>'Candelaria Inputs'!M676</f>
        <v>0</v>
      </c>
      <c r="N366" s="65">
        <f>'Candelaria Inputs'!N676</f>
        <v>0</v>
      </c>
      <c r="O366" s="65">
        <f>'Candelaria Inputs'!O676</f>
        <v>0</v>
      </c>
      <c r="P366" s="65">
        <f>'Candelaria Inputs'!P676</f>
        <v>0</v>
      </c>
      <c r="Q366" s="65">
        <f>'Candelaria Inputs'!Q676</f>
        <v>0</v>
      </c>
      <c r="R366" s="65">
        <f>'Candelaria Inputs'!R676</f>
        <v>0</v>
      </c>
      <c r="S366" s="65">
        <f>'Candelaria Inputs'!S676</f>
        <v>0</v>
      </c>
      <c r="T366" s="65">
        <f>'Candelaria Inputs'!T676</f>
        <v>0</v>
      </c>
      <c r="U366" s="65">
        <f>'Candelaria Inputs'!U676</f>
        <v>0</v>
      </c>
      <c r="V366" s="65">
        <f>'Candelaria Inputs'!V676</f>
        <v>0</v>
      </c>
      <c r="W366" s="65">
        <f>'Candelaria Inputs'!W676</f>
        <v>0</v>
      </c>
      <c r="X366" s="65">
        <f>'Candelaria Inputs'!X676</f>
        <v>0</v>
      </c>
      <c r="Y366" s="65">
        <f>'Candelaria Inputs'!Y676</f>
        <v>0</v>
      </c>
      <c r="Z366" s="65">
        <f>'Candelaria Inputs'!Z676</f>
        <v>0</v>
      </c>
      <c r="AA366" s="65">
        <f>'Candelaria Inputs'!AA676</f>
        <v>0</v>
      </c>
      <c r="AB366" s="65">
        <f>'Candelaria Inputs'!AB676</f>
        <v>0</v>
      </c>
      <c r="AC366" s="65">
        <f>'Candelaria Inputs'!AC676</f>
        <v>0</v>
      </c>
      <c r="AD366" s="65">
        <f>'Candelaria Inputs'!AD676</f>
        <v>0</v>
      </c>
      <c r="AE366" s="65">
        <f>'Candelaria Inputs'!AE676</f>
        <v>0</v>
      </c>
      <c r="AF366" s="65">
        <f>'Candelaria Inputs'!AF676</f>
        <v>0</v>
      </c>
    </row>
    <row r="367" spans="4:32">
      <c r="D367" s="5" t="s">
        <v>94</v>
      </c>
      <c r="E367" s="5"/>
      <c r="F367" s="5"/>
      <c r="G367" s="5" t="s">
        <v>90</v>
      </c>
      <c r="H367" s="51">
        <f t="shared" si="146"/>
        <v>2.2999999999999998</v>
      </c>
      <c r="I367" s="54">
        <f>'Candelaria Inputs'!I683</f>
        <v>0.5</v>
      </c>
      <c r="J367" s="54">
        <f>'Candelaria Inputs'!J683</f>
        <v>0.2</v>
      </c>
      <c r="K367" s="54">
        <f>'Candelaria Inputs'!K683</f>
        <v>0</v>
      </c>
      <c r="L367" s="54">
        <f>'Candelaria Inputs'!L683</f>
        <v>1.6</v>
      </c>
      <c r="M367" s="54">
        <f>'Candelaria Inputs'!M683</f>
        <v>0</v>
      </c>
      <c r="N367" s="54">
        <f>'Candelaria Inputs'!N683</f>
        <v>0</v>
      </c>
      <c r="O367" s="54">
        <f>'Candelaria Inputs'!O683</f>
        <v>0</v>
      </c>
      <c r="P367" s="54">
        <f>'Candelaria Inputs'!P683</f>
        <v>0</v>
      </c>
      <c r="Q367" s="54">
        <f>'Candelaria Inputs'!Q683</f>
        <v>0</v>
      </c>
      <c r="R367" s="54">
        <f>'Candelaria Inputs'!R683</f>
        <v>0</v>
      </c>
      <c r="S367" s="54">
        <f>'Candelaria Inputs'!S683</f>
        <v>0</v>
      </c>
      <c r="T367" s="54">
        <f>'Candelaria Inputs'!T683</f>
        <v>0</v>
      </c>
      <c r="U367" s="54">
        <f>'Candelaria Inputs'!U683</f>
        <v>0</v>
      </c>
      <c r="V367" s="54">
        <f>'Candelaria Inputs'!V683</f>
        <v>0</v>
      </c>
      <c r="W367" s="54">
        <f>'Candelaria Inputs'!W683</f>
        <v>0</v>
      </c>
      <c r="X367" s="54">
        <f>'Candelaria Inputs'!X683</f>
        <v>0</v>
      </c>
      <c r="Y367" s="54">
        <f>'Candelaria Inputs'!Y683</f>
        <v>0</v>
      </c>
      <c r="Z367" s="54">
        <f>'Candelaria Inputs'!Z683</f>
        <v>0</v>
      </c>
      <c r="AA367" s="54">
        <f>'Candelaria Inputs'!AA683</f>
        <v>0</v>
      </c>
      <c r="AB367" s="54">
        <f>'Candelaria Inputs'!AB683</f>
        <v>0</v>
      </c>
      <c r="AC367" s="54">
        <f>'Candelaria Inputs'!AC683</f>
        <v>0</v>
      </c>
      <c r="AD367" s="54">
        <f>'Candelaria Inputs'!AD683</f>
        <v>0</v>
      </c>
      <c r="AE367" s="54">
        <f>'Candelaria Inputs'!AE683</f>
        <v>0</v>
      </c>
      <c r="AF367" s="54">
        <f>'Candelaria Inputs'!AF683</f>
        <v>0</v>
      </c>
    </row>
    <row r="368" spans="4:32">
      <c r="D368" t="s">
        <v>241</v>
      </c>
      <c r="G368" t="s">
        <v>211</v>
      </c>
      <c r="H368" s="48">
        <f t="shared" si="146"/>
        <v>80.90000000000002</v>
      </c>
      <c r="I368" s="73">
        <f>I364+I365+I366+I367</f>
        <v>19.799999999999997</v>
      </c>
      <c r="J368" s="73">
        <f t="shared" ref="J368:AF368" si="148">J364+J365+J366+J367</f>
        <v>17.2</v>
      </c>
      <c r="K368" s="73">
        <f t="shared" si="148"/>
        <v>12.9</v>
      </c>
      <c r="L368" s="73">
        <f t="shared" si="148"/>
        <v>6.9</v>
      </c>
      <c r="M368" s="73">
        <f t="shared" si="148"/>
        <v>3.9</v>
      </c>
      <c r="N368" s="73">
        <f t="shared" si="148"/>
        <v>4.04</v>
      </c>
      <c r="O368" s="73">
        <f t="shared" si="148"/>
        <v>4.04</v>
      </c>
      <c r="P368" s="73">
        <f t="shared" si="148"/>
        <v>4.04</v>
      </c>
      <c r="Q368" s="73">
        <f t="shared" si="148"/>
        <v>4.04</v>
      </c>
      <c r="R368" s="73">
        <f t="shared" si="148"/>
        <v>4.04</v>
      </c>
      <c r="S368" s="73">
        <f t="shared" si="148"/>
        <v>0</v>
      </c>
      <c r="T368" s="73">
        <f t="shared" si="148"/>
        <v>0</v>
      </c>
      <c r="U368" s="73">
        <f t="shared" si="148"/>
        <v>0</v>
      </c>
      <c r="V368" s="73">
        <f t="shared" si="148"/>
        <v>0</v>
      </c>
      <c r="W368" s="73">
        <f t="shared" si="148"/>
        <v>0</v>
      </c>
      <c r="X368" s="73">
        <f t="shared" si="148"/>
        <v>0</v>
      </c>
      <c r="Y368" s="73">
        <f t="shared" si="148"/>
        <v>0</v>
      </c>
      <c r="Z368" s="73">
        <f t="shared" si="148"/>
        <v>0</v>
      </c>
      <c r="AA368" s="73">
        <f t="shared" si="148"/>
        <v>0</v>
      </c>
      <c r="AB368" s="73">
        <f t="shared" si="148"/>
        <v>0</v>
      </c>
      <c r="AC368" s="73">
        <f t="shared" si="148"/>
        <v>0</v>
      </c>
      <c r="AD368" s="73">
        <f t="shared" si="148"/>
        <v>0</v>
      </c>
      <c r="AE368" s="73">
        <f t="shared" si="148"/>
        <v>0</v>
      </c>
      <c r="AF368" s="73">
        <f t="shared" si="148"/>
        <v>0</v>
      </c>
    </row>
    <row r="369" spans="1:32" ht="6" customHeight="1">
      <c r="D369" s="2"/>
      <c r="H369" s="29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</row>
    <row r="370" spans="1:32">
      <c r="D370" s="28" t="s">
        <v>242</v>
      </c>
      <c r="H370" s="74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</row>
    <row r="371" spans="1:32">
      <c r="D371" t="s">
        <v>243</v>
      </c>
      <c r="G371" t="s">
        <v>90</v>
      </c>
      <c r="H371" s="48">
        <f t="shared" ref="H371" si="149">SUM(I371:AF371)</f>
        <v>0</v>
      </c>
      <c r="I371" s="65">
        <f>'Candelaria Inputs'!I687</f>
        <v>0</v>
      </c>
      <c r="J371" s="65">
        <f>'Candelaria Inputs'!J687</f>
        <v>0</v>
      </c>
      <c r="K371" s="65">
        <f>'Candelaria Inputs'!K687</f>
        <v>0</v>
      </c>
      <c r="L371" s="65">
        <f>'Candelaria Inputs'!L687</f>
        <v>0</v>
      </c>
      <c r="M371" s="65">
        <f>'Candelaria Inputs'!M687</f>
        <v>0</v>
      </c>
      <c r="N371" s="65">
        <f>'Candelaria Inputs'!N687</f>
        <v>0</v>
      </c>
      <c r="O371" s="65">
        <f>'Candelaria Inputs'!O687</f>
        <v>0</v>
      </c>
      <c r="P371" s="65">
        <f>'Candelaria Inputs'!P687</f>
        <v>0</v>
      </c>
      <c r="Q371" s="65">
        <f>'Candelaria Inputs'!Q687</f>
        <v>0</v>
      </c>
      <c r="R371" s="65">
        <f>'Candelaria Inputs'!R687</f>
        <v>0</v>
      </c>
      <c r="S371" s="65">
        <f>'Candelaria Inputs'!S687</f>
        <v>0</v>
      </c>
      <c r="T371" s="65">
        <f>'Candelaria Inputs'!T687</f>
        <v>0</v>
      </c>
      <c r="U371" s="65">
        <f>'Candelaria Inputs'!U687</f>
        <v>0</v>
      </c>
      <c r="V371" s="65">
        <f>'Candelaria Inputs'!V687</f>
        <v>0</v>
      </c>
      <c r="W371" s="65">
        <f>'Candelaria Inputs'!W687</f>
        <v>0</v>
      </c>
      <c r="X371" s="65">
        <f>'Candelaria Inputs'!X687</f>
        <v>0</v>
      </c>
      <c r="Y371" s="65">
        <f>'Candelaria Inputs'!Y687</f>
        <v>0</v>
      </c>
      <c r="Z371" s="65">
        <f>'Candelaria Inputs'!Z687</f>
        <v>0</v>
      </c>
      <c r="AA371" s="65">
        <f>'Candelaria Inputs'!AA687</f>
        <v>0</v>
      </c>
      <c r="AB371" s="65">
        <f>'Candelaria Inputs'!AB687</f>
        <v>0</v>
      </c>
      <c r="AC371" s="65">
        <f>'Candelaria Inputs'!AC687</f>
        <v>0</v>
      </c>
      <c r="AD371" s="65">
        <f>'Candelaria Inputs'!AD687</f>
        <v>0</v>
      </c>
      <c r="AE371" s="65">
        <f>'Candelaria Inputs'!AE687</f>
        <v>0</v>
      </c>
      <c r="AF371" s="65">
        <f>'Candelaria Inputs'!AF687</f>
        <v>0</v>
      </c>
    </row>
    <row r="372" spans="1:32" ht="6" customHeight="1">
      <c r="D372" s="2"/>
      <c r="H372" s="29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</row>
    <row r="373" spans="1:32">
      <c r="D373" s="28" t="s">
        <v>244</v>
      </c>
      <c r="H373" s="74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</row>
    <row r="374" spans="1:32">
      <c r="D374" t="s">
        <v>241</v>
      </c>
      <c r="G374" t="s">
        <v>211</v>
      </c>
      <c r="H374" s="48">
        <f>SUM(I374:AF374)</f>
        <v>2453.7000000000021</v>
      </c>
      <c r="I374" s="52">
        <f>I361</f>
        <v>379.6</v>
      </c>
      <c r="J374" s="52">
        <f t="shared" ref="J374:AF374" si="150">J361</f>
        <v>346</v>
      </c>
      <c r="K374" s="52">
        <f t="shared" si="150"/>
        <v>224.1</v>
      </c>
      <c r="L374" s="52">
        <f t="shared" si="150"/>
        <v>180</v>
      </c>
      <c r="M374" s="52">
        <f t="shared" si="150"/>
        <v>180.7</v>
      </c>
      <c r="N374" s="52">
        <f t="shared" si="150"/>
        <v>223.69377162629758</v>
      </c>
      <c r="O374" s="52">
        <f t="shared" si="150"/>
        <v>182.3235294117647</v>
      </c>
      <c r="P374" s="52">
        <f t="shared" si="150"/>
        <v>140.95328719723182</v>
      </c>
      <c r="Q374" s="52">
        <f t="shared" si="150"/>
        <v>131.66608996539793</v>
      </c>
      <c r="R374" s="52">
        <f t="shared" si="150"/>
        <v>146.86332179930795</v>
      </c>
      <c r="S374" s="52">
        <f t="shared" si="150"/>
        <v>45.260000000000005</v>
      </c>
      <c r="T374" s="52">
        <f t="shared" si="150"/>
        <v>45.260000000000005</v>
      </c>
      <c r="U374" s="52">
        <f t="shared" si="150"/>
        <v>45.260000000000005</v>
      </c>
      <c r="V374" s="52">
        <f t="shared" si="150"/>
        <v>45.260000000000005</v>
      </c>
      <c r="W374" s="52">
        <f t="shared" si="150"/>
        <v>45.260000000000005</v>
      </c>
      <c r="X374" s="52">
        <f t="shared" si="150"/>
        <v>18.3</v>
      </c>
      <c r="Y374" s="52">
        <f t="shared" si="150"/>
        <v>18.3</v>
      </c>
      <c r="Z374" s="52">
        <f t="shared" si="150"/>
        <v>18.3</v>
      </c>
      <c r="AA374" s="52">
        <f t="shared" si="150"/>
        <v>18.3</v>
      </c>
      <c r="AB374" s="52">
        <f t="shared" si="150"/>
        <v>18.3</v>
      </c>
      <c r="AC374" s="52">
        <f t="shared" si="150"/>
        <v>0</v>
      </c>
      <c r="AD374" s="52">
        <f t="shared" si="150"/>
        <v>0</v>
      </c>
      <c r="AE374" s="52">
        <f t="shared" si="150"/>
        <v>0</v>
      </c>
      <c r="AF374" s="52">
        <f t="shared" si="150"/>
        <v>0</v>
      </c>
    </row>
    <row r="375" spans="1:32">
      <c r="D375" t="s">
        <v>245</v>
      </c>
      <c r="G375" t="s">
        <v>211</v>
      </c>
      <c r="H375" s="48">
        <f>SUM(I375:AF375)</f>
        <v>80.90000000000002</v>
      </c>
      <c r="I375" s="52">
        <f>I368</f>
        <v>19.799999999999997</v>
      </c>
      <c r="J375" s="52">
        <f t="shared" ref="J375:AF375" si="151">J368</f>
        <v>17.2</v>
      </c>
      <c r="K375" s="52">
        <f t="shared" si="151"/>
        <v>12.9</v>
      </c>
      <c r="L375" s="52">
        <f t="shared" si="151"/>
        <v>6.9</v>
      </c>
      <c r="M375" s="52">
        <f t="shared" si="151"/>
        <v>3.9</v>
      </c>
      <c r="N375" s="52">
        <f t="shared" si="151"/>
        <v>4.04</v>
      </c>
      <c r="O375" s="52">
        <f t="shared" si="151"/>
        <v>4.04</v>
      </c>
      <c r="P375" s="52">
        <f t="shared" si="151"/>
        <v>4.04</v>
      </c>
      <c r="Q375" s="52">
        <f t="shared" si="151"/>
        <v>4.04</v>
      </c>
      <c r="R375" s="52">
        <f t="shared" si="151"/>
        <v>4.04</v>
      </c>
      <c r="S375" s="52">
        <f t="shared" si="151"/>
        <v>0</v>
      </c>
      <c r="T375" s="52">
        <f t="shared" si="151"/>
        <v>0</v>
      </c>
      <c r="U375" s="52">
        <f t="shared" si="151"/>
        <v>0</v>
      </c>
      <c r="V375" s="52">
        <f t="shared" si="151"/>
        <v>0</v>
      </c>
      <c r="W375" s="52">
        <f t="shared" si="151"/>
        <v>0</v>
      </c>
      <c r="X375" s="52">
        <f t="shared" si="151"/>
        <v>0</v>
      </c>
      <c r="Y375" s="52">
        <f t="shared" si="151"/>
        <v>0</v>
      </c>
      <c r="Z375" s="52">
        <f t="shared" si="151"/>
        <v>0</v>
      </c>
      <c r="AA375" s="52">
        <f t="shared" si="151"/>
        <v>0</v>
      </c>
      <c r="AB375" s="52">
        <f t="shared" si="151"/>
        <v>0</v>
      </c>
      <c r="AC375" s="52">
        <f t="shared" si="151"/>
        <v>0</v>
      </c>
      <c r="AD375" s="52">
        <f t="shared" si="151"/>
        <v>0</v>
      </c>
      <c r="AE375" s="52">
        <f t="shared" si="151"/>
        <v>0</v>
      </c>
      <c r="AF375" s="52">
        <f t="shared" si="151"/>
        <v>0</v>
      </c>
    </row>
    <row r="376" spans="1:32">
      <c r="D376" s="5" t="s">
        <v>243</v>
      </c>
      <c r="E376" s="5"/>
      <c r="F376" s="5"/>
      <c r="G376" s="5" t="s">
        <v>90</v>
      </c>
      <c r="H376" s="75">
        <f t="shared" ref="H376" si="152">SUM(I376:AF376)</f>
        <v>0</v>
      </c>
      <c r="I376" s="76">
        <f>I371</f>
        <v>0</v>
      </c>
      <c r="J376" s="76">
        <f t="shared" ref="J376:AF376" si="153">J371</f>
        <v>0</v>
      </c>
      <c r="K376" s="76">
        <f t="shared" si="153"/>
        <v>0</v>
      </c>
      <c r="L376" s="76">
        <f t="shared" si="153"/>
        <v>0</v>
      </c>
      <c r="M376" s="76">
        <f t="shared" si="153"/>
        <v>0</v>
      </c>
      <c r="N376" s="76">
        <f t="shared" si="153"/>
        <v>0</v>
      </c>
      <c r="O376" s="76">
        <f t="shared" si="153"/>
        <v>0</v>
      </c>
      <c r="P376" s="76">
        <f t="shared" si="153"/>
        <v>0</v>
      </c>
      <c r="Q376" s="76">
        <f t="shared" si="153"/>
        <v>0</v>
      </c>
      <c r="R376" s="76">
        <f t="shared" si="153"/>
        <v>0</v>
      </c>
      <c r="S376" s="76">
        <f t="shared" si="153"/>
        <v>0</v>
      </c>
      <c r="T376" s="76">
        <f t="shared" si="153"/>
        <v>0</v>
      </c>
      <c r="U376" s="76">
        <f t="shared" si="153"/>
        <v>0</v>
      </c>
      <c r="V376" s="76">
        <f t="shared" si="153"/>
        <v>0</v>
      </c>
      <c r="W376" s="76">
        <f t="shared" si="153"/>
        <v>0</v>
      </c>
      <c r="X376" s="76">
        <f t="shared" si="153"/>
        <v>0</v>
      </c>
      <c r="Y376" s="76">
        <f t="shared" si="153"/>
        <v>0</v>
      </c>
      <c r="Z376" s="76">
        <f t="shared" si="153"/>
        <v>0</v>
      </c>
      <c r="AA376" s="76">
        <f t="shared" si="153"/>
        <v>0</v>
      </c>
      <c r="AB376" s="76">
        <f t="shared" si="153"/>
        <v>0</v>
      </c>
      <c r="AC376" s="76">
        <f t="shared" si="153"/>
        <v>0</v>
      </c>
      <c r="AD376" s="76">
        <f t="shared" si="153"/>
        <v>0</v>
      </c>
      <c r="AE376" s="76">
        <f t="shared" si="153"/>
        <v>0</v>
      </c>
      <c r="AF376" s="76">
        <f t="shared" si="153"/>
        <v>0</v>
      </c>
    </row>
    <row r="377" spans="1:32">
      <c r="D377" t="s">
        <v>244</v>
      </c>
      <c r="G377" t="s">
        <v>211</v>
      </c>
      <c r="H377" s="48">
        <f>SUM(I377:AF377)</f>
        <v>2534.6000000000017</v>
      </c>
      <c r="I377" s="52">
        <f>I374+I375+I376</f>
        <v>399.40000000000003</v>
      </c>
      <c r="J377" s="52">
        <f t="shared" ref="J377:AF377" si="154">J374+J375+J376</f>
        <v>363.2</v>
      </c>
      <c r="K377" s="52">
        <f t="shared" si="154"/>
        <v>237</v>
      </c>
      <c r="L377" s="52">
        <f t="shared" si="154"/>
        <v>186.9</v>
      </c>
      <c r="M377" s="52">
        <f t="shared" si="154"/>
        <v>184.6</v>
      </c>
      <c r="N377" s="52">
        <f t="shared" si="154"/>
        <v>227.73377162629757</v>
      </c>
      <c r="O377" s="52">
        <f t="shared" si="154"/>
        <v>186.36352941176469</v>
      </c>
      <c r="P377" s="52">
        <f t="shared" si="154"/>
        <v>144.99328719723181</v>
      </c>
      <c r="Q377" s="52">
        <f t="shared" si="154"/>
        <v>135.70608996539792</v>
      </c>
      <c r="R377" s="52">
        <f t="shared" si="154"/>
        <v>150.90332179930795</v>
      </c>
      <c r="S377" s="52">
        <f t="shared" si="154"/>
        <v>45.260000000000005</v>
      </c>
      <c r="T377" s="52">
        <f t="shared" si="154"/>
        <v>45.260000000000005</v>
      </c>
      <c r="U377" s="52">
        <f t="shared" si="154"/>
        <v>45.260000000000005</v>
      </c>
      <c r="V377" s="52">
        <f t="shared" si="154"/>
        <v>45.260000000000005</v>
      </c>
      <c r="W377" s="52">
        <f t="shared" si="154"/>
        <v>45.260000000000005</v>
      </c>
      <c r="X377" s="52">
        <f t="shared" si="154"/>
        <v>18.3</v>
      </c>
      <c r="Y377" s="52">
        <f t="shared" si="154"/>
        <v>18.3</v>
      </c>
      <c r="Z377" s="52">
        <f t="shared" si="154"/>
        <v>18.3</v>
      </c>
      <c r="AA377" s="52">
        <f t="shared" si="154"/>
        <v>18.3</v>
      </c>
      <c r="AB377" s="52">
        <f t="shared" si="154"/>
        <v>18.3</v>
      </c>
      <c r="AC377" s="52">
        <f t="shared" si="154"/>
        <v>0</v>
      </c>
      <c r="AD377" s="52">
        <f t="shared" si="154"/>
        <v>0</v>
      </c>
      <c r="AE377" s="52">
        <f t="shared" si="154"/>
        <v>0</v>
      </c>
      <c r="AF377" s="52">
        <f t="shared" si="154"/>
        <v>0</v>
      </c>
    </row>
    <row r="378" spans="1:32" ht="6" customHeight="1">
      <c r="D378" s="2"/>
      <c r="H378" s="29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</row>
    <row r="379" spans="1:32">
      <c r="A379" s="77"/>
      <c r="B379" s="77"/>
      <c r="C379" s="77"/>
      <c r="D379" s="61" t="s">
        <v>246</v>
      </c>
      <c r="E379" s="61"/>
      <c r="F379" s="61"/>
      <c r="G379" s="61"/>
      <c r="H379" s="62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3"/>
    </row>
    <row r="380" spans="1:32" ht="6" customHeight="1">
      <c r="D380" s="2"/>
      <c r="H380" s="29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</row>
    <row r="381" spans="1:32">
      <c r="D381" s="28" t="s">
        <v>247</v>
      </c>
      <c r="H381" s="74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</row>
    <row r="382" spans="1:32">
      <c r="D382" t="s">
        <v>248</v>
      </c>
      <c r="G382" t="s">
        <v>90</v>
      </c>
      <c r="H382" s="48">
        <f t="shared" ref="H382:H384" si="155">SUM(I382:AF382)</f>
        <v>24746.226179545647</v>
      </c>
      <c r="I382" s="52">
        <f t="shared" ref="I382:AF382" si="156">I171</f>
        <v>1225.8371169741913</v>
      </c>
      <c r="J382" s="52">
        <f t="shared" si="156"/>
        <v>1384.495060288473</v>
      </c>
      <c r="K382" s="52">
        <f t="shared" si="156"/>
        <v>1241.520891104901</v>
      </c>
      <c r="L382" s="52">
        <f t="shared" si="156"/>
        <v>1339.6299171940625</v>
      </c>
      <c r="M382" s="52">
        <f t="shared" si="156"/>
        <v>1337.7991128878109</v>
      </c>
      <c r="N382" s="52">
        <f t="shared" si="156"/>
        <v>1209.6382506050895</v>
      </c>
      <c r="O382" s="52">
        <f t="shared" si="156"/>
        <v>1192.0889640922139</v>
      </c>
      <c r="P382" s="52">
        <f t="shared" si="156"/>
        <v>1054.0862955460098</v>
      </c>
      <c r="Q382" s="52">
        <f t="shared" si="156"/>
        <v>1141.4532244123284</v>
      </c>
      <c r="R382" s="52">
        <f t="shared" si="156"/>
        <v>1351.0740015522783</v>
      </c>
      <c r="S382" s="52">
        <f t="shared" si="156"/>
        <v>1207.8989773924604</v>
      </c>
      <c r="T382" s="52">
        <f t="shared" si="156"/>
        <v>1002.9011336607259</v>
      </c>
      <c r="U382" s="52">
        <f t="shared" si="156"/>
        <v>954.2947563678764</v>
      </c>
      <c r="V382" s="52">
        <f t="shared" si="156"/>
        <v>1042.4238413026401</v>
      </c>
      <c r="W382" s="52">
        <f t="shared" si="156"/>
        <v>1177.4778804147572</v>
      </c>
      <c r="X382" s="52">
        <f t="shared" si="156"/>
        <v>1303.694126724673</v>
      </c>
      <c r="Y382" s="52">
        <f t="shared" si="156"/>
        <v>1242.7125744579264</v>
      </c>
      <c r="Z382" s="52">
        <f t="shared" si="156"/>
        <v>982.26730959728332</v>
      </c>
      <c r="AA382" s="52">
        <f t="shared" si="156"/>
        <v>760.81490548926058</v>
      </c>
      <c r="AB382" s="52">
        <f t="shared" si="156"/>
        <v>702.05115283721011</v>
      </c>
      <c r="AC382" s="52">
        <f t="shared" si="156"/>
        <v>597.39152722513688</v>
      </c>
      <c r="AD382" s="52">
        <f t="shared" si="156"/>
        <v>504.46836485884859</v>
      </c>
      <c r="AE382" s="52">
        <f t="shared" si="156"/>
        <v>511.20645352890239</v>
      </c>
      <c r="AF382" s="52">
        <f t="shared" si="156"/>
        <v>279.00034103058778</v>
      </c>
    </row>
    <row r="383" spans="1:32">
      <c r="D383" s="5" t="s">
        <v>249</v>
      </c>
      <c r="E383" s="5"/>
      <c r="F383" s="5"/>
      <c r="G383" s="5" t="s">
        <v>50</v>
      </c>
      <c r="H383" s="78"/>
      <c r="I383" s="79">
        <v>0.01</v>
      </c>
      <c r="J383" s="79">
        <v>0.01</v>
      </c>
      <c r="K383" s="79">
        <v>0.01</v>
      </c>
      <c r="L383" s="79">
        <v>0.01</v>
      </c>
      <c r="M383" s="79">
        <v>0.01</v>
      </c>
      <c r="N383" s="79">
        <v>0.01</v>
      </c>
      <c r="O383" s="79">
        <v>0.01</v>
      </c>
      <c r="P383" s="79">
        <v>0.01</v>
      </c>
      <c r="Q383" s="79">
        <v>0.01</v>
      </c>
      <c r="R383" s="79">
        <v>0.01</v>
      </c>
      <c r="S383" s="79">
        <v>0.01</v>
      </c>
      <c r="T383" s="79">
        <v>0.01</v>
      </c>
      <c r="U383" s="79">
        <v>0.01</v>
      </c>
      <c r="V383" s="79">
        <v>0.01</v>
      </c>
      <c r="W383" s="79">
        <v>0.01</v>
      </c>
      <c r="X383" s="79">
        <v>0.01</v>
      </c>
      <c r="Y383" s="79">
        <v>0.01</v>
      </c>
      <c r="Z383" s="79">
        <v>0.01</v>
      </c>
      <c r="AA383" s="79">
        <v>0.01</v>
      </c>
      <c r="AB383" s="79">
        <v>0.01</v>
      </c>
      <c r="AC383" s="79">
        <v>0.01</v>
      </c>
      <c r="AD383" s="79">
        <v>0.01</v>
      </c>
      <c r="AE383" s="79">
        <v>0.01</v>
      </c>
      <c r="AF383" s="79">
        <v>0.01</v>
      </c>
    </row>
    <row r="384" spans="1:32">
      <c r="D384" t="s">
        <v>250</v>
      </c>
      <c r="G384" t="s">
        <v>211</v>
      </c>
      <c r="H384" s="48">
        <f t="shared" si="155"/>
        <v>247.46226179545644</v>
      </c>
      <c r="I384" s="52">
        <f>I382*I383</f>
        <v>12.258371169741913</v>
      </c>
      <c r="J384" s="52">
        <f t="shared" ref="J384:AF384" si="157">J382*J383</f>
        <v>13.844950602884731</v>
      </c>
      <c r="K384" s="52">
        <f t="shared" si="157"/>
        <v>12.41520891104901</v>
      </c>
      <c r="L384" s="52">
        <f t="shared" si="157"/>
        <v>13.396299171940626</v>
      </c>
      <c r="M384" s="52">
        <f t="shared" si="157"/>
        <v>13.37799112887811</v>
      </c>
      <c r="N384" s="52">
        <f t="shared" si="157"/>
        <v>12.096382506050896</v>
      </c>
      <c r="O384" s="52">
        <f t="shared" si="157"/>
        <v>11.920889640922139</v>
      </c>
      <c r="P384" s="52">
        <f t="shared" si="157"/>
        <v>10.540862955460097</v>
      </c>
      <c r="Q384" s="52">
        <f t="shared" si="157"/>
        <v>11.414532244123285</v>
      </c>
      <c r="R384" s="52">
        <f t="shared" si="157"/>
        <v>13.510740015522783</v>
      </c>
      <c r="S384" s="52">
        <f t="shared" si="157"/>
        <v>12.078989773924604</v>
      </c>
      <c r="T384" s="52">
        <f t="shared" si="157"/>
        <v>10.02901133660726</v>
      </c>
      <c r="U384" s="52">
        <f t="shared" si="157"/>
        <v>9.542947563678764</v>
      </c>
      <c r="V384" s="52">
        <f t="shared" si="157"/>
        <v>10.424238413026401</v>
      </c>
      <c r="W384" s="52">
        <f t="shared" si="157"/>
        <v>11.774778804147573</v>
      </c>
      <c r="X384" s="52">
        <f t="shared" si="157"/>
        <v>13.03694126724673</v>
      </c>
      <c r="Y384" s="52">
        <f t="shared" si="157"/>
        <v>12.427125744579264</v>
      </c>
      <c r="Z384" s="52">
        <f t="shared" si="157"/>
        <v>9.8226730959728332</v>
      </c>
      <c r="AA384" s="52">
        <f t="shared" si="157"/>
        <v>7.6081490548926061</v>
      </c>
      <c r="AB384" s="52">
        <f t="shared" si="157"/>
        <v>7.0205115283721016</v>
      </c>
      <c r="AC384" s="52">
        <f t="shared" si="157"/>
        <v>5.9739152722513689</v>
      </c>
      <c r="AD384" s="52">
        <f t="shared" si="157"/>
        <v>5.0446836485884861</v>
      </c>
      <c r="AE384" s="52">
        <f t="shared" si="157"/>
        <v>5.1120645352890239</v>
      </c>
      <c r="AF384" s="52">
        <f t="shared" si="157"/>
        <v>2.7900034103058777</v>
      </c>
    </row>
    <row r="385" spans="3:32" ht="6" customHeight="1">
      <c r="D385" s="2"/>
      <c r="H385" s="29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</row>
    <row r="386" spans="3:32">
      <c r="D386" s="28" t="s">
        <v>251</v>
      </c>
      <c r="H386" s="74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</row>
    <row r="387" spans="3:32">
      <c r="D387" t="s">
        <v>157</v>
      </c>
      <c r="G387" t="s">
        <v>90</v>
      </c>
      <c r="H387" s="48">
        <f t="shared" ref="H387:H391" si="158">SUM(I387:AF387)</f>
        <v>25123.370900872378</v>
      </c>
      <c r="I387" s="52">
        <f t="shared" ref="I387:AF387" si="159">I186</f>
        <v>1213.2359386856886</v>
      </c>
      <c r="J387" s="52">
        <f t="shared" si="159"/>
        <v>1376.0025933674908</v>
      </c>
      <c r="K387" s="52">
        <f t="shared" si="159"/>
        <v>1225.3135675722569</v>
      </c>
      <c r="L387" s="52">
        <f t="shared" si="159"/>
        <v>1320.9589461102878</v>
      </c>
      <c r="M387" s="52">
        <f t="shared" si="159"/>
        <v>1321.2031530248112</v>
      </c>
      <c r="N387" s="52">
        <f t="shared" si="159"/>
        <v>1232.1127671269787</v>
      </c>
      <c r="O387" s="52">
        <f t="shared" si="159"/>
        <v>1207.2715754494893</v>
      </c>
      <c r="P387" s="52">
        <f t="shared" si="159"/>
        <v>1072.6816549880982</v>
      </c>
      <c r="Q387" s="52">
        <f t="shared" si="159"/>
        <v>1163.2451174296502</v>
      </c>
      <c r="R387" s="52">
        <f t="shared" si="159"/>
        <v>1375.5632686589975</v>
      </c>
      <c r="S387" s="52">
        <f t="shared" si="159"/>
        <v>1228.4202740230753</v>
      </c>
      <c r="T387" s="52">
        <f t="shared" si="159"/>
        <v>1022.5241268139469</v>
      </c>
      <c r="U387" s="52">
        <f t="shared" si="159"/>
        <v>975.42393513988657</v>
      </c>
      <c r="V387" s="52">
        <f t="shared" si="159"/>
        <v>1065.6888785945982</v>
      </c>
      <c r="W387" s="52">
        <f t="shared" si="159"/>
        <v>1200.0547883583292</v>
      </c>
      <c r="X387" s="52">
        <f t="shared" si="159"/>
        <v>1335.5508551190749</v>
      </c>
      <c r="Y387" s="52">
        <f t="shared" si="159"/>
        <v>1268.5569453734981</v>
      </c>
      <c r="Z387" s="52">
        <f t="shared" si="159"/>
        <v>1011.2703456704895</v>
      </c>
      <c r="AA387" s="52">
        <f t="shared" si="159"/>
        <v>784.84715137087255</v>
      </c>
      <c r="AB387" s="52">
        <f t="shared" si="159"/>
        <v>735.76575112426019</v>
      </c>
      <c r="AC387" s="52">
        <f t="shared" si="159"/>
        <v>626.589125084545</v>
      </c>
      <c r="AD387" s="52">
        <f t="shared" si="159"/>
        <v>531.85369409419798</v>
      </c>
      <c r="AE387" s="52">
        <f t="shared" si="159"/>
        <v>538.31380096363762</v>
      </c>
      <c r="AF387" s="52">
        <f t="shared" si="159"/>
        <v>290.92264672821273</v>
      </c>
    </row>
    <row r="388" spans="3:32">
      <c r="D388" t="s">
        <v>252</v>
      </c>
      <c r="G388" t="s">
        <v>90</v>
      </c>
      <c r="H388" s="48">
        <f t="shared" si="158"/>
        <v>8247.2493399999985</v>
      </c>
      <c r="I388" s="52">
        <f t="shared" ref="I388:AF388" si="160">I335</f>
        <v>518.52584000000002</v>
      </c>
      <c r="J388" s="52">
        <f t="shared" si="160"/>
        <v>495.21938999999998</v>
      </c>
      <c r="K388" s="52">
        <f t="shared" si="160"/>
        <v>505.84654999999998</v>
      </c>
      <c r="L388" s="52">
        <f t="shared" si="160"/>
        <v>471.5659</v>
      </c>
      <c r="M388" s="52">
        <f t="shared" si="160"/>
        <v>436.31080000000003</v>
      </c>
      <c r="N388" s="52">
        <f t="shared" si="160"/>
        <v>374.94138837370241</v>
      </c>
      <c r="O388" s="52">
        <f t="shared" si="160"/>
        <v>399.43924058823535</v>
      </c>
      <c r="P388" s="52">
        <f t="shared" si="160"/>
        <v>417.44498280276815</v>
      </c>
      <c r="Q388" s="52">
        <f t="shared" si="160"/>
        <v>386.80406003460212</v>
      </c>
      <c r="R388" s="52">
        <f t="shared" si="160"/>
        <v>343.525148200692</v>
      </c>
      <c r="S388" s="52">
        <f t="shared" si="160"/>
        <v>416.38125000000002</v>
      </c>
      <c r="T388" s="52">
        <f t="shared" si="160"/>
        <v>381.16363999999999</v>
      </c>
      <c r="U388" s="52">
        <f t="shared" si="160"/>
        <v>354.85942</v>
      </c>
      <c r="V388" s="52">
        <f t="shared" si="160"/>
        <v>341.17861999999997</v>
      </c>
      <c r="W388" s="52">
        <f t="shared" si="160"/>
        <v>326.09670999999997</v>
      </c>
      <c r="X388" s="52">
        <f t="shared" si="160"/>
        <v>263.66645</v>
      </c>
      <c r="Y388" s="52">
        <f t="shared" si="160"/>
        <v>257.97095000000002</v>
      </c>
      <c r="Z388" s="52">
        <f t="shared" si="160"/>
        <v>263.70254999999997</v>
      </c>
      <c r="AA388" s="52">
        <f t="shared" si="160"/>
        <v>246.47284999999999</v>
      </c>
      <c r="AB388" s="52">
        <f t="shared" si="160"/>
        <v>235.79549999999998</v>
      </c>
      <c r="AC388" s="52">
        <f t="shared" si="160"/>
        <v>235.79549999999998</v>
      </c>
      <c r="AD388" s="52">
        <f t="shared" si="160"/>
        <v>236.44335000000001</v>
      </c>
      <c r="AE388" s="52">
        <f t="shared" si="160"/>
        <v>235.79549999999998</v>
      </c>
      <c r="AF388" s="52">
        <f t="shared" si="160"/>
        <v>102.30375000000001</v>
      </c>
    </row>
    <row r="389" spans="3:32">
      <c r="D389" t="s">
        <v>253</v>
      </c>
      <c r="G389" t="s">
        <v>90</v>
      </c>
      <c r="H389" s="48">
        <f t="shared" si="158"/>
        <v>5400.3220000000019</v>
      </c>
      <c r="I389" s="52">
        <f t="shared" ref="I389:AF389" si="161">I351</f>
        <v>166.51860142401077</v>
      </c>
      <c r="J389" s="52">
        <f t="shared" si="161"/>
        <v>212.33880464623732</v>
      </c>
      <c r="K389" s="52">
        <f t="shared" si="161"/>
        <v>212.74071481663839</v>
      </c>
      <c r="L389" s="52">
        <f t="shared" si="161"/>
        <v>221.87577755735353</v>
      </c>
      <c r="M389" s="52">
        <f t="shared" si="161"/>
        <v>234.20159538461343</v>
      </c>
      <c r="N389" s="52">
        <f t="shared" si="161"/>
        <v>226.88707081507474</v>
      </c>
      <c r="O389" s="52">
        <f t="shared" si="161"/>
        <v>236.65815411385609</v>
      </c>
      <c r="P389" s="52">
        <f t="shared" si="161"/>
        <v>218.92514746754884</v>
      </c>
      <c r="Q389" s="52">
        <f t="shared" si="161"/>
        <v>247.56446984578969</v>
      </c>
      <c r="R389" s="52">
        <f t="shared" si="161"/>
        <v>307.99777499478529</v>
      </c>
      <c r="S389" s="52">
        <f t="shared" si="161"/>
        <v>279.81491027237718</v>
      </c>
      <c r="T389" s="52">
        <f t="shared" si="161"/>
        <v>236.43012712885246</v>
      </c>
      <c r="U389" s="52">
        <f t="shared" si="161"/>
        <v>229.26567412018201</v>
      </c>
      <c r="V389" s="52">
        <f t="shared" si="161"/>
        <v>255.62097908340692</v>
      </c>
      <c r="W389" s="52">
        <f t="shared" si="161"/>
        <v>295.34974765603175</v>
      </c>
      <c r="X389" s="52">
        <f t="shared" si="161"/>
        <v>330.47474502720871</v>
      </c>
      <c r="Y389" s="52">
        <f t="shared" si="161"/>
        <v>319.09209611923251</v>
      </c>
      <c r="Z389" s="52">
        <f t="shared" si="161"/>
        <v>256.36189242773719</v>
      </c>
      <c r="AA389" s="52">
        <f t="shared" si="161"/>
        <v>202.71502403763253</v>
      </c>
      <c r="AB389" s="52">
        <f t="shared" si="161"/>
        <v>192.01030396848006</v>
      </c>
      <c r="AC389" s="52">
        <f t="shared" si="161"/>
        <v>163.38599867991491</v>
      </c>
      <c r="AD389" s="52">
        <f t="shared" si="161"/>
        <v>137.97160461538343</v>
      </c>
      <c r="AE389" s="52">
        <f t="shared" si="161"/>
        <v>139.8144652794177</v>
      </c>
      <c r="AF389" s="52">
        <f t="shared" si="161"/>
        <v>76.306320518235339</v>
      </c>
    </row>
    <row r="390" spans="3:32">
      <c r="D390" s="5" t="s">
        <v>254</v>
      </c>
      <c r="E390" s="5"/>
      <c r="F390" s="5"/>
      <c r="G390" s="5" t="s">
        <v>90</v>
      </c>
      <c r="H390" s="80">
        <f t="shared" si="158"/>
        <v>109.31703892159216</v>
      </c>
      <c r="I390" s="76">
        <f>I345</f>
        <v>2.5841480539203916</v>
      </c>
      <c r="J390" s="76">
        <f t="shared" ref="J390:AF390" si="162">J345</f>
        <v>2.9472271722509946</v>
      </c>
      <c r="K390" s="76">
        <f t="shared" si="162"/>
        <v>2.860716815228959</v>
      </c>
      <c r="L390" s="76">
        <f t="shared" si="162"/>
        <v>3.0037526559904126</v>
      </c>
      <c r="M390" s="76">
        <f t="shared" si="162"/>
        <v>3.1539402887899248</v>
      </c>
      <c r="N390" s="76">
        <f t="shared" si="162"/>
        <v>3.311637303229424</v>
      </c>
      <c r="O390" s="76">
        <f t="shared" si="162"/>
        <v>3.4772191683908922</v>
      </c>
      <c r="P390" s="76">
        <f t="shared" si="162"/>
        <v>3.6510801268104549</v>
      </c>
      <c r="Q390" s="76">
        <f t="shared" si="162"/>
        <v>3.8336341331509569</v>
      </c>
      <c r="R390" s="76">
        <f t="shared" si="162"/>
        <v>4.0253158398085365</v>
      </c>
      <c r="S390" s="76">
        <f t="shared" si="162"/>
        <v>4.2265816317989193</v>
      </c>
      <c r="T390" s="76">
        <f t="shared" si="162"/>
        <v>4.437910713388904</v>
      </c>
      <c r="U390" s="76">
        <f t="shared" si="162"/>
        <v>4.2598062490583146</v>
      </c>
      <c r="V390" s="76">
        <f t="shared" si="162"/>
        <v>4.4727965615112595</v>
      </c>
      <c r="W390" s="76">
        <f t="shared" si="162"/>
        <v>4.6964363895868075</v>
      </c>
      <c r="X390" s="76">
        <f t="shared" si="162"/>
        <v>4.9312582090661579</v>
      </c>
      <c r="Y390" s="76">
        <f t="shared" si="162"/>
        <v>5.1778211195194359</v>
      </c>
      <c r="Z390" s="76">
        <f t="shared" si="162"/>
        <v>5.4367121754954582</v>
      </c>
      <c r="AA390" s="76">
        <f t="shared" si="162"/>
        <v>5.7085477842701806</v>
      </c>
      <c r="AB390" s="76">
        <f t="shared" si="162"/>
        <v>5.9939751734837188</v>
      </c>
      <c r="AC390" s="76">
        <f t="shared" si="162"/>
        <v>6.2936739321579012</v>
      </c>
      <c r="AD390" s="76">
        <f t="shared" si="162"/>
        <v>6.6083576287657877</v>
      </c>
      <c r="AE390" s="76">
        <f t="shared" si="162"/>
        <v>6.9387755102040671</v>
      </c>
      <c r="AF390" s="76">
        <f t="shared" si="162"/>
        <v>7.285714285714306</v>
      </c>
    </row>
    <row r="391" spans="3:32">
      <c r="D391" t="s">
        <v>251</v>
      </c>
      <c r="G391" t="s">
        <v>90</v>
      </c>
      <c r="H391" s="48">
        <f t="shared" si="158"/>
        <v>11366.48252195078</v>
      </c>
      <c r="I391" s="52">
        <f>I387-I388-I389-I390</f>
        <v>525.60734920775735</v>
      </c>
      <c r="J391" s="52">
        <f t="shared" ref="J391:AF391" si="163">J387-J388-J389-J390</f>
        <v>665.49717154900247</v>
      </c>
      <c r="K391" s="52">
        <f t="shared" si="163"/>
        <v>503.86558594038962</v>
      </c>
      <c r="L391" s="52">
        <f t="shared" si="163"/>
        <v>624.51351589694377</v>
      </c>
      <c r="M391" s="52">
        <f t="shared" si="163"/>
        <v>647.53681735140776</v>
      </c>
      <c r="N391" s="52">
        <f t="shared" si="163"/>
        <v>626.97267063497213</v>
      </c>
      <c r="O391" s="52">
        <f t="shared" si="163"/>
        <v>567.69696157900694</v>
      </c>
      <c r="P391" s="52">
        <f t="shared" si="163"/>
        <v>432.66044459097071</v>
      </c>
      <c r="Q391" s="52">
        <f t="shared" si="163"/>
        <v>525.04295341610737</v>
      </c>
      <c r="R391" s="52">
        <f t="shared" si="163"/>
        <v>720.01502962371171</v>
      </c>
      <c r="S391" s="52">
        <f t="shared" si="163"/>
        <v>527.99753211889913</v>
      </c>
      <c r="T391" s="52">
        <f t="shared" si="163"/>
        <v>400.49244897170547</v>
      </c>
      <c r="U391" s="52">
        <f t="shared" si="163"/>
        <v>387.03903477064625</v>
      </c>
      <c r="V391" s="52">
        <f t="shared" si="163"/>
        <v>464.41648294968013</v>
      </c>
      <c r="W391" s="52">
        <f t="shared" si="163"/>
        <v>573.91189431271073</v>
      </c>
      <c r="X391" s="52">
        <f t="shared" si="163"/>
        <v>736.47840188280009</v>
      </c>
      <c r="Y391" s="52">
        <f t="shared" si="163"/>
        <v>686.31607813474625</v>
      </c>
      <c r="Z391" s="52">
        <f t="shared" si="163"/>
        <v>485.76919106725688</v>
      </c>
      <c r="AA391" s="52">
        <f t="shared" si="163"/>
        <v>329.95072954896983</v>
      </c>
      <c r="AB391" s="52">
        <f t="shared" si="163"/>
        <v>301.96597198229648</v>
      </c>
      <c r="AC391" s="52">
        <f t="shared" si="163"/>
        <v>221.11395247247225</v>
      </c>
      <c r="AD391" s="52">
        <f t="shared" si="163"/>
        <v>150.83038185004875</v>
      </c>
      <c r="AE391" s="52">
        <f t="shared" si="163"/>
        <v>155.7650601740159</v>
      </c>
      <c r="AF391" s="52">
        <f t="shared" si="163"/>
        <v>105.02686192426307</v>
      </c>
    </row>
    <row r="392" spans="3:32">
      <c r="H392" s="48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</row>
    <row r="393" spans="3:32">
      <c r="D393" s="28" t="s">
        <v>255</v>
      </c>
      <c r="H393" s="74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</row>
    <row r="394" spans="3:32">
      <c r="D394" t="s">
        <v>186</v>
      </c>
      <c r="G394" t="s">
        <v>90</v>
      </c>
      <c r="H394" s="48"/>
      <c r="I394" s="52">
        <f>I186</f>
        <v>1213.2359386856886</v>
      </c>
      <c r="J394" s="52">
        <f t="shared" ref="J394:AF394" si="164">J186</f>
        <v>1376.0025933674908</v>
      </c>
      <c r="K394" s="52">
        <f t="shared" si="164"/>
        <v>1225.3135675722569</v>
      </c>
      <c r="L394" s="52">
        <f t="shared" si="164"/>
        <v>1320.9589461102878</v>
      </c>
      <c r="M394" s="52">
        <f t="shared" si="164"/>
        <v>1321.2031530248112</v>
      </c>
      <c r="N394" s="52">
        <f t="shared" si="164"/>
        <v>1232.1127671269787</v>
      </c>
      <c r="O394" s="52">
        <f t="shared" si="164"/>
        <v>1207.2715754494893</v>
      </c>
      <c r="P394" s="52">
        <f t="shared" si="164"/>
        <v>1072.6816549880982</v>
      </c>
      <c r="Q394" s="52">
        <f t="shared" si="164"/>
        <v>1163.2451174296502</v>
      </c>
      <c r="R394" s="52">
        <f t="shared" si="164"/>
        <v>1375.5632686589975</v>
      </c>
      <c r="S394" s="52">
        <f t="shared" si="164"/>
        <v>1228.4202740230753</v>
      </c>
      <c r="T394" s="52">
        <f t="shared" si="164"/>
        <v>1022.5241268139469</v>
      </c>
      <c r="U394" s="52">
        <f t="shared" si="164"/>
        <v>975.42393513988657</v>
      </c>
      <c r="V394" s="52">
        <f t="shared" si="164"/>
        <v>1065.6888785945982</v>
      </c>
      <c r="W394" s="52">
        <f t="shared" si="164"/>
        <v>1200.0547883583292</v>
      </c>
      <c r="X394" s="52">
        <f t="shared" si="164"/>
        <v>1335.5508551190749</v>
      </c>
      <c r="Y394" s="52">
        <f t="shared" si="164"/>
        <v>1268.5569453734981</v>
      </c>
      <c r="Z394" s="52">
        <f t="shared" si="164"/>
        <v>1011.2703456704895</v>
      </c>
      <c r="AA394" s="52">
        <f t="shared" si="164"/>
        <v>784.84715137087255</v>
      </c>
      <c r="AB394" s="52">
        <f t="shared" si="164"/>
        <v>735.76575112426019</v>
      </c>
      <c r="AC394" s="52">
        <f t="shared" si="164"/>
        <v>626.589125084545</v>
      </c>
      <c r="AD394" s="52">
        <f t="shared" si="164"/>
        <v>531.85369409419798</v>
      </c>
      <c r="AE394" s="52">
        <f t="shared" si="164"/>
        <v>538.31380096363762</v>
      </c>
      <c r="AF394" s="52">
        <f t="shared" si="164"/>
        <v>290.92264672821273</v>
      </c>
    </row>
    <row r="395" spans="3:32">
      <c r="D395" t="s">
        <v>256</v>
      </c>
      <c r="G395" t="s">
        <v>90</v>
      </c>
      <c r="H395" s="48"/>
      <c r="I395" s="52">
        <f>I335</f>
        <v>518.52584000000002</v>
      </c>
      <c r="J395" s="52">
        <f t="shared" ref="J395:AF395" si="165">J335</f>
        <v>495.21938999999998</v>
      </c>
      <c r="K395" s="52">
        <f t="shared" si="165"/>
        <v>505.84654999999998</v>
      </c>
      <c r="L395" s="52">
        <f t="shared" si="165"/>
        <v>471.5659</v>
      </c>
      <c r="M395" s="52">
        <f t="shared" si="165"/>
        <v>436.31080000000003</v>
      </c>
      <c r="N395" s="52">
        <f t="shared" si="165"/>
        <v>374.94138837370241</v>
      </c>
      <c r="O395" s="52">
        <f t="shared" si="165"/>
        <v>399.43924058823535</v>
      </c>
      <c r="P395" s="52">
        <f t="shared" si="165"/>
        <v>417.44498280276815</v>
      </c>
      <c r="Q395" s="52">
        <f t="shared" si="165"/>
        <v>386.80406003460212</v>
      </c>
      <c r="R395" s="52">
        <f t="shared" si="165"/>
        <v>343.525148200692</v>
      </c>
      <c r="S395" s="52">
        <f t="shared" si="165"/>
        <v>416.38125000000002</v>
      </c>
      <c r="T395" s="52">
        <f t="shared" si="165"/>
        <v>381.16363999999999</v>
      </c>
      <c r="U395" s="52">
        <f t="shared" si="165"/>
        <v>354.85942</v>
      </c>
      <c r="V395" s="52">
        <f t="shared" si="165"/>
        <v>341.17861999999997</v>
      </c>
      <c r="W395" s="52">
        <f t="shared" si="165"/>
        <v>326.09670999999997</v>
      </c>
      <c r="X395" s="52">
        <f t="shared" si="165"/>
        <v>263.66645</v>
      </c>
      <c r="Y395" s="52">
        <f t="shared" si="165"/>
        <v>257.97095000000002</v>
      </c>
      <c r="Z395" s="52">
        <f t="shared" si="165"/>
        <v>263.70254999999997</v>
      </c>
      <c r="AA395" s="52">
        <f t="shared" si="165"/>
        <v>246.47284999999999</v>
      </c>
      <c r="AB395" s="52">
        <f t="shared" si="165"/>
        <v>235.79549999999998</v>
      </c>
      <c r="AC395" s="52">
        <f t="shared" si="165"/>
        <v>235.79549999999998</v>
      </c>
      <c r="AD395" s="52">
        <f t="shared" si="165"/>
        <v>236.44335000000001</v>
      </c>
      <c r="AE395" s="52">
        <f t="shared" si="165"/>
        <v>235.79549999999998</v>
      </c>
      <c r="AF395" s="52">
        <f t="shared" si="165"/>
        <v>102.30375000000001</v>
      </c>
    </row>
    <row r="396" spans="3:32">
      <c r="D396" t="s">
        <v>257</v>
      </c>
      <c r="G396" t="s">
        <v>90</v>
      </c>
      <c r="H396" s="48"/>
      <c r="I396" s="52">
        <f>I351</f>
        <v>166.51860142401077</v>
      </c>
      <c r="J396" s="52">
        <f t="shared" ref="J396:AF396" si="166">J351</f>
        <v>212.33880464623732</v>
      </c>
      <c r="K396" s="52">
        <f t="shared" si="166"/>
        <v>212.74071481663839</v>
      </c>
      <c r="L396" s="52">
        <f t="shared" si="166"/>
        <v>221.87577755735353</v>
      </c>
      <c r="M396" s="52">
        <f t="shared" si="166"/>
        <v>234.20159538461343</v>
      </c>
      <c r="N396" s="52">
        <f t="shared" si="166"/>
        <v>226.88707081507474</v>
      </c>
      <c r="O396" s="52">
        <f t="shared" si="166"/>
        <v>236.65815411385609</v>
      </c>
      <c r="P396" s="52">
        <f t="shared" si="166"/>
        <v>218.92514746754884</v>
      </c>
      <c r="Q396" s="52">
        <f t="shared" si="166"/>
        <v>247.56446984578969</v>
      </c>
      <c r="R396" s="52">
        <f t="shared" si="166"/>
        <v>307.99777499478529</v>
      </c>
      <c r="S396" s="52">
        <f t="shared" si="166"/>
        <v>279.81491027237718</v>
      </c>
      <c r="T396" s="52">
        <f t="shared" si="166"/>
        <v>236.43012712885246</v>
      </c>
      <c r="U396" s="52">
        <f t="shared" si="166"/>
        <v>229.26567412018201</v>
      </c>
      <c r="V396" s="52">
        <f t="shared" si="166"/>
        <v>255.62097908340692</v>
      </c>
      <c r="W396" s="52">
        <f t="shared" si="166"/>
        <v>295.34974765603175</v>
      </c>
      <c r="X396" s="52">
        <f t="shared" si="166"/>
        <v>330.47474502720871</v>
      </c>
      <c r="Y396" s="52">
        <f t="shared" si="166"/>
        <v>319.09209611923251</v>
      </c>
      <c r="Z396" s="52">
        <f t="shared" si="166"/>
        <v>256.36189242773719</v>
      </c>
      <c r="AA396" s="52">
        <f t="shared" si="166"/>
        <v>202.71502403763253</v>
      </c>
      <c r="AB396" s="52">
        <f t="shared" si="166"/>
        <v>192.01030396848006</v>
      </c>
      <c r="AC396" s="52">
        <f t="shared" si="166"/>
        <v>163.38599867991491</v>
      </c>
      <c r="AD396" s="52">
        <f t="shared" si="166"/>
        <v>137.97160461538343</v>
      </c>
      <c r="AE396" s="52">
        <f t="shared" si="166"/>
        <v>139.8144652794177</v>
      </c>
      <c r="AF396" s="52">
        <f t="shared" si="166"/>
        <v>76.306320518235339</v>
      </c>
    </row>
    <row r="397" spans="3:32">
      <c r="D397" s="5" t="s">
        <v>258</v>
      </c>
      <c r="E397" s="5"/>
      <c r="F397" s="5"/>
      <c r="G397" s="5" t="s">
        <v>90</v>
      </c>
      <c r="H397" s="51"/>
      <c r="I397" s="53">
        <f>I345</f>
        <v>2.5841480539203916</v>
      </c>
      <c r="J397" s="53">
        <f t="shared" ref="J397:AF397" si="167">J345</f>
        <v>2.9472271722509946</v>
      </c>
      <c r="K397" s="53">
        <f t="shared" si="167"/>
        <v>2.860716815228959</v>
      </c>
      <c r="L397" s="53">
        <f t="shared" si="167"/>
        <v>3.0037526559904126</v>
      </c>
      <c r="M397" s="53">
        <f t="shared" si="167"/>
        <v>3.1539402887899248</v>
      </c>
      <c r="N397" s="53">
        <f t="shared" si="167"/>
        <v>3.311637303229424</v>
      </c>
      <c r="O397" s="53">
        <f t="shared" si="167"/>
        <v>3.4772191683908922</v>
      </c>
      <c r="P397" s="53">
        <f t="shared" si="167"/>
        <v>3.6510801268104549</v>
      </c>
      <c r="Q397" s="53">
        <f t="shared" si="167"/>
        <v>3.8336341331509569</v>
      </c>
      <c r="R397" s="53">
        <f t="shared" si="167"/>
        <v>4.0253158398085365</v>
      </c>
      <c r="S397" s="53">
        <f t="shared" si="167"/>
        <v>4.2265816317989193</v>
      </c>
      <c r="T397" s="53">
        <f t="shared" si="167"/>
        <v>4.437910713388904</v>
      </c>
      <c r="U397" s="53">
        <f t="shared" si="167"/>
        <v>4.2598062490583146</v>
      </c>
      <c r="V397" s="53">
        <f t="shared" si="167"/>
        <v>4.4727965615112595</v>
      </c>
      <c r="W397" s="53">
        <f t="shared" si="167"/>
        <v>4.6964363895868075</v>
      </c>
      <c r="X397" s="53">
        <f t="shared" si="167"/>
        <v>4.9312582090661579</v>
      </c>
      <c r="Y397" s="53">
        <f t="shared" si="167"/>
        <v>5.1778211195194359</v>
      </c>
      <c r="Z397" s="53">
        <f t="shared" si="167"/>
        <v>5.4367121754954582</v>
      </c>
      <c r="AA397" s="53">
        <f t="shared" si="167"/>
        <v>5.7085477842701806</v>
      </c>
      <c r="AB397" s="53">
        <f t="shared" si="167"/>
        <v>5.9939751734837188</v>
      </c>
      <c r="AC397" s="53">
        <f t="shared" si="167"/>
        <v>6.2936739321579012</v>
      </c>
      <c r="AD397" s="53">
        <f t="shared" si="167"/>
        <v>6.6083576287657877</v>
      </c>
      <c r="AE397" s="53">
        <f t="shared" si="167"/>
        <v>6.9387755102040671</v>
      </c>
      <c r="AF397" s="53">
        <f t="shared" si="167"/>
        <v>7.285714285714306</v>
      </c>
    </row>
    <row r="398" spans="3:32">
      <c r="D398" s="81" t="s">
        <v>255</v>
      </c>
      <c r="E398" s="81"/>
      <c r="F398" s="81"/>
      <c r="G398" s="81" t="s">
        <v>90</v>
      </c>
      <c r="H398" s="82"/>
      <c r="I398" s="83">
        <f>I394-I395-I396-I397</f>
        <v>525.60734920775735</v>
      </c>
      <c r="J398" s="83">
        <f t="shared" ref="J398:AF398" si="168">J394-J395-J396-J397</f>
        <v>665.49717154900247</v>
      </c>
      <c r="K398" s="83">
        <f t="shared" si="168"/>
        <v>503.86558594038962</v>
      </c>
      <c r="L398" s="83">
        <f t="shared" si="168"/>
        <v>624.51351589694377</v>
      </c>
      <c r="M398" s="83">
        <f t="shared" si="168"/>
        <v>647.53681735140776</v>
      </c>
      <c r="N398" s="83">
        <f t="shared" si="168"/>
        <v>626.97267063497213</v>
      </c>
      <c r="O398" s="83">
        <f t="shared" si="168"/>
        <v>567.69696157900694</v>
      </c>
      <c r="P398" s="83">
        <f t="shared" si="168"/>
        <v>432.66044459097071</v>
      </c>
      <c r="Q398" s="83">
        <f t="shared" si="168"/>
        <v>525.04295341610737</v>
      </c>
      <c r="R398" s="83">
        <f t="shared" si="168"/>
        <v>720.01502962371171</v>
      </c>
      <c r="S398" s="83">
        <f t="shared" si="168"/>
        <v>527.99753211889913</v>
      </c>
      <c r="T398" s="83">
        <f t="shared" si="168"/>
        <v>400.49244897170547</v>
      </c>
      <c r="U398" s="83">
        <f t="shared" si="168"/>
        <v>387.03903477064625</v>
      </c>
      <c r="V398" s="83">
        <f t="shared" si="168"/>
        <v>464.41648294968013</v>
      </c>
      <c r="W398" s="83">
        <f t="shared" si="168"/>
        <v>573.91189431271073</v>
      </c>
      <c r="X398" s="83">
        <f t="shared" si="168"/>
        <v>736.47840188280009</v>
      </c>
      <c r="Y398" s="83">
        <f t="shared" si="168"/>
        <v>686.31607813474625</v>
      </c>
      <c r="Z398" s="83">
        <f t="shared" si="168"/>
        <v>485.76919106725688</v>
      </c>
      <c r="AA398" s="83">
        <f t="shared" si="168"/>
        <v>329.95072954896983</v>
      </c>
      <c r="AB398" s="83">
        <f t="shared" si="168"/>
        <v>301.96597198229648</v>
      </c>
      <c r="AC398" s="83">
        <f t="shared" si="168"/>
        <v>221.11395247247225</v>
      </c>
      <c r="AD398" s="83">
        <f t="shared" si="168"/>
        <v>150.83038185004875</v>
      </c>
      <c r="AE398" s="83">
        <f t="shared" si="168"/>
        <v>155.7650601740159</v>
      </c>
      <c r="AF398" s="83">
        <f t="shared" si="168"/>
        <v>105.02686192426307</v>
      </c>
    </row>
    <row r="399" spans="3:32">
      <c r="D399" t="s">
        <v>259</v>
      </c>
      <c r="G399" t="s">
        <v>50</v>
      </c>
      <c r="H399" s="39"/>
      <c r="I399" s="84">
        <f t="shared" ref="I399:AF399" si="169">I398/I394</f>
        <v>0.43322764554531201</v>
      </c>
      <c r="J399" s="84">
        <f t="shared" si="169"/>
        <v>0.48364528872022794</v>
      </c>
      <c r="K399" s="84">
        <f t="shared" si="169"/>
        <v>0.41121358587313334</v>
      </c>
      <c r="L399" s="84">
        <f t="shared" si="169"/>
        <v>0.47277284258976715</v>
      </c>
      <c r="M399" s="84">
        <f t="shared" si="169"/>
        <v>0.49011146837555836</v>
      </c>
      <c r="N399" s="84">
        <f t="shared" si="169"/>
        <v>0.50885981166881111</v>
      </c>
      <c r="O399" s="84">
        <f t="shared" si="169"/>
        <v>0.47023136560441503</v>
      </c>
      <c r="P399" s="84">
        <f t="shared" si="169"/>
        <v>0.4033446853304965</v>
      </c>
      <c r="Q399" s="84">
        <f t="shared" si="169"/>
        <v>0.45136054778915541</v>
      </c>
      <c r="R399" s="84">
        <f t="shared" si="169"/>
        <v>0.52343287003122474</v>
      </c>
      <c r="S399" s="84">
        <f t="shared" si="169"/>
        <v>0.42981831485873129</v>
      </c>
      <c r="T399" s="84">
        <f t="shared" si="169"/>
        <v>0.39167041487772836</v>
      </c>
      <c r="U399" s="84">
        <f t="shared" si="169"/>
        <v>0.39679058594675615</v>
      </c>
      <c r="V399" s="84">
        <f t="shared" si="169"/>
        <v>0.43578993107457409</v>
      </c>
      <c r="W399" s="84">
        <f t="shared" si="169"/>
        <v>0.47823807702798321</v>
      </c>
      <c r="X399" s="84">
        <f t="shared" si="169"/>
        <v>0.55144167596458704</v>
      </c>
      <c r="Y399" s="84">
        <f t="shared" si="169"/>
        <v>0.54102110326050512</v>
      </c>
      <c r="Z399" s="84">
        <f t="shared" si="169"/>
        <v>0.4803554194454141</v>
      </c>
      <c r="AA399" s="84">
        <f t="shared" si="169"/>
        <v>0.42040125771324172</v>
      </c>
      <c r="AB399" s="84">
        <f t="shared" si="169"/>
        <v>0.41041047578103262</v>
      </c>
      <c r="AC399" s="84">
        <f t="shared" si="169"/>
        <v>0.35288507830811394</v>
      </c>
      <c r="AD399" s="84">
        <f t="shared" si="169"/>
        <v>0.28359374678581212</v>
      </c>
      <c r="AE399" s="84">
        <f t="shared" si="169"/>
        <v>0.28935735976893079</v>
      </c>
      <c r="AF399" s="84">
        <f t="shared" si="169"/>
        <v>0.36101301533387264</v>
      </c>
    </row>
    <row r="400" spans="3:32">
      <c r="C400" s="77"/>
      <c r="D400" s="5" t="s">
        <v>260</v>
      </c>
      <c r="E400" s="5"/>
      <c r="F400" s="5"/>
      <c r="G400" s="5" t="s">
        <v>50</v>
      </c>
      <c r="H400" s="44"/>
      <c r="I400" s="85">
        <f>IF(I399&lt;20%,8%,IF(I399&lt;45%,12%,26%))</f>
        <v>0.12</v>
      </c>
      <c r="J400" s="85">
        <f t="shared" ref="J400:AF400" si="170">IF(J399&lt;20%,8%,IF(J399&lt;45%,12%,26%))</f>
        <v>0.26</v>
      </c>
      <c r="K400" s="85">
        <f t="shared" si="170"/>
        <v>0.12</v>
      </c>
      <c r="L400" s="85">
        <f t="shared" si="170"/>
        <v>0.26</v>
      </c>
      <c r="M400" s="85">
        <f t="shared" si="170"/>
        <v>0.26</v>
      </c>
      <c r="N400" s="85">
        <f t="shared" si="170"/>
        <v>0.26</v>
      </c>
      <c r="O400" s="85">
        <f t="shared" si="170"/>
        <v>0.26</v>
      </c>
      <c r="P400" s="85">
        <f t="shared" si="170"/>
        <v>0.12</v>
      </c>
      <c r="Q400" s="85">
        <f t="shared" si="170"/>
        <v>0.26</v>
      </c>
      <c r="R400" s="85">
        <f t="shared" si="170"/>
        <v>0.26</v>
      </c>
      <c r="S400" s="85">
        <f t="shared" si="170"/>
        <v>0.12</v>
      </c>
      <c r="T400" s="85">
        <f t="shared" si="170"/>
        <v>0.12</v>
      </c>
      <c r="U400" s="85">
        <f t="shared" si="170"/>
        <v>0.12</v>
      </c>
      <c r="V400" s="85">
        <f t="shared" si="170"/>
        <v>0.12</v>
      </c>
      <c r="W400" s="85">
        <f t="shared" si="170"/>
        <v>0.26</v>
      </c>
      <c r="X400" s="85">
        <f t="shared" si="170"/>
        <v>0.26</v>
      </c>
      <c r="Y400" s="85">
        <f t="shared" si="170"/>
        <v>0.26</v>
      </c>
      <c r="Z400" s="85">
        <f t="shared" si="170"/>
        <v>0.26</v>
      </c>
      <c r="AA400" s="85">
        <f t="shared" si="170"/>
        <v>0.12</v>
      </c>
      <c r="AB400" s="85">
        <f t="shared" si="170"/>
        <v>0.12</v>
      </c>
      <c r="AC400" s="85">
        <f t="shared" si="170"/>
        <v>0.12</v>
      </c>
      <c r="AD400" s="85">
        <f t="shared" si="170"/>
        <v>0.12</v>
      </c>
      <c r="AE400" s="85">
        <f t="shared" si="170"/>
        <v>0.12</v>
      </c>
      <c r="AF400" s="85">
        <f t="shared" si="170"/>
        <v>0.12</v>
      </c>
    </row>
    <row r="401" spans="4:32">
      <c r="D401" t="s">
        <v>261</v>
      </c>
      <c r="G401" t="s">
        <v>90</v>
      </c>
      <c r="H401" s="48">
        <f t="shared" ref="H401" si="171">SUM(I401:AF401)</f>
        <v>2324.3429985969065</v>
      </c>
      <c r="I401" s="52">
        <f t="shared" ref="I401:AF401" si="172">I398*I400</f>
        <v>63.072881904930881</v>
      </c>
      <c r="J401" s="52">
        <f t="shared" si="172"/>
        <v>173.02926460274065</v>
      </c>
      <c r="K401" s="52">
        <f t="shared" si="172"/>
        <v>60.463870312846751</v>
      </c>
      <c r="L401" s="52">
        <f t="shared" si="172"/>
        <v>162.37351413320539</v>
      </c>
      <c r="M401" s="52">
        <f t="shared" si="172"/>
        <v>168.35957251136603</v>
      </c>
      <c r="N401" s="52">
        <f t="shared" si="172"/>
        <v>163.01289436509276</v>
      </c>
      <c r="O401" s="52">
        <f t="shared" si="172"/>
        <v>147.60121001054182</v>
      </c>
      <c r="P401" s="52">
        <f t="shared" si="172"/>
        <v>51.919253350916485</v>
      </c>
      <c r="Q401" s="52">
        <f t="shared" si="172"/>
        <v>136.51116788818791</v>
      </c>
      <c r="R401" s="52">
        <f t="shared" si="172"/>
        <v>187.20390770216505</v>
      </c>
      <c r="S401" s="52">
        <f t="shared" si="172"/>
        <v>63.359703854267892</v>
      </c>
      <c r="T401" s="52">
        <f t="shared" si="172"/>
        <v>48.059093876604656</v>
      </c>
      <c r="U401" s="52">
        <f t="shared" si="172"/>
        <v>46.444684172477551</v>
      </c>
      <c r="V401" s="52">
        <f t="shared" si="172"/>
        <v>55.729977953961615</v>
      </c>
      <c r="W401" s="52">
        <f t="shared" si="172"/>
        <v>149.21709252130481</v>
      </c>
      <c r="X401" s="52">
        <f t="shared" si="172"/>
        <v>191.48438448952803</v>
      </c>
      <c r="Y401" s="52">
        <f t="shared" si="172"/>
        <v>178.44218031503402</v>
      </c>
      <c r="Z401" s="52">
        <f t="shared" si="172"/>
        <v>126.29998967748679</v>
      </c>
      <c r="AA401" s="52">
        <f t="shared" si="172"/>
        <v>39.594087545876377</v>
      </c>
      <c r="AB401" s="52">
        <f t="shared" si="172"/>
        <v>36.235916637875576</v>
      </c>
      <c r="AC401" s="52">
        <f t="shared" si="172"/>
        <v>26.53367429669667</v>
      </c>
      <c r="AD401" s="52">
        <f t="shared" si="172"/>
        <v>18.099645822005851</v>
      </c>
      <c r="AE401" s="52">
        <f t="shared" si="172"/>
        <v>18.691807220881909</v>
      </c>
      <c r="AF401" s="52">
        <f t="shared" si="172"/>
        <v>12.603223430911568</v>
      </c>
    </row>
    <row r="402" spans="4:32" ht="6" customHeight="1">
      <c r="D402" s="2"/>
      <c r="H402" s="29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</row>
    <row r="403" spans="4:32">
      <c r="D403" s="28" t="s">
        <v>262</v>
      </c>
      <c r="H403" s="74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</row>
    <row r="404" spans="4:32">
      <c r="D404" t="s">
        <v>251</v>
      </c>
      <c r="G404" t="s">
        <v>90</v>
      </c>
      <c r="H404" s="48">
        <f t="shared" ref="H404" si="173">SUM(I404:AF404)</f>
        <v>11366.48252195078</v>
      </c>
      <c r="I404" s="52">
        <f>I391</f>
        <v>525.60734920775735</v>
      </c>
      <c r="J404" s="52">
        <f t="shared" ref="J404:AF404" si="174">J391</f>
        <v>665.49717154900247</v>
      </c>
      <c r="K404" s="52">
        <f t="shared" si="174"/>
        <v>503.86558594038962</v>
      </c>
      <c r="L404" s="52">
        <f t="shared" si="174"/>
        <v>624.51351589694377</v>
      </c>
      <c r="M404" s="52">
        <f t="shared" si="174"/>
        <v>647.53681735140776</v>
      </c>
      <c r="N404" s="52">
        <f t="shared" si="174"/>
        <v>626.97267063497213</v>
      </c>
      <c r="O404" s="52">
        <f t="shared" si="174"/>
        <v>567.69696157900694</v>
      </c>
      <c r="P404" s="52">
        <f t="shared" si="174"/>
        <v>432.66044459097071</v>
      </c>
      <c r="Q404" s="52">
        <f t="shared" si="174"/>
        <v>525.04295341610737</v>
      </c>
      <c r="R404" s="52">
        <f t="shared" si="174"/>
        <v>720.01502962371171</v>
      </c>
      <c r="S404" s="52">
        <f t="shared" si="174"/>
        <v>527.99753211889913</v>
      </c>
      <c r="T404" s="52">
        <f t="shared" si="174"/>
        <v>400.49244897170547</v>
      </c>
      <c r="U404" s="52">
        <f t="shared" si="174"/>
        <v>387.03903477064625</v>
      </c>
      <c r="V404" s="52">
        <f t="shared" si="174"/>
        <v>464.41648294968013</v>
      </c>
      <c r="W404" s="52">
        <f t="shared" si="174"/>
        <v>573.91189431271073</v>
      </c>
      <c r="X404" s="52">
        <f t="shared" si="174"/>
        <v>736.47840188280009</v>
      </c>
      <c r="Y404" s="52">
        <f t="shared" si="174"/>
        <v>686.31607813474625</v>
      </c>
      <c r="Z404" s="52">
        <f t="shared" si="174"/>
        <v>485.76919106725688</v>
      </c>
      <c r="AA404" s="52">
        <f t="shared" si="174"/>
        <v>329.95072954896983</v>
      </c>
      <c r="AB404" s="52">
        <f t="shared" si="174"/>
        <v>301.96597198229648</v>
      </c>
      <c r="AC404" s="52">
        <f t="shared" si="174"/>
        <v>221.11395247247225</v>
      </c>
      <c r="AD404" s="52">
        <f t="shared" si="174"/>
        <v>150.83038185004875</v>
      </c>
      <c r="AE404" s="52">
        <f t="shared" si="174"/>
        <v>155.7650601740159</v>
      </c>
      <c r="AF404" s="52">
        <f t="shared" si="174"/>
        <v>105.02686192426307</v>
      </c>
    </row>
    <row r="405" spans="4:32">
      <c r="D405" s="58" t="s">
        <v>263</v>
      </c>
      <c r="E405" s="58"/>
      <c r="F405" s="58"/>
      <c r="G405" s="58" t="s">
        <v>50</v>
      </c>
      <c r="H405" s="78"/>
      <c r="I405" s="79">
        <v>0.27</v>
      </c>
      <c r="J405" s="79">
        <v>0.27</v>
      </c>
      <c r="K405" s="79">
        <v>0.27</v>
      </c>
      <c r="L405" s="79">
        <v>0.27</v>
      </c>
      <c r="M405" s="79">
        <v>0.27</v>
      </c>
      <c r="N405" s="79">
        <v>0.27</v>
      </c>
      <c r="O405" s="79">
        <v>0.27</v>
      </c>
      <c r="P405" s="79">
        <v>0.27</v>
      </c>
      <c r="Q405" s="79">
        <v>0.27</v>
      </c>
      <c r="R405" s="79">
        <v>0.27</v>
      </c>
      <c r="S405" s="79">
        <v>0.27</v>
      </c>
      <c r="T405" s="79">
        <v>0.27</v>
      </c>
      <c r="U405" s="79">
        <v>0.27</v>
      </c>
      <c r="V405" s="79">
        <v>0.27</v>
      </c>
      <c r="W405" s="79">
        <v>0.27</v>
      </c>
      <c r="X405" s="79">
        <v>0.27</v>
      </c>
      <c r="Y405" s="79">
        <v>0.27</v>
      </c>
      <c r="Z405" s="79">
        <v>0.27</v>
      </c>
      <c r="AA405" s="79">
        <v>0.27</v>
      </c>
      <c r="AB405" s="79">
        <v>0.27</v>
      </c>
      <c r="AC405" s="79">
        <v>0.27</v>
      </c>
      <c r="AD405" s="79">
        <v>0.27</v>
      </c>
      <c r="AE405" s="79">
        <v>0.27</v>
      </c>
      <c r="AF405" s="79">
        <v>0.27</v>
      </c>
    </row>
    <row r="406" spans="4:32">
      <c r="D406" t="s">
        <v>264</v>
      </c>
      <c r="G406" t="s">
        <v>211</v>
      </c>
      <c r="H406" s="48">
        <f t="shared" ref="H406" si="175">SUM(I406:AF406)</f>
        <v>3068.950280926711</v>
      </c>
      <c r="I406" s="52">
        <f>I404*I405</f>
        <v>141.91398428609449</v>
      </c>
      <c r="J406" s="52">
        <f t="shared" ref="J406:AF406" si="176">J404*J405</f>
        <v>179.68423631823069</v>
      </c>
      <c r="K406" s="52">
        <f t="shared" si="176"/>
        <v>136.0437082039052</v>
      </c>
      <c r="L406" s="52">
        <f t="shared" si="176"/>
        <v>168.61864929217484</v>
      </c>
      <c r="M406" s="52">
        <f t="shared" si="176"/>
        <v>174.83494068488011</v>
      </c>
      <c r="N406" s="52">
        <f t="shared" si="176"/>
        <v>169.28262107144249</v>
      </c>
      <c r="O406" s="52">
        <f t="shared" si="176"/>
        <v>153.27817962633188</v>
      </c>
      <c r="P406" s="52">
        <f t="shared" si="176"/>
        <v>116.8183200395621</v>
      </c>
      <c r="Q406" s="52">
        <f t="shared" si="176"/>
        <v>141.76159742234898</v>
      </c>
      <c r="R406" s="52">
        <f t="shared" si="176"/>
        <v>194.40405799840218</v>
      </c>
      <c r="S406" s="52">
        <f t="shared" si="176"/>
        <v>142.55933367210278</v>
      </c>
      <c r="T406" s="52">
        <f t="shared" si="176"/>
        <v>108.13296122236048</v>
      </c>
      <c r="U406" s="52">
        <f t="shared" si="176"/>
        <v>104.5005393880745</v>
      </c>
      <c r="V406" s="52">
        <f t="shared" si="176"/>
        <v>125.39245039641365</v>
      </c>
      <c r="W406" s="52">
        <f t="shared" si="176"/>
        <v>154.9562114644319</v>
      </c>
      <c r="X406" s="52">
        <f t="shared" si="176"/>
        <v>198.84916850835603</v>
      </c>
      <c r="Y406" s="52">
        <f t="shared" si="176"/>
        <v>185.30534109638151</v>
      </c>
      <c r="Z406" s="52">
        <f t="shared" si="176"/>
        <v>131.15768158815936</v>
      </c>
      <c r="AA406" s="52">
        <f t="shared" si="176"/>
        <v>89.086696978221866</v>
      </c>
      <c r="AB406" s="52">
        <f t="shared" si="176"/>
        <v>81.530812435220056</v>
      </c>
      <c r="AC406" s="52">
        <f t="shared" si="176"/>
        <v>59.700767167567513</v>
      </c>
      <c r="AD406" s="52">
        <f t="shared" si="176"/>
        <v>40.724203099513169</v>
      </c>
      <c r="AE406" s="52">
        <f t="shared" si="176"/>
        <v>42.056566246984296</v>
      </c>
      <c r="AF406" s="52">
        <f t="shared" si="176"/>
        <v>28.357252719551031</v>
      </c>
    </row>
    <row r="407" spans="4:32" ht="6" customHeight="1">
      <c r="D407" s="2"/>
      <c r="H407" s="29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</row>
    <row r="408" spans="4:32">
      <c r="D408" s="28" t="s">
        <v>265</v>
      </c>
      <c r="H408" s="74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</row>
    <row r="409" spans="4:32">
      <c r="D409" t="s">
        <v>266</v>
      </c>
      <c r="G409" t="s">
        <v>50</v>
      </c>
      <c r="H409" s="74"/>
      <c r="I409" s="43">
        <f>(I384+I401+I406)/I391</f>
        <v>0.41332229788685193</v>
      </c>
      <c r="J409" s="43">
        <f t="shared" ref="J409:AF409" si="177">(J384+J401+J406)/J391</f>
        <v>0.55080392103043718</v>
      </c>
      <c r="K409" s="43">
        <f t="shared" si="177"/>
        <v>0.41463992234730196</v>
      </c>
      <c r="L409" s="43">
        <f t="shared" si="177"/>
        <v>0.55145077541308385</v>
      </c>
      <c r="M409" s="43">
        <f t="shared" si="177"/>
        <v>0.55065981542732589</v>
      </c>
      <c r="N409" s="43">
        <f t="shared" si="177"/>
        <v>0.54929331703373963</v>
      </c>
      <c r="O409" s="43">
        <f t="shared" si="177"/>
        <v>0.55099868494586457</v>
      </c>
      <c r="P409" s="43">
        <f t="shared" si="177"/>
        <v>0.41436289956070571</v>
      </c>
      <c r="Q409" s="43">
        <f t="shared" si="177"/>
        <v>0.55174018748343623</v>
      </c>
      <c r="R409" s="43">
        <f t="shared" si="177"/>
        <v>0.54876452498857375</v>
      </c>
      <c r="S409" s="43">
        <f t="shared" si="177"/>
        <v>0.4128769814992328</v>
      </c>
      <c r="T409" s="43">
        <f t="shared" si="177"/>
        <v>0.415041698944281</v>
      </c>
      <c r="U409" s="43">
        <f t="shared" si="177"/>
        <v>0.41465629227639472</v>
      </c>
      <c r="V409" s="43">
        <f t="shared" si="177"/>
        <v>0.41244588380416269</v>
      </c>
      <c r="W409" s="43">
        <f t="shared" si="177"/>
        <v>0.55051670111881645</v>
      </c>
      <c r="X409" s="43">
        <f t="shared" si="177"/>
        <v>0.54770172924815974</v>
      </c>
      <c r="Y409" s="43">
        <f t="shared" si="177"/>
        <v>0.54810700075445329</v>
      </c>
      <c r="Z409" s="43">
        <f t="shared" si="177"/>
        <v>0.55022086471641396</v>
      </c>
      <c r="AA409" s="43">
        <f t="shared" si="177"/>
        <v>0.41305843986249907</v>
      </c>
      <c r="AB409" s="43">
        <f t="shared" si="177"/>
        <v>0.41324934654817236</v>
      </c>
      <c r="AC409" s="43">
        <f t="shared" si="177"/>
        <v>0.41701736007814844</v>
      </c>
      <c r="AD409" s="43">
        <f t="shared" si="177"/>
        <v>0.42344607092226133</v>
      </c>
      <c r="AE409" s="43">
        <f t="shared" si="177"/>
        <v>0.42281907078248476</v>
      </c>
      <c r="AF409" s="43">
        <f t="shared" si="177"/>
        <v>0.41656466506937817</v>
      </c>
    </row>
    <row r="410" spans="4:32">
      <c r="D410" s="5" t="s">
        <v>267</v>
      </c>
      <c r="E410" s="5"/>
      <c r="F410" s="5"/>
      <c r="G410" s="5" t="s">
        <v>50</v>
      </c>
      <c r="H410" s="78"/>
      <c r="I410" s="86">
        <f>0.465</f>
        <v>0.46500000000000002</v>
      </c>
      <c r="J410" s="86">
        <f t="shared" ref="J410:AF410" si="178">0.465</f>
        <v>0.46500000000000002</v>
      </c>
      <c r="K410" s="86">
        <f t="shared" si="178"/>
        <v>0.46500000000000002</v>
      </c>
      <c r="L410" s="86">
        <f t="shared" si="178"/>
        <v>0.46500000000000002</v>
      </c>
      <c r="M410" s="86">
        <f t="shared" si="178"/>
        <v>0.46500000000000002</v>
      </c>
      <c r="N410" s="86">
        <f t="shared" si="178"/>
        <v>0.46500000000000002</v>
      </c>
      <c r="O410" s="86">
        <f t="shared" si="178"/>
        <v>0.46500000000000002</v>
      </c>
      <c r="P410" s="86">
        <f t="shared" si="178"/>
        <v>0.46500000000000002</v>
      </c>
      <c r="Q410" s="86">
        <f t="shared" si="178"/>
        <v>0.46500000000000002</v>
      </c>
      <c r="R410" s="86">
        <f t="shared" si="178"/>
        <v>0.46500000000000002</v>
      </c>
      <c r="S410" s="86">
        <f t="shared" si="178"/>
        <v>0.46500000000000002</v>
      </c>
      <c r="T410" s="86">
        <f t="shared" si="178"/>
        <v>0.46500000000000002</v>
      </c>
      <c r="U410" s="86">
        <f t="shared" si="178"/>
        <v>0.46500000000000002</v>
      </c>
      <c r="V410" s="86">
        <f t="shared" si="178"/>
        <v>0.46500000000000002</v>
      </c>
      <c r="W410" s="86">
        <f t="shared" si="178"/>
        <v>0.46500000000000002</v>
      </c>
      <c r="X410" s="86">
        <f t="shared" si="178"/>
        <v>0.46500000000000002</v>
      </c>
      <c r="Y410" s="86">
        <f t="shared" si="178"/>
        <v>0.46500000000000002</v>
      </c>
      <c r="Z410" s="86">
        <f t="shared" si="178"/>
        <v>0.46500000000000002</v>
      </c>
      <c r="AA410" s="86">
        <f t="shared" si="178"/>
        <v>0.46500000000000002</v>
      </c>
      <c r="AB410" s="86">
        <f t="shared" si="178"/>
        <v>0.46500000000000002</v>
      </c>
      <c r="AC410" s="86">
        <f t="shared" si="178"/>
        <v>0.46500000000000002</v>
      </c>
      <c r="AD410" s="86">
        <f t="shared" si="178"/>
        <v>0.46500000000000002</v>
      </c>
      <c r="AE410" s="86">
        <f t="shared" si="178"/>
        <v>0.46500000000000002</v>
      </c>
      <c r="AF410" s="86">
        <f t="shared" si="178"/>
        <v>0.46500000000000002</v>
      </c>
    </row>
    <row r="411" spans="4:32">
      <c r="D411" t="s">
        <v>268</v>
      </c>
      <c r="G411" t="s">
        <v>50</v>
      </c>
      <c r="H411" s="87"/>
      <c r="I411" s="43">
        <f>MIN(I409,I410)</f>
        <v>0.41332229788685193</v>
      </c>
      <c r="J411" s="43">
        <f t="shared" ref="J411:AF411" si="179">MIN(J409,J410)</f>
        <v>0.46500000000000002</v>
      </c>
      <c r="K411" s="43">
        <f t="shared" si="179"/>
        <v>0.41463992234730196</v>
      </c>
      <c r="L411" s="43">
        <f t="shared" si="179"/>
        <v>0.46500000000000002</v>
      </c>
      <c r="M411" s="43">
        <f t="shared" si="179"/>
        <v>0.46500000000000002</v>
      </c>
      <c r="N411" s="43">
        <f t="shared" si="179"/>
        <v>0.46500000000000002</v>
      </c>
      <c r="O411" s="43">
        <f t="shared" si="179"/>
        <v>0.46500000000000002</v>
      </c>
      <c r="P411" s="43">
        <f t="shared" si="179"/>
        <v>0.41436289956070571</v>
      </c>
      <c r="Q411" s="43">
        <f t="shared" si="179"/>
        <v>0.46500000000000002</v>
      </c>
      <c r="R411" s="43">
        <f t="shared" si="179"/>
        <v>0.46500000000000002</v>
      </c>
      <c r="S411" s="43">
        <f t="shared" si="179"/>
        <v>0.4128769814992328</v>
      </c>
      <c r="T411" s="43">
        <f t="shared" si="179"/>
        <v>0.415041698944281</v>
      </c>
      <c r="U411" s="43">
        <f t="shared" si="179"/>
        <v>0.41465629227639472</v>
      </c>
      <c r="V411" s="43">
        <f t="shared" si="179"/>
        <v>0.41244588380416269</v>
      </c>
      <c r="W411" s="43">
        <f t="shared" si="179"/>
        <v>0.46500000000000002</v>
      </c>
      <c r="X411" s="43">
        <f t="shared" si="179"/>
        <v>0.46500000000000002</v>
      </c>
      <c r="Y411" s="43">
        <f t="shared" si="179"/>
        <v>0.46500000000000002</v>
      </c>
      <c r="Z411" s="43">
        <f t="shared" si="179"/>
        <v>0.46500000000000002</v>
      </c>
      <c r="AA411" s="43">
        <f t="shared" si="179"/>
        <v>0.41305843986249907</v>
      </c>
      <c r="AB411" s="43">
        <f t="shared" si="179"/>
        <v>0.41324934654817236</v>
      </c>
      <c r="AC411" s="43">
        <f t="shared" si="179"/>
        <v>0.41701736007814844</v>
      </c>
      <c r="AD411" s="43">
        <f t="shared" si="179"/>
        <v>0.42344607092226133</v>
      </c>
      <c r="AE411" s="43">
        <f t="shared" si="179"/>
        <v>0.42281907078248476</v>
      </c>
      <c r="AF411" s="43">
        <f t="shared" si="179"/>
        <v>0.41656466506937817</v>
      </c>
    </row>
    <row r="412" spans="4:32" ht="6" customHeight="1">
      <c r="D412" s="2"/>
      <c r="H412" s="29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</row>
    <row r="413" spans="4:32">
      <c r="D413" s="28" t="s">
        <v>269</v>
      </c>
      <c r="H413" s="74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</row>
    <row r="414" spans="4:32">
      <c r="D414" t="s">
        <v>268</v>
      </c>
      <c r="G414" t="s">
        <v>50</v>
      </c>
      <c r="H414" s="48"/>
      <c r="I414" s="52">
        <f>I411</f>
        <v>0.41332229788685193</v>
      </c>
      <c r="J414" s="52">
        <f t="shared" ref="J414:AF414" si="180">J411</f>
        <v>0.46500000000000002</v>
      </c>
      <c r="K414" s="52">
        <f t="shared" si="180"/>
        <v>0.41463992234730196</v>
      </c>
      <c r="L414" s="52">
        <f t="shared" si="180"/>
        <v>0.46500000000000002</v>
      </c>
      <c r="M414" s="52">
        <f t="shared" si="180"/>
        <v>0.46500000000000002</v>
      </c>
      <c r="N414" s="52">
        <f t="shared" si="180"/>
        <v>0.46500000000000002</v>
      </c>
      <c r="O414" s="52">
        <f t="shared" si="180"/>
        <v>0.46500000000000002</v>
      </c>
      <c r="P414" s="52">
        <f t="shared" si="180"/>
        <v>0.41436289956070571</v>
      </c>
      <c r="Q414" s="52">
        <f t="shared" si="180"/>
        <v>0.46500000000000002</v>
      </c>
      <c r="R414" s="52">
        <f t="shared" si="180"/>
        <v>0.46500000000000002</v>
      </c>
      <c r="S414" s="52">
        <f t="shared" si="180"/>
        <v>0.4128769814992328</v>
      </c>
      <c r="T414" s="52">
        <f t="shared" si="180"/>
        <v>0.415041698944281</v>
      </c>
      <c r="U414" s="52">
        <f t="shared" si="180"/>
        <v>0.41465629227639472</v>
      </c>
      <c r="V414" s="52">
        <f t="shared" si="180"/>
        <v>0.41244588380416269</v>
      </c>
      <c r="W414" s="52">
        <f t="shared" si="180"/>
        <v>0.46500000000000002</v>
      </c>
      <c r="X414" s="52">
        <f t="shared" si="180"/>
        <v>0.46500000000000002</v>
      </c>
      <c r="Y414" s="52">
        <f t="shared" si="180"/>
        <v>0.46500000000000002</v>
      </c>
      <c r="Z414" s="52">
        <f t="shared" si="180"/>
        <v>0.46500000000000002</v>
      </c>
      <c r="AA414" s="52">
        <f t="shared" si="180"/>
        <v>0.41305843986249907</v>
      </c>
      <c r="AB414" s="52">
        <f t="shared" si="180"/>
        <v>0.41324934654817236</v>
      </c>
      <c r="AC414" s="52">
        <f t="shared" si="180"/>
        <v>0.41701736007814844</v>
      </c>
      <c r="AD414" s="52">
        <f t="shared" si="180"/>
        <v>0.42344607092226133</v>
      </c>
      <c r="AE414" s="52">
        <f t="shared" si="180"/>
        <v>0.42281907078248476</v>
      </c>
      <c r="AF414" s="52">
        <f t="shared" si="180"/>
        <v>0.41656466506937817</v>
      </c>
    </row>
    <row r="415" spans="4:32">
      <c r="D415" s="58" t="s">
        <v>270</v>
      </c>
      <c r="E415" s="5"/>
      <c r="F415" s="5"/>
      <c r="G415" s="5" t="s">
        <v>50</v>
      </c>
      <c r="H415" s="51"/>
      <c r="I415" s="53">
        <f>I405</f>
        <v>0.27</v>
      </c>
      <c r="J415" s="53">
        <f t="shared" ref="J415:AF415" si="181">J405</f>
        <v>0.27</v>
      </c>
      <c r="K415" s="53">
        <f t="shared" si="181"/>
        <v>0.27</v>
      </c>
      <c r="L415" s="53">
        <f t="shared" si="181"/>
        <v>0.27</v>
      </c>
      <c r="M415" s="53">
        <f t="shared" si="181"/>
        <v>0.27</v>
      </c>
      <c r="N415" s="53">
        <f t="shared" si="181"/>
        <v>0.27</v>
      </c>
      <c r="O415" s="53">
        <f t="shared" si="181"/>
        <v>0.27</v>
      </c>
      <c r="P415" s="53">
        <f t="shared" si="181"/>
        <v>0.27</v>
      </c>
      <c r="Q415" s="53">
        <f t="shared" si="181"/>
        <v>0.27</v>
      </c>
      <c r="R415" s="53">
        <f t="shared" si="181"/>
        <v>0.27</v>
      </c>
      <c r="S415" s="53">
        <f t="shared" si="181"/>
        <v>0.27</v>
      </c>
      <c r="T415" s="53">
        <f t="shared" si="181"/>
        <v>0.27</v>
      </c>
      <c r="U415" s="53">
        <f t="shared" si="181"/>
        <v>0.27</v>
      </c>
      <c r="V415" s="53">
        <f t="shared" si="181"/>
        <v>0.27</v>
      </c>
      <c r="W415" s="53">
        <f t="shared" si="181"/>
        <v>0.27</v>
      </c>
      <c r="X415" s="53">
        <f t="shared" si="181"/>
        <v>0.27</v>
      </c>
      <c r="Y415" s="53">
        <f t="shared" si="181"/>
        <v>0.27</v>
      </c>
      <c r="Z415" s="53">
        <f t="shared" si="181"/>
        <v>0.27</v>
      </c>
      <c r="AA415" s="53">
        <f t="shared" si="181"/>
        <v>0.27</v>
      </c>
      <c r="AB415" s="53">
        <f t="shared" si="181"/>
        <v>0.27</v>
      </c>
      <c r="AC415" s="53">
        <f t="shared" si="181"/>
        <v>0.27</v>
      </c>
      <c r="AD415" s="53">
        <f t="shared" si="181"/>
        <v>0.27</v>
      </c>
      <c r="AE415" s="53">
        <f t="shared" si="181"/>
        <v>0.27</v>
      </c>
      <c r="AF415" s="53">
        <f t="shared" si="181"/>
        <v>0.27</v>
      </c>
    </row>
    <row r="416" spans="4:32">
      <c r="D416" s="33" t="s">
        <v>271</v>
      </c>
      <c r="G416" t="s">
        <v>50</v>
      </c>
      <c r="H416" s="39"/>
      <c r="I416" s="52">
        <f>I414-I415</f>
        <v>0.14332229788685191</v>
      </c>
      <c r="J416" s="52">
        <f t="shared" ref="J416:AF416" si="182">J414-J415</f>
        <v>0.19500000000000001</v>
      </c>
      <c r="K416" s="52">
        <f t="shared" si="182"/>
        <v>0.14463992234730194</v>
      </c>
      <c r="L416" s="52">
        <f t="shared" si="182"/>
        <v>0.19500000000000001</v>
      </c>
      <c r="M416" s="52">
        <f t="shared" si="182"/>
        <v>0.19500000000000001</v>
      </c>
      <c r="N416" s="52">
        <f t="shared" si="182"/>
        <v>0.19500000000000001</v>
      </c>
      <c r="O416" s="52">
        <f t="shared" si="182"/>
        <v>0.19500000000000001</v>
      </c>
      <c r="P416" s="52">
        <f t="shared" si="182"/>
        <v>0.14436289956070569</v>
      </c>
      <c r="Q416" s="52">
        <f t="shared" si="182"/>
        <v>0.19500000000000001</v>
      </c>
      <c r="R416" s="52">
        <f t="shared" si="182"/>
        <v>0.19500000000000001</v>
      </c>
      <c r="S416" s="52">
        <f t="shared" si="182"/>
        <v>0.14287698149923278</v>
      </c>
      <c r="T416" s="52">
        <f t="shared" si="182"/>
        <v>0.14504169894428098</v>
      </c>
      <c r="U416" s="52">
        <f t="shared" si="182"/>
        <v>0.1446562922763947</v>
      </c>
      <c r="V416" s="52">
        <f t="shared" si="182"/>
        <v>0.14244588380416268</v>
      </c>
      <c r="W416" s="52">
        <f t="shared" si="182"/>
        <v>0.19500000000000001</v>
      </c>
      <c r="X416" s="52">
        <f t="shared" si="182"/>
        <v>0.19500000000000001</v>
      </c>
      <c r="Y416" s="52">
        <f t="shared" si="182"/>
        <v>0.19500000000000001</v>
      </c>
      <c r="Z416" s="52">
        <f t="shared" si="182"/>
        <v>0.19500000000000001</v>
      </c>
      <c r="AA416" s="52">
        <f t="shared" si="182"/>
        <v>0.14305843986249905</v>
      </c>
      <c r="AB416" s="52">
        <f t="shared" si="182"/>
        <v>0.14324934654817234</v>
      </c>
      <c r="AC416" s="52">
        <f t="shared" si="182"/>
        <v>0.14701736007814842</v>
      </c>
      <c r="AD416" s="52">
        <f t="shared" si="182"/>
        <v>0.15344607092226131</v>
      </c>
      <c r="AE416" s="52">
        <f t="shared" si="182"/>
        <v>0.15281907078248474</v>
      </c>
      <c r="AF416" s="52">
        <f t="shared" si="182"/>
        <v>0.14656466506937815</v>
      </c>
    </row>
    <row r="417" spans="3:32">
      <c r="D417" s="58" t="s">
        <v>251</v>
      </c>
      <c r="E417" s="5"/>
      <c r="F417" s="5"/>
      <c r="G417" s="5" t="s">
        <v>90</v>
      </c>
      <c r="H417" s="51">
        <f t="shared" ref="H417:H418" si="183">SUM(I417:AF417)</f>
        <v>11366.48252195078</v>
      </c>
      <c r="I417" s="53">
        <f t="shared" ref="I417:AF417" si="184">I391</f>
        <v>525.60734920775735</v>
      </c>
      <c r="J417" s="53">
        <f t="shared" si="184"/>
        <v>665.49717154900247</v>
      </c>
      <c r="K417" s="53">
        <f t="shared" si="184"/>
        <v>503.86558594038962</v>
      </c>
      <c r="L417" s="53">
        <f t="shared" si="184"/>
        <v>624.51351589694377</v>
      </c>
      <c r="M417" s="53">
        <f t="shared" si="184"/>
        <v>647.53681735140776</v>
      </c>
      <c r="N417" s="53">
        <f t="shared" si="184"/>
        <v>626.97267063497213</v>
      </c>
      <c r="O417" s="53">
        <f t="shared" si="184"/>
        <v>567.69696157900694</v>
      </c>
      <c r="P417" s="53">
        <f t="shared" si="184"/>
        <v>432.66044459097071</v>
      </c>
      <c r="Q417" s="53">
        <f t="shared" si="184"/>
        <v>525.04295341610737</v>
      </c>
      <c r="R417" s="53">
        <f t="shared" si="184"/>
        <v>720.01502962371171</v>
      </c>
      <c r="S417" s="53">
        <f t="shared" si="184"/>
        <v>527.99753211889913</v>
      </c>
      <c r="T417" s="53">
        <f t="shared" si="184"/>
        <v>400.49244897170547</v>
      </c>
      <c r="U417" s="53">
        <f t="shared" si="184"/>
        <v>387.03903477064625</v>
      </c>
      <c r="V417" s="53">
        <f t="shared" si="184"/>
        <v>464.41648294968013</v>
      </c>
      <c r="W417" s="53">
        <f t="shared" si="184"/>
        <v>573.91189431271073</v>
      </c>
      <c r="X417" s="53">
        <f t="shared" si="184"/>
        <v>736.47840188280009</v>
      </c>
      <c r="Y417" s="53">
        <f t="shared" si="184"/>
        <v>686.31607813474625</v>
      </c>
      <c r="Z417" s="53">
        <f t="shared" si="184"/>
        <v>485.76919106725688</v>
      </c>
      <c r="AA417" s="53">
        <f t="shared" si="184"/>
        <v>329.95072954896983</v>
      </c>
      <c r="AB417" s="53">
        <f t="shared" si="184"/>
        <v>301.96597198229648</v>
      </c>
      <c r="AC417" s="53">
        <f t="shared" si="184"/>
        <v>221.11395247247225</v>
      </c>
      <c r="AD417" s="53">
        <f t="shared" si="184"/>
        <v>150.83038185004875</v>
      </c>
      <c r="AE417" s="53">
        <f t="shared" si="184"/>
        <v>155.7650601740159</v>
      </c>
      <c r="AF417" s="53">
        <f t="shared" si="184"/>
        <v>105.02686192426307</v>
      </c>
    </row>
    <row r="418" spans="3:32">
      <c r="D418" s="33" t="s">
        <v>269</v>
      </c>
      <c r="G418" t="s">
        <v>90</v>
      </c>
      <c r="H418" s="48">
        <f t="shared" si="183"/>
        <v>1989.2981616159318</v>
      </c>
      <c r="I418" s="52">
        <f>I416*I417</f>
        <v>75.331253074672802</v>
      </c>
      <c r="J418" s="52">
        <f t="shared" ref="J418:AF418" si="185">J416*J417</f>
        <v>129.77194845205548</v>
      </c>
      <c r="K418" s="52">
        <f t="shared" si="185"/>
        <v>72.879079223895744</v>
      </c>
      <c r="L418" s="52">
        <f t="shared" si="185"/>
        <v>121.78013559990404</v>
      </c>
      <c r="M418" s="52">
        <f t="shared" si="185"/>
        <v>126.26967938352452</v>
      </c>
      <c r="N418" s="52">
        <f t="shared" si="185"/>
        <v>122.25967077381956</v>
      </c>
      <c r="O418" s="52">
        <f t="shared" si="185"/>
        <v>110.70090750790635</v>
      </c>
      <c r="P418" s="52">
        <f t="shared" si="185"/>
        <v>62.460116306376577</v>
      </c>
      <c r="Q418" s="52">
        <f t="shared" si="185"/>
        <v>102.38337591614093</v>
      </c>
      <c r="R418" s="52">
        <f t="shared" si="185"/>
        <v>140.40293077662378</v>
      </c>
      <c r="S418" s="52">
        <f t="shared" si="185"/>
        <v>75.43869362819251</v>
      </c>
      <c r="T418" s="52">
        <f t="shared" si="185"/>
        <v>58.088105213211918</v>
      </c>
      <c r="U418" s="52">
        <f t="shared" si="185"/>
        <v>55.987631736156295</v>
      </c>
      <c r="V418" s="52">
        <f t="shared" si="185"/>
        <v>66.154216366988038</v>
      </c>
      <c r="W418" s="52">
        <f t="shared" si="185"/>
        <v>111.9128193909786</v>
      </c>
      <c r="X418" s="52">
        <f t="shared" si="185"/>
        <v>143.61328836714603</v>
      </c>
      <c r="Y418" s="52">
        <f t="shared" si="185"/>
        <v>133.83163523627553</v>
      </c>
      <c r="Z418" s="52">
        <f t="shared" si="185"/>
        <v>94.724992258115094</v>
      </c>
      <c r="AA418" s="52">
        <f t="shared" si="185"/>
        <v>47.202236600768991</v>
      </c>
      <c r="AB418" s="52">
        <f t="shared" si="185"/>
        <v>43.256428166247687</v>
      </c>
      <c r="AC418" s="52">
        <f t="shared" si="185"/>
        <v>32.507589568948049</v>
      </c>
      <c r="AD418" s="52">
        <f t="shared" si="185"/>
        <v>23.144329470594336</v>
      </c>
      <c r="AE418" s="52">
        <f t="shared" si="185"/>
        <v>23.803871756170931</v>
      </c>
      <c r="AF418" s="52">
        <f t="shared" si="185"/>
        <v>15.393226841217443</v>
      </c>
    </row>
    <row r="419" spans="3:32" ht="6" customHeight="1">
      <c r="D419" s="2"/>
      <c r="H419" s="29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</row>
    <row r="420" spans="3:32">
      <c r="D420" s="61" t="s">
        <v>272</v>
      </c>
      <c r="E420" s="61"/>
      <c r="F420" s="61"/>
      <c r="G420" s="61"/>
      <c r="H420" s="62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3"/>
    </row>
    <row r="421" spans="3:32" ht="6" customHeight="1">
      <c r="D421" s="2"/>
      <c r="H421" s="29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</row>
    <row r="422" spans="3:32">
      <c r="D422" t="s">
        <v>120</v>
      </c>
      <c r="G422" t="s">
        <v>8</v>
      </c>
      <c r="H422" s="29"/>
      <c r="I422" s="34">
        <f t="shared" ref="I422:AF422" si="186">I71</f>
        <v>4610</v>
      </c>
      <c r="J422" s="34">
        <f t="shared" si="186"/>
        <v>12464</v>
      </c>
      <c r="K422" s="34">
        <f t="shared" si="186"/>
        <v>13998</v>
      </c>
      <c r="L422" s="34">
        <f t="shared" si="186"/>
        <v>19387</v>
      </c>
      <c r="M422" s="34">
        <f t="shared" si="186"/>
        <v>13281</v>
      </c>
      <c r="N422" s="34">
        <f t="shared" si="186"/>
        <v>13553</v>
      </c>
      <c r="O422" s="34">
        <f t="shared" si="186"/>
        <v>10012</v>
      </c>
      <c r="P422" s="34">
        <f t="shared" si="186"/>
        <v>7480</v>
      </c>
      <c r="Q422" s="34">
        <f t="shared" si="186"/>
        <v>4394</v>
      </c>
      <c r="R422" s="34">
        <f t="shared" si="186"/>
        <v>6158</v>
      </c>
      <c r="S422" s="34">
        <f t="shared" si="186"/>
        <v>10541</v>
      </c>
      <c r="T422" s="34">
        <f t="shared" si="186"/>
        <v>12189</v>
      </c>
      <c r="U422" s="34">
        <f t="shared" si="186"/>
        <v>11421</v>
      </c>
      <c r="V422" s="34">
        <f t="shared" si="186"/>
        <v>7643</v>
      </c>
      <c r="W422" s="34">
        <f t="shared" si="186"/>
        <v>6220</v>
      </c>
      <c r="X422" s="34">
        <f t="shared" si="186"/>
        <v>5775</v>
      </c>
      <c r="Y422" s="34">
        <f t="shared" si="186"/>
        <v>5192</v>
      </c>
      <c r="Z422" s="34">
        <f t="shared" si="186"/>
        <v>7136</v>
      </c>
      <c r="AA422" s="34">
        <f t="shared" si="186"/>
        <v>2872</v>
      </c>
      <c r="AB422" s="34">
        <f t="shared" si="186"/>
        <v>0</v>
      </c>
      <c r="AC422" s="34">
        <f t="shared" si="186"/>
        <v>0</v>
      </c>
      <c r="AD422" s="34">
        <f t="shared" si="186"/>
        <v>0</v>
      </c>
      <c r="AE422" s="34">
        <f t="shared" si="186"/>
        <v>0</v>
      </c>
      <c r="AF422" s="34">
        <f t="shared" si="186"/>
        <v>0</v>
      </c>
    </row>
    <row r="423" spans="3:32">
      <c r="D423" t="s">
        <v>121</v>
      </c>
      <c r="G423" t="s">
        <v>8</v>
      </c>
      <c r="H423" s="29"/>
      <c r="I423" s="34">
        <f t="shared" ref="I423:AF423" si="187">I75</f>
        <v>7133</v>
      </c>
      <c r="J423" s="34">
        <f t="shared" si="187"/>
        <v>3106</v>
      </c>
      <c r="K423" s="34">
        <f t="shared" si="187"/>
        <v>2395</v>
      </c>
      <c r="L423" s="34">
        <f t="shared" si="187"/>
        <v>3673</v>
      </c>
      <c r="M423" s="34">
        <f t="shared" si="187"/>
        <v>2612</v>
      </c>
      <c r="N423" s="34">
        <f t="shared" si="187"/>
        <v>9639</v>
      </c>
      <c r="O423" s="34">
        <f t="shared" si="187"/>
        <v>9784</v>
      </c>
      <c r="P423" s="34">
        <f t="shared" si="187"/>
        <v>11540</v>
      </c>
      <c r="Q423" s="34">
        <f t="shared" si="187"/>
        <v>10162</v>
      </c>
      <c r="R423" s="34">
        <f t="shared" si="187"/>
        <v>6818</v>
      </c>
      <c r="S423" s="34">
        <f t="shared" si="187"/>
        <v>5475</v>
      </c>
      <c r="T423" s="34">
        <f t="shared" si="187"/>
        <v>9725</v>
      </c>
      <c r="U423" s="34">
        <f t="shared" si="187"/>
        <v>12427</v>
      </c>
      <c r="V423" s="34">
        <f t="shared" si="187"/>
        <v>13286</v>
      </c>
      <c r="W423" s="34">
        <f t="shared" si="187"/>
        <v>9623</v>
      </c>
      <c r="X423" s="34">
        <f t="shared" si="187"/>
        <v>8312</v>
      </c>
      <c r="Y423" s="34">
        <f t="shared" si="187"/>
        <v>5475</v>
      </c>
      <c r="Z423" s="34">
        <f t="shared" si="187"/>
        <v>12778</v>
      </c>
      <c r="AA423" s="34">
        <f t="shared" si="187"/>
        <v>16730</v>
      </c>
      <c r="AB423" s="34">
        <f t="shared" si="187"/>
        <v>22170</v>
      </c>
      <c r="AC423" s="34">
        <f t="shared" si="187"/>
        <v>22170</v>
      </c>
      <c r="AD423" s="34">
        <f t="shared" si="187"/>
        <v>22231</v>
      </c>
      <c r="AE423" s="34">
        <f t="shared" si="187"/>
        <v>22170</v>
      </c>
      <c r="AF423" s="34">
        <f t="shared" si="187"/>
        <v>3235</v>
      </c>
    </row>
    <row r="424" spans="3:32">
      <c r="D424" t="s">
        <v>273</v>
      </c>
      <c r="G424" t="s">
        <v>8</v>
      </c>
      <c r="H424" s="35"/>
      <c r="I424" s="34">
        <f>I422-I423</f>
        <v>-2523</v>
      </c>
      <c r="J424" s="34">
        <f t="shared" ref="J424:AF424" si="188">J422-J423</f>
        <v>9358</v>
      </c>
      <c r="K424" s="34">
        <f t="shared" si="188"/>
        <v>11603</v>
      </c>
      <c r="L424" s="34">
        <f t="shared" si="188"/>
        <v>15714</v>
      </c>
      <c r="M424" s="34">
        <f t="shared" si="188"/>
        <v>10669</v>
      </c>
      <c r="N424" s="34">
        <f t="shared" si="188"/>
        <v>3914</v>
      </c>
      <c r="O424" s="34">
        <f t="shared" si="188"/>
        <v>228</v>
      </c>
      <c r="P424" s="34">
        <f t="shared" si="188"/>
        <v>-4060</v>
      </c>
      <c r="Q424" s="34">
        <f t="shared" si="188"/>
        <v>-5768</v>
      </c>
      <c r="R424" s="34">
        <f t="shared" si="188"/>
        <v>-660</v>
      </c>
      <c r="S424" s="34">
        <f t="shared" si="188"/>
        <v>5066</v>
      </c>
      <c r="T424" s="34">
        <f t="shared" si="188"/>
        <v>2464</v>
      </c>
      <c r="U424" s="34">
        <f t="shared" si="188"/>
        <v>-1006</v>
      </c>
      <c r="V424" s="34">
        <f t="shared" si="188"/>
        <v>-5643</v>
      </c>
      <c r="W424" s="34">
        <f t="shared" si="188"/>
        <v>-3403</v>
      </c>
      <c r="X424" s="34">
        <f t="shared" si="188"/>
        <v>-2537</v>
      </c>
      <c r="Y424" s="34">
        <f t="shared" si="188"/>
        <v>-283</v>
      </c>
      <c r="Z424" s="34">
        <f t="shared" si="188"/>
        <v>-5642</v>
      </c>
      <c r="AA424" s="34">
        <f t="shared" si="188"/>
        <v>-13858</v>
      </c>
      <c r="AB424" s="34">
        <f t="shared" si="188"/>
        <v>-22170</v>
      </c>
      <c r="AC424" s="34">
        <f t="shared" si="188"/>
        <v>-22170</v>
      </c>
      <c r="AD424" s="34">
        <f t="shared" si="188"/>
        <v>-22231</v>
      </c>
      <c r="AE424" s="34">
        <f t="shared" si="188"/>
        <v>-22170</v>
      </c>
      <c r="AF424" s="34">
        <f t="shared" si="188"/>
        <v>-3235</v>
      </c>
    </row>
    <row r="425" spans="3:32">
      <c r="C425" s="77"/>
      <c r="D425" t="s">
        <v>274</v>
      </c>
      <c r="G425" t="s">
        <v>275</v>
      </c>
      <c r="H425" s="29"/>
      <c r="I425" s="37">
        <f>$H$209</f>
        <v>2.2595949475745685</v>
      </c>
      <c r="J425" s="37">
        <f t="shared" ref="J425:AF425" si="189">$H$209</f>
        <v>2.2595949475745685</v>
      </c>
      <c r="K425" s="37">
        <f t="shared" si="189"/>
        <v>2.2595949475745685</v>
      </c>
      <c r="L425" s="37">
        <f t="shared" si="189"/>
        <v>2.2595949475745685</v>
      </c>
      <c r="M425" s="37">
        <f t="shared" si="189"/>
        <v>2.2595949475745685</v>
      </c>
      <c r="N425" s="37">
        <f t="shared" si="189"/>
        <v>2.2595949475745685</v>
      </c>
      <c r="O425" s="37">
        <f t="shared" si="189"/>
        <v>2.2595949475745685</v>
      </c>
      <c r="P425" s="37">
        <f t="shared" si="189"/>
        <v>2.2595949475745685</v>
      </c>
      <c r="Q425" s="37">
        <f t="shared" si="189"/>
        <v>2.2595949475745685</v>
      </c>
      <c r="R425" s="37">
        <f t="shared" si="189"/>
        <v>2.2595949475745685</v>
      </c>
      <c r="S425" s="37">
        <f t="shared" si="189"/>
        <v>2.2595949475745685</v>
      </c>
      <c r="T425" s="37">
        <f t="shared" si="189"/>
        <v>2.2595949475745685</v>
      </c>
      <c r="U425" s="37">
        <f t="shared" si="189"/>
        <v>2.2595949475745685</v>
      </c>
      <c r="V425" s="37">
        <f t="shared" si="189"/>
        <v>2.2595949475745685</v>
      </c>
      <c r="W425" s="37">
        <f t="shared" si="189"/>
        <v>2.2595949475745685</v>
      </c>
      <c r="X425" s="37">
        <f t="shared" si="189"/>
        <v>2.2595949475745685</v>
      </c>
      <c r="Y425" s="37">
        <f t="shared" si="189"/>
        <v>2.2595949475745685</v>
      </c>
      <c r="Z425" s="37">
        <f t="shared" si="189"/>
        <v>2.2595949475745685</v>
      </c>
      <c r="AA425" s="37">
        <f t="shared" si="189"/>
        <v>2.2595949475745685</v>
      </c>
      <c r="AB425" s="37">
        <f t="shared" si="189"/>
        <v>2.2595949475745685</v>
      </c>
      <c r="AC425" s="37">
        <f t="shared" si="189"/>
        <v>2.2595949475745685</v>
      </c>
      <c r="AD425" s="37">
        <f t="shared" si="189"/>
        <v>2.2595949475745685</v>
      </c>
      <c r="AE425" s="37">
        <f t="shared" si="189"/>
        <v>2.2595949475745685</v>
      </c>
      <c r="AF425" s="37">
        <f t="shared" si="189"/>
        <v>2.2595949475745685</v>
      </c>
    </row>
    <row r="426" spans="3:32">
      <c r="D426" t="s">
        <v>276</v>
      </c>
      <c r="G426" t="s">
        <v>90</v>
      </c>
      <c r="H426" s="29"/>
      <c r="I426" s="40">
        <f t="shared" ref="I426:AF426" si="190">I424*I425/1000</f>
        <v>-5.7009580527306358</v>
      </c>
      <c r="J426" s="40">
        <f t="shared" si="190"/>
        <v>21.145289519402812</v>
      </c>
      <c r="K426" s="40">
        <f t="shared" si="190"/>
        <v>26.218080176707716</v>
      </c>
      <c r="L426" s="40">
        <f t="shared" si="190"/>
        <v>35.507275006186767</v>
      </c>
      <c r="M426" s="40">
        <f t="shared" si="190"/>
        <v>24.107618495673073</v>
      </c>
      <c r="N426" s="40">
        <f t="shared" si="190"/>
        <v>8.8440546248068603</v>
      </c>
      <c r="O426" s="40">
        <f t="shared" si="190"/>
        <v>0.51518764804700168</v>
      </c>
      <c r="P426" s="40">
        <f t="shared" si="190"/>
        <v>-9.1739554871527478</v>
      </c>
      <c r="Q426" s="40">
        <f t="shared" si="190"/>
        <v>-13.033343657610111</v>
      </c>
      <c r="R426" s="40">
        <f t="shared" si="190"/>
        <v>-1.4913326653992152</v>
      </c>
      <c r="S426" s="40">
        <f t="shared" si="190"/>
        <v>11.447108004412764</v>
      </c>
      <c r="T426" s="40">
        <f t="shared" si="190"/>
        <v>5.5676419508237371</v>
      </c>
      <c r="U426" s="40">
        <f t="shared" si="190"/>
        <v>-2.2731525172600158</v>
      </c>
      <c r="V426" s="40">
        <f t="shared" si="190"/>
        <v>-12.750894289163291</v>
      </c>
      <c r="W426" s="40">
        <f t="shared" si="190"/>
        <v>-7.6894016065962569</v>
      </c>
      <c r="X426" s="40">
        <f t="shared" si="190"/>
        <v>-5.73259238199668</v>
      </c>
      <c r="Y426" s="40">
        <f t="shared" si="190"/>
        <v>-0.63946537016360283</v>
      </c>
      <c r="Z426" s="40">
        <f t="shared" si="190"/>
        <v>-12.748634694215717</v>
      </c>
      <c r="AA426" s="40">
        <f t="shared" si="190"/>
        <v>-31.313466783488369</v>
      </c>
      <c r="AB426" s="40">
        <f t="shared" si="190"/>
        <v>-50.095219987728179</v>
      </c>
      <c r="AC426" s="40">
        <f t="shared" si="190"/>
        <v>-50.095219987728179</v>
      </c>
      <c r="AD426" s="40">
        <f t="shared" si="190"/>
        <v>-50.233055279530227</v>
      </c>
      <c r="AE426" s="40">
        <f t="shared" si="190"/>
        <v>-50.095219987728179</v>
      </c>
      <c r="AF426" s="40">
        <f t="shared" si="190"/>
        <v>-7.3097896554037289</v>
      </c>
    </row>
    <row r="427" spans="3:32" ht="6" customHeight="1">
      <c r="D427" s="2"/>
      <c r="H427" s="29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</row>
    <row r="428" spans="3:32">
      <c r="D428" s="61" t="s">
        <v>277</v>
      </c>
      <c r="E428" s="61"/>
      <c r="F428" s="61"/>
      <c r="G428" s="61"/>
      <c r="H428" s="62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3"/>
    </row>
    <row r="429" spans="3:32" ht="6" customHeight="1">
      <c r="D429" s="2"/>
      <c r="H429" s="29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</row>
    <row r="430" spans="3:32">
      <c r="D430" s="28" t="s">
        <v>278</v>
      </c>
      <c r="H430" s="29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</row>
    <row r="431" spans="3:32">
      <c r="D431" t="s">
        <v>252</v>
      </c>
      <c r="G431" t="s">
        <v>90</v>
      </c>
      <c r="H431" s="29"/>
      <c r="I431" s="52">
        <f t="shared" ref="I431:AF431" si="191">I335</f>
        <v>518.52584000000002</v>
      </c>
      <c r="J431" s="52">
        <f t="shared" si="191"/>
        <v>495.21938999999998</v>
      </c>
      <c r="K431" s="52">
        <f t="shared" si="191"/>
        <v>505.84654999999998</v>
      </c>
      <c r="L431" s="52">
        <f t="shared" si="191"/>
        <v>471.5659</v>
      </c>
      <c r="M431" s="52">
        <f t="shared" si="191"/>
        <v>436.31080000000003</v>
      </c>
      <c r="N431" s="52">
        <f t="shared" si="191"/>
        <v>374.94138837370241</v>
      </c>
      <c r="O431" s="52">
        <f t="shared" si="191"/>
        <v>399.43924058823535</v>
      </c>
      <c r="P431" s="52">
        <f t="shared" si="191"/>
        <v>417.44498280276815</v>
      </c>
      <c r="Q431" s="52">
        <f t="shared" si="191"/>
        <v>386.80406003460212</v>
      </c>
      <c r="R431" s="52">
        <f t="shared" si="191"/>
        <v>343.525148200692</v>
      </c>
      <c r="S431" s="52">
        <f t="shared" si="191"/>
        <v>416.38125000000002</v>
      </c>
      <c r="T431" s="52">
        <f t="shared" si="191"/>
        <v>381.16363999999999</v>
      </c>
      <c r="U431" s="52">
        <f t="shared" si="191"/>
        <v>354.85942</v>
      </c>
      <c r="V431" s="52">
        <f t="shared" si="191"/>
        <v>341.17861999999997</v>
      </c>
      <c r="W431" s="52">
        <f t="shared" si="191"/>
        <v>326.09670999999997</v>
      </c>
      <c r="X431" s="52">
        <f t="shared" si="191"/>
        <v>263.66645</v>
      </c>
      <c r="Y431" s="52">
        <f t="shared" si="191"/>
        <v>257.97095000000002</v>
      </c>
      <c r="Z431" s="52">
        <f t="shared" si="191"/>
        <v>263.70254999999997</v>
      </c>
      <c r="AA431" s="52">
        <f t="shared" si="191"/>
        <v>246.47284999999999</v>
      </c>
      <c r="AB431" s="52">
        <f t="shared" si="191"/>
        <v>235.79549999999998</v>
      </c>
      <c r="AC431" s="52">
        <f t="shared" si="191"/>
        <v>235.79549999999998</v>
      </c>
      <c r="AD431" s="52">
        <f t="shared" si="191"/>
        <v>236.44335000000001</v>
      </c>
      <c r="AE431" s="52">
        <f t="shared" si="191"/>
        <v>235.79549999999998</v>
      </c>
      <c r="AF431" s="52">
        <f t="shared" si="191"/>
        <v>102.30375000000001</v>
      </c>
    </row>
    <row r="432" spans="3:32">
      <c r="D432" t="s">
        <v>279</v>
      </c>
      <c r="G432" t="s">
        <v>90</v>
      </c>
      <c r="H432" s="29"/>
      <c r="I432" s="52">
        <f t="shared" ref="I432:AF432" si="192">I177+I180</f>
        <v>28.250119816953148</v>
      </c>
      <c r="J432" s="52">
        <f t="shared" si="192"/>
        <v>32.24411791025674</v>
      </c>
      <c r="K432" s="52">
        <f t="shared" si="192"/>
        <v>30.109136230755123</v>
      </c>
      <c r="L432" s="52">
        <f t="shared" si="192"/>
        <v>29.706071425655857</v>
      </c>
      <c r="M432" s="52">
        <f t="shared" si="192"/>
        <v>29.66547364354464</v>
      </c>
      <c r="N432" s="52">
        <f t="shared" si="192"/>
        <v>26.823527759775114</v>
      </c>
      <c r="O432" s="52">
        <f t="shared" si="192"/>
        <v>26.434375239418809</v>
      </c>
      <c r="P432" s="52">
        <f t="shared" si="192"/>
        <v>23.374188932627948</v>
      </c>
      <c r="Q432" s="52">
        <f t="shared" si="192"/>
        <v>25.311536102792019</v>
      </c>
      <c r="R432" s="52">
        <f t="shared" si="192"/>
        <v>29.959842099916742</v>
      </c>
      <c r="S432" s="52">
        <f t="shared" si="192"/>
        <v>26.784959664497496</v>
      </c>
      <c r="T432" s="52">
        <f t="shared" si="192"/>
        <v>22.239166449640411</v>
      </c>
      <c r="U432" s="52">
        <f t="shared" si="192"/>
        <v>21.161328087663456</v>
      </c>
      <c r="V432" s="52">
        <f t="shared" si="192"/>
        <v>23.11557594234953</v>
      </c>
      <c r="W432" s="52">
        <f t="shared" si="192"/>
        <v>26.110376880052605</v>
      </c>
      <c r="X432" s="52">
        <f t="shared" si="192"/>
        <v>28.909201226864639</v>
      </c>
      <c r="Y432" s="52">
        <f t="shared" si="192"/>
        <v>27.556945410513748</v>
      </c>
      <c r="Z432" s="52">
        <f t="shared" si="192"/>
        <v>21.781614820234502</v>
      </c>
      <c r="AA432" s="52">
        <f t="shared" si="192"/>
        <v>16.870944455694449</v>
      </c>
      <c r="AB432" s="52">
        <f t="shared" si="192"/>
        <v>15.567867978291092</v>
      </c>
      <c r="AC432" s="52">
        <f t="shared" si="192"/>
        <v>13.247058123337499</v>
      </c>
      <c r="AD432" s="52">
        <f t="shared" si="192"/>
        <v>11.186502396026956</v>
      </c>
      <c r="AE432" s="52">
        <f t="shared" si="192"/>
        <v>11.335918395726537</v>
      </c>
      <c r="AF432" s="52">
        <f t="shared" si="192"/>
        <v>6.1867863296131187</v>
      </c>
    </row>
    <row r="433" spans="4:32">
      <c r="D433" s="5" t="s">
        <v>280</v>
      </c>
      <c r="E433" s="5"/>
      <c r="F433" s="5"/>
      <c r="G433" s="5" t="s">
        <v>90</v>
      </c>
      <c r="H433" s="88"/>
      <c r="I433" s="53">
        <f t="shared" ref="I433:AF433" si="193">I384+I401</f>
        <v>75.331253074672787</v>
      </c>
      <c r="J433" s="53">
        <f t="shared" si="193"/>
        <v>186.87421520562538</v>
      </c>
      <c r="K433" s="53">
        <f t="shared" si="193"/>
        <v>72.879079223895758</v>
      </c>
      <c r="L433" s="53">
        <f t="shared" si="193"/>
        <v>175.76981330514602</v>
      </c>
      <c r="M433" s="53">
        <f t="shared" si="193"/>
        <v>181.73756364024413</v>
      </c>
      <c r="N433" s="53">
        <f t="shared" si="193"/>
        <v>175.10927687114366</v>
      </c>
      <c r="O433" s="53">
        <f t="shared" si="193"/>
        <v>159.52209965146395</v>
      </c>
      <c r="P433" s="53">
        <f t="shared" si="193"/>
        <v>62.460116306376584</v>
      </c>
      <c r="Q433" s="53">
        <f t="shared" si="193"/>
        <v>147.92570013231119</v>
      </c>
      <c r="R433" s="53">
        <f t="shared" si="193"/>
        <v>200.71464771768782</v>
      </c>
      <c r="S433" s="53">
        <f t="shared" si="193"/>
        <v>75.438693628192496</v>
      </c>
      <c r="T433" s="53">
        <f t="shared" si="193"/>
        <v>58.088105213211918</v>
      </c>
      <c r="U433" s="53">
        <f t="shared" si="193"/>
        <v>55.987631736156317</v>
      </c>
      <c r="V433" s="53">
        <f t="shared" si="193"/>
        <v>66.15421636698801</v>
      </c>
      <c r="W433" s="53">
        <f t="shared" si="193"/>
        <v>160.99187132545239</v>
      </c>
      <c r="X433" s="53">
        <f t="shared" si="193"/>
        <v>204.52132575677476</v>
      </c>
      <c r="Y433" s="53">
        <f t="shared" si="193"/>
        <v>190.86930605961328</v>
      </c>
      <c r="Z433" s="53">
        <f t="shared" si="193"/>
        <v>136.12266277345964</v>
      </c>
      <c r="AA433" s="53">
        <f t="shared" si="193"/>
        <v>47.202236600768984</v>
      </c>
      <c r="AB433" s="53">
        <f t="shared" si="193"/>
        <v>43.25642816624768</v>
      </c>
      <c r="AC433" s="53">
        <f t="shared" si="193"/>
        <v>32.507589568948042</v>
      </c>
      <c r="AD433" s="53">
        <f t="shared" si="193"/>
        <v>23.144329470594336</v>
      </c>
      <c r="AE433" s="53">
        <f t="shared" si="193"/>
        <v>23.803871756170935</v>
      </c>
      <c r="AF433" s="53">
        <f t="shared" si="193"/>
        <v>15.393226841217444</v>
      </c>
    </row>
    <row r="434" spans="4:32">
      <c r="D434" t="s">
        <v>281</v>
      </c>
      <c r="G434" t="s">
        <v>90</v>
      </c>
      <c r="H434" s="29"/>
      <c r="I434" s="52">
        <f>I431+I432+I433</f>
        <v>622.10721289162598</v>
      </c>
      <c r="J434" s="52">
        <f t="shared" ref="J434:AF434" si="194">J431+J432+J433</f>
        <v>714.337723115882</v>
      </c>
      <c r="K434" s="52">
        <f t="shared" si="194"/>
        <v>608.83476545465078</v>
      </c>
      <c r="L434" s="52">
        <f t="shared" si="194"/>
        <v>677.04178473080185</v>
      </c>
      <c r="M434" s="52">
        <f t="shared" si="194"/>
        <v>647.71383728378885</v>
      </c>
      <c r="N434" s="52">
        <f t="shared" si="194"/>
        <v>576.87419300462125</v>
      </c>
      <c r="O434" s="52">
        <f t="shared" si="194"/>
        <v>585.39571547911805</v>
      </c>
      <c r="P434" s="52">
        <f t="shared" si="194"/>
        <v>503.27928804177265</v>
      </c>
      <c r="Q434" s="52">
        <f t="shared" si="194"/>
        <v>560.0412962697053</v>
      </c>
      <c r="R434" s="52">
        <f t="shared" si="194"/>
        <v>574.19963801829658</v>
      </c>
      <c r="S434" s="52">
        <f t="shared" si="194"/>
        <v>518.60490329268998</v>
      </c>
      <c r="T434" s="52">
        <f t="shared" si="194"/>
        <v>461.49091166285234</v>
      </c>
      <c r="U434" s="52">
        <f t="shared" si="194"/>
        <v>432.00837982381972</v>
      </c>
      <c r="V434" s="52">
        <f t="shared" si="194"/>
        <v>430.44841230933753</v>
      </c>
      <c r="W434" s="52">
        <f t="shared" si="194"/>
        <v>513.19895820550505</v>
      </c>
      <c r="X434" s="52">
        <f t="shared" si="194"/>
        <v>497.09697698363937</v>
      </c>
      <c r="Y434" s="52">
        <f t="shared" si="194"/>
        <v>476.39720147012707</v>
      </c>
      <c r="Z434" s="52">
        <f t="shared" si="194"/>
        <v>421.60682759369411</v>
      </c>
      <c r="AA434" s="52">
        <f t="shared" si="194"/>
        <v>310.54603105646339</v>
      </c>
      <c r="AB434" s="52">
        <f t="shared" si="194"/>
        <v>294.61979614453878</v>
      </c>
      <c r="AC434" s="52">
        <f t="shared" si="194"/>
        <v>281.55014769228552</v>
      </c>
      <c r="AD434" s="52">
        <f t="shared" si="194"/>
        <v>270.77418186662129</v>
      </c>
      <c r="AE434" s="52">
        <f t="shared" si="194"/>
        <v>270.93529015189745</v>
      </c>
      <c r="AF434" s="52">
        <f t="shared" si="194"/>
        <v>123.88376317083056</v>
      </c>
    </row>
    <row r="435" spans="4:32" ht="6" customHeight="1">
      <c r="D435" s="2"/>
      <c r="H435" s="29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</row>
    <row r="436" spans="4:32">
      <c r="D436" s="28" t="s">
        <v>282</v>
      </c>
      <c r="H436" s="29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</row>
    <row r="437" spans="4:32">
      <c r="D437" t="s">
        <v>183</v>
      </c>
      <c r="G437" t="s">
        <v>90</v>
      </c>
      <c r="H437" s="29"/>
      <c r="I437" s="52">
        <f t="shared" ref="I437:AF438" si="195">I178</f>
        <v>45.251148120000003</v>
      </c>
      <c r="J437" s="52">
        <f t="shared" si="195"/>
        <v>51.648749280000004</v>
      </c>
      <c r="K437" s="52">
        <f t="shared" si="195"/>
        <v>48.228927600000013</v>
      </c>
      <c r="L437" s="52">
        <f t="shared" si="195"/>
        <v>47.583296879999999</v>
      </c>
      <c r="M437" s="52">
        <f t="shared" si="195"/>
        <v>47.518267200000011</v>
      </c>
      <c r="N437" s="52">
        <f t="shared" si="195"/>
        <v>42.966027600000004</v>
      </c>
      <c r="O437" s="52">
        <f t="shared" si="195"/>
        <v>42.342681630000008</v>
      </c>
      <c r="P437" s="52">
        <f t="shared" si="195"/>
        <v>37.440863700000008</v>
      </c>
      <c r="Q437" s="52">
        <f t="shared" si="195"/>
        <v>40.544113680000009</v>
      </c>
      <c r="R437" s="52">
        <f t="shared" si="195"/>
        <v>47.989787700000001</v>
      </c>
      <c r="S437" s="52">
        <f t="shared" si="195"/>
        <v>42.904249080000007</v>
      </c>
      <c r="T437" s="52">
        <f t="shared" si="195"/>
        <v>35.622780420000012</v>
      </c>
      <c r="U437" s="52">
        <f t="shared" si="195"/>
        <v>33.896294879999999</v>
      </c>
      <c r="V437" s="52">
        <f t="shared" si="195"/>
        <v>37.026616440000005</v>
      </c>
      <c r="W437" s="52">
        <f t="shared" si="195"/>
        <v>41.823699840000003</v>
      </c>
      <c r="X437" s="52">
        <f t="shared" si="195"/>
        <v>46.306867199999999</v>
      </c>
      <c r="Y437" s="52">
        <f t="shared" si="195"/>
        <v>44.140818750000001</v>
      </c>
      <c r="Z437" s="52">
        <f t="shared" si="195"/>
        <v>34.889872499999996</v>
      </c>
      <c r="AA437" s="52">
        <f t="shared" si="195"/>
        <v>27.023942249999998</v>
      </c>
      <c r="AB437" s="52">
        <f t="shared" si="195"/>
        <v>24.93666945</v>
      </c>
      <c r="AC437" s="52">
        <f t="shared" si="195"/>
        <v>21.2191875</v>
      </c>
      <c r="AD437" s="52">
        <f t="shared" si="195"/>
        <v>17.918581589999999</v>
      </c>
      <c r="AE437" s="52">
        <f t="shared" si="195"/>
        <v>18.157916699999998</v>
      </c>
      <c r="AF437" s="52">
        <f t="shared" si="195"/>
        <v>9.9100175999999998</v>
      </c>
    </row>
    <row r="438" spans="4:32">
      <c r="D438" s="5" t="s">
        <v>184</v>
      </c>
      <c r="E438" s="5"/>
      <c r="F438" s="5"/>
      <c r="G438" s="5" t="s">
        <v>90</v>
      </c>
      <c r="H438" s="88"/>
      <c r="I438" s="53">
        <f t="shared" si="195"/>
        <v>29.73380415291053</v>
      </c>
      <c r="J438" s="53">
        <f t="shared" si="195"/>
        <v>34.07792458173224</v>
      </c>
      <c r="K438" s="53">
        <f t="shared" si="195"/>
        <v>31.730015432786338</v>
      </c>
      <c r="L438" s="53">
        <f t="shared" si="195"/>
        <v>31.240404888976986</v>
      </c>
      <c r="M438" s="53">
        <f t="shared" si="195"/>
        <v>31.181496070130727</v>
      </c>
      <c r="N438" s="53">
        <f t="shared" si="195"/>
        <v>28.255871794564399</v>
      </c>
      <c r="O438" s="53">
        <f t="shared" si="195"/>
        <v>27.758618489020176</v>
      </c>
      <c r="P438" s="53">
        <f t="shared" si="195"/>
        <v>24.582381505416016</v>
      </c>
      <c r="Q438" s="53">
        <f t="shared" si="195"/>
        <v>26.632339492685126</v>
      </c>
      <c r="R438" s="53">
        <f t="shared" si="195"/>
        <v>31.514844215668397</v>
      </c>
      <c r="S438" s="53">
        <f t="shared" si="195"/>
        <v>28.123247988960912</v>
      </c>
      <c r="T438" s="53">
        <f t="shared" si="195"/>
        <v>23.360231435085957</v>
      </c>
      <c r="U438" s="53">
        <f t="shared" si="195"/>
        <v>22.285504885424174</v>
      </c>
      <c r="V438" s="53">
        <f t="shared" si="195"/>
        <v>24.388287697642696</v>
      </c>
      <c r="W438" s="53">
        <f t="shared" si="195"/>
        <v>27.503467363080144</v>
      </c>
      <c r="X438" s="53">
        <f t="shared" si="195"/>
        <v>30.493517804223977</v>
      </c>
      <c r="Y438" s="53">
        <f t="shared" si="195"/>
        <v>29.068951587408758</v>
      </c>
      <c r="Z438" s="53">
        <f t="shared" si="195"/>
        <v>22.999001201142715</v>
      </c>
      <c r="AA438" s="53">
        <f t="shared" si="195"/>
        <v>17.795906464427162</v>
      </c>
      <c r="AB438" s="53">
        <f t="shared" si="195"/>
        <v>16.555699767612033</v>
      </c>
      <c r="AC438" s="53">
        <f t="shared" si="195"/>
        <v>14.123320950415632</v>
      </c>
      <c r="AD438" s="53">
        <f t="shared" si="195"/>
        <v>11.947839872784744</v>
      </c>
      <c r="AE438" s="53">
        <f t="shared" si="195"/>
        <v>12.107166055349953</v>
      </c>
      <c r="AF438" s="53">
        <f t="shared" si="195"/>
        <v>6.578550818768786</v>
      </c>
    </row>
    <row r="439" spans="4:32">
      <c r="D439" t="s">
        <v>283</v>
      </c>
      <c r="G439" t="s">
        <v>90</v>
      </c>
      <c r="H439" s="29"/>
      <c r="I439" s="52">
        <f>I437+I438</f>
        <v>74.984952272910533</v>
      </c>
      <c r="J439" s="52">
        <f t="shared" ref="J439:AF439" si="196">J437+J438</f>
        <v>85.726673861732252</v>
      </c>
      <c r="K439" s="52">
        <f t="shared" si="196"/>
        <v>79.958943032786351</v>
      </c>
      <c r="L439" s="52">
        <f t="shared" si="196"/>
        <v>78.823701768976989</v>
      </c>
      <c r="M439" s="52">
        <f t="shared" si="196"/>
        <v>78.699763270130745</v>
      </c>
      <c r="N439" s="52">
        <f t="shared" si="196"/>
        <v>71.221899394564403</v>
      </c>
      <c r="O439" s="52">
        <f t="shared" si="196"/>
        <v>70.101300119020181</v>
      </c>
      <c r="P439" s="52">
        <f t="shared" si="196"/>
        <v>62.023245205416025</v>
      </c>
      <c r="Q439" s="52">
        <f t="shared" si="196"/>
        <v>67.176453172685143</v>
      </c>
      <c r="R439" s="52">
        <f t="shared" si="196"/>
        <v>79.504631915668398</v>
      </c>
      <c r="S439" s="52">
        <f t="shared" si="196"/>
        <v>71.027497068960912</v>
      </c>
      <c r="T439" s="52">
        <f t="shared" si="196"/>
        <v>58.983011855085969</v>
      </c>
      <c r="U439" s="52">
        <f t="shared" si="196"/>
        <v>56.181799765424174</v>
      </c>
      <c r="V439" s="52">
        <f t="shared" si="196"/>
        <v>61.414904137642701</v>
      </c>
      <c r="W439" s="52">
        <f t="shared" si="196"/>
        <v>69.327167203080151</v>
      </c>
      <c r="X439" s="52">
        <f t="shared" si="196"/>
        <v>76.800385004223983</v>
      </c>
      <c r="Y439" s="52">
        <f t="shared" si="196"/>
        <v>73.209770337408756</v>
      </c>
      <c r="Z439" s="52">
        <f t="shared" si="196"/>
        <v>57.888873701142714</v>
      </c>
      <c r="AA439" s="52">
        <f t="shared" si="196"/>
        <v>44.81984871442716</v>
      </c>
      <c r="AB439" s="52">
        <f t="shared" si="196"/>
        <v>41.492369217612037</v>
      </c>
      <c r="AC439" s="52">
        <f t="shared" si="196"/>
        <v>35.342508450415636</v>
      </c>
      <c r="AD439" s="52">
        <f t="shared" si="196"/>
        <v>29.866421462784743</v>
      </c>
      <c r="AE439" s="52">
        <f t="shared" si="196"/>
        <v>30.265082755349951</v>
      </c>
      <c r="AF439" s="52">
        <f t="shared" si="196"/>
        <v>16.488568418768786</v>
      </c>
    </row>
    <row r="440" spans="4:32" ht="6" customHeight="1">
      <c r="D440" s="2"/>
      <c r="H440" s="29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</row>
    <row r="441" spans="4:32">
      <c r="D441" s="28" t="s">
        <v>284</v>
      </c>
      <c r="H441" s="29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</row>
    <row r="442" spans="4:32">
      <c r="D442" t="s">
        <v>179</v>
      </c>
      <c r="G442" t="s">
        <v>90</v>
      </c>
      <c r="H442" s="29"/>
      <c r="I442" s="52">
        <f t="shared" ref="I442:AF443" si="197">I172</f>
        <v>77.814047075913095</v>
      </c>
      <c r="J442" s="52">
        <f t="shared" si="197"/>
        <v>91.638561878064564</v>
      </c>
      <c r="K442" s="52">
        <f t="shared" si="197"/>
        <v>79.060273292839909</v>
      </c>
      <c r="L442" s="52">
        <f t="shared" si="197"/>
        <v>77.265253437935513</v>
      </c>
      <c r="M442" s="52">
        <f t="shared" si="197"/>
        <v>80.051806484510806</v>
      </c>
      <c r="N442" s="52">
        <f t="shared" si="197"/>
        <v>101.51884394725057</v>
      </c>
      <c r="O442" s="52">
        <f t="shared" si="197"/>
        <v>96.059092887103915</v>
      </c>
      <c r="P442" s="52">
        <f t="shared" si="197"/>
        <v>89.21213693554499</v>
      </c>
      <c r="Q442" s="52">
        <f t="shared" si="197"/>
        <v>97.909405683959434</v>
      </c>
      <c r="R442" s="52">
        <f t="shared" si="197"/>
        <v>114.68742610343054</v>
      </c>
      <c r="S442" s="52">
        <f t="shared" si="197"/>
        <v>103.481299399069</v>
      </c>
      <c r="T442" s="52">
        <f t="shared" si="197"/>
        <v>88.474250116002636</v>
      </c>
      <c r="U442" s="52">
        <f t="shared" si="197"/>
        <v>84.155330199781687</v>
      </c>
      <c r="V442" s="52">
        <f t="shared" si="197"/>
        <v>89.806219633121202</v>
      </c>
      <c r="W442" s="52">
        <f t="shared" si="197"/>
        <v>99.217148596684297</v>
      </c>
      <c r="X442" s="52">
        <f t="shared" si="197"/>
        <v>115.87419754014429</v>
      </c>
      <c r="Y442" s="52">
        <f t="shared" si="197"/>
        <v>104.86461654385468</v>
      </c>
      <c r="Z442" s="52">
        <f t="shared" si="197"/>
        <v>91.987137751652469</v>
      </c>
      <c r="AA442" s="52">
        <f t="shared" si="197"/>
        <v>74.015942316243411</v>
      </c>
      <c r="AB442" s="52">
        <f t="shared" si="197"/>
        <v>75.1808729473711</v>
      </c>
      <c r="AC442" s="52">
        <f t="shared" si="197"/>
        <v>62.697318289997924</v>
      </c>
      <c r="AD442" s="52">
        <f t="shared" si="197"/>
        <v>55.078108006565792</v>
      </c>
      <c r="AE442" s="52">
        <f t="shared" si="197"/>
        <v>55.014395865350501</v>
      </c>
      <c r="AF442" s="52">
        <f t="shared" si="197"/>
        <v>28.068749946202761</v>
      </c>
    </row>
    <row r="443" spans="4:32">
      <c r="D443" s="5" t="s">
        <v>180</v>
      </c>
      <c r="E443" s="5"/>
      <c r="F443" s="5"/>
      <c r="G443" s="5" t="s">
        <v>90</v>
      </c>
      <c r="H443" s="88"/>
      <c r="I443" s="53">
        <f t="shared" si="197"/>
        <v>12.819846725447769</v>
      </c>
      <c r="J443" s="53">
        <f t="shared" si="197"/>
        <v>17.839762972942314</v>
      </c>
      <c r="K443" s="53">
        <f t="shared" si="197"/>
        <v>14.8004824380576</v>
      </c>
      <c r="L443" s="53">
        <f t="shared" si="197"/>
        <v>12.593548672922436</v>
      </c>
      <c r="M443" s="53">
        <f t="shared" si="197"/>
        <v>11.717470566164932</v>
      </c>
      <c r="N443" s="53">
        <f t="shared" si="197"/>
        <v>19.001099728978076</v>
      </c>
      <c r="O443" s="53">
        <f t="shared" si="197"/>
        <v>15.659193828610496</v>
      </c>
      <c r="P443" s="53">
        <f t="shared" si="197"/>
        <v>14.780656644587447</v>
      </c>
      <c r="Q443" s="53">
        <f t="shared" si="197"/>
        <v>16.370476608839425</v>
      </c>
      <c r="R443" s="53">
        <f t="shared" si="197"/>
        <v>19.266315018873954</v>
      </c>
      <c r="S443" s="53">
        <f t="shared" si="197"/>
        <v>14.852453965004401</v>
      </c>
      <c r="T443" s="53">
        <f t="shared" si="197"/>
        <v>12.370921341944616</v>
      </c>
      <c r="U443" s="53">
        <f t="shared" si="197"/>
        <v>14.316976425316081</v>
      </c>
      <c r="V443" s="53">
        <f t="shared" si="197"/>
        <v>17.989297738829155</v>
      </c>
      <c r="W443" s="53">
        <f t="shared" si="197"/>
        <v>18.797303430020431</v>
      </c>
      <c r="X443" s="53">
        <f t="shared" si="197"/>
        <v>21.692117085346325</v>
      </c>
      <c r="Y443" s="53">
        <f t="shared" si="197"/>
        <v>21.746470119639486</v>
      </c>
      <c r="Z443" s="53">
        <f t="shared" si="197"/>
        <v>16.686386842930844</v>
      </c>
      <c r="AA443" s="53">
        <f t="shared" si="197"/>
        <v>11.707096735490255</v>
      </c>
      <c r="AB443" s="53">
        <f t="shared" si="197"/>
        <v>15.593962535582168</v>
      </c>
      <c r="AC443" s="53">
        <f t="shared" si="197"/>
        <v>15.089846143163316</v>
      </c>
      <c r="AD443" s="53">
        <f t="shared" si="197"/>
        <v>13.360145087595384</v>
      </c>
      <c r="AE443" s="53">
        <f t="shared" si="197"/>
        <v>13.693952720461244</v>
      </c>
      <c r="AF443" s="53">
        <f t="shared" si="197"/>
        <v>6.5289104998040477</v>
      </c>
    </row>
    <row r="444" spans="4:32">
      <c r="D444" t="s">
        <v>284</v>
      </c>
      <c r="G444" t="s">
        <v>90</v>
      </c>
      <c r="H444" s="29"/>
      <c r="I444" s="52">
        <f>I442+I443</f>
        <v>90.63389380136087</v>
      </c>
      <c r="J444" s="52">
        <f t="shared" ref="J444:AF444" si="198">J442+J443</f>
        <v>109.47832485100687</v>
      </c>
      <c r="K444" s="52">
        <f t="shared" si="198"/>
        <v>93.860755730897509</v>
      </c>
      <c r="L444" s="52">
        <f t="shared" si="198"/>
        <v>89.858802110857951</v>
      </c>
      <c r="M444" s="52">
        <f t="shared" si="198"/>
        <v>91.76927705067574</v>
      </c>
      <c r="N444" s="52">
        <f t="shared" si="198"/>
        <v>120.51994367622865</v>
      </c>
      <c r="O444" s="52">
        <f t="shared" si="198"/>
        <v>111.71828671571441</v>
      </c>
      <c r="P444" s="52">
        <f t="shared" si="198"/>
        <v>103.99279358013244</v>
      </c>
      <c r="Q444" s="52">
        <f t="shared" si="198"/>
        <v>114.27988229279886</v>
      </c>
      <c r="R444" s="52">
        <f t="shared" si="198"/>
        <v>133.95374112230451</v>
      </c>
      <c r="S444" s="52">
        <f t="shared" si="198"/>
        <v>118.3337533640734</v>
      </c>
      <c r="T444" s="52">
        <f t="shared" si="198"/>
        <v>100.84517145794726</v>
      </c>
      <c r="U444" s="52">
        <f t="shared" si="198"/>
        <v>98.472306625097772</v>
      </c>
      <c r="V444" s="52">
        <f t="shared" si="198"/>
        <v>107.79551737195035</v>
      </c>
      <c r="W444" s="52">
        <f t="shared" si="198"/>
        <v>118.01445202670473</v>
      </c>
      <c r="X444" s="52">
        <f t="shared" si="198"/>
        <v>137.56631462549063</v>
      </c>
      <c r="Y444" s="52">
        <f t="shared" si="198"/>
        <v>126.61108666349416</v>
      </c>
      <c r="Z444" s="52">
        <f t="shared" si="198"/>
        <v>108.67352459458331</v>
      </c>
      <c r="AA444" s="52">
        <f t="shared" si="198"/>
        <v>85.723039051733664</v>
      </c>
      <c r="AB444" s="52">
        <f t="shared" si="198"/>
        <v>90.774835482953264</v>
      </c>
      <c r="AC444" s="52">
        <f t="shared" si="198"/>
        <v>77.787164433161237</v>
      </c>
      <c r="AD444" s="52">
        <f t="shared" si="198"/>
        <v>68.438253094161183</v>
      </c>
      <c r="AE444" s="52">
        <f t="shared" si="198"/>
        <v>68.708348585811748</v>
      </c>
      <c r="AF444" s="52">
        <f t="shared" si="198"/>
        <v>34.597660446006806</v>
      </c>
    </row>
    <row r="445" spans="4:32" ht="6" customHeight="1">
      <c r="D445" s="2"/>
      <c r="H445" s="29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</row>
    <row r="446" spans="4:32">
      <c r="D446" s="28" t="s">
        <v>277</v>
      </c>
      <c r="H446" s="29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</row>
    <row r="447" spans="4:32">
      <c r="D447" t="s">
        <v>278</v>
      </c>
      <c r="G447" t="s">
        <v>90</v>
      </c>
      <c r="H447" s="29"/>
      <c r="I447" s="52">
        <f>I434</f>
        <v>622.10721289162598</v>
      </c>
      <c r="J447" s="52">
        <f t="shared" ref="J447:AF447" si="199">J434</f>
        <v>714.337723115882</v>
      </c>
      <c r="K447" s="52">
        <f t="shared" si="199"/>
        <v>608.83476545465078</v>
      </c>
      <c r="L447" s="52">
        <f t="shared" si="199"/>
        <v>677.04178473080185</v>
      </c>
      <c r="M447" s="52">
        <f t="shared" si="199"/>
        <v>647.71383728378885</v>
      </c>
      <c r="N447" s="52">
        <f t="shared" si="199"/>
        <v>576.87419300462125</v>
      </c>
      <c r="O447" s="52">
        <f t="shared" si="199"/>
        <v>585.39571547911805</v>
      </c>
      <c r="P447" s="52">
        <f t="shared" si="199"/>
        <v>503.27928804177265</v>
      </c>
      <c r="Q447" s="52">
        <f t="shared" si="199"/>
        <v>560.0412962697053</v>
      </c>
      <c r="R447" s="52">
        <f t="shared" si="199"/>
        <v>574.19963801829658</v>
      </c>
      <c r="S447" s="52">
        <f t="shared" si="199"/>
        <v>518.60490329268998</v>
      </c>
      <c r="T447" s="52">
        <f t="shared" si="199"/>
        <v>461.49091166285234</v>
      </c>
      <c r="U447" s="52">
        <f t="shared" si="199"/>
        <v>432.00837982381972</v>
      </c>
      <c r="V447" s="52">
        <f t="shared" si="199"/>
        <v>430.44841230933753</v>
      </c>
      <c r="W447" s="52">
        <f t="shared" si="199"/>
        <v>513.19895820550505</v>
      </c>
      <c r="X447" s="52">
        <f t="shared" si="199"/>
        <v>497.09697698363937</v>
      </c>
      <c r="Y447" s="52">
        <f t="shared" si="199"/>
        <v>476.39720147012707</v>
      </c>
      <c r="Z447" s="52">
        <f t="shared" si="199"/>
        <v>421.60682759369411</v>
      </c>
      <c r="AA447" s="52">
        <f t="shared" si="199"/>
        <v>310.54603105646339</v>
      </c>
      <c r="AB447" s="52">
        <f t="shared" si="199"/>
        <v>294.61979614453878</v>
      </c>
      <c r="AC447" s="52">
        <f t="shared" si="199"/>
        <v>281.55014769228552</v>
      </c>
      <c r="AD447" s="52">
        <f t="shared" si="199"/>
        <v>270.77418186662129</v>
      </c>
      <c r="AE447" s="52">
        <f t="shared" si="199"/>
        <v>270.93529015189745</v>
      </c>
      <c r="AF447" s="52">
        <f t="shared" si="199"/>
        <v>123.88376317083056</v>
      </c>
    </row>
    <row r="448" spans="4:32">
      <c r="D448" t="s">
        <v>282</v>
      </c>
      <c r="G448" t="s">
        <v>90</v>
      </c>
      <c r="H448" s="29"/>
      <c r="I448" s="52">
        <f>I439</f>
        <v>74.984952272910533</v>
      </c>
      <c r="J448" s="52">
        <f t="shared" ref="J448:AF448" si="200">J439</f>
        <v>85.726673861732252</v>
      </c>
      <c r="K448" s="52">
        <f t="shared" si="200"/>
        <v>79.958943032786351</v>
      </c>
      <c r="L448" s="52">
        <f t="shared" si="200"/>
        <v>78.823701768976989</v>
      </c>
      <c r="M448" s="52">
        <f t="shared" si="200"/>
        <v>78.699763270130745</v>
      </c>
      <c r="N448" s="52">
        <f t="shared" si="200"/>
        <v>71.221899394564403</v>
      </c>
      <c r="O448" s="52">
        <f t="shared" si="200"/>
        <v>70.101300119020181</v>
      </c>
      <c r="P448" s="52">
        <f t="shared" si="200"/>
        <v>62.023245205416025</v>
      </c>
      <c r="Q448" s="52">
        <f t="shared" si="200"/>
        <v>67.176453172685143</v>
      </c>
      <c r="R448" s="52">
        <f t="shared" si="200"/>
        <v>79.504631915668398</v>
      </c>
      <c r="S448" s="52">
        <f t="shared" si="200"/>
        <v>71.027497068960912</v>
      </c>
      <c r="T448" s="52">
        <f t="shared" si="200"/>
        <v>58.983011855085969</v>
      </c>
      <c r="U448" s="52">
        <f t="shared" si="200"/>
        <v>56.181799765424174</v>
      </c>
      <c r="V448" s="52">
        <f t="shared" si="200"/>
        <v>61.414904137642701</v>
      </c>
      <c r="W448" s="52">
        <f t="shared" si="200"/>
        <v>69.327167203080151</v>
      </c>
      <c r="X448" s="52">
        <f t="shared" si="200"/>
        <v>76.800385004223983</v>
      </c>
      <c r="Y448" s="52">
        <f t="shared" si="200"/>
        <v>73.209770337408756</v>
      </c>
      <c r="Z448" s="52">
        <f t="shared" si="200"/>
        <v>57.888873701142714</v>
      </c>
      <c r="AA448" s="52">
        <f t="shared" si="200"/>
        <v>44.81984871442716</v>
      </c>
      <c r="AB448" s="52">
        <f t="shared" si="200"/>
        <v>41.492369217612037</v>
      </c>
      <c r="AC448" s="52">
        <f t="shared" si="200"/>
        <v>35.342508450415636</v>
      </c>
      <c r="AD448" s="52">
        <f t="shared" si="200"/>
        <v>29.866421462784743</v>
      </c>
      <c r="AE448" s="52">
        <f t="shared" si="200"/>
        <v>30.265082755349951</v>
      </c>
      <c r="AF448" s="52">
        <f t="shared" si="200"/>
        <v>16.488568418768786</v>
      </c>
    </row>
    <row r="449" spans="4:32">
      <c r="D449" s="5" t="s">
        <v>284</v>
      </c>
      <c r="E449" s="5"/>
      <c r="F449" s="5"/>
      <c r="G449" s="5" t="s">
        <v>90</v>
      </c>
      <c r="H449" s="88"/>
      <c r="I449" s="53">
        <f>I444</f>
        <v>90.63389380136087</v>
      </c>
      <c r="J449" s="53">
        <f t="shared" ref="J449:AF449" si="201">J444</f>
        <v>109.47832485100687</v>
      </c>
      <c r="K449" s="53">
        <f t="shared" si="201"/>
        <v>93.860755730897509</v>
      </c>
      <c r="L449" s="53">
        <f t="shared" si="201"/>
        <v>89.858802110857951</v>
      </c>
      <c r="M449" s="53">
        <f t="shared" si="201"/>
        <v>91.76927705067574</v>
      </c>
      <c r="N449" s="53">
        <f t="shared" si="201"/>
        <v>120.51994367622865</v>
      </c>
      <c r="O449" s="53">
        <f t="shared" si="201"/>
        <v>111.71828671571441</v>
      </c>
      <c r="P449" s="53">
        <f t="shared" si="201"/>
        <v>103.99279358013244</v>
      </c>
      <c r="Q449" s="53">
        <f t="shared" si="201"/>
        <v>114.27988229279886</v>
      </c>
      <c r="R449" s="53">
        <f t="shared" si="201"/>
        <v>133.95374112230451</v>
      </c>
      <c r="S449" s="53">
        <f t="shared" si="201"/>
        <v>118.3337533640734</v>
      </c>
      <c r="T449" s="53">
        <f t="shared" si="201"/>
        <v>100.84517145794726</v>
      </c>
      <c r="U449" s="53">
        <f t="shared" si="201"/>
        <v>98.472306625097772</v>
      </c>
      <c r="V449" s="53">
        <f t="shared" si="201"/>
        <v>107.79551737195035</v>
      </c>
      <c r="W449" s="53">
        <f t="shared" si="201"/>
        <v>118.01445202670473</v>
      </c>
      <c r="X449" s="53">
        <f t="shared" si="201"/>
        <v>137.56631462549063</v>
      </c>
      <c r="Y449" s="53">
        <f t="shared" si="201"/>
        <v>126.61108666349416</v>
      </c>
      <c r="Z449" s="53">
        <f t="shared" si="201"/>
        <v>108.67352459458331</v>
      </c>
      <c r="AA449" s="53">
        <f t="shared" si="201"/>
        <v>85.723039051733664</v>
      </c>
      <c r="AB449" s="53">
        <f t="shared" si="201"/>
        <v>90.774835482953264</v>
      </c>
      <c r="AC449" s="53">
        <f t="shared" si="201"/>
        <v>77.787164433161237</v>
      </c>
      <c r="AD449" s="53">
        <f t="shared" si="201"/>
        <v>68.438253094161183</v>
      </c>
      <c r="AE449" s="53">
        <f t="shared" si="201"/>
        <v>68.708348585811748</v>
      </c>
      <c r="AF449" s="53">
        <f t="shared" si="201"/>
        <v>34.597660446006806</v>
      </c>
    </row>
    <row r="450" spans="4:32">
      <c r="D450" t="s">
        <v>285</v>
      </c>
      <c r="G450" t="s">
        <v>90</v>
      </c>
      <c r="H450" s="29"/>
      <c r="I450" s="52">
        <f>I447+I448-I449</f>
        <v>606.45827136317564</v>
      </c>
      <c r="J450" s="52">
        <f t="shared" ref="J450:AF450" si="202">J447+J448-J449</f>
        <v>690.58607212660741</v>
      </c>
      <c r="K450" s="52">
        <f t="shared" si="202"/>
        <v>594.93295275653963</v>
      </c>
      <c r="L450" s="52">
        <f t="shared" si="202"/>
        <v>666.00668438892092</v>
      </c>
      <c r="M450" s="52">
        <f t="shared" si="202"/>
        <v>634.64432350324387</v>
      </c>
      <c r="N450" s="52">
        <f t="shared" si="202"/>
        <v>527.57614872295699</v>
      </c>
      <c r="O450" s="52">
        <f t="shared" si="202"/>
        <v>543.77872888242382</v>
      </c>
      <c r="P450" s="52">
        <f t="shared" si="202"/>
        <v>461.30973966705619</v>
      </c>
      <c r="Q450" s="52">
        <f t="shared" si="202"/>
        <v>512.93786714959151</v>
      </c>
      <c r="R450" s="52">
        <f t="shared" si="202"/>
        <v>519.75052881166039</v>
      </c>
      <c r="S450" s="52">
        <f t="shared" si="202"/>
        <v>471.29864699757746</v>
      </c>
      <c r="T450" s="52">
        <f t="shared" si="202"/>
        <v>419.62875205999103</v>
      </c>
      <c r="U450" s="52">
        <f t="shared" si="202"/>
        <v>389.71787296414612</v>
      </c>
      <c r="V450" s="52">
        <f t="shared" si="202"/>
        <v>384.06779907502982</v>
      </c>
      <c r="W450" s="52">
        <f t="shared" si="202"/>
        <v>464.51167338188054</v>
      </c>
      <c r="X450" s="52">
        <f t="shared" si="202"/>
        <v>436.33104736237277</v>
      </c>
      <c r="Y450" s="52">
        <f t="shared" si="202"/>
        <v>422.99588514404167</v>
      </c>
      <c r="Z450" s="52">
        <f t="shared" si="202"/>
        <v>370.82217670025352</v>
      </c>
      <c r="AA450" s="52">
        <f t="shared" si="202"/>
        <v>269.64284071915688</v>
      </c>
      <c r="AB450" s="52">
        <f t="shared" si="202"/>
        <v>245.33732987919751</v>
      </c>
      <c r="AC450" s="52">
        <f t="shared" si="202"/>
        <v>239.10549170953993</v>
      </c>
      <c r="AD450" s="52">
        <f t="shared" si="202"/>
        <v>232.20235023524484</v>
      </c>
      <c r="AE450" s="52">
        <f t="shared" si="202"/>
        <v>232.49202432143568</v>
      </c>
      <c r="AF450" s="52">
        <f t="shared" si="202"/>
        <v>105.77467114359254</v>
      </c>
    </row>
    <row r="451" spans="4:32" ht="6" customHeight="1">
      <c r="D451" s="2"/>
      <c r="H451" s="29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</row>
    <row r="452" spans="4:32">
      <c r="D452" s="28" t="s">
        <v>286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spans="4:32">
      <c r="D453" t="s">
        <v>287</v>
      </c>
      <c r="G453" t="s">
        <v>288</v>
      </c>
      <c r="H453" s="29"/>
      <c r="I453" s="52">
        <f t="shared" ref="I453:AF453" si="203">I129*2204.62/1000</f>
        <v>320.89976884141134</v>
      </c>
      <c r="J453" s="52">
        <f t="shared" si="203"/>
        <v>366.26853446785003</v>
      </c>
      <c r="K453" s="52">
        <f t="shared" si="203"/>
        <v>342.0167744090636</v>
      </c>
      <c r="L453" s="52">
        <f t="shared" si="203"/>
        <v>337.43826629573363</v>
      </c>
      <c r="M453" s="52">
        <f t="shared" si="203"/>
        <v>336.97710652085925</v>
      </c>
      <c r="N453" s="52">
        <f t="shared" si="203"/>
        <v>304.69477345216359</v>
      </c>
      <c r="O453" s="52">
        <f t="shared" si="203"/>
        <v>300.27429826000343</v>
      </c>
      <c r="P453" s="52">
        <f t="shared" si="203"/>
        <v>265.5129207924457</v>
      </c>
      <c r="Q453" s="52">
        <f t="shared" si="203"/>
        <v>287.51970388219848</v>
      </c>
      <c r="R453" s="52">
        <f t="shared" si="203"/>
        <v>340.32090719200966</v>
      </c>
      <c r="S453" s="52">
        <f t="shared" si="203"/>
        <v>304.25666936837797</v>
      </c>
      <c r="T453" s="52">
        <f t="shared" si="203"/>
        <v>252.61993291202165</v>
      </c>
      <c r="U453" s="52">
        <f t="shared" si="203"/>
        <v>240.37651293901166</v>
      </c>
      <c r="V453" s="52">
        <f t="shared" si="203"/>
        <v>262.57527488731489</v>
      </c>
      <c r="W453" s="52">
        <f t="shared" si="203"/>
        <v>296.59392453772222</v>
      </c>
      <c r="X453" s="52">
        <f t="shared" si="203"/>
        <v>328.38642990545918</v>
      </c>
      <c r="Y453" s="52">
        <f t="shared" si="203"/>
        <v>313.02583739494361</v>
      </c>
      <c r="Z453" s="52">
        <f t="shared" si="203"/>
        <v>247.42249612022249</v>
      </c>
      <c r="AA453" s="52">
        <f t="shared" si="203"/>
        <v>191.64103412827723</v>
      </c>
      <c r="AB453" s="52">
        <f t="shared" si="203"/>
        <v>176.83908131919648</v>
      </c>
      <c r="AC453" s="52">
        <f t="shared" si="203"/>
        <v>150.47645522043749</v>
      </c>
      <c r="AD453" s="52">
        <f t="shared" si="203"/>
        <v>127.07011709290896</v>
      </c>
      <c r="AE453" s="52">
        <f t="shared" si="203"/>
        <v>128.76736864707868</v>
      </c>
      <c r="AF453" s="52">
        <f t="shared" si="203"/>
        <v>70.277163987553593</v>
      </c>
    </row>
    <row r="454" spans="4:32">
      <c r="D454" s="5" t="s">
        <v>285</v>
      </c>
      <c r="E454" s="5"/>
      <c r="F454" s="5"/>
      <c r="G454" s="5" t="s">
        <v>90</v>
      </c>
      <c r="H454" s="88"/>
      <c r="I454" s="53">
        <f>I450</f>
        <v>606.45827136317564</v>
      </c>
      <c r="J454" s="53">
        <f t="shared" ref="J454:AF454" si="204">J450</f>
        <v>690.58607212660741</v>
      </c>
      <c r="K454" s="53">
        <f t="shared" si="204"/>
        <v>594.93295275653963</v>
      </c>
      <c r="L454" s="53">
        <f t="shared" si="204"/>
        <v>666.00668438892092</v>
      </c>
      <c r="M454" s="53">
        <f t="shared" si="204"/>
        <v>634.64432350324387</v>
      </c>
      <c r="N454" s="53">
        <f t="shared" si="204"/>
        <v>527.57614872295699</v>
      </c>
      <c r="O454" s="53">
        <f t="shared" si="204"/>
        <v>543.77872888242382</v>
      </c>
      <c r="P454" s="53">
        <f t="shared" si="204"/>
        <v>461.30973966705619</v>
      </c>
      <c r="Q454" s="53">
        <f t="shared" si="204"/>
        <v>512.93786714959151</v>
      </c>
      <c r="R454" s="53">
        <f t="shared" si="204"/>
        <v>519.75052881166039</v>
      </c>
      <c r="S454" s="53">
        <f t="shared" si="204"/>
        <v>471.29864699757746</v>
      </c>
      <c r="T454" s="53">
        <f t="shared" si="204"/>
        <v>419.62875205999103</v>
      </c>
      <c r="U454" s="53">
        <f t="shared" si="204"/>
        <v>389.71787296414612</v>
      </c>
      <c r="V454" s="53">
        <f t="shared" si="204"/>
        <v>384.06779907502982</v>
      </c>
      <c r="W454" s="53">
        <f t="shared" si="204"/>
        <v>464.51167338188054</v>
      </c>
      <c r="X454" s="53">
        <f t="shared" si="204"/>
        <v>436.33104736237277</v>
      </c>
      <c r="Y454" s="53">
        <f t="shared" si="204"/>
        <v>422.99588514404167</v>
      </c>
      <c r="Z454" s="53">
        <f t="shared" si="204"/>
        <v>370.82217670025352</v>
      </c>
      <c r="AA454" s="53">
        <f t="shared" si="204"/>
        <v>269.64284071915688</v>
      </c>
      <c r="AB454" s="53">
        <f t="shared" si="204"/>
        <v>245.33732987919751</v>
      </c>
      <c r="AC454" s="53">
        <f t="shared" si="204"/>
        <v>239.10549170953993</v>
      </c>
      <c r="AD454" s="53">
        <f t="shared" si="204"/>
        <v>232.20235023524484</v>
      </c>
      <c r="AE454" s="53">
        <f t="shared" si="204"/>
        <v>232.49202432143568</v>
      </c>
      <c r="AF454" s="53">
        <f t="shared" si="204"/>
        <v>105.77467114359254</v>
      </c>
    </row>
    <row r="455" spans="4:32">
      <c r="D455" t="s">
        <v>285</v>
      </c>
      <c r="G455" t="s">
        <v>289</v>
      </c>
      <c r="H455" s="29"/>
      <c r="I455" s="40">
        <f t="shared" ref="I455:AF455" si="205">I454/I$453</f>
        <v>1.8898682088577237</v>
      </c>
      <c r="J455" s="40">
        <f t="shared" si="205"/>
        <v>1.8854638254142058</v>
      </c>
      <c r="K455" s="40">
        <f t="shared" si="205"/>
        <v>1.7394847190886016</v>
      </c>
      <c r="L455" s="40">
        <f t="shared" si="205"/>
        <v>1.9737141602227983</v>
      </c>
      <c r="M455" s="40">
        <f t="shared" si="205"/>
        <v>1.8833455187970127</v>
      </c>
      <c r="N455" s="40">
        <f t="shared" si="205"/>
        <v>1.7314906414231135</v>
      </c>
      <c r="O455" s="40">
        <f t="shared" si="205"/>
        <v>1.8109399706649991</v>
      </c>
      <c r="P455" s="40">
        <f t="shared" si="205"/>
        <v>1.7374285902555642</v>
      </c>
      <c r="Q455" s="40">
        <f t="shared" si="205"/>
        <v>1.7840094443049042</v>
      </c>
      <c r="R455" s="40">
        <f t="shared" si="205"/>
        <v>1.5272365518184758</v>
      </c>
      <c r="S455" s="40">
        <f t="shared" si="205"/>
        <v>1.549016650895346</v>
      </c>
      <c r="T455" s="40">
        <f t="shared" si="205"/>
        <v>1.6611070520952615</v>
      </c>
      <c r="U455" s="40">
        <f t="shared" si="205"/>
        <v>1.6212809987098256</v>
      </c>
      <c r="V455" s="40">
        <f t="shared" si="205"/>
        <v>1.4626959801902668</v>
      </c>
      <c r="W455" s="40">
        <f t="shared" si="205"/>
        <v>1.566153703606298</v>
      </c>
      <c r="X455" s="40">
        <f t="shared" si="205"/>
        <v>1.3287121745194839</v>
      </c>
      <c r="Y455" s="40">
        <f t="shared" si="205"/>
        <v>1.3513130055470444</v>
      </c>
      <c r="Z455" s="40">
        <f t="shared" si="205"/>
        <v>1.4987407471633911</v>
      </c>
      <c r="AA455" s="40">
        <f t="shared" si="205"/>
        <v>1.4070203802942756</v>
      </c>
      <c r="AB455" s="40">
        <f t="shared" si="205"/>
        <v>1.3873479100265227</v>
      </c>
      <c r="AC455" s="40">
        <f t="shared" si="205"/>
        <v>1.5889893961102892</v>
      </c>
      <c r="AD455" s="40">
        <f t="shared" si="205"/>
        <v>1.8273560735406191</v>
      </c>
      <c r="AE455" s="40">
        <f t="shared" si="205"/>
        <v>1.8055197272737791</v>
      </c>
      <c r="AF455" s="40">
        <f t="shared" si="205"/>
        <v>1.5051072801162797</v>
      </c>
    </row>
    <row r="456" spans="4:32" ht="6" customHeight="1">
      <c r="D456" s="2"/>
      <c r="H456" s="29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</row>
    <row r="457" spans="4:32">
      <c r="D457" s="61" t="s">
        <v>290</v>
      </c>
      <c r="E457" s="61"/>
      <c r="F457" s="61"/>
      <c r="G457" s="61"/>
      <c r="H457" s="62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3"/>
    </row>
    <row r="458" spans="4:32" ht="6" customHeight="1">
      <c r="D458" s="2"/>
      <c r="H458" s="29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</row>
    <row r="459" spans="4:32">
      <c r="D459" s="28" t="s">
        <v>291</v>
      </c>
      <c r="H459" s="29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</row>
    <row r="460" spans="4:32">
      <c r="D460" t="s">
        <v>157</v>
      </c>
      <c r="G460" t="s">
        <v>90</v>
      </c>
      <c r="H460" s="89">
        <f>SUM(I460:AF460)</f>
        <v>25123.370900872378</v>
      </c>
      <c r="I460" s="90">
        <f t="shared" ref="I460:AF460" si="206">I186</f>
        <v>1213.2359386856886</v>
      </c>
      <c r="J460" s="90">
        <f t="shared" si="206"/>
        <v>1376.0025933674908</v>
      </c>
      <c r="K460" s="90">
        <f t="shared" si="206"/>
        <v>1225.3135675722569</v>
      </c>
      <c r="L460" s="90">
        <f t="shared" si="206"/>
        <v>1320.9589461102878</v>
      </c>
      <c r="M460" s="90">
        <f t="shared" si="206"/>
        <v>1321.2031530248112</v>
      </c>
      <c r="N460" s="90">
        <f t="shared" si="206"/>
        <v>1232.1127671269787</v>
      </c>
      <c r="O460" s="90">
        <f t="shared" si="206"/>
        <v>1207.2715754494893</v>
      </c>
      <c r="P460" s="90">
        <f t="shared" si="206"/>
        <v>1072.6816549880982</v>
      </c>
      <c r="Q460" s="90">
        <f t="shared" si="206"/>
        <v>1163.2451174296502</v>
      </c>
      <c r="R460" s="90">
        <f t="shared" si="206"/>
        <v>1375.5632686589975</v>
      </c>
      <c r="S460" s="90">
        <f t="shared" si="206"/>
        <v>1228.4202740230753</v>
      </c>
      <c r="T460" s="90">
        <f t="shared" si="206"/>
        <v>1022.5241268139469</v>
      </c>
      <c r="U460" s="90">
        <f t="shared" si="206"/>
        <v>975.42393513988657</v>
      </c>
      <c r="V460" s="90">
        <f t="shared" si="206"/>
        <v>1065.6888785945982</v>
      </c>
      <c r="W460" s="90">
        <f t="shared" si="206"/>
        <v>1200.0547883583292</v>
      </c>
      <c r="X460" s="90">
        <f t="shared" si="206"/>
        <v>1335.5508551190749</v>
      </c>
      <c r="Y460" s="90">
        <f t="shared" si="206"/>
        <v>1268.5569453734981</v>
      </c>
      <c r="Z460" s="90">
        <f t="shared" si="206"/>
        <v>1011.2703456704895</v>
      </c>
      <c r="AA460" s="90">
        <f t="shared" si="206"/>
        <v>784.84715137087255</v>
      </c>
      <c r="AB460" s="90">
        <f t="shared" si="206"/>
        <v>735.76575112426019</v>
      </c>
      <c r="AC460" s="90">
        <f t="shared" si="206"/>
        <v>626.589125084545</v>
      </c>
      <c r="AD460" s="90">
        <f t="shared" si="206"/>
        <v>531.85369409419798</v>
      </c>
      <c r="AE460" s="90">
        <f t="shared" si="206"/>
        <v>538.31380096363762</v>
      </c>
      <c r="AF460" s="90">
        <f t="shared" si="206"/>
        <v>290.92264672821273</v>
      </c>
    </row>
    <row r="461" spans="4:32">
      <c r="D461" t="s">
        <v>252</v>
      </c>
      <c r="G461" t="s">
        <v>90</v>
      </c>
      <c r="H461" s="89">
        <f t="shared" ref="H461:H464" si="207">SUM(I461:AF461)</f>
        <v>8247.2493399999985</v>
      </c>
      <c r="I461" s="90">
        <f t="shared" ref="I461:AF461" si="208">I335</f>
        <v>518.52584000000002</v>
      </c>
      <c r="J461" s="90">
        <f t="shared" si="208"/>
        <v>495.21938999999998</v>
      </c>
      <c r="K461" s="90">
        <f t="shared" si="208"/>
        <v>505.84654999999998</v>
      </c>
      <c r="L461" s="90">
        <f t="shared" si="208"/>
        <v>471.5659</v>
      </c>
      <c r="M461" s="90">
        <f t="shared" si="208"/>
        <v>436.31080000000003</v>
      </c>
      <c r="N461" s="90">
        <f t="shared" si="208"/>
        <v>374.94138837370241</v>
      </c>
      <c r="O461" s="90">
        <f t="shared" si="208"/>
        <v>399.43924058823535</v>
      </c>
      <c r="P461" s="90">
        <f t="shared" si="208"/>
        <v>417.44498280276815</v>
      </c>
      <c r="Q461" s="90">
        <f t="shared" si="208"/>
        <v>386.80406003460212</v>
      </c>
      <c r="R461" s="90">
        <f t="shared" si="208"/>
        <v>343.525148200692</v>
      </c>
      <c r="S461" s="90">
        <f t="shared" si="208"/>
        <v>416.38125000000002</v>
      </c>
      <c r="T461" s="90">
        <f t="shared" si="208"/>
        <v>381.16363999999999</v>
      </c>
      <c r="U461" s="90">
        <f t="shared" si="208"/>
        <v>354.85942</v>
      </c>
      <c r="V461" s="90">
        <f t="shared" si="208"/>
        <v>341.17861999999997</v>
      </c>
      <c r="W461" s="90">
        <f t="shared" si="208"/>
        <v>326.09670999999997</v>
      </c>
      <c r="X461" s="90">
        <f t="shared" si="208"/>
        <v>263.66645</v>
      </c>
      <c r="Y461" s="90">
        <f t="shared" si="208"/>
        <v>257.97095000000002</v>
      </c>
      <c r="Z461" s="90">
        <f t="shared" si="208"/>
        <v>263.70254999999997</v>
      </c>
      <c r="AA461" s="90">
        <f t="shared" si="208"/>
        <v>246.47284999999999</v>
      </c>
      <c r="AB461" s="90">
        <f t="shared" si="208"/>
        <v>235.79549999999998</v>
      </c>
      <c r="AC461" s="90">
        <f t="shared" si="208"/>
        <v>235.79549999999998</v>
      </c>
      <c r="AD461" s="90">
        <f t="shared" si="208"/>
        <v>236.44335000000001</v>
      </c>
      <c r="AE461" s="90">
        <f t="shared" si="208"/>
        <v>235.79549999999998</v>
      </c>
      <c r="AF461" s="90">
        <f t="shared" si="208"/>
        <v>102.30375000000001</v>
      </c>
    </row>
    <row r="462" spans="4:32">
      <c r="D462" t="s">
        <v>253</v>
      </c>
      <c r="G462" t="s">
        <v>90</v>
      </c>
      <c r="H462" s="89">
        <f t="shared" si="207"/>
        <v>5400.3220000000019</v>
      </c>
      <c r="I462" s="90">
        <f t="shared" ref="I462:AF462" si="209">I351</f>
        <v>166.51860142401077</v>
      </c>
      <c r="J462" s="90">
        <f t="shared" si="209"/>
        <v>212.33880464623732</v>
      </c>
      <c r="K462" s="90">
        <f t="shared" si="209"/>
        <v>212.74071481663839</v>
      </c>
      <c r="L462" s="90">
        <f t="shared" si="209"/>
        <v>221.87577755735353</v>
      </c>
      <c r="M462" s="90">
        <f t="shared" si="209"/>
        <v>234.20159538461343</v>
      </c>
      <c r="N462" s="90">
        <f t="shared" si="209"/>
        <v>226.88707081507474</v>
      </c>
      <c r="O462" s="90">
        <f t="shared" si="209"/>
        <v>236.65815411385609</v>
      </c>
      <c r="P462" s="90">
        <f t="shared" si="209"/>
        <v>218.92514746754884</v>
      </c>
      <c r="Q462" s="90">
        <f t="shared" si="209"/>
        <v>247.56446984578969</v>
      </c>
      <c r="R462" s="90">
        <f t="shared" si="209"/>
        <v>307.99777499478529</v>
      </c>
      <c r="S462" s="90">
        <f t="shared" si="209"/>
        <v>279.81491027237718</v>
      </c>
      <c r="T462" s="90">
        <f t="shared" si="209"/>
        <v>236.43012712885246</v>
      </c>
      <c r="U462" s="90">
        <f t="shared" si="209"/>
        <v>229.26567412018201</v>
      </c>
      <c r="V462" s="90">
        <f t="shared" si="209"/>
        <v>255.62097908340692</v>
      </c>
      <c r="W462" s="90">
        <f t="shared" si="209"/>
        <v>295.34974765603175</v>
      </c>
      <c r="X462" s="90">
        <f t="shared" si="209"/>
        <v>330.47474502720871</v>
      </c>
      <c r="Y462" s="90">
        <f t="shared" si="209"/>
        <v>319.09209611923251</v>
      </c>
      <c r="Z462" s="90">
        <f t="shared" si="209"/>
        <v>256.36189242773719</v>
      </c>
      <c r="AA462" s="90">
        <f t="shared" si="209"/>
        <v>202.71502403763253</v>
      </c>
      <c r="AB462" s="90">
        <f t="shared" si="209"/>
        <v>192.01030396848006</v>
      </c>
      <c r="AC462" s="90">
        <f t="shared" si="209"/>
        <v>163.38599867991491</v>
      </c>
      <c r="AD462" s="90">
        <f t="shared" si="209"/>
        <v>137.97160461538343</v>
      </c>
      <c r="AE462" s="90">
        <f t="shared" si="209"/>
        <v>139.8144652794177</v>
      </c>
      <c r="AF462" s="90">
        <f t="shared" si="209"/>
        <v>76.306320518235339</v>
      </c>
    </row>
    <row r="463" spans="4:32">
      <c r="D463" t="s">
        <v>254</v>
      </c>
      <c r="G463" t="s">
        <v>90</v>
      </c>
      <c r="H463" s="89">
        <f t="shared" si="207"/>
        <v>109.31703892159216</v>
      </c>
      <c r="I463" s="90">
        <f>I345</f>
        <v>2.5841480539203916</v>
      </c>
      <c r="J463" s="90">
        <f t="shared" ref="J463:AF463" si="210">J345</f>
        <v>2.9472271722509946</v>
      </c>
      <c r="K463" s="90">
        <f t="shared" si="210"/>
        <v>2.860716815228959</v>
      </c>
      <c r="L463" s="90">
        <f t="shared" si="210"/>
        <v>3.0037526559904126</v>
      </c>
      <c r="M463" s="90">
        <f t="shared" si="210"/>
        <v>3.1539402887899248</v>
      </c>
      <c r="N463" s="90">
        <f t="shared" si="210"/>
        <v>3.311637303229424</v>
      </c>
      <c r="O463" s="90">
        <f t="shared" si="210"/>
        <v>3.4772191683908922</v>
      </c>
      <c r="P463" s="90">
        <f t="shared" si="210"/>
        <v>3.6510801268104549</v>
      </c>
      <c r="Q463" s="90">
        <f t="shared" si="210"/>
        <v>3.8336341331509569</v>
      </c>
      <c r="R463" s="90">
        <f t="shared" si="210"/>
        <v>4.0253158398085365</v>
      </c>
      <c r="S463" s="90">
        <f t="shared" si="210"/>
        <v>4.2265816317989193</v>
      </c>
      <c r="T463" s="90">
        <f t="shared" si="210"/>
        <v>4.437910713388904</v>
      </c>
      <c r="U463" s="90">
        <f t="shared" si="210"/>
        <v>4.2598062490583146</v>
      </c>
      <c r="V463" s="90">
        <f t="shared" si="210"/>
        <v>4.4727965615112595</v>
      </c>
      <c r="W463" s="90">
        <f t="shared" si="210"/>
        <v>4.6964363895868075</v>
      </c>
      <c r="X463" s="90">
        <f t="shared" si="210"/>
        <v>4.9312582090661579</v>
      </c>
      <c r="Y463" s="90">
        <f t="shared" si="210"/>
        <v>5.1778211195194359</v>
      </c>
      <c r="Z463" s="90">
        <f t="shared" si="210"/>
        <v>5.4367121754954582</v>
      </c>
      <c r="AA463" s="90">
        <f t="shared" si="210"/>
        <v>5.7085477842701806</v>
      </c>
      <c r="AB463" s="90">
        <f t="shared" si="210"/>
        <v>5.9939751734837188</v>
      </c>
      <c r="AC463" s="90">
        <f t="shared" si="210"/>
        <v>6.2936739321579012</v>
      </c>
      <c r="AD463" s="90">
        <f t="shared" si="210"/>
        <v>6.6083576287657877</v>
      </c>
      <c r="AE463" s="90">
        <f t="shared" si="210"/>
        <v>6.9387755102040671</v>
      </c>
      <c r="AF463" s="90">
        <f t="shared" si="210"/>
        <v>7.285714285714306</v>
      </c>
    </row>
    <row r="464" spans="4:32">
      <c r="D464" t="s">
        <v>291</v>
      </c>
      <c r="G464" t="s">
        <v>90</v>
      </c>
      <c r="H464" s="89">
        <f t="shared" si="207"/>
        <v>11475.799560872372</v>
      </c>
      <c r="I464" s="90">
        <f>I460-I461-I462</f>
        <v>528.1914972616778</v>
      </c>
      <c r="J464" s="90">
        <f t="shared" ref="J464:AF464" si="211">J460-J461-J462</f>
        <v>668.44439872125349</v>
      </c>
      <c r="K464" s="90">
        <f t="shared" si="211"/>
        <v>506.72630275561858</v>
      </c>
      <c r="L464" s="90">
        <f t="shared" si="211"/>
        <v>627.51726855293418</v>
      </c>
      <c r="M464" s="90">
        <f t="shared" si="211"/>
        <v>650.69075764019772</v>
      </c>
      <c r="N464" s="90">
        <f t="shared" si="211"/>
        <v>630.28430793820155</v>
      </c>
      <c r="O464" s="90">
        <f t="shared" si="211"/>
        <v>571.17418074739783</v>
      </c>
      <c r="P464" s="90">
        <f t="shared" si="211"/>
        <v>436.31152471778114</v>
      </c>
      <c r="Q464" s="90">
        <f t="shared" si="211"/>
        <v>528.87658754925837</v>
      </c>
      <c r="R464" s="90">
        <f t="shared" si="211"/>
        <v>724.04034546352023</v>
      </c>
      <c r="S464" s="90">
        <f t="shared" si="211"/>
        <v>532.22411375069805</v>
      </c>
      <c r="T464" s="90">
        <f t="shared" si="211"/>
        <v>404.9303596850944</v>
      </c>
      <c r="U464" s="90">
        <f t="shared" si="211"/>
        <v>391.29884101970458</v>
      </c>
      <c r="V464" s="90">
        <f t="shared" si="211"/>
        <v>468.88927951119138</v>
      </c>
      <c r="W464" s="90">
        <f t="shared" si="211"/>
        <v>578.60833070229751</v>
      </c>
      <c r="X464" s="90">
        <f t="shared" si="211"/>
        <v>741.40966009186627</v>
      </c>
      <c r="Y464" s="90">
        <f t="shared" si="211"/>
        <v>691.49389925426567</v>
      </c>
      <c r="Z464" s="90">
        <f t="shared" si="211"/>
        <v>491.20590324275236</v>
      </c>
      <c r="AA464" s="90">
        <f t="shared" si="211"/>
        <v>335.65927733324003</v>
      </c>
      <c r="AB464" s="90">
        <f t="shared" si="211"/>
        <v>307.95994715578018</v>
      </c>
      <c r="AC464" s="90">
        <f t="shared" si="211"/>
        <v>227.40762640463015</v>
      </c>
      <c r="AD464" s="90">
        <f t="shared" si="211"/>
        <v>157.43873947881454</v>
      </c>
      <c r="AE464" s="90">
        <f t="shared" si="211"/>
        <v>162.70383568421997</v>
      </c>
      <c r="AF464" s="90">
        <f t="shared" si="211"/>
        <v>112.31257620997738</v>
      </c>
    </row>
    <row r="465" spans="4:32" ht="6" customHeight="1">
      <c r="D465" s="2"/>
      <c r="H465" s="29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</row>
    <row r="466" spans="4:32">
      <c r="D466" s="28" t="s">
        <v>292</v>
      </c>
      <c r="H466" s="29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  <c r="AD466" s="67"/>
      <c r="AE466" s="67"/>
      <c r="AF466" s="67"/>
    </row>
    <row r="467" spans="4:32">
      <c r="D467" t="s">
        <v>291</v>
      </c>
      <c r="G467" t="s">
        <v>90</v>
      </c>
      <c r="H467" s="89">
        <f>SUM(I467:AF467)</f>
        <v>11475.799560872372</v>
      </c>
      <c r="I467" s="90">
        <f>I464</f>
        <v>528.1914972616778</v>
      </c>
      <c r="J467" s="90">
        <f t="shared" ref="J467:AF467" si="212">J464</f>
        <v>668.44439872125349</v>
      </c>
      <c r="K467" s="90">
        <f t="shared" si="212"/>
        <v>506.72630275561858</v>
      </c>
      <c r="L467" s="90">
        <f t="shared" si="212"/>
        <v>627.51726855293418</v>
      </c>
      <c r="M467" s="90">
        <f t="shared" si="212"/>
        <v>650.69075764019772</v>
      </c>
      <c r="N467" s="90">
        <f t="shared" si="212"/>
        <v>630.28430793820155</v>
      </c>
      <c r="O467" s="90">
        <f t="shared" si="212"/>
        <v>571.17418074739783</v>
      </c>
      <c r="P467" s="90">
        <f t="shared" si="212"/>
        <v>436.31152471778114</v>
      </c>
      <c r="Q467" s="90">
        <f t="shared" si="212"/>
        <v>528.87658754925837</v>
      </c>
      <c r="R467" s="90">
        <f t="shared" si="212"/>
        <v>724.04034546352023</v>
      </c>
      <c r="S467" s="90">
        <f t="shared" si="212"/>
        <v>532.22411375069805</v>
      </c>
      <c r="T467" s="90">
        <f t="shared" si="212"/>
        <v>404.9303596850944</v>
      </c>
      <c r="U467" s="90">
        <f t="shared" si="212"/>
        <v>391.29884101970458</v>
      </c>
      <c r="V467" s="90">
        <f t="shared" si="212"/>
        <v>468.88927951119138</v>
      </c>
      <c r="W467" s="90">
        <f t="shared" si="212"/>
        <v>578.60833070229751</v>
      </c>
      <c r="X467" s="90">
        <f t="shared" si="212"/>
        <v>741.40966009186627</v>
      </c>
      <c r="Y467" s="90">
        <f t="shared" si="212"/>
        <v>691.49389925426567</v>
      </c>
      <c r="Z467" s="90">
        <f t="shared" si="212"/>
        <v>491.20590324275236</v>
      </c>
      <c r="AA467" s="90">
        <f t="shared" si="212"/>
        <v>335.65927733324003</v>
      </c>
      <c r="AB467" s="90">
        <f t="shared" si="212"/>
        <v>307.95994715578018</v>
      </c>
      <c r="AC467" s="90">
        <f t="shared" si="212"/>
        <v>227.40762640463015</v>
      </c>
      <c r="AD467" s="90">
        <f t="shared" si="212"/>
        <v>157.43873947881454</v>
      </c>
      <c r="AE467" s="90">
        <f t="shared" si="212"/>
        <v>162.70383568421997</v>
      </c>
      <c r="AF467" s="90">
        <f t="shared" si="212"/>
        <v>112.31257620997738</v>
      </c>
    </row>
    <row r="468" spans="4:32">
      <c r="D468" t="s">
        <v>293</v>
      </c>
      <c r="G468" t="s">
        <v>50</v>
      </c>
      <c r="H468" s="29"/>
      <c r="I468" s="91">
        <f t="shared" ref="I468:AF468" si="213">I411</f>
        <v>0.41332229788685193</v>
      </c>
      <c r="J468" s="91">
        <f t="shared" si="213"/>
        <v>0.46500000000000002</v>
      </c>
      <c r="K468" s="91">
        <f t="shared" si="213"/>
        <v>0.41463992234730196</v>
      </c>
      <c r="L468" s="91">
        <f t="shared" si="213"/>
        <v>0.46500000000000002</v>
      </c>
      <c r="M468" s="91">
        <f t="shared" si="213"/>
        <v>0.46500000000000002</v>
      </c>
      <c r="N468" s="91">
        <f t="shared" si="213"/>
        <v>0.46500000000000002</v>
      </c>
      <c r="O468" s="91">
        <f t="shared" si="213"/>
        <v>0.46500000000000002</v>
      </c>
      <c r="P468" s="91">
        <f t="shared" si="213"/>
        <v>0.41436289956070571</v>
      </c>
      <c r="Q468" s="91">
        <f t="shared" si="213"/>
        <v>0.46500000000000002</v>
      </c>
      <c r="R468" s="91">
        <f t="shared" si="213"/>
        <v>0.46500000000000002</v>
      </c>
      <c r="S468" s="91">
        <f t="shared" si="213"/>
        <v>0.4128769814992328</v>
      </c>
      <c r="T468" s="91">
        <f t="shared" si="213"/>
        <v>0.415041698944281</v>
      </c>
      <c r="U468" s="91">
        <f t="shared" si="213"/>
        <v>0.41465629227639472</v>
      </c>
      <c r="V468" s="91">
        <f t="shared" si="213"/>
        <v>0.41244588380416269</v>
      </c>
      <c r="W468" s="91">
        <f t="shared" si="213"/>
        <v>0.46500000000000002</v>
      </c>
      <c r="X468" s="91">
        <f t="shared" si="213"/>
        <v>0.46500000000000002</v>
      </c>
      <c r="Y468" s="91">
        <f t="shared" si="213"/>
        <v>0.46500000000000002</v>
      </c>
      <c r="Z468" s="91">
        <f t="shared" si="213"/>
        <v>0.46500000000000002</v>
      </c>
      <c r="AA468" s="91">
        <f t="shared" si="213"/>
        <v>0.41305843986249907</v>
      </c>
      <c r="AB468" s="91">
        <f t="shared" si="213"/>
        <v>0.41324934654817236</v>
      </c>
      <c r="AC468" s="91">
        <f t="shared" si="213"/>
        <v>0.41701736007814844</v>
      </c>
      <c r="AD468" s="91">
        <f t="shared" si="213"/>
        <v>0.42344607092226133</v>
      </c>
      <c r="AE468" s="91">
        <f t="shared" si="213"/>
        <v>0.42281907078248476</v>
      </c>
      <c r="AF468" s="91">
        <f t="shared" si="213"/>
        <v>0.41656466506937817</v>
      </c>
    </row>
    <row r="469" spans="4:32">
      <c r="D469" t="s">
        <v>294</v>
      </c>
      <c r="G469" t="s">
        <v>90</v>
      </c>
      <c r="H469" s="89">
        <f>SUM(I469:AF469)</f>
        <v>5400.3220000000019</v>
      </c>
      <c r="I469" s="90">
        <f t="shared" ref="I469:AF469" si="214">I462</f>
        <v>166.51860142401077</v>
      </c>
      <c r="J469" s="90">
        <f t="shared" si="214"/>
        <v>212.33880464623732</v>
      </c>
      <c r="K469" s="90">
        <f t="shared" si="214"/>
        <v>212.74071481663839</v>
      </c>
      <c r="L469" s="90">
        <f t="shared" si="214"/>
        <v>221.87577755735353</v>
      </c>
      <c r="M469" s="90">
        <f t="shared" si="214"/>
        <v>234.20159538461343</v>
      </c>
      <c r="N469" s="90">
        <f t="shared" si="214"/>
        <v>226.88707081507474</v>
      </c>
      <c r="O469" s="90">
        <f t="shared" si="214"/>
        <v>236.65815411385609</v>
      </c>
      <c r="P469" s="90">
        <f t="shared" si="214"/>
        <v>218.92514746754884</v>
      </c>
      <c r="Q469" s="90">
        <f t="shared" si="214"/>
        <v>247.56446984578969</v>
      </c>
      <c r="R469" s="90">
        <f t="shared" si="214"/>
        <v>307.99777499478529</v>
      </c>
      <c r="S469" s="90">
        <f t="shared" si="214"/>
        <v>279.81491027237718</v>
      </c>
      <c r="T469" s="90">
        <f t="shared" si="214"/>
        <v>236.43012712885246</v>
      </c>
      <c r="U469" s="90">
        <f t="shared" si="214"/>
        <v>229.26567412018201</v>
      </c>
      <c r="V469" s="90">
        <f t="shared" si="214"/>
        <v>255.62097908340692</v>
      </c>
      <c r="W469" s="90">
        <f t="shared" si="214"/>
        <v>295.34974765603175</v>
      </c>
      <c r="X469" s="90">
        <f t="shared" si="214"/>
        <v>330.47474502720871</v>
      </c>
      <c r="Y469" s="90">
        <f t="shared" si="214"/>
        <v>319.09209611923251</v>
      </c>
      <c r="Z469" s="90">
        <f t="shared" si="214"/>
        <v>256.36189242773719</v>
      </c>
      <c r="AA469" s="90">
        <f t="shared" si="214"/>
        <v>202.71502403763253</v>
      </c>
      <c r="AB469" s="90">
        <f t="shared" si="214"/>
        <v>192.01030396848006</v>
      </c>
      <c r="AC469" s="90">
        <f t="shared" si="214"/>
        <v>163.38599867991491</v>
      </c>
      <c r="AD469" s="90">
        <f t="shared" si="214"/>
        <v>137.97160461538343</v>
      </c>
      <c r="AE469" s="90">
        <f t="shared" si="214"/>
        <v>139.8144652794177</v>
      </c>
      <c r="AF469" s="90">
        <f t="shared" si="214"/>
        <v>76.306320518235339</v>
      </c>
    </row>
    <row r="470" spans="4:32">
      <c r="D470" t="s">
        <v>295</v>
      </c>
      <c r="G470" t="s">
        <v>90</v>
      </c>
      <c r="H470" s="89">
        <f t="shared" ref="H470:H473" si="215">SUM(I470:AF470)</f>
        <v>109.31703892159216</v>
      </c>
      <c r="I470" s="90">
        <f t="shared" ref="I470:AF470" si="216">I345</f>
        <v>2.5841480539203916</v>
      </c>
      <c r="J470" s="90">
        <f t="shared" si="216"/>
        <v>2.9472271722509946</v>
      </c>
      <c r="K470" s="90">
        <f t="shared" si="216"/>
        <v>2.860716815228959</v>
      </c>
      <c r="L470" s="90">
        <f t="shared" si="216"/>
        <v>3.0037526559904126</v>
      </c>
      <c r="M470" s="90">
        <f t="shared" si="216"/>
        <v>3.1539402887899248</v>
      </c>
      <c r="N470" s="90">
        <f t="shared" si="216"/>
        <v>3.311637303229424</v>
      </c>
      <c r="O470" s="90">
        <f t="shared" si="216"/>
        <v>3.4772191683908922</v>
      </c>
      <c r="P470" s="90">
        <f t="shared" si="216"/>
        <v>3.6510801268104549</v>
      </c>
      <c r="Q470" s="90">
        <f t="shared" si="216"/>
        <v>3.8336341331509569</v>
      </c>
      <c r="R470" s="90">
        <f t="shared" si="216"/>
        <v>4.0253158398085365</v>
      </c>
      <c r="S470" s="90">
        <f t="shared" si="216"/>
        <v>4.2265816317989193</v>
      </c>
      <c r="T470" s="90">
        <f t="shared" si="216"/>
        <v>4.437910713388904</v>
      </c>
      <c r="U470" s="90">
        <f t="shared" si="216"/>
        <v>4.2598062490583146</v>
      </c>
      <c r="V470" s="90">
        <f t="shared" si="216"/>
        <v>4.4727965615112595</v>
      </c>
      <c r="W470" s="90">
        <f t="shared" si="216"/>
        <v>4.6964363895868075</v>
      </c>
      <c r="X470" s="90">
        <f t="shared" si="216"/>
        <v>4.9312582090661579</v>
      </c>
      <c r="Y470" s="90">
        <f t="shared" si="216"/>
        <v>5.1778211195194359</v>
      </c>
      <c r="Z470" s="90">
        <f t="shared" si="216"/>
        <v>5.4367121754954582</v>
      </c>
      <c r="AA470" s="90">
        <f t="shared" si="216"/>
        <v>5.7085477842701806</v>
      </c>
      <c r="AB470" s="90">
        <f t="shared" si="216"/>
        <v>5.9939751734837188</v>
      </c>
      <c r="AC470" s="90">
        <f t="shared" si="216"/>
        <v>6.2936739321579012</v>
      </c>
      <c r="AD470" s="90">
        <f t="shared" si="216"/>
        <v>6.6083576287657877</v>
      </c>
      <c r="AE470" s="90">
        <f t="shared" si="216"/>
        <v>6.9387755102040671</v>
      </c>
      <c r="AF470" s="90">
        <f t="shared" si="216"/>
        <v>7.285714285714306</v>
      </c>
    </row>
    <row r="471" spans="4:32">
      <c r="D471" t="s">
        <v>296</v>
      </c>
      <c r="G471" t="s">
        <v>90</v>
      </c>
      <c r="H471" s="89">
        <f t="shared" si="215"/>
        <v>177.0234469778344</v>
      </c>
      <c r="I471" s="90">
        <f t="shared" ref="I471:AF471" si="217">-I426</f>
        <v>5.7009580527306358</v>
      </c>
      <c r="J471" s="90">
        <f t="shared" si="217"/>
        <v>-21.145289519402812</v>
      </c>
      <c r="K471" s="90">
        <f t="shared" si="217"/>
        <v>-26.218080176707716</v>
      </c>
      <c r="L471" s="90">
        <f t="shared" si="217"/>
        <v>-35.507275006186767</v>
      </c>
      <c r="M471" s="90">
        <f t="shared" si="217"/>
        <v>-24.107618495673073</v>
      </c>
      <c r="N471" s="90">
        <f t="shared" si="217"/>
        <v>-8.8440546248068603</v>
      </c>
      <c r="O471" s="90">
        <f t="shared" si="217"/>
        <v>-0.51518764804700168</v>
      </c>
      <c r="P471" s="90">
        <f t="shared" si="217"/>
        <v>9.1739554871527478</v>
      </c>
      <c r="Q471" s="90">
        <f t="shared" si="217"/>
        <v>13.033343657610111</v>
      </c>
      <c r="R471" s="90">
        <f t="shared" si="217"/>
        <v>1.4913326653992152</v>
      </c>
      <c r="S471" s="90">
        <f t="shared" si="217"/>
        <v>-11.447108004412764</v>
      </c>
      <c r="T471" s="90">
        <f t="shared" si="217"/>
        <v>-5.5676419508237371</v>
      </c>
      <c r="U471" s="90">
        <f t="shared" si="217"/>
        <v>2.2731525172600158</v>
      </c>
      <c r="V471" s="90">
        <f t="shared" si="217"/>
        <v>12.750894289163291</v>
      </c>
      <c r="W471" s="90">
        <f t="shared" si="217"/>
        <v>7.6894016065962569</v>
      </c>
      <c r="X471" s="90">
        <f t="shared" si="217"/>
        <v>5.73259238199668</v>
      </c>
      <c r="Y471" s="90">
        <f t="shared" si="217"/>
        <v>0.63946537016360283</v>
      </c>
      <c r="Z471" s="90">
        <f t="shared" si="217"/>
        <v>12.748634694215717</v>
      </c>
      <c r="AA471" s="90">
        <f t="shared" si="217"/>
        <v>31.313466783488369</v>
      </c>
      <c r="AB471" s="90">
        <f t="shared" si="217"/>
        <v>50.095219987728179</v>
      </c>
      <c r="AC471" s="90">
        <f t="shared" si="217"/>
        <v>50.095219987728179</v>
      </c>
      <c r="AD471" s="90">
        <f t="shared" si="217"/>
        <v>50.233055279530227</v>
      </c>
      <c r="AE471" s="90">
        <f t="shared" si="217"/>
        <v>50.095219987728179</v>
      </c>
      <c r="AF471" s="90">
        <f t="shared" si="217"/>
        <v>7.3097896554037289</v>
      </c>
    </row>
    <row r="472" spans="4:32">
      <c r="D472" t="s">
        <v>297</v>
      </c>
      <c r="G472" t="s">
        <v>90</v>
      </c>
      <c r="H472" s="89">
        <f t="shared" si="215"/>
        <v>2534.6000000000017</v>
      </c>
      <c r="I472" s="90">
        <f t="shared" ref="I472:AF472" si="218">I377</f>
        <v>399.40000000000003</v>
      </c>
      <c r="J472" s="90">
        <f t="shared" si="218"/>
        <v>363.2</v>
      </c>
      <c r="K472" s="90">
        <f t="shared" si="218"/>
        <v>237</v>
      </c>
      <c r="L472" s="90">
        <f t="shared" si="218"/>
        <v>186.9</v>
      </c>
      <c r="M472" s="90">
        <f t="shared" si="218"/>
        <v>184.6</v>
      </c>
      <c r="N472" s="90">
        <f t="shared" si="218"/>
        <v>227.73377162629757</v>
      </c>
      <c r="O472" s="90">
        <f t="shared" si="218"/>
        <v>186.36352941176469</v>
      </c>
      <c r="P472" s="90">
        <f t="shared" si="218"/>
        <v>144.99328719723181</v>
      </c>
      <c r="Q472" s="90">
        <f t="shared" si="218"/>
        <v>135.70608996539792</v>
      </c>
      <c r="R472" s="90">
        <f t="shared" si="218"/>
        <v>150.90332179930795</v>
      </c>
      <c r="S472" s="90">
        <f t="shared" si="218"/>
        <v>45.260000000000005</v>
      </c>
      <c r="T472" s="90">
        <f t="shared" si="218"/>
        <v>45.260000000000005</v>
      </c>
      <c r="U472" s="90">
        <f t="shared" si="218"/>
        <v>45.260000000000005</v>
      </c>
      <c r="V472" s="90">
        <f t="shared" si="218"/>
        <v>45.260000000000005</v>
      </c>
      <c r="W472" s="90">
        <f t="shared" si="218"/>
        <v>45.260000000000005</v>
      </c>
      <c r="X472" s="90">
        <f t="shared" si="218"/>
        <v>18.3</v>
      </c>
      <c r="Y472" s="90">
        <f t="shared" si="218"/>
        <v>18.3</v>
      </c>
      <c r="Z472" s="90">
        <f t="shared" si="218"/>
        <v>18.3</v>
      </c>
      <c r="AA472" s="90">
        <f t="shared" si="218"/>
        <v>18.3</v>
      </c>
      <c r="AB472" s="90">
        <f t="shared" si="218"/>
        <v>18.3</v>
      </c>
      <c r="AC472" s="90">
        <f t="shared" si="218"/>
        <v>0</v>
      </c>
      <c r="AD472" s="90">
        <f t="shared" si="218"/>
        <v>0</v>
      </c>
      <c r="AE472" s="90">
        <f t="shared" si="218"/>
        <v>0</v>
      </c>
      <c r="AF472" s="90">
        <f t="shared" si="218"/>
        <v>0</v>
      </c>
    </row>
    <row r="473" spans="4:32">
      <c r="D473" t="s">
        <v>292</v>
      </c>
      <c r="G473" t="s">
        <v>90</v>
      </c>
      <c r="H473" s="89">
        <f t="shared" si="215"/>
        <v>9167.9171703580141</v>
      </c>
      <c r="I473" s="90">
        <f>I467*(1-I468)+I469+I470-I471-I472</f>
        <v>73.879965314384719</v>
      </c>
      <c r="J473" s="90">
        <f t="shared" ref="J473:AF473" si="219">J467*(1-J468)+J469+J470-J471-J472</f>
        <v>230.84907465376176</v>
      </c>
      <c r="K473" s="90">
        <f t="shared" si="219"/>
        <v>301.43685973826859</v>
      </c>
      <c r="L473" s="90">
        <f t="shared" si="219"/>
        <v>409.20854389535043</v>
      </c>
      <c r="M473" s="90">
        <f t="shared" si="219"/>
        <v>424.98270950658218</v>
      </c>
      <c r="N473" s="90">
        <f t="shared" si="219"/>
        <v>348.51109586375128</v>
      </c>
      <c r="O473" s="90">
        <f t="shared" si="219"/>
        <v>359.8652182183871</v>
      </c>
      <c r="P473" s="90">
        <f t="shared" si="219"/>
        <v>323.92920113394348</v>
      </c>
      <c r="Q473" s="90">
        <f t="shared" si="219"/>
        <v>385.60764469478579</v>
      </c>
      <c r="R473" s="90">
        <f t="shared" si="219"/>
        <v>546.9900211928699</v>
      </c>
      <c r="S473" s="90">
        <f t="shared" si="219"/>
        <v>562.70962809279433</v>
      </c>
      <c r="T473" s="90">
        <f t="shared" si="219"/>
        <v>438.04305504033914</v>
      </c>
      <c r="U473" s="90">
        <f t="shared" si="219"/>
        <v>415.03664228240376</v>
      </c>
      <c r="V473" s="90">
        <f t="shared" si="219"/>
        <v>477.58070757265591</v>
      </c>
      <c r="W473" s="90">
        <f t="shared" si="219"/>
        <v>556.65223936475149</v>
      </c>
      <c r="X473" s="90">
        <f t="shared" si="219"/>
        <v>708.02757900342669</v>
      </c>
      <c r="Y473" s="90">
        <f t="shared" si="219"/>
        <v>675.27968796962045</v>
      </c>
      <c r="Z473" s="90">
        <f t="shared" si="219"/>
        <v>493.54512814388943</v>
      </c>
      <c r="AA473" s="90">
        <f t="shared" si="219"/>
        <v>355.82248495101237</v>
      </c>
      <c r="AB473" s="90">
        <f t="shared" si="219"/>
        <v>310.3047593848799</v>
      </c>
      <c r="AC473" s="90">
        <f t="shared" si="219"/>
        <v>252.15915100407813</v>
      </c>
      <c r="AD473" s="90">
        <f t="shared" si="219"/>
        <v>185.118830800176</v>
      </c>
      <c r="AE473" s="90">
        <f t="shared" si="219"/>
        <v>190.56757186936559</v>
      </c>
      <c r="AF473" s="90">
        <f t="shared" si="219"/>
        <v>141.80937066653505</v>
      </c>
    </row>
    <row r="474" spans="4:32" ht="6" customHeight="1">
      <c r="D474" s="2"/>
      <c r="H474" s="29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</row>
    <row r="475" spans="4:32">
      <c r="D475" t="s">
        <v>298</v>
      </c>
      <c r="E475" s="8">
        <v>0.08</v>
      </c>
      <c r="F475" s="8">
        <v>0.1</v>
      </c>
      <c r="H475" s="29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  <c r="AD475" s="67"/>
      <c r="AE475" s="67"/>
      <c r="AF475" s="67"/>
    </row>
    <row r="476" spans="4:32">
      <c r="D476" t="s">
        <v>299</v>
      </c>
      <c r="E476" s="92">
        <f>NPV(E475,J473:AF473)*0.8</f>
        <v>3270.0135422180783</v>
      </c>
      <c r="F476" s="92">
        <f>NPV(F475,J473:AF473)*0.8</f>
        <v>2778.0402969925854</v>
      </c>
      <c r="H476" s="29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  <c r="AD476" s="67"/>
      <c r="AE476" s="67"/>
      <c r="AF476" s="67"/>
    </row>
    <row r="480" spans="4:32">
      <c r="H480" s="93"/>
      <c r="I480" s="93"/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F4E6C90F5F449B37BCC81842AF5D5" ma:contentTypeVersion="16" ma:contentTypeDescription="Create a new document." ma:contentTypeScope="" ma:versionID="0895766cd08fc2300fb21fc5601d1aeb">
  <xsd:schema xmlns:xsd="http://www.w3.org/2001/XMLSchema" xmlns:xs="http://www.w3.org/2001/XMLSchema" xmlns:p="http://schemas.microsoft.com/office/2006/metadata/properties" xmlns:ns3="eef13df5-f3b4-4bd8-8496-4e6fb27750fa" xmlns:ns4="1cbb6e5c-fa44-4168-adc7-5dcafe1e050f" targetNamespace="http://schemas.microsoft.com/office/2006/metadata/properties" ma:root="true" ma:fieldsID="ad63a1f28e5f1c4c8047dcb6452514c9" ns3:_="" ns4:_="">
    <xsd:import namespace="eef13df5-f3b4-4bd8-8496-4e6fb27750fa"/>
    <xsd:import namespace="1cbb6e5c-fa44-4168-adc7-5dcafe1e050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13df5-f3b4-4bd8-8496-4e6fb2775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6e5c-fa44-4168-adc7-5dcafe1e050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f13df5-f3b4-4bd8-8496-4e6fb27750f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7F1AD8-58A1-40F4-92F7-AC285D6AA6E3}"/>
</file>

<file path=customXml/itemProps2.xml><?xml version="1.0" encoding="utf-8"?>
<ds:datastoreItem xmlns:ds="http://schemas.openxmlformats.org/officeDocument/2006/customXml" ds:itemID="{82EEE409-44BF-42BC-8522-E50988F93CE4}"/>
</file>

<file path=customXml/itemProps3.xml><?xml version="1.0" encoding="utf-8"?>
<ds:datastoreItem xmlns:ds="http://schemas.openxmlformats.org/officeDocument/2006/customXml" ds:itemID="{32FCB28B-6B13-47E7-A833-5C56792CB2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Lee</dc:creator>
  <cp:keywords/>
  <dc:description/>
  <cp:lastModifiedBy/>
  <cp:revision/>
  <dcterms:created xsi:type="dcterms:W3CDTF">2024-11-05T22:37:34Z</dcterms:created>
  <dcterms:modified xsi:type="dcterms:W3CDTF">2024-11-05T23:21:52Z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0x010100685F4E6C90F5F449B37BCC81842AF5D5</vt:lpwstr>
  </property>
</Properties>
</file>