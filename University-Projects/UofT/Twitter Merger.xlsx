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66925"/>
  <xr:revisionPtr revIDLastSave="1328" documentId="13_ncr:1_{CEE398F0-0B1C-4B67-81FB-3D129A29BB60}" xr6:coauthVersionLast="47" xr6:coauthVersionMax="47" xr10:uidLastSave="{31FEF3BF-0F68-4413-BC4C-3B4DEB9BB498}"/>
  <bookViews>
    <workbookView xWindow="0" yWindow="1900" windowWidth="21600" windowHeight="12560" firstSheet="1" activeTab="8" xr2:uid="{8E5197EA-3AFF-47F9-8432-F7FCB8AB8EAC}"/>
  </bookViews>
  <sheets>
    <sheet name="Copyright" sheetId="13" r:id="rId1"/>
    <sheet name="Exhibit 1" sheetId="2" r:id="rId2"/>
    <sheet name="Exhibit 2" sheetId="11" r:id="rId3"/>
    <sheet name="Exhibit 3" sheetId="12" r:id="rId4"/>
    <sheet name="Exhibit 4" sheetId="3" r:id="rId5"/>
    <sheet name="Exhibit 5" sheetId="4" r:id="rId6"/>
    <sheet name="Exhibit 6" sheetId="5" r:id="rId7"/>
    <sheet name="Exhibit 7" sheetId="8" r:id="rId8"/>
    <sheet name="LBO" sheetId="14" r:id="rId9"/>
    <sheet name="Comps" sheetId="15" r:id="rId10"/>
  </sheets>
  <externalReferences>
    <externalReference r:id="rId11"/>
  </externalReferences>
  <definedNames>
    <definedName name="Copy">LBO!$B$21:$N$78</definedName>
    <definedName name="EBITDAgrowth">'Exhibit 6'!$C$8</definedName>
    <definedName name="Exitm">'Exhibit 6'!$C$11</definedName>
    <definedName name="LTgrowth">'Exhibit 6'!$C$10</definedName>
    <definedName name="STgrowth">'Exhibit 6'!$C$9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15" l="1"/>
  <c r="E18" i="11"/>
  <c r="B17" i="11"/>
  <c r="E17" i="11"/>
  <c r="F35" i="15"/>
  <c r="T7" i="14"/>
  <c r="S7" i="14"/>
  <c r="R7" i="14"/>
  <c r="J57" i="14"/>
  <c r="K57" i="14" s="1"/>
  <c r="L57" i="14" s="1"/>
  <c r="M57" i="14" s="1"/>
  <c r="N57" i="14" s="1"/>
  <c r="M68" i="14"/>
  <c r="L68" i="14"/>
  <c r="K68" i="14"/>
  <c r="J68" i="14"/>
  <c r="I66" i="14"/>
  <c r="I68" i="14" s="1"/>
  <c r="I69" i="14" s="1"/>
  <c r="J58" i="14"/>
  <c r="K58" i="14" s="1"/>
  <c r="L58" i="14" s="1"/>
  <c r="M58" i="14" s="1"/>
  <c r="N58" i="14" s="1"/>
  <c r="O58" i="14" s="1"/>
  <c r="I41" i="14"/>
  <c r="J39" i="14" s="1"/>
  <c r="J34" i="14"/>
  <c r="K34" i="14" s="1"/>
  <c r="L34" i="14" s="1"/>
  <c r="M34" i="14" s="1"/>
  <c r="N34" i="14" s="1"/>
  <c r="O34" i="14" s="1"/>
  <c r="H49" i="14"/>
  <c r="G49" i="14"/>
  <c r="F49" i="14"/>
  <c r="H50" i="14"/>
  <c r="G50" i="14"/>
  <c r="F50" i="14"/>
  <c r="H48" i="14"/>
  <c r="G48" i="14"/>
  <c r="F48" i="14"/>
  <c r="H46" i="14"/>
  <c r="G46" i="14"/>
  <c r="F46" i="14"/>
  <c r="H45" i="14"/>
  <c r="G45" i="14"/>
  <c r="F45" i="14"/>
  <c r="E13" i="14"/>
  <c r="E14" i="14"/>
  <c r="I37" i="14" s="1"/>
  <c r="J35" i="14" s="1"/>
  <c r="E15" i="14"/>
  <c r="E16" i="14"/>
  <c r="N30" i="14"/>
  <c r="M30" i="14"/>
  <c r="L30" i="14"/>
  <c r="K30" i="14"/>
  <c r="J30" i="14"/>
  <c r="N29" i="14"/>
  <c r="M29" i="14"/>
  <c r="L29" i="14"/>
  <c r="K29" i="14"/>
  <c r="J29" i="14"/>
  <c r="N25" i="14"/>
  <c r="M25" i="14"/>
  <c r="L25" i="14"/>
  <c r="K25" i="14"/>
  <c r="J25" i="14"/>
  <c r="E10" i="14"/>
  <c r="N60" i="14" s="1"/>
  <c r="E9" i="14"/>
  <c r="O24" i="14" s="1"/>
  <c r="E8" i="14"/>
  <c r="M24" i="14" s="1"/>
  <c r="E7" i="14"/>
  <c r="N27" i="14" s="1"/>
  <c r="I24" i="14"/>
  <c r="G23" i="14"/>
  <c r="H23" i="14" s="1"/>
  <c r="I23" i="14" s="1"/>
  <c r="J23" i="14" s="1"/>
  <c r="K23" i="14" s="1"/>
  <c r="L23" i="14" s="1"/>
  <c r="M23" i="14" s="1"/>
  <c r="N23" i="14" s="1"/>
  <c r="O23" i="14" s="1"/>
  <c r="H44" i="14"/>
  <c r="G44" i="14"/>
  <c r="F44" i="14"/>
  <c r="G43" i="14"/>
  <c r="H43" i="14" s="1"/>
  <c r="I43" i="14" s="1"/>
  <c r="J43" i="14" s="1"/>
  <c r="K43" i="14" s="1"/>
  <c r="L43" i="14" s="1"/>
  <c r="M43" i="14" s="1"/>
  <c r="N43" i="14" s="1"/>
  <c r="O43" i="14" s="1"/>
  <c r="H47" i="5"/>
  <c r="G47" i="5"/>
  <c r="F47" i="5"/>
  <c r="E47" i="5"/>
  <c r="D47" i="5"/>
  <c r="G49" i="5"/>
  <c r="F49" i="5"/>
  <c r="E49" i="5"/>
  <c r="D49" i="5"/>
  <c r="C49" i="5"/>
  <c r="B57" i="5"/>
  <c r="C11" i="5"/>
  <c r="H23" i="5" s="1"/>
  <c r="C10" i="5"/>
  <c r="I16" i="5" s="1"/>
  <c r="C9" i="5"/>
  <c r="H16" i="5" s="1"/>
  <c r="C8" i="5"/>
  <c r="B11" i="5"/>
  <c r="B10" i="5"/>
  <c r="B9" i="5"/>
  <c r="B8" i="5"/>
  <c r="G119" i="2"/>
  <c r="E119" i="2"/>
  <c r="C119" i="2"/>
  <c r="G118" i="2"/>
  <c r="E118" i="2"/>
  <c r="C118" i="2"/>
  <c r="G117" i="2"/>
  <c r="E117" i="2"/>
  <c r="C117" i="2"/>
  <c r="G116" i="2"/>
  <c r="E116" i="2"/>
  <c r="C116" i="2"/>
  <c r="G115" i="2"/>
  <c r="E115" i="2"/>
  <c r="C115" i="2"/>
  <c r="G114" i="2"/>
  <c r="E114" i="2"/>
  <c r="C114" i="2"/>
  <c r="G113" i="2"/>
  <c r="E113" i="2"/>
  <c r="C113" i="2"/>
  <c r="G112" i="2"/>
  <c r="E112" i="2"/>
  <c r="C112" i="2"/>
  <c r="G111" i="2"/>
  <c r="E111" i="2"/>
  <c r="C111" i="2"/>
  <c r="G110" i="2"/>
  <c r="E110" i="2"/>
  <c r="C110" i="2"/>
  <c r="G109" i="2"/>
  <c r="E109" i="2"/>
  <c r="C109" i="2"/>
  <c r="G108" i="2"/>
  <c r="E108" i="2"/>
  <c r="C108" i="2"/>
  <c r="G107" i="2"/>
  <c r="E107" i="2"/>
  <c r="C107" i="2"/>
  <c r="G106" i="2"/>
  <c r="E106" i="2"/>
  <c r="C106" i="2"/>
  <c r="G105" i="2"/>
  <c r="E105" i="2"/>
  <c r="C105" i="2"/>
  <c r="G104" i="2"/>
  <c r="E104" i="2"/>
  <c r="C104" i="2"/>
  <c r="G103" i="2"/>
  <c r="E103" i="2"/>
  <c r="C103" i="2"/>
  <c r="G102" i="2"/>
  <c r="E102" i="2"/>
  <c r="C102" i="2"/>
  <c r="G101" i="2"/>
  <c r="E101" i="2"/>
  <c r="C101" i="2"/>
  <c r="G100" i="2"/>
  <c r="E100" i="2"/>
  <c r="C100" i="2"/>
  <c r="G99" i="2"/>
  <c r="E99" i="2"/>
  <c r="C99" i="2"/>
  <c r="G98" i="2"/>
  <c r="E98" i="2"/>
  <c r="C98" i="2"/>
  <c r="G97" i="2"/>
  <c r="E97" i="2"/>
  <c r="C97" i="2"/>
  <c r="G96" i="2"/>
  <c r="E96" i="2"/>
  <c r="C96" i="2"/>
  <c r="G95" i="2"/>
  <c r="E95" i="2"/>
  <c r="C95" i="2"/>
  <c r="G94" i="2"/>
  <c r="E94" i="2"/>
  <c r="C94" i="2"/>
  <c r="G93" i="2"/>
  <c r="E93" i="2"/>
  <c r="C93" i="2"/>
  <c r="G92" i="2"/>
  <c r="E92" i="2"/>
  <c r="C92" i="2"/>
  <c r="G91" i="2"/>
  <c r="E91" i="2"/>
  <c r="C91" i="2"/>
  <c r="G90" i="2"/>
  <c r="E90" i="2"/>
  <c r="C90" i="2"/>
  <c r="G89" i="2"/>
  <c r="E89" i="2"/>
  <c r="C89" i="2"/>
  <c r="G88" i="2"/>
  <c r="E88" i="2"/>
  <c r="C88" i="2"/>
  <c r="G87" i="2"/>
  <c r="E87" i="2"/>
  <c r="C87" i="2"/>
  <c r="G86" i="2"/>
  <c r="E86" i="2"/>
  <c r="C86" i="2"/>
  <c r="G85" i="2"/>
  <c r="E85" i="2"/>
  <c r="C85" i="2"/>
  <c r="G84" i="2"/>
  <c r="E84" i="2"/>
  <c r="C84" i="2"/>
  <c r="G83" i="2"/>
  <c r="E83" i="2"/>
  <c r="C83" i="2"/>
  <c r="G82" i="2"/>
  <c r="E82" i="2"/>
  <c r="C82" i="2"/>
  <c r="G81" i="2"/>
  <c r="E81" i="2"/>
  <c r="C81" i="2"/>
  <c r="G80" i="2"/>
  <c r="E80" i="2"/>
  <c r="C80" i="2"/>
  <c r="G79" i="2"/>
  <c r="E79" i="2"/>
  <c r="C79" i="2"/>
  <c r="G78" i="2"/>
  <c r="E78" i="2"/>
  <c r="C78" i="2"/>
  <c r="G77" i="2"/>
  <c r="E77" i="2"/>
  <c r="C77" i="2"/>
  <c r="G76" i="2"/>
  <c r="E76" i="2"/>
  <c r="C76" i="2"/>
  <c r="G75" i="2"/>
  <c r="E75" i="2"/>
  <c r="C75" i="2"/>
  <c r="G74" i="2"/>
  <c r="E74" i="2"/>
  <c r="C74" i="2"/>
  <c r="G73" i="2"/>
  <c r="E73" i="2"/>
  <c r="C73" i="2"/>
  <c r="G72" i="2"/>
  <c r="E72" i="2"/>
  <c r="C72" i="2"/>
  <c r="G71" i="2"/>
  <c r="E71" i="2"/>
  <c r="C71" i="2"/>
  <c r="G70" i="2"/>
  <c r="E70" i="2"/>
  <c r="C70" i="2"/>
  <c r="G69" i="2"/>
  <c r="E69" i="2"/>
  <c r="C69" i="2"/>
  <c r="G68" i="2"/>
  <c r="E68" i="2"/>
  <c r="C68" i="2"/>
  <c r="G67" i="2"/>
  <c r="E67" i="2"/>
  <c r="C67" i="2"/>
  <c r="G66" i="2"/>
  <c r="E66" i="2"/>
  <c r="C66" i="2"/>
  <c r="G65" i="2"/>
  <c r="E65" i="2"/>
  <c r="C65" i="2"/>
  <c r="G64" i="2"/>
  <c r="E64" i="2"/>
  <c r="C64" i="2"/>
  <c r="G63" i="2"/>
  <c r="E63" i="2"/>
  <c r="C63" i="2"/>
  <c r="G62" i="2"/>
  <c r="E62" i="2"/>
  <c r="C62" i="2"/>
  <c r="G61" i="2"/>
  <c r="E61" i="2"/>
  <c r="C61" i="2"/>
  <c r="G60" i="2"/>
  <c r="E60" i="2"/>
  <c r="C60" i="2"/>
  <c r="G59" i="2"/>
  <c r="E59" i="2"/>
  <c r="C59" i="2"/>
  <c r="G58" i="2"/>
  <c r="E58" i="2"/>
  <c r="C58" i="2"/>
  <c r="G57" i="2"/>
  <c r="E57" i="2"/>
  <c r="C57" i="2"/>
  <c r="G56" i="2"/>
  <c r="E56" i="2"/>
  <c r="C56" i="2"/>
  <c r="G55" i="2"/>
  <c r="E55" i="2"/>
  <c r="C55" i="2"/>
  <c r="G54" i="2"/>
  <c r="E54" i="2"/>
  <c r="C54" i="2"/>
  <c r="G53" i="2"/>
  <c r="E53" i="2"/>
  <c r="C53" i="2"/>
  <c r="G52" i="2"/>
  <c r="E52" i="2"/>
  <c r="C52" i="2"/>
  <c r="G51" i="2"/>
  <c r="E51" i="2"/>
  <c r="C51" i="2"/>
  <c r="G50" i="2"/>
  <c r="E50" i="2"/>
  <c r="C50" i="2"/>
  <c r="G49" i="2"/>
  <c r="E49" i="2"/>
  <c r="C49" i="2"/>
  <c r="G48" i="2"/>
  <c r="E48" i="2"/>
  <c r="C48" i="2"/>
  <c r="G47" i="2"/>
  <c r="E47" i="2"/>
  <c r="C47" i="2"/>
  <c r="G46" i="2"/>
  <c r="E46" i="2"/>
  <c r="C46" i="2"/>
  <c r="G45" i="2"/>
  <c r="E45" i="2"/>
  <c r="C45" i="2"/>
  <c r="G44" i="2"/>
  <c r="E44" i="2"/>
  <c r="C44" i="2"/>
  <c r="G43" i="2"/>
  <c r="E43" i="2"/>
  <c r="C43" i="2"/>
  <c r="G42" i="2"/>
  <c r="E42" i="2"/>
  <c r="C42" i="2"/>
  <c r="G41" i="2"/>
  <c r="E41" i="2"/>
  <c r="C41" i="2"/>
  <c r="G40" i="2"/>
  <c r="E40" i="2"/>
  <c r="C40" i="2"/>
  <c r="G39" i="2"/>
  <c r="E39" i="2"/>
  <c r="C39" i="2"/>
  <c r="G38" i="2"/>
  <c r="E38" i="2"/>
  <c r="C38" i="2"/>
  <c r="G37" i="2"/>
  <c r="E37" i="2"/>
  <c r="C37" i="2"/>
  <c r="G36" i="2"/>
  <c r="E36" i="2"/>
  <c r="C36" i="2"/>
  <c r="G35" i="2"/>
  <c r="E35" i="2"/>
  <c r="C35" i="2"/>
  <c r="G34" i="2"/>
  <c r="E34" i="2"/>
  <c r="C34" i="2"/>
  <c r="G33" i="2"/>
  <c r="E33" i="2"/>
  <c r="C33" i="2"/>
  <c r="G32" i="2"/>
  <c r="E32" i="2"/>
  <c r="C32" i="2"/>
  <c r="G31" i="2"/>
  <c r="E31" i="2"/>
  <c r="C31" i="2"/>
  <c r="G30" i="2"/>
  <c r="E30" i="2"/>
  <c r="C30" i="2"/>
  <c r="G29" i="2"/>
  <c r="E29" i="2"/>
  <c r="C29" i="2"/>
  <c r="G28" i="2"/>
  <c r="E28" i="2"/>
  <c r="C28" i="2"/>
  <c r="G27" i="2"/>
  <c r="E27" i="2"/>
  <c r="C27" i="2"/>
  <c r="G26" i="2"/>
  <c r="E26" i="2"/>
  <c r="C26" i="2"/>
  <c r="G25" i="2"/>
  <c r="E25" i="2"/>
  <c r="C25" i="2"/>
  <c r="G24" i="2"/>
  <c r="E24" i="2"/>
  <c r="C24" i="2"/>
  <c r="G23" i="2"/>
  <c r="E23" i="2"/>
  <c r="C23" i="2"/>
  <c r="G22" i="2"/>
  <c r="E22" i="2"/>
  <c r="C22" i="2"/>
  <c r="G21" i="2"/>
  <c r="E21" i="2"/>
  <c r="C21" i="2"/>
  <c r="G20" i="2"/>
  <c r="E20" i="2"/>
  <c r="C20" i="2"/>
  <c r="G19" i="2"/>
  <c r="E19" i="2"/>
  <c r="C19" i="2"/>
  <c r="G18" i="2"/>
  <c r="E18" i="2"/>
  <c r="C18" i="2"/>
  <c r="G17" i="2"/>
  <c r="E17" i="2"/>
  <c r="C17" i="2"/>
  <c r="G16" i="2"/>
  <c r="E16" i="2"/>
  <c r="C16" i="2"/>
  <c r="G15" i="2"/>
  <c r="E15" i="2"/>
  <c r="C15" i="2"/>
  <c r="G14" i="2"/>
  <c r="E14" i="2"/>
  <c r="C14" i="2"/>
  <c r="G13" i="2"/>
  <c r="E13" i="2"/>
  <c r="C13" i="2"/>
  <c r="G12" i="2"/>
  <c r="E12" i="2"/>
  <c r="C12" i="2"/>
  <c r="E11" i="2"/>
  <c r="C11" i="2"/>
  <c r="G10" i="2"/>
  <c r="E10" i="2"/>
  <c r="C10" i="2"/>
  <c r="G9" i="2"/>
  <c r="E9" i="2"/>
  <c r="C9" i="2"/>
  <c r="G8" i="2"/>
  <c r="E8" i="2"/>
  <c r="C8" i="2"/>
  <c r="G7" i="2"/>
  <c r="E7" i="2"/>
  <c r="C7" i="2"/>
  <c r="G6" i="2"/>
  <c r="E6" i="2"/>
  <c r="C6" i="2"/>
  <c r="G5" i="2"/>
  <c r="E5" i="2"/>
  <c r="C5" i="2"/>
  <c r="G4" i="2"/>
  <c r="E4" i="2"/>
  <c r="C4" i="2"/>
  <c r="J69" i="14" l="1"/>
  <c r="K69" i="14"/>
  <c r="L69" i="14"/>
  <c r="F51" i="14"/>
  <c r="G51" i="14"/>
  <c r="M69" i="14"/>
  <c r="I44" i="14"/>
  <c r="H51" i="14"/>
  <c r="F47" i="14"/>
  <c r="G47" i="14"/>
  <c r="H47" i="14"/>
  <c r="L27" i="14"/>
  <c r="M27" i="14"/>
  <c r="J27" i="14"/>
  <c r="K27" i="14"/>
  <c r="N24" i="14"/>
  <c r="J24" i="14"/>
  <c r="L24" i="14"/>
  <c r="K24" i="14"/>
  <c r="G24" i="14"/>
  <c r="H24" i="14"/>
  <c r="D16" i="5"/>
  <c r="E16" i="5"/>
  <c r="F16" i="5"/>
  <c r="G16" i="5"/>
  <c r="C23" i="5"/>
  <c r="C5" i="11"/>
  <c r="D5" i="11"/>
  <c r="C6" i="11"/>
  <c r="D6" i="11"/>
  <c r="C7" i="11"/>
  <c r="D7" i="11"/>
  <c r="C8" i="11"/>
  <c r="D8" i="11"/>
  <c r="C9" i="11"/>
  <c r="D9" i="11"/>
  <c r="C10" i="11"/>
  <c r="D10" i="11"/>
  <c r="C11" i="11"/>
  <c r="D11" i="11"/>
  <c r="C12" i="11"/>
  <c r="D12" i="11"/>
  <c r="C13" i="11"/>
  <c r="D13" i="11"/>
  <c r="C14" i="11"/>
  <c r="D14" i="11"/>
  <c r="C15" i="11"/>
  <c r="D15" i="11"/>
  <c r="C16" i="11"/>
  <c r="D16" i="11"/>
  <c r="C34" i="5"/>
  <c r="D34" i="5" s="1"/>
  <c r="D43" i="5" s="1"/>
  <c r="D18" i="12"/>
  <c r="C18" i="12"/>
  <c r="B18" i="12"/>
  <c r="D9" i="12"/>
  <c r="D12" i="12" s="1"/>
  <c r="D13" i="12" s="1"/>
  <c r="C9" i="12"/>
  <c r="B9" i="12"/>
  <c r="D6" i="12"/>
  <c r="C6" i="12"/>
  <c r="B12" i="3"/>
  <c r="I6" i="3" s="1"/>
  <c r="B11" i="3"/>
  <c r="H8" i="3"/>
  <c r="H9" i="3" s="1"/>
  <c r="B6" i="3"/>
  <c r="C4" i="3" s="1"/>
  <c r="O6" i="3"/>
  <c r="O5" i="3"/>
  <c r="J44" i="14" l="1"/>
  <c r="J54" i="14" s="1"/>
  <c r="E34" i="5"/>
  <c r="E43" i="5" s="1"/>
  <c r="D42" i="5"/>
  <c r="D35" i="5"/>
  <c r="D36" i="5"/>
  <c r="C5" i="3"/>
  <c r="C20" i="12"/>
  <c r="C22" i="12" s="1"/>
  <c r="D10" i="12"/>
  <c r="D20" i="12"/>
  <c r="D22" i="12" s="1"/>
  <c r="O10" i="3"/>
  <c r="B20" i="12"/>
  <c r="B22" i="12" s="1"/>
  <c r="B12" i="12"/>
  <c r="B13" i="12" s="1"/>
  <c r="B10" i="12"/>
  <c r="C12" i="12"/>
  <c r="C13" i="12" s="1"/>
  <c r="C10" i="12"/>
  <c r="I10" i="3"/>
  <c r="B9" i="3"/>
  <c r="B13" i="3" s="1"/>
  <c r="J46" i="14" l="1"/>
  <c r="K44" i="14"/>
  <c r="K53" i="14" s="1"/>
  <c r="J45" i="14"/>
  <c r="J53" i="14"/>
  <c r="D37" i="5"/>
  <c r="F34" i="5"/>
  <c r="F43" i="5" s="1"/>
  <c r="E36" i="5"/>
  <c r="E42" i="5"/>
  <c r="E35" i="5"/>
  <c r="E37" i="5" s="1"/>
  <c r="P6" i="3"/>
  <c r="P8" i="3"/>
  <c r="P7" i="3"/>
  <c r="P9" i="3"/>
  <c r="P5" i="3"/>
  <c r="J9" i="3"/>
  <c r="J8" i="3"/>
  <c r="J5" i="3"/>
  <c r="J10" i="3" s="1"/>
  <c r="J7" i="3"/>
  <c r="J6" i="3"/>
  <c r="J47" i="14" l="1"/>
  <c r="K46" i="14"/>
  <c r="K45" i="14"/>
  <c r="L44" i="14"/>
  <c r="L54" i="14" s="1"/>
  <c r="K54" i="14"/>
  <c r="G34" i="5"/>
  <c r="G43" i="5" s="1"/>
  <c r="F36" i="5"/>
  <c r="F42" i="5"/>
  <c r="F35" i="5"/>
  <c r="F37" i="5" s="1"/>
  <c r="P10" i="3"/>
  <c r="L53" i="14" l="1"/>
  <c r="L45" i="14"/>
  <c r="M44" i="14"/>
  <c r="M54" i="14" s="1"/>
  <c r="L46" i="14"/>
  <c r="K47" i="14"/>
  <c r="H34" i="5"/>
  <c r="H43" i="5" s="1"/>
  <c r="G36" i="5"/>
  <c r="G35" i="5"/>
  <c r="G42" i="5"/>
  <c r="M45" i="14" l="1"/>
  <c r="M53" i="14"/>
  <c r="M46" i="14"/>
  <c r="N44" i="14"/>
  <c r="N53" i="14" s="1"/>
  <c r="L47" i="14"/>
  <c r="G37" i="5"/>
  <c r="H35" i="5"/>
  <c r="B51" i="5" s="1"/>
  <c r="H36" i="5"/>
  <c r="H42" i="5"/>
  <c r="M47" i="14" l="1"/>
  <c r="N46" i="14"/>
  <c r="N45" i="14"/>
  <c r="N54" i="14"/>
  <c r="B58" i="5"/>
  <c r="H37" i="5"/>
  <c r="N47" i="14" l="1"/>
  <c r="N59" i="14"/>
  <c r="N61" i="14" s="1"/>
  <c r="L15" i="14"/>
  <c r="F74" i="14" l="1"/>
  <c r="L16" i="14"/>
  <c r="H45" i="5" l="1"/>
  <c r="H41" i="5"/>
  <c r="E46" i="5"/>
  <c r="D63" i="5"/>
  <c r="F46" i="5"/>
  <c r="E63" i="5"/>
  <c r="F62" i="5"/>
  <c r="F64" i="5"/>
  <c r="G45" i="5"/>
  <c r="G41" i="5"/>
  <c r="K50" i="14"/>
  <c r="B55" i="5"/>
  <c r="B54" i="5"/>
  <c r="J50" i="14"/>
  <c r="L17" i="14"/>
  <c r="F78" i="14"/>
  <c r="N69" i="14"/>
  <c r="H39" i="5"/>
  <c r="H40" i="5"/>
  <c r="F75" i="14"/>
  <c r="N40" i="14"/>
  <c r="N55" i="14"/>
  <c r="N51" i="14"/>
  <c r="H46" i="5"/>
  <c r="G63" i="5"/>
  <c r="N48" i="14"/>
  <c r="N49" i="14"/>
  <c r="N50" i="14"/>
  <c r="G39" i="5"/>
  <c r="G40" i="5"/>
  <c r="L14" i="14"/>
  <c r="H70" i="14"/>
  <c r="J56" i="14"/>
  <c r="H49" i="5"/>
  <c r="B60" i="5"/>
  <c r="F40" i="5"/>
  <c r="G46" i="5"/>
  <c r="F63" i="5"/>
  <c r="H63" i="5"/>
  <c r="E62" i="5"/>
  <c r="E64" i="5"/>
  <c r="J37" i="14"/>
  <c r="K35" i="14"/>
  <c r="K37" i="14"/>
  <c r="L35" i="14"/>
  <c r="L37" i="14"/>
  <c r="M35" i="14"/>
  <c r="M37" i="14"/>
  <c r="N35" i="14"/>
  <c r="N37" i="14"/>
  <c r="L50" i="14"/>
  <c r="G64" i="5"/>
  <c r="G38" i="5"/>
  <c r="G62" i="5"/>
  <c r="E40" i="5"/>
  <c r="E38" i="5"/>
  <c r="E39" i="5"/>
  <c r="E41" i="5"/>
  <c r="E45" i="5"/>
  <c r="M50" i="14"/>
  <c r="H24" i="5"/>
  <c r="B52" i="5"/>
  <c r="B59" i="5"/>
  <c r="L48" i="14"/>
  <c r="L49" i="14"/>
  <c r="L51" i="14"/>
  <c r="L55" i="14"/>
  <c r="L40" i="14"/>
  <c r="M48" i="14"/>
  <c r="M49" i="14"/>
  <c r="M51" i="14"/>
  <c r="M55" i="14"/>
  <c r="M40" i="14"/>
  <c r="N62" i="14"/>
  <c r="N63" i="14"/>
  <c r="N67" i="14"/>
  <c r="N68" i="14"/>
  <c r="F77" i="14"/>
  <c r="K48" i="14"/>
  <c r="K49" i="14"/>
  <c r="K51" i="14"/>
  <c r="K55" i="14"/>
  <c r="K40" i="14"/>
  <c r="D40" i="5"/>
  <c r="H64" i="5"/>
  <c r="F24" i="5"/>
  <c r="G24" i="5"/>
  <c r="H38" i="5"/>
  <c r="H62" i="5"/>
  <c r="D62" i="5"/>
  <c r="D64" i="5"/>
  <c r="J48" i="14"/>
  <c r="J49" i="14"/>
  <c r="J51" i="14"/>
  <c r="J55" i="14"/>
  <c r="J36" i="14"/>
  <c r="J40" i="14"/>
  <c r="J41" i="14"/>
  <c r="K39" i="14"/>
  <c r="K41" i="14"/>
  <c r="L39" i="14"/>
  <c r="L41" i="14"/>
  <c r="M39" i="14"/>
  <c r="M41" i="14"/>
  <c r="N39" i="14"/>
  <c r="N41" i="14"/>
  <c r="R50" i="14"/>
  <c r="D38" i="5"/>
  <c r="D39" i="5"/>
  <c r="D41" i="5"/>
  <c r="D45" i="5"/>
  <c r="D46" i="5"/>
  <c r="D24" i="5"/>
  <c r="E24" i="5"/>
  <c r="F38" i="5"/>
  <c r="F39" i="5"/>
  <c r="F41" i="5"/>
  <c r="F45" i="5"/>
</calcChain>
</file>

<file path=xl/sharedStrings.xml><?xml version="1.0" encoding="utf-8"?>
<sst xmlns="http://schemas.openxmlformats.org/spreadsheetml/2006/main" count="478" uniqueCount="308">
  <si>
    <t>Public shares</t>
  </si>
  <si>
    <t>Total shares outstanding</t>
  </si>
  <si>
    <t>Implied equity value</t>
  </si>
  <si>
    <t>Implied transaction value</t>
  </si>
  <si>
    <t>Existing Twitter cash</t>
  </si>
  <si>
    <t>Total</t>
  </si>
  <si>
    <t>Purchase of public equity</t>
  </si>
  <si>
    <t>Refinancing of existing debt</t>
  </si>
  <si>
    <t>Revenue</t>
  </si>
  <si>
    <t>EBITDA</t>
  </si>
  <si>
    <t>EBIT</t>
  </si>
  <si>
    <t>Net Income</t>
  </si>
  <si>
    <t>Income Statement</t>
  </si>
  <si>
    <t>Gross Profit Margin</t>
  </si>
  <si>
    <t>Adjusted EBITDA Margin</t>
  </si>
  <si>
    <t>-</t>
  </si>
  <si>
    <t>Date</t>
  </si>
  <si>
    <t>Equity Investor</t>
  </si>
  <si>
    <t>Lawrence J. Ellison Revocable Trust</t>
  </si>
  <si>
    <t>Sequoia Capital Fund LP</t>
  </si>
  <si>
    <t>Vy Capital</t>
  </si>
  <si>
    <t>Binance</t>
  </si>
  <si>
    <t>AH Capital Management LLC</t>
  </si>
  <si>
    <t>Qatar Holidng LLC</t>
  </si>
  <si>
    <t>Aliya Capital Partners LLC</t>
  </si>
  <si>
    <t>Fidelity Management &amp; Research Company LLC</t>
  </si>
  <si>
    <t>Brookfield</t>
  </si>
  <si>
    <t>Strauss Capital LLC</t>
  </si>
  <si>
    <t>BAMCO Inc. (Baron)</t>
  </si>
  <si>
    <t>DFJ Growth IV Partners LLC</t>
  </si>
  <si>
    <t>Witkoff Capital</t>
  </si>
  <si>
    <t>Key Wealth Advisors LLC</t>
  </si>
  <si>
    <t>A.M. Management &amp; Consulting</t>
  </si>
  <si>
    <t>Litani Ventures</t>
  </si>
  <si>
    <t>Tresser Blvd. 402 LLC (Cartenna)</t>
  </si>
  <si>
    <t>Honeycomb Asset Management LP</t>
  </si>
  <si>
    <t>Equity Beta</t>
  </si>
  <si>
    <t>PE Ratio</t>
  </si>
  <si>
    <t>EV/EBITDA</t>
  </si>
  <si>
    <t>Snap Inc. (SNAP)</t>
  </si>
  <si>
    <t>Weibo Corporation (WB)</t>
  </si>
  <si>
    <t>Year</t>
  </si>
  <si>
    <t>Metric</t>
  </si>
  <si>
    <t>Revenue Growth</t>
  </si>
  <si>
    <t>Capital Expenditures</t>
  </si>
  <si>
    <t>Tax Rate</t>
  </si>
  <si>
    <t>Taxes</t>
  </si>
  <si>
    <t>Elon Musk's shares</t>
  </si>
  <si>
    <t>Equity</t>
  </si>
  <si>
    <t xml:space="preserve">   Sponsor equity</t>
  </si>
  <si>
    <t xml:space="preserve">   Revenue</t>
  </si>
  <si>
    <t xml:space="preserve">      Growth</t>
  </si>
  <si>
    <t xml:space="preserve">   Non-Recurring Operating Expenses</t>
  </si>
  <si>
    <t xml:space="preserve">   Operating Income / (Loss)</t>
  </si>
  <si>
    <t xml:space="preserve">   EBITDA</t>
  </si>
  <si>
    <t xml:space="preserve">   Interest Expense</t>
  </si>
  <si>
    <t xml:space="preserve">   Interest Income</t>
  </si>
  <si>
    <t xml:space="preserve">   Other Income / (Expense)</t>
  </si>
  <si>
    <t xml:space="preserve">   Net Interest Income / (Expense)</t>
  </si>
  <si>
    <t xml:space="preserve">   Taxable Income</t>
  </si>
  <si>
    <t xml:space="preserve">   Provision / (Benefit) For Income Taxes</t>
  </si>
  <si>
    <t xml:space="preserve">   Net Income / (Loss)</t>
  </si>
  <si>
    <t>Balance Sheet</t>
  </si>
  <si>
    <t xml:space="preserve">   Cash and cash equivalents</t>
  </si>
  <si>
    <t xml:space="preserve">   Short-term investments</t>
  </si>
  <si>
    <t xml:space="preserve">   Total Current Assets</t>
  </si>
  <si>
    <t xml:space="preserve">   Property and Equipment, Net</t>
  </si>
  <si>
    <t xml:space="preserve">   Intangible Assets, Net</t>
  </si>
  <si>
    <t xml:space="preserve">   Goodwill</t>
  </si>
  <si>
    <t xml:space="preserve">   Total Assets</t>
  </si>
  <si>
    <t xml:space="preserve">   Convertible Notes, Short-Term</t>
  </si>
  <si>
    <t xml:space="preserve">   Total Current Liabilities</t>
  </si>
  <si>
    <t xml:space="preserve">   Convertible Notes, Long-Term</t>
  </si>
  <si>
    <t xml:space="preserve">   Senior Notes, Long-Term</t>
  </si>
  <si>
    <t xml:space="preserve">   Total Liabilities</t>
  </si>
  <si>
    <t xml:space="preserve">   Total Stockholders' Equity</t>
  </si>
  <si>
    <t>Twitter Inc.</t>
  </si>
  <si>
    <t>2021 A</t>
  </si>
  <si>
    <t>Depreciation and Amortization</t>
  </si>
  <si>
    <t>EBITDA Margin (Pre-Tax)</t>
  </si>
  <si>
    <t>Capital Expenditures (% Revenue)</t>
  </si>
  <si>
    <t>Change in NWC (% Change in Revenue)</t>
  </si>
  <si>
    <t>Terminal EBITDA Multiple (x)</t>
  </si>
  <si>
    <t>Debt</t>
  </si>
  <si>
    <t>Min. Cash Balance</t>
  </si>
  <si>
    <t>Elon Musk's  Required Return</t>
  </si>
  <si>
    <t>Sponsors' Required Return</t>
  </si>
  <si>
    <t>Flow to Equity Valuation Analysis</t>
  </si>
  <si>
    <t>2022 E</t>
  </si>
  <si>
    <t>Interest Expense</t>
  </si>
  <si>
    <t>Earnings Before Taxes</t>
  </si>
  <si>
    <t>Change in NWC</t>
  </si>
  <si>
    <t>Cash Flow Available to Repay Debt</t>
  </si>
  <si>
    <t>Debt Draw Down / Repayment</t>
  </si>
  <si>
    <t>Enterprise Value</t>
  </si>
  <si>
    <t>Interest Coverage (EBITDA/Interest)</t>
  </si>
  <si>
    <t>Total Debt / EBITDA</t>
  </si>
  <si>
    <t>(EBITDA - CAPEX) / Interest Expense</t>
  </si>
  <si>
    <t>Sponsor and Elon's 5-year IRR</t>
  </si>
  <si>
    <t>Tesla Adj Close</t>
  </si>
  <si>
    <t>Tesla Cum. Return</t>
  </si>
  <si>
    <t>Twitter Adj Close</t>
  </si>
  <si>
    <t>Twitter Cum. Return</t>
  </si>
  <si>
    <t>S&amp;P 500 (VOO) Adj. Close</t>
  </si>
  <si>
    <t>S&amp;P 500 (VOO) Cum. Return</t>
  </si>
  <si>
    <t>Free Cash Flows</t>
  </si>
  <si>
    <t>Operating Income</t>
  </si>
  <si>
    <t>Match Group, Inc. (MTCH)</t>
  </si>
  <si>
    <t>Bumble Inc. (BMBL)</t>
  </si>
  <si>
    <t>Sources and Uses Table</t>
  </si>
  <si>
    <t>Fees</t>
  </si>
  <si>
    <t>Cash Flow to Equity</t>
  </si>
  <si>
    <t>Terminal Value (TV)</t>
  </si>
  <si>
    <t>Terminal Value of Equity (TVE)</t>
  </si>
  <si>
    <t>PV of Equity (@25%)</t>
  </si>
  <si>
    <t>Implied share price</t>
  </si>
  <si>
    <r>
      <t xml:space="preserve">      </t>
    </r>
    <r>
      <rPr>
        <i/>
        <sz val="11"/>
        <color theme="1"/>
        <rFont val="Arial"/>
        <family val="2"/>
      </rPr>
      <t>Operating Margin</t>
    </r>
  </si>
  <si>
    <r>
      <t xml:space="preserve">      </t>
    </r>
    <r>
      <rPr>
        <i/>
        <sz val="11"/>
        <color theme="1"/>
        <rFont val="Arial"/>
        <family val="2"/>
      </rPr>
      <t>EBITDA Margin</t>
    </r>
  </si>
  <si>
    <r>
      <t xml:space="preserve">Cash Flow to Equity </t>
    </r>
    <r>
      <rPr>
        <i/>
        <sz val="11"/>
        <color theme="1"/>
        <rFont val="Arial"/>
        <family val="2"/>
      </rPr>
      <t>with</t>
    </r>
    <r>
      <rPr>
        <sz val="11"/>
        <color theme="1"/>
        <rFont val="Arial"/>
        <family val="2"/>
      </rPr>
      <t xml:space="preserve"> TVE and Initial Equity</t>
    </r>
  </si>
  <si>
    <t>Twitter Inc. (TWTR)</t>
  </si>
  <si>
    <t>Meta Platforms Inc. (FB)</t>
  </si>
  <si>
    <t>Pinterest Inc. (PINS)</t>
  </si>
  <si>
    <t>Amount (in US$ Million)</t>
  </si>
  <si>
    <t>Excess Cash**</t>
  </si>
  <si>
    <t>Blended Interest Rate on Debt**</t>
  </si>
  <si>
    <t>Note: A = actual; E = estimated; EBITDA = earnings before interest, taxes, depreciation, and amortization; NWC = net working capital; TVE = terminal value of equity; PV = present value; IRR = internal rate of return; CAPEX = capital expenses; SOFR = secured overnight financing rate; *Assuming US$12.5 billion margin loan with a SOFR spread of 3%, $9.5 billion senior secured debt with a SOFR spread of 5.42%, and $3 billion unsecured debt with SOFR spread of 10%; projected SOFR over holding period assumed to be approximately 2.25%; **Calculated as the difference between cash at the end of 2021 and minimum cash assumed to be maintained at the time of acquisition</t>
  </si>
  <si>
    <t>2023 E</t>
  </si>
  <si>
    <t>2024 E</t>
  </si>
  <si>
    <t>2025 E</t>
  </si>
  <si>
    <t>2026 E</t>
  </si>
  <si>
    <t>2027 E</t>
  </si>
  <si>
    <t>Closing (2022 E)</t>
  </si>
  <si>
    <t>2028 E</t>
  </si>
  <si>
    <t>MAU
(in Million)</t>
  </si>
  <si>
    <t>EV/MAU</t>
  </si>
  <si>
    <t>EV/Revenue</t>
  </si>
  <si>
    <t>Debt Value
(US$ Billion)</t>
  </si>
  <si>
    <t>Stock Price
(December 31)</t>
  </si>
  <si>
    <t>Shares
(in Million)</t>
  </si>
  <si>
    <t>Revenue
(US$ Million)</t>
  </si>
  <si>
    <t>Equity Value 
(US$ Billions)</t>
  </si>
  <si>
    <t>Market Cap 
(US$ Billion)</t>
  </si>
  <si>
    <t>Note: EBITDA = earnings before interest, taxes, depreciation, and amortization; equity value = market value of equity; debt value = market value of debt estimated using book value; adjusted EBITDA accounts for irregular or one-time line items; equity betas use five-year periods and monthly returns; MAU = monthly active users; PE = price-to-earnings; EV = enterprise value</t>
  </si>
  <si>
    <t>Transaction Summary (All Amounts in Million, Except per Share Data)</t>
  </si>
  <si>
    <t>Sources (US$ Million)</t>
  </si>
  <si>
    <t>Uses (US$ Million)</t>
  </si>
  <si>
    <t>Cash**</t>
  </si>
  <si>
    <t>Total debt (excludes operating leases)*</t>
  </si>
  <si>
    <t>Minimum cash****</t>
  </si>
  <si>
    <t>Note: *Total debt calculated as sum of short-term and long-term interest-bearing debt; **Cash and cash equivalents calculated as sum of cash and short-term investments; ***Estimate based on details provided in the financing documents, indicating Term Loan of $6.5 billion, secured bridge loan of $3 Billion, unsecured bridge loan of $3 billion, (Elon Musk's) margin loan of $12.5 billion and aggregate equity commitment of $21 Billion; ****Minimum cash expected to be maintained at the time of acquisition to support the high level of debt</t>
  </si>
  <si>
    <t>Source: Adapted by the case authors from FT Alphaville, “Alphaville's Twitter LBO Model,” Financial Times, April 17, 2022, https://www.ft.com/cont ent/c52aea67-9e6a-4e04-adc2-744bc4e0b738; United States Securities and Exchange Commission, Twitter Inc.: Amendment No. 4 to Schedule 13d, April 25, 2022, https://www.sec.gov/Archives/edgar/data/1418091/000110465922049844/tm2213189d8_sc13da.htm.</t>
  </si>
  <si>
    <t xml:space="preserve">   Musk's equity roll-over</t>
  </si>
  <si>
    <t>Musk's equity rollover at buyout price</t>
  </si>
  <si>
    <t>New debt***</t>
  </si>
  <si>
    <t>EXHIBIT 4: TRANSACTION SUMMARY</t>
  </si>
  <si>
    <t>EXHIBIT 5: COMPARABLE COMPANY FINANCIAL BENCHMARKS</t>
  </si>
  <si>
    <t>EXHIBIT 6: PROJECTED NET INCOME GIVEN EBITDA GROWTH (BEST-CASE SCENARIO)</t>
  </si>
  <si>
    <t>EXHIBIT 7: ELON MUSK’S PROSPECTIVE EQUITY PARTNERS</t>
  </si>
  <si>
    <t xml:space="preserve">   Depreciation and Amortization</t>
  </si>
  <si>
    <t>Note: D&amp;A = depreciation and amortization; EBITDA = earnings before interest, taxes, depreciation, and amortization</t>
  </si>
  <si>
    <t>Source: United States Securities and Exchange Commission, Twitter, Inc: Fiscal Year 2019 Annual Report, accessed September 13, 2022, https://s22.q4cdn.com/826641620/files/doc_financials/2019/FiscalYR2019_Twitter_Annual_-Report-(3).pdf; United States Securities and Exchange Commission, Twitter, Inc: Fiscal Year 2020 Annual Report, accessed September 13, 2022, https://www.sec.gov/Archives/edgar/data/1418091/000141809121000031/twtr-20201231.htm; United States Securities and Exchange Commission, Twitter, Inc: Fiscal Year 2021 Annual Report, accessed September 13, 2022, https://www.sec.gov/Archives/edgar/data/1418091/000141809122000029/twtr-20211231.htm.</t>
  </si>
  <si>
    <t>EXHIBIT 2: TWITTER INC. MONTHLY ACTIVE USER GROWTH AND FINANCIAL PERFORMANCE</t>
  </si>
  <si>
    <t>Monthly Active Users (in Million)</t>
  </si>
  <si>
    <t>US$ Million</t>
  </si>
  <si>
    <t>Note: MAU = monthly active users</t>
  </si>
  <si>
    <t>Source: Adapted by the case authors from Brian Dean, “How Many People Use Twitter in 2022? [New Twitter Stats],” Backlinko, January 5, 2022, https://backlinko.com/twitter-users; “Twitter Revenue 2011–2022 | TWTR,” Macrotrends, accessed September 13, 2022, https://www.macrotrends.net/stocks/charts/TWTR/twitter/revenue.</t>
  </si>
  <si>
    <t xml:space="preserve">   Recurring Operating Expenses (including D&amp;A)</t>
  </si>
  <si>
    <t>Musk's bid price</t>
  </si>
  <si>
    <t>Source: "Elon Musk Secures $7.1 Billion in New Financing for Twitter," Bloomberg, May 5, 2022, https://www.bloomberglinea.com/2022/05/05/elon-musk-secures-71-billion-in-new-financing-for-twitter.</t>
  </si>
  <si>
    <t>EXHIBIT 3: FINANCIAL STATEMENTS OF TWITTER INC. (US$ MILLION)</t>
  </si>
  <si>
    <t>EXHIBIT 1: STOCK PERFORMANCE OF TESLA INC. AND TWITTER INC.</t>
  </si>
  <si>
    <t>Source: Exhibit 4: Transaction Summary</t>
  </si>
  <si>
    <t>Source:Adapted by the case authors from Yahoo! Finance, accessed April 26, 2022, https://finance.yahoo.com/; Macrotrends, accessed April 26, 2022, https://www.macrotrends.net/; Finbox, accessed April 27, 2022, https://finbox.com/.</t>
  </si>
  <si>
    <t>Product Number:</t>
  </si>
  <si>
    <t>Title:</t>
  </si>
  <si>
    <t>Prepared by:</t>
  </si>
  <si>
    <t>Last Revised:</t>
  </si>
  <si>
    <t xml:space="preserve">No part of this file may be reproduced, stored in a retrieval system, posted to the Internet, or transmitted in any form or by any means without the permission of Ivey Business School Foundation.  To order copies or request permission to reproduce materials, contact Ivey Publishing, Ivey Business School, Western University, London, Ontario, Canada, N6G 0N1; (t) 519.661.3208; (e) cases@ivey.ca; www.iveypublishing.ca. Our goal is to publish materials of the highest quality; submit any errata to publishcases@ivey.ca. </t>
  </si>
  <si>
    <t>W30170</t>
  </si>
  <si>
    <t>Elon Musk’s Twitter Deal: Valuation and Financing of the Leveraged Buyout - Student Spreadsheet</t>
  </si>
  <si>
    <t>This spreadsheet supports the product "Elon Musk’s Twitter Deal: Valuation and Financing of the Leveraged Buyout " (W30166)</t>
  </si>
  <si>
    <t>© 2022 Ivey Business School Foundation</t>
  </si>
  <si>
    <t>Atif Ikram, Frank Li</t>
  </si>
  <si>
    <t>Base</t>
  </si>
  <si>
    <t>Bull</t>
  </si>
  <si>
    <t>Bear</t>
  </si>
  <si>
    <t>Equity RR</t>
  </si>
  <si>
    <t>EBITDA %</t>
  </si>
  <si>
    <t xml:space="preserve">ST Growth </t>
  </si>
  <si>
    <t>LT Growth</t>
  </si>
  <si>
    <t xml:space="preserve">Exit </t>
  </si>
  <si>
    <t>Input</t>
  </si>
  <si>
    <t>Chooser</t>
  </si>
  <si>
    <t>Pprice</t>
  </si>
  <si>
    <t>FCFE</t>
  </si>
  <si>
    <t>Assumptions</t>
  </si>
  <si>
    <t>LBO TWITTER</t>
  </si>
  <si>
    <t>x</t>
  </si>
  <si>
    <t>Financials</t>
  </si>
  <si>
    <t>Operating Model</t>
  </si>
  <si>
    <t>Metrics</t>
  </si>
  <si>
    <t>Operating Assumptions</t>
  </si>
  <si>
    <t>D&amp;A % of Rev</t>
  </si>
  <si>
    <t>Blended Interest Rate on Debt</t>
  </si>
  <si>
    <t>Input Selector</t>
  </si>
  <si>
    <t>EBITDA Margin</t>
  </si>
  <si>
    <t>Near-Term Growth Rate</t>
  </si>
  <si>
    <t>Perpetual Growth Rate</t>
  </si>
  <si>
    <t>Required Return on Equity</t>
  </si>
  <si>
    <t>Financial Assumptions</t>
  </si>
  <si>
    <t>Entry</t>
  </si>
  <si>
    <t>Debt &amp; Cash Model</t>
  </si>
  <si>
    <t>Starting Cash</t>
  </si>
  <si>
    <t xml:space="preserve">(+/-) Cash </t>
  </si>
  <si>
    <t>Ending Cash</t>
  </si>
  <si>
    <t>Starting Debt</t>
  </si>
  <si>
    <t>Debt Draw Down/ Repayment</t>
  </si>
  <si>
    <t>Ending Debt</t>
  </si>
  <si>
    <t>Cash Paid Towards Debt from Excess Cash</t>
  </si>
  <si>
    <t>Initial Equity Investment</t>
  </si>
  <si>
    <t>(-) Initial Investment</t>
  </si>
  <si>
    <t>(+) Exit Equity Proceeds</t>
  </si>
  <si>
    <t>Returns Calculations</t>
  </si>
  <si>
    <t>(x) Exit Multiple</t>
  </si>
  <si>
    <t>Exit Enterprise Value</t>
  </si>
  <si>
    <t>(-) Net Debt</t>
  </si>
  <si>
    <t>Exit Equity Value</t>
  </si>
  <si>
    <t>Returns To Equity Investors</t>
  </si>
  <si>
    <t>Total Cash Flows</t>
  </si>
  <si>
    <t>Equity Investors IRR</t>
  </si>
  <si>
    <t>For Refference</t>
  </si>
  <si>
    <t>IRR</t>
  </si>
  <si>
    <t>Investors IRR</t>
  </si>
  <si>
    <t>Present Value of Equity Investment</t>
  </si>
  <si>
    <t>Terminal Value</t>
  </si>
  <si>
    <t>Terminal Value of Equity</t>
  </si>
  <si>
    <t>Cash Flow to Equity with TVE and Initial Equity</t>
  </si>
  <si>
    <t>Present Value of Cash Flows</t>
  </si>
  <si>
    <t>&lt;---CHANGE THIS BETWEEN 1,2 &amp; 3 to get the different scenarios</t>
  </si>
  <si>
    <t>Exit EBITDA</t>
  </si>
  <si>
    <t>EV</t>
  </si>
  <si>
    <t>PV of Equity</t>
  </si>
  <si>
    <t>For Document</t>
  </si>
  <si>
    <t>EBITDA '27</t>
  </si>
  <si>
    <t>Exit EV</t>
  </si>
  <si>
    <t>Exit MC</t>
  </si>
  <si>
    <t>PV Equity</t>
  </si>
  <si>
    <t>Multiple</t>
  </si>
  <si>
    <t>Valuation (x)</t>
  </si>
  <si>
    <t>Company</t>
  </si>
  <si>
    <t>EV/</t>
  </si>
  <si>
    <t>Name</t>
  </si>
  <si>
    <t>P/E</t>
  </si>
  <si>
    <t>MAU</t>
  </si>
  <si>
    <t>8,60x</t>
  </si>
  <si>
    <t>16,10x</t>
  </si>
  <si>
    <t>302,24x</t>
  </si>
  <si>
    <t>8,90x</t>
  </si>
  <si>
    <t>56,80x</t>
  </si>
  <si>
    <t>50,49x</t>
  </si>
  <si>
    <t>20,10x</t>
  </si>
  <si>
    <t>175,86x</t>
  </si>
  <si>
    <t>2,60x</t>
  </si>
  <si>
    <t>7,40x</t>
  </si>
  <si>
    <t>9,60x</t>
  </si>
  <si>
    <t>6,80x</t>
  </si>
  <si>
    <t>41,90x</t>
  </si>
  <si>
    <t>92,17x</t>
  </si>
  <si>
    <t>Average</t>
  </si>
  <si>
    <t>9,40x</t>
  </si>
  <si>
    <t>30,55x</t>
  </si>
  <si>
    <t>126,07x</t>
  </si>
  <si>
    <t>Median</t>
  </si>
  <si>
    <t>29,00x</t>
  </si>
  <si>
    <t>ST. Dev.</t>
  </si>
  <si>
    <t>6,49x</t>
  </si>
  <si>
    <t>22,82x</t>
  </si>
  <si>
    <t>116,13x</t>
  </si>
  <si>
    <t>Meta Platforms Inc.</t>
  </si>
  <si>
    <t xml:space="preserve">Pinterest Inc. </t>
  </si>
  <si>
    <t xml:space="preserve">Snap Inc. </t>
  </si>
  <si>
    <t>Weibo Corporation</t>
  </si>
  <si>
    <t>Implied Share Price Avg</t>
  </si>
  <si>
    <t>Implied Share Price Median</t>
  </si>
  <si>
    <t>Average Implied Share Price</t>
  </si>
  <si>
    <t xml:space="preserve">Compareables </t>
  </si>
  <si>
    <t>Valuation Twitter</t>
  </si>
  <si>
    <t>Trading Multiples</t>
  </si>
  <si>
    <t>Market Data ($)</t>
  </si>
  <si>
    <t>Financial (€)</t>
  </si>
  <si>
    <t>Shares Out</t>
  </si>
  <si>
    <t>Price</t>
  </si>
  <si>
    <t>Mkt Cap (B)</t>
  </si>
  <si>
    <t>EV (B)</t>
  </si>
  <si>
    <t>Diluted (M)</t>
  </si>
  <si>
    <t>Revenue (M)</t>
  </si>
  <si>
    <t>MAU (M)</t>
  </si>
  <si>
    <t>Last Debt (B)</t>
  </si>
  <si>
    <t>Twitter</t>
  </si>
  <si>
    <t>In Millions</t>
  </si>
  <si>
    <t>Ratio</t>
  </si>
  <si>
    <t>Implied EV Avg</t>
  </si>
  <si>
    <t>Cash</t>
  </si>
  <si>
    <t>Implied EV Median</t>
  </si>
  <si>
    <t>Implied MC Avg</t>
  </si>
  <si>
    <t>Implied MC Median</t>
  </si>
  <si>
    <t>CAGR</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</si>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</sst>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8" formatCode="&quot;$&quot;#,##0.00_);[Red]\(&quot;$&quot;#,##0.00\)"/>
    <numFmt numFmtId="44" formatCode="_(&quot;$&quot;* #,##0.00_);_(&quot;$&quot;* \(#,##0.00\);_(&quot;$&quot;* &quot;-&quot;??_);_(@_)"/>
    <numFmt numFmtId="43" formatCode="_(* #,##0.00_);_(* \(#,##0.00\);_(* &quot;-&quot;??_);_(@_)"/>
    <numFmt numFmtId="164" formatCode="&quot;$&quot;#,##0;[Red]\-&quot;$&quot;#,##0"/>
    <numFmt numFmtId="165" formatCode="&quot;$&quot;#,##0.00"/>
    <numFmt numFmtId="166" formatCode="&quot;$&quot;#,##0"/>
    <numFmt numFmtId="167" formatCode="_(&quot;$&quot;* #,##0_);_(&quot;$&quot;* \(#,##0\);_(&quot;$&quot;* &quot;-&quot;??_);_(@_)"/>
    <numFmt numFmtId="168" formatCode="&quot;$&quot;#,##0.0000"/>
    <numFmt numFmtId="169" formatCode="&quot;$&quot;#,##0.000"/>
    <numFmt numFmtId="170" formatCode="0.0%"/>
    <numFmt numFmtId="171" formatCode="_(* #,##0.0_);_(* \(#,##0.0\);_(* &quot;-&quot;?_);_(@_)"/>
    <numFmt numFmtId="172" formatCode="0.0%;\(0.0%\)"/>
    <numFmt numFmtId="173" formatCode="0.0"/>
    <numFmt numFmtId="174" formatCode="[$-409]mmmm\ d\,\ yyyy;@"/>
    <numFmt numFmtId="175" formatCode="0.0\x"/>
    <numFmt numFmtId="176" formatCode="0.0000%"/>
    <numFmt numFmtId="177" formatCode="0&quot;A&quot;"/>
    <numFmt numFmtId="178" formatCode="0&quot;E&quot;"/>
    <numFmt numFmtId="179" formatCode="_(* #,##0.0_);_(* \(#,##0.0\);_(* &quot;-&quot;??_);_(@_)"/>
    <numFmt numFmtId="180" formatCode="_(* #,##0_);_(* \(#,##0\);_(* &quot;-&quot;??_);_(@_)"/>
  </numFmts>
  <fonts count="39"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sz val="11"/>
      <name val="Arial"/>
      <family val="2"/>
    </font>
    <font>
      <sz val="11"/>
      <color theme="4"/>
      <name val="Arial"/>
      <family val="2"/>
    </font>
    <font>
      <i/>
      <sz val="11"/>
      <color theme="1"/>
      <name val="Arial"/>
      <family val="2"/>
    </font>
    <font>
      <i/>
      <sz val="11"/>
      <name val="Arial"/>
      <family val="2"/>
    </font>
    <font>
      <b/>
      <sz val="9"/>
      <color theme="1"/>
      <name val="Arial"/>
      <family val="2"/>
    </font>
    <font>
      <sz val="9"/>
      <color theme="1"/>
      <name val="Arial"/>
      <family val="2"/>
    </font>
    <font>
      <sz val="8"/>
      <color theme="1"/>
      <name val="Arial"/>
      <family val="2"/>
    </font>
    <font>
      <i/>
      <sz val="11"/>
      <color theme="4"/>
      <name val="Arial"/>
      <family val="2"/>
    </font>
    <font>
      <b/>
      <sz val="12"/>
      <color theme="1"/>
      <name val="Arial"/>
      <family val="2"/>
    </font>
    <font>
      <sz val="11"/>
      <color theme="1"/>
      <name val="Calibri"/>
      <family val="2"/>
    </font>
    <font>
      <i/>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2"/>
      <color theme="1"/>
      <name val="Arial"/>
      <family val="2"/>
    </font>
    <font>
      <b/>
      <sz val="20"/>
      <color theme="1"/>
      <name val="Calibri"/>
      <family val="2"/>
      <scheme val="minor"/>
    </font>
    <font>
      <sz val="11"/>
      <color theme="9" tint="-0.249977111117893"/>
      <name val="Calibri"/>
      <family val="2"/>
      <scheme val="minor"/>
    </font>
    <font>
      <b/>
      <u/>
      <sz val="11"/>
      <color theme="1"/>
      <name val="Calibri"/>
      <family val="2"/>
      <scheme val="minor"/>
    </font>
    <font>
      <sz val="11"/>
      <color rgb="FF7030A0"/>
      <name val="Calibri"/>
      <family val="2"/>
      <scheme val="minor"/>
    </font>
    <font>
      <i/>
      <sz val="11"/>
      <color theme="9" tint="-0.249977111117893"/>
      <name val="Calibri"/>
      <family val="2"/>
      <scheme val="minor"/>
    </font>
    <font>
      <sz val="10"/>
      <color theme="1"/>
      <name val="Calibri"/>
      <family val="2"/>
      <scheme val="minor"/>
    </font>
    <font>
      <b/>
      <sz val="11"/>
      <color theme="9" tint="-0.249977111117893"/>
      <name val="Calibri"/>
      <family val="2"/>
      <scheme val="minor"/>
    </font>
    <font>
      <b/>
      <sz val="12"/>
      <color rgb="FFC00000"/>
      <name val="Arial"/>
      <family val="2"/>
    </font>
    <font>
      <b/>
      <sz val="10"/>
      <color rgb="FFFFFFFF"/>
      <name val="Arial"/>
      <family val="2"/>
    </font>
    <font>
      <sz val="11"/>
      <color rgb="FF000000"/>
      <name val="Calibri"/>
      <family val="2"/>
      <scheme val="minor"/>
    </font>
    <font>
      <b/>
      <sz val="11"/>
      <color rgb="FF000000"/>
      <name val="Calibri"/>
      <family val="2"/>
      <scheme val="minor"/>
    </font>
    <font>
      <b/>
      <sz val="20"/>
      <color rgb="FF000000"/>
      <name val="Calibri"/>
      <family val="2"/>
      <scheme val="minor"/>
    </font>
    <font>
      <b/>
      <sz val="10"/>
      <color rgb="FFFFFFFF"/>
      <name val="Arial Nova Light"/>
      <family val="2"/>
    </font>
    <font>
      <sz val="11"/>
      <color rgb="FFFFFFFF"/>
      <name val="Arial Nova Light"/>
      <family val="2"/>
    </font>
    <font>
      <sz val="11"/>
      <color rgb="FF000000"/>
      <name val="Arial Nova Light"/>
      <family val="2"/>
    </font>
    <font>
      <sz val="11"/>
      <color rgb="FF4472C4"/>
      <name val="Arial Nova Light"/>
      <family val="2"/>
    </font>
    <font>
      <b/>
      <sz val="11"/>
      <color rgb="FF000000"/>
      <name val="Arial Nova Light"/>
      <family val="2"/>
    </font>
    <font>
      <b/>
      <sz val="11"/>
      <color theme="0"/>
      <name val="Arial Nova Light"/>
      <family val="2"/>
    </font>
    <font>
      <sz val="11"/>
      <color theme="1"/>
      <name val="Arial Nova Light"/>
      <family val="2"/>
    </font>
    <font>
      <i/>
      <sz val="11"/>
      <color theme="1"/>
      <name val="Arial Nova Light"/>
      <family val="2"/>
    </font>
  </fonts>
  <fills count="13">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4" tint="0.79998168889431442"/>
        <bgColor indexed="64"/>
      </patternFill>
    </fill>
    <fill>
      <patternFill patternType="solid">
        <fgColor theme="7" tint="0.79998168889431442"/>
        <bgColor indexed="64"/>
      </patternFill>
    </fill>
    <fill>
      <patternFill patternType="solid">
        <fgColor theme="3"/>
        <bgColor indexed="64"/>
      </patternFill>
    </fill>
    <fill>
      <patternFill patternType="solid">
        <fgColor theme="4"/>
        <bgColor indexed="64"/>
      </patternFill>
    </fill>
    <fill>
      <patternFill patternType="solid">
        <fgColor rgb="FF7030A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44546A"/>
        <bgColor rgb="FF000000"/>
      </patternFill>
    </fill>
    <fill>
      <patternFill patternType="solid">
        <fgColor rgb="FFE7E6E6"/>
        <bgColor rgb="FF000000"/>
      </patternFill>
    </fill>
  </fills>
  <borders count="2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indexed="64"/>
      </bottom>
      <diagonal/>
    </border>
    <border>
      <left/>
      <right style="thin">
        <color theme="0"/>
      </right>
      <top/>
      <bottom/>
      <diagonal/>
    </border>
    <border>
      <left/>
      <right/>
      <top/>
      <bottom style="thin">
        <color theme="0"/>
      </bottom>
      <diagonal/>
    </border>
    <border>
      <left/>
      <right/>
      <top style="thin">
        <color theme="0"/>
      </top>
      <bottom/>
      <diagonal/>
    </border>
    <border>
      <left/>
      <right/>
      <top/>
      <bottom style="thin">
        <color rgb="FF000000"/>
      </bottom>
      <diagonal/>
    </border>
    <border>
      <left/>
      <right/>
      <top/>
      <bottom style="thin">
        <color theme="1"/>
      </bottom>
      <diagonal/>
    </border>
    <border>
      <left/>
      <right/>
      <top/>
      <bottom style="thin">
        <color rgb="FFFFFFFF"/>
      </bottom>
      <diagonal/>
    </border>
  </borders>
  <cellStyleXfs count="5">
    <xf numFmtId="0" fontId="0"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3" borderId="16" applyNumberFormat="0" applyFont="0" applyAlignment="0" applyProtection="0"/>
  </cellStyleXfs>
  <cellXfs count="300">
    <xf numFmtId="0" fontId="0" fillId="0" borderId="0" xfId="0"/>
    <xf numFmtId="0" fontId="2" fillId="0" borderId="0" xfId="0" applyFont="1"/>
    <xf numFmtId="0" fontId="2" fillId="0" borderId="0" xfId="0" applyFont="1" applyAlignment="1">
      <alignment horizontal="center"/>
    </xf>
    <xf numFmtId="14" fontId="2" fillId="0" borderId="0" xfId="0" applyNumberFormat="1" applyFont="1"/>
    <xf numFmtId="2" fontId="2" fillId="0" borderId="0" xfId="0" applyNumberFormat="1" applyFont="1"/>
    <xf numFmtId="2" fontId="2" fillId="0" borderId="0" xfId="0" applyNumberFormat="1" applyFont="1" applyAlignment="1">
      <alignment horizontal="center"/>
    </xf>
    <xf numFmtId="0" fontId="3" fillId="2" borderId="2" xfId="0" applyFont="1" applyFill="1" applyBorder="1" applyAlignment="1">
      <alignment horizontal="center"/>
    </xf>
    <xf numFmtId="0" fontId="2" fillId="2" borderId="15" xfId="0" applyFont="1" applyFill="1" applyBorder="1"/>
    <xf numFmtId="0" fontId="2" fillId="2" borderId="0" xfId="0" applyFont="1" applyFill="1"/>
    <xf numFmtId="1" fontId="2" fillId="2" borderId="15" xfId="0" applyNumberFormat="1" applyFont="1" applyFill="1" applyBorder="1"/>
    <xf numFmtId="1" fontId="2" fillId="2" borderId="0" xfId="0" applyNumberFormat="1" applyFont="1" applyFill="1"/>
    <xf numFmtId="0" fontId="2" fillId="2" borderId="7" xfId="0" applyFont="1" applyFill="1" applyBorder="1"/>
    <xf numFmtId="0" fontId="2" fillId="2" borderId="13" xfId="0" applyFont="1" applyFill="1" applyBorder="1"/>
    <xf numFmtId="1" fontId="2" fillId="2" borderId="13" xfId="0" applyNumberFormat="1" applyFont="1" applyFill="1" applyBorder="1"/>
    <xf numFmtId="0" fontId="2" fillId="2" borderId="14" xfId="0" applyFont="1" applyFill="1" applyBorder="1"/>
    <xf numFmtId="0" fontId="2" fillId="2" borderId="1" xfId="0" applyFont="1" applyFill="1" applyBorder="1"/>
    <xf numFmtId="1" fontId="2" fillId="2" borderId="14" xfId="0" applyNumberFormat="1" applyFont="1" applyFill="1" applyBorder="1"/>
    <xf numFmtId="1" fontId="2" fillId="2" borderId="1" xfId="0" applyNumberFormat="1" applyFont="1" applyFill="1" applyBorder="1"/>
    <xf numFmtId="0" fontId="2" fillId="2" borderId="8" xfId="0" applyFont="1" applyFill="1" applyBorder="1"/>
    <xf numFmtId="0" fontId="3" fillId="0" borderId="1" xfId="0" applyFont="1" applyBorder="1" applyAlignment="1">
      <alignment horizontal="center" vertical="center"/>
    </xf>
    <xf numFmtId="0" fontId="3" fillId="0" borderId="0" xfId="0" applyFont="1" applyAlignment="1">
      <alignment horizontal="left"/>
    </xf>
    <xf numFmtId="0" fontId="4" fillId="0" borderId="0" xfId="0" applyFont="1" applyAlignment="1">
      <alignment horizontal="center"/>
    </xf>
    <xf numFmtId="0" fontId="2" fillId="0" borderId="0" xfId="0" applyFont="1" applyAlignment="1">
      <alignment horizontal="left"/>
    </xf>
    <xf numFmtId="43" fontId="5" fillId="0" borderId="0" xfId="2" applyFont="1" applyFill="1" applyBorder="1" applyAlignment="1">
      <alignment horizontal="center"/>
    </xf>
    <xf numFmtId="0" fontId="6" fillId="0" borderId="0" xfId="0" applyFont="1" applyAlignment="1">
      <alignment horizontal="left"/>
    </xf>
    <xf numFmtId="10" fontId="7" fillId="0" borderId="0" xfId="1" applyNumberFormat="1" applyFont="1" applyFill="1" applyAlignment="1">
      <alignment horizontal="center"/>
    </xf>
    <xf numFmtId="43" fontId="5" fillId="0" borderId="0" xfId="2" applyFont="1" applyFill="1" applyAlignment="1">
      <alignment horizontal="center"/>
    </xf>
    <xf numFmtId="171" fontId="4" fillId="0" borderId="0" xfId="0" applyNumberFormat="1" applyFont="1" applyAlignment="1">
      <alignment horizontal="center"/>
    </xf>
    <xf numFmtId="43" fontId="4" fillId="0" borderId="0" xfId="2" applyFont="1" applyFill="1" applyAlignment="1">
      <alignment horizontal="center"/>
    </xf>
    <xf numFmtId="0" fontId="5" fillId="0" borderId="0" xfId="0" applyFont="1" applyAlignment="1">
      <alignment horizontal="center"/>
    </xf>
    <xf numFmtId="0" fontId="5" fillId="2" borderId="0" xfId="0" applyFont="1" applyFill="1"/>
    <xf numFmtId="170" fontId="2" fillId="2" borderId="7" xfId="0" applyNumberFormat="1" applyFont="1" applyFill="1" applyBorder="1"/>
    <xf numFmtId="0" fontId="5" fillId="2" borderId="1" xfId="0" applyFont="1" applyFill="1" applyBorder="1"/>
    <xf numFmtId="170" fontId="2" fillId="2" borderId="8" xfId="0" applyNumberFormat="1" applyFont="1" applyFill="1" applyBorder="1"/>
    <xf numFmtId="0" fontId="2" fillId="2" borderId="0" xfId="0" applyFont="1" applyFill="1" applyAlignment="1">
      <alignment horizontal="left"/>
    </xf>
    <xf numFmtId="167" fontId="5" fillId="2" borderId="0" xfId="0" applyNumberFormat="1" applyFont="1" applyFill="1"/>
    <xf numFmtId="10" fontId="2" fillId="2" borderId="7" xfId="1" applyNumberFormat="1" applyFont="1" applyFill="1" applyBorder="1"/>
    <xf numFmtId="6" fontId="2" fillId="2" borderId="0" xfId="0" applyNumberFormat="1" applyFont="1" applyFill="1" applyAlignment="1">
      <alignment horizontal="right"/>
    </xf>
    <xf numFmtId="10" fontId="2" fillId="2" borderId="7" xfId="0" applyNumberFormat="1" applyFont="1" applyFill="1" applyBorder="1"/>
    <xf numFmtId="167" fontId="2" fillId="2" borderId="0" xfId="0" applyNumberFormat="1" applyFont="1" applyFill="1"/>
    <xf numFmtId="166" fontId="2" fillId="2" borderId="0" xfId="0" applyNumberFormat="1" applyFont="1" applyFill="1"/>
    <xf numFmtId="0" fontId="2" fillId="2" borderId="6" xfId="0" applyFont="1" applyFill="1" applyBorder="1"/>
    <xf numFmtId="8" fontId="5" fillId="2" borderId="0" xfId="0" applyNumberFormat="1" applyFont="1" applyFill="1"/>
    <xf numFmtId="0" fontId="2" fillId="0" borderId="6" xfId="0" applyFont="1" applyBorder="1"/>
    <xf numFmtId="6" fontId="2" fillId="2" borderId="0" xfId="0" applyNumberFormat="1" applyFont="1" applyFill="1"/>
    <xf numFmtId="166" fontId="5" fillId="2" borderId="0" xfId="0" applyNumberFormat="1" applyFont="1" applyFill="1"/>
    <xf numFmtId="6" fontId="2" fillId="2" borderId="1" xfId="0" applyNumberFormat="1" applyFont="1" applyFill="1" applyBorder="1"/>
    <xf numFmtId="167" fontId="2" fillId="2" borderId="1" xfId="0" applyNumberFormat="1" applyFont="1" applyFill="1" applyBorder="1"/>
    <xf numFmtId="10" fontId="2" fillId="2" borderId="8" xfId="0" applyNumberFormat="1" applyFont="1" applyFill="1" applyBorder="1"/>
    <xf numFmtId="166" fontId="5" fillId="2" borderId="1" xfId="0" applyNumberFormat="1" applyFont="1" applyFill="1" applyBorder="1"/>
    <xf numFmtId="166" fontId="2" fillId="2" borderId="1" xfId="0" applyNumberFormat="1" applyFont="1" applyFill="1" applyBorder="1"/>
    <xf numFmtId="166" fontId="2" fillId="0" borderId="0" xfId="0" applyNumberFormat="1" applyFont="1"/>
    <xf numFmtId="166" fontId="2" fillId="2" borderId="0" xfId="0" quotePrefix="1" applyNumberFormat="1" applyFont="1" applyFill="1" applyAlignment="1">
      <alignment horizontal="right"/>
    </xf>
    <xf numFmtId="0" fontId="10" fillId="0" borderId="0" xfId="0" applyFont="1" applyAlignment="1">
      <alignment vertical="top" wrapText="1"/>
    </xf>
    <xf numFmtId="0" fontId="2" fillId="2" borderId="2" xfId="0" applyFont="1" applyFill="1" applyBorder="1"/>
    <xf numFmtId="0" fontId="3" fillId="0" borderId="0" xfId="0" applyFont="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3" fillId="2" borderId="10" xfId="0" applyFont="1" applyFill="1" applyBorder="1" applyAlignment="1">
      <alignment horizontal="center"/>
    </xf>
    <xf numFmtId="8" fontId="2" fillId="2" borderId="0" xfId="0" applyNumberFormat="1" applyFont="1" applyFill="1" applyAlignment="1">
      <alignment horizontal="center"/>
    </xf>
    <xf numFmtId="8" fontId="2" fillId="2" borderId="7" xfId="0" applyNumberFormat="1" applyFont="1" applyFill="1" applyBorder="1" applyAlignment="1">
      <alignment horizontal="center"/>
    </xf>
    <xf numFmtId="10" fontId="2" fillId="2" borderId="6" xfId="0" applyNumberFormat="1" applyFont="1" applyFill="1" applyBorder="1" applyAlignment="1">
      <alignment horizontal="center"/>
    </xf>
    <xf numFmtId="10" fontId="2" fillId="2" borderId="0" xfId="0" applyNumberFormat="1" applyFont="1" applyFill="1" applyAlignment="1">
      <alignment horizontal="center"/>
    </xf>
    <xf numFmtId="10" fontId="2" fillId="2" borderId="7" xfId="0" applyNumberFormat="1" applyFont="1" applyFill="1" applyBorder="1" applyAlignment="1">
      <alignment horizontal="center"/>
    </xf>
    <xf numFmtId="0" fontId="2" fillId="2" borderId="15" xfId="0" applyFont="1" applyFill="1" applyBorder="1" applyAlignment="1">
      <alignment horizontal="center"/>
    </xf>
    <xf numFmtId="165" fontId="2" fillId="2" borderId="15" xfId="0" applyNumberFormat="1" applyFont="1" applyFill="1" applyBorder="1" applyAlignment="1">
      <alignment horizontal="center"/>
    </xf>
    <xf numFmtId="0" fontId="2" fillId="2" borderId="13" xfId="0" applyFont="1" applyFill="1" applyBorder="1" applyAlignment="1">
      <alignment horizontal="center"/>
    </xf>
    <xf numFmtId="165" fontId="2" fillId="2" borderId="13" xfId="0" applyNumberFormat="1" applyFont="1" applyFill="1" applyBorder="1" applyAlignment="1">
      <alignment horizontal="center"/>
    </xf>
    <xf numFmtId="3" fontId="2" fillId="0" borderId="0" xfId="0" applyNumberFormat="1" applyFont="1" applyAlignment="1">
      <alignment horizontal="center"/>
    </xf>
    <xf numFmtId="0" fontId="2" fillId="2" borderId="0" xfId="0" applyFont="1" applyFill="1" applyAlignment="1">
      <alignment horizontal="center"/>
    </xf>
    <xf numFmtId="0" fontId="2" fillId="2" borderId="7" xfId="0" applyFont="1" applyFill="1" applyBorder="1" applyAlignment="1">
      <alignment horizontal="center"/>
    </xf>
    <xf numFmtId="0" fontId="2" fillId="2" borderId="6" xfId="0" applyFont="1" applyFill="1" applyBorder="1" applyAlignment="1">
      <alignment horizontal="center"/>
    </xf>
    <xf numFmtId="173" fontId="2" fillId="0" borderId="0" xfId="0" applyNumberFormat="1" applyFont="1" applyAlignment="1">
      <alignment horizontal="center"/>
    </xf>
    <xf numFmtId="8" fontId="2" fillId="2" borderId="8" xfId="0" applyNumberFormat="1" applyFont="1" applyFill="1" applyBorder="1" applyAlignment="1">
      <alignment horizontal="center"/>
    </xf>
    <xf numFmtId="10" fontId="2" fillId="2" borderId="8" xfId="0" applyNumberFormat="1" applyFont="1" applyFill="1" applyBorder="1" applyAlignment="1">
      <alignment horizontal="center"/>
    </xf>
    <xf numFmtId="0" fontId="2" fillId="2" borderId="14" xfId="0" applyFont="1" applyFill="1" applyBorder="1" applyAlignment="1">
      <alignment horizontal="center"/>
    </xf>
    <xf numFmtId="165" fontId="2" fillId="2" borderId="8" xfId="0" applyNumberFormat="1" applyFont="1" applyFill="1" applyBorder="1" applyAlignment="1">
      <alignment horizontal="center"/>
    </xf>
    <xf numFmtId="0" fontId="2" fillId="0" borderId="11" xfId="0" applyFont="1" applyBorder="1"/>
    <xf numFmtId="8" fontId="2" fillId="0" borderId="4" xfId="0" applyNumberFormat="1" applyFont="1" applyBorder="1" applyAlignment="1">
      <alignment horizontal="center"/>
    </xf>
    <xf numFmtId="10" fontId="2" fillId="0" borderId="4" xfId="0" applyNumberFormat="1" applyFont="1" applyBorder="1" applyAlignment="1">
      <alignment horizontal="center"/>
    </xf>
    <xf numFmtId="0" fontId="2" fillId="0" borderId="4" xfId="0" applyFont="1" applyBorder="1" applyAlignment="1">
      <alignment horizontal="center"/>
    </xf>
    <xf numFmtId="165" fontId="2" fillId="0" borderId="0" xfId="0" applyNumberFormat="1" applyFont="1" applyAlignment="1">
      <alignment horizontal="center"/>
    </xf>
    <xf numFmtId="4" fontId="2" fillId="0" borderId="0" xfId="0" applyNumberFormat="1" applyFont="1" applyAlignment="1">
      <alignment horizontal="center"/>
    </xf>
    <xf numFmtId="0" fontId="3" fillId="0" borderId="2" xfId="0" applyFont="1" applyBorder="1" applyAlignment="1">
      <alignment horizontal="center"/>
    </xf>
    <xf numFmtId="0" fontId="2" fillId="2" borderId="5" xfId="0" applyFont="1" applyFill="1" applyBorder="1" applyAlignment="1">
      <alignment horizontal="center"/>
    </xf>
    <xf numFmtId="3" fontId="2" fillId="2" borderId="13" xfId="0" applyNumberFormat="1" applyFont="1" applyFill="1" applyBorder="1" applyAlignment="1">
      <alignment horizontal="center"/>
    </xf>
    <xf numFmtId="2" fontId="2" fillId="2" borderId="13" xfId="0" applyNumberFormat="1" applyFont="1" applyFill="1" applyBorder="1" applyAlignment="1">
      <alignment horizontal="center"/>
    </xf>
    <xf numFmtId="173" fontId="2" fillId="2" borderId="13" xfId="0" applyNumberFormat="1" applyFont="1" applyFill="1" applyBorder="1" applyAlignment="1">
      <alignment horizontal="center"/>
    </xf>
    <xf numFmtId="0" fontId="2" fillId="2" borderId="8" xfId="0" applyFont="1" applyFill="1" applyBorder="1" applyAlignment="1">
      <alignment horizontal="center"/>
    </xf>
    <xf numFmtId="2" fontId="2" fillId="2" borderId="8" xfId="0" applyNumberFormat="1" applyFont="1" applyFill="1" applyBorder="1" applyAlignment="1">
      <alignment horizontal="center"/>
    </xf>
    <xf numFmtId="10" fontId="2" fillId="0" borderId="0" xfId="0" applyNumberFormat="1" applyFont="1"/>
    <xf numFmtId="0" fontId="3" fillId="0" borderId="0" xfId="0" applyFont="1"/>
    <xf numFmtId="0" fontId="3" fillId="0" borderId="1" xfId="0" applyFont="1" applyBorder="1" applyAlignment="1">
      <alignment horizontal="center"/>
    </xf>
    <xf numFmtId="172" fontId="5" fillId="0" borderId="0" xfId="4" applyNumberFormat="1" applyFont="1" applyFill="1" applyBorder="1" applyAlignment="1">
      <alignment horizontal="center"/>
    </xf>
    <xf numFmtId="165" fontId="2" fillId="0" borderId="0" xfId="0" applyNumberFormat="1" applyFont="1"/>
    <xf numFmtId="0" fontId="5" fillId="0" borderId="1" xfId="0" applyFont="1" applyBorder="1" applyAlignment="1">
      <alignment horizontal="center"/>
    </xf>
    <xf numFmtId="0" fontId="3" fillId="0" borderId="11" xfId="0" applyFont="1" applyBorder="1" applyAlignment="1">
      <alignment horizontal="center" vertical="center"/>
    </xf>
    <xf numFmtId="43" fontId="2" fillId="0" borderId="0" xfId="0" applyNumberFormat="1" applyFont="1"/>
    <xf numFmtId="168" fontId="2" fillId="0" borderId="0" xfId="0" applyNumberFormat="1" applyFont="1"/>
    <xf numFmtId="169" fontId="2" fillId="0" borderId="0" xfId="0" applyNumberFormat="1" applyFont="1"/>
    <xf numFmtId="167" fontId="2" fillId="0" borderId="0" xfId="0" applyNumberFormat="1" applyFont="1"/>
    <xf numFmtId="0" fontId="9" fillId="0" borderId="0" xfId="0" applyFont="1" applyAlignment="1">
      <alignment horizontal="left"/>
    </xf>
    <xf numFmtId="0" fontId="9" fillId="0" borderId="0" xfId="0" applyFont="1"/>
    <xf numFmtId="0" fontId="2" fillId="4" borderId="0" xfId="0" applyFont="1" applyFill="1"/>
    <xf numFmtId="6" fontId="2" fillId="0" borderId="0" xfId="0" applyNumberFormat="1" applyFont="1"/>
    <xf numFmtId="0" fontId="2" fillId="5" borderId="0" xfId="0" applyFont="1" applyFill="1"/>
    <xf numFmtId="0" fontId="3" fillId="2" borderId="1" xfId="0" applyFont="1" applyFill="1" applyBorder="1" applyAlignment="1">
      <alignment horizontal="center"/>
    </xf>
    <xf numFmtId="0" fontId="2" fillId="2" borderId="0" xfId="0" applyFont="1" applyFill="1" applyAlignment="1">
      <alignment horizontal="right"/>
    </xf>
    <xf numFmtId="0" fontId="2" fillId="2" borderId="1" xfId="0" applyFont="1" applyFill="1" applyBorder="1" applyAlignment="1">
      <alignment horizontal="right"/>
    </xf>
    <xf numFmtId="164" fontId="2" fillId="2" borderId="0" xfId="0" applyNumberFormat="1" applyFont="1" applyFill="1" applyAlignment="1">
      <alignment horizontal="right"/>
    </xf>
    <xf numFmtId="0" fontId="3" fillId="0" borderId="1" xfId="0" applyFont="1" applyBorder="1"/>
    <xf numFmtId="0" fontId="5" fillId="0" borderId="1" xfId="0" applyFont="1" applyBorder="1"/>
    <xf numFmtId="0" fontId="3" fillId="2" borderId="2" xfId="0" applyFont="1" applyFill="1" applyBorder="1" applyAlignment="1">
      <alignment horizontal="center" wrapText="1"/>
    </xf>
    <xf numFmtId="0" fontId="2" fillId="2" borderId="10" xfId="0" applyFont="1" applyFill="1" applyBorder="1" applyAlignment="1">
      <alignment wrapText="1"/>
    </xf>
    <xf numFmtId="9" fontId="3" fillId="2" borderId="2" xfId="0" applyNumberFormat="1" applyFont="1" applyFill="1" applyBorder="1" applyAlignment="1">
      <alignment horizontal="center" wrapText="1"/>
    </xf>
    <xf numFmtId="0" fontId="8" fillId="0" borderId="0" xfId="0" applyFont="1" applyAlignment="1">
      <alignment horizontal="left"/>
    </xf>
    <xf numFmtId="0" fontId="2" fillId="2" borderId="9" xfId="0" applyFont="1" applyFill="1" applyBorder="1" applyAlignment="1">
      <alignment horizontal="left"/>
    </xf>
    <xf numFmtId="0" fontId="2" fillId="2" borderId="6" xfId="0" applyFont="1" applyFill="1" applyBorder="1" applyAlignment="1">
      <alignment horizontal="left"/>
    </xf>
    <xf numFmtId="10" fontId="11" fillId="0" borderId="0" xfId="1" applyNumberFormat="1" applyFont="1" applyFill="1" applyBorder="1" applyAlignment="1">
      <alignment horizontal="center"/>
    </xf>
    <xf numFmtId="9" fontId="5" fillId="0" borderId="0" xfId="0" applyNumberFormat="1" applyFont="1" applyAlignment="1">
      <alignment horizontal="center"/>
    </xf>
    <xf numFmtId="10" fontId="5" fillId="0" borderId="0" xfId="0" applyNumberFormat="1" applyFont="1" applyAlignment="1">
      <alignment horizontal="center"/>
    </xf>
    <xf numFmtId="0" fontId="5" fillId="0" borderId="0" xfId="0" applyFont="1"/>
    <xf numFmtId="167" fontId="5" fillId="0" borderId="0" xfId="3" applyNumberFormat="1" applyFont="1" applyFill="1" applyBorder="1" applyAlignment="1">
      <alignment horizontal="center"/>
    </xf>
    <xf numFmtId="44" fontId="5" fillId="0" borderId="0" xfId="0" applyNumberFormat="1" applyFont="1" applyAlignment="1">
      <alignment horizontal="center"/>
    </xf>
    <xf numFmtId="9" fontId="5" fillId="0" borderId="0" xfId="0" applyNumberFormat="1" applyFont="1" applyAlignment="1">
      <alignment horizontal="center" vertical="center"/>
    </xf>
    <xf numFmtId="9" fontId="5" fillId="0" borderId="1" xfId="0" applyNumberFormat="1" applyFont="1" applyBorder="1" applyAlignment="1">
      <alignment horizontal="center"/>
    </xf>
    <xf numFmtId="0" fontId="3" fillId="0" borderId="4" xfId="0" applyFont="1" applyBorder="1"/>
    <xf numFmtId="43" fontId="3" fillId="0" borderId="0" xfId="0" applyNumberFormat="1" applyFont="1" applyAlignment="1">
      <alignment vertical="center"/>
    </xf>
    <xf numFmtId="0" fontId="3" fillId="0" borderId="0" xfId="0" applyFont="1" applyAlignment="1">
      <alignment horizontal="center" wrapText="1"/>
    </xf>
    <xf numFmtId="0" fontId="2" fillId="0" borderId="1" xfId="0" applyFont="1" applyBorder="1" applyAlignment="1">
      <alignment horizontal="left"/>
    </xf>
    <xf numFmtId="43" fontId="5" fillId="0" borderId="1" xfId="2" applyFont="1" applyFill="1" applyBorder="1" applyAlignment="1">
      <alignment horizontal="center"/>
    </xf>
    <xf numFmtId="0" fontId="0" fillId="0" borderId="0" xfId="0" applyAlignment="1">
      <alignment vertical="top" wrapText="1"/>
    </xf>
    <xf numFmtId="0" fontId="0" fillId="0" borderId="0" xfId="0" applyAlignment="1">
      <alignment horizontal="left" vertical="top"/>
    </xf>
    <xf numFmtId="0" fontId="0" fillId="0" borderId="0" xfId="0" applyAlignment="1" applyProtection="1">
      <alignment vertical="top"/>
      <protection locked="0"/>
    </xf>
    <xf numFmtId="0" fontId="0" fillId="0" borderId="0" xfId="0" applyAlignment="1" applyProtection="1">
      <alignment vertical="top" wrapText="1"/>
      <protection locked="0"/>
    </xf>
    <xf numFmtId="0" fontId="13" fillId="0" borderId="0" xfId="0" applyFont="1"/>
    <xf numFmtId="174" fontId="0" fillId="0" borderId="0" xfId="0" applyNumberFormat="1" applyAlignment="1" applyProtection="1">
      <alignment horizontal="left"/>
      <protection locked="0"/>
    </xf>
    <xf numFmtId="0" fontId="12" fillId="0" borderId="0" xfId="0" applyFont="1" applyAlignment="1">
      <alignment horizontal="center"/>
    </xf>
    <xf numFmtId="9" fontId="18" fillId="0" borderId="0" xfId="0" applyNumberFormat="1" applyFont="1" applyAlignment="1">
      <alignment horizontal="center"/>
    </xf>
    <xf numFmtId="0" fontId="18" fillId="0" borderId="0" xfId="0" applyFont="1" applyAlignment="1">
      <alignment horizontal="center"/>
    </xf>
    <xf numFmtId="170" fontId="18" fillId="0" borderId="0" xfId="0" applyNumberFormat="1" applyFont="1" applyAlignment="1">
      <alignment horizontal="center"/>
    </xf>
    <xf numFmtId="175" fontId="18" fillId="0" borderId="0" xfId="0" applyNumberFormat="1" applyFont="1" applyAlignment="1">
      <alignment horizontal="center"/>
    </xf>
    <xf numFmtId="3" fontId="5" fillId="0" borderId="0" xfId="0" applyNumberFormat="1" applyFont="1" applyAlignment="1">
      <alignment horizontal="center"/>
    </xf>
    <xf numFmtId="3" fontId="18" fillId="0" borderId="0" xfId="0" applyNumberFormat="1" applyFont="1" applyAlignment="1">
      <alignment horizontal="center"/>
    </xf>
    <xf numFmtId="3" fontId="2" fillId="0" borderId="0" xfId="0" applyNumberFormat="1" applyFont="1"/>
    <xf numFmtId="176" fontId="2" fillId="0" borderId="0" xfId="0" applyNumberFormat="1" applyFont="1"/>
    <xf numFmtId="0" fontId="16" fillId="0" borderId="0" xfId="0" applyFont="1"/>
    <xf numFmtId="0" fontId="19" fillId="0" borderId="0" xfId="0" applyFont="1"/>
    <xf numFmtId="0" fontId="15" fillId="6" borderId="0" xfId="0" applyFont="1" applyFill="1"/>
    <xf numFmtId="0" fontId="0" fillId="0" borderId="0" xfId="0" applyAlignment="1">
      <alignment horizontal="right"/>
    </xf>
    <xf numFmtId="0" fontId="15" fillId="7" borderId="0" xfId="0" applyFont="1" applyFill="1"/>
    <xf numFmtId="177" fontId="15" fillId="7" borderId="0" xfId="0" applyNumberFormat="1" applyFont="1" applyFill="1"/>
    <xf numFmtId="178" fontId="15" fillId="8" borderId="0" xfId="0" applyNumberFormat="1" applyFont="1" applyFill="1"/>
    <xf numFmtId="43" fontId="0" fillId="0" borderId="0" xfId="0" applyNumberFormat="1"/>
    <xf numFmtId="0" fontId="21" fillId="0" borderId="0" xfId="0" applyFont="1"/>
    <xf numFmtId="0" fontId="0" fillId="5" borderId="17" xfId="0" applyFill="1" applyBorder="1" applyAlignment="1">
      <alignment horizontal="center"/>
    </xf>
    <xf numFmtId="170" fontId="22" fillId="5" borderId="17" xfId="1" applyNumberFormat="1" applyFont="1" applyFill="1" applyBorder="1" applyAlignment="1">
      <alignment horizontal="center"/>
    </xf>
    <xf numFmtId="175" fontId="22" fillId="5" borderId="17" xfId="0" applyNumberFormat="1" applyFont="1" applyFill="1" applyBorder="1" applyAlignment="1">
      <alignment horizontal="center"/>
    </xf>
    <xf numFmtId="170" fontId="0" fillId="0" borderId="0" xfId="0" applyNumberFormat="1"/>
    <xf numFmtId="9" fontId="22" fillId="5" borderId="17" xfId="1" applyFont="1" applyFill="1" applyBorder="1" applyAlignment="1">
      <alignment horizontal="center"/>
    </xf>
    <xf numFmtId="9" fontId="20" fillId="5" borderId="17" xfId="1" applyFont="1" applyFill="1" applyBorder="1" applyAlignment="1">
      <alignment horizontal="center"/>
    </xf>
    <xf numFmtId="180" fontId="20" fillId="5" borderId="17" xfId="0" applyNumberFormat="1" applyFont="1" applyFill="1" applyBorder="1" applyAlignment="1">
      <alignment horizontal="left" indent="1"/>
    </xf>
    <xf numFmtId="43" fontId="20" fillId="0" borderId="0" xfId="0" applyNumberFormat="1" applyFont="1"/>
    <xf numFmtId="0" fontId="14" fillId="0" borderId="0" xfId="0" applyFont="1"/>
    <xf numFmtId="170" fontId="14" fillId="0" borderId="0" xfId="1" applyNumberFormat="1" applyFont="1" applyAlignment="1">
      <alignment horizontal="center"/>
    </xf>
    <xf numFmtId="170" fontId="23" fillId="0" borderId="0" xfId="0" applyNumberFormat="1" applyFont="1" applyAlignment="1">
      <alignment horizontal="center"/>
    </xf>
    <xf numFmtId="170" fontId="14" fillId="0" borderId="0" xfId="0" applyNumberFormat="1" applyFont="1" applyAlignment="1">
      <alignment horizontal="center"/>
    </xf>
    <xf numFmtId="170" fontId="23" fillId="0" borderId="0" xfId="1" applyNumberFormat="1" applyFont="1" applyAlignment="1">
      <alignment horizontal="center"/>
    </xf>
    <xf numFmtId="170" fontId="14" fillId="0" borderId="17" xfId="0" applyNumberFormat="1" applyFont="1" applyBorder="1" applyAlignment="1">
      <alignment horizontal="center"/>
    </xf>
    <xf numFmtId="0" fontId="24" fillId="0" borderId="0" xfId="0" applyFont="1" applyAlignment="1">
      <alignment horizontal="center"/>
    </xf>
    <xf numFmtId="0" fontId="0" fillId="0" borderId="1" xfId="0" applyBorder="1"/>
    <xf numFmtId="0" fontId="0" fillId="0" borderId="11" xfId="0" applyBorder="1"/>
    <xf numFmtId="43" fontId="20" fillId="0" borderId="11" xfId="0" applyNumberFormat="1" applyFont="1" applyBorder="1"/>
    <xf numFmtId="43" fontId="0" fillId="0" borderId="11" xfId="0" applyNumberFormat="1" applyBorder="1"/>
    <xf numFmtId="43" fontId="16" fillId="0" borderId="0" xfId="0" applyNumberFormat="1" applyFont="1"/>
    <xf numFmtId="43" fontId="0" fillId="0" borderId="1" xfId="0" applyNumberFormat="1" applyBorder="1"/>
    <xf numFmtId="43" fontId="0" fillId="0" borderId="0" xfId="0" applyNumberFormat="1" applyAlignment="1">
      <alignment horizontal="center"/>
    </xf>
    <xf numFmtId="0" fontId="0" fillId="0" borderId="0" xfId="0" applyAlignment="1">
      <alignment horizontal="center"/>
    </xf>
    <xf numFmtId="43" fontId="0" fillId="0" borderId="1" xfId="0" applyNumberFormat="1" applyBorder="1" applyAlignment="1">
      <alignment horizontal="center"/>
    </xf>
    <xf numFmtId="0" fontId="0" fillId="0" borderId="1" xfId="0" applyBorder="1" applyAlignment="1">
      <alignment horizontal="left" indent="1"/>
    </xf>
    <xf numFmtId="43" fontId="25" fillId="0" borderId="0" xfId="0" applyNumberFormat="1" applyFont="1"/>
    <xf numFmtId="43" fontId="16" fillId="0" borderId="0" xfId="0" applyNumberFormat="1" applyFont="1" applyAlignment="1">
      <alignment horizontal="center"/>
    </xf>
    <xf numFmtId="175" fontId="22" fillId="5" borderId="18" xfId="0" applyNumberFormat="1" applyFont="1" applyFill="1" applyBorder="1" applyAlignment="1">
      <alignment horizontal="center"/>
    </xf>
    <xf numFmtId="0" fontId="16" fillId="9" borderId="1" xfId="0" applyFont="1" applyFill="1" applyBorder="1"/>
    <xf numFmtId="0" fontId="0" fillId="9" borderId="1" xfId="0" applyFill="1" applyBorder="1"/>
    <xf numFmtId="180" fontId="0" fillId="0" borderId="0" xfId="0" applyNumberFormat="1"/>
    <xf numFmtId="179" fontId="0" fillId="0" borderId="0" xfId="0" applyNumberFormat="1"/>
    <xf numFmtId="179" fontId="0" fillId="0" borderId="1" xfId="0" applyNumberFormat="1" applyBorder="1"/>
    <xf numFmtId="179" fontId="0" fillId="0" borderId="17" xfId="0" applyNumberFormat="1" applyBorder="1"/>
    <xf numFmtId="171" fontId="0" fillId="0" borderId="0" xfId="0" applyNumberFormat="1"/>
    <xf numFmtId="0" fontId="17" fillId="0" borderId="0" xfId="0" applyFont="1"/>
    <xf numFmtId="0" fontId="26" fillId="0" borderId="0" xfId="0" applyFont="1" applyAlignment="1">
      <alignment horizontal="center"/>
    </xf>
    <xf numFmtId="0" fontId="26" fillId="0" borderId="0" xfId="0" applyFont="1" applyAlignment="1">
      <alignment horizontal="left"/>
    </xf>
    <xf numFmtId="0" fontId="27" fillId="11" borderId="0" xfId="0" applyFont="1" applyFill="1" applyAlignment="1">
      <alignment horizontal="left"/>
    </xf>
    <xf numFmtId="0" fontId="27" fillId="11" borderId="0" xfId="0" applyFont="1" applyFill="1" applyAlignment="1">
      <alignment horizontal="center"/>
    </xf>
    <xf numFmtId="0" fontId="28" fillId="0" borderId="0" xfId="0" applyFont="1"/>
    <xf numFmtId="8" fontId="28" fillId="0" borderId="0" xfId="0" applyNumberFormat="1" applyFont="1"/>
    <xf numFmtId="0" fontId="28" fillId="0" borderId="0" xfId="0" applyFont="1" applyAlignment="1">
      <alignment horizontal="center"/>
    </xf>
    <xf numFmtId="0" fontId="28" fillId="12" borderId="0" xfId="0" applyFont="1" applyFill="1"/>
    <xf numFmtId="0" fontId="29" fillId="0" borderId="0" xfId="0" applyFont="1"/>
    <xf numFmtId="0" fontId="29" fillId="0" borderId="0" xfId="0" applyFont="1" applyAlignment="1">
      <alignment horizontal="center"/>
    </xf>
    <xf numFmtId="0" fontId="14" fillId="0" borderId="19" xfId="0" applyFont="1" applyBorder="1"/>
    <xf numFmtId="0" fontId="28" fillId="0" borderId="22" xfId="0" applyFont="1" applyBorder="1"/>
    <xf numFmtId="8" fontId="28" fillId="0" borderId="22" xfId="0" applyNumberFormat="1" applyFont="1" applyBorder="1"/>
    <xf numFmtId="8" fontId="29" fillId="0" borderId="0" xfId="0" applyNumberFormat="1" applyFont="1"/>
    <xf numFmtId="0" fontId="0" fillId="0" borderId="0" xfId="0" applyAlignment="1">
      <alignment vertical="center" wrapText="1"/>
    </xf>
    <xf numFmtId="0" fontId="30" fillId="0" borderId="0" xfId="0" applyFont="1"/>
    <xf numFmtId="8" fontId="0" fillId="0" borderId="0" xfId="0" applyNumberFormat="1"/>
    <xf numFmtId="0" fontId="29" fillId="12" borderId="0" xfId="0" applyFont="1" applyFill="1" applyAlignment="1">
      <alignment horizontal="center"/>
    </xf>
    <xf numFmtId="0" fontId="28" fillId="6" borderId="0" xfId="0" applyFont="1" applyFill="1"/>
    <xf numFmtId="0" fontId="31" fillId="11" borderId="0" xfId="0" applyFont="1" applyFill="1" applyAlignment="1">
      <alignment horizontal="left"/>
    </xf>
    <xf numFmtId="0" fontId="31" fillId="11" borderId="0" xfId="0" applyFont="1" applyFill="1" applyAlignment="1">
      <alignment horizontal="center"/>
    </xf>
    <xf numFmtId="0" fontId="32" fillId="11" borderId="0" xfId="0" applyFont="1" applyFill="1"/>
    <xf numFmtId="0" fontId="33" fillId="0" borderId="0" xfId="0" applyFont="1"/>
    <xf numFmtId="8" fontId="33" fillId="0" borderId="0" xfId="0" applyNumberFormat="1" applyFont="1"/>
    <xf numFmtId="8" fontId="34" fillId="0" borderId="0" xfId="0" applyNumberFormat="1" applyFont="1"/>
    <xf numFmtId="0" fontId="33" fillId="0" borderId="0" xfId="0" applyFont="1" applyAlignment="1">
      <alignment horizontal="center"/>
    </xf>
    <xf numFmtId="0" fontId="33" fillId="0" borderId="0" xfId="0" applyFont="1" applyAlignment="1">
      <alignment wrapText="1"/>
    </xf>
    <xf numFmtId="3" fontId="33" fillId="0" borderId="0" xfId="0" applyNumberFormat="1" applyFont="1"/>
    <xf numFmtId="0" fontId="33" fillId="12" borderId="0" xfId="0" applyFont="1" applyFill="1"/>
    <xf numFmtId="8" fontId="33" fillId="12" borderId="0" xfId="0" applyNumberFormat="1" applyFont="1" applyFill="1"/>
    <xf numFmtId="8" fontId="34" fillId="12" borderId="0" xfId="0" applyNumberFormat="1" applyFont="1" applyFill="1"/>
    <xf numFmtId="0" fontId="33" fillId="12" borderId="0" xfId="0" applyFont="1" applyFill="1" applyAlignment="1">
      <alignment horizontal="center"/>
    </xf>
    <xf numFmtId="0" fontId="35" fillId="0" borderId="0" xfId="0" applyFont="1"/>
    <xf numFmtId="0" fontId="35" fillId="0" borderId="0" xfId="0" applyFont="1" applyAlignment="1">
      <alignment horizontal="center"/>
    </xf>
    <xf numFmtId="170" fontId="16" fillId="0" borderId="17" xfId="0" applyNumberFormat="1" applyFont="1" applyBorder="1" applyAlignment="1">
      <alignment horizontal="center"/>
    </xf>
    <xf numFmtId="10" fontId="2" fillId="0" borderId="0" xfId="1" applyNumberFormat="1" applyFont="1"/>
    <xf numFmtId="0" fontId="36" fillId="6" borderId="1" xfId="0" applyFont="1" applyFill="1" applyBorder="1" applyAlignment="1">
      <alignment horizontal="center"/>
    </xf>
    <xf numFmtId="0" fontId="37" fillId="0" borderId="0" xfId="0" applyFont="1"/>
    <xf numFmtId="0" fontId="37" fillId="10" borderId="0" xfId="0" applyFont="1" applyFill="1"/>
    <xf numFmtId="3" fontId="37" fillId="0" borderId="0" xfId="0" applyNumberFormat="1" applyFont="1" applyAlignment="1">
      <alignment horizontal="center"/>
    </xf>
    <xf numFmtId="175" fontId="37" fillId="0" borderId="0" xfId="0" applyNumberFormat="1" applyFont="1" applyAlignment="1">
      <alignment horizontal="center"/>
    </xf>
    <xf numFmtId="170" fontId="37" fillId="0" borderId="0" xfId="0" applyNumberFormat="1" applyFont="1" applyAlignment="1">
      <alignment horizontal="center"/>
    </xf>
    <xf numFmtId="0" fontId="31" fillId="11" borderId="0" xfId="0" applyFont="1" applyFill="1"/>
    <xf numFmtId="0" fontId="31" fillId="11" borderId="0" xfId="0" applyFont="1" applyFill="1" applyAlignment="1">
      <alignment horizontal="centerContinuous"/>
    </xf>
    <xf numFmtId="0" fontId="31" fillId="11" borderId="20" xfId="0" applyFont="1" applyFill="1" applyBorder="1" applyAlignment="1">
      <alignment horizontal="centerContinuous"/>
    </xf>
    <xf numFmtId="0" fontId="31" fillId="11" borderId="21" xfId="0" applyFont="1" applyFill="1" applyBorder="1"/>
    <xf numFmtId="0" fontId="31" fillId="11" borderId="21" xfId="0" applyFont="1" applyFill="1" applyBorder="1" applyAlignment="1">
      <alignment horizontal="center"/>
    </xf>
    <xf numFmtId="0" fontId="38" fillId="0" borderId="0" xfId="0" applyFont="1"/>
    <xf numFmtId="0" fontId="33" fillId="0" borderId="22" xfId="0" applyFont="1" applyBorder="1"/>
    <xf numFmtId="0" fontId="38" fillId="0" borderId="23" xfId="0" applyFont="1" applyBorder="1"/>
    <xf numFmtId="8" fontId="33" fillId="0" borderId="22" xfId="0" applyNumberFormat="1" applyFont="1" applyBorder="1"/>
    <xf numFmtId="8" fontId="35" fillId="0" borderId="0" xfId="0" applyNumberFormat="1" applyFont="1"/>
    <xf numFmtId="0" fontId="0" fillId="0" borderId="0" xfId="0"/>
    <xf numFmtId="0" fontId="0" fillId="0" borderId="0" xfId="0" applyAlignment="1" applyProtection="1">
      <alignment horizontal="center" vertical="center"/>
      <protection locked="0"/>
    </xf>
    <xf numFmtId="0" fontId="14" fillId="0" borderId="0" xfId="0" applyFont="1" applyAlignment="1">
      <alignment vertical="top" wrapText="1"/>
    </xf>
    <xf numFmtId="0" fontId="13" fillId="0" borderId="0" xfId="0" applyFont="1" applyProtection="1">
      <protection locked="0"/>
    </xf>
    <xf numFmtId="0" fontId="0" fillId="0" borderId="0" xfId="0" applyProtection="1">
      <protection locked="0"/>
    </xf>
    <xf numFmtId="0" fontId="2" fillId="0" borderId="0" xfId="0" applyFont="1" applyAlignment="1">
      <alignment horizontal="center"/>
    </xf>
    <xf numFmtId="0" fontId="9" fillId="0" borderId="0" xfId="0" applyFont="1" applyAlignment="1">
      <alignment horizontal="left"/>
    </xf>
    <xf numFmtId="0" fontId="12" fillId="0" borderId="0" xfId="0" applyFont="1" applyAlignment="1">
      <alignment horizontal="left"/>
    </xf>
    <xf numFmtId="0" fontId="3" fillId="2" borderId="10" xfId="0" applyFont="1" applyFill="1" applyBorder="1" applyAlignment="1">
      <alignment horizontal="center" wrapText="1"/>
    </xf>
    <xf numFmtId="0" fontId="3" fillId="2" borderId="11" xfId="0" applyFont="1" applyFill="1" applyBorder="1" applyAlignment="1">
      <alignment horizontal="center" wrapText="1"/>
    </xf>
    <xf numFmtId="0" fontId="3" fillId="2" borderId="12" xfId="0" applyFont="1" applyFill="1" applyBorder="1" applyAlignment="1">
      <alignment horizontal="center" wrapText="1"/>
    </xf>
    <xf numFmtId="0" fontId="2" fillId="0" borderId="0" xfId="0" applyFont="1" applyAlignment="1">
      <alignment horizontal="left"/>
    </xf>
    <xf numFmtId="0" fontId="12" fillId="0" borderId="0" xfId="0" applyFont="1" applyAlignment="1">
      <alignment horizontal="center"/>
    </xf>
    <xf numFmtId="0" fontId="9" fillId="0" borderId="0" xfId="0" applyFont="1" applyAlignment="1">
      <alignment horizontal="left" wrapText="1"/>
    </xf>
    <xf numFmtId="0" fontId="9" fillId="0" borderId="0" xfId="0" applyFont="1" applyAlignment="1">
      <alignment horizontal="left" vertical="top" wrapText="1"/>
    </xf>
    <xf numFmtId="0" fontId="2" fillId="2" borderId="6" xfId="0" applyFont="1" applyFill="1" applyBorder="1" applyAlignment="1">
      <alignment horizontal="left"/>
    </xf>
    <xf numFmtId="0" fontId="2" fillId="2" borderId="0" xfId="0" applyFont="1" applyFill="1" applyAlignment="1">
      <alignment horizontal="left"/>
    </xf>
    <xf numFmtId="0" fontId="10" fillId="0" borderId="0" xfId="0" applyFont="1" applyAlignment="1">
      <alignment horizontal="left" vertical="top"/>
    </xf>
    <xf numFmtId="0" fontId="10" fillId="0" borderId="0" xfId="0" applyFont="1" applyAlignment="1">
      <alignment horizontal="left" vertical="top" wrapText="1"/>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2" fillId="2" borderId="9" xfId="0" applyFont="1" applyFill="1" applyBorder="1" applyAlignment="1">
      <alignment horizontal="left"/>
    </xf>
    <xf numFmtId="0" fontId="2" fillId="2" borderId="1" xfId="0" applyFont="1" applyFill="1" applyBorder="1" applyAlignment="1">
      <alignment horizontal="left"/>
    </xf>
    <xf numFmtId="8" fontId="2" fillId="2" borderId="3" xfId="0" applyNumberFormat="1" applyFont="1" applyFill="1" applyBorder="1" applyAlignment="1">
      <alignment horizontal="center"/>
    </xf>
    <xf numFmtId="8" fontId="2" fillId="2" borderId="5" xfId="0" applyNumberFormat="1" applyFont="1" applyFill="1" applyBorder="1" applyAlignment="1">
      <alignment horizontal="center"/>
    </xf>
    <xf numFmtId="8" fontId="2" fillId="2" borderId="6" xfId="0" applyNumberFormat="1" applyFont="1" applyFill="1" applyBorder="1" applyAlignment="1">
      <alignment horizontal="center"/>
    </xf>
    <xf numFmtId="8" fontId="2" fillId="2" borderId="7" xfId="0" applyNumberFormat="1" applyFont="1" applyFill="1" applyBorder="1" applyAlignment="1">
      <alignment horizontal="center"/>
    </xf>
    <xf numFmtId="8" fontId="2" fillId="2" borderId="9" xfId="0" applyNumberFormat="1" applyFont="1" applyFill="1" applyBorder="1" applyAlignment="1">
      <alignment horizontal="center"/>
    </xf>
    <xf numFmtId="8" fontId="2" fillId="2" borderId="8" xfId="0" applyNumberFormat="1" applyFont="1" applyFill="1" applyBorder="1" applyAlignment="1">
      <alignment horizontal="center"/>
    </xf>
    <xf numFmtId="4" fontId="2" fillId="2" borderId="9" xfId="0" applyNumberFormat="1" applyFont="1" applyFill="1" applyBorder="1" applyAlignment="1">
      <alignment horizontal="center"/>
    </xf>
    <xf numFmtId="4" fontId="2" fillId="2" borderId="8" xfId="0" applyNumberFormat="1" applyFont="1" applyFill="1" applyBorder="1" applyAlignment="1">
      <alignment horizontal="center"/>
    </xf>
    <xf numFmtId="4" fontId="2" fillId="2" borderId="3" xfId="0" applyNumberFormat="1" applyFont="1" applyFill="1" applyBorder="1" applyAlignment="1">
      <alignment horizontal="center"/>
    </xf>
    <xf numFmtId="4" fontId="2" fillId="2" borderId="5" xfId="0" applyNumberFormat="1" applyFont="1" applyFill="1" applyBorder="1" applyAlignment="1">
      <alignment horizontal="center"/>
    </xf>
    <xf numFmtId="4" fontId="2" fillId="2" borderId="6" xfId="0" applyNumberFormat="1" applyFont="1" applyFill="1" applyBorder="1" applyAlignment="1">
      <alignment horizontal="center"/>
    </xf>
    <xf numFmtId="4" fontId="2" fillId="2" borderId="7" xfId="0" applyNumberFormat="1" applyFont="1" applyFill="1" applyBorder="1" applyAlignment="1">
      <alignment horizontal="center"/>
    </xf>
    <xf numFmtId="3" fontId="2" fillId="2" borderId="6" xfId="0" applyNumberFormat="1" applyFont="1" applyFill="1" applyBorder="1" applyAlignment="1">
      <alignment horizontal="center"/>
    </xf>
    <xf numFmtId="3" fontId="2" fillId="2" borderId="7" xfId="0" applyNumberFormat="1" applyFont="1" applyFill="1" applyBorder="1" applyAlignment="1">
      <alignment horizontal="center"/>
    </xf>
    <xf numFmtId="0" fontId="2" fillId="0" borderId="0" xfId="0" applyFont="1" applyAlignment="1">
      <alignment horizontal="left" vertical="top" wrapText="1"/>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29" fillId="0" borderId="0" xfId="0" applyFont="1"/>
    <xf numFmtId="0" fontId="28" fillId="0" borderId="0" xfId="0" applyFont="1"/>
    <xf numFmtId="0" fontId="27" fillId="11" borderId="0" xfId="0" applyFont="1" applyFill="1" applyAlignment="1">
      <alignment horizontal="left"/>
    </xf>
    <xf numFmtId="0" fontId="28" fillId="12" borderId="0" xfId="0" applyFont="1" applyFill="1"/>
    <xf numFmtId="0" fontId="35" fillId="0" borderId="0" xfId="0" applyFont="1"/>
    <xf numFmtId="0" fontId="33" fillId="0" borderId="0" xfId="0" applyFont="1"/>
    <xf numFmtId="0" fontId="31" fillId="11" borderId="0" xfId="0" applyFont="1" applyFill="1" applyAlignment="1">
      <alignment horizontal="left"/>
    </xf>
    <xf numFmtId="0" fontId="31" fillId="11" borderId="24" xfId="0" applyFont="1" applyFill="1" applyBorder="1" applyAlignment="1">
      <alignment horizontal="center"/>
    </xf>
    <xf numFmtId="0" fontId="31" fillId="11" borderId="20" xfId="0" applyFont="1" applyFill="1" applyBorder="1" applyAlignment="1">
      <alignment horizontal="center"/>
    </xf>
  </cellXfs>
  <cellStyles count="5">
    <cellStyle name="Comma" xfId="2" builtinId="3"/>
    <cellStyle name="Currency" xfId="3" builtinId="4"/>
    <cellStyle name="Normal" xfId="0" builtinId="0"/>
    <cellStyle name="Note" xfId="4" builtinId="10"/>
    <cellStyle name="Percent" xfId="1" builtinId="5"/>
  </cellStyles>
  <dxfs count="1">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n-US" sz="1800">
                <a:solidFill>
                  <a:sysClr val="windowText" lastClr="000000"/>
                </a:solidFill>
              </a:rPr>
              <a:t>Tesla</a:t>
            </a:r>
            <a:r>
              <a:rPr lang="en-US" sz="1800" baseline="0">
                <a:solidFill>
                  <a:sysClr val="windowText" lastClr="000000"/>
                </a:solidFill>
              </a:rPr>
              <a:t> Stock Price Performance</a:t>
            </a:r>
            <a:endParaRPr lang="en-US" sz="1800">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tx1"/>
              </a:solidFill>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1'!$B$4:$B$119</c:f>
              <c:numCache>
                <c:formatCode>0.00</c:formatCode>
                <c:ptCount val="116"/>
                <c:pt idx="0">
                  <c:v>931.25</c:v>
                </c:pt>
                <c:pt idx="1">
                  <c:v>905.65997300000004</c:v>
                </c:pt>
                <c:pt idx="2">
                  <c:v>891.14001499999995</c:v>
                </c:pt>
                <c:pt idx="3">
                  <c:v>923.32000700000003</c:v>
                </c:pt>
                <c:pt idx="4">
                  <c:v>907.34002699999996</c:v>
                </c:pt>
                <c:pt idx="5">
                  <c:v>922</c:v>
                </c:pt>
                <c:pt idx="6">
                  <c:v>932</c:v>
                </c:pt>
                <c:pt idx="7">
                  <c:v>904.54998799999998</c:v>
                </c:pt>
                <c:pt idx="8">
                  <c:v>860</c:v>
                </c:pt>
                <c:pt idx="9">
                  <c:v>875.76000999999997</c:v>
                </c:pt>
                <c:pt idx="10">
                  <c:v>922.42999299999997</c:v>
                </c:pt>
                <c:pt idx="11">
                  <c:v>923.39001499999995</c:v>
                </c:pt>
                <c:pt idx="12">
                  <c:v>876.34997599999997</c:v>
                </c:pt>
                <c:pt idx="13">
                  <c:v>856.97997999999995</c:v>
                </c:pt>
                <c:pt idx="14">
                  <c:v>821.53002900000001</c:v>
                </c:pt>
                <c:pt idx="15">
                  <c:v>764.03997800000002</c:v>
                </c:pt>
                <c:pt idx="16">
                  <c:v>800.77002000000005</c:v>
                </c:pt>
                <c:pt idx="17">
                  <c:v>809.86999500000002</c:v>
                </c:pt>
                <c:pt idx="18">
                  <c:v>870.42999299999997</c:v>
                </c:pt>
                <c:pt idx="19">
                  <c:v>864.36999500000002</c:v>
                </c:pt>
                <c:pt idx="20">
                  <c:v>879.89001499999995</c:v>
                </c:pt>
                <c:pt idx="21">
                  <c:v>839.28997800000002</c:v>
                </c:pt>
                <c:pt idx="22">
                  <c:v>838.28997800000002</c:v>
                </c:pt>
                <c:pt idx="23">
                  <c:v>804.580017</c:v>
                </c:pt>
                <c:pt idx="24">
                  <c:v>824.40002400000003</c:v>
                </c:pt>
                <c:pt idx="25">
                  <c:v>858.96997099999999</c:v>
                </c:pt>
                <c:pt idx="26">
                  <c:v>838.29998799999998</c:v>
                </c:pt>
                <c:pt idx="27">
                  <c:v>795.34997599999997</c:v>
                </c:pt>
                <c:pt idx="28">
                  <c:v>766.36999500000002</c:v>
                </c:pt>
                <c:pt idx="29">
                  <c:v>801.89001499999995</c:v>
                </c:pt>
                <c:pt idx="30">
                  <c:v>840.22997999999995</c:v>
                </c:pt>
                <c:pt idx="31">
                  <c:v>871.59997599999997</c:v>
                </c:pt>
                <c:pt idx="32">
                  <c:v>905.39001499999995</c:v>
                </c:pt>
                <c:pt idx="33">
                  <c:v>921.15997300000004</c:v>
                </c:pt>
                <c:pt idx="34">
                  <c:v>993.97997999999995</c:v>
                </c:pt>
                <c:pt idx="35">
                  <c:v>999.10998500000005</c:v>
                </c:pt>
                <c:pt idx="36">
                  <c:v>1013.919983</c:v>
                </c:pt>
                <c:pt idx="37">
                  <c:v>1010.6400149999999</c:v>
                </c:pt>
                <c:pt idx="38">
                  <c:v>1091.839966</c:v>
                </c:pt>
                <c:pt idx="39">
                  <c:v>1099.5699460000001</c:v>
                </c:pt>
                <c:pt idx="40">
                  <c:v>1093.98999</c:v>
                </c:pt>
                <c:pt idx="41">
                  <c:v>1077.599976</c:v>
                </c:pt>
                <c:pt idx="42">
                  <c:v>1084.589966</c:v>
                </c:pt>
                <c:pt idx="43">
                  <c:v>1145.4499510000001</c:v>
                </c:pt>
                <c:pt idx="44">
                  <c:v>1091.26001</c:v>
                </c:pt>
                <c:pt idx="45">
                  <c:v>1045.76001</c:v>
                </c:pt>
                <c:pt idx="46">
                  <c:v>1057.26001</c:v>
                </c:pt>
                <c:pt idx="47">
                  <c:v>1025.48999</c:v>
                </c:pt>
                <c:pt idx="48">
                  <c:v>975.92999299999997</c:v>
                </c:pt>
                <c:pt idx="49">
                  <c:v>986.95001200000002</c:v>
                </c:pt>
                <c:pt idx="50">
                  <c:v>1022.369995</c:v>
                </c:pt>
                <c:pt idx="51">
                  <c:v>985</c:v>
                </c:pt>
                <c:pt idx="52">
                  <c:v>1004.289978</c:v>
                </c:pt>
                <c:pt idx="53">
                  <c:v>1028.150024</c:v>
                </c:pt>
                <c:pt idx="54">
                  <c:v>977.20001200000002</c:v>
                </c:pt>
                <c:pt idx="55">
                  <c:v>1008.780029</c:v>
                </c:pt>
                <c:pt idx="56">
                  <c:v>1005.049988</c:v>
                </c:pt>
                <c:pt idx="57">
                  <c:v>998.02002000000005</c:v>
                </c:pt>
                <c:pt idx="58">
                  <c:v>876.419983</c:v>
                </c:pt>
                <c:pt idx="59">
                  <c:v>881.51000999999997</c:v>
                </c:pt>
                <c:pt idx="60">
                  <c:v>877.51000999999997</c:v>
                </c:pt>
                <c:pt idx="61">
                  <c:v>870.76000999999997</c:v>
                </c:pt>
                <c:pt idx="62">
                  <c:v>902.94000200000005</c:v>
                </c:pt>
                <c:pt idx="63">
                  <c:v>909.25</c:v>
                </c:pt>
                <c:pt idx="64">
                  <c:v>952.61999500000002</c:v>
                </c:pt>
                <c:pt idx="65">
                  <c:v>873.28002900000001</c:v>
                </c:pt>
                <c:pt idx="66">
                  <c:v>865.65002400000003</c:v>
                </c:pt>
                <c:pt idx="67">
                  <c:v>787.10998500000005</c:v>
                </c:pt>
                <c:pt idx="68">
                  <c:v>800.03997800000002</c:v>
                </c:pt>
                <c:pt idx="69">
                  <c:v>734</c:v>
                </c:pt>
                <c:pt idx="70">
                  <c:v>728</c:v>
                </c:pt>
                <c:pt idx="71">
                  <c:v>769.59002699999996</c:v>
                </c:pt>
                <c:pt idx="72">
                  <c:v>724.36999500000002</c:v>
                </c:pt>
                <c:pt idx="73">
                  <c:v>761.60998500000005</c:v>
                </c:pt>
                <c:pt idx="74">
                  <c:v>709.80999799999995</c:v>
                </c:pt>
                <c:pt idx="75">
                  <c:v>709.419983</c:v>
                </c:pt>
                <c:pt idx="76">
                  <c:v>663.90002400000003</c:v>
                </c:pt>
                <c:pt idx="77">
                  <c:v>674.90002400000003</c:v>
                </c:pt>
                <c:pt idx="78">
                  <c:v>628.15997300000004</c:v>
                </c:pt>
                <c:pt idx="79">
                  <c:v>658.79998799999998</c:v>
                </c:pt>
                <c:pt idx="80">
                  <c:v>707.72997999999995</c:v>
                </c:pt>
                <c:pt idx="81">
                  <c:v>759.63000499999998</c:v>
                </c:pt>
                <c:pt idx="82">
                  <c:v>758.26000999999997</c:v>
                </c:pt>
                <c:pt idx="83">
                  <c:v>740.36999500000002</c:v>
                </c:pt>
                <c:pt idx="84">
                  <c:v>775</c:v>
                </c:pt>
                <c:pt idx="85">
                  <c:v>703.54998799999998</c:v>
                </c:pt>
                <c:pt idx="86">
                  <c:v>714.84002699999996</c:v>
                </c:pt>
                <c:pt idx="87">
                  <c:v>716.65997300000004</c:v>
                </c:pt>
                <c:pt idx="88">
                  <c:v>725.59997599999997</c:v>
                </c:pt>
                <c:pt idx="89">
                  <c:v>719.11999500000002</c:v>
                </c:pt>
                <c:pt idx="90">
                  <c:v>696.69000200000005</c:v>
                </c:pt>
                <c:pt idx="91">
                  <c:v>647.21002199999998</c:v>
                </c:pt>
                <c:pt idx="92">
                  <c:v>662.669983</c:v>
                </c:pt>
                <c:pt idx="93">
                  <c:v>699</c:v>
                </c:pt>
                <c:pt idx="94">
                  <c:v>639.29998799999998</c:v>
                </c:pt>
                <c:pt idx="95">
                  <c:v>650.28002900000001</c:v>
                </c:pt>
                <c:pt idx="96">
                  <c:v>711.10998500000005</c:v>
                </c:pt>
                <c:pt idx="97">
                  <c:v>708.26000999999997</c:v>
                </c:pt>
                <c:pt idx="98">
                  <c:v>705.21002199999998</c:v>
                </c:pt>
                <c:pt idx="99">
                  <c:v>737.11999500000002</c:v>
                </c:pt>
                <c:pt idx="100">
                  <c:v>734.76000999999997</c:v>
                </c:pt>
                <c:pt idx="101">
                  <c:v>697.98999000000003</c:v>
                </c:pt>
                <c:pt idx="102">
                  <c:v>685.46997099999999</c:v>
                </c:pt>
                <c:pt idx="103">
                  <c:v>673.419983</c:v>
                </c:pt>
                <c:pt idx="104">
                  <c:v>681.78997800000002</c:v>
                </c:pt>
                <c:pt idx="105">
                  <c:v>699.20001200000002</c:v>
                </c:pt>
                <c:pt idx="106">
                  <c:v>695.20001200000002</c:v>
                </c:pt>
                <c:pt idx="107">
                  <c:v>733.63000499999998</c:v>
                </c:pt>
                <c:pt idx="108">
                  <c:v>752.28997800000002</c:v>
                </c:pt>
                <c:pt idx="109">
                  <c:v>703.03002900000001</c:v>
                </c:pt>
                <c:pt idx="110">
                  <c:v>699.21002199999998</c:v>
                </c:pt>
                <c:pt idx="111">
                  <c:v>711.11999500000002</c:v>
                </c:pt>
                <c:pt idx="112">
                  <c:v>714.94000200000005</c:v>
                </c:pt>
                <c:pt idx="113">
                  <c:v>720.20001200000002</c:v>
                </c:pt>
                <c:pt idx="114">
                  <c:v>721.64001499999995</c:v>
                </c:pt>
                <c:pt idx="115">
                  <c:v>736.59002699999996</c:v>
                </c:pt>
              </c:numCache>
            </c:numRef>
          </c:val>
          <c:smooth val="0"/>
          <c:extLst>
            <c:ext xmlns:c16="http://schemas.microsoft.com/office/drawing/2014/chart" uri="{C3380CC4-5D6E-409C-BE32-E72D297353CC}">
              <c16:uniqueId val="{00000000-1F50-4B80-B27A-6847D774EF77}"/>
            </c:ext>
          </c:extLst>
        </c:ser>
        <c:dLbls>
          <c:showLegendKey val="0"/>
          <c:showVal val="0"/>
          <c:showCatName val="0"/>
          <c:showSerName val="0"/>
          <c:showPercent val="0"/>
          <c:showBubbleSize val="0"/>
        </c:dLbls>
        <c:smooth val="0"/>
        <c:axId val="694327672"/>
        <c:axId val="694328000"/>
      </c:lineChart>
      <c:dateAx>
        <c:axId val="69432767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94328000"/>
        <c:crosses val="autoZero"/>
        <c:auto val="1"/>
        <c:lblOffset val="100"/>
        <c:baseTimeUnit val="days"/>
      </c:dateAx>
      <c:valAx>
        <c:axId val="694328000"/>
        <c:scaling>
          <c:orientation val="minMax"/>
          <c:min val="6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sz="1400">
                    <a:solidFill>
                      <a:sysClr val="windowText" lastClr="000000"/>
                    </a:solidFill>
                  </a:rPr>
                  <a:t>Stock</a:t>
                </a:r>
                <a:r>
                  <a:rPr lang="en-US" sz="1400" baseline="0">
                    <a:solidFill>
                      <a:sysClr val="windowText" lastClr="000000"/>
                    </a:solidFill>
                  </a:rPr>
                  <a:t> Price</a:t>
                </a:r>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94327672"/>
        <c:crosses val="autoZero"/>
        <c:crossBetween val="between"/>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a:solidFill>
                  <a:schemeClr val="tx1"/>
                </a:solidFill>
              </a:rPr>
              <a:t>Twitter</a:t>
            </a:r>
            <a:r>
              <a:rPr lang="en-US" sz="1800" baseline="0">
                <a:solidFill>
                  <a:schemeClr val="tx1"/>
                </a:solidFill>
              </a:rPr>
              <a:t> Stock Price Performance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tx1"/>
              </a:solidFill>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1'!$D$4:$D$119</c:f>
              <c:numCache>
                <c:formatCode>0.00</c:formatCode>
                <c:ptCount val="116"/>
                <c:pt idx="0">
                  <c:v>38.119999</c:v>
                </c:pt>
                <c:pt idx="1">
                  <c:v>36.509998000000003</c:v>
                </c:pt>
                <c:pt idx="2">
                  <c:v>34.479999999999997</c:v>
                </c:pt>
                <c:pt idx="3">
                  <c:v>36.939999</c:v>
                </c:pt>
                <c:pt idx="4">
                  <c:v>36.040000999999997</c:v>
                </c:pt>
                <c:pt idx="5">
                  <c:v>35.979999999999997</c:v>
                </c:pt>
                <c:pt idx="6">
                  <c:v>37.830002</c:v>
                </c:pt>
                <c:pt idx="7">
                  <c:v>37.080002</c:v>
                </c:pt>
                <c:pt idx="8">
                  <c:v>35.840000000000003</c:v>
                </c:pt>
                <c:pt idx="9">
                  <c:v>35.689999</c:v>
                </c:pt>
                <c:pt idx="10">
                  <c:v>36.979999999999997</c:v>
                </c:pt>
                <c:pt idx="11">
                  <c:v>36.240001999999997</c:v>
                </c:pt>
                <c:pt idx="12">
                  <c:v>35.43</c:v>
                </c:pt>
                <c:pt idx="13">
                  <c:v>34.32</c:v>
                </c:pt>
                <c:pt idx="14">
                  <c:v>32.93</c:v>
                </c:pt>
                <c:pt idx="15">
                  <c:v>32.759998000000003</c:v>
                </c:pt>
                <c:pt idx="16">
                  <c:v>34.979999999999997</c:v>
                </c:pt>
                <c:pt idx="17">
                  <c:v>35.290000999999997</c:v>
                </c:pt>
                <c:pt idx="18">
                  <c:v>35.549999</c:v>
                </c:pt>
                <c:pt idx="19">
                  <c:v>35.560001</c:v>
                </c:pt>
                <c:pt idx="20">
                  <c:v>34.619999</c:v>
                </c:pt>
                <c:pt idx="21">
                  <c:v>33.490001999999997</c:v>
                </c:pt>
                <c:pt idx="22">
                  <c:v>33.389999000000003</c:v>
                </c:pt>
                <c:pt idx="23">
                  <c:v>32.419998</c:v>
                </c:pt>
                <c:pt idx="24">
                  <c:v>32.68</c:v>
                </c:pt>
                <c:pt idx="25">
                  <c:v>34.369999</c:v>
                </c:pt>
                <c:pt idx="26">
                  <c:v>34.119999</c:v>
                </c:pt>
                <c:pt idx="27">
                  <c:v>33</c:v>
                </c:pt>
                <c:pt idx="28">
                  <c:v>33.029998999999997</c:v>
                </c:pt>
                <c:pt idx="29">
                  <c:v>33.970001000000003</c:v>
                </c:pt>
                <c:pt idx="30">
                  <c:v>35.369999</c:v>
                </c:pt>
                <c:pt idx="31">
                  <c:v>37.299999</c:v>
                </c:pt>
                <c:pt idx="32">
                  <c:v>37.770000000000003</c:v>
                </c:pt>
                <c:pt idx="33">
                  <c:v>37.439999</c:v>
                </c:pt>
                <c:pt idx="34">
                  <c:v>38.43</c:v>
                </c:pt>
                <c:pt idx="35">
                  <c:v>38</c:v>
                </c:pt>
                <c:pt idx="36">
                  <c:v>38.82</c:v>
                </c:pt>
                <c:pt idx="37">
                  <c:v>38.599997999999999</c:v>
                </c:pt>
                <c:pt idx="38">
                  <c:v>39.119999</c:v>
                </c:pt>
                <c:pt idx="39">
                  <c:v>40.689999</c:v>
                </c:pt>
                <c:pt idx="40">
                  <c:v>39</c:v>
                </c:pt>
                <c:pt idx="41">
                  <c:v>38.689999</c:v>
                </c:pt>
                <c:pt idx="42">
                  <c:v>39.310001</c:v>
                </c:pt>
                <c:pt idx="43">
                  <c:v>49.970001000000003</c:v>
                </c:pt>
                <c:pt idx="44">
                  <c:v>50.98</c:v>
                </c:pt>
                <c:pt idx="45">
                  <c:v>50.77</c:v>
                </c:pt>
                <c:pt idx="46">
                  <c:v>48.029998999999997</c:v>
                </c:pt>
                <c:pt idx="47">
                  <c:v>46.23</c:v>
                </c:pt>
                <c:pt idx="48">
                  <c:v>47.009998000000003</c:v>
                </c:pt>
                <c:pt idx="49">
                  <c:v>44.48</c:v>
                </c:pt>
                <c:pt idx="50">
                  <c:v>45.849997999999999</c:v>
                </c:pt>
                <c:pt idx="51">
                  <c:v>45.080002</c:v>
                </c:pt>
                <c:pt idx="52">
                  <c:v>48.450001</c:v>
                </c:pt>
                <c:pt idx="53">
                  <c:v>46.16</c:v>
                </c:pt>
                <c:pt idx="54">
                  <c:v>46.720001000000003</c:v>
                </c:pt>
                <c:pt idx="55">
                  <c:v>47.080002</c:v>
                </c:pt>
                <c:pt idx="56">
                  <c:v>48.93</c:v>
                </c:pt>
                <c:pt idx="57">
                  <c:v>51.700001</c:v>
                </c:pt>
                <c:pt idx="58">
                  <c:v>49.68</c:v>
                </c:pt>
                <c:pt idx="59">
                  <c:v>48.639999000000003</c:v>
                </c:pt>
                <c:pt idx="60">
                  <c:v>49.110000999999997</c:v>
                </c:pt>
                <c:pt idx="61">
                  <c:v>49.02</c:v>
                </c:pt>
                <c:pt idx="62">
                  <c:v>49.139999000000003</c:v>
                </c:pt>
                <c:pt idx="63">
                  <c:v>48.869999</c:v>
                </c:pt>
                <c:pt idx="64">
                  <c:v>49.060001</c:v>
                </c:pt>
                <c:pt idx="65">
                  <c:v>50.360000999999997</c:v>
                </c:pt>
                <c:pt idx="66">
                  <c:v>49.799999</c:v>
                </c:pt>
                <c:pt idx="67">
                  <c:v>47.959999000000003</c:v>
                </c:pt>
                <c:pt idx="68">
                  <c:v>47.259998000000003</c:v>
                </c:pt>
                <c:pt idx="69">
                  <c:v>46.09</c:v>
                </c:pt>
                <c:pt idx="70">
                  <c:v>45.080002</c:v>
                </c:pt>
                <c:pt idx="71">
                  <c:v>40.720001000000003</c:v>
                </c:pt>
                <c:pt idx="72">
                  <c:v>37.389999000000003</c:v>
                </c:pt>
                <c:pt idx="73">
                  <c:v>38.32</c:v>
                </c:pt>
                <c:pt idx="74">
                  <c:v>36.849997999999999</c:v>
                </c:pt>
                <c:pt idx="75">
                  <c:v>37.290000999999997</c:v>
                </c:pt>
                <c:pt idx="76">
                  <c:v>38.290000999999997</c:v>
                </c:pt>
                <c:pt idx="77">
                  <c:v>37.860000999999997</c:v>
                </c:pt>
                <c:pt idx="78">
                  <c:v>35.759998000000003</c:v>
                </c:pt>
                <c:pt idx="79">
                  <c:v>37.159999999999997</c:v>
                </c:pt>
                <c:pt idx="80">
                  <c:v>39.520000000000003</c:v>
                </c:pt>
                <c:pt idx="81">
                  <c:v>40.169998</c:v>
                </c:pt>
                <c:pt idx="82">
                  <c:v>39.599997999999999</c:v>
                </c:pt>
                <c:pt idx="83">
                  <c:v>39.299999</c:v>
                </c:pt>
                <c:pt idx="84">
                  <c:v>39.909999999999997</c:v>
                </c:pt>
                <c:pt idx="85">
                  <c:v>40.159999999999997</c:v>
                </c:pt>
                <c:pt idx="86">
                  <c:v>39.560001</c:v>
                </c:pt>
                <c:pt idx="87">
                  <c:v>40.130001</c:v>
                </c:pt>
                <c:pt idx="88">
                  <c:v>40.439999</c:v>
                </c:pt>
                <c:pt idx="89">
                  <c:v>39.529998999999997</c:v>
                </c:pt>
                <c:pt idx="90">
                  <c:v>38.979999999999997</c:v>
                </c:pt>
                <c:pt idx="91">
                  <c:v>37.029998999999997</c:v>
                </c:pt>
                <c:pt idx="92">
                  <c:v>37.220001000000003</c:v>
                </c:pt>
                <c:pt idx="93">
                  <c:v>37.990001999999997</c:v>
                </c:pt>
                <c:pt idx="94">
                  <c:v>37.360000999999997</c:v>
                </c:pt>
                <c:pt idx="95">
                  <c:v>37.779998999999997</c:v>
                </c:pt>
                <c:pt idx="96">
                  <c:v>38.909999999999997</c:v>
                </c:pt>
                <c:pt idx="97">
                  <c:v>38.529998999999997</c:v>
                </c:pt>
                <c:pt idx="98">
                  <c:v>38.68</c:v>
                </c:pt>
                <c:pt idx="99">
                  <c:v>39.409999999999997</c:v>
                </c:pt>
                <c:pt idx="100">
                  <c:v>39.189999</c:v>
                </c:pt>
                <c:pt idx="101">
                  <c:v>38.790000999999997</c:v>
                </c:pt>
                <c:pt idx="102">
                  <c:v>37.799999</c:v>
                </c:pt>
                <c:pt idx="103">
                  <c:v>37.389999000000003</c:v>
                </c:pt>
                <c:pt idx="104">
                  <c:v>38.229999999999997</c:v>
                </c:pt>
                <c:pt idx="105">
                  <c:v>38.380001</c:v>
                </c:pt>
                <c:pt idx="106">
                  <c:v>38.209999000000003</c:v>
                </c:pt>
                <c:pt idx="107">
                  <c:v>38.790000999999997</c:v>
                </c:pt>
                <c:pt idx="108">
                  <c:v>36.810001</c:v>
                </c:pt>
                <c:pt idx="109">
                  <c:v>32.650002000000001</c:v>
                </c:pt>
                <c:pt idx="110">
                  <c:v>34.060001</c:v>
                </c:pt>
                <c:pt idx="111">
                  <c:v>36.75</c:v>
                </c:pt>
                <c:pt idx="112">
                  <c:v>36.290000999999997</c:v>
                </c:pt>
                <c:pt idx="113">
                  <c:v>37.740001999999997</c:v>
                </c:pt>
                <c:pt idx="114">
                  <c:v>38.409999999999997</c:v>
                </c:pt>
                <c:pt idx="115">
                  <c:v>39.490001999999997</c:v>
                </c:pt>
              </c:numCache>
            </c:numRef>
          </c:val>
          <c:smooth val="0"/>
          <c:extLst>
            <c:ext xmlns:c16="http://schemas.microsoft.com/office/drawing/2014/chart" uri="{C3380CC4-5D6E-409C-BE32-E72D297353CC}">
              <c16:uniqueId val="{00000000-877E-40E2-9FAE-CFD6A723ECC4}"/>
            </c:ext>
          </c:extLst>
        </c:ser>
        <c:dLbls>
          <c:showLegendKey val="0"/>
          <c:showVal val="0"/>
          <c:showCatName val="0"/>
          <c:showSerName val="0"/>
          <c:showPercent val="0"/>
          <c:showBubbleSize val="0"/>
        </c:dLbls>
        <c:smooth val="0"/>
        <c:axId val="425789136"/>
        <c:axId val="425793728"/>
      </c:lineChart>
      <c:dateAx>
        <c:axId val="4257891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425793728"/>
        <c:crosses val="autoZero"/>
        <c:auto val="1"/>
        <c:lblOffset val="100"/>
        <c:baseTimeUnit val="days"/>
      </c:dateAx>
      <c:valAx>
        <c:axId val="425793728"/>
        <c:scaling>
          <c:orientation val="minMax"/>
          <c:min val="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sz="1400">
                    <a:solidFill>
                      <a:sysClr val="windowText" lastClr="000000"/>
                    </a:solidFill>
                  </a:rPr>
                  <a:t>Stock</a:t>
                </a:r>
                <a:r>
                  <a:rPr lang="en-US" sz="1400" baseline="0">
                    <a:solidFill>
                      <a:sysClr val="windowText" lastClr="000000"/>
                    </a:solidFill>
                  </a:rPr>
                  <a:t> Price</a:t>
                </a:r>
                <a:endParaRPr lang="en-US" sz="1400">
                  <a:solidFill>
                    <a:sysClr val="windowText" lastClr="000000"/>
                  </a:solidFill>
                </a:endParaRPr>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42578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Tesla Inc. Stock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spPr>
            <a:ln w="28575" cap="rnd">
              <a:solidFill>
                <a:schemeClr val="tx1"/>
              </a:solidFill>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1'!$B$4:$B$119</c:f>
              <c:numCache>
                <c:formatCode>0.00</c:formatCode>
                <c:ptCount val="116"/>
                <c:pt idx="0">
                  <c:v>931.25</c:v>
                </c:pt>
                <c:pt idx="1">
                  <c:v>905.65997300000004</c:v>
                </c:pt>
                <c:pt idx="2">
                  <c:v>891.14001499999995</c:v>
                </c:pt>
                <c:pt idx="3">
                  <c:v>923.32000700000003</c:v>
                </c:pt>
                <c:pt idx="4">
                  <c:v>907.34002699999996</c:v>
                </c:pt>
                <c:pt idx="5">
                  <c:v>922</c:v>
                </c:pt>
                <c:pt idx="6">
                  <c:v>932</c:v>
                </c:pt>
                <c:pt idx="7">
                  <c:v>904.54998799999998</c:v>
                </c:pt>
                <c:pt idx="8">
                  <c:v>860</c:v>
                </c:pt>
                <c:pt idx="9">
                  <c:v>875.76000999999997</c:v>
                </c:pt>
                <c:pt idx="10">
                  <c:v>922.42999299999997</c:v>
                </c:pt>
                <c:pt idx="11">
                  <c:v>923.39001499999995</c:v>
                </c:pt>
                <c:pt idx="12">
                  <c:v>876.34997599999997</c:v>
                </c:pt>
                <c:pt idx="13">
                  <c:v>856.97997999999995</c:v>
                </c:pt>
                <c:pt idx="14">
                  <c:v>821.53002900000001</c:v>
                </c:pt>
                <c:pt idx="15">
                  <c:v>764.03997800000002</c:v>
                </c:pt>
                <c:pt idx="16">
                  <c:v>800.77002000000005</c:v>
                </c:pt>
                <c:pt idx="17">
                  <c:v>809.86999500000002</c:v>
                </c:pt>
                <c:pt idx="18">
                  <c:v>870.42999299999997</c:v>
                </c:pt>
                <c:pt idx="19">
                  <c:v>864.36999500000002</c:v>
                </c:pt>
                <c:pt idx="20">
                  <c:v>879.89001499999995</c:v>
                </c:pt>
                <c:pt idx="21">
                  <c:v>839.28997800000002</c:v>
                </c:pt>
                <c:pt idx="22">
                  <c:v>838.28997800000002</c:v>
                </c:pt>
                <c:pt idx="23">
                  <c:v>804.580017</c:v>
                </c:pt>
                <c:pt idx="24">
                  <c:v>824.40002400000003</c:v>
                </c:pt>
                <c:pt idx="25">
                  <c:v>858.96997099999999</c:v>
                </c:pt>
                <c:pt idx="26">
                  <c:v>838.29998799999998</c:v>
                </c:pt>
                <c:pt idx="27">
                  <c:v>795.34997599999997</c:v>
                </c:pt>
                <c:pt idx="28">
                  <c:v>766.36999500000002</c:v>
                </c:pt>
                <c:pt idx="29">
                  <c:v>801.89001499999995</c:v>
                </c:pt>
                <c:pt idx="30">
                  <c:v>840.22997999999995</c:v>
                </c:pt>
                <c:pt idx="31">
                  <c:v>871.59997599999997</c:v>
                </c:pt>
                <c:pt idx="32">
                  <c:v>905.39001499999995</c:v>
                </c:pt>
                <c:pt idx="33">
                  <c:v>921.15997300000004</c:v>
                </c:pt>
                <c:pt idx="34">
                  <c:v>993.97997999999995</c:v>
                </c:pt>
                <c:pt idx="35">
                  <c:v>999.10998500000005</c:v>
                </c:pt>
                <c:pt idx="36">
                  <c:v>1013.919983</c:v>
                </c:pt>
                <c:pt idx="37">
                  <c:v>1010.6400149999999</c:v>
                </c:pt>
                <c:pt idx="38">
                  <c:v>1091.839966</c:v>
                </c:pt>
                <c:pt idx="39">
                  <c:v>1099.5699460000001</c:v>
                </c:pt>
                <c:pt idx="40">
                  <c:v>1093.98999</c:v>
                </c:pt>
                <c:pt idx="41">
                  <c:v>1077.599976</c:v>
                </c:pt>
                <c:pt idx="42">
                  <c:v>1084.589966</c:v>
                </c:pt>
                <c:pt idx="43">
                  <c:v>1145.4499510000001</c:v>
                </c:pt>
                <c:pt idx="44">
                  <c:v>1091.26001</c:v>
                </c:pt>
                <c:pt idx="45">
                  <c:v>1045.76001</c:v>
                </c:pt>
                <c:pt idx="46">
                  <c:v>1057.26001</c:v>
                </c:pt>
                <c:pt idx="47">
                  <c:v>1025.48999</c:v>
                </c:pt>
                <c:pt idx="48">
                  <c:v>975.92999299999997</c:v>
                </c:pt>
                <c:pt idx="49">
                  <c:v>986.95001200000002</c:v>
                </c:pt>
                <c:pt idx="50">
                  <c:v>1022.369995</c:v>
                </c:pt>
                <c:pt idx="51">
                  <c:v>985</c:v>
                </c:pt>
                <c:pt idx="52">
                  <c:v>1004.289978</c:v>
                </c:pt>
                <c:pt idx="53">
                  <c:v>1028.150024</c:v>
                </c:pt>
                <c:pt idx="54">
                  <c:v>977.20001200000002</c:v>
                </c:pt>
                <c:pt idx="55">
                  <c:v>1008.780029</c:v>
                </c:pt>
                <c:pt idx="56">
                  <c:v>1005.049988</c:v>
                </c:pt>
                <c:pt idx="57">
                  <c:v>998.02002000000005</c:v>
                </c:pt>
                <c:pt idx="58">
                  <c:v>876.419983</c:v>
                </c:pt>
                <c:pt idx="59">
                  <c:v>881.51000999999997</c:v>
                </c:pt>
                <c:pt idx="60">
                  <c:v>877.51000999999997</c:v>
                </c:pt>
                <c:pt idx="61">
                  <c:v>870.76000999999997</c:v>
                </c:pt>
                <c:pt idx="62">
                  <c:v>902.94000200000005</c:v>
                </c:pt>
                <c:pt idx="63">
                  <c:v>909.25</c:v>
                </c:pt>
                <c:pt idx="64">
                  <c:v>952.61999500000002</c:v>
                </c:pt>
                <c:pt idx="65">
                  <c:v>873.28002900000001</c:v>
                </c:pt>
                <c:pt idx="66">
                  <c:v>865.65002400000003</c:v>
                </c:pt>
                <c:pt idx="67">
                  <c:v>787.10998500000005</c:v>
                </c:pt>
                <c:pt idx="68">
                  <c:v>800.03997800000002</c:v>
                </c:pt>
                <c:pt idx="69">
                  <c:v>734</c:v>
                </c:pt>
                <c:pt idx="70">
                  <c:v>728</c:v>
                </c:pt>
                <c:pt idx="71">
                  <c:v>769.59002699999996</c:v>
                </c:pt>
                <c:pt idx="72">
                  <c:v>724.36999500000002</c:v>
                </c:pt>
                <c:pt idx="73">
                  <c:v>761.60998500000005</c:v>
                </c:pt>
                <c:pt idx="74">
                  <c:v>709.80999799999995</c:v>
                </c:pt>
                <c:pt idx="75">
                  <c:v>709.419983</c:v>
                </c:pt>
                <c:pt idx="76">
                  <c:v>663.90002400000003</c:v>
                </c:pt>
                <c:pt idx="77">
                  <c:v>674.90002400000003</c:v>
                </c:pt>
                <c:pt idx="78">
                  <c:v>628.15997300000004</c:v>
                </c:pt>
                <c:pt idx="79">
                  <c:v>658.79998799999998</c:v>
                </c:pt>
                <c:pt idx="80">
                  <c:v>707.72997999999995</c:v>
                </c:pt>
                <c:pt idx="81">
                  <c:v>759.63000499999998</c:v>
                </c:pt>
                <c:pt idx="82">
                  <c:v>758.26000999999997</c:v>
                </c:pt>
                <c:pt idx="83">
                  <c:v>740.36999500000002</c:v>
                </c:pt>
                <c:pt idx="84">
                  <c:v>775</c:v>
                </c:pt>
                <c:pt idx="85">
                  <c:v>703.54998799999998</c:v>
                </c:pt>
                <c:pt idx="86">
                  <c:v>714.84002699999996</c:v>
                </c:pt>
                <c:pt idx="87">
                  <c:v>716.65997300000004</c:v>
                </c:pt>
                <c:pt idx="88">
                  <c:v>725.59997599999997</c:v>
                </c:pt>
                <c:pt idx="89">
                  <c:v>719.11999500000002</c:v>
                </c:pt>
                <c:pt idx="90">
                  <c:v>696.69000200000005</c:v>
                </c:pt>
                <c:pt idx="91">
                  <c:v>647.21002199999998</c:v>
                </c:pt>
                <c:pt idx="92">
                  <c:v>662.669983</c:v>
                </c:pt>
                <c:pt idx="93">
                  <c:v>699</c:v>
                </c:pt>
                <c:pt idx="94">
                  <c:v>639.29998799999998</c:v>
                </c:pt>
                <c:pt idx="95">
                  <c:v>650.28002900000001</c:v>
                </c:pt>
                <c:pt idx="96">
                  <c:v>711.10998500000005</c:v>
                </c:pt>
                <c:pt idx="97">
                  <c:v>708.26000999999997</c:v>
                </c:pt>
                <c:pt idx="98">
                  <c:v>705.21002199999998</c:v>
                </c:pt>
                <c:pt idx="99">
                  <c:v>737.11999500000002</c:v>
                </c:pt>
                <c:pt idx="100">
                  <c:v>734.76000999999997</c:v>
                </c:pt>
                <c:pt idx="101">
                  <c:v>697.98999000000003</c:v>
                </c:pt>
                <c:pt idx="102">
                  <c:v>685.46997099999999</c:v>
                </c:pt>
                <c:pt idx="103">
                  <c:v>673.419983</c:v>
                </c:pt>
                <c:pt idx="104">
                  <c:v>681.78997800000002</c:v>
                </c:pt>
                <c:pt idx="105">
                  <c:v>699.20001200000002</c:v>
                </c:pt>
                <c:pt idx="106">
                  <c:v>695.20001200000002</c:v>
                </c:pt>
                <c:pt idx="107">
                  <c:v>733.63000499999998</c:v>
                </c:pt>
                <c:pt idx="108">
                  <c:v>752.28997800000002</c:v>
                </c:pt>
                <c:pt idx="109">
                  <c:v>703.03002900000001</c:v>
                </c:pt>
                <c:pt idx="110">
                  <c:v>699.21002199999998</c:v>
                </c:pt>
                <c:pt idx="111">
                  <c:v>711.11999500000002</c:v>
                </c:pt>
                <c:pt idx="112">
                  <c:v>714.94000200000005</c:v>
                </c:pt>
                <c:pt idx="113">
                  <c:v>720.20001200000002</c:v>
                </c:pt>
                <c:pt idx="114">
                  <c:v>721.64001499999995</c:v>
                </c:pt>
                <c:pt idx="115">
                  <c:v>736.59002699999996</c:v>
                </c:pt>
              </c:numCache>
            </c:numRef>
          </c:val>
          <c:smooth val="0"/>
          <c:extLst>
            <c:ext xmlns:c16="http://schemas.microsoft.com/office/drawing/2014/chart" uri="{C3380CC4-5D6E-409C-BE32-E72D297353CC}">
              <c16:uniqueId val="{00000000-6D93-48FF-98B9-9A035CAD9114}"/>
            </c:ext>
          </c:extLst>
        </c:ser>
        <c:dLbls>
          <c:showLegendKey val="0"/>
          <c:showVal val="0"/>
          <c:showCatName val="0"/>
          <c:showSerName val="0"/>
          <c:showPercent val="0"/>
          <c:showBubbleSize val="0"/>
        </c:dLbls>
        <c:smooth val="0"/>
        <c:axId val="694327672"/>
        <c:axId val="694328000"/>
      </c:lineChart>
      <c:dateAx>
        <c:axId val="69432767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94328000"/>
        <c:crosses val="autoZero"/>
        <c:auto val="1"/>
        <c:lblOffset val="100"/>
        <c:baseTimeUnit val="days"/>
      </c:dateAx>
      <c:valAx>
        <c:axId val="694328000"/>
        <c:scaling>
          <c:orientation val="minMax"/>
          <c:min val="6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Stock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94327672"/>
        <c:crosses val="autoZero"/>
        <c:crossBetween val="between"/>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latin typeface="Arial Nova Light" panose="020B0304020202020204" pitchFamily="34" charset="0"/>
              </a:rPr>
              <a:t>Twitter Inc. Stock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1'!$D$4:$D$119</c:f>
              <c:numCache>
                <c:formatCode>0.00</c:formatCode>
                <c:ptCount val="116"/>
                <c:pt idx="0">
                  <c:v>38.119999</c:v>
                </c:pt>
                <c:pt idx="1">
                  <c:v>36.509998000000003</c:v>
                </c:pt>
                <c:pt idx="2">
                  <c:v>34.479999999999997</c:v>
                </c:pt>
                <c:pt idx="3">
                  <c:v>36.939999</c:v>
                </c:pt>
                <c:pt idx="4">
                  <c:v>36.040000999999997</c:v>
                </c:pt>
                <c:pt idx="5">
                  <c:v>35.979999999999997</c:v>
                </c:pt>
                <c:pt idx="6">
                  <c:v>37.830002</c:v>
                </c:pt>
                <c:pt idx="7">
                  <c:v>37.080002</c:v>
                </c:pt>
                <c:pt idx="8">
                  <c:v>35.840000000000003</c:v>
                </c:pt>
                <c:pt idx="9">
                  <c:v>35.689999</c:v>
                </c:pt>
                <c:pt idx="10">
                  <c:v>36.979999999999997</c:v>
                </c:pt>
                <c:pt idx="11">
                  <c:v>36.240001999999997</c:v>
                </c:pt>
                <c:pt idx="12">
                  <c:v>35.43</c:v>
                </c:pt>
                <c:pt idx="13">
                  <c:v>34.32</c:v>
                </c:pt>
                <c:pt idx="14">
                  <c:v>32.93</c:v>
                </c:pt>
                <c:pt idx="15">
                  <c:v>32.759998000000003</c:v>
                </c:pt>
                <c:pt idx="16">
                  <c:v>34.979999999999997</c:v>
                </c:pt>
                <c:pt idx="17">
                  <c:v>35.290000999999997</c:v>
                </c:pt>
                <c:pt idx="18">
                  <c:v>35.549999</c:v>
                </c:pt>
                <c:pt idx="19">
                  <c:v>35.560001</c:v>
                </c:pt>
                <c:pt idx="20">
                  <c:v>34.619999</c:v>
                </c:pt>
                <c:pt idx="21">
                  <c:v>33.490001999999997</c:v>
                </c:pt>
                <c:pt idx="22">
                  <c:v>33.389999000000003</c:v>
                </c:pt>
                <c:pt idx="23">
                  <c:v>32.419998</c:v>
                </c:pt>
                <c:pt idx="24">
                  <c:v>32.68</c:v>
                </c:pt>
                <c:pt idx="25">
                  <c:v>34.369999</c:v>
                </c:pt>
                <c:pt idx="26">
                  <c:v>34.119999</c:v>
                </c:pt>
                <c:pt idx="27">
                  <c:v>33</c:v>
                </c:pt>
                <c:pt idx="28">
                  <c:v>33.029998999999997</c:v>
                </c:pt>
                <c:pt idx="29">
                  <c:v>33.970001000000003</c:v>
                </c:pt>
                <c:pt idx="30">
                  <c:v>35.369999</c:v>
                </c:pt>
                <c:pt idx="31">
                  <c:v>37.299999</c:v>
                </c:pt>
                <c:pt idx="32">
                  <c:v>37.770000000000003</c:v>
                </c:pt>
                <c:pt idx="33">
                  <c:v>37.439999</c:v>
                </c:pt>
                <c:pt idx="34">
                  <c:v>38.43</c:v>
                </c:pt>
                <c:pt idx="35">
                  <c:v>38</c:v>
                </c:pt>
                <c:pt idx="36">
                  <c:v>38.82</c:v>
                </c:pt>
                <c:pt idx="37">
                  <c:v>38.599997999999999</c:v>
                </c:pt>
                <c:pt idx="38">
                  <c:v>39.119999</c:v>
                </c:pt>
                <c:pt idx="39">
                  <c:v>40.689999</c:v>
                </c:pt>
                <c:pt idx="40">
                  <c:v>39</c:v>
                </c:pt>
                <c:pt idx="41">
                  <c:v>38.689999</c:v>
                </c:pt>
                <c:pt idx="42">
                  <c:v>39.310001</c:v>
                </c:pt>
                <c:pt idx="43">
                  <c:v>49.970001000000003</c:v>
                </c:pt>
                <c:pt idx="44">
                  <c:v>50.98</c:v>
                </c:pt>
                <c:pt idx="45">
                  <c:v>50.77</c:v>
                </c:pt>
                <c:pt idx="46">
                  <c:v>48.029998999999997</c:v>
                </c:pt>
                <c:pt idx="47">
                  <c:v>46.23</c:v>
                </c:pt>
                <c:pt idx="48">
                  <c:v>47.009998000000003</c:v>
                </c:pt>
                <c:pt idx="49">
                  <c:v>44.48</c:v>
                </c:pt>
                <c:pt idx="50">
                  <c:v>45.849997999999999</c:v>
                </c:pt>
                <c:pt idx="51">
                  <c:v>45.080002</c:v>
                </c:pt>
                <c:pt idx="52">
                  <c:v>48.450001</c:v>
                </c:pt>
                <c:pt idx="53">
                  <c:v>46.16</c:v>
                </c:pt>
                <c:pt idx="54">
                  <c:v>46.720001000000003</c:v>
                </c:pt>
                <c:pt idx="55">
                  <c:v>47.080002</c:v>
                </c:pt>
                <c:pt idx="56">
                  <c:v>48.93</c:v>
                </c:pt>
                <c:pt idx="57">
                  <c:v>51.700001</c:v>
                </c:pt>
                <c:pt idx="58">
                  <c:v>49.68</c:v>
                </c:pt>
                <c:pt idx="59">
                  <c:v>48.639999000000003</c:v>
                </c:pt>
                <c:pt idx="60">
                  <c:v>49.110000999999997</c:v>
                </c:pt>
                <c:pt idx="61">
                  <c:v>49.02</c:v>
                </c:pt>
                <c:pt idx="62">
                  <c:v>49.139999000000003</c:v>
                </c:pt>
                <c:pt idx="63">
                  <c:v>48.869999</c:v>
                </c:pt>
                <c:pt idx="64">
                  <c:v>49.060001</c:v>
                </c:pt>
                <c:pt idx="65">
                  <c:v>50.360000999999997</c:v>
                </c:pt>
                <c:pt idx="66">
                  <c:v>49.799999</c:v>
                </c:pt>
                <c:pt idx="67">
                  <c:v>47.959999000000003</c:v>
                </c:pt>
                <c:pt idx="68">
                  <c:v>47.259998000000003</c:v>
                </c:pt>
                <c:pt idx="69">
                  <c:v>46.09</c:v>
                </c:pt>
                <c:pt idx="70">
                  <c:v>45.080002</c:v>
                </c:pt>
                <c:pt idx="71">
                  <c:v>40.720001000000003</c:v>
                </c:pt>
                <c:pt idx="72">
                  <c:v>37.389999000000003</c:v>
                </c:pt>
                <c:pt idx="73">
                  <c:v>38.32</c:v>
                </c:pt>
                <c:pt idx="74">
                  <c:v>36.849997999999999</c:v>
                </c:pt>
                <c:pt idx="75">
                  <c:v>37.290000999999997</c:v>
                </c:pt>
                <c:pt idx="76">
                  <c:v>38.290000999999997</c:v>
                </c:pt>
                <c:pt idx="77">
                  <c:v>37.860000999999997</c:v>
                </c:pt>
                <c:pt idx="78">
                  <c:v>35.759998000000003</c:v>
                </c:pt>
                <c:pt idx="79">
                  <c:v>37.159999999999997</c:v>
                </c:pt>
                <c:pt idx="80">
                  <c:v>39.520000000000003</c:v>
                </c:pt>
                <c:pt idx="81">
                  <c:v>40.169998</c:v>
                </c:pt>
                <c:pt idx="82">
                  <c:v>39.599997999999999</c:v>
                </c:pt>
                <c:pt idx="83">
                  <c:v>39.299999</c:v>
                </c:pt>
                <c:pt idx="84">
                  <c:v>39.909999999999997</c:v>
                </c:pt>
                <c:pt idx="85">
                  <c:v>40.159999999999997</c:v>
                </c:pt>
                <c:pt idx="86">
                  <c:v>39.560001</c:v>
                </c:pt>
                <c:pt idx="87">
                  <c:v>40.130001</c:v>
                </c:pt>
                <c:pt idx="88">
                  <c:v>40.439999</c:v>
                </c:pt>
                <c:pt idx="89">
                  <c:v>39.529998999999997</c:v>
                </c:pt>
                <c:pt idx="90">
                  <c:v>38.979999999999997</c:v>
                </c:pt>
                <c:pt idx="91">
                  <c:v>37.029998999999997</c:v>
                </c:pt>
                <c:pt idx="92">
                  <c:v>37.220001000000003</c:v>
                </c:pt>
                <c:pt idx="93">
                  <c:v>37.990001999999997</c:v>
                </c:pt>
                <c:pt idx="94">
                  <c:v>37.360000999999997</c:v>
                </c:pt>
                <c:pt idx="95">
                  <c:v>37.779998999999997</c:v>
                </c:pt>
                <c:pt idx="96">
                  <c:v>38.909999999999997</c:v>
                </c:pt>
                <c:pt idx="97">
                  <c:v>38.529998999999997</c:v>
                </c:pt>
                <c:pt idx="98">
                  <c:v>38.68</c:v>
                </c:pt>
                <c:pt idx="99">
                  <c:v>39.409999999999997</c:v>
                </c:pt>
                <c:pt idx="100">
                  <c:v>39.189999</c:v>
                </c:pt>
                <c:pt idx="101">
                  <c:v>38.790000999999997</c:v>
                </c:pt>
                <c:pt idx="102">
                  <c:v>37.799999</c:v>
                </c:pt>
                <c:pt idx="103">
                  <c:v>37.389999000000003</c:v>
                </c:pt>
                <c:pt idx="104">
                  <c:v>38.229999999999997</c:v>
                </c:pt>
                <c:pt idx="105">
                  <c:v>38.380001</c:v>
                </c:pt>
                <c:pt idx="106">
                  <c:v>38.209999000000003</c:v>
                </c:pt>
                <c:pt idx="107">
                  <c:v>38.790000999999997</c:v>
                </c:pt>
                <c:pt idx="108">
                  <c:v>36.810001</c:v>
                </c:pt>
                <c:pt idx="109">
                  <c:v>32.650002000000001</c:v>
                </c:pt>
                <c:pt idx="110">
                  <c:v>34.060001</c:v>
                </c:pt>
                <c:pt idx="111">
                  <c:v>36.75</c:v>
                </c:pt>
                <c:pt idx="112">
                  <c:v>36.290000999999997</c:v>
                </c:pt>
                <c:pt idx="113">
                  <c:v>37.740001999999997</c:v>
                </c:pt>
                <c:pt idx="114">
                  <c:v>38.409999999999997</c:v>
                </c:pt>
                <c:pt idx="115">
                  <c:v>39.490001999999997</c:v>
                </c:pt>
              </c:numCache>
            </c:numRef>
          </c:val>
          <c:smooth val="0"/>
          <c:extLst>
            <c:ext xmlns:c16="http://schemas.microsoft.com/office/drawing/2014/chart" uri="{C3380CC4-5D6E-409C-BE32-E72D297353CC}">
              <c16:uniqueId val="{00000000-9275-4D86-9D4D-A444CB18334C}"/>
            </c:ext>
          </c:extLst>
        </c:ser>
        <c:dLbls>
          <c:showLegendKey val="0"/>
          <c:showVal val="0"/>
          <c:showCatName val="0"/>
          <c:showSerName val="0"/>
          <c:showPercent val="0"/>
          <c:showBubbleSize val="0"/>
        </c:dLbls>
        <c:smooth val="0"/>
        <c:axId val="425789136"/>
        <c:axId val="425793728"/>
      </c:lineChart>
      <c:dateAx>
        <c:axId val="425789136"/>
        <c:scaling>
          <c:orientation val="minMax"/>
        </c:scaling>
        <c:delete val="1"/>
        <c:axPos val="b"/>
        <c:numFmt formatCode="m/d/yyyy" sourceLinked="1"/>
        <c:majorTickMark val="out"/>
        <c:minorTickMark val="none"/>
        <c:tickLblPos val="nextTo"/>
        <c:crossAx val="425793728"/>
        <c:crosses val="autoZero"/>
        <c:auto val="1"/>
        <c:lblOffset val="100"/>
        <c:baseTimeUnit val="days"/>
      </c:dateAx>
      <c:valAx>
        <c:axId val="425793728"/>
        <c:scaling>
          <c:orientation val="minMax"/>
          <c:min val="3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578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Stock Price Performance Relative to S&amp;P 500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v>Tesla</c:v>
          </c:tx>
          <c:spPr>
            <a:ln w="28575" cap="rnd">
              <a:solidFill>
                <a:schemeClr val="tx1"/>
              </a:solidFill>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1'!$C$4:$C$119</c:f>
              <c:numCache>
                <c:formatCode>0.00</c:formatCode>
                <c:ptCount val="116"/>
                <c:pt idx="0">
                  <c:v>1</c:v>
                </c:pt>
                <c:pt idx="1">
                  <c:v>0.972520776375839</c:v>
                </c:pt>
                <c:pt idx="2">
                  <c:v>0.95692887516778513</c:v>
                </c:pt>
                <c:pt idx="3">
                  <c:v>0.99148457127516787</c:v>
                </c:pt>
                <c:pt idx="4">
                  <c:v>0.97432486120805362</c:v>
                </c:pt>
                <c:pt idx="5">
                  <c:v>0.99006711409395975</c:v>
                </c:pt>
                <c:pt idx="6">
                  <c:v>1.0008053691275167</c:v>
                </c:pt>
                <c:pt idx="7">
                  <c:v>0.97132884617449666</c:v>
                </c:pt>
                <c:pt idx="8">
                  <c:v>0.92348993288590608</c:v>
                </c:pt>
                <c:pt idx="9">
                  <c:v>0.94041343355704698</c:v>
                </c:pt>
                <c:pt idx="10">
                  <c:v>0.99052885154362413</c:v>
                </c:pt>
                <c:pt idx="11">
                  <c:v>0.99155974765100663</c:v>
                </c:pt>
                <c:pt idx="12">
                  <c:v>0.94104695409395966</c:v>
                </c:pt>
                <c:pt idx="13">
                  <c:v>0.92024695838926174</c:v>
                </c:pt>
                <c:pt idx="14">
                  <c:v>0.88217989691275167</c:v>
                </c:pt>
                <c:pt idx="15">
                  <c:v>0.82044561395973159</c:v>
                </c:pt>
                <c:pt idx="16">
                  <c:v>0.85988726979865782</c:v>
                </c:pt>
                <c:pt idx="17">
                  <c:v>0.86965905503355712</c:v>
                </c:pt>
                <c:pt idx="18">
                  <c:v>0.93468992536912743</c:v>
                </c:pt>
                <c:pt idx="19">
                  <c:v>0.92818254496644292</c:v>
                </c:pt>
                <c:pt idx="20">
                  <c:v>0.94484833825503345</c:v>
                </c:pt>
                <c:pt idx="21">
                  <c:v>0.90125098308724838</c:v>
                </c:pt>
                <c:pt idx="22">
                  <c:v>0.90017715758389261</c:v>
                </c:pt>
                <c:pt idx="23">
                  <c:v>0.86397854174496647</c:v>
                </c:pt>
                <c:pt idx="24">
                  <c:v>0.88526177073825507</c:v>
                </c:pt>
                <c:pt idx="25">
                  <c:v>0.92238386147651008</c:v>
                </c:pt>
                <c:pt idx="26">
                  <c:v>0.90018790657718117</c:v>
                </c:pt>
                <c:pt idx="27">
                  <c:v>0.85406708832214762</c:v>
                </c:pt>
                <c:pt idx="28">
                  <c:v>0.82294764563758394</c:v>
                </c:pt>
                <c:pt idx="29">
                  <c:v>0.8610899489932885</c:v>
                </c:pt>
                <c:pt idx="30">
                  <c:v>0.90226038120805363</c:v>
                </c:pt>
                <c:pt idx="31">
                  <c:v>0.93594628295302007</c:v>
                </c:pt>
                <c:pt idx="32">
                  <c:v>0.97223088859060403</c:v>
                </c:pt>
                <c:pt idx="33">
                  <c:v>0.98916507167785239</c:v>
                </c:pt>
                <c:pt idx="34">
                  <c:v>1.0673610523489931</c:v>
                </c:pt>
                <c:pt idx="35">
                  <c:v>1.0728697825503357</c:v>
                </c:pt>
                <c:pt idx="36">
                  <c:v>1.0887731361073825</c:v>
                </c:pt>
                <c:pt idx="37">
                  <c:v>1.0852510228187919</c:v>
                </c:pt>
                <c:pt idx="38">
                  <c:v>1.1724456010738256</c:v>
                </c:pt>
                <c:pt idx="39">
                  <c:v>1.1807462507382551</c:v>
                </c:pt>
                <c:pt idx="40">
                  <c:v>1.1747543516778525</c:v>
                </c:pt>
                <c:pt idx="41">
                  <c:v>1.1571543366442953</c:v>
                </c:pt>
                <c:pt idx="42">
                  <c:v>1.1646603661744968</c:v>
                </c:pt>
                <c:pt idx="43">
                  <c:v>1.2300133702013423</c:v>
                </c:pt>
                <c:pt idx="44">
                  <c:v>1.1718228295302013</c:v>
                </c:pt>
                <c:pt idx="45">
                  <c:v>1.1229637691275167</c:v>
                </c:pt>
                <c:pt idx="46">
                  <c:v>1.1353127624161072</c:v>
                </c:pt>
                <c:pt idx="47">
                  <c:v>1.1011973046979866</c:v>
                </c:pt>
                <c:pt idx="48">
                  <c:v>1.0479785159731543</c:v>
                </c:pt>
                <c:pt idx="49">
                  <c:v>1.0598120934228188</c:v>
                </c:pt>
                <c:pt idx="50">
                  <c:v>1.0978469744966444</c:v>
                </c:pt>
                <c:pt idx="51">
                  <c:v>1.0577181208053692</c:v>
                </c:pt>
                <c:pt idx="52">
                  <c:v>1.0784321911409396</c:v>
                </c:pt>
                <c:pt idx="53">
                  <c:v>1.10405371704698</c:v>
                </c:pt>
                <c:pt idx="54">
                  <c:v>1.0493422947651008</c:v>
                </c:pt>
                <c:pt idx="55">
                  <c:v>1.0832537224161074</c:v>
                </c:pt>
                <c:pt idx="56">
                  <c:v>1.0792483092617449</c:v>
                </c:pt>
                <c:pt idx="57">
                  <c:v>1.0716993503355705</c:v>
                </c:pt>
                <c:pt idx="58">
                  <c:v>0.94112212939597317</c:v>
                </c:pt>
                <c:pt idx="59">
                  <c:v>0.94658793020134224</c:v>
                </c:pt>
                <c:pt idx="60">
                  <c:v>0.94229262818791948</c:v>
                </c:pt>
                <c:pt idx="61">
                  <c:v>0.93504430604026845</c:v>
                </c:pt>
                <c:pt idx="62">
                  <c:v>0.96960000214765107</c:v>
                </c:pt>
                <c:pt idx="63">
                  <c:v>0.97637583892617452</c:v>
                </c:pt>
                <c:pt idx="64">
                  <c:v>1.0229476456375839</c:v>
                </c:pt>
                <c:pt idx="65">
                  <c:v>0.93775036671140943</c:v>
                </c:pt>
                <c:pt idx="66">
                  <c:v>0.92955707275167787</c:v>
                </c:pt>
                <c:pt idx="67">
                  <c:v>0.84521877583892624</c:v>
                </c:pt>
                <c:pt idx="68">
                  <c:v>0.85910333208053691</c:v>
                </c:pt>
                <c:pt idx="69">
                  <c:v>0.78818791946308719</c:v>
                </c:pt>
                <c:pt idx="70">
                  <c:v>0.78174496644295299</c:v>
                </c:pt>
                <c:pt idx="71">
                  <c:v>0.82640539812080538</c:v>
                </c:pt>
                <c:pt idx="72">
                  <c:v>0.77784697449664431</c:v>
                </c:pt>
                <c:pt idx="73">
                  <c:v>0.81783622550335577</c:v>
                </c:pt>
                <c:pt idx="74">
                  <c:v>0.76221207838926164</c:v>
                </c:pt>
                <c:pt idx="75">
                  <c:v>0.76179327033557043</c:v>
                </c:pt>
                <c:pt idx="76">
                  <c:v>0.71291277744966441</c:v>
                </c:pt>
                <c:pt idx="77">
                  <c:v>0.72472485798657726</c:v>
                </c:pt>
                <c:pt idx="78">
                  <c:v>0.67453419919463087</c:v>
                </c:pt>
                <c:pt idx="79">
                  <c:v>0.70743622872483225</c:v>
                </c:pt>
                <c:pt idx="80">
                  <c:v>0.75997850201342276</c:v>
                </c:pt>
                <c:pt idx="81">
                  <c:v>0.81571007248322147</c:v>
                </c:pt>
                <c:pt idx="82">
                  <c:v>0.81423893691275162</c:v>
                </c:pt>
                <c:pt idx="83">
                  <c:v>0.79502818255033558</c:v>
                </c:pt>
                <c:pt idx="84">
                  <c:v>0.83221476510067116</c:v>
                </c:pt>
                <c:pt idx="85">
                  <c:v>0.75548992000000004</c:v>
                </c:pt>
                <c:pt idx="86">
                  <c:v>0.76761345181208052</c:v>
                </c:pt>
                <c:pt idx="87">
                  <c:v>0.76956775624161078</c:v>
                </c:pt>
                <c:pt idx="88">
                  <c:v>0.77916775946308725</c:v>
                </c:pt>
                <c:pt idx="89">
                  <c:v>0.77220939060402682</c:v>
                </c:pt>
                <c:pt idx="90">
                  <c:v>0.74812349208053697</c:v>
                </c:pt>
                <c:pt idx="91">
                  <c:v>0.69499062765100672</c:v>
                </c:pt>
                <c:pt idx="92">
                  <c:v>0.71159192805369131</c:v>
                </c:pt>
                <c:pt idx="93">
                  <c:v>0.75060402684563754</c:v>
                </c:pt>
                <c:pt idx="94">
                  <c:v>0.68649663140939599</c:v>
                </c:pt>
                <c:pt idx="95">
                  <c:v>0.69828727946308722</c:v>
                </c:pt>
                <c:pt idx="96">
                  <c:v>0.76360803758389262</c:v>
                </c:pt>
                <c:pt idx="97">
                  <c:v>0.76054766174496635</c:v>
                </c:pt>
                <c:pt idx="98">
                  <c:v>0.75727250684563752</c:v>
                </c:pt>
                <c:pt idx="99">
                  <c:v>0.79153824966442954</c:v>
                </c:pt>
                <c:pt idx="100">
                  <c:v>0.78900403758389259</c:v>
                </c:pt>
                <c:pt idx="101">
                  <c:v>0.74951945234899331</c:v>
                </c:pt>
                <c:pt idx="102">
                  <c:v>0.73607513664429525</c:v>
                </c:pt>
                <c:pt idx="103">
                  <c:v>0.72313555221476511</c:v>
                </c:pt>
                <c:pt idx="104">
                  <c:v>0.73212346630872482</c:v>
                </c:pt>
                <c:pt idx="105">
                  <c:v>0.75081880483221475</c:v>
                </c:pt>
                <c:pt idx="106">
                  <c:v>0.74652350281879198</c:v>
                </c:pt>
                <c:pt idx="107">
                  <c:v>0.78779060939597312</c:v>
                </c:pt>
                <c:pt idx="108">
                  <c:v>0.80782816429530202</c:v>
                </c:pt>
                <c:pt idx="109">
                  <c:v>0.75493157476510064</c:v>
                </c:pt>
                <c:pt idx="110">
                  <c:v>0.75082955382550332</c:v>
                </c:pt>
                <c:pt idx="111">
                  <c:v>0.76361878657718119</c:v>
                </c:pt>
                <c:pt idx="112">
                  <c:v>0.76772080751677862</c:v>
                </c:pt>
                <c:pt idx="113">
                  <c:v>0.77336914040268456</c:v>
                </c:pt>
                <c:pt idx="114">
                  <c:v>0.77491545234899328</c:v>
                </c:pt>
                <c:pt idx="115">
                  <c:v>0.79096915651006705</c:v>
                </c:pt>
              </c:numCache>
            </c:numRef>
          </c:val>
          <c:smooth val="0"/>
          <c:extLst>
            <c:ext xmlns:c16="http://schemas.microsoft.com/office/drawing/2014/chart" uri="{C3380CC4-5D6E-409C-BE32-E72D297353CC}">
              <c16:uniqueId val="{00000000-4848-4FB6-990E-F1957BDCD713}"/>
            </c:ext>
          </c:extLst>
        </c:ser>
        <c:ser>
          <c:idx val="1"/>
          <c:order val="1"/>
          <c:tx>
            <c:v>Twitter</c:v>
          </c:tx>
          <c:spPr>
            <a:ln w="28575" cap="rnd">
              <a:solidFill>
                <a:schemeClr val="accent1"/>
              </a:solidFill>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1'!$E$4:$E$119</c:f>
              <c:numCache>
                <c:formatCode>0.00</c:formatCode>
                <c:ptCount val="116"/>
                <c:pt idx="0">
                  <c:v>1</c:v>
                </c:pt>
                <c:pt idx="1">
                  <c:v>0.95776492543979352</c:v>
                </c:pt>
                <c:pt idx="2">
                  <c:v>0.90451209088436746</c:v>
                </c:pt>
                <c:pt idx="3">
                  <c:v>0.96904511985952568</c:v>
                </c:pt>
                <c:pt idx="4">
                  <c:v>0.94543551798099457</c:v>
                </c:pt>
                <c:pt idx="5">
                  <c:v>0.94386151479175007</c:v>
                </c:pt>
                <c:pt idx="6">
                  <c:v>0.99239252341008721</c:v>
                </c:pt>
                <c:pt idx="7">
                  <c:v>0.97271781145639591</c:v>
                </c:pt>
                <c:pt idx="8">
                  <c:v>0.94018890189372784</c:v>
                </c:pt>
                <c:pt idx="9">
                  <c:v>0.93625393327004025</c:v>
                </c:pt>
                <c:pt idx="10">
                  <c:v>0.97009446406333844</c:v>
                </c:pt>
                <c:pt idx="11">
                  <c:v>0.95068213406826152</c:v>
                </c:pt>
                <c:pt idx="12">
                  <c:v>0.92943339269237646</c:v>
                </c:pt>
                <c:pt idx="13">
                  <c:v>0.90031481900091337</c:v>
                </c:pt>
                <c:pt idx="14">
                  <c:v>0.86385101951340559</c:v>
                </c:pt>
                <c:pt idx="15">
                  <c:v>0.85939136567133712</c:v>
                </c:pt>
                <c:pt idx="16">
                  <c:v>0.9176285655201617</c:v>
                </c:pt>
                <c:pt idx="17">
                  <c:v>0.92576080602730337</c:v>
                </c:pt>
                <c:pt idx="18">
                  <c:v>0.9325813203720178</c:v>
                </c:pt>
                <c:pt idx="19">
                  <c:v>0.9328437023306323</c:v>
                </c:pt>
                <c:pt idx="20">
                  <c:v>0.90818467754944066</c:v>
                </c:pt>
                <c:pt idx="21">
                  <c:v>0.87854152357139348</c:v>
                </c:pt>
                <c:pt idx="22">
                  <c:v>0.87591814994538697</c:v>
                </c:pt>
                <c:pt idx="23">
                  <c:v>0.85047216291899697</c:v>
                </c:pt>
                <c:pt idx="24">
                  <c:v>0.85729278219550842</c:v>
                </c:pt>
                <c:pt idx="25">
                  <c:v>0.90162644023154359</c:v>
                </c:pt>
                <c:pt idx="26">
                  <c:v>0.89506820291364642</c:v>
                </c:pt>
                <c:pt idx="27">
                  <c:v>0.86568732596241671</c:v>
                </c:pt>
                <c:pt idx="28">
                  <c:v>0.86647428820761507</c:v>
                </c:pt>
                <c:pt idx="29">
                  <c:v>0.89113331298880682</c:v>
                </c:pt>
                <c:pt idx="30">
                  <c:v>0.92785938950313196</c:v>
                </c:pt>
                <c:pt idx="31">
                  <c:v>0.97848898159729747</c:v>
                </c:pt>
                <c:pt idx="32">
                  <c:v>0.99081849398789346</c:v>
                </c:pt>
                <c:pt idx="33">
                  <c:v>0.98216159449531992</c:v>
                </c:pt>
                <c:pt idx="34">
                  <c:v>1.0081322405071416</c:v>
                </c:pt>
                <c:pt idx="35">
                  <c:v>0.99685207232035866</c:v>
                </c:pt>
                <c:pt idx="36">
                  <c:v>1.0183630907230612</c:v>
                </c:pt>
                <c:pt idx="37">
                  <c:v>1.0125917894174132</c:v>
                </c:pt>
                <c:pt idx="38">
                  <c:v>1.0262329492715885</c:v>
                </c:pt>
                <c:pt idx="39">
                  <c:v>1.0674186796279821</c:v>
                </c:pt>
                <c:pt idx="40">
                  <c:v>1.0230850215919471</c:v>
                </c:pt>
                <c:pt idx="41">
                  <c:v>1.0149527810848054</c:v>
                </c:pt>
                <c:pt idx="42">
                  <c:v>1.0312172620990887</c:v>
                </c:pt>
                <c:pt idx="43">
                  <c:v>1.3108605013342209</c:v>
                </c:pt>
                <c:pt idx="44">
                  <c:v>1.3373557538655758</c:v>
                </c:pt>
                <c:pt idx="45">
                  <c:v>1.3318468345185424</c:v>
                </c:pt>
                <c:pt idx="46">
                  <c:v>1.2599685272814407</c:v>
                </c:pt>
                <c:pt idx="47">
                  <c:v>1.212749244825531</c:v>
                </c:pt>
                <c:pt idx="48">
                  <c:v>1.2332108927914716</c:v>
                </c:pt>
                <c:pt idx="49">
                  <c:v>1.1668415836002513</c:v>
                </c:pt>
                <c:pt idx="50">
                  <c:v>1.2027806716364289</c:v>
                </c:pt>
                <c:pt idx="51">
                  <c:v>1.1825814056291031</c:v>
                </c:pt>
                <c:pt idx="52">
                  <c:v>1.2709864184414066</c:v>
                </c:pt>
                <c:pt idx="53">
                  <c:v>1.2109129383765198</c:v>
                </c:pt>
                <c:pt idx="54">
                  <c:v>1.2256034162015588</c:v>
                </c:pt>
                <c:pt idx="55">
                  <c:v>1.2350473041722798</c:v>
                </c:pt>
                <c:pt idx="56">
                  <c:v>1.2835782078588198</c:v>
                </c:pt>
                <c:pt idx="57">
                  <c:v>1.3562435035740688</c:v>
                </c:pt>
                <c:pt idx="58">
                  <c:v>1.3032529198125109</c:v>
                </c:pt>
                <c:pt idx="59">
                  <c:v>1.27597062633711</c:v>
                </c:pt>
                <c:pt idx="60">
                  <c:v>1.2883001649606549</c:v>
                </c:pt>
                <c:pt idx="61">
                  <c:v>1.2859391732932628</c:v>
                </c:pt>
                <c:pt idx="62">
                  <c:v>1.2890871009729041</c:v>
                </c:pt>
                <c:pt idx="63">
                  <c:v>1.2820042046695752</c:v>
                </c:pt>
                <c:pt idx="64">
                  <c:v>1.2869885174970754</c:v>
                </c:pt>
                <c:pt idx="65">
                  <c:v>1.3210913515501403</c:v>
                </c:pt>
                <c:pt idx="66">
                  <c:v>1.3064008474921522</c:v>
                </c:pt>
                <c:pt idx="67">
                  <c:v>1.2581322208324297</c:v>
                </c:pt>
                <c:pt idx="68">
                  <c:v>1.2397691301093687</c:v>
                </c:pt>
                <c:pt idx="69">
                  <c:v>1.2090766319275088</c:v>
                </c:pt>
                <c:pt idx="70">
                  <c:v>1.1825814056291031</c:v>
                </c:pt>
                <c:pt idx="71">
                  <c:v>1.0682057205720283</c:v>
                </c:pt>
                <c:pt idx="72">
                  <c:v>0.98084994703174055</c:v>
                </c:pt>
                <c:pt idx="73">
                  <c:v>1.0052466160872671</c:v>
                </c:pt>
                <c:pt idx="74">
                  <c:v>0.96668412819213345</c:v>
                </c:pt>
                <c:pt idx="75">
                  <c:v>0.97822670457048011</c:v>
                </c:pt>
                <c:pt idx="76">
                  <c:v>1.0044596538420685</c:v>
                </c:pt>
                <c:pt idx="77">
                  <c:v>0.99317948565528547</c:v>
                </c:pt>
                <c:pt idx="78">
                  <c:v>0.93809021348610222</c:v>
                </c:pt>
                <c:pt idx="79">
                  <c:v>0.97481639493222438</c:v>
                </c:pt>
                <c:pt idx="80">
                  <c:v>1.036726155213173</c:v>
                </c:pt>
                <c:pt idx="81">
                  <c:v>1.0537775197738068</c:v>
                </c:pt>
                <c:pt idx="82">
                  <c:v>1.0388247386890015</c:v>
                </c:pt>
                <c:pt idx="83">
                  <c:v>1.0309548801404742</c:v>
                </c:pt>
                <c:pt idx="84">
                  <c:v>1.0469570054290924</c:v>
                </c:pt>
                <c:pt idx="85">
                  <c:v>1.0535152427469896</c:v>
                </c:pt>
                <c:pt idx="86">
                  <c:v>1.0377754994169859</c:v>
                </c:pt>
                <c:pt idx="87">
                  <c:v>1.0527282805017912</c:v>
                </c:pt>
                <c:pt idx="88">
                  <c:v>1.0608604423100851</c:v>
                </c:pt>
                <c:pt idx="89">
                  <c:v>1.0369884584729396</c:v>
                </c:pt>
                <c:pt idx="90">
                  <c:v>1.0225603626065152</c:v>
                </c:pt>
                <c:pt idx="91">
                  <c:v>0.97140608529396855</c:v>
                </c:pt>
                <c:pt idx="92">
                  <c:v>0.97639039812146911</c:v>
                </c:pt>
                <c:pt idx="93">
                  <c:v>0.99658979529354119</c:v>
                </c:pt>
                <c:pt idx="94">
                  <c:v>0.98006301101949134</c:v>
                </c:pt>
                <c:pt idx="95">
                  <c:v>0.99108079724765985</c:v>
                </c:pt>
                <c:pt idx="96">
                  <c:v>1.0207240561575039</c:v>
                </c:pt>
                <c:pt idx="97">
                  <c:v>1.0107555092013512</c:v>
                </c:pt>
                <c:pt idx="98">
                  <c:v>1.0146904778250387</c:v>
                </c:pt>
                <c:pt idx="99">
                  <c:v>1.0338405307932983</c:v>
                </c:pt>
                <c:pt idx="100">
                  <c:v>1.0280692557205995</c:v>
                </c:pt>
                <c:pt idx="101">
                  <c:v>1.0175761284778626</c:v>
                </c:pt>
                <c:pt idx="102">
                  <c:v>0.99160545623309171</c:v>
                </c:pt>
                <c:pt idx="103">
                  <c:v>0.98084994703174055</c:v>
                </c:pt>
                <c:pt idx="104">
                  <c:v>1.0028856506528239</c:v>
                </c:pt>
                <c:pt idx="105">
                  <c:v>1.0068206192765115</c:v>
                </c:pt>
                <c:pt idx="106">
                  <c:v>1.002360965434443</c:v>
                </c:pt>
                <c:pt idx="107">
                  <c:v>1.0175761284778626</c:v>
                </c:pt>
                <c:pt idx="108">
                  <c:v>0.96563488892011773</c:v>
                </c:pt>
                <c:pt idx="109">
                  <c:v>0.85650584618325931</c:v>
                </c:pt>
                <c:pt idx="110">
                  <c:v>0.89349427842324969</c:v>
                </c:pt>
                <c:pt idx="111">
                  <c:v>0.96406088573087323</c:v>
                </c:pt>
                <c:pt idx="112">
                  <c:v>0.95199375529889174</c:v>
                </c:pt>
                <c:pt idx="113">
                  <c:v>0.99003155797564413</c:v>
                </c:pt>
                <c:pt idx="114">
                  <c:v>1.0076075815217098</c:v>
                </c:pt>
                <c:pt idx="115">
                  <c:v>1.0359392192009238</c:v>
                </c:pt>
              </c:numCache>
            </c:numRef>
          </c:val>
          <c:smooth val="0"/>
          <c:extLst>
            <c:ext xmlns:c16="http://schemas.microsoft.com/office/drawing/2014/chart" uri="{C3380CC4-5D6E-409C-BE32-E72D297353CC}">
              <c16:uniqueId val="{00000001-4848-4FB6-990E-F1957BDCD713}"/>
            </c:ext>
          </c:extLst>
        </c:ser>
        <c:ser>
          <c:idx val="2"/>
          <c:order val="2"/>
          <c:tx>
            <c:v>S&amp;P 500</c:v>
          </c:tx>
          <c:spPr>
            <a:ln w="28575" cap="rnd">
              <a:solidFill>
                <a:srgbClr val="FF0000"/>
              </a:solidFill>
              <a:prstDash val="dash"/>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1'!$G$4:$G$119</c:f>
              <c:numCache>
                <c:formatCode>0.00</c:formatCode>
                <c:ptCount val="116"/>
                <c:pt idx="0">
                  <c:v>1</c:v>
                </c:pt>
                <c:pt idx="1">
                  <c:v>1.0095343092020188</c:v>
                </c:pt>
                <c:pt idx="2">
                  <c:v>0.9860707081536042</c:v>
                </c:pt>
                <c:pt idx="3">
                  <c:v>0.99070578922293773</c:v>
                </c:pt>
                <c:pt idx="4">
                  <c:v>0.98743968773782831</c:v>
                </c:pt>
                <c:pt idx="5">
                  <c:v>0.99543691062612705</c:v>
                </c:pt>
                <c:pt idx="6">
                  <c:v>1.0100387040906855</c:v>
                </c:pt>
                <c:pt idx="8">
                  <c:v>0.97250175551445772</c:v>
                </c:pt>
                <c:pt idx="9">
                  <c:v>0.96933161725334149</c:v>
                </c:pt>
                <c:pt idx="10">
                  <c:v>0.98489395863745044</c:v>
                </c:pt>
                <c:pt idx="11">
                  <c:v>0.9860707081536042</c:v>
                </c:pt>
                <c:pt idx="12">
                  <c:v>0.96510481844832263</c:v>
                </c:pt>
                <c:pt idx="13">
                  <c:v>0.95893272576544852</c:v>
                </c:pt>
                <c:pt idx="14">
                  <c:v>0.94843779394369987</c:v>
                </c:pt>
                <c:pt idx="15">
                  <c:v>0.93136241488426619</c:v>
                </c:pt>
                <c:pt idx="16">
                  <c:v>0.94567586565640227</c:v>
                </c:pt>
                <c:pt idx="17">
                  <c:v>0.96632958813140413</c:v>
                </c:pt>
                <c:pt idx="18">
                  <c:v>0.96390402029377376</c:v>
                </c:pt>
                <c:pt idx="19">
                  <c:v>0.94944643673035778</c:v>
                </c:pt>
                <c:pt idx="20">
                  <c:v>0.96688200318699891</c:v>
                </c:pt>
                <c:pt idx="21">
                  <c:v>0.96203072293074543</c:v>
                </c:pt>
                <c:pt idx="22">
                  <c:v>0.95424962452918716</c:v>
                </c:pt>
                <c:pt idx="23">
                  <c:v>0.9260788784254822</c:v>
                </c:pt>
                <c:pt idx="24">
                  <c:v>0.91909029591415814</c:v>
                </c:pt>
                <c:pt idx="25">
                  <c:v>0.94358651127776327</c:v>
                </c:pt>
                <c:pt idx="26">
                  <c:v>0.93938375870145652</c:v>
                </c:pt>
                <c:pt idx="27">
                  <c:v>0.92739976314259898</c:v>
                </c:pt>
                <c:pt idx="28">
                  <c:v>0.9206273075276985</c:v>
                </c:pt>
                <c:pt idx="29">
                  <c:v>0.94082472998114108</c:v>
                </c:pt>
                <c:pt idx="30">
                  <c:v>0.96186268849174583</c:v>
                </c:pt>
                <c:pt idx="31">
                  <c:v>0.97363048486368353</c:v>
                </c:pt>
                <c:pt idx="32">
                  <c:v>0.98438963844896321</c:v>
                </c:pt>
                <c:pt idx="33">
                  <c:v>0.98443765861589105</c:v>
                </c:pt>
                <c:pt idx="34">
                  <c:v>0.99586931381933319</c:v>
                </c:pt>
                <c:pt idx="35">
                  <c:v>0.98304470750313422</c:v>
                </c:pt>
                <c:pt idx="36">
                  <c:v>0.99765701441552024</c:v>
                </c:pt>
                <c:pt idx="37">
                  <c:v>1.0027173636060871</c:v>
                </c:pt>
                <c:pt idx="38">
                  <c:v>1.0096331423587102</c:v>
                </c:pt>
                <c:pt idx="39">
                  <c:v>1.0224045091341574</c:v>
                </c:pt>
                <c:pt idx="40">
                  <c:v>1.0160429093252354</c:v>
                </c:pt>
                <c:pt idx="41">
                  <c:v>1.0004282079347446</c:v>
                </c:pt>
                <c:pt idx="42">
                  <c:v>1.0031993291634729</c:v>
                </c:pt>
                <c:pt idx="43">
                  <c:v>1.0117055084707474</c:v>
                </c:pt>
                <c:pt idx="44">
                  <c:v>0.99919924781256797</c:v>
                </c:pt>
                <c:pt idx="45">
                  <c:v>0.98907854702175091</c:v>
                </c:pt>
                <c:pt idx="46">
                  <c:v>0.99406661053550605</c:v>
                </c:pt>
                <c:pt idx="47">
                  <c:v>0.99165692732956912</c:v>
                </c:pt>
                <c:pt idx="48">
                  <c:v>0.97447587402282232</c:v>
                </c:pt>
                <c:pt idx="49">
                  <c:v>0.97090958866201638</c:v>
                </c:pt>
                <c:pt idx="50">
                  <c:v>0.98187361833283138</c:v>
                </c:pt>
                <c:pt idx="51">
                  <c:v>0.96994565754724471</c:v>
                </c:pt>
                <c:pt idx="52">
                  <c:v>0.97011435223944276</c:v>
                </c:pt>
                <c:pt idx="53">
                  <c:v>0.98560859838583526</c:v>
                </c:pt>
                <c:pt idx="54">
                  <c:v>0.98486160141136114</c:v>
                </c:pt>
                <c:pt idx="55">
                  <c:v>0.97025892841243255</c:v>
                </c:pt>
                <c:pt idx="56">
                  <c:v>0.94377653407601703</c:v>
                </c:pt>
                <c:pt idx="57">
                  <c:v>0.94893321758179083</c:v>
                </c:pt>
                <c:pt idx="58">
                  <c:v>0.92180023528628763</c:v>
                </c:pt>
                <c:pt idx="59">
                  <c:v>0.92418579756333319</c:v>
                </c:pt>
                <c:pt idx="60">
                  <c:v>0.94734289172731911</c:v>
                </c:pt>
                <c:pt idx="61">
                  <c:v>0.91254705900453925</c:v>
                </c:pt>
                <c:pt idx="62">
                  <c:v>0.91828204479258912</c:v>
                </c:pt>
                <c:pt idx="63">
                  <c:v>0.92225807991478204</c:v>
                </c:pt>
                <c:pt idx="64">
                  <c:v>0.95023446579046245</c:v>
                </c:pt>
                <c:pt idx="65">
                  <c:v>0.91686033893013585</c:v>
                </c:pt>
                <c:pt idx="66">
                  <c:v>0.91110123462287773</c:v>
                </c:pt>
                <c:pt idx="67">
                  <c:v>0.88170307059424791</c:v>
                </c:pt>
                <c:pt idx="68">
                  <c:v>0.88396817762719504</c:v>
                </c:pt>
                <c:pt idx="69">
                  <c:v>0.86972694265105788</c:v>
                </c:pt>
                <c:pt idx="70">
                  <c:v>0.86905223376307872</c:v>
                </c:pt>
                <c:pt idx="71">
                  <c:v>0.8895586619424346</c:v>
                </c:pt>
                <c:pt idx="72">
                  <c:v>0.88637786083313208</c:v>
                </c:pt>
                <c:pt idx="73">
                  <c:v>0.90411316778375972</c:v>
                </c:pt>
                <c:pt idx="74">
                  <c:v>0.86830523678860461</c:v>
                </c:pt>
                <c:pt idx="75">
                  <c:v>0.86249789303324687</c:v>
                </c:pt>
                <c:pt idx="76">
                  <c:v>0.86271475488304838</c:v>
                </c:pt>
                <c:pt idx="77">
                  <c:v>0.87907652553850946</c:v>
                </c:pt>
                <c:pt idx="78">
                  <c:v>0.87273904665847912</c:v>
                </c:pt>
                <c:pt idx="79">
                  <c:v>0.87642504990032233</c:v>
                </c:pt>
                <c:pt idx="80">
                  <c:v>0.89384789322963598</c:v>
                </c:pt>
                <c:pt idx="81">
                  <c:v>0.91626247724927723</c:v>
                </c:pt>
                <c:pt idx="82">
                  <c:v>0.91117477333495656</c:v>
                </c:pt>
                <c:pt idx="83">
                  <c:v>0.90354332348953648</c:v>
                </c:pt>
                <c:pt idx="84">
                  <c:v>0.92070224385603683</c:v>
                </c:pt>
                <c:pt idx="85">
                  <c:v>0.90579916770024016</c:v>
                </c:pt>
                <c:pt idx="86">
                  <c:v>0.90827098940700857</c:v>
                </c:pt>
                <c:pt idx="87">
                  <c:v>0.91715044551066505</c:v>
                </c:pt>
                <c:pt idx="88">
                  <c:v>0.90711902107294484</c:v>
                </c:pt>
                <c:pt idx="89">
                  <c:v>0.88578441128222363</c:v>
                </c:pt>
                <c:pt idx="90">
                  <c:v>0.85979398509818172</c:v>
                </c:pt>
                <c:pt idx="91">
                  <c:v>0.82665208904714405</c:v>
                </c:pt>
                <c:pt idx="92">
                  <c:v>0.82458825321365603</c:v>
                </c:pt>
                <c:pt idx="93">
                  <c:v>0.83639546718347635</c:v>
                </c:pt>
                <c:pt idx="94">
                  <c:v>0.80891722306854319</c:v>
                </c:pt>
                <c:pt idx="95">
                  <c:v>0.81102915376913853</c:v>
                </c:pt>
                <c:pt idx="96">
                  <c:v>0.83089992197686746</c:v>
                </c:pt>
                <c:pt idx="97">
                  <c:v>0.8291479593923079</c:v>
                </c:pt>
                <c:pt idx="98">
                  <c:v>0.83785945575714416</c:v>
                </c:pt>
                <c:pt idx="99">
                  <c:v>0.86394577528436611</c:v>
                </c:pt>
                <c:pt idx="100">
                  <c:v>0.86070599958828164</c:v>
                </c:pt>
                <c:pt idx="101">
                  <c:v>0.84210713928650871</c:v>
                </c:pt>
                <c:pt idx="102">
                  <c:v>0.84252167226905972</c:v>
                </c:pt>
                <c:pt idx="103">
                  <c:v>0.83587092252384143</c:v>
                </c:pt>
                <c:pt idx="104">
                  <c:v>0.84444938750792764</c:v>
                </c:pt>
                <c:pt idx="105">
                  <c:v>0.84594338145687575</c:v>
                </c:pt>
                <c:pt idx="106">
                  <c:v>0.84900365262190047</c:v>
                </c:pt>
                <c:pt idx="107">
                  <c:v>0.86146174612247639</c:v>
                </c:pt>
                <c:pt idx="108">
                  <c:v>0.86095573433637851</c:v>
                </c:pt>
                <c:pt idx="109">
                  <c:v>0.85122059249724413</c:v>
                </c:pt>
                <c:pt idx="110">
                  <c:v>0.84336500114905744</c:v>
                </c:pt>
                <c:pt idx="111">
                  <c:v>0.83943720547496414</c:v>
                </c:pt>
                <c:pt idx="112">
                  <c:v>0.83722033789011663</c:v>
                </c:pt>
                <c:pt idx="113">
                  <c:v>0.85305197583058834</c:v>
                </c:pt>
                <c:pt idx="114">
                  <c:v>0.84599154861447923</c:v>
                </c:pt>
                <c:pt idx="115">
                  <c:v>0.8689558247476924</c:v>
                </c:pt>
              </c:numCache>
            </c:numRef>
          </c:val>
          <c:smooth val="0"/>
          <c:extLst>
            <c:ext xmlns:c16="http://schemas.microsoft.com/office/drawing/2014/chart" uri="{C3380CC4-5D6E-409C-BE32-E72D297353CC}">
              <c16:uniqueId val="{00000002-4848-4FB6-990E-F1957BDCD713}"/>
            </c:ext>
          </c:extLst>
        </c:ser>
        <c:dLbls>
          <c:showLegendKey val="0"/>
          <c:showVal val="0"/>
          <c:showCatName val="0"/>
          <c:showSerName val="0"/>
          <c:showPercent val="0"/>
          <c:showBubbleSize val="0"/>
        </c:dLbls>
        <c:smooth val="0"/>
        <c:axId val="623685264"/>
        <c:axId val="623683296"/>
      </c:lineChart>
      <c:dateAx>
        <c:axId val="62368526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23683296"/>
        <c:crosses val="autoZero"/>
        <c:auto val="1"/>
        <c:lblOffset val="100"/>
        <c:baseTimeUnit val="days"/>
      </c:dateAx>
      <c:valAx>
        <c:axId val="623683296"/>
        <c:scaling>
          <c:orientation val="minMax"/>
          <c:max val="1.4"/>
          <c:min val="0.6000000000000000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Cumulative Return on $1 Invested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23685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Twitter Inc. User Base Growth and Financial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1"/>
          <c:order val="1"/>
          <c:tx>
            <c:v>Revenue</c:v>
          </c:tx>
          <c:spPr>
            <a:solidFill>
              <a:schemeClr val="tx1"/>
            </a:solidFill>
            <a:ln>
              <a:noFill/>
            </a:ln>
            <a:effectLst/>
          </c:spPr>
          <c:invertIfNegative val="0"/>
          <c:cat>
            <c:numRef>
              <c:f>'Exhibit 2'!$A$5:$A$16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'Exhibit 2'!$E$5:$E$16</c:f>
              <c:numCache>
                <c:formatCode>General</c:formatCode>
                <c:ptCount val="12"/>
                <c:pt idx="0">
                  <c:v>28</c:v>
                </c:pt>
                <c:pt idx="1">
                  <c:v>106</c:v>
                </c:pt>
                <c:pt idx="2">
                  <c:v>317</c:v>
                </c:pt>
                <c:pt idx="3">
                  <c:v>665</c:v>
                </c:pt>
                <c:pt idx="4">
                  <c:v>1403</c:v>
                </c:pt>
                <c:pt idx="5">
                  <c:v>2218</c:v>
                </c:pt>
                <c:pt idx="6">
                  <c:v>2530</c:v>
                </c:pt>
                <c:pt idx="7">
                  <c:v>2443</c:v>
                </c:pt>
                <c:pt idx="8">
                  <c:v>3042</c:v>
                </c:pt>
                <c:pt idx="9">
                  <c:v>3459</c:v>
                </c:pt>
                <c:pt idx="10">
                  <c:v>3716</c:v>
                </c:pt>
                <c:pt idx="11">
                  <c:v>5077</c:v>
                </c:pt>
              </c:numCache>
            </c:numRef>
          </c:val>
          <c:extLst>
            <c:ext xmlns:c16="http://schemas.microsoft.com/office/drawing/2014/chart" uri="{C3380CC4-5D6E-409C-BE32-E72D297353CC}">
              <c16:uniqueId val="{00000001-E316-4D0C-9769-47B0D9E7F4E8}"/>
            </c:ext>
          </c:extLst>
        </c:ser>
        <c:ser>
          <c:idx val="2"/>
          <c:order val="2"/>
          <c:tx>
            <c:v>Operating Income</c:v>
          </c:tx>
          <c:spPr>
            <a:solidFill>
              <a:srgbClr val="C00000"/>
            </a:solidFill>
            <a:ln>
              <a:noFill/>
            </a:ln>
            <a:effectLst/>
          </c:spPr>
          <c:invertIfNegative val="0"/>
          <c:cat>
            <c:numRef>
              <c:f>'Exhibit 2'!$A$5:$A$16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'Exhibit 2'!$F$5:$F$16</c:f>
              <c:numCache>
                <c:formatCode>General</c:formatCode>
                <c:ptCount val="12"/>
                <c:pt idx="0">
                  <c:v>-67</c:v>
                </c:pt>
                <c:pt idx="1">
                  <c:v>-127</c:v>
                </c:pt>
                <c:pt idx="2">
                  <c:v>-77</c:v>
                </c:pt>
                <c:pt idx="3">
                  <c:v>-636</c:v>
                </c:pt>
                <c:pt idx="4">
                  <c:v>-539</c:v>
                </c:pt>
                <c:pt idx="5">
                  <c:v>-450</c:v>
                </c:pt>
                <c:pt idx="6">
                  <c:v>-367</c:v>
                </c:pt>
                <c:pt idx="7">
                  <c:v>39</c:v>
                </c:pt>
                <c:pt idx="8">
                  <c:v>453</c:v>
                </c:pt>
                <c:pt idx="9">
                  <c:v>366</c:v>
                </c:pt>
                <c:pt idx="10">
                  <c:v>27</c:v>
                </c:pt>
                <c:pt idx="11">
                  <c:v>-493</c:v>
                </c:pt>
              </c:numCache>
            </c:numRef>
          </c:val>
          <c:extLst>
            <c:ext xmlns:c16="http://schemas.microsoft.com/office/drawing/2014/chart" uri="{C3380CC4-5D6E-409C-BE32-E72D297353CC}">
              <c16:uniqueId val="{00000002-E316-4D0C-9769-47B0D9E7F4E8}"/>
            </c:ext>
          </c:extLst>
        </c:ser>
        <c:ser>
          <c:idx val="3"/>
          <c:order val="3"/>
          <c:tx>
            <c:v>Net Income</c:v>
          </c:tx>
          <c:spPr>
            <a:solidFill>
              <a:schemeClr val="accent4">
                <a:lumMod val="60000"/>
                <a:lumOff val="40000"/>
              </a:schemeClr>
            </a:solidFill>
            <a:ln>
              <a:noFill/>
            </a:ln>
            <a:effectLst/>
          </c:spPr>
          <c:invertIfNegative val="0"/>
          <c:cat>
            <c:numRef>
              <c:f>'Exhibit 2'!$A$5:$A$16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'Exhibit 2'!$G$5:$G$16</c:f>
              <c:numCache>
                <c:formatCode>General</c:formatCode>
                <c:ptCount val="12"/>
                <c:pt idx="0">
                  <c:v>-67</c:v>
                </c:pt>
                <c:pt idx="1">
                  <c:v>-164</c:v>
                </c:pt>
                <c:pt idx="2">
                  <c:v>-79</c:v>
                </c:pt>
                <c:pt idx="3">
                  <c:v>-645</c:v>
                </c:pt>
                <c:pt idx="4">
                  <c:v>-578</c:v>
                </c:pt>
                <c:pt idx="5">
                  <c:v>-521</c:v>
                </c:pt>
                <c:pt idx="6">
                  <c:v>-457</c:v>
                </c:pt>
                <c:pt idx="7">
                  <c:v>-108</c:v>
                </c:pt>
                <c:pt idx="8">
                  <c:v>1206</c:v>
                </c:pt>
                <c:pt idx="9">
                  <c:v>1466</c:v>
                </c:pt>
                <c:pt idx="10">
                  <c:v>-1136</c:v>
                </c:pt>
                <c:pt idx="11">
                  <c:v>221</c:v>
                </c:pt>
              </c:numCache>
            </c:numRef>
          </c:val>
          <c:extLst>
            <c:ext xmlns:c16="http://schemas.microsoft.com/office/drawing/2014/chart" uri="{C3380CC4-5D6E-409C-BE32-E72D297353CC}">
              <c16:uniqueId val="{00000003-E316-4D0C-9769-47B0D9E7F4E8}"/>
            </c:ext>
          </c:extLst>
        </c:ser>
        <c:dLbls>
          <c:showLegendKey val="0"/>
          <c:showVal val="0"/>
          <c:showCatName val="0"/>
          <c:showSerName val="0"/>
          <c:showPercent val="0"/>
          <c:showBubbleSize val="0"/>
        </c:dLbls>
        <c:gapWidth val="219"/>
        <c:axId val="691115024"/>
        <c:axId val="691116664"/>
      </c:barChart>
      <c:lineChart>
        <c:grouping val="standard"/>
        <c:varyColors val="0"/>
        <c:ser>
          <c:idx val="0"/>
          <c:order val="0"/>
          <c:tx>
            <c:v>MAUs</c:v>
          </c:tx>
          <c:spPr>
            <a:ln w="28575" cap="rnd">
              <a:solidFill>
                <a:srgbClr val="00B0F0"/>
              </a:solidFill>
              <a:round/>
            </a:ln>
            <a:effectLst/>
          </c:spPr>
          <c:marker>
            <c:symbol val="none"/>
          </c:marker>
          <c:cat>
            <c:numRef>
              <c:f>'Exhibit 2'!$A$5:$A$16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'Exhibit 2'!$B$5:$B$16</c:f>
              <c:numCache>
                <c:formatCode>General</c:formatCode>
                <c:ptCount val="12"/>
                <c:pt idx="0">
                  <c:v>54</c:v>
                </c:pt>
                <c:pt idx="1">
                  <c:v>117</c:v>
                </c:pt>
                <c:pt idx="2">
                  <c:v>185</c:v>
                </c:pt>
                <c:pt idx="3">
                  <c:v>241</c:v>
                </c:pt>
                <c:pt idx="4">
                  <c:v>288</c:v>
                </c:pt>
                <c:pt idx="5">
                  <c:v>305</c:v>
                </c:pt>
                <c:pt idx="6">
                  <c:v>318</c:v>
                </c:pt>
                <c:pt idx="7">
                  <c:v>330</c:v>
                </c:pt>
                <c:pt idx="8">
                  <c:v>321</c:v>
                </c:pt>
                <c:pt idx="9">
                  <c:v>330</c:v>
                </c:pt>
                <c:pt idx="10">
                  <c:v>353</c:v>
                </c:pt>
                <c:pt idx="11">
                  <c:v>396.5</c:v>
                </c:pt>
              </c:numCache>
            </c:numRef>
          </c:val>
          <c:smooth val="0"/>
          <c:extLst>
            <c:ext xmlns:c16="http://schemas.microsoft.com/office/drawing/2014/chart" uri="{C3380CC4-5D6E-409C-BE32-E72D297353CC}">
              <c16:uniqueId val="{00000000-E316-4D0C-9769-47B0D9E7F4E8}"/>
            </c:ext>
          </c:extLst>
        </c:ser>
        <c:dLbls>
          <c:showLegendKey val="0"/>
          <c:showVal val="0"/>
          <c:showCatName val="0"/>
          <c:showSerName val="0"/>
          <c:showPercent val="0"/>
          <c:showBubbleSize val="0"/>
        </c:dLbls>
        <c:marker val="1"/>
        <c:smooth val="0"/>
        <c:axId val="699072744"/>
        <c:axId val="699073400"/>
      </c:lineChart>
      <c:catAx>
        <c:axId val="69907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99073400"/>
        <c:crosses val="autoZero"/>
        <c:auto val="1"/>
        <c:lblAlgn val="ctr"/>
        <c:lblOffset val="100"/>
        <c:noMultiLvlLbl val="0"/>
      </c:catAx>
      <c:valAx>
        <c:axId val="699073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Monthly Active Users (in 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99072744"/>
        <c:crosses val="autoZero"/>
        <c:crossBetween val="between"/>
      </c:valAx>
      <c:valAx>
        <c:axId val="69111666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US$ 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91115024"/>
        <c:crosses val="max"/>
        <c:crossBetween val="between"/>
      </c:valAx>
      <c:catAx>
        <c:axId val="691115024"/>
        <c:scaling>
          <c:orientation val="minMax"/>
        </c:scaling>
        <c:delete val="1"/>
        <c:axPos val="b"/>
        <c:numFmt formatCode="General" sourceLinked="1"/>
        <c:majorTickMark val="out"/>
        <c:minorTickMark val="none"/>
        <c:tickLblPos val="nextTo"/>
        <c:crossAx val="6911166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ova Light" panose="020B0304020202020204" pitchFamily="34" charset="0"/>
                <a:ea typeface="+mn-ea"/>
                <a:cs typeface="Arial" panose="020B0604020202020204" pitchFamily="34" charset="0"/>
              </a:defRPr>
            </a:pPr>
            <a:r>
              <a:rPr lang="en-US"/>
              <a:t>Twitter Inc. User Base Growth and Financial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ova Light" panose="020B03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1"/>
          <c:order val="1"/>
          <c:tx>
            <c:v>Revenue</c:v>
          </c:tx>
          <c:spPr>
            <a:solidFill>
              <a:schemeClr val="tx1"/>
            </a:solidFill>
            <a:ln>
              <a:noFill/>
            </a:ln>
            <a:effectLst/>
          </c:spPr>
          <c:invertIfNegative val="0"/>
          <c:cat>
            <c:numRef>
              <c:f>'Exhibit 2'!$A$5:$A$16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'Exhibit 2'!$E$5:$E$16</c:f>
              <c:numCache>
                <c:formatCode>General</c:formatCode>
                <c:ptCount val="12"/>
                <c:pt idx="0">
                  <c:v>28</c:v>
                </c:pt>
                <c:pt idx="1">
                  <c:v>106</c:v>
                </c:pt>
                <c:pt idx="2">
                  <c:v>317</c:v>
                </c:pt>
                <c:pt idx="3">
                  <c:v>665</c:v>
                </c:pt>
                <c:pt idx="4">
                  <c:v>1403</c:v>
                </c:pt>
                <c:pt idx="5">
                  <c:v>2218</c:v>
                </c:pt>
                <c:pt idx="6">
                  <c:v>2530</c:v>
                </c:pt>
                <c:pt idx="7">
                  <c:v>2443</c:v>
                </c:pt>
                <c:pt idx="8">
                  <c:v>3042</c:v>
                </c:pt>
                <c:pt idx="9">
                  <c:v>3459</c:v>
                </c:pt>
                <c:pt idx="10">
                  <c:v>3716</c:v>
                </c:pt>
                <c:pt idx="11">
                  <c:v>5077</c:v>
                </c:pt>
              </c:numCache>
            </c:numRef>
          </c:val>
          <c:extLst>
            <c:ext xmlns:c16="http://schemas.microsoft.com/office/drawing/2014/chart" uri="{C3380CC4-5D6E-409C-BE32-E72D297353CC}">
              <c16:uniqueId val="{00000000-5DE0-40EF-8514-39F17896887A}"/>
            </c:ext>
          </c:extLst>
        </c:ser>
        <c:ser>
          <c:idx val="2"/>
          <c:order val="2"/>
          <c:tx>
            <c:v>Operating Income</c:v>
          </c:tx>
          <c:spPr>
            <a:solidFill>
              <a:srgbClr val="C00000"/>
            </a:solidFill>
            <a:ln>
              <a:noFill/>
            </a:ln>
            <a:effectLst/>
          </c:spPr>
          <c:invertIfNegative val="0"/>
          <c:cat>
            <c:numRef>
              <c:f>'Exhibit 2'!$A$5:$A$16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'Exhibit 2'!$F$5:$F$16</c:f>
              <c:numCache>
                <c:formatCode>General</c:formatCode>
                <c:ptCount val="12"/>
                <c:pt idx="0">
                  <c:v>-67</c:v>
                </c:pt>
                <c:pt idx="1">
                  <c:v>-127</c:v>
                </c:pt>
                <c:pt idx="2">
                  <c:v>-77</c:v>
                </c:pt>
                <c:pt idx="3">
                  <c:v>-636</c:v>
                </c:pt>
                <c:pt idx="4">
                  <c:v>-539</c:v>
                </c:pt>
                <c:pt idx="5">
                  <c:v>-450</c:v>
                </c:pt>
                <c:pt idx="6">
                  <c:v>-367</c:v>
                </c:pt>
                <c:pt idx="7">
                  <c:v>39</c:v>
                </c:pt>
                <c:pt idx="8">
                  <c:v>453</c:v>
                </c:pt>
                <c:pt idx="9">
                  <c:v>366</c:v>
                </c:pt>
                <c:pt idx="10">
                  <c:v>27</c:v>
                </c:pt>
                <c:pt idx="11">
                  <c:v>-493</c:v>
                </c:pt>
              </c:numCache>
            </c:numRef>
          </c:val>
          <c:extLst>
            <c:ext xmlns:c16="http://schemas.microsoft.com/office/drawing/2014/chart" uri="{C3380CC4-5D6E-409C-BE32-E72D297353CC}">
              <c16:uniqueId val="{00000001-5DE0-40EF-8514-39F17896887A}"/>
            </c:ext>
          </c:extLst>
        </c:ser>
        <c:ser>
          <c:idx val="3"/>
          <c:order val="3"/>
          <c:tx>
            <c:v>Net Income</c:v>
          </c:tx>
          <c:spPr>
            <a:solidFill>
              <a:schemeClr val="accent4">
                <a:lumMod val="60000"/>
                <a:lumOff val="40000"/>
              </a:schemeClr>
            </a:solidFill>
            <a:ln>
              <a:noFill/>
            </a:ln>
            <a:effectLst/>
          </c:spPr>
          <c:invertIfNegative val="0"/>
          <c:cat>
            <c:numRef>
              <c:f>'Exhibit 2'!$A$5:$A$16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'Exhibit 2'!$G$5:$G$16</c:f>
              <c:numCache>
                <c:formatCode>General</c:formatCode>
                <c:ptCount val="12"/>
                <c:pt idx="0">
                  <c:v>-67</c:v>
                </c:pt>
                <c:pt idx="1">
                  <c:v>-164</c:v>
                </c:pt>
                <c:pt idx="2">
                  <c:v>-79</c:v>
                </c:pt>
                <c:pt idx="3">
                  <c:v>-645</c:v>
                </c:pt>
                <c:pt idx="4">
                  <c:v>-578</c:v>
                </c:pt>
                <c:pt idx="5">
                  <c:v>-521</c:v>
                </c:pt>
                <c:pt idx="6">
                  <c:v>-457</c:v>
                </c:pt>
                <c:pt idx="7">
                  <c:v>-108</c:v>
                </c:pt>
                <c:pt idx="8">
                  <c:v>1206</c:v>
                </c:pt>
                <c:pt idx="9">
                  <c:v>1466</c:v>
                </c:pt>
                <c:pt idx="10">
                  <c:v>-1136</c:v>
                </c:pt>
                <c:pt idx="11">
                  <c:v>221</c:v>
                </c:pt>
              </c:numCache>
            </c:numRef>
          </c:val>
          <c:extLst>
            <c:ext xmlns:c16="http://schemas.microsoft.com/office/drawing/2014/chart" uri="{C3380CC4-5D6E-409C-BE32-E72D297353CC}">
              <c16:uniqueId val="{00000002-5DE0-40EF-8514-39F17896887A}"/>
            </c:ext>
          </c:extLst>
        </c:ser>
        <c:dLbls>
          <c:showLegendKey val="0"/>
          <c:showVal val="0"/>
          <c:showCatName val="0"/>
          <c:showSerName val="0"/>
          <c:showPercent val="0"/>
          <c:showBubbleSize val="0"/>
        </c:dLbls>
        <c:gapWidth val="219"/>
        <c:axId val="691115024"/>
        <c:axId val="691116664"/>
      </c:barChart>
      <c:lineChart>
        <c:grouping val="standard"/>
        <c:varyColors val="0"/>
        <c:ser>
          <c:idx val="0"/>
          <c:order val="0"/>
          <c:tx>
            <c:v>MAUs</c:v>
          </c:tx>
          <c:spPr>
            <a:ln w="28575" cap="rnd">
              <a:solidFill>
                <a:srgbClr val="00B0F0"/>
              </a:solidFill>
              <a:round/>
            </a:ln>
            <a:effectLst/>
          </c:spPr>
          <c:marker>
            <c:symbol val="none"/>
          </c:marker>
          <c:cat>
            <c:numRef>
              <c:f>'Exhibit 2'!$A$5:$A$16</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'Exhibit 2'!$B$5:$B$16</c:f>
              <c:numCache>
                <c:formatCode>General</c:formatCode>
                <c:ptCount val="12"/>
                <c:pt idx="0">
                  <c:v>54</c:v>
                </c:pt>
                <c:pt idx="1">
                  <c:v>117</c:v>
                </c:pt>
                <c:pt idx="2">
                  <c:v>185</c:v>
                </c:pt>
                <c:pt idx="3">
                  <c:v>241</c:v>
                </c:pt>
                <c:pt idx="4">
                  <c:v>288</c:v>
                </c:pt>
                <c:pt idx="5">
                  <c:v>305</c:v>
                </c:pt>
                <c:pt idx="6">
                  <c:v>318</c:v>
                </c:pt>
                <c:pt idx="7">
                  <c:v>330</c:v>
                </c:pt>
                <c:pt idx="8">
                  <c:v>321</c:v>
                </c:pt>
                <c:pt idx="9">
                  <c:v>330</c:v>
                </c:pt>
                <c:pt idx="10">
                  <c:v>353</c:v>
                </c:pt>
                <c:pt idx="11">
                  <c:v>396.5</c:v>
                </c:pt>
              </c:numCache>
            </c:numRef>
          </c:val>
          <c:smooth val="0"/>
          <c:extLst>
            <c:ext xmlns:c16="http://schemas.microsoft.com/office/drawing/2014/chart" uri="{C3380CC4-5D6E-409C-BE32-E72D297353CC}">
              <c16:uniqueId val="{00000003-5DE0-40EF-8514-39F17896887A}"/>
            </c:ext>
          </c:extLst>
        </c:ser>
        <c:dLbls>
          <c:showLegendKey val="0"/>
          <c:showVal val="0"/>
          <c:showCatName val="0"/>
          <c:showSerName val="0"/>
          <c:showPercent val="0"/>
          <c:showBubbleSize val="0"/>
        </c:dLbls>
        <c:marker val="1"/>
        <c:smooth val="0"/>
        <c:axId val="699072744"/>
        <c:axId val="699073400"/>
      </c:lineChart>
      <c:catAx>
        <c:axId val="69907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Nova Light" panose="020B0304020202020204" pitchFamily="34" charset="0"/>
                <a:ea typeface="+mn-ea"/>
                <a:cs typeface="Arial" panose="020B0604020202020204" pitchFamily="34" charset="0"/>
              </a:defRPr>
            </a:pPr>
            <a:endParaRPr lang="en-US"/>
          </a:p>
        </c:txPr>
        <c:crossAx val="699073400"/>
        <c:crosses val="autoZero"/>
        <c:auto val="1"/>
        <c:lblAlgn val="ctr"/>
        <c:lblOffset val="100"/>
        <c:noMultiLvlLbl val="0"/>
      </c:catAx>
      <c:valAx>
        <c:axId val="6990734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Nova Light" panose="020B0304020202020204" pitchFamily="34" charset="0"/>
                    <a:ea typeface="+mn-ea"/>
                    <a:cs typeface="Arial" panose="020B0604020202020204" pitchFamily="34" charset="0"/>
                  </a:defRPr>
                </a:pPr>
                <a:r>
                  <a:rPr lang="en-US"/>
                  <a:t>Monthly Active Users (in 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Nova Light" panose="020B03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Nova Light" panose="020B0304020202020204" pitchFamily="34" charset="0"/>
                <a:ea typeface="+mn-ea"/>
                <a:cs typeface="Arial" panose="020B0604020202020204" pitchFamily="34" charset="0"/>
              </a:defRPr>
            </a:pPr>
            <a:endParaRPr lang="en-US"/>
          </a:p>
        </c:txPr>
        <c:crossAx val="699072744"/>
        <c:crosses val="autoZero"/>
        <c:crossBetween val="between"/>
      </c:valAx>
      <c:valAx>
        <c:axId val="69111666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Nova Light" panose="020B0304020202020204" pitchFamily="34" charset="0"/>
                    <a:ea typeface="+mn-ea"/>
                    <a:cs typeface="Arial" panose="020B0604020202020204" pitchFamily="34" charset="0"/>
                  </a:defRPr>
                </a:pPr>
                <a:r>
                  <a:rPr lang="en-US"/>
                  <a:t>US$ 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Nova Light" panose="020B03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Nova Light" panose="020B0304020202020204" pitchFamily="34" charset="0"/>
                <a:ea typeface="+mn-ea"/>
                <a:cs typeface="Arial" panose="020B0604020202020204" pitchFamily="34" charset="0"/>
              </a:defRPr>
            </a:pPr>
            <a:endParaRPr lang="en-US"/>
          </a:p>
        </c:txPr>
        <c:crossAx val="691115024"/>
        <c:crosses val="max"/>
        <c:crossBetween val="between"/>
      </c:valAx>
      <c:catAx>
        <c:axId val="691115024"/>
        <c:scaling>
          <c:orientation val="minMax"/>
        </c:scaling>
        <c:delete val="1"/>
        <c:axPos val="b"/>
        <c:numFmt formatCode="General" sourceLinked="1"/>
        <c:majorTickMark val="out"/>
        <c:minorTickMark val="none"/>
        <c:tickLblPos val="nextTo"/>
        <c:crossAx val="691116664"/>
        <c:crosses val="autoZero"/>
        <c:auto val="1"/>
        <c:lblAlgn val="ctr"/>
        <c:lblOffset val="100"/>
        <c:noMultiLvlLbl val="0"/>
      </c:cat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Nova Light" panose="020B03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2"/>
      </a:solidFill>
      <a:round/>
    </a:ln>
    <a:effectLst/>
  </c:spPr>
  <c:txPr>
    <a:bodyPr/>
    <a:lstStyle/>
    <a:p>
      <a:pPr>
        <a:defRPr>
          <a:latin typeface="Arial Nova Light" panose="020B03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Twitter</a:t>
            </a:r>
            <a:r>
              <a:rPr lang="en-US" baseline="0"/>
              <a:t> vs. S&amp;P500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Twitter</c:v>
          </c:tx>
          <c:spPr>
            <a:ln w="28575" cap="rnd">
              <a:solidFill>
                <a:schemeClr val="accent5">
                  <a:lumMod val="40000"/>
                  <a:lumOff val="60000"/>
                </a:schemeClr>
              </a:solidFill>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1'!$E$4:$E$119</c:f>
              <c:numCache>
                <c:formatCode>0.00</c:formatCode>
                <c:ptCount val="116"/>
                <c:pt idx="0">
                  <c:v>1</c:v>
                </c:pt>
                <c:pt idx="1">
                  <c:v>0.95776492543979352</c:v>
                </c:pt>
                <c:pt idx="2">
                  <c:v>0.90451209088436746</c:v>
                </c:pt>
                <c:pt idx="3">
                  <c:v>0.96904511985952568</c:v>
                </c:pt>
                <c:pt idx="4">
                  <c:v>0.94543551798099457</c:v>
                </c:pt>
                <c:pt idx="5">
                  <c:v>0.94386151479175007</c:v>
                </c:pt>
                <c:pt idx="6">
                  <c:v>0.99239252341008721</c:v>
                </c:pt>
                <c:pt idx="7">
                  <c:v>0.97271781145639591</c:v>
                </c:pt>
                <c:pt idx="8">
                  <c:v>0.94018890189372784</c:v>
                </c:pt>
                <c:pt idx="9">
                  <c:v>0.93625393327004025</c:v>
                </c:pt>
                <c:pt idx="10">
                  <c:v>0.97009446406333844</c:v>
                </c:pt>
                <c:pt idx="11">
                  <c:v>0.95068213406826152</c:v>
                </c:pt>
                <c:pt idx="12">
                  <c:v>0.92943339269237646</c:v>
                </c:pt>
                <c:pt idx="13">
                  <c:v>0.90031481900091337</c:v>
                </c:pt>
                <c:pt idx="14">
                  <c:v>0.86385101951340559</c:v>
                </c:pt>
                <c:pt idx="15">
                  <c:v>0.85939136567133712</c:v>
                </c:pt>
                <c:pt idx="16">
                  <c:v>0.9176285655201617</c:v>
                </c:pt>
                <c:pt idx="17">
                  <c:v>0.92576080602730337</c:v>
                </c:pt>
                <c:pt idx="18">
                  <c:v>0.9325813203720178</c:v>
                </c:pt>
                <c:pt idx="19">
                  <c:v>0.9328437023306323</c:v>
                </c:pt>
                <c:pt idx="20">
                  <c:v>0.90818467754944066</c:v>
                </c:pt>
                <c:pt idx="21">
                  <c:v>0.87854152357139348</c:v>
                </c:pt>
                <c:pt idx="22">
                  <c:v>0.87591814994538697</c:v>
                </c:pt>
                <c:pt idx="23">
                  <c:v>0.85047216291899697</c:v>
                </c:pt>
                <c:pt idx="24">
                  <c:v>0.85729278219550842</c:v>
                </c:pt>
                <c:pt idx="25">
                  <c:v>0.90162644023154359</c:v>
                </c:pt>
                <c:pt idx="26">
                  <c:v>0.89506820291364642</c:v>
                </c:pt>
                <c:pt idx="27">
                  <c:v>0.86568732596241671</c:v>
                </c:pt>
                <c:pt idx="28">
                  <c:v>0.86647428820761507</c:v>
                </c:pt>
                <c:pt idx="29">
                  <c:v>0.89113331298880682</c:v>
                </c:pt>
                <c:pt idx="30">
                  <c:v>0.92785938950313196</c:v>
                </c:pt>
                <c:pt idx="31">
                  <c:v>0.97848898159729747</c:v>
                </c:pt>
                <c:pt idx="32">
                  <c:v>0.99081849398789346</c:v>
                </c:pt>
                <c:pt idx="33">
                  <c:v>0.98216159449531992</c:v>
                </c:pt>
                <c:pt idx="34">
                  <c:v>1.0081322405071416</c:v>
                </c:pt>
                <c:pt idx="35">
                  <c:v>0.99685207232035866</c:v>
                </c:pt>
                <c:pt idx="36">
                  <c:v>1.0183630907230612</c:v>
                </c:pt>
                <c:pt idx="37">
                  <c:v>1.0125917894174132</c:v>
                </c:pt>
                <c:pt idx="38">
                  <c:v>1.0262329492715885</c:v>
                </c:pt>
                <c:pt idx="39">
                  <c:v>1.0674186796279821</c:v>
                </c:pt>
                <c:pt idx="40">
                  <c:v>1.0230850215919471</c:v>
                </c:pt>
                <c:pt idx="41">
                  <c:v>1.0149527810848054</c:v>
                </c:pt>
                <c:pt idx="42">
                  <c:v>1.0312172620990887</c:v>
                </c:pt>
                <c:pt idx="43">
                  <c:v>1.3108605013342209</c:v>
                </c:pt>
                <c:pt idx="44">
                  <c:v>1.3373557538655758</c:v>
                </c:pt>
                <c:pt idx="45">
                  <c:v>1.3318468345185424</c:v>
                </c:pt>
                <c:pt idx="46">
                  <c:v>1.2599685272814407</c:v>
                </c:pt>
                <c:pt idx="47">
                  <c:v>1.212749244825531</c:v>
                </c:pt>
                <c:pt idx="48">
                  <c:v>1.2332108927914716</c:v>
                </c:pt>
                <c:pt idx="49">
                  <c:v>1.1668415836002513</c:v>
                </c:pt>
                <c:pt idx="50">
                  <c:v>1.2027806716364289</c:v>
                </c:pt>
                <c:pt idx="51">
                  <c:v>1.1825814056291031</c:v>
                </c:pt>
                <c:pt idx="52">
                  <c:v>1.2709864184414066</c:v>
                </c:pt>
                <c:pt idx="53">
                  <c:v>1.2109129383765198</c:v>
                </c:pt>
                <c:pt idx="54">
                  <c:v>1.2256034162015588</c:v>
                </c:pt>
                <c:pt idx="55">
                  <c:v>1.2350473041722798</c:v>
                </c:pt>
                <c:pt idx="56">
                  <c:v>1.2835782078588198</c:v>
                </c:pt>
                <c:pt idx="57">
                  <c:v>1.3562435035740688</c:v>
                </c:pt>
                <c:pt idx="58">
                  <c:v>1.3032529198125109</c:v>
                </c:pt>
                <c:pt idx="59">
                  <c:v>1.27597062633711</c:v>
                </c:pt>
                <c:pt idx="60">
                  <c:v>1.2883001649606549</c:v>
                </c:pt>
                <c:pt idx="61">
                  <c:v>1.2859391732932628</c:v>
                </c:pt>
                <c:pt idx="62">
                  <c:v>1.2890871009729041</c:v>
                </c:pt>
                <c:pt idx="63">
                  <c:v>1.2820042046695752</c:v>
                </c:pt>
                <c:pt idx="64">
                  <c:v>1.2869885174970754</c:v>
                </c:pt>
                <c:pt idx="65">
                  <c:v>1.3210913515501403</c:v>
                </c:pt>
                <c:pt idx="66">
                  <c:v>1.3064008474921522</c:v>
                </c:pt>
                <c:pt idx="67">
                  <c:v>1.2581322208324297</c:v>
                </c:pt>
                <c:pt idx="68">
                  <c:v>1.2397691301093687</c:v>
                </c:pt>
                <c:pt idx="69">
                  <c:v>1.2090766319275088</c:v>
                </c:pt>
                <c:pt idx="70">
                  <c:v>1.1825814056291031</c:v>
                </c:pt>
                <c:pt idx="71">
                  <c:v>1.0682057205720283</c:v>
                </c:pt>
                <c:pt idx="72">
                  <c:v>0.98084994703174055</c:v>
                </c:pt>
                <c:pt idx="73">
                  <c:v>1.0052466160872671</c:v>
                </c:pt>
                <c:pt idx="74">
                  <c:v>0.96668412819213345</c:v>
                </c:pt>
                <c:pt idx="75">
                  <c:v>0.97822670457048011</c:v>
                </c:pt>
                <c:pt idx="76">
                  <c:v>1.0044596538420685</c:v>
                </c:pt>
                <c:pt idx="77">
                  <c:v>0.99317948565528547</c:v>
                </c:pt>
                <c:pt idx="78">
                  <c:v>0.93809021348610222</c:v>
                </c:pt>
                <c:pt idx="79">
                  <c:v>0.97481639493222438</c:v>
                </c:pt>
                <c:pt idx="80">
                  <c:v>1.036726155213173</c:v>
                </c:pt>
                <c:pt idx="81">
                  <c:v>1.0537775197738068</c:v>
                </c:pt>
                <c:pt idx="82">
                  <c:v>1.0388247386890015</c:v>
                </c:pt>
                <c:pt idx="83">
                  <c:v>1.0309548801404742</c:v>
                </c:pt>
                <c:pt idx="84">
                  <c:v>1.0469570054290924</c:v>
                </c:pt>
                <c:pt idx="85">
                  <c:v>1.0535152427469896</c:v>
                </c:pt>
                <c:pt idx="86">
                  <c:v>1.0377754994169859</c:v>
                </c:pt>
                <c:pt idx="87">
                  <c:v>1.0527282805017912</c:v>
                </c:pt>
                <c:pt idx="88">
                  <c:v>1.0608604423100851</c:v>
                </c:pt>
                <c:pt idx="89">
                  <c:v>1.0369884584729396</c:v>
                </c:pt>
                <c:pt idx="90">
                  <c:v>1.0225603626065152</c:v>
                </c:pt>
                <c:pt idx="91">
                  <c:v>0.97140608529396855</c:v>
                </c:pt>
                <c:pt idx="92">
                  <c:v>0.97639039812146911</c:v>
                </c:pt>
                <c:pt idx="93">
                  <c:v>0.99658979529354119</c:v>
                </c:pt>
                <c:pt idx="94">
                  <c:v>0.98006301101949134</c:v>
                </c:pt>
                <c:pt idx="95">
                  <c:v>0.99108079724765985</c:v>
                </c:pt>
                <c:pt idx="96">
                  <c:v>1.0207240561575039</c:v>
                </c:pt>
                <c:pt idx="97">
                  <c:v>1.0107555092013512</c:v>
                </c:pt>
                <c:pt idx="98">
                  <c:v>1.0146904778250387</c:v>
                </c:pt>
                <c:pt idx="99">
                  <c:v>1.0338405307932983</c:v>
                </c:pt>
                <c:pt idx="100">
                  <c:v>1.0280692557205995</c:v>
                </c:pt>
                <c:pt idx="101">
                  <c:v>1.0175761284778626</c:v>
                </c:pt>
                <c:pt idx="102">
                  <c:v>0.99160545623309171</c:v>
                </c:pt>
                <c:pt idx="103">
                  <c:v>0.98084994703174055</c:v>
                </c:pt>
                <c:pt idx="104">
                  <c:v>1.0028856506528239</c:v>
                </c:pt>
                <c:pt idx="105">
                  <c:v>1.0068206192765115</c:v>
                </c:pt>
                <c:pt idx="106">
                  <c:v>1.002360965434443</c:v>
                </c:pt>
                <c:pt idx="107">
                  <c:v>1.0175761284778626</c:v>
                </c:pt>
                <c:pt idx="108">
                  <c:v>0.96563488892011773</c:v>
                </c:pt>
                <c:pt idx="109">
                  <c:v>0.85650584618325931</c:v>
                </c:pt>
                <c:pt idx="110">
                  <c:v>0.89349427842324969</c:v>
                </c:pt>
                <c:pt idx="111">
                  <c:v>0.96406088573087323</c:v>
                </c:pt>
                <c:pt idx="112">
                  <c:v>0.95199375529889174</c:v>
                </c:pt>
                <c:pt idx="113">
                  <c:v>0.99003155797564413</c:v>
                </c:pt>
                <c:pt idx="114">
                  <c:v>1.0076075815217098</c:v>
                </c:pt>
                <c:pt idx="115">
                  <c:v>1.0359392192009238</c:v>
                </c:pt>
              </c:numCache>
            </c:numRef>
          </c:val>
          <c:smooth val="0"/>
          <c:extLst>
            <c:ext xmlns:c16="http://schemas.microsoft.com/office/drawing/2014/chart" uri="{C3380CC4-5D6E-409C-BE32-E72D297353CC}">
              <c16:uniqueId val="{00000000-8EB5-45C7-A320-072F891B493E}"/>
            </c:ext>
          </c:extLst>
        </c:ser>
        <c:ser>
          <c:idx val="1"/>
          <c:order val="1"/>
          <c:tx>
            <c:v>S&amp;P</c:v>
          </c:tx>
          <c:spPr>
            <a:ln w="28575" cap="rnd">
              <a:solidFill>
                <a:schemeClr val="accent4">
                  <a:lumMod val="40000"/>
                  <a:lumOff val="60000"/>
                </a:schemeClr>
              </a:solidFill>
              <a:round/>
            </a:ln>
            <a:effectLst/>
          </c:spPr>
          <c:marker>
            <c:symbol val="none"/>
          </c:marker>
          <c:cat>
            <c:numRef>
              <c:f>'Exhibit 1'!$A$4:$A$119</c:f>
              <c:numCache>
                <c:formatCode>m/d/yyyy</c:formatCode>
                <c:ptCount val="116"/>
                <c:pt idx="0">
                  <c:v>44593</c:v>
                </c:pt>
                <c:pt idx="1">
                  <c:v>44594</c:v>
                </c:pt>
                <c:pt idx="2">
                  <c:v>44595</c:v>
                </c:pt>
                <c:pt idx="3">
                  <c:v>44596</c:v>
                </c:pt>
                <c:pt idx="4">
                  <c:v>44599</c:v>
                </c:pt>
                <c:pt idx="5">
                  <c:v>44600</c:v>
                </c:pt>
                <c:pt idx="6">
                  <c:v>44601</c:v>
                </c:pt>
                <c:pt idx="7">
                  <c:v>44602</c:v>
                </c:pt>
                <c:pt idx="8">
                  <c:v>44603</c:v>
                </c:pt>
                <c:pt idx="9">
                  <c:v>44606</c:v>
                </c:pt>
                <c:pt idx="10">
                  <c:v>44607</c:v>
                </c:pt>
                <c:pt idx="11">
                  <c:v>44608</c:v>
                </c:pt>
                <c:pt idx="12">
                  <c:v>44609</c:v>
                </c:pt>
                <c:pt idx="13">
                  <c:v>44610</c:v>
                </c:pt>
                <c:pt idx="14">
                  <c:v>44614</c:v>
                </c:pt>
                <c:pt idx="15">
                  <c:v>44615</c:v>
                </c:pt>
                <c:pt idx="16">
                  <c:v>44616</c:v>
                </c:pt>
                <c:pt idx="17">
                  <c:v>44617</c:v>
                </c:pt>
                <c:pt idx="18">
                  <c:v>44620</c:v>
                </c:pt>
                <c:pt idx="19">
                  <c:v>44621</c:v>
                </c:pt>
                <c:pt idx="20">
                  <c:v>44622</c:v>
                </c:pt>
                <c:pt idx="21">
                  <c:v>44623</c:v>
                </c:pt>
                <c:pt idx="22">
                  <c:v>44624</c:v>
                </c:pt>
                <c:pt idx="23">
                  <c:v>44627</c:v>
                </c:pt>
                <c:pt idx="24">
                  <c:v>44628</c:v>
                </c:pt>
                <c:pt idx="25">
                  <c:v>44629</c:v>
                </c:pt>
                <c:pt idx="26">
                  <c:v>44630</c:v>
                </c:pt>
                <c:pt idx="27">
                  <c:v>44631</c:v>
                </c:pt>
                <c:pt idx="28">
                  <c:v>44634</c:v>
                </c:pt>
                <c:pt idx="29">
                  <c:v>44635</c:v>
                </c:pt>
                <c:pt idx="30">
                  <c:v>44636</c:v>
                </c:pt>
                <c:pt idx="31">
                  <c:v>44637</c:v>
                </c:pt>
                <c:pt idx="32">
                  <c:v>44638</c:v>
                </c:pt>
                <c:pt idx="33">
                  <c:v>44641</c:v>
                </c:pt>
                <c:pt idx="34">
                  <c:v>44642</c:v>
                </c:pt>
                <c:pt idx="35">
                  <c:v>44643</c:v>
                </c:pt>
                <c:pt idx="36">
                  <c:v>44644</c:v>
                </c:pt>
                <c:pt idx="37">
                  <c:v>44645</c:v>
                </c:pt>
                <c:pt idx="38">
                  <c:v>44648</c:v>
                </c:pt>
                <c:pt idx="39">
                  <c:v>44649</c:v>
                </c:pt>
                <c:pt idx="40">
                  <c:v>44650</c:v>
                </c:pt>
                <c:pt idx="41">
                  <c:v>44651</c:v>
                </c:pt>
                <c:pt idx="42">
                  <c:v>44652</c:v>
                </c:pt>
                <c:pt idx="43">
                  <c:v>44655</c:v>
                </c:pt>
                <c:pt idx="44">
                  <c:v>44656</c:v>
                </c:pt>
                <c:pt idx="45">
                  <c:v>44657</c:v>
                </c:pt>
                <c:pt idx="46">
                  <c:v>44658</c:v>
                </c:pt>
                <c:pt idx="47">
                  <c:v>44659</c:v>
                </c:pt>
                <c:pt idx="48">
                  <c:v>44662</c:v>
                </c:pt>
                <c:pt idx="49">
                  <c:v>44663</c:v>
                </c:pt>
                <c:pt idx="50">
                  <c:v>44664</c:v>
                </c:pt>
                <c:pt idx="51">
                  <c:v>44665</c:v>
                </c:pt>
                <c:pt idx="52">
                  <c:v>44669</c:v>
                </c:pt>
                <c:pt idx="53">
                  <c:v>44670</c:v>
                </c:pt>
                <c:pt idx="54">
                  <c:v>44671</c:v>
                </c:pt>
                <c:pt idx="55">
                  <c:v>44672</c:v>
                </c:pt>
                <c:pt idx="56">
                  <c:v>44673</c:v>
                </c:pt>
                <c:pt idx="57">
                  <c:v>44676</c:v>
                </c:pt>
                <c:pt idx="58">
                  <c:v>44677</c:v>
                </c:pt>
                <c:pt idx="59">
                  <c:v>44678</c:v>
                </c:pt>
                <c:pt idx="60">
                  <c:v>44679</c:v>
                </c:pt>
                <c:pt idx="61">
                  <c:v>44680</c:v>
                </c:pt>
                <c:pt idx="62">
                  <c:v>44683</c:v>
                </c:pt>
                <c:pt idx="63">
                  <c:v>44684</c:v>
                </c:pt>
                <c:pt idx="64">
                  <c:v>44685</c:v>
                </c:pt>
                <c:pt idx="65">
                  <c:v>44686</c:v>
                </c:pt>
                <c:pt idx="66">
                  <c:v>44687</c:v>
                </c:pt>
                <c:pt idx="67">
                  <c:v>44690</c:v>
                </c:pt>
                <c:pt idx="68">
                  <c:v>44691</c:v>
                </c:pt>
                <c:pt idx="69">
                  <c:v>44692</c:v>
                </c:pt>
                <c:pt idx="70">
                  <c:v>44693</c:v>
                </c:pt>
                <c:pt idx="71">
                  <c:v>44694</c:v>
                </c:pt>
                <c:pt idx="72">
                  <c:v>44697</c:v>
                </c:pt>
                <c:pt idx="73">
                  <c:v>44698</c:v>
                </c:pt>
                <c:pt idx="74">
                  <c:v>44699</c:v>
                </c:pt>
                <c:pt idx="75">
                  <c:v>44700</c:v>
                </c:pt>
                <c:pt idx="76">
                  <c:v>44701</c:v>
                </c:pt>
                <c:pt idx="77">
                  <c:v>44704</c:v>
                </c:pt>
                <c:pt idx="78">
                  <c:v>44705</c:v>
                </c:pt>
                <c:pt idx="79">
                  <c:v>44706</c:v>
                </c:pt>
                <c:pt idx="80">
                  <c:v>44707</c:v>
                </c:pt>
                <c:pt idx="81">
                  <c:v>44708</c:v>
                </c:pt>
                <c:pt idx="82">
                  <c:v>44712</c:v>
                </c:pt>
                <c:pt idx="83">
                  <c:v>44713</c:v>
                </c:pt>
                <c:pt idx="84">
                  <c:v>44714</c:v>
                </c:pt>
                <c:pt idx="85">
                  <c:v>44715</c:v>
                </c:pt>
                <c:pt idx="86">
                  <c:v>44718</c:v>
                </c:pt>
                <c:pt idx="87">
                  <c:v>44719</c:v>
                </c:pt>
                <c:pt idx="88">
                  <c:v>44720</c:v>
                </c:pt>
                <c:pt idx="89">
                  <c:v>44721</c:v>
                </c:pt>
                <c:pt idx="90">
                  <c:v>44722</c:v>
                </c:pt>
                <c:pt idx="91">
                  <c:v>44725</c:v>
                </c:pt>
                <c:pt idx="92">
                  <c:v>44726</c:v>
                </c:pt>
                <c:pt idx="93">
                  <c:v>44727</c:v>
                </c:pt>
                <c:pt idx="94">
                  <c:v>44728</c:v>
                </c:pt>
                <c:pt idx="95">
                  <c:v>44729</c:v>
                </c:pt>
                <c:pt idx="96">
                  <c:v>44733</c:v>
                </c:pt>
                <c:pt idx="97">
                  <c:v>44734</c:v>
                </c:pt>
                <c:pt idx="98">
                  <c:v>44735</c:v>
                </c:pt>
                <c:pt idx="99">
                  <c:v>44736</c:v>
                </c:pt>
                <c:pt idx="100">
                  <c:v>44739</c:v>
                </c:pt>
                <c:pt idx="101">
                  <c:v>44740</c:v>
                </c:pt>
                <c:pt idx="102">
                  <c:v>44741</c:v>
                </c:pt>
                <c:pt idx="103">
                  <c:v>44742</c:v>
                </c:pt>
                <c:pt idx="104">
                  <c:v>44743</c:v>
                </c:pt>
                <c:pt idx="105">
                  <c:v>44747</c:v>
                </c:pt>
                <c:pt idx="106">
                  <c:v>44748</c:v>
                </c:pt>
                <c:pt idx="107">
                  <c:v>44749</c:v>
                </c:pt>
                <c:pt idx="108">
                  <c:v>44750</c:v>
                </c:pt>
                <c:pt idx="109">
                  <c:v>44753</c:v>
                </c:pt>
                <c:pt idx="110">
                  <c:v>44754</c:v>
                </c:pt>
                <c:pt idx="111">
                  <c:v>44755</c:v>
                </c:pt>
                <c:pt idx="112">
                  <c:v>44756</c:v>
                </c:pt>
                <c:pt idx="113">
                  <c:v>44757</c:v>
                </c:pt>
                <c:pt idx="114">
                  <c:v>44760</c:v>
                </c:pt>
                <c:pt idx="115">
                  <c:v>44761</c:v>
                </c:pt>
              </c:numCache>
            </c:numRef>
          </c:cat>
          <c:val>
            <c:numRef>
              <c:f>'Exhibit 1'!$G$4:$G$119</c:f>
              <c:numCache>
                <c:formatCode>0.00</c:formatCode>
                <c:ptCount val="116"/>
                <c:pt idx="0">
                  <c:v>1</c:v>
                </c:pt>
                <c:pt idx="1">
                  <c:v>1.0095343092020188</c:v>
                </c:pt>
                <c:pt idx="2">
                  <c:v>0.9860707081536042</c:v>
                </c:pt>
                <c:pt idx="3">
                  <c:v>0.99070578922293773</c:v>
                </c:pt>
                <c:pt idx="4">
                  <c:v>0.98743968773782831</c:v>
                </c:pt>
                <c:pt idx="5">
                  <c:v>0.99543691062612705</c:v>
                </c:pt>
                <c:pt idx="6">
                  <c:v>1.0100387040906855</c:v>
                </c:pt>
                <c:pt idx="8">
                  <c:v>0.97250175551445772</c:v>
                </c:pt>
                <c:pt idx="9">
                  <c:v>0.96933161725334149</c:v>
                </c:pt>
                <c:pt idx="10">
                  <c:v>0.98489395863745044</c:v>
                </c:pt>
                <c:pt idx="11">
                  <c:v>0.9860707081536042</c:v>
                </c:pt>
                <c:pt idx="12">
                  <c:v>0.96510481844832263</c:v>
                </c:pt>
                <c:pt idx="13">
                  <c:v>0.95893272576544852</c:v>
                </c:pt>
                <c:pt idx="14">
                  <c:v>0.94843779394369987</c:v>
                </c:pt>
                <c:pt idx="15">
                  <c:v>0.93136241488426619</c:v>
                </c:pt>
                <c:pt idx="16">
                  <c:v>0.94567586565640227</c:v>
                </c:pt>
                <c:pt idx="17">
                  <c:v>0.96632958813140413</c:v>
                </c:pt>
                <c:pt idx="18">
                  <c:v>0.96390402029377376</c:v>
                </c:pt>
                <c:pt idx="19">
                  <c:v>0.94944643673035778</c:v>
                </c:pt>
                <c:pt idx="20">
                  <c:v>0.96688200318699891</c:v>
                </c:pt>
                <c:pt idx="21">
                  <c:v>0.96203072293074543</c:v>
                </c:pt>
                <c:pt idx="22">
                  <c:v>0.95424962452918716</c:v>
                </c:pt>
                <c:pt idx="23">
                  <c:v>0.9260788784254822</c:v>
                </c:pt>
                <c:pt idx="24">
                  <c:v>0.91909029591415814</c:v>
                </c:pt>
                <c:pt idx="25">
                  <c:v>0.94358651127776327</c:v>
                </c:pt>
                <c:pt idx="26">
                  <c:v>0.93938375870145652</c:v>
                </c:pt>
                <c:pt idx="27">
                  <c:v>0.92739976314259898</c:v>
                </c:pt>
                <c:pt idx="28">
                  <c:v>0.9206273075276985</c:v>
                </c:pt>
                <c:pt idx="29">
                  <c:v>0.94082472998114108</c:v>
                </c:pt>
                <c:pt idx="30">
                  <c:v>0.96186268849174583</c:v>
                </c:pt>
                <c:pt idx="31">
                  <c:v>0.97363048486368353</c:v>
                </c:pt>
                <c:pt idx="32">
                  <c:v>0.98438963844896321</c:v>
                </c:pt>
                <c:pt idx="33">
                  <c:v>0.98443765861589105</c:v>
                </c:pt>
                <c:pt idx="34">
                  <c:v>0.99586931381933319</c:v>
                </c:pt>
                <c:pt idx="35">
                  <c:v>0.98304470750313422</c:v>
                </c:pt>
                <c:pt idx="36">
                  <c:v>0.99765701441552024</c:v>
                </c:pt>
                <c:pt idx="37">
                  <c:v>1.0027173636060871</c:v>
                </c:pt>
                <c:pt idx="38">
                  <c:v>1.0096331423587102</c:v>
                </c:pt>
                <c:pt idx="39">
                  <c:v>1.0224045091341574</c:v>
                </c:pt>
                <c:pt idx="40">
                  <c:v>1.0160429093252354</c:v>
                </c:pt>
                <c:pt idx="41">
                  <c:v>1.0004282079347446</c:v>
                </c:pt>
                <c:pt idx="42">
                  <c:v>1.0031993291634729</c:v>
                </c:pt>
                <c:pt idx="43">
                  <c:v>1.0117055084707474</c:v>
                </c:pt>
                <c:pt idx="44">
                  <c:v>0.99919924781256797</c:v>
                </c:pt>
                <c:pt idx="45">
                  <c:v>0.98907854702175091</c:v>
                </c:pt>
                <c:pt idx="46">
                  <c:v>0.99406661053550605</c:v>
                </c:pt>
                <c:pt idx="47">
                  <c:v>0.99165692732956912</c:v>
                </c:pt>
                <c:pt idx="48">
                  <c:v>0.97447587402282232</c:v>
                </c:pt>
                <c:pt idx="49">
                  <c:v>0.97090958866201638</c:v>
                </c:pt>
                <c:pt idx="50">
                  <c:v>0.98187361833283138</c:v>
                </c:pt>
                <c:pt idx="51">
                  <c:v>0.96994565754724471</c:v>
                </c:pt>
                <c:pt idx="52">
                  <c:v>0.97011435223944276</c:v>
                </c:pt>
                <c:pt idx="53">
                  <c:v>0.98560859838583526</c:v>
                </c:pt>
                <c:pt idx="54">
                  <c:v>0.98486160141136114</c:v>
                </c:pt>
                <c:pt idx="55">
                  <c:v>0.97025892841243255</c:v>
                </c:pt>
                <c:pt idx="56">
                  <c:v>0.94377653407601703</c:v>
                </c:pt>
                <c:pt idx="57">
                  <c:v>0.94893321758179083</c:v>
                </c:pt>
                <c:pt idx="58">
                  <c:v>0.92180023528628763</c:v>
                </c:pt>
                <c:pt idx="59">
                  <c:v>0.92418579756333319</c:v>
                </c:pt>
                <c:pt idx="60">
                  <c:v>0.94734289172731911</c:v>
                </c:pt>
                <c:pt idx="61">
                  <c:v>0.91254705900453925</c:v>
                </c:pt>
                <c:pt idx="62">
                  <c:v>0.91828204479258912</c:v>
                </c:pt>
                <c:pt idx="63">
                  <c:v>0.92225807991478204</c:v>
                </c:pt>
                <c:pt idx="64">
                  <c:v>0.95023446579046245</c:v>
                </c:pt>
                <c:pt idx="65">
                  <c:v>0.91686033893013585</c:v>
                </c:pt>
                <c:pt idx="66">
                  <c:v>0.91110123462287773</c:v>
                </c:pt>
                <c:pt idx="67">
                  <c:v>0.88170307059424791</c:v>
                </c:pt>
                <c:pt idx="68">
                  <c:v>0.88396817762719504</c:v>
                </c:pt>
                <c:pt idx="69">
                  <c:v>0.86972694265105788</c:v>
                </c:pt>
                <c:pt idx="70">
                  <c:v>0.86905223376307872</c:v>
                </c:pt>
                <c:pt idx="71">
                  <c:v>0.8895586619424346</c:v>
                </c:pt>
                <c:pt idx="72">
                  <c:v>0.88637786083313208</c:v>
                </c:pt>
                <c:pt idx="73">
                  <c:v>0.90411316778375972</c:v>
                </c:pt>
                <c:pt idx="74">
                  <c:v>0.86830523678860461</c:v>
                </c:pt>
                <c:pt idx="75">
                  <c:v>0.86249789303324687</c:v>
                </c:pt>
                <c:pt idx="76">
                  <c:v>0.86271475488304838</c:v>
                </c:pt>
                <c:pt idx="77">
                  <c:v>0.87907652553850946</c:v>
                </c:pt>
                <c:pt idx="78">
                  <c:v>0.87273904665847912</c:v>
                </c:pt>
                <c:pt idx="79">
                  <c:v>0.87642504990032233</c:v>
                </c:pt>
                <c:pt idx="80">
                  <c:v>0.89384789322963598</c:v>
                </c:pt>
                <c:pt idx="81">
                  <c:v>0.91626247724927723</c:v>
                </c:pt>
                <c:pt idx="82">
                  <c:v>0.91117477333495656</c:v>
                </c:pt>
                <c:pt idx="83">
                  <c:v>0.90354332348953648</c:v>
                </c:pt>
                <c:pt idx="84">
                  <c:v>0.92070224385603683</c:v>
                </c:pt>
                <c:pt idx="85">
                  <c:v>0.90579916770024016</c:v>
                </c:pt>
                <c:pt idx="86">
                  <c:v>0.90827098940700857</c:v>
                </c:pt>
                <c:pt idx="87">
                  <c:v>0.91715044551066505</c:v>
                </c:pt>
                <c:pt idx="88">
                  <c:v>0.90711902107294484</c:v>
                </c:pt>
                <c:pt idx="89">
                  <c:v>0.88578441128222363</c:v>
                </c:pt>
                <c:pt idx="90">
                  <c:v>0.85979398509818172</c:v>
                </c:pt>
                <c:pt idx="91">
                  <c:v>0.82665208904714405</c:v>
                </c:pt>
                <c:pt idx="92">
                  <c:v>0.82458825321365603</c:v>
                </c:pt>
                <c:pt idx="93">
                  <c:v>0.83639546718347635</c:v>
                </c:pt>
                <c:pt idx="94">
                  <c:v>0.80891722306854319</c:v>
                </c:pt>
                <c:pt idx="95">
                  <c:v>0.81102915376913853</c:v>
                </c:pt>
                <c:pt idx="96">
                  <c:v>0.83089992197686746</c:v>
                </c:pt>
                <c:pt idx="97">
                  <c:v>0.8291479593923079</c:v>
                </c:pt>
                <c:pt idx="98">
                  <c:v>0.83785945575714416</c:v>
                </c:pt>
                <c:pt idx="99">
                  <c:v>0.86394577528436611</c:v>
                </c:pt>
                <c:pt idx="100">
                  <c:v>0.86070599958828164</c:v>
                </c:pt>
                <c:pt idx="101">
                  <c:v>0.84210713928650871</c:v>
                </c:pt>
                <c:pt idx="102">
                  <c:v>0.84252167226905972</c:v>
                </c:pt>
                <c:pt idx="103">
                  <c:v>0.83587092252384143</c:v>
                </c:pt>
                <c:pt idx="104">
                  <c:v>0.84444938750792764</c:v>
                </c:pt>
                <c:pt idx="105">
                  <c:v>0.84594338145687575</c:v>
                </c:pt>
                <c:pt idx="106">
                  <c:v>0.84900365262190047</c:v>
                </c:pt>
                <c:pt idx="107">
                  <c:v>0.86146174612247639</c:v>
                </c:pt>
                <c:pt idx="108">
                  <c:v>0.86095573433637851</c:v>
                </c:pt>
                <c:pt idx="109">
                  <c:v>0.85122059249724413</c:v>
                </c:pt>
                <c:pt idx="110">
                  <c:v>0.84336500114905744</c:v>
                </c:pt>
                <c:pt idx="111">
                  <c:v>0.83943720547496414</c:v>
                </c:pt>
                <c:pt idx="112">
                  <c:v>0.83722033789011663</c:v>
                </c:pt>
                <c:pt idx="113">
                  <c:v>0.85305197583058834</c:v>
                </c:pt>
                <c:pt idx="114">
                  <c:v>0.84599154861447923</c:v>
                </c:pt>
                <c:pt idx="115">
                  <c:v>0.8689558247476924</c:v>
                </c:pt>
              </c:numCache>
            </c:numRef>
          </c:val>
          <c:smooth val="0"/>
          <c:extLst>
            <c:ext xmlns:c16="http://schemas.microsoft.com/office/drawing/2014/chart" uri="{C3380CC4-5D6E-409C-BE32-E72D297353CC}">
              <c16:uniqueId val="{00000001-8EB5-45C7-A320-072F891B493E}"/>
            </c:ext>
          </c:extLst>
        </c:ser>
        <c:dLbls>
          <c:showLegendKey val="0"/>
          <c:showVal val="0"/>
          <c:showCatName val="0"/>
          <c:showSerName val="0"/>
          <c:showPercent val="0"/>
          <c:showBubbleSize val="0"/>
        </c:dLbls>
        <c:smooth val="0"/>
        <c:axId val="1414742192"/>
        <c:axId val="1414743632"/>
      </c:lineChart>
      <c:dateAx>
        <c:axId val="141474219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743632"/>
        <c:crosses val="autoZero"/>
        <c:auto val="1"/>
        <c:lblOffset val="100"/>
        <c:baseTimeUnit val="days"/>
      </c:dateAx>
      <c:valAx>
        <c:axId val="14147436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742192"/>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ova Light" panose="020B0304020202020204" pitchFamily="34" charset="0"/>
                <a:ea typeface="+mn-ea"/>
                <a:cs typeface="+mn-cs"/>
              </a:defRPr>
            </a:pPr>
            <a:r>
              <a:rPr lang="en-US" dirty="0"/>
              <a:t>Monthly</a:t>
            </a:r>
            <a:r>
              <a:rPr lang="en-US" baseline="0" dirty="0"/>
              <a:t> Active Users</a:t>
            </a:r>
            <a:endParaRPr lang="en-US" dirty="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ova Light" panose="020B0304020202020204" pitchFamily="34" charset="0"/>
              <a:ea typeface="+mn-ea"/>
              <a:cs typeface="+mn-cs"/>
            </a:defRPr>
          </a:pPr>
          <a:endParaRPr lang="en-US"/>
        </a:p>
      </c:txPr>
    </c:title>
    <c:autoTitleDeleted val="0"/>
    <c:plotArea>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6A87-4328-8D12-5CE2ED7C82B7}"/>
              </c:ext>
            </c:extLst>
          </c:dPt>
          <c:dPt>
            <c:idx val="1"/>
            <c:bubble3D val="0"/>
            <c:spPr>
              <a:solidFill>
                <a:srgbClr val="C00000"/>
              </a:solidFill>
              <a:ln w="19050">
                <a:noFill/>
              </a:ln>
              <a:effectLst/>
            </c:spPr>
            <c:extLst>
              <c:ext xmlns:c16="http://schemas.microsoft.com/office/drawing/2014/chart" uri="{C3380CC4-5D6E-409C-BE32-E72D297353CC}">
                <c16:uniqueId val="{00000003-6A87-4328-8D12-5CE2ED7C82B7}"/>
              </c:ext>
            </c:extLst>
          </c:dPt>
          <c:dPt>
            <c:idx val="2"/>
            <c:bubble3D val="0"/>
            <c:spPr>
              <a:solidFill>
                <a:srgbClr val="FFFF00"/>
              </a:solidFill>
              <a:ln w="19050">
                <a:noFill/>
              </a:ln>
              <a:effectLst/>
            </c:spPr>
            <c:extLst>
              <c:ext xmlns:c16="http://schemas.microsoft.com/office/drawing/2014/chart" uri="{C3380CC4-5D6E-409C-BE32-E72D297353CC}">
                <c16:uniqueId val="{00000005-6A87-4328-8D12-5CE2ED7C82B7}"/>
              </c:ext>
            </c:extLst>
          </c:dPt>
          <c:dPt>
            <c:idx val="3"/>
            <c:bubble3D val="0"/>
            <c:spPr>
              <a:solidFill>
                <a:srgbClr val="FF0000"/>
              </a:solidFill>
              <a:ln w="19050">
                <a:noFill/>
              </a:ln>
              <a:effectLst/>
            </c:spPr>
            <c:extLst>
              <c:ext xmlns:c16="http://schemas.microsoft.com/office/drawing/2014/chart" uri="{C3380CC4-5D6E-409C-BE32-E72D297353CC}">
                <c16:uniqueId val="{00000007-6A87-4328-8D12-5CE2ED7C82B7}"/>
              </c:ext>
            </c:extLst>
          </c:dPt>
          <c:dPt>
            <c:idx val="4"/>
            <c:bubble3D val="0"/>
            <c:spPr>
              <a:solidFill>
                <a:srgbClr val="00B0F0"/>
              </a:solidFill>
              <a:ln w="19050">
                <a:noFill/>
              </a:ln>
              <a:effectLst/>
            </c:spPr>
            <c:extLst>
              <c:ext xmlns:c16="http://schemas.microsoft.com/office/drawing/2014/chart" uri="{C3380CC4-5D6E-409C-BE32-E72D297353CC}">
                <c16:uniqueId val="{00000009-6A87-4328-8D12-5CE2ED7C82B7}"/>
              </c:ext>
            </c:extLst>
          </c:dPt>
          <c:dLbls>
            <c:numFmt formatCode="0&quot; 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Arial Nova Light" panose="020B03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Comps!$B$5:$B$9</c:f>
              <c:strCache>
                <c:ptCount val="5"/>
                <c:pt idx="0">
                  <c:v>Meta Platforms Inc. (FB)</c:v>
                </c:pt>
                <c:pt idx="1">
                  <c:v>Pinterest Inc. (PINS)</c:v>
                </c:pt>
                <c:pt idx="2">
                  <c:v>Snap Inc. (SNAP)</c:v>
                </c:pt>
                <c:pt idx="3">
                  <c:v>Weibo Corporation (WB)</c:v>
                </c:pt>
                <c:pt idx="4">
                  <c:v>Twitter Inc. (TWTR)</c:v>
                </c:pt>
              </c:strCache>
            </c:strRef>
          </c:cat>
          <c:val>
            <c:numRef>
              <c:f>Comps!$K$5:$K$9</c:f>
              <c:numCache>
                <c:formatCode>General</c:formatCode>
                <c:ptCount val="5"/>
                <c:pt idx="0" formatCode="#,##0">
                  <c:v>2900</c:v>
                </c:pt>
                <c:pt idx="1">
                  <c:v>431</c:v>
                </c:pt>
                <c:pt idx="2">
                  <c:v>428</c:v>
                </c:pt>
                <c:pt idx="3">
                  <c:v>573</c:v>
                </c:pt>
                <c:pt idx="4">
                  <c:v>353</c:v>
                </c:pt>
              </c:numCache>
            </c:numRef>
          </c:val>
          <c:extLst>
            <c:ext xmlns:c16="http://schemas.microsoft.com/office/drawing/2014/chart" uri="{C3380CC4-5D6E-409C-BE32-E72D297353CC}">
              <c16:uniqueId val="{0000000A-6A87-4328-8D12-5CE2ED7C82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Nova Light" panose="020B03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solidFill>
      <a:round/>
    </a:ln>
    <a:effectLst/>
  </c:spPr>
  <c:txPr>
    <a:bodyPr/>
    <a:lstStyle/>
    <a:p>
      <a:pPr>
        <a:defRPr>
          <a:latin typeface="Arial Nova Light" panose="020B03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chart" Target="../charts/chart5.xml"/><Relationship Id="rId4"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276225</xdr:rowOff>
    </xdr:from>
    <xdr:to>
      <xdr:col>1</xdr:col>
      <xdr:colOff>3609109</xdr:colOff>
      <xdr:row>0</xdr:row>
      <xdr:rowOff>1267691</xdr:rowOff>
    </xdr:to>
    <xdr:pic>
      <xdr:nvPicPr>
        <xdr:cNvPr id="2" name="Picture 1" descr="Ivey Publishing logo">
          <a:extLst>
            <a:ext uri="{FF2B5EF4-FFF2-40B4-BE49-F238E27FC236}">
              <a16:creationId xmlns:a16="http://schemas.microsoft.com/office/drawing/2014/main" id="{00000000-0008-0000-0000-000002000000}"/>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075" y="276225"/>
          <a:ext cx="4721629" cy="9933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10527</xdr:colOff>
      <xdr:row>1</xdr:row>
      <xdr:rowOff>12029</xdr:rowOff>
    </xdr:from>
    <xdr:to>
      <xdr:col>18</xdr:col>
      <xdr:colOff>600075</xdr:colOff>
      <xdr:row>23</xdr:row>
      <xdr:rowOff>9524</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10027</xdr:colOff>
      <xdr:row>24</xdr:row>
      <xdr:rowOff>501</xdr:rowOff>
    </xdr:from>
    <xdr:to>
      <xdr:col>18</xdr:col>
      <xdr:colOff>590550</xdr:colOff>
      <xdr:row>45</xdr:row>
      <xdr:rowOff>171450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13</xdr:col>
      <xdr:colOff>352425</xdr:colOff>
      <xdr:row>3</xdr:row>
      <xdr:rowOff>171450</xdr:rowOff>
    </xdr:from>
    <xdr:ext cx="2695575" cy="416781"/>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3985081" y="742950"/>
          <a:ext cx="269557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4/25/22: Musk's</a:t>
          </a:r>
          <a:r>
            <a:rPr lang="en-US" sz="1100" baseline="0">
              <a:latin typeface="Arial" panose="020B0604020202020204" pitchFamily="34" charset="0"/>
              <a:cs typeface="Arial" panose="020B0604020202020204" pitchFamily="34" charset="0"/>
            </a:rPr>
            <a:t> acquisition bid is accepted</a:t>
          </a:r>
        </a:p>
      </xdr:txBody>
    </xdr:sp>
    <xdr:clientData/>
  </xdr:oneCellAnchor>
  <xdr:oneCellAnchor>
    <xdr:from>
      <xdr:col>14</xdr:col>
      <xdr:colOff>342900</xdr:colOff>
      <xdr:row>26</xdr:row>
      <xdr:rowOff>161925</xdr:rowOff>
    </xdr:from>
    <xdr:ext cx="2695575" cy="416781"/>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582775" y="4841081"/>
          <a:ext cx="269557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4/25/22: Musk's</a:t>
          </a:r>
          <a:r>
            <a:rPr lang="en-US" sz="1100" baseline="0">
              <a:latin typeface="Arial" panose="020B0604020202020204" pitchFamily="34" charset="0"/>
              <a:cs typeface="Arial" panose="020B0604020202020204" pitchFamily="34" charset="0"/>
            </a:rPr>
            <a:t> acquisition bid is accepted</a:t>
          </a:r>
        </a:p>
      </xdr:txBody>
    </xdr:sp>
    <xdr:clientData/>
  </xdr:oneCellAnchor>
  <xdr:twoCellAnchor>
    <xdr:from>
      <xdr:col>13</xdr:col>
      <xdr:colOff>571500</xdr:colOff>
      <xdr:row>27</xdr:row>
      <xdr:rowOff>114300</xdr:rowOff>
    </xdr:from>
    <xdr:to>
      <xdr:col>14</xdr:col>
      <xdr:colOff>295275</xdr:colOff>
      <xdr:row>28</xdr:row>
      <xdr:rowOff>142875</xdr:rowOff>
    </xdr:to>
    <xdr:cxnSp macro="">
      <xdr:nvCxnSpPr>
        <xdr:cNvPr id="9" name="Straight Arrow Connector 8">
          <a:extLst>
            <a:ext uri="{FF2B5EF4-FFF2-40B4-BE49-F238E27FC236}">
              <a16:creationId xmlns:a16="http://schemas.microsoft.com/office/drawing/2014/main" id="{00000000-0008-0000-0100-000009000000}"/>
            </a:ext>
          </a:extLst>
        </xdr:cNvPr>
        <xdr:cNvCxnSpPr/>
      </xdr:nvCxnSpPr>
      <xdr:spPr>
        <a:xfrm flipH="1">
          <a:off x="9496425" y="5000625"/>
          <a:ext cx="333375" cy="2095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14</xdr:col>
      <xdr:colOff>390525</xdr:colOff>
      <xdr:row>29</xdr:row>
      <xdr:rowOff>38100</xdr:rowOff>
    </xdr:from>
    <xdr:ext cx="2076450" cy="416781"/>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4630400" y="5253038"/>
          <a:ext cx="2076450"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5/13/22: Musk</a:t>
          </a:r>
          <a:r>
            <a:rPr lang="en-US" sz="1100" baseline="0">
              <a:latin typeface="Arial" panose="020B0604020202020204" pitchFamily="34" charset="0"/>
              <a:cs typeface="Arial" panose="020B0604020202020204" pitchFamily="34" charset="0"/>
            </a:rPr>
            <a:t> announces the deal is temporarily on hold</a:t>
          </a:r>
          <a:endParaRPr lang="en-US" sz="1100">
            <a:latin typeface="Arial" panose="020B0604020202020204" pitchFamily="34" charset="0"/>
            <a:cs typeface="Arial" panose="020B0604020202020204" pitchFamily="34" charset="0"/>
          </a:endParaRPr>
        </a:p>
      </xdr:txBody>
    </xdr:sp>
    <xdr:clientData/>
  </xdr:oneCellAnchor>
  <xdr:oneCellAnchor>
    <xdr:from>
      <xdr:col>14</xdr:col>
      <xdr:colOff>428625</xdr:colOff>
      <xdr:row>7</xdr:row>
      <xdr:rowOff>19050</xdr:rowOff>
    </xdr:from>
    <xdr:ext cx="2076450" cy="416781"/>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4668500" y="1304925"/>
          <a:ext cx="2076450"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5/13/22: Musk</a:t>
          </a:r>
          <a:r>
            <a:rPr lang="en-US" sz="1100" baseline="0">
              <a:latin typeface="Arial" panose="020B0604020202020204" pitchFamily="34" charset="0"/>
              <a:cs typeface="Arial" panose="020B0604020202020204" pitchFamily="34" charset="0"/>
            </a:rPr>
            <a:t> announces the deal is temporarily on hold</a:t>
          </a:r>
          <a:endParaRPr lang="en-US" sz="1100">
            <a:latin typeface="Arial" panose="020B0604020202020204" pitchFamily="34" charset="0"/>
            <a:cs typeface="Arial" panose="020B0604020202020204" pitchFamily="34" charset="0"/>
          </a:endParaRPr>
        </a:p>
      </xdr:txBody>
    </xdr:sp>
    <xdr:clientData/>
  </xdr:oneCellAnchor>
  <xdr:twoCellAnchor>
    <xdr:from>
      <xdr:col>14</xdr:col>
      <xdr:colOff>542925</xdr:colOff>
      <xdr:row>10</xdr:row>
      <xdr:rowOff>9525</xdr:rowOff>
    </xdr:from>
    <xdr:to>
      <xdr:col>14</xdr:col>
      <xdr:colOff>590550</xdr:colOff>
      <xdr:row>15</xdr:row>
      <xdr:rowOff>171450</xdr:rowOff>
    </xdr:to>
    <xdr:cxnSp macro="">
      <xdr:nvCxnSpPr>
        <xdr:cNvPr id="23" name="Straight Arrow Connector 22">
          <a:extLst>
            <a:ext uri="{FF2B5EF4-FFF2-40B4-BE49-F238E27FC236}">
              <a16:creationId xmlns:a16="http://schemas.microsoft.com/office/drawing/2014/main" id="{00000000-0008-0000-0100-000017000000}"/>
            </a:ext>
          </a:extLst>
        </xdr:cNvPr>
        <xdr:cNvCxnSpPr/>
      </xdr:nvCxnSpPr>
      <xdr:spPr>
        <a:xfrm>
          <a:off x="10077450" y="1819275"/>
          <a:ext cx="47625" cy="10668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15</xdr:col>
      <xdr:colOff>561975</xdr:colOff>
      <xdr:row>32</xdr:row>
      <xdr:rowOff>114299</xdr:rowOff>
    </xdr:from>
    <xdr:ext cx="1876425" cy="416781"/>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5409069" y="5865018"/>
          <a:ext cx="187642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7/8/22: Musk walks out on the deal</a:t>
          </a:r>
          <a:endParaRPr lang="en-US" sz="1100" baseline="0">
            <a:latin typeface="Arial" panose="020B0604020202020204" pitchFamily="34" charset="0"/>
            <a:cs typeface="Arial" panose="020B0604020202020204" pitchFamily="34" charset="0"/>
          </a:endParaRPr>
        </a:p>
      </xdr:txBody>
    </xdr:sp>
    <xdr:clientData/>
  </xdr:oneCellAnchor>
  <xdr:twoCellAnchor>
    <xdr:from>
      <xdr:col>18</xdr:col>
      <xdr:colOff>95250</xdr:colOff>
      <xdr:row>34</xdr:row>
      <xdr:rowOff>161925</xdr:rowOff>
    </xdr:from>
    <xdr:to>
      <xdr:col>18</xdr:col>
      <xdr:colOff>333375</xdr:colOff>
      <xdr:row>39</xdr:row>
      <xdr:rowOff>0</xdr:rowOff>
    </xdr:to>
    <xdr:cxnSp macro="">
      <xdr:nvCxnSpPr>
        <xdr:cNvPr id="26" name="Straight Arrow Connector 25">
          <a:extLst>
            <a:ext uri="{FF2B5EF4-FFF2-40B4-BE49-F238E27FC236}">
              <a16:creationId xmlns:a16="http://schemas.microsoft.com/office/drawing/2014/main" id="{00000000-0008-0000-0100-00001A000000}"/>
            </a:ext>
          </a:extLst>
        </xdr:cNvPr>
        <xdr:cNvCxnSpPr/>
      </xdr:nvCxnSpPr>
      <xdr:spPr>
        <a:xfrm flipH="1">
          <a:off x="12068175" y="6315075"/>
          <a:ext cx="238125" cy="7429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15</xdr:col>
      <xdr:colOff>600075</xdr:colOff>
      <xdr:row>11</xdr:row>
      <xdr:rowOff>85725</xdr:rowOff>
    </xdr:from>
    <xdr:ext cx="1876425" cy="416781"/>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5447169" y="2085975"/>
          <a:ext cx="187642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7/8/22: Musk walks</a:t>
          </a:r>
          <a:r>
            <a:rPr lang="en-US" sz="1100" baseline="0">
              <a:latin typeface="Arial" panose="020B0604020202020204" pitchFamily="34" charset="0"/>
              <a:cs typeface="Arial" panose="020B0604020202020204" pitchFamily="34" charset="0"/>
            </a:rPr>
            <a:t> out on the deal</a:t>
          </a:r>
        </a:p>
      </xdr:txBody>
    </xdr:sp>
    <xdr:clientData/>
  </xdr:oneCellAnchor>
  <xdr:twoCellAnchor>
    <xdr:from>
      <xdr:col>18</xdr:col>
      <xdr:colOff>47625</xdr:colOff>
      <xdr:row>13</xdr:row>
      <xdr:rowOff>114300</xdr:rowOff>
    </xdr:from>
    <xdr:to>
      <xdr:col>18</xdr:col>
      <xdr:colOff>66675</xdr:colOff>
      <xdr:row>16</xdr:row>
      <xdr:rowOff>66675</xdr:rowOff>
    </xdr:to>
    <xdr:cxnSp macro="">
      <xdr:nvCxnSpPr>
        <xdr:cNvPr id="29" name="Straight Arrow Connector 28">
          <a:extLst>
            <a:ext uri="{FF2B5EF4-FFF2-40B4-BE49-F238E27FC236}">
              <a16:creationId xmlns:a16="http://schemas.microsoft.com/office/drawing/2014/main" id="{00000000-0008-0000-0100-00001D000000}"/>
            </a:ext>
          </a:extLst>
        </xdr:cNvPr>
        <xdr:cNvCxnSpPr/>
      </xdr:nvCxnSpPr>
      <xdr:spPr>
        <a:xfrm>
          <a:off x="12020550" y="2466975"/>
          <a:ext cx="19050" cy="4953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47625</xdr:colOff>
      <xdr:row>26</xdr:row>
      <xdr:rowOff>161926</xdr:rowOff>
    </xdr:from>
    <xdr:ext cx="2105025" cy="579005"/>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1203781" y="4841082"/>
          <a:ext cx="2105025" cy="579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tx1"/>
              </a:solidFill>
              <a:latin typeface="Arial" panose="020B0604020202020204" pitchFamily="34" charset="0"/>
              <a:cs typeface="Arial" panose="020B0604020202020204" pitchFamily="34" charset="0"/>
            </a:rPr>
            <a:t>4/5/22: Musk announces</a:t>
          </a:r>
          <a:r>
            <a:rPr lang="en-US" sz="1100" baseline="0">
              <a:solidFill>
                <a:schemeClr val="tx1"/>
              </a:solidFill>
              <a:latin typeface="Arial" panose="020B0604020202020204" pitchFamily="34" charset="0"/>
              <a:cs typeface="Arial" panose="020B0604020202020204" pitchFamily="34" charset="0"/>
            </a:rPr>
            <a:t> he will join Twitter's board of directors</a:t>
          </a:r>
        </a:p>
      </xdr:txBody>
    </xdr:sp>
    <xdr:clientData/>
  </xdr:oneCellAnchor>
  <xdr:twoCellAnchor>
    <xdr:from>
      <xdr:col>12</xdr:col>
      <xdr:colOff>283368</xdr:colOff>
      <xdr:row>28</xdr:row>
      <xdr:rowOff>94241</xdr:rowOff>
    </xdr:from>
    <xdr:to>
      <xdr:col>12</xdr:col>
      <xdr:colOff>457200</xdr:colOff>
      <xdr:row>29</xdr:row>
      <xdr:rowOff>85725</xdr:rowOff>
    </xdr:to>
    <xdr:cxnSp macro="">
      <xdr:nvCxnSpPr>
        <xdr:cNvPr id="15" name="Straight Arrow Connector 14">
          <a:extLst>
            <a:ext uri="{FF2B5EF4-FFF2-40B4-BE49-F238E27FC236}">
              <a16:creationId xmlns:a16="http://schemas.microsoft.com/office/drawing/2014/main" id="{00000000-0008-0000-0100-00000F000000}"/>
            </a:ext>
          </a:extLst>
        </xdr:cNvPr>
        <xdr:cNvCxnSpPr>
          <a:stCxn id="12" idx="3"/>
        </xdr:cNvCxnSpPr>
      </xdr:nvCxnSpPr>
      <xdr:spPr>
        <a:xfrm>
          <a:off x="13308806" y="5130585"/>
          <a:ext cx="173832" cy="17007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228600</xdr:colOff>
      <xdr:row>4</xdr:row>
      <xdr:rowOff>133350</xdr:rowOff>
    </xdr:from>
    <xdr:to>
      <xdr:col>12</xdr:col>
      <xdr:colOff>457200</xdr:colOff>
      <xdr:row>5</xdr:row>
      <xdr:rowOff>66675</xdr:rowOff>
    </xdr:to>
    <xdr:cxnSp macro="">
      <xdr:nvCxnSpPr>
        <xdr:cNvPr id="18" name="Straight Arrow Connector 17">
          <a:extLst>
            <a:ext uri="{FF2B5EF4-FFF2-40B4-BE49-F238E27FC236}">
              <a16:creationId xmlns:a16="http://schemas.microsoft.com/office/drawing/2014/main" id="{00000000-0008-0000-0100-000012000000}"/>
            </a:ext>
          </a:extLst>
        </xdr:cNvPr>
        <xdr:cNvCxnSpPr/>
      </xdr:nvCxnSpPr>
      <xdr:spPr>
        <a:xfrm>
          <a:off x="13430250" y="857250"/>
          <a:ext cx="228600" cy="1143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12</xdr:col>
      <xdr:colOff>400051</xdr:colOff>
      <xdr:row>40</xdr:row>
      <xdr:rowOff>133350</xdr:rowOff>
    </xdr:from>
    <xdr:ext cx="1619250" cy="579005"/>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3425489" y="7312819"/>
          <a:ext cx="1619250" cy="579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tx1"/>
              </a:solidFill>
              <a:latin typeface="Arial" panose="020B0604020202020204" pitchFamily="34" charset="0"/>
              <a:cs typeface="Arial" panose="020B0604020202020204" pitchFamily="34" charset="0"/>
            </a:rPr>
            <a:t>4/13/22: Musk launches</a:t>
          </a:r>
          <a:r>
            <a:rPr lang="en-US" sz="1100" baseline="0">
              <a:solidFill>
                <a:schemeClr val="tx1"/>
              </a:solidFill>
              <a:latin typeface="Arial" panose="020B0604020202020204" pitchFamily="34" charset="0"/>
              <a:cs typeface="Arial" panose="020B0604020202020204" pitchFamily="34" charset="0"/>
            </a:rPr>
            <a:t> his hostile takeover bid</a:t>
          </a:r>
          <a:endParaRPr lang="en-US" sz="1100">
            <a:solidFill>
              <a:schemeClr val="tx1"/>
            </a:solidFill>
            <a:latin typeface="Arial" panose="020B0604020202020204" pitchFamily="34" charset="0"/>
            <a:cs typeface="Arial" panose="020B0604020202020204" pitchFamily="34" charset="0"/>
          </a:endParaRPr>
        </a:p>
      </xdr:txBody>
    </xdr:sp>
    <xdr:clientData/>
  </xdr:oneCellAnchor>
  <xdr:twoCellAnchor>
    <xdr:from>
      <xdr:col>13</xdr:col>
      <xdr:colOff>123825</xdr:colOff>
      <xdr:row>34</xdr:row>
      <xdr:rowOff>66675</xdr:rowOff>
    </xdr:from>
    <xdr:to>
      <xdr:col>13</xdr:col>
      <xdr:colOff>600075</xdr:colOff>
      <xdr:row>40</xdr:row>
      <xdr:rowOff>142875</xdr:rowOff>
    </xdr:to>
    <xdr:cxnSp macro="">
      <xdr:nvCxnSpPr>
        <xdr:cNvPr id="25" name="Straight Arrow Connector 24">
          <a:extLst>
            <a:ext uri="{FF2B5EF4-FFF2-40B4-BE49-F238E27FC236}">
              <a16:creationId xmlns:a16="http://schemas.microsoft.com/office/drawing/2014/main" id="{00000000-0008-0000-0100-000019000000}"/>
            </a:ext>
          </a:extLst>
        </xdr:cNvPr>
        <xdr:cNvCxnSpPr/>
      </xdr:nvCxnSpPr>
      <xdr:spPr>
        <a:xfrm flipH="1" flipV="1">
          <a:off x="13935075" y="6219825"/>
          <a:ext cx="476250" cy="1162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171450</xdr:colOff>
      <xdr:row>7</xdr:row>
      <xdr:rowOff>9525</xdr:rowOff>
    </xdr:from>
    <xdr:ext cx="1600200" cy="579005"/>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1327606" y="1295400"/>
          <a:ext cx="1600200" cy="579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4/4/22:</a:t>
          </a:r>
          <a:r>
            <a:rPr lang="en-US" sz="1100" baseline="0">
              <a:latin typeface="Arial" panose="020B0604020202020204" pitchFamily="34" charset="0"/>
              <a:cs typeface="Arial" panose="020B0604020202020204" pitchFamily="34" charset="0"/>
            </a:rPr>
            <a:t> Musk discloses his 9.1% stake in Twitter</a:t>
          </a:r>
          <a:endParaRPr lang="en-US" sz="1100">
            <a:latin typeface="Arial" panose="020B0604020202020204" pitchFamily="34" charset="0"/>
            <a:cs typeface="Arial" panose="020B0604020202020204" pitchFamily="34" charset="0"/>
          </a:endParaRPr>
        </a:p>
      </xdr:txBody>
    </xdr:sp>
    <xdr:clientData/>
  </xdr:oneCellAnchor>
  <xdr:oneCellAnchor>
    <xdr:from>
      <xdr:col>9</xdr:col>
      <xdr:colOff>76200</xdr:colOff>
      <xdr:row>30</xdr:row>
      <xdr:rowOff>38100</xdr:rowOff>
    </xdr:from>
    <xdr:ext cx="1600200" cy="579005"/>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1232356" y="5431631"/>
          <a:ext cx="1600200" cy="579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4/4/22:</a:t>
          </a:r>
          <a:r>
            <a:rPr lang="en-US" sz="1100" baseline="0">
              <a:latin typeface="Arial" panose="020B0604020202020204" pitchFamily="34" charset="0"/>
              <a:cs typeface="Arial" panose="020B0604020202020204" pitchFamily="34" charset="0"/>
            </a:rPr>
            <a:t> Musk discloses his 9.1% stake in Twitter</a:t>
          </a:r>
          <a:endParaRPr lang="en-US" sz="1100">
            <a:latin typeface="Arial" panose="020B0604020202020204" pitchFamily="34" charset="0"/>
            <a:cs typeface="Arial" panose="020B0604020202020204" pitchFamily="34" charset="0"/>
          </a:endParaRPr>
        </a:p>
      </xdr:txBody>
    </xdr:sp>
    <xdr:clientData/>
  </xdr:oneCellAnchor>
  <xdr:twoCellAnchor>
    <xdr:from>
      <xdr:col>11</xdr:col>
      <xdr:colOff>371475</xdr:colOff>
      <xdr:row>6</xdr:row>
      <xdr:rowOff>9525</xdr:rowOff>
    </xdr:from>
    <xdr:to>
      <xdr:col>12</xdr:col>
      <xdr:colOff>381000</xdr:colOff>
      <xdr:row>7</xdr:row>
      <xdr:rowOff>66675</xdr:rowOff>
    </xdr:to>
    <xdr:cxnSp macro="">
      <xdr:nvCxnSpPr>
        <xdr:cNvPr id="8" name="Straight Arrow Connector 7">
          <a:extLst>
            <a:ext uri="{FF2B5EF4-FFF2-40B4-BE49-F238E27FC236}">
              <a16:creationId xmlns:a16="http://schemas.microsoft.com/office/drawing/2014/main" id="{00000000-0008-0000-0100-000008000000}"/>
            </a:ext>
          </a:extLst>
        </xdr:cNvPr>
        <xdr:cNvCxnSpPr/>
      </xdr:nvCxnSpPr>
      <xdr:spPr>
        <a:xfrm flipV="1">
          <a:off x="12963525" y="1114425"/>
          <a:ext cx="619125" cy="2381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257175</xdr:colOff>
      <xdr:row>30</xdr:row>
      <xdr:rowOff>76200</xdr:rowOff>
    </xdr:from>
    <xdr:to>
      <xdr:col>12</xdr:col>
      <xdr:colOff>342900</xdr:colOff>
      <xdr:row>31</xdr:row>
      <xdr:rowOff>37418</xdr:rowOff>
    </xdr:to>
    <xdr:cxnSp macro="">
      <xdr:nvCxnSpPr>
        <xdr:cNvPr id="17" name="Straight Arrow Connector 16">
          <a:extLst>
            <a:ext uri="{FF2B5EF4-FFF2-40B4-BE49-F238E27FC236}">
              <a16:creationId xmlns:a16="http://schemas.microsoft.com/office/drawing/2014/main" id="{00000000-0008-0000-0100-000011000000}"/>
            </a:ext>
          </a:extLst>
        </xdr:cNvPr>
        <xdr:cNvCxnSpPr/>
      </xdr:nvCxnSpPr>
      <xdr:spPr>
        <a:xfrm flipV="1">
          <a:off x="12849225" y="5524500"/>
          <a:ext cx="695325" cy="14219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10527</xdr:colOff>
      <xdr:row>1</xdr:row>
      <xdr:rowOff>12029</xdr:rowOff>
    </xdr:from>
    <xdr:to>
      <xdr:col>18</xdr:col>
      <xdr:colOff>600075</xdr:colOff>
      <xdr:row>23</xdr:row>
      <xdr:rowOff>9524</xdr:rowOff>
    </xdr:to>
    <xdr:graphicFrame macro="">
      <xdr:nvGraphicFramePr>
        <xdr:cNvPr id="31" name="Chart 30">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10027</xdr:colOff>
      <xdr:row>24</xdr:row>
      <xdr:rowOff>501</xdr:rowOff>
    </xdr:from>
    <xdr:to>
      <xdr:col>18</xdr:col>
      <xdr:colOff>590550</xdr:colOff>
      <xdr:row>46</xdr:row>
      <xdr:rowOff>2117</xdr:rowOff>
    </xdr:to>
    <xdr:graphicFrame macro="">
      <xdr:nvGraphicFramePr>
        <xdr:cNvPr id="32" name="Chart 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13</xdr:col>
      <xdr:colOff>352425</xdr:colOff>
      <xdr:row>3</xdr:row>
      <xdr:rowOff>171450</xdr:rowOff>
    </xdr:from>
    <xdr:ext cx="2695575" cy="416781"/>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3985081" y="742950"/>
          <a:ext cx="269557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4/25/22: Musk's</a:t>
          </a:r>
          <a:r>
            <a:rPr lang="en-US" sz="1100" baseline="0">
              <a:latin typeface="Arial" panose="020B0604020202020204" pitchFamily="34" charset="0"/>
              <a:cs typeface="Arial" panose="020B0604020202020204" pitchFamily="34" charset="0"/>
            </a:rPr>
            <a:t> acquisition bid is accepted</a:t>
          </a:r>
        </a:p>
      </xdr:txBody>
    </xdr:sp>
    <xdr:clientData/>
  </xdr:oneCellAnchor>
  <xdr:oneCellAnchor>
    <xdr:from>
      <xdr:col>14</xdr:col>
      <xdr:colOff>178855</xdr:colOff>
      <xdr:row>26</xdr:row>
      <xdr:rowOff>161925</xdr:rowOff>
    </xdr:from>
    <xdr:ext cx="2695575" cy="43358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1731320" y="4842782"/>
          <a:ext cx="2695575" cy="43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Nova Light" panose="020B0304020202020204" pitchFamily="34" charset="0"/>
              <a:cs typeface="Arial" panose="020B0604020202020204" pitchFamily="34" charset="0"/>
            </a:rPr>
            <a:t>4/25/22: Musk's</a:t>
          </a:r>
          <a:r>
            <a:rPr lang="en-US" sz="1100" baseline="0">
              <a:latin typeface="Arial Nova Light" panose="020B0304020202020204" pitchFamily="34" charset="0"/>
              <a:cs typeface="Arial" panose="020B0604020202020204" pitchFamily="34" charset="0"/>
            </a:rPr>
            <a:t> acquisition bid is accepted</a:t>
          </a:r>
        </a:p>
      </xdr:txBody>
    </xdr:sp>
    <xdr:clientData/>
  </xdr:oneCellAnchor>
  <xdr:twoCellAnchor>
    <xdr:from>
      <xdr:col>13</xdr:col>
      <xdr:colOff>407455</xdr:colOff>
      <xdr:row>27</xdr:row>
      <xdr:rowOff>114300</xdr:rowOff>
    </xdr:from>
    <xdr:to>
      <xdr:col>14</xdr:col>
      <xdr:colOff>131230</xdr:colOff>
      <xdr:row>28</xdr:row>
      <xdr:rowOff>142875</xdr:rowOff>
    </xdr:to>
    <xdr:cxnSp macro="">
      <xdr:nvCxnSpPr>
        <xdr:cNvPr id="35" name="Straight Arrow Connector 34">
          <a:extLst>
            <a:ext uri="{FF2B5EF4-FFF2-40B4-BE49-F238E27FC236}">
              <a16:creationId xmlns:a16="http://schemas.microsoft.com/office/drawing/2014/main" id="{00000000-0008-0000-0100-000023000000}"/>
            </a:ext>
          </a:extLst>
        </xdr:cNvPr>
        <xdr:cNvCxnSpPr/>
      </xdr:nvCxnSpPr>
      <xdr:spPr>
        <a:xfrm flipH="1">
          <a:off x="11292414" y="4892676"/>
          <a:ext cx="374649" cy="19790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14</xdr:col>
      <xdr:colOff>390525</xdr:colOff>
      <xdr:row>29</xdr:row>
      <xdr:rowOff>38100</xdr:rowOff>
    </xdr:from>
    <xdr:ext cx="2076450" cy="43358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1942990" y="5236029"/>
          <a:ext cx="2076450" cy="43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Nova Light" panose="020B0304020202020204" pitchFamily="34" charset="0"/>
              <a:cs typeface="Arial" panose="020B0604020202020204" pitchFamily="34" charset="0"/>
            </a:rPr>
            <a:t>5/13/22: Musk</a:t>
          </a:r>
          <a:r>
            <a:rPr lang="en-US" sz="1100" baseline="0">
              <a:latin typeface="Arial Nova Light" panose="020B0304020202020204" pitchFamily="34" charset="0"/>
              <a:cs typeface="Arial" panose="020B0604020202020204" pitchFamily="34" charset="0"/>
            </a:rPr>
            <a:t> announces the deal is temporarily on hold</a:t>
          </a:r>
          <a:endParaRPr lang="en-US" sz="1100">
            <a:latin typeface="Arial Nova Light" panose="020B0304020202020204" pitchFamily="34" charset="0"/>
            <a:cs typeface="Arial" panose="020B0604020202020204" pitchFamily="34" charset="0"/>
          </a:endParaRPr>
        </a:p>
      </xdr:txBody>
    </xdr:sp>
    <xdr:clientData/>
  </xdr:oneCellAnchor>
  <xdr:oneCellAnchor>
    <xdr:from>
      <xdr:col>14</xdr:col>
      <xdr:colOff>428625</xdr:colOff>
      <xdr:row>7</xdr:row>
      <xdr:rowOff>19050</xdr:rowOff>
    </xdr:from>
    <xdr:ext cx="2076450" cy="416781"/>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4668500" y="1304925"/>
          <a:ext cx="2076450"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5/13/22: Musk</a:t>
          </a:r>
          <a:r>
            <a:rPr lang="en-US" sz="1100" baseline="0">
              <a:latin typeface="Arial" panose="020B0604020202020204" pitchFamily="34" charset="0"/>
              <a:cs typeface="Arial" panose="020B0604020202020204" pitchFamily="34" charset="0"/>
            </a:rPr>
            <a:t> announces the deal is temporarily on hold</a:t>
          </a:r>
          <a:endParaRPr lang="en-US" sz="1100">
            <a:latin typeface="Arial" panose="020B0604020202020204" pitchFamily="34" charset="0"/>
            <a:cs typeface="Arial" panose="020B0604020202020204" pitchFamily="34" charset="0"/>
          </a:endParaRPr>
        </a:p>
      </xdr:txBody>
    </xdr:sp>
    <xdr:clientData/>
  </xdr:oneCellAnchor>
  <xdr:twoCellAnchor>
    <xdr:from>
      <xdr:col>14</xdr:col>
      <xdr:colOff>542925</xdr:colOff>
      <xdr:row>10</xdr:row>
      <xdr:rowOff>9525</xdr:rowOff>
    </xdr:from>
    <xdr:to>
      <xdr:col>14</xdr:col>
      <xdr:colOff>590550</xdr:colOff>
      <xdr:row>15</xdr:row>
      <xdr:rowOff>171450</xdr:rowOff>
    </xdr:to>
    <xdr:cxnSp macro="">
      <xdr:nvCxnSpPr>
        <xdr:cNvPr id="38" name="Straight Arrow Connector 37">
          <a:extLst>
            <a:ext uri="{FF2B5EF4-FFF2-40B4-BE49-F238E27FC236}">
              <a16:creationId xmlns:a16="http://schemas.microsoft.com/office/drawing/2014/main" id="{00000000-0008-0000-0100-000026000000}"/>
            </a:ext>
          </a:extLst>
        </xdr:cNvPr>
        <xdr:cNvCxnSpPr/>
      </xdr:nvCxnSpPr>
      <xdr:spPr>
        <a:xfrm>
          <a:off x="14967585" y="1853565"/>
          <a:ext cx="47625" cy="10763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16</xdr:col>
      <xdr:colOff>13155</xdr:colOff>
      <xdr:row>32</xdr:row>
      <xdr:rowOff>155122</xdr:rowOff>
    </xdr:from>
    <xdr:ext cx="1876425" cy="43358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871905" y="5870122"/>
          <a:ext cx="1876425" cy="43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Nova Light" panose="020B0304020202020204" pitchFamily="34" charset="0"/>
              <a:cs typeface="Arial" panose="020B0604020202020204" pitchFamily="34" charset="0"/>
            </a:rPr>
            <a:t>7/8/22: Musk walks out on the deal</a:t>
          </a:r>
          <a:endParaRPr lang="en-US" sz="1100" baseline="0">
            <a:latin typeface="Arial Nova Light" panose="020B0304020202020204" pitchFamily="34" charset="0"/>
            <a:cs typeface="Arial" panose="020B0604020202020204" pitchFamily="34" charset="0"/>
          </a:endParaRPr>
        </a:p>
      </xdr:txBody>
    </xdr:sp>
    <xdr:clientData/>
  </xdr:oneCellAnchor>
  <xdr:twoCellAnchor>
    <xdr:from>
      <xdr:col>18</xdr:col>
      <xdr:colOff>22679</xdr:colOff>
      <xdr:row>34</xdr:row>
      <xdr:rowOff>161925</xdr:rowOff>
    </xdr:from>
    <xdr:to>
      <xdr:col>18</xdr:col>
      <xdr:colOff>260804</xdr:colOff>
      <xdr:row>39</xdr:row>
      <xdr:rowOff>0</xdr:rowOff>
    </xdr:to>
    <xdr:cxnSp macro="">
      <xdr:nvCxnSpPr>
        <xdr:cNvPr id="40" name="Straight Arrow Connector 39">
          <a:extLst>
            <a:ext uri="{FF2B5EF4-FFF2-40B4-BE49-F238E27FC236}">
              <a16:creationId xmlns:a16="http://schemas.microsoft.com/office/drawing/2014/main" id="{00000000-0008-0000-0100-000028000000}"/>
            </a:ext>
          </a:extLst>
        </xdr:cNvPr>
        <xdr:cNvCxnSpPr/>
      </xdr:nvCxnSpPr>
      <xdr:spPr>
        <a:xfrm flipH="1">
          <a:off x="14187715" y="6221639"/>
          <a:ext cx="238125" cy="69986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15</xdr:col>
      <xdr:colOff>600075</xdr:colOff>
      <xdr:row>11</xdr:row>
      <xdr:rowOff>85725</xdr:rowOff>
    </xdr:from>
    <xdr:ext cx="1876425" cy="416781"/>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5447169" y="2085975"/>
          <a:ext cx="187642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7/8/22: Musk walks</a:t>
          </a:r>
          <a:r>
            <a:rPr lang="en-US" sz="1100" baseline="0">
              <a:latin typeface="Arial" panose="020B0604020202020204" pitchFamily="34" charset="0"/>
              <a:cs typeface="Arial" panose="020B0604020202020204" pitchFamily="34" charset="0"/>
            </a:rPr>
            <a:t> out on the deal</a:t>
          </a:r>
        </a:p>
      </xdr:txBody>
    </xdr:sp>
    <xdr:clientData/>
  </xdr:oneCellAnchor>
  <xdr:twoCellAnchor>
    <xdr:from>
      <xdr:col>18</xdr:col>
      <xdr:colOff>47625</xdr:colOff>
      <xdr:row>13</xdr:row>
      <xdr:rowOff>114300</xdr:rowOff>
    </xdr:from>
    <xdr:to>
      <xdr:col>18</xdr:col>
      <xdr:colOff>66675</xdr:colOff>
      <xdr:row>16</xdr:row>
      <xdr:rowOff>66675</xdr:rowOff>
    </xdr:to>
    <xdr:cxnSp macro="">
      <xdr:nvCxnSpPr>
        <xdr:cNvPr id="42" name="Straight Arrow Connector 41">
          <a:extLst>
            <a:ext uri="{FF2B5EF4-FFF2-40B4-BE49-F238E27FC236}">
              <a16:creationId xmlns:a16="http://schemas.microsoft.com/office/drawing/2014/main" id="{00000000-0008-0000-0100-00002A000000}"/>
            </a:ext>
          </a:extLst>
        </xdr:cNvPr>
        <xdr:cNvCxnSpPr/>
      </xdr:nvCxnSpPr>
      <xdr:spPr>
        <a:xfrm>
          <a:off x="16910685" y="2506980"/>
          <a:ext cx="19050" cy="50101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8</xdr:col>
      <xdr:colOff>592665</xdr:colOff>
      <xdr:row>26</xdr:row>
      <xdr:rowOff>161926</xdr:rowOff>
    </xdr:from>
    <xdr:ext cx="2105025" cy="43358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8085665" y="4842783"/>
          <a:ext cx="2105025" cy="43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tx1"/>
              </a:solidFill>
              <a:latin typeface="Arial Nova Light" panose="020B0304020202020204" pitchFamily="34" charset="0"/>
              <a:cs typeface="Arial" panose="020B0604020202020204" pitchFamily="34" charset="0"/>
            </a:rPr>
            <a:t>4/5/22: Musk announces</a:t>
          </a:r>
          <a:r>
            <a:rPr lang="en-US" sz="1100" baseline="0">
              <a:solidFill>
                <a:schemeClr val="tx1"/>
              </a:solidFill>
              <a:latin typeface="Arial Nova Light" panose="020B0304020202020204" pitchFamily="34" charset="0"/>
              <a:cs typeface="Arial" panose="020B0604020202020204" pitchFamily="34" charset="0"/>
            </a:rPr>
            <a:t> he will join Twitter's board of directors</a:t>
          </a:r>
        </a:p>
      </xdr:txBody>
    </xdr:sp>
    <xdr:clientData/>
  </xdr:oneCellAnchor>
  <xdr:twoCellAnchor>
    <xdr:from>
      <xdr:col>11</xdr:col>
      <xdr:colOff>597654</xdr:colOff>
      <xdr:row>28</xdr:row>
      <xdr:rowOff>34002</xdr:rowOff>
    </xdr:from>
    <xdr:to>
      <xdr:col>12</xdr:col>
      <xdr:colOff>261407</xdr:colOff>
      <xdr:row>29</xdr:row>
      <xdr:rowOff>85725</xdr:rowOff>
    </xdr:to>
    <xdr:cxnSp macro="">
      <xdr:nvCxnSpPr>
        <xdr:cNvPr id="45" name="Straight Arrow Connector 44">
          <a:extLst>
            <a:ext uri="{FF2B5EF4-FFF2-40B4-BE49-F238E27FC236}">
              <a16:creationId xmlns:a16="http://schemas.microsoft.com/office/drawing/2014/main" id="{00000000-0008-0000-0100-00002D000000}"/>
            </a:ext>
          </a:extLst>
        </xdr:cNvPr>
        <xdr:cNvCxnSpPr>
          <a:stCxn id="44" idx="3"/>
        </xdr:cNvCxnSpPr>
      </xdr:nvCxnSpPr>
      <xdr:spPr>
        <a:xfrm>
          <a:off x="10190690" y="5059573"/>
          <a:ext cx="316896" cy="22408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228600</xdr:colOff>
      <xdr:row>4</xdr:row>
      <xdr:rowOff>133350</xdr:rowOff>
    </xdr:from>
    <xdr:to>
      <xdr:col>12</xdr:col>
      <xdr:colOff>457200</xdr:colOff>
      <xdr:row>5</xdr:row>
      <xdr:rowOff>66675</xdr:rowOff>
    </xdr:to>
    <xdr:cxnSp macro="">
      <xdr:nvCxnSpPr>
        <xdr:cNvPr id="46" name="Straight Arrow Connector 45">
          <a:extLst>
            <a:ext uri="{FF2B5EF4-FFF2-40B4-BE49-F238E27FC236}">
              <a16:creationId xmlns:a16="http://schemas.microsoft.com/office/drawing/2014/main" id="{00000000-0008-0000-0100-00002E000000}"/>
            </a:ext>
          </a:extLst>
        </xdr:cNvPr>
        <xdr:cNvCxnSpPr/>
      </xdr:nvCxnSpPr>
      <xdr:spPr>
        <a:xfrm>
          <a:off x="13434060" y="880110"/>
          <a:ext cx="228600" cy="11620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12</xdr:col>
      <xdr:colOff>172510</xdr:colOff>
      <xdr:row>40</xdr:row>
      <xdr:rowOff>133350</xdr:rowOff>
    </xdr:from>
    <xdr:ext cx="1619250" cy="604204"/>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0418689" y="7227207"/>
          <a:ext cx="1619250" cy="604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tx1"/>
              </a:solidFill>
              <a:latin typeface="Arial Nova Light" panose="020B0304020202020204" pitchFamily="34" charset="0"/>
              <a:cs typeface="Arial" panose="020B0604020202020204" pitchFamily="34" charset="0"/>
            </a:rPr>
            <a:t>4/13/22: Musk launches</a:t>
          </a:r>
          <a:r>
            <a:rPr lang="en-US" sz="1100" baseline="0">
              <a:solidFill>
                <a:schemeClr val="tx1"/>
              </a:solidFill>
              <a:latin typeface="Arial Nova Light" panose="020B0304020202020204" pitchFamily="34" charset="0"/>
              <a:cs typeface="Arial" panose="020B0604020202020204" pitchFamily="34" charset="0"/>
            </a:rPr>
            <a:t> his hostile takeover bid</a:t>
          </a:r>
          <a:endParaRPr lang="en-US" sz="1100">
            <a:solidFill>
              <a:schemeClr val="tx1"/>
            </a:solidFill>
            <a:latin typeface="Arial Nova Light" panose="020B0304020202020204" pitchFamily="34" charset="0"/>
            <a:cs typeface="Arial" panose="020B0604020202020204" pitchFamily="34" charset="0"/>
          </a:endParaRPr>
        </a:p>
      </xdr:txBody>
    </xdr:sp>
    <xdr:clientData/>
  </xdr:oneCellAnchor>
  <xdr:twoCellAnchor>
    <xdr:from>
      <xdr:col>12</xdr:col>
      <xdr:colOff>547160</xdr:colOff>
      <xdr:row>34</xdr:row>
      <xdr:rowOff>66675</xdr:rowOff>
    </xdr:from>
    <xdr:to>
      <xdr:col>13</xdr:col>
      <xdr:colOff>372534</xdr:colOff>
      <xdr:row>40</xdr:row>
      <xdr:rowOff>142875</xdr:rowOff>
    </xdr:to>
    <xdr:cxnSp macro="">
      <xdr:nvCxnSpPr>
        <xdr:cNvPr id="48" name="Straight Arrow Connector 47">
          <a:extLst>
            <a:ext uri="{FF2B5EF4-FFF2-40B4-BE49-F238E27FC236}">
              <a16:creationId xmlns:a16="http://schemas.microsoft.com/office/drawing/2014/main" id="{00000000-0008-0000-0100-000030000000}"/>
            </a:ext>
          </a:extLst>
        </xdr:cNvPr>
        <xdr:cNvCxnSpPr/>
      </xdr:nvCxnSpPr>
      <xdr:spPr>
        <a:xfrm flipH="1" flipV="1">
          <a:off x="10781243" y="6030384"/>
          <a:ext cx="476250" cy="10922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171450</xdr:colOff>
      <xdr:row>7</xdr:row>
      <xdr:rowOff>19049</xdr:rowOff>
    </xdr:from>
    <xdr:ext cx="1628775" cy="579005"/>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1327606" y="1304924"/>
          <a:ext cx="1628775" cy="579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panose="020B0604020202020204" pitchFamily="34" charset="0"/>
              <a:cs typeface="Arial" panose="020B0604020202020204" pitchFamily="34" charset="0"/>
            </a:rPr>
            <a:t>4/4/22: Musk discloses his</a:t>
          </a:r>
          <a:r>
            <a:rPr lang="en-US" sz="1100" baseline="0">
              <a:latin typeface="Arial" panose="020B0604020202020204" pitchFamily="34" charset="0"/>
              <a:cs typeface="Arial" panose="020B0604020202020204" pitchFamily="34" charset="0"/>
            </a:rPr>
            <a:t> 9.1% stake in Twitter</a:t>
          </a:r>
          <a:endParaRPr lang="en-US" sz="1100">
            <a:latin typeface="Arial" panose="020B0604020202020204" pitchFamily="34" charset="0"/>
            <a:cs typeface="Arial" panose="020B0604020202020204" pitchFamily="34" charset="0"/>
          </a:endParaRPr>
        </a:p>
      </xdr:txBody>
    </xdr:sp>
    <xdr:clientData/>
  </xdr:oneCellAnchor>
  <xdr:oneCellAnchor>
    <xdr:from>
      <xdr:col>8</xdr:col>
      <xdr:colOff>603250</xdr:colOff>
      <xdr:row>30</xdr:row>
      <xdr:rowOff>47625</xdr:rowOff>
    </xdr:from>
    <xdr:ext cx="1628775" cy="604204"/>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8096250" y="5417911"/>
          <a:ext cx="1628775" cy="604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latin typeface="Arial Nova Light" panose="020B0304020202020204" pitchFamily="34" charset="0"/>
              <a:cs typeface="Arial" panose="020B0604020202020204" pitchFamily="34" charset="0"/>
            </a:rPr>
            <a:t>4/4/22: Musk discloses his</a:t>
          </a:r>
          <a:r>
            <a:rPr lang="en-US" sz="1100" baseline="0">
              <a:latin typeface="Arial Nova Light" panose="020B0304020202020204" pitchFamily="34" charset="0"/>
              <a:cs typeface="Arial" panose="020B0604020202020204" pitchFamily="34" charset="0"/>
            </a:rPr>
            <a:t> 9.1% stake in Twitter</a:t>
          </a:r>
          <a:endParaRPr lang="en-US" sz="1100">
            <a:latin typeface="Arial Nova Light" panose="020B0304020202020204" pitchFamily="34" charset="0"/>
            <a:cs typeface="Arial" panose="020B0604020202020204" pitchFamily="34" charset="0"/>
          </a:endParaRPr>
        </a:p>
      </xdr:txBody>
    </xdr:sp>
    <xdr:clientData/>
  </xdr:oneCellAnchor>
  <xdr:twoCellAnchor>
    <xdr:from>
      <xdr:col>11</xdr:col>
      <xdr:colOff>43392</xdr:colOff>
      <xdr:row>30</xdr:row>
      <xdr:rowOff>9525</xdr:rowOff>
    </xdr:from>
    <xdr:to>
      <xdr:col>12</xdr:col>
      <xdr:colOff>186267</xdr:colOff>
      <xdr:row>31</xdr:row>
      <xdr:rowOff>57150</xdr:rowOff>
    </xdr:to>
    <xdr:cxnSp macro="">
      <xdr:nvCxnSpPr>
        <xdr:cNvPr id="51" name="Straight Arrow Connector 50">
          <a:extLst>
            <a:ext uri="{FF2B5EF4-FFF2-40B4-BE49-F238E27FC236}">
              <a16:creationId xmlns:a16="http://schemas.microsoft.com/office/drawing/2014/main" id="{00000000-0008-0000-0100-000033000000}"/>
            </a:ext>
          </a:extLst>
        </xdr:cNvPr>
        <xdr:cNvCxnSpPr/>
      </xdr:nvCxnSpPr>
      <xdr:spPr>
        <a:xfrm flipV="1">
          <a:off x="9626601" y="5295901"/>
          <a:ext cx="793749" cy="21695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342900</xdr:colOff>
      <xdr:row>6</xdr:row>
      <xdr:rowOff>19050</xdr:rowOff>
    </xdr:from>
    <xdr:to>
      <xdr:col>12</xdr:col>
      <xdr:colOff>390525</xdr:colOff>
      <xdr:row>7</xdr:row>
      <xdr:rowOff>47625</xdr:rowOff>
    </xdr:to>
    <xdr:cxnSp macro="">
      <xdr:nvCxnSpPr>
        <xdr:cNvPr id="52" name="Straight Arrow Connector 51">
          <a:extLst>
            <a:ext uri="{FF2B5EF4-FFF2-40B4-BE49-F238E27FC236}">
              <a16:creationId xmlns:a16="http://schemas.microsoft.com/office/drawing/2014/main" id="{00000000-0008-0000-0100-000034000000}"/>
            </a:ext>
          </a:extLst>
        </xdr:cNvPr>
        <xdr:cNvCxnSpPr/>
      </xdr:nvCxnSpPr>
      <xdr:spPr>
        <a:xfrm flipV="1">
          <a:off x="12938760" y="1131570"/>
          <a:ext cx="657225" cy="21145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46</xdr:row>
      <xdr:rowOff>166688</xdr:rowOff>
    </xdr:from>
    <xdr:to>
      <xdr:col>19</xdr:col>
      <xdr:colOff>35718</xdr:colOff>
      <xdr:row>53</xdr:row>
      <xdr:rowOff>-1</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0429875" y="8417719"/>
          <a:ext cx="6881812" cy="10834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solidFill>
                <a:schemeClr val="dk1"/>
              </a:solidFill>
              <a:effectLst/>
              <a:latin typeface="Arial" panose="020B0604020202020204" pitchFamily="34" charset="0"/>
              <a:ea typeface="+mn-ea"/>
              <a:cs typeface="Arial" panose="020B0604020202020204" pitchFamily="34" charset="0"/>
            </a:rPr>
            <a:t>Note: Tesla = Tesla Inc.; Twitter = Twitter Inc.; S&amp;P 500 = Standard &amp; Poor’s 500 stock market index</a:t>
          </a:r>
        </a:p>
        <a:p>
          <a:r>
            <a:rPr lang="en-GB" sz="900">
              <a:solidFill>
                <a:schemeClr val="dk1"/>
              </a:solidFill>
              <a:effectLst/>
              <a:latin typeface="Arial" panose="020B0604020202020204" pitchFamily="34" charset="0"/>
              <a:ea typeface="+mn-ea"/>
              <a:cs typeface="Arial" panose="020B0604020202020204" pitchFamily="34" charset="0"/>
            </a:rPr>
            <a:t>Source: Adapted by the case authors from “Twitter Inc. (TWTR), September 13, 2021–September 13, 2022 Historical Prices Daily,” Yahoo! Finance, accessed July 19, 2022, https://finance.yahoo.com/quote/TWTR/history?pe riod1=1643673600&amp;period2=1658275200&amp;interval=1d&amp;filter=history&amp;frequency=1d&amp;includeAdjustedClose=true; “Tesla Inc. (TSLA), September 13, 2021–September 13, 2022 Historical Prices Daily,” Yahoo! Finance, accessed July 19, 2022, https://finance.yahoo.com/quote/TSLA/history?p=TSLA; “S&amp;P 500 (^GSPC), September 13, 2021–September 13, 2022 Historical Prices Daily,” Yahoo! Finance, accessed July 19, 2022, https://finance.yahoo.com/quote/%5EGSPC/history?p=%5EGSPC.</a:t>
          </a:r>
          <a:endParaRPr lang="en-GB" sz="900">
            <a:latin typeface="Arial" panose="020B0604020202020204" pitchFamily="34" charset="0"/>
            <a:cs typeface="Arial" panose="020B0604020202020204" pitchFamily="34" charset="0"/>
          </a:endParaRPr>
        </a:p>
      </xdr:txBody>
    </xdr:sp>
    <xdr:clientData/>
  </xdr:twoCellAnchor>
  <xdr:twoCellAnchor>
    <xdr:from>
      <xdr:col>8</xdr:col>
      <xdr:colOff>0</xdr:colOff>
      <xdr:row>54</xdr:row>
      <xdr:rowOff>0</xdr:rowOff>
    </xdr:from>
    <xdr:to>
      <xdr:col>19</xdr:col>
      <xdr:colOff>9525</xdr:colOff>
      <xdr:row>76</xdr:row>
      <xdr:rowOff>147637</xdr:rowOff>
    </xdr:to>
    <xdr:graphicFrame macro="">
      <xdr:nvGraphicFramePr>
        <xdr:cNvPr id="53" name="Chart 52">
          <a:extLst>
            <a:ext uri="{FF2B5EF4-FFF2-40B4-BE49-F238E27FC236}">
              <a16:creationId xmlns:a16="http://schemas.microsoft.com/office/drawing/2014/main" id="{00000000-0008-0000-01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195790</xdr:colOff>
      <xdr:row>19</xdr:row>
      <xdr:rowOff>164959</xdr:rowOff>
    </xdr:from>
    <xdr:to>
      <xdr:col>24</xdr:col>
      <xdr:colOff>384921</xdr:colOff>
      <xdr:row>30</xdr:row>
      <xdr:rowOff>57009</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6"/>
        <a:stretch>
          <a:fillRect/>
        </a:stretch>
      </xdr:blipFill>
      <xdr:spPr>
        <a:xfrm>
          <a:off x="14985999" y="3588668"/>
          <a:ext cx="3443505" cy="1754717"/>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0.54729</cdr:x>
      <cdr:y>0.19806</cdr:y>
    </cdr:from>
    <cdr:to>
      <cdr:x>0.55286</cdr:x>
      <cdr:y>0.38478</cdr:y>
    </cdr:to>
    <cdr:cxnSp macro="">
      <cdr:nvCxnSpPr>
        <cdr:cNvPr id="3" name="Straight Arrow Connector 2">
          <a:extLst xmlns:a="http://schemas.openxmlformats.org/drawingml/2006/main">
            <a:ext uri="{FF2B5EF4-FFF2-40B4-BE49-F238E27FC236}">
              <a16:creationId xmlns:a16="http://schemas.microsoft.com/office/drawing/2014/main" id="{9535583A-1C67-1891-D297-09558B5BD92B}"/>
            </a:ext>
          </a:extLst>
        </cdr:cNvPr>
        <cdr:cNvCxnSpPr/>
      </cdr:nvCxnSpPr>
      <cdr:spPr>
        <a:xfrm xmlns:a="http://schemas.openxmlformats.org/drawingml/2006/main">
          <a:off x="3742323" y="788071"/>
          <a:ext cx="38100" cy="74295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0.12444</cdr:x>
      <cdr:y>0.14682</cdr:y>
    </cdr:from>
    <cdr:to>
      <cdr:x>0.43228</cdr:x>
      <cdr:y>0.25694</cdr:y>
    </cdr:to>
    <cdr:sp macro="" textlink="">
      <cdr:nvSpPr>
        <cdr:cNvPr id="4" name="TextBox 11">
          <a:extLst xmlns:a="http://schemas.openxmlformats.org/drawingml/2006/main">
            <a:ext uri="{FF2B5EF4-FFF2-40B4-BE49-F238E27FC236}">
              <a16:creationId xmlns:a16="http://schemas.microsoft.com/office/drawing/2014/main" id="{57F298E7-44B6-3058-449E-F0A4C638BE25}"/>
            </a:ext>
          </a:extLst>
        </cdr:cNvPr>
        <cdr:cNvSpPr txBox="1"/>
      </cdr:nvSpPr>
      <cdr:spPr>
        <a:xfrm xmlns:a="http://schemas.openxmlformats.org/drawingml/2006/main">
          <a:off x="850900" y="584200"/>
          <a:ext cx="2105025" cy="43815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solidFill>
                <a:schemeClr val="tx1"/>
              </a:solidFill>
            </a:rPr>
            <a:t>4/5/22: Musk announces</a:t>
          </a:r>
          <a:r>
            <a:rPr lang="en-US" sz="1100" baseline="0">
              <a:solidFill>
                <a:schemeClr val="tx1"/>
              </a:solidFill>
            </a:rPr>
            <a:t> he will join Twitter's board of directors</a:t>
          </a:r>
        </a:p>
      </cdr:txBody>
    </cdr:sp>
  </cdr:relSizeAnchor>
  <cdr:relSizeAnchor xmlns:cdr="http://schemas.openxmlformats.org/drawingml/2006/chartDrawing">
    <cdr:from>
      <cdr:x>0.35706</cdr:x>
      <cdr:y>0.80034</cdr:y>
    </cdr:from>
    <cdr:to>
      <cdr:x>0.59387</cdr:x>
      <cdr:y>0.91012</cdr:y>
    </cdr:to>
    <cdr:sp macro="" textlink="">
      <cdr:nvSpPr>
        <cdr:cNvPr id="5" name="TextBox 18">
          <a:extLst xmlns:a="http://schemas.openxmlformats.org/drawingml/2006/main">
            <a:ext uri="{FF2B5EF4-FFF2-40B4-BE49-F238E27FC236}">
              <a16:creationId xmlns:a16="http://schemas.microsoft.com/office/drawing/2014/main" id="{61928C67-ABFD-2BFF-DD13-2EF02A1A3B2A}"/>
            </a:ext>
          </a:extLst>
        </cdr:cNvPr>
        <cdr:cNvSpPr txBox="1"/>
      </cdr:nvSpPr>
      <cdr:spPr>
        <a:xfrm xmlns:a="http://schemas.openxmlformats.org/drawingml/2006/main">
          <a:off x="2441575" y="3184525"/>
          <a:ext cx="1619250" cy="43678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solidFill>
                <a:schemeClr val="tx1"/>
              </a:solidFill>
            </a:rPr>
            <a:t>4/13/22: Musk launches</a:t>
          </a:r>
          <a:r>
            <a:rPr lang="en-US" sz="1100" baseline="0">
              <a:solidFill>
                <a:schemeClr val="tx1"/>
              </a:solidFill>
            </a:rPr>
            <a:t> his hostile takeover bid</a:t>
          </a:r>
          <a:endParaRPr lang="en-US" sz="1100">
            <a:solidFill>
              <a:schemeClr val="tx1"/>
            </a:solidFill>
          </a:endParaRPr>
        </a:p>
      </cdr:txBody>
    </cdr:sp>
  </cdr:relSizeAnchor>
  <cdr:relSizeAnchor xmlns:cdr="http://schemas.openxmlformats.org/drawingml/2006/chartDrawing">
    <cdr:from>
      <cdr:x>0.49157</cdr:x>
      <cdr:y>0.43505</cdr:y>
    </cdr:from>
    <cdr:to>
      <cdr:x>0.51107</cdr:x>
      <cdr:y>0.79174</cdr:y>
    </cdr:to>
    <cdr:cxnSp macro="">
      <cdr:nvCxnSpPr>
        <cdr:cNvPr id="6" name="Straight Arrow Connector 5">
          <a:extLst xmlns:a="http://schemas.openxmlformats.org/drawingml/2006/main">
            <a:ext uri="{FF2B5EF4-FFF2-40B4-BE49-F238E27FC236}">
              <a16:creationId xmlns:a16="http://schemas.microsoft.com/office/drawing/2014/main" id="{882F3AD5-16C3-EFB1-2037-18E9FACEF9AF}"/>
            </a:ext>
          </a:extLst>
        </cdr:cNvPr>
        <cdr:cNvCxnSpPr/>
      </cdr:nvCxnSpPr>
      <cdr:spPr>
        <a:xfrm xmlns:a="http://schemas.openxmlformats.org/drawingml/2006/main" flipH="1" flipV="1">
          <a:off x="3361323" y="1731046"/>
          <a:ext cx="133350" cy="1419225"/>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0.64154</cdr:x>
      <cdr:y>0.34764</cdr:y>
    </cdr:from>
    <cdr:to>
      <cdr:x>0.68059</cdr:x>
      <cdr:y>0.50114</cdr:y>
    </cdr:to>
    <cdr:cxnSp macro="">
      <cdr:nvCxnSpPr>
        <cdr:cNvPr id="5" name="Straight Arrow Connector 4">
          <a:extLst xmlns:a="http://schemas.openxmlformats.org/drawingml/2006/main">
            <a:ext uri="{FF2B5EF4-FFF2-40B4-BE49-F238E27FC236}">
              <a16:creationId xmlns:a16="http://schemas.microsoft.com/office/drawing/2014/main" id="{E197B877-2351-803F-5F3B-5A704DD3BE0A}"/>
            </a:ext>
          </a:extLst>
        </cdr:cNvPr>
        <cdr:cNvCxnSpPr/>
      </cdr:nvCxnSpPr>
      <cdr:spPr>
        <a:xfrm xmlns:a="http://schemas.openxmlformats.org/drawingml/2006/main" flipH="1">
          <a:off x="4380998" y="1380624"/>
          <a:ext cx="266700" cy="60960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5.xml><?xml version="1.0" encoding="utf-8"?>
<c:userShapes xmlns:c="http://schemas.openxmlformats.org/drawingml/2006/chart">
  <cdr:relSizeAnchor xmlns:cdr="http://schemas.openxmlformats.org/drawingml/2006/chartDrawing">
    <cdr:from>
      <cdr:x>0.54729</cdr:x>
      <cdr:y>0.19806</cdr:y>
    </cdr:from>
    <cdr:to>
      <cdr:x>0.55286</cdr:x>
      <cdr:y>0.38478</cdr:y>
    </cdr:to>
    <cdr:cxnSp macro="">
      <cdr:nvCxnSpPr>
        <cdr:cNvPr id="3" name="Straight Arrow Connector 2">
          <a:extLst xmlns:a="http://schemas.openxmlformats.org/drawingml/2006/main">
            <a:ext uri="{FF2B5EF4-FFF2-40B4-BE49-F238E27FC236}">
              <a16:creationId xmlns:a16="http://schemas.microsoft.com/office/drawing/2014/main" id="{9535583A-1C67-1891-D297-09558B5BD92B}"/>
            </a:ext>
          </a:extLst>
        </cdr:cNvPr>
        <cdr:cNvCxnSpPr/>
      </cdr:nvCxnSpPr>
      <cdr:spPr>
        <a:xfrm xmlns:a="http://schemas.openxmlformats.org/drawingml/2006/main">
          <a:off x="3742323" y="788071"/>
          <a:ext cx="38100" cy="74295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0.12444</cdr:x>
      <cdr:y>0.14682</cdr:y>
    </cdr:from>
    <cdr:to>
      <cdr:x>0.43228</cdr:x>
      <cdr:y>0.25694</cdr:y>
    </cdr:to>
    <cdr:sp macro="" textlink="">
      <cdr:nvSpPr>
        <cdr:cNvPr id="4" name="TextBox 11">
          <a:extLst xmlns:a="http://schemas.openxmlformats.org/drawingml/2006/main">
            <a:ext uri="{FF2B5EF4-FFF2-40B4-BE49-F238E27FC236}">
              <a16:creationId xmlns:a16="http://schemas.microsoft.com/office/drawing/2014/main" id="{57F298E7-44B6-3058-449E-F0A4C638BE25}"/>
            </a:ext>
          </a:extLst>
        </cdr:cNvPr>
        <cdr:cNvSpPr txBox="1"/>
      </cdr:nvSpPr>
      <cdr:spPr>
        <a:xfrm xmlns:a="http://schemas.openxmlformats.org/drawingml/2006/main">
          <a:off x="850900" y="584200"/>
          <a:ext cx="2105025" cy="43815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solidFill>
                <a:schemeClr val="tx1"/>
              </a:solidFill>
            </a:rPr>
            <a:t>4/5/22: Musk announces</a:t>
          </a:r>
          <a:r>
            <a:rPr lang="en-US" sz="1100" baseline="0">
              <a:solidFill>
                <a:schemeClr val="tx1"/>
              </a:solidFill>
            </a:rPr>
            <a:t> he will join Twitter's board of directors</a:t>
          </a:r>
        </a:p>
      </cdr:txBody>
    </cdr:sp>
  </cdr:relSizeAnchor>
  <cdr:relSizeAnchor xmlns:cdr="http://schemas.openxmlformats.org/drawingml/2006/chartDrawing">
    <cdr:from>
      <cdr:x>0.35706</cdr:x>
      <cdr:y>0.80034</cdr:y>
    </cdr:from>
    <cdr:to>
      <cdr:x>0.59387</cdr:x>
      <cdr:y>0.91012</cdr:y>
    </cdr:to>
    <cdr:sp macro="" textlink="">
      <cdr:nvSpPr>
        <cdr:cNvPr id="5" name="TextBox 18">
          <a:extLst xmlns:a="http://schemas.openxmlformats.org/drawingml/2006/main">
            <a:ext uri="{FF2B5EF4-FFF2-40B4-BE49-F238E27FC236}">
              <a16:creationId xmlns:a16="http://schemas.microsoft.com/office/drawing/2014/main" id="{61928C67-ABFD-2BFF-DD13-2EF02A1A3B2A}"/>
            </a:ext>
          </a:extLst>
        </cdr:cNvPr>
        <cdr:cNvSpPr txBox="1"/>
      </cdr:nvSpPr>
      <cdr:spPr>
        <a:xfrm xmlns:a="http://schemas.openxmlformats.org/drawingml/2006/main">
          <a:off x="2441575" y="3184525"/>
          <a:ext cx="1619250" cy="43678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1100">
              <a:solidFill>
                <a:schemeClr val="tx1"/>
              </a:solidFill>
            </a:rPr>
            <a:t>4/13/22: Musk launches</a:t>
          </a:r>
          <a:r>
            <a:rPr lang="en-US" sz="1100" baseline="0">
              <a:solidFill>
                <a:schemeClr val="tx1"/>
              </a:solidFill>
            </a:rPr>
            <a:t> his hostile takeover bid</a:t>
          </a:r>
          <a:endParaRPr lang="en-US" sz="1100">
            <a:solidFill>
              <a:schemeClr val="tx1"/>
            </a:solidFill>
          </a:endParaRPr>
        </a:p>
      </cdr:txBody>
    </cdr:sp>
  </cdr:relSizeAnchor>
  <cdr:relSizeAnchor xmlns:cdr="http://schemas.openxmlformats.org/drawingml/2006/chartDrawing">
    <cdr:from>
      <cdr:x>0.49157</cdr:x>
      <cdr:y>0.43505</cdr:y>
    </cdr:from>
    <cdr:to>
      <cdr:x>0.51107</cdr:x>
      <cdr:y>0.79174</cdr:y>
    </cdr:to>
    <cdr:cxnSp macro="">
      <cdr:nvCxnSpPr>
        <cdr:cNvPr id="6" name="Straight Arrow Connector 5">
          <a:extLst xmlns:a="http://schemas.openxmlformats.org/drawingml/2006/main">
            <a:ext uri="{FF2B5EF4-FFF2-40B4-BE49-F238E27FC236}">
              <a16:creationId xmlns:a16="http://schemas.microsoft.com/office/drawing/2014/main" id="{882F3AD5-16C3-EFB1-2037-18E9FACEF9AF}"/>
            </a:ext>
          </a:extLst>
        </cdr:cNvPr>
        <cdr:cNvCxnSpPr/>
      </cdr:nvCxnSpPr>
      <cdr:spPr>
        <a:xfrm xmlns:a="http://schemas.openxmlformats.org/drawingml/2006/main" flipH="1" flipV="1">
          <a:off x="3361323" y="1731046"/>
          <a:ext cx="133350" cy="1419225"/>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6.xml><?xml version="1.0" encoding="utf-8"?>
<c:userShapes xmlns:c="http://schemas.openxmlformats.org/drawingml/2006/chart">
  <cdr:relSizeAnchor xmlns:cdr="http://schemas.openxmlformats.org/drawingml/2006/chartDrawing">
    <cdr:from>
      <cdr:x>0.62255</cdr:x>
      <cdr:y>0.34764</cdr:y>
    </cdr:from>
    <cdr:to>
      <cdr:x>0.6616</cdr:x>
      <cdr:y>0.50114</cdr:y>
    </cdr:to>
    <cdr:cxnSp macro="">
      <cdr:nvCxnSpPr>
        <cdr:cNvPr id="5" name="Straight Arrow Connector 4">
          <a:extLst xmlns:a="http://schemas.openxmlformats.org/drawingml/2006/main">
            <a:ext uri="{FF2B5EF4-FFF2-40B4-BE49-F238E27FC236}">
              <a16:creationId xmlns:a16="http://schemas.microsoft.com/office/drawing/2014/main" id="{E197B877-2351-803F-5F3B-5A704DD3BE0A}"/>
            </a:ext>
          </a:extLst>
        </cdr:cNvPr>
        <cdr:cNvCxnSpPr/>
      </cdr:nvCxnSpPr>
      <cdr:spPr>
        <a:xfrm xmlns:a="http://schemas.openxmlformats.org/drawingml/2006/main" flipH="1">
          <a:off x="4515107" y="1318763"/>
          <a:ext cx="283212" cy="582298"/>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7.xml><?xml version="1.0" encoding="utf-8"?>
<xdr:wsDr xmlns:xdr="http://schemas.openxmlformats.org/drawingml/2006/spreadsheetDrawing" xmlns:a="http://schemas.openxmlformats.org/drawingml/2006/main">
  <xdr:twoCellAnchor>
    <xdr:from>
      <xdr:col>9</xdr:col>
      <xdr:colOff>1</xdr:colOff>
      <xdr:row>1</xdr:row>
      <xdr:rowOff>152401</xdr:rowOff>
    </xdr:from>
    <xdr:to>
      <xdr:col>20</xdr:col>
      <xdr:colOff>19051</xdr:colOff>
      <xdr:row>18</xdr:row>
      <xdr:rowOff>171450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21</xdr:row>
      <xdr:rowOff>0</xdr:rowOff>
    </xdr:from>
    <xdr:to>
      <xdr:col>25</xdr:col>
      <xdr:colOff>19051</xdr:colOff>
      <xdr:row>36</xdr:row>
      <xdr:rowOff>4762</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16</xdr:col>
      <xdr:colOff>0</xdr:colOff>
      <xdr:row>30</xdr:row>
      <xdr:rowOff>0</xdr:rowOff>
    </xdr:from>
    <xdr:to>
      <xdr:col>22</xdr:col>
      <xdr:colOff>25134</xdr:colOff>
      <xdr:row>43</xdr:row>
      <xdr:rowOff>171449</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10</xdr:col>
      <xdr:colOff>0</xdr:colOff>
      <xdr:row>39</xdr:row>
      <xdr:rowOff>0</xdr:rowOff>
    </xdr:from>
    <xdr:to>
      <xdr:col>15</xdr:col>
      <xdr:colOff>359568</xdr:colOff>
      <xdr:row>53</xdr:row>
      <xdr:rowOff>85202</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oope\Downloads\Twitter%20LBO%20Case%20Study%20(Exhibits%20July%2019%20Review)%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Twitter Historical Data"/>
      <sheetName val="Exhibit 3"/>
      <sheetName val="Exhibit 5"/>
      <sheetName val="Exhibit 6 Best (Student)"/>
      <sheetName val="Exhibit 6 Best (Instructor)"/>
      <sheetName val="Exhibit 6 Base (Instructor)"/>
      <sheetName val="Exhibit 6 Worst (Instructor)"/>
      <sheetName val="Trading Multiple Valuation"/>
      <sheetName val="Exhibit 7"/>
    </sheetNames>
    <sheetDataSet>
      <sheetData sheetId="0"/>
      <sheetData sheetId="1">
        <row r="25">
          <cell r="D25">
            <v>2186.5500000000002</v>
          </cell>
        </row>
        <row r="26">
          <cell r="D26">
            <v>4207.13</v>
          </cell>
        </row>
        <row r="34">
          <cell r="D34">
            <v>0</v>
          </cell>
        </row>
        <row r="36">
          <cell r="D36">
            <v>3559.0230000000001</v>
          </cell>
        </row>
        <row r="37">
          <cell r="D37">
            <v>693.99599999999998</v>
          </cell>
        </row>
      </sheetData>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4ACB-6D4B-43CD-8AB0-47BA265D12DA}">
  <dimension ref="A1:J12"/>
  <sheetViews>
    <sheetView showGridLines="0" topLeftCell="A2" workbookViewId="0">
      <selection activeCell="A10" sqref="A10:B10"/>
    </sheetView>
  </sheetViews>
  <sheetFormatPr defaultRowHeight="14.5" x14ac:dyDescent="0.35"/>
  <cols>
    <col min="1" max="1" width="20" customWidth="1"/>
    <col min="2" max="2" width="58.7265625" customWidth="1"/>
  </cols>
  <sheetData>
    <row r="1" spans="1:10" ht="106.5" customHeight="1" x14ac:dyDescent="0.35">
      <c r="A1" s="243"/>
      <c r="B1" s="243"/>
      <c r="C1" s="244"/>
      <c r="D1" s="244"/>
      <c r="E1" s="244"/>
      <c r="F1" s="244"/>
      <c r="G1" s="244"/>
      <c r="H1" s="244"/>
      <c r="I1" s="244"/>
      <c r="J1" s="244"/>
    </row>
    <row r="3" spans="1:10" x14ac:dyDescent="0.35">
      <c r="A3" s="132" t="s">
        <v>173</v>
      </c>
      <c r="B3" s="133" t="s">
        <v>178</v>
      </c>
    </row>
    <row r="4" spans="1:10" ht="29" x14ac:dyDescent="0.35">
      <c r="A4" s="132" t="s">
        <v>174</v>
      </c>
      <c r="B4" s="134" t="s">
        <v>179</v>
      </c>
    </row>
    <row r="5" spans="1:10" ht="31.5" customHeight="1" x14ac:dyDescent="0.35">
      <c r="A5" s="132"/>
      <c r="B5" s="134" t="s">
        <v>180</v>
      </c>
    </row>
    <row r="6" spans="1:10" x14ac:dyDescent="0.35">
      <c r="A6" s="132" t="s">
        <v>175</v>
      </c>
      <c r="B6" s="134" t="s">
        <v>182</v>
      </c>
    </row>
    <row r="8" spans="1:10" x14ac:dyDescent="0.35">
      <c r="A8" s="135" t="s">
        <v>176</v>
      </c>
      <c r="B8" s="136">
        <v>44971</v>
      </c>
    </row>
    <row r="10" spans="1:10" ht="104.25" customHeight="1" x14ac:dyDescent="0.35">
      <c r="A10" s="245" t="s">
        <v>177</v>
      </c>
      <c r="B10" s="245"/>
      <c r="C10" s="131"/>
      <c r="D10" s="131"/>
      <c r="E10" s="131"/>
      <c r="F10" s="131"/>
      <c r="G10" s="131"/>
    </row>
    <row r="11" spans="1:10" x14ac:dyDescent="0.35">
      <c r="A11" s="135"/>
    </row>
    <row r="12" spans="1:10" x14ac:dyDescent="0.35">
      <c r="A12" s="246" t="s">
        <v>181</v>
      </c>
      <c r="B12" s="247"/>
    </row>
  </sheetData>
  <sheetProtection algorithmName="SHA-512" hashValue="M3FyWdv+XiEUKkugGmb5tt/tKa8chKEwomZrb5eEYJnBz0NFP87LRJkabPOhooZsJ8pm3wFyl7mVodAtwEDcsw==" saltValue="KMUu91uYn+hzotlOP9/SrQ==" spinCount="100000" sheet="1" objects="1" scenarios="1" selectLockedCells="1" selectUnlockedCells="1"/>
  <mergeCells count="4">
    <mergeCell ref="A1:B1"/>
    <mergeCell ref="C1:J1"/>
    <mergeCell ref="A10:B10"/>
    <mergeCell ref="A12:B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094BC-8A65-48C3-8573-4CD031171E4E}">
  <dimension ref="A1:AG491"/>
  <sheetViews>
    <sheetView topLeftCell="F20" zoomScale="137" zoomScaleNormal="90" workbookViewId="0">
      <selection activeCell="U41" sqref="U41"/>
    </sheetView>
  </sheetViews>
  <sheetFormatPr defaultColWidth="9.08984375" defaultRowHeight="14" x14ac:dyDescent="0.3"/>
  <cols>
    <col min="1" max="1" width="13.7265625" style="1" customWidth="1"/>
    <col min="2" max="2" width="13.08984375" style="1" customWidth="1"/>
    <col min="3" max="3" width="12.7265625" style="1" customWidth="1"/>
    <col min="4" max="4" width="13.36328125" style="1" customWidth="1"/>
    <col min="5" max="5" width="15.6328125" style="1" customWidth="1"/>
    <col min="6" max="6" width="17.08984375" style="1" customWidth="1"/>
    <col min="7" max="7" width="16" style="1" customWidth="1"/>
    <col min="8" max="8" width="3.08984375" style="1" customWidth="1"/>
    <col min="9" max="9" width="10.36328125" style="1" customWidth="1"/>
    <col min="10" max="10" width="9.81640625" style="1" bestFit="1" customWidth="1"/>
    <col min="11" max="16384" width="9.08984375" style="1"/>
  </cols>
  <sheetData>
    <row r="1" spans="1:33" ht="15.5" x14ac:dyDescent="0.35">
      <c r="A1" s="250" t="s">
        <v>170</v>
      </c>
      <c r="B1" s="250"/>
      <c r="C1" s="250"/>
      <c r="D1" s="250"/>
      <c r="E1" s="250"/>
      <c r="F1" s="250"/>
      <c r="G1" s="250"/>
      <c r="H1" s="250"/>
      <c r="I1" s="250"/>
      <c r="J1" s="250"/>
      <c r="K1" s="250"/>
      <c r="L1" s="250"/>
      <c r="M1" s="250"/>
      <c r="N1" s="250"/>
      <c r="O1" s="250"/>
      <c r="P1" s="250"/>
      <c r="Q1" s="250"/>
      <c r="R1" s="250"/>
      <c r="S1" s="250"/>
      <c r="T1" s="250"/>
      <c r="U1" s="250"/>
      <c r="V1" s="250"/>
      <c r="W1" s="250"/>
      <c r="X1" s="250"/>
      <c r="Y1" s="250"/>
      <c r="Z1" s="250"/>
      <c r="AA1" s="250"/>
      <c r="AB1" s="250"/>
      <c r="AC1" s="250"/>
      <c r="AD1" s="250"/>
      <c r="AE1" s="250"/>
      <c r="AF1" s="250"/>
      <c r="AG1" s="250"/>
    </row>
    <row r="3" spans="1:33" ht="28" x14ac:dyDescent="0.3">
      <c r="A3" s="55" t="s">
        <v>16</v>
      </c>
      <c r="B3" s="128" t="s">
        <v>99</v>
      </c>
      <c r="C3" s="128" t="s">
        <v>100</v>
      </c>
      <c r="D3" s="128" t="s">
        <v>101</v>
      </c>
      <c r="E3" s="128" t="s">
        <v>102</v>
      </c>
      <c r="F3" s="128" t="s">
        <v>103</v>
      </c>
      <c r="G3" s="128" t="s">
        <v>104</v>
      </c>
      <c r="H3" s="91"/>
    </row>
    <row r="4" spans="1:33" x14ac:dyDescent="0.3">
      <c r="A4" s="3">
        <v>44593</v>
      </c>
      <c r="B4" s="4">
        <v>931.25</v>
      </c>
      <c r="C4" s="4">
        <f>B4/$B$4</f>
        <v>1</v>
      </c>
      <c r="D4" s="4">
        <v>38.119999</v>
      </c>
      <c r="E4" s="4">
        <f>D4/$D$4</f>
        <v>1</v>
      </c>
      <c r="F4" s="4">
        <v>414.99230999999997</v>
      </c>
      <c r="G4" s="4">
        <f>F4/$F$4</f>
        <v>1</v>
      </c>
    </row>
    <row r="5" spans="1:33" x14ac:dyDescent="0.3">
      <c r="A5" s="3">
        <v>44594</v>
      </c>
      <c r="B5" s="4">
        <v>905.65997300000004</v>
      </c>
      <c r="C5" s="4">
        <f t="shared" ref="C5:C68" si="0">B5/$B$4</f>
        <v>0.972520776375839</v>
      </c>
      <c r="D5" s="4">
        <v>36.509998000000003</v>
      </c>
      <c r="E5" s="4">
        <f t="shared" ref="E5:E68" si="1">D5/$D$4</f>
        <v>0.95776492543979352</v>
      </c>
      <c r="F5" s="4">
        <v>418.94897500000002</v>
      </c>
      <c r="G5" s="4">
        <f t="shared" ref="G5:G68" si="2">F5/$F$4</f>
        <v>1.0095343092020188</v>
      </c>
    </row>
    <row r="6" spans="1:33" x14ac:dyDescent="0.3">
      <c r="A6" s="3">
        <v>44595</v>
      </c>
      <c r="B6" s="4">
        <v>891.14001499999995</v>
      </c>
      <c r="C6" s="4">
        <f t="shared" si="0"/>
        <v>0.95692887516778513</v>
      </c>
      <c r="D6" s="4">
        <v>34.479999999999997</v>
      </c>
      <c r="E6" s="4">
        <f t="shared" si="1"/>
        <v>0.90451209088436746</v>
      </c>
      <c r="F6" s="4">
        <v>409.21176100000002</v>
      </c>
      <c r="G6" s="4">
        <f t="shared" si="2"/>
        <v>0.9860707081536042</v>
      </c>
    </row>
    <row r="7" spans="1:33" x14ac:dyDescent="0.3">
      <c r="A7" s="3">
        <v>44596</v>
      </c>
      <c r="B7" s="4">
        <v>923.32000700000003</v>
      </c>
      <c r="C7" s="4">
        <f t="shared" si="0"/>
        <v>0.99148457127516787</v>
      </c>
      <c r="D7" s="4">
        <v>36.939999</v>
      </c>
      <c r="E7" s="4">
        <f t="shared" si="1"/>
        <v>0.96904511985952568</v>
      </c>
      <c r="F7" s="4">
        <v>411.13528400000001</v>
      </c>
      <c r="G7" s="4">
        <f t="shared" si="2"/>
        <v>0.99070578922293773</v>
      </c>
    </row>
    <row r="8" spans="1:33" x14ac:dyDescent="0.3">
      <c r="A8" s="3">
        <v>44599</v>
      </c>
      <c r="B8" s="4">
        <v>907.34002699999996</v>
      </c>
      <c r="C8" s="4">
        <f t="shared" si="0"/>
        <v>0.97432486120805362</v>
      </c>
      <c r="D8" s="4">
        <v>36.040000999999997</v>
      </c>
      <c r="E8" s="4">
        <f t="shared" si="1"/>
        <v>0.94543551798099457</v>
      </c>
      <c r="F8" s="4">
        <v>409.779877</v>
      </c>
      <c r="G8" s="4">
        <f t="shared" si="2"/>
        <v>0.98743968773782831</v>
      </c>
    </row>
    <row r="9" spans="1:33" x14ac:dyDescent="0.3">
      <c r="A9" s="3">
        <v>44600</v>
      </c>
      <c r="B9" s="4">
        <v>922</v>
      </c>
      <c r="C9" s="4">
        <f t="shared" si="0"/>
        <v>0.99006711409395975</v>
      </c>
      <c r="D9" s="4">
        <v>35.979999999999997</v>
      </c>
      <c r="E9" s="4">
        <f t="shared" si="1"/>
        <v>0.94386151479175007</v>
      </c>
      <c r="F9" s="4">
        <v>413.09866299999999</v>
      </c>
      <c r="G9" s="4">
        <f t="shared" si="2"/>
        <v>0.99543691062612705</v>
      </c>
    </row>
    <row r="10" spans="1:33" x14ac:dyDescent="0.3">
      <c r="A10" s="3">
        <v>44601</v>
      </c>
      <c r="B10" s="4">
        <v>932</v>
      </c>
      <c r="C10" s="4">
        <f t="shared" si="0"/>
        <v>1.0008053691275167</v>
      </c>
      <c r="D10" s="4">
        <v>37.830002</v>
      </c>
      <c r="E10" s="4">
        <f t="shared" si="1"/>
        <v>0.99239252341008721</v>
      </c>
      <c r="F10" s="4">
        <v>419.15829500000001</v>
      </c>
      <c r="G10" s="4">
        <f t="shared" si="2"/>
        <v>1.0100387040906855</v>
      </c>
    </row>
    <row r="11" spans="1:33" x14ac:dyDescent="0.3">
      <c r="A11" s="3">
        <v>44602</v>
      </c>
      <c r="B11" s="4">
        <v>904.54998799999998</v>
      </c>
      <c r="C11" s="4">
        <f t="shared" si="0"/>
        <v>0.97132884617449666</v>
      </c>
      <c r="D11" s="4">
        <v>37.080002</v>
      </c>
      <c r="E11" s="4">
        <f t="shared" si="1"/>
        <v>0.97271781145639591</v>
      </c>
      <c r="F11" s="4">
        <v>411.79306000000003</v>
      </c>
      <c r="G11" s="4"/>
    </row>
    <row r="12" spans="1:33" x14ac:dyDescent="0.3">
      <c r="A12" s="3">
        <v>44603</v>
      </c>
      <c r="B12" s="4">
        <v>860</v>
      </c>
      <c r="C12" s="4">
        <f t="shared" si="0"/>
        <v>0.92348993288590608</v>
      </c>
      <c r="D12" s="4">
        <v>35.840000000000003</v>
      </c>
      <c r="E12" s="4">
        <f t="shared" si="1"/>
        <v>0.94018890189372784</v>
      </c>
      <c r="F12" s="4">
        <v>403.58075000000002</v>
      </c>
      <c r="G12" s="4">
        <f t="shared" si="2"/>
        <v>0.97250175551445772</v>
      </c>
    </row>
    <row r="13" spans="1:33" x14ac:dyDescent="0.3">
      <c r="A13" s="3">
        <v>44606</v>
      </c>
      <c r="B13" s="4">
        <v>875.76000999999997</v>
      </c>
      <c r="C13" s="4">
        <f t="shared" si="0"/>
        <v>0.94041343355704698</v>
      </c>
      <c r="D13" s="4">
        <v>35.689999</v>
      </c>
      <c r="E13" s="4">
        <f t="shared" si="1"/>
        <v>0.93625393327004025</v>
      </c>
      <c r="F13" s="4">
        <v>402.26516700000002</v>
      </c>
      <c r="G13" s="4">
        <f t="shared" si="2"/>
        <v>0.96933161725334149</v>
      </c>
    </row>
    <row r="14" spans="1:33" x14ac:dyDescent="0.3">
      <c r="A14" s="3">
        <v>44607</v>
      </c>
      <c r="B14" s="4">
        <v>922.42999299999997</v>
      </c>
      <c r="C14" s="4">
        <f t="shared" si="0"/>
        <v>0.99052885154362413</v>
      </c>
      <c r="D14" s="4">
        <v>36.979999999999997</v>
      </c>
      <c r="E14" s="4">
        <f t="shared" si="1"/>
        <v>0.97009446406333844</v>
      </c>
      <c r="F14" s="4">
        <v>408.72341899999998</v>
      </c>
      <c r="G14" s="4">
        <f t="shared" si="2"/>
        <v>0.98489395863745044</v>
      </c>
    </row>
    <row r="15" spans="1:33" x14ac:dyDescent="0.3">
      <c r="A15" s="3">
        <v>44608</v>
      </c>
      <c r="B15" s="4">
        <v>923.39001499999995</v>
      </c>
      <c r="C15" s="4">
        <f t="shared" si="0"/>
        <v>0.99155974765100663</v>
      </c>
      <c r="D15" s="4">
        <v>36.240001999999997</v>
      </c>
      <c r="E15" s="4">
        <f t="shared" si="1"/>
        <v>0.95068213406826152</v>
      </c>
      <c r="F15" s="4">
        <v>409.21176100000002</v>
      </c>
      <c r="G15" s="4">
        <f t="shared" si="2"/>
        <v>0.9860707081536042</v>
      </c>
    </row>
    <row r="16" spans="1:33" x14ac:dyDescent="0.3">
      <c r="A16" s="3">
        <v>44609</v>
      </c>
      <c r="B16" s="4">
        <v>876.34997599999997</v>
      </c>
      <c r="C16" s="4">
        <f t="shared" si="0"/>
        <v>0.94104695409395966</v>
      </c>
      <c r="D16" s="4">
        <v>35.43</v>
      </c>
      <c r="E16" s="4">
        <f t="shared" si="1"/>
        <v>0.92943339269237646</v>
      </c>
      <c r="F16" s="4">
        <v>400.511078</v>
      </c>
      <c r="G16" s="4">
        <f t="shared" si="2"/>
        <v>0.96510481844832263</v>
      </c>
    </row>
    <row r="17" spans="1:7" x14ac:dyDescent="0.3">
      <c r="A17" s="3">
        <v>44610</v>
      </c>
      <c r="B17" s="4">
        <v>856.97997999999995</v>
      </c>
      <c r="C17" s="4">
        <f t="shared" si="0"/>
        <v>0.92024695838926174</v>
      </c>
      <c r="D17" s="4">
        <v>34.32</v>
      </c>
      <c r="E17" s="4">
        <f t="shared" si="1"/>
        <v>0.90031481900091337</v>
      </c>
      <c r="F17" s="4">
        <v>397.94970699999999</v>
      </c>
      <c r="G17" s="4">
        <f t="shared" si="2"/>
        <v>0.95893272576544852</v>
      </c>
    </row>
    <row r="18" spans="1:7" x14ac:dyDescent="0.3">
      <c r="A18" s="3">
        <v>44614</v>
      </c>
      <c r="B18" s="4">
        <v>821.53002900000001</v>
      </c>
      <c r="C18" s="4">
        <f t="shared" si="0"/>
        <v>0.88217989691275167</v>
      </c>
      <c r="D18" s="4">
        <v>32.93</v>
      </c>
      <c r="E18" s="4">
        <f t="shared" si="1"/>
        <v>0.86385101951340559</v>
      </c>
      <c r="F18" s="4">
        <v>393.59439099999997</v>
      </c>
      <c r="G18" s="4">
        <f t="shared" si="2"/>
        <v>0.94843779394369987</v>
      </c>
    </row>
    <row r="19" spans="1:7" x14ac:dyDescent="0.3">
      <c r="A19" s="3">
        <v>44615</v>
      </c>
      <c r="B19" s="4">
        <v>764.03997800000002</v>
      </c>
      <c r="C19" s="4">
        <f t="shared" si="0"/>
        <v>0.82044561395973159</v>
      </c>
      <c r="D19" s="4">
        <v>32.759998000000003</v>
      </c>
      <c r="E19" s="4">
        <f t="shared" si="1"/>
        <v>0.85939136567133712</v>
      </c>
      <c r="F19" s="4">
        <v>386.50824</v>
      </c>
      <c r="G19" s="4">
        <f t="shared" si="2"/>
        <v>0.93136241488426619</v>
      </c>
    </row>
    <row r="20" spans="1:7" x14ac:dyDescent="0.3">
      <c r="A20" s="3">
        <v>44616</v>
      </c>
      <c r="B20" s="4">
        <v>800.77002000000005</v>
      </c>
      <c r="C20" s="4">
        <f t="shared" si="0"/>
        <v>0.85988726979865782</v>
      </c>
      <c r="D20" s="4">
        <v>34.979999999999997</v>
      </c>
      <c r="E20" s="4">
        <f t="shared" si="1"/>
        <v>0.9176285655201617</v>
      </c>
      <c r="F20" s="4">
        <v>392.44821200000001</v>
      </c>
      <c r="G20" s="4">
        <f t="shared" si="2"/>
        <v>0.94567586565640227</v>
      </c>
    </row>
    <row r="21" spans="1:7" x14ac:dyDescent="0.3">
      <c r="A21" s="3">
        <v>44617</v>
      </c>
      <c r="B21" s="4">
        <v>809.86999500000002</v>
      </c>
      <c r="C21" s="4">
        <f t="shared" si="0"/>
        <v>0.86965905503355712</v>
      </c>
      <c r="D21" s="4">
        <v>35.290000999999997</v>
      </c>
      <c r="E21" s="4">
        <f t="shared" si="1"/>
        <v>0.92576080602730337</v>
      </c>
      <c r="F21" s="4">
        <v>401.01934799999998</v>
      </c>
      <c r="G21" s="4">
        <f t="shared" si="2"/>
        <v>0.96632958813140413</v>
      </c>
    </row>
    <row r="22" spans="1:7" x14ac:dyDescent="0.3">
      <c r="A22" s="3">
        <v>44620</v>
      </c>
      <c r="B22" s="4">
        <v>870.42999299999997</v>
      </c>
      <c r="C22" s="4">
        <f t="shared" si="0"/>
        <v>0.93468992536912743</v>
      </c>
      <c r="D22" s="4">
        <v>35.549999</v>
      </c>
      <c r="E22" s="4">
        <f t="shared" si="1"/>
        <v>0.9325813203720178</v>
      </c>
      <c r="F22" s="4">
        <v>400.01275600000002</v>
      </c>
      <c r="G22" s="4">
        <f t="shared" si="2"/>
        <v>0.96390402029377376</v>
      </c>
    </row>
    <row r="23" spans="1:7" x14ac:dyDescent="0.3">
      <c r="A23" s="3">
        <v>44621</v>
      </c>
      <c r="B23" s="4">
        <v>864.36999500000002</v>
      </c>
      <c r="C23" s="4">
        <f t="shared" si="0"/>
        <v>0.92818254496644292</v>
      </c>
      <c r="D23" s="4">
        <v>35.560001</v>
      </c>
      <c r="E23" s="4">
        <f t="shared" si="1"/>
        <v>0.9328437023306323</v>
      </c>
      <c r="F23" s="4">
        <v>394.01297</v>
      </c>
      <c r="G23" s="4">
        <f t="shared" si="2"/>
        <v>0.94944643673035778</v>
      </c>
    </row>
    <row r="24" spans="1:7" x14ac:dyDescent="0.3">
      <c r="A24" s="3">
        <v>44622</v>
      </c>
      <c r="B24" s="4">
        <v>879.89001499999995</v>
      </c>
      <c r="C24" s="4">
        <f t="shared" si="0"/>
        <v>0.94484833825503345</v>
      </c>
      <c r="D24" s="4">
        <v>34.619999</v>
      </c>
      <c r="E24" s="4">
        <f t="shared" si="1"/>
        <v>0.90818467754944066</v>
      </c>
      <c r="F24" s="4">
        <v>401.24859600000002</v>
      </c>
      <c r="G24" s="4">
        <f t="shared" si="2"/>
        <v>0.96688200318699891</v>
      </c>
    </row>
    <row r="25" spans="1:7" x14ac:dyDescent="0.3">
      <c r="A25" s="3">
        <v>44623</v>
      </c>
      <c r="B25" s="4">
        <v>839.28997800000002</v>
      </c>
      <c r="C25" s="4">
        <f t="shared" si="0"/>
        <v>0.90125098308724838</v>
      </c>
      <c r="D25" s="4">
        <v>33.490001999999997</v>
      </c>
      <c r="E25" s="4">
        <f t="shared" si="1"/>
        <v>0.87854152357139348</v>
      </c>
      <c r="F25" s="4">
        <v>399.23535199999998</v>
      </c>
      <c r="G25" s="4">
        <f t="shared" si="2"/>
        <v>0.96203072293074543</v>
      </c>
    </row>
    <row r="26" spans="1:7" x14ac:dyDescent="0.3">
      <c r="A26" s="3">
        <v>44624</v>
      </c>
      <c r="B26" s="4">
        <v>838.28997800000002</v>
      </c>
      <c r="C26" s="4">
        <f t="shared" si="0"/>
        <v>0.90017715758389261</v>
      </c>
      <c r="D26" s="4">
        <v>33.389999000000003</v>
      </c>
      <c r="E26" s="4">
        <f t="shared" si="1"/>
        <v>0.87591814994538697</v>
      </c>
      <c r="F26" s="4">
        <v>396.00625600000001</v>
      </c>
      <c r="G26" s="4">
        <f t="shared" si="2"/>
        <v>0.95424962452918716</v>
      </c>
    </row>
    <row r="27" spans="1:7" x14ac:dyDescent="0.3">
      <c r="A27" s="3">
        <v>44627</v>
      </c>
      <c r="B27" s="4">
        <v>804.580017</v>
      </c>
      <c r="C27" s="4">
        <f t="shared" si="0"/>
        <v>0.86397854174496647</v>
      </c>
      <c r="D27" s="4">
        <v>32.419998</v>
      </c>
      <c r="E27" s="4">
        <f t="shared" si="1"/>
        <v>0.85047216291899697</v>
      </c>
      <c r="F27" s="4">
        <v>384.31561299999998</v>
      </c>
      <c r="G27" s="4">
        <f t="shared" si="2"/>
        <v>0.9260788784254822</v>
      </c>
    </row>
    <row r="28" spans="1:7" x14ac:dyDescent="0.3">
      <c r="A28" s="3">
        <v>44628</v>
      </c>
      <c r="B28" s="4">
        <v>824.40002400000003</v>
      </c>
      <c r="C28" s="4">
        <f t="shared" si="0"/>
        <v>0.88526177073825507</v>
      </c>
      <c r="D28" s="4">
        <v>32.68</v>
      </c>
      <c r="E28" s="4">
        <f t="shared" si="1"/>
        <v>0.85729278219550842</v>
      </c>
      <c r="F28" s="4">
        <v>381.41540500000002</v>
      </c>
      <c r="G28" s="4">
        <f t="shared" si="2"/>
        <v>0.91909029591415814</v>
      </c>
    </row>
    <row r="29" spans="1:7" x14ac:dyDescent="0.3">
      <c r="A29" s="3">
        <v>44629</v>
      </c>
      <c r="B29" s="4">
        <v>858.96997099999999</v>
      </c>
      <c r="C29" s="4">
        <f t="shared" si="0"/>
        <v>0.92238386147651008</v>
      </c>
      <c r="D29" s="4">
        <v>34.369999</v>
      </c>
      <c r="E29" s="4">
        <f t="shared" si="1"/>
        <v>0.90162644023154359</v>
      </c>
      <c r="F29" s="4">
        <v>391.58114599999999</v>
      </c>
      <c r="G29" s="4">
        <f t="shared" si="2"/>
        <v>0.94358651127776327</v>
      </c>
    </row>
    <row r="30" spans="1:7" x14ac:dyDescent="0.3">
      <c r="A30" s="3">
        <v>44630</v>
      </c>
      <c r="B30" s="4">
        <v>838.29998799999998</v>
      </c>
      <c r="C30" s="4">
        <f t="shared" si="0"/>
        <v>0.90018790657718117</v>
      </c>
      <c r="D30" s="4">
        <v>34.119999</v>
      </c>
      <c r="E30" s="4">
        <f t="shared" si="1"/>
        <v>0.89506820291364642</v>
      </c>
      <c r="F30" s="4">
        <v>389.83703600000001</v>
      </c>
      <c r="G30" s="4">
        <f t="shared" si="2"/>
        <v>0.93938375870145652</v>
      </c>
    </row>
    <row r="31" spans="1:7" x14ac:dyDescent="0.3">
      <c r="A31" s="3">
        <v>44631</v>
      </c>
      <c r="B31" s="4">
        <v>795.34997599999997</v>
      </c>
      <c r="C31" s="4">
        <f t="shared" si="0"/>
        <v>0.85406708832214762</v>
      </c>
      <c r="D31" s="4">
        <v>33</v>
      </c>
      <c r="E31" s="4">
        <f t="shared" si="1"/>
        <v>0.86568732596241671</v>
      </c>
      <c r="F31" s="4">
        <v>384.86376999999999</v>
      </c>
      <c r="G31" s="4">
        <f t="shared" si="2"/>
        <v>0.92739976314259898</v>
      </c>
    </row>
    <row r="32" spans="1:7" x14ac:dyDescent="0.3">
      <c r="A32" s="3">
        <v>44634</v>
      </c>
      <c r="B32" s="4">
        <v>766.36999500000002</v>
      </c>
      <c r="C32" s="4">
        <f t="shared" si="0"/>
        <v>0.82294764563758394</v>
      </c>
      <c r="D32" s="4">
        <v>33.029998999999997</v>
      </c>
      <c r="E32" s="4">
        <f t="shared" si="1"/>
        <v>0.86647428820761507</v>
      </c>
      <c r="F32" s="4">
        <v>382.05325299999998</v>
      </c>
      <c r="G32" s="4">
        <f t="shared" si="2"/>
        <v>0.9206273075276985</v>
      </c>
    </row>
    <row r="33" spans="1:19" x14ac:dyDescent="0.3">
      <c r="A33" s="3">
        <v>44635</v>
      </c>
      <c r="B33" s="4">
        <v>801.89001499999995</v>
      </c>
      <c r="C33" s="4">
        <f t="shared" si="0"/>
        <v>0.8610899489932885</v>
      </c>
      <c r="D33" s="4">
        <v>33.970001000000003</v>
      </c>
      <c r="E33" s="4">
        <f t="shared" si="1"/>
        <v>0.89113331298880682</v>
      </c>
      <c r="F33" s="4">
        <v>390.43502799999999</v>
      </c>
      <c r="G33" s="4">
        <f t="shared" si="2"/>
        <v>0.94082472998114108</v>
      </c>
    </row>
    <row r="34" spans="1:19" x14ac:dyDescent="0.3">
      <c r="A34" s="3">
        <v>44636</v>
      </c>
      <c r="B34" s="4">
        <v>840.22997999999995</v>
      </c>
      <c r="C34" s="4">
        <f t="shared" si="0"/>
        <v>0.90226038120805363</v>
      </c>
      <c r="D34" s="4">
        <v>35.369999</v>
      </c>
      <c r="E34" s="4">
        <f t="shared" si="1"/>
        <v>0.92785938950313196</v>
      </c>
      <c r="F34" s="4">
        <v>399.16561899999999</v>
      </c>
      <c r="G34" s="4">
        <f t="shared" si="2"/>
        <v>0.96186268849174583</v>
      </c>
    </row>
    <row r="35" spans="1:19" x14ac:dyDescent="0.3">
      <c r="A35" s="3">
        <v>44637</v>
      </c>
      <c r="B35" s="4">
        <v>871.59997599999997</v>
      </c>
      <c r="C35" s="4">
        <f t="shared" si="0"/>
        <v>0.93594628295302007</v>
      </c>
      <c r="D35" s="4">
        <v>37.299999</v>
      </c>
      <c r="E35" s="4">
        <f t="shared" si="1"/>
        <v>0.97848898159729747</v>
      </c>
      <c r="F35" s="4">
        <v>404.04916400000002</v>
      </c>
      <c r="G35" s="4">
        <f t="shared" si="2"/>
        <v>0.97363048486368353</v>
      </c>
    </row>
    <row r="36" spans="1:19" x14ac:dyDescent="0.3">
      <c r="A36" s="3">
        <v>44638</v>
      </c>
      <c r="B36" s="4">
        <v>905.39001499999995</v>
      </c>
      <c r="C36" s="4">
        <f t="shared" si="0"/>
        <v>0.97223088859060403</v>
      </c>
      <c r="D36" s="4">
        <v>37.770000000000003</v>
      </c>
      <c r="E36" s="4">
        <f t="shared" si="1"/>
        <v>0.99081849398789346</v>
      </c>
      <c r="F36" s="4">
        <v>408.51413000000002</v>
      </c>
      <c r="G36" s="4">
        <f t="shared" si="2"/>
        <v>0.98438963844896321</v>
      </c>
    </row>
    <row r="37" spans="1:19" x14ac:dyDescent="0.3">
      <c r="A37" s="3">
        <v>44641</v>
      </c>
      <c r="B37" s="4">
        <v>921.15997300000004</v>
      </c>
      <c r="C37" s="4">
        <f t="shared" si="0"/>
        <v>0.98916507167785239</v>
      </c>
      <c r="D37" s="4">
        <v>37.439999</v>
      </c>
      <c r="E37" s="4">
        <f t="shared" si="1"/>
        <v>0.98216159449531992</v>
      </c>
      <c r="F37" s="4">
        <v>408.53405800000002</v>
      </c>
      <c r="G37" s="4">
        <f t="shared" si="2"/>
        <v>0.98443765861589105</v>
      </c>
    </row>
    <row r="38" spans="1:19" x14ac:dyDescent="0.3">
      <c r="A38" s="3">
        <v>44642</v>
      </c>
      <c r="B38" s="4">
        <v>993.97997999999995</v>
      </c>
      <c r="C38" s="4">
        <f t="shared" si="0"/>
        <v>1.0673610523489931</v>
      </c>
      <c r="D38" s="4">
        <v>38.43</v>
      </c>
      <c r="E38" s="4">
        <f t="shared" si="1"/>
        <v>1.0081322405071416</v>
      </c>
      <c r="F38" s="4">
        <v>413.27810699999998</v>
      </c>
      <c r="G38" s="4">
        <f t="shared" si="2"/>
        <v>0.99586931381933319</v>
      </c>
    </row>
    <row r="39" spans="1:19" x14ac:dyDescent="0.3">
      <c r="A39" s="3">
        <v>44643</v>
      </c>
      <c r="B39" s="4">
        <v>999.10998500000005</v>
      </c>
      <c r="C39" s="4">
        <f t="shared" si="0"/>
        <v>1.0728697825503357</v>
      </c>
      <c r="D39" s="4">
        <v>38</v>
      </c>
      <c r="E39" s="4">
        <f t="shared" si="1"/>
        <v>0.99685207232035866</v>
      </c>
      <c r="F39" s="4">
        <v>407.95599399999998</v>
      </c>
      <c r="G39" s="4">
        <f t="shared" si="2"/>
        <v>0.98304470750313422</v>
      </c>
    </row>
    <row r="40" spans="1:19" x14ac:dyDescent="0.3">
      <c r="A40" s="3">
        <v>44644</v>
      </c>
      <c r="B40" s="4">
        <v>1013.919983</v>
      </c>
      <c r="C40" s="4">
        <f t="shared" si="0"/>
        <v>1.0887731361073825</v>
      </c>
      <c r="D40" s="4">
        <v>38.82</v>
      </c>
      <c r="E40" s="4">
        <f t="shared" si="1"/>
        <v>1.0183630907230612</v>
      </c>
      <c r="F40" s="4">
        <v>414.01998900000001</v>
      </c>
      <c r="G40" s="4">
        <f t="shared" si="2"/>
        <v>0.99765701441552024</v>
      </c>
    </row>
    <row r="41" spans="1:19" x14ac:dyDescent="0.3">
      <c r="A41" s="3">
        <v>44645</v>
      </c>
      <c r="B41" s="4">
        <v>1010.6400149999999</v>
      </c>
      <c r="C41" s="4">
        <f t="shared" si="0"/>
        <v>1.0852510228187919</v>
      </c>
      <c r="D41" s="4">
        <v>38.599997999999999</v>
      </c>
      <c r="E41" s="4">
        <f t="shared" si="1"/>
        <v>1.0125917894174132</v>
      </c>
      <c r="F41" s="4">
        <v>416.11999500000002</v>
      </c>
      <c r="G41" s="4">
        <f t="shared" si="2"/>
        <v>1.0027173636060871</v>
      </c>
    </row>
    <row r="42" spans="1:19" x14ac:dyDescent="0.3">
      <c r="A42" s="3">
        <v>44648</v>
      </c>
      <c r="B42" s="4">
        <v>1091.839966</v>
      </c>
      <c r="C42" s="4">
        <f t="shared" si="0"/>
        <v>1.1724456010738256</v>
      </c>
      <c r="D42" s="4">
        <v>39.119999</v>
      </c>
      <c r="E42" s="4">
        <f t="shared" si="1"/>
        <v>1.0262329492715885</v>
      </c>
      <c r="F42" s="4">
        <v>418.98998999999998</v>
      </c>
      <c r="G42" s="4">
        <f t="shared" si="2"/>
        <v>1.0096331423587102</v>
      </c>
    </row>
    <row r="43" spans="1:19" x14ac:dyDescent="0.3">
      <c r="A43" s="3">
        <v>44649</v>
      </c>
      <c r="B43" s="4">
        <v>1099.5699460000001</v>
      </c>
      <c r="C43" s="4">
        <f t="shared" si="0"/>
        <v>1.1807462507382551</v>
      </c>
      <c r="D43" s="4">
        <v>40.689999</v>
      </c>
      <c r="E43" s="4">
        <f t="shared" si="1"/>
        <v>1.0674186796279821</v>
      </c>
      <c r="F43" s="4">
        <v>424.290009</v>
      </c>
      <c r="G43" s="4">
        <f t="shared" si="2"/>
        <v>1.0224045091341574</v>
      </c>
    </row>
    <row r="44" spans="1:19" x14ac:dyDescent="0.3">
      <c r="A44" s="3">
        <v>44650</v>
      </c>
      <c r="B44" s="4">
        <v>1093.98999</v>
      </c>
      <c r="C44" s="4">
        <f t="shared" si="0"/>
        <v>1.1747543516778525</v>
      </c>
      <c r="D44" s="4">
        <v>39</v>
      </c>
      <c r="E44" s="4">
        <f t="shared" si="1"/>
        <v>1.0230850215919471</v>
      </c>
      <c r="F44" s="4">
        <v>421.64999399999999</v>
      </c>
      <c r="G44" s="4">
        <f t="shared" si="2"/>
        <v>1.0160429093252354</v>
      </c>
    </row>
    <row r="45" spans="1:19" x14ac:dyDescent="0.3">
      <c r="A45" s="3">
        <v>44651</v>
      </c>
      <c r="B45" s="4">
        <v>1077.599976</v>
      </c>
      <c r="C45" s="4">
        <f t="shared" si="0"/>
        <v>1.1571543366442953</v>
      </c>
      <c r="D45" s="4">
        <v>38.689999</v>
      </c>
      <c r="E45" s="4">
        <f t="shared" si="1"/>
        <v>1.0149527810848054</v>
      </c>
      <c r="F45" s="4">
        <v>415.17001299999998</v>
      </c>
      <c r="G45" s="4">
        <f t="shared" si="2"/>
        <v>1.0004282079347446</v>
      </c>
    </row>
    <row r="46" spans="1:19" x14ac:dyDescent="0.3">
      <c r="A46" s="3">
        <v>44652</v>
      </c>
      <c r="B46" s="4">
        <v>1084.589966</v>
      </c>
      <c r="C46" s="4">
        <f t="shared" si="0"/>
        <v>1.1646603661744968</v>
      </c>
      <c r="D46" s="4">
        <v>39.310001</v>
      </c>
      <c r="E46" s="4">
        <f t="shared" si="1"/>
        <v>1.0312172620990887</v>
      </c>
      <c r="F46" s="4">
        <v>416.32000699999998</v>
      </c>
      <c r="G46" s="4">
        <f t="shared" si="2"/>
        <v>1.0031993291634729</v>
      </c>
    </row>
    <row r="47" spans="1:19" x14ac:dyDescent="0.3">
      <c r="A47" s="3">
        <v>44655</v>
      </c>
      <c r="B47" s="4">
        <v>1145.4499510000001</v>
      </c>
      <c r="C47" s="4">
        <f t="shared" si="0"/>
        <v>1.2300133702013423</v>
      </c>
      <c r="D47" s="4">
        <v>49.970001000000003</v>
      </c>
      <c r="E47" s="4">
        <f t="shared" si="1"/>
        <v>1.3108605013342209</v>
      </c>
      <c r="F47" s="4">
        <v>419.85000600000001</v>
      </c>
      <c r="G47" s="4">
        <f t="shared" si="2"/>
        <v>1.0117055084707474</v>
      </c>
    </row>
    <row r="48" spans="1:19" x14ac:dyDescent="0.3">
      <c r="A48" s="3">
        <v>44656</v>
      </c>
      <c r="B48" s="4">
        <v>1091.26001</v>
      </c>
      <c r="C48" s="4">
        <f t="shared" si="0"/>
        <v>1.1718228295302013</v>
      </c>
      <c r="D48" s="4">
        <v>50.98</v>
      </c>
      <c r="E48" s="4">
        <f t="shared" si="1"/>
        <v>1.3373557538655758</v>
      </c>
      <c r="F48" s="4">
        <v>414.66000400000001</v>
      </c>
      <c r="G48" s="4">
        <f t="shared" si="2"/>
        <v>0.99919924781256797</v>
      </c>
      <c r="I48" s="101"/>
      <c r="J48" s="101"/>
      <c r="K48" s="101"/>
      <c r="L48" s="101"/>
      <c r="M48" s="101"/>
      <c r="N48" s="101"/>
      <c r="O48" s="101"/>
      <c r="P48" s="101"/>
      <c r="Q48" s="101"/>
      <c r="R48" s="101"/>
      <c r="S48" s="101"/>
    </row>
    <row r="49" spans="1:18" x14ac:dyDescent="0.3">
      <c r="A49" s="3">
        <v>44657</v>
      </c>
      <c r="B49" s="4">
        <v>1045.76001</v>
      </c>
      <c r="C49" s="4">
        <f t="shared" si="0"/>
        <v>1.1229637691275167</v>
      </c>
      <c r="D49" s="4">
        <v>50.77</v>
      </c>
      <c r="E49" s="4">
        <f t="shared" si="1"/>
        <v>1.3318468345185424</v>
      </c>
      <c r="F49" s="4">
        <v>410.459991</v>
      </c>
      <c r="G49" s="4">
        <f t="shared" si="2"/>
        <v>0.98907854702175091</v>
      </c>
      <c r="I49" s="249"/>
      <c r="J49" s="249"/>
      <c r="K49" s="249"/>
      <c r="L49" s="249"/>
      <c r="M49" s="249"/>
      <c r="N49" s="249"/>
      <c r="O49" s="249"/>
      <c r="P49" s="249"/>
      <c r="Q49" s="249"/>
      <c r="R49" s="249"/>
    </row>
    <row r="50" spans="1:18" x14ac:dyDescent="0.3">
      <c r="A50" s="3">
        <v>44658</v>
      </c>
      <c r="B50" s="4">
        <v>1057.26001</v>
      </c>
      <c r="C50" s="4">
        <f t="shared" si="0"/>
        <v>1.1353127624161072</v>
      </c>
      <c r="D50" s="4">
        <v>48.029998999999997</v>
      </c>
      <c r="E50" s="4">
        <f t="shared" si="1"/>
        <v>1.2599685272814407</v>
      </c>
      <c r="F50" s="4">
        <v>412.52999899999998</v>
      </c>
      <c r="G50" s="4">
        <f t="shared" si="2"/>
        <v>0.99406661053550605</v>
      </c>
    </row>
    <row r="51" spans="1:18" x14ac:dyDescent="0.3">
      <c r="A51" s="3">
        <v>44659</v>
      </c>
      <c r="B51" s="4">
        <v>1025.48999</v>
      </c>
      <c r="C51" s="4">
        <f t="shared" si="0"/>
        <v>1.1011973046979866</v>
      </c>
      <c r="D51" s="4">
        <v>46.23</v>
      </c>
      <c r="E51" s="4">
        <f t="shared" si="1"/>
        <v>1.212749244825531</v>
      </c>
      <c r="F51" s="4">
        <v>411.52999899999998</v>
      </c>
      <c r="G51" s="4">
        <f t="shared" si="2"/>
        <v>0.99165692732956912</v>
      </c>
    </row>
    <row r="52" spans="1:18" x14ac:dyDescent="0.3">
      <c r="A52" s="3">
        <v>44662</v>
      </c>
      <c r="B52" s="4">
        <v>975.92999299999997</v>
      </c>
      <c r="C52" s="4">
        <f t="shared" si="0"/>
        <v>1.0479785159731543</v>
      </c>
      <c r="D52" s="4">
        <v>47.009998000000003</v>
      </c>
      <c r="E52" s="4">
        <f t="shared" si="1"/>
        <v>1.2332108927914716</v>
      </c>
      <c r="F52" s="4">
        <v>404.39999399999999</v>
      </c>
      <c r="G52" s="4">
        <f t="shared" si="2"/>
        <v>0.97447587402282232</v>
      </c>
    </row>
    <row r="53" spans="1:18" x14ac:dyDescent="0.3">
      <c r="A53" s="3">
        <v>44663</v>
      </c>
      <c r="B53" s="4">
        <v>986.95001200000002</v>
      </c>
      <c r="C53" s="4">
        <f t="shared" si="0"/>
        <v>1.0598120934228188</v>
      </c>
      <c r="D53" s="4">
        <v>44.48</v>
      </c>
      <c r="E53" s="4">
        <f t="shared" si="1"/>
        <v>1.1668415836002513</v>
      </c>
      <c r="F53" s="4">
        <v>402.92001299999998</v>
      </c>
      <c r="G53" s="4">
        <f t="shared" si="2"/>
        <v>0.97090958866201638</v>
      </c>
    </row>
    <row r="54" spans="1:18" x14ac:dyDescent="0.3">
      <c r="A54" s="3">
        <v>44664</v>
      </c>
      <c r="B54" s="4">
        <v>1022.369995</v>
      </c>
      <c r="C54" s="4">
        <f t="shared" si="0"/>
        <v>1.0978469744966444</v>
      </c>
      <c r="D54" s="4">
        <v>45.849997999999999</v>
      </c>
      <c r="E54" s="4">
        <f t="shared" si="1"/>
        <v>1.2027806716364289</v>
      </c>
      <c r="F54" s="4">
        <v>407.47000100000002</v>
      </c>
      <c r="G54" s="4">
        <f t="shared" si="2"/>
        <v>0.98187361833283138</v>
      </c>
    </row>
    <row r="55" spans="1:18" x14ac:dyDescent="0.3">
      <c r="A55" s="3">
        <v>44665</v>
      </c>
      <c r="B55" s="4">
        <v>985</v>
      </c>
      <c r="C55" s="4">
        <f t="shared" si="0"/>
        <v>1.0577181208053692</v>
      </c>
      <c r="D55" s="4">
        <v>45.080002</v>
      </c>
      <c r="E55" s="4">
        <f t="shared" si="1"/>
        <v>1.1825814056291031</v>
      </c>
      <c r="F55" s="4">
        <v>402.51998900000001</v>
      </c>
      <c r="G55" s="4">
        <f t="shared" si="2"/>
        <v>0.96994565754724471</v>
      </c>
    </row>
    <row r="56" spans="1:18" x14ac:dyDescent="0.3">
      <c r="A56" s="3">
        <v>44669</v>
      </c>
      <c r="B56" s="4">
        <v>1004.289978</v>
      </c>
      <c r="C56" s="4">
        <f t="shared" si="0"/>
        <v>1.0784321911409396</v>
      </c>
      <c r="D56" s="4">
        <v>48.450001</v>
      </c>
      <c r="E56" s="4">
        <f t="shared" si="1"/>
        <v>1.2709864184414066</v>
      </c>
      <c r="F56" s="4">
        <v>402.58999599999999</v>
      </c>
      <c r="G56" s="4">
        <f t="shared" si="2"/>
        <v>0.97011435223944276</v>
      </c>
    </row>
    <row r="57" spans="1:18" x14ac:dyDescent="0.3">
      <c r="A57" s="3">
        <v>44670</v>
      </c>
      <c r="B57" s="4">
        <v>1028.150024</v>
      </c>
      <c r="C57" s="4">
        <f t="shared" si="0"/>
        <v>1.10405371704698</v>
      </c>
      <c r="D57" s="4">
        <v>46.16</v>
      </c>
      <c r="E57" s="4">
        <f t="shared" si="1"/>
        <v>1.2109129383765198</v>
      </c>
      <c r="F57" s="4">
        <v>409.01998900000001</v>
      </c>
      <c r="G57" s="4">
        <f t="shared" si="2"/>
        <v>0.98560859838583526</v>
      </c>
    </row>
    <row r="58" spans="1:18" x14ac:dyDescent="0.3">
      <c r="A58" s="3">
        <v>44671</v>
      </c>
      <c r="B58" s="4">
        <v>977.20001200000002</v>
      </c>
      <c r="C58" s="4">
        <f t="shared" si="0"/>
        <v>1.0493422947651008</v>
      </c>
      <c r="D58" s="4">
        <v>46.720001000000003</v>
      </c>
      <c r="E58" s="4">
        <f t="shared" si="1"/>
        <v>1.2256034162015588</v>
      </c>
      <c r="F58" s="4">
        <v>408.709991</v>
      </c>
      <c r="G58" s="4">
        <f t="shared" si="2"/>
        <v>0.98486160141136114</v>
      </c>
    </row>
    <row r="59" spans="1:18" x14ac:dyDescent="0.3">
      <c r="A59" s="3">
        <v>44672</v>
      </c>
      <c r="B59" s="4">
        <v>1008.780029</v>
      </c>
      <c r="C59" s="4">
        <f t="shared" si="0"/>
        <v>1.0832537224161074</v>
      </c>
      <c r="D59" s="4">
        <v>47.080002</v>
      </c>
      <c r="E59" s="4">
        <f t="shared" si="1"/>
        <v>1.2350473041722798</v>
      </c>
      <c r="F59" s="4">
        <v>402.64999399999999</v>
      </c>
      <c r="G59" s="4">
        <f t="shared" si="2"/>
        <v>0.97025892841243255</v>
      </c>
    </row>
    <row r="60" spans="1:18" x14ac:dyDescent="0.3">
      <c r="A60" s="3">
        <v>44673</v>
      </c>
      <c r="B60" s="4">
        <v>1005.049988</v>
      </c>
      <c r="C60" s="4">
        <f t="shared" si="0"/>
        <v>1.0792483092617449</v>
      </c>
      <c r="D60" s="4">
        <v>48.93</v>
      </c>
      <c r="E60" s="4">
        <f t="shared" si="1"/>
        <v>1.2835782078588198</v>
      </c>
      <c r="F60" s="4">
        <v>391.66000400000001</v>
      </c>
      <c r="G60" s="4">
        <f t="shared" si="2"/>
        <v>0.94377653407601703</v>
      </c>
    </row>
    <row r="61" spans="1:18" x14ac:dyDescent="0.3">
      <c r="A61" s="3">
        <v>44676</v>
      </c>
      <c r="B61" s="4">
        <v>998.02002000000005</v>
      </c>
      <c r="C61" s="4">
        <f t="shared" si="0"/>
        <v>1.0716993503355705</v>
      </c>
      <c r="D61" s="4">
        <v>51.700001</v>
      </c>
      <c r="E61" s="4">
        <f t="shared" si="1"/>
        <v>1.3562435035740688</v>
      </c>
      <c r="F61" s="4">
        <v>393.79998799999998</v>
      </c>
      <c r="G61" s="4">
        <f t="shared" si="2"/>
        <v>0.94893321758179083</v>
      </c>
    </row>
    <row r="62" spans="1:18" x14ac:dyDescent="0.3">
      <c r="A62" s="3">
        <v>44677</v>
      </c>
      <c r="B62" s="4">
        <v>876.419983</v>
      </c>
      <c r="C62" s="4">
        <f t="shared" si="0"/>
        <v>0.94112212939597317</v>
      </c>
      <c r="D62" s="4">
        <v>49.68</v>
      </c>
      <c r="E62" s="4">
        <f t="shared" si="1"/>
        <v>1.3032529198125109</v>
      </c>
      <c r="F62" s="4">
        <v>382.540009</v>
      </c>
      <c r="G62" s="4">
        <f t="shared" si="2"/>
        <v>0.92180023528628763</v>
      </c>
    </row>
    <row r="63" spans="1:18" x14ac:dyDescent="0.3">
      <c r="A63" s="3">
        <v>44678</v>
      </c>
      <c r="B63" s="4">
        <v>881.51000999999997</v>
      </c>
      <c r="C63" s="4">
        <f t="shared" si="0"/>
        <v>0.94658793020134224</v>
      </c>
      <c r="D63" s="4">
        <v>48.639999000000003</v>
      </c>
      <c r="E63" s="4">
        <f t="shared" si="1"/>
        <v>1.27597062633711</v>
      </c>
      <c r="F63" s="4">
        <v>383.52999899999998</v>
      </c>
      <c r="G63" s="4">
        <f t="shared" si="2"/>
        <v>0.92418579756333319</v>
      </c>
    </row>
    <row r="64" spans="1:18" x14ac:dyDescent="0.3">
      <c r="A64" s="3">
        <v>44679</v>
      </c>
      <c r="B64" s="4">
        <v>877.51000999999997</v>
      </c>
      <c r="C64" s="4">
        <f t="shared" si="0"/>
        <v>0.94229262818791948</v>
      </c>
      <c r="D64" s="4">
        <v>49.110000999999997</v>
      </c>
      <c r="E64" s="4">
        <f t="shared" si="1"/>
        <v>1.2883001649606549</v>
      </c>
      <c r="F64" s="4">
        <v>393.14001500000001</v>
      </c>
      <c r="G64" s="4">
        <f t="shared" si="2"/>
        <v>0.94734289172731911</v>
      </c>
    </row>
    <row r="65" spans="1:7" x14ac:dyDescent="0.3">
      <c r="A65" s="3">
        <v>44680</v>
      </c>
      <c r="B65" s="4">
        <v>870.76000999999997</v>
      </c>
      <c r="C65" s="4">
        <f t="shared" si="0"/>
        <v>0.93504430604026845</v>
      </c>
      <c r="D65" s="4">
        <v>49.02</v>
      </c>
      <c r="E65" s="4">
        <f t="shared" si="1"/>
        <v>1.2859391732932628</v>
      </c>
      <c r="F65" s="4">
        <v>378.70001200000002</v>
      </c>
      <c r="G65" s="4">
        <f t="shared" si="2"/>
        <v>0.91254705900453925</v>
      </c>
    </row>
    <row r="66" spans="1:7" x14ac:dyDescent="0.3">
      <c r="A66" s="3">
        <v>44683</v>
      </c>
      <c r="B66" s="4">
        <v>902.94000200000005</v>
      </c>
      <c r="C66" s="4">
        <f t="shared" si="0"/>
        <v>0.96960000214765107</v>
      </c>
      <c r="D66" s="4">
        <v>49.139999000000003</v>
      </c>
      <c r="E66" s="4">
        <f t="shared" si="1"/>
        <v>1.2890871009729041</v>
      </c>
      <c r="F66" s="4">
        <v>381.07998700000002</v>
      </c>
      <c r="G66" s="4">
        <f t="shared" si="2"/>
        <v>0.91828204479258912</v>
      </c>
    </row>
    <row r="67" spans="1:7" x14ac:dyDescent="0.3">
      <c r="A67" s="3">
        <v>44684</v>
      </c>
      <c r="B67" s="4">
        <v>909.25</v>
      </c>
      <c r="C67" s="4">
        <f t="shared" si="0"/>
        <v>0.97637583892617452</v>
      </c>
      <c r="D67" s="4">
        <v>48.869999</v>
      </c>
      <c r="E67" s="4">
        <f t="shared" si="1"/>
        <v>1.2820042046695752</v>
      </c>
      <c r="F67" s="4">
        <v>382.73001099999999</v>
      </c>
      <c r="G67" s="4">
        <f t="shared" si="2"/>
        <v>0.92225807991478204</v>
      </c>
    </row>
    <row r="68" spans="1:7" x14ac:dyDescent="0.3">
      <c r="A68" s="3">
        <v>44685</v>
      </c>
      <c r="B68" s="4">
        <v>952.61999500000002</v>
      </c>
      <c r="C68" s="4">
        <f t="shared" si="0"/>
        <v>1.0229476456375839</v>
      </c>
      <c r="D68" s="4">
        <v>49.060001</v>
      </c>
      <c r="E68" s="4">
        <f t="shared" si="1"/>
        <v>1.2869885174970754</v>
      </c>
      <c r="F68" s="4">
        <v>394.33999599999999</v>
      </c>
      <c r="G68" s="4">
        <f t="shared" si="2"/>
        <v>0.95023446579046245</v>
      </c>
    </row>
    <row r="69" spans="1:7" x14ac:dyDescent="0.3">
      <c r="A69" s="3">
        <v>44686</v>
      </c>
      <c r="B69" s="4">
        <v>873.28002900000001</v>
      </c>
      <c r="C69" s="4">
        <f t="shared" ref="C69:C119" si="3">B69/$B$4</f>
        <v>0.93775036671140943</v>
      </c>
      <c r="D69" s="4">
        <v>50.360000999999997</v>
      </c>
      <c r="E69" s="4">
        <f t="shared" ref="E69:E119" si="4">D69/$D$4</f>
        <v>1.3210913515501403</v>
      </c>
      <c r="F69" s="4">
        <v>380.48998999999998</v>
      </c>
      <c r="G69" s="4">
        <f t="shared" ref="G69:G119" si="5">F69/$F$4</f>
        <v>0.91686033893013585</v>
      </c>
    </row>
    <row r="70" spans="1:7" x14ac:dyDescent="0.3">
      <c r="A70" s="3">
        <v>44687</v>
      </c>
      <c r="B70" s="4">
        <v>865.65002400000003</v>
      </c>
      <c r="C70" s="4">
        <f t="shared" si="3"/>
        <v>0.92955707275167787</v>
      </c>
      <c r="D70" s="4">
        <v>49.799999</v>
      </c>
      <c r="E70" s="4">
        <f t="shared" si="4"/>
        <v>1.3064008474921522</v>
      </c>
      <c r="F70" s="4">
        <v>378.10000600000001</v>
      </c>
      <c r="G70" s="4">
        <f t="shared" si="5"/>
        <v>0.91110123462287773</v>
      </c>
    </row>
    <row r="71" spans="1:7" x14ac:dyDescent="0.3">
      <c r="A71" s="3">
        <v>44690</v>
      </c>
      <c r="B71" s="4">
        <v>787.10998500000005</v>
      </c>
      <c r="C71" s="4">
        <f t="shared" si="3"/>
        <v>0.84521877583892624</v>
      </c>
      <c r="D71" s="4">
        <v>47.959999000000003</v>
      </c>
      <c r="E71" s="4">
        <f t="shared" si="4"/>
        <v>1.2581322208324297</v>
      </c>
      <c r="F71" s="4">
        <v>365.89999399999999</v>
      </c>
      <c r="G71" s="4">
        <f t="shared" si="5"/>
        <v>0.88170307059424791</v>
      </c>
    </row>
    <row r="72" spans="1:7" x14ac:dyDescent="0.3">
      <c r="A72" s="3">
        <v>44691</v>
      </c>
      <c r="B72" s="4">
        <v>800.03997800000002</v>
      </c>
      <c r="C72" s="4">
        <f t="shared" si="3"/>
        <v>0.85910333208053691</v>
      </c>
      <c r="D72" s="4">
        <v>47.259998000000003</v>
      </c>
      <c r="E72" s="4">
        <f t="shared" si="4"/>
        <v>1.2397691301093687</v>
      </c>
      <c r="F72" s="4">
        <v>366.83999599999999</v>
      </c>
      <c r="G72" s="4">
        <f t="shared" si="5"/>
        <v>0.88396817762719504</v>
      </c>
    </row>
    <row r="73" spans="1:7" x14ac:dyDescent="0.3">
      <c r="A73" s="3">
        <v>44692</v>
      </c>
      <c r="B73" s="4">
        <v>734</v>
      </c>
      <c r="C73" s="4">
        <f t="shared" si="3"/>
        <v>0.78818791946308719</v>
      </c>
      <c r="D73" s="4">
        <v>46.09</v>
      </c>
      <c r="E73" s="4">
        <f t="shared" si="4"/>
        <v>1.2090766319275088</v>
      </c>
      <c r="F73" s="4">
        <v>360.92999300000002</v>
      </c>
      <c r="G73" s="4">
        <f t="shared" si="5"/>
        <v>0.86972694265105788</v>
      </c>
    </row>
    <row r="74" spans="1:7" x14ac:dyDescent="0.3">
      <c r="A74" s="3">
        <v>44693</v>
      </c>
      <c r="B74" s="4">
        <v>728</v>
      </c>
      <c r="C74" s="4">
        <f t="shared" si="3"/>
        <v>0.78174496644295299</v>
      </c>
      <c r="D74" s="4">
        <v>45.080002</v>
      </c>
      <c r="E74" s="4">
        <f t="shared" si="4"/>
        <v>1.1825814056291031</v>
      </c>
      <c r="F74" s="4">
        <v>360.64999399999999</v>
      </c>
      <c r="G74" s="4">
        <f t="shared" si="5"/>
        <v>0.86905223376307872</v>
      </c>
    </row>
    <row r="75" spans="1:7" x14ac:dyDescent="0.3">
      <c r="A75" s="3">
        <v>44694</v>
      </c>
      <c r="B75" s="4">
        <v>769.59002699999996</v>
      </c>
      <c r="C75" s="4">
        <f t="shared" si="3"/>
        <v>0.82640539812080538</v>
      </c>
      <c r="D75" s="4">
        <v>40.720001000000003</v>
      </c>
      <c r="E75" s="4">
        <f t="shared" si="4"/>
        <v>1.0682057205720283</v>
      </c>
      <c r="F75" s="4">
        <v>369.16000400000001</v>
      </c>
      <c r="G75" s="4">
        <f t="shared" si="5"/>
        <v>0.8895586619424346</v>
      </c>
    </row>
    <row r="76" spans="1:7" x14ac:dyDescent="0.3">
      <c r="A76" s="3">
        <v>44697</v>
      </c>
      <c r="B76" s="4">
        <v>724.36999500000002</v>
      </c>
      <c r="C76" s="4">
        <f t="shared" si="3"/>
        <v>0.77784697449664431</v>
      </c>
      <c r="D76" s="4">
        <v>37.389999000000003</v>
      </c>
      <c r="E76" s="4">
        <f t="shared" si="4"/>
        <v>0.98084994703174055</v>
      </c>
      <c r="F76" s="4">
        <v>367.83999599999999</v>
      </c>
      <c r="G76" s="4">
        <f t="shared" si="5"/>
        <v>0.88637786083313208</v>
      </c>
    </row>
    <row r="77" spans="1:7" x14ac:dyDescent="0.3">
      <c r="A77" s="3">
        <v>44698</v>
      </c>
      <c r="B77" s="4">
        <v>761.60998500000005</v>
      </c>
      <c r="C77" s="4">
        <f t="shared" si="3"/>
        <v>0.81783622550335577</v>
      </c>
      <c r="D77" s="4">
        <v>38.32</v>
      </c>
      <c r="E77" s="4">
        <f t="shared" si="4"/>
        <v>1.0052466160872671</v>
      </c>
      <c r="F77" s="4">
        <v>375.20001200000002</v>
      </c>
      <c r="G77" s="4">
        <f t="shared" si="5"/>
        <v>0.90411316778375972</v>
      </c>
    </row>
    <row r="78" spans="1:7" x14ac:dyDescent="0.3">
      <c r="A78" s="3">
        <v>44699</v>
      </c>
      <c r="B78" s="4">
        <v>709.80999799999995</v>
      </c>
      <c r="C78" s="4">
        <f t="shared" si="3"/>
        <v>0.76221207838926164</v>
      </c>
      <c r="D78" s="4">
        <v>36.849997999999999</v>
      </c>
      <c r="E78" s="4">
        <f t="shared" si="4"/>
        <v>0.96668412819213345</v>
      </c>
      <c r="F78" s="4">
        <v>360.33999599999999</v>
      </c>
      <c r="G78" s="4">
        <f t="shared" si="5"/>
        <v>0.86830523678860461</v>
      </c>
    </row>
    <row r="79" spans="1:7" x14ac:dyDescent="0.3">
      <c r="A79" s="3">
        <v>44700</v>
      </c>
      <c r="B79" s="4">
        <v>709.419983</v>
      </c>
      <c r="C79" s="4">
        <f t="shared" si="3"/>
        <v>0.76179327033557043</v>
      </c>
      <c r="D79" s="4">
        <v>37.290000999999997</v>
      </c>
      <c r="E79" s="4">
        <f t="shared" si="4"/>
        <v>0.97822670457048011</v>
      </c>
      <c r="F79" s="4">
        <v>357.92999300000002</v>
      </c>
      <c r="G79" s="4">
        <f t="shared" si="5"/>
        <v>0.86249789303324687</v>
      </c>
    </row>
    <row r="80" spans="1:7" x14ac:dyDescent="0.3">
      <c r="A80" s="3">
        <v>44701</v>
      </c>
      <c r="B80" s="4">
        <v>663.90002400000003</v>
      </c>
      <c r="C80" s="4">
        <f t="shared" si="3"/>
        <v>0.71291277744966441</v>
      </c>
      <c r="D80" s="4">
        <v>38.290000999999997</v>
      </c>
      <c r="E80" s="4">
        <f t="shared" si="4"/>
        <v>1.0044596538420685</v>
      </c>
      <c r="F80" s="4">
        <v>358.01998900000001</v>
      </c>
      <c r="G80" s="4">
        <f t="shared" si="5"/>
        <v>0.86271475488304838</v>
      </c>
    </row>
    <row r="81" spans="1:17" x14ac:dyDescent="0.3">
      <c r="A81" s="3">
        <v>44704</v>
      </c>
      <c r="B81" s="4">
        <v>674.90002400000003</v>
      </c>
      <c r="C81" s="4">
        <f t="shared" si="3"/>
        <v>0.72472485798657726</v>
      </c>
      <c r="D81" s="4">
        <v>37.860000999999997</v>
      </c>
      <c r="E81" s="4">
        <f t="shared" si="4"/>
        <v>0.99317948565528547</v>
      </c>
      <c r="F81" s="4">
        <v>364.80999800000001</v>
      </c>
      <c r="G81" s="4">
        <f t="shared" si="5"/>
        <v>0.87907652553850946</v>
      </c>
    </row>
    <row r="82" spans="1:17" x14ac:dyDescent="0.3">
      <c r="A82" s="3">
        <v>44705</v>
      </c>
      <c r="B82" s="4">
        <v>628.15997300000004</v>
      </c>
      <c r="C82" s="4">
        <f t="shared" si="3"/>
        <v>0.67453419919463087</v>
      </c>
      <c r="D82" s="4">
        <v>35.759998000000003</v>
      </c>
      <c r="E82" s="4">
        <f t="shared" si="4"/>
        <v>0.93809021348610222</v>
      </c>
      <c r="F82" s="4">
        <v>362.17999300000002</v>
      </c>
      <c r="G82" s="4">
        <f t="shared" si="5"/>
        <v>0.87273904665847912</v>
      </c>
    </row>
    <row r="83" spans="1:17" x14ac:dyDescent="0.3">
      <c r="A83" s="3">
        <v>44706</v>
      </c>
      <c r="B83" s="4">
        <v>658.79998799999998</v>
      </c>
      <c r="C83" s="4">
        <f t="shared" si="3"/>
        <v>0.70743622872483225</v>
      </c>
      <c r="D83" s="4">
        <v>37.159999999999997</v>
      </c>
      <c r="E83" s="4">
        <f t="shared" si="4"/>
        <v>0.97481639493222438</v>
      </c>
      <c r="F83" s="4">
        <v>363.709656</v>
      </c>
      <c r="G83" s="4">
        <f t="shared" si="5"/>
        <v>0.87642504990032233</v>
      </c>
    </row>
    <row r="84" spans="1:17" x14ac:dyDescent="0.3">
      <c r="A84" s="3">
        <v>44707</v>
      </c>
      <c r="B84" s="4">
        <v>707.72997999999995</v>
      </c>
      <c r="C84" s="4">
        <f t="shared" si="3"/>
        <v>0.75997850201342276</v>
      </c>
      <c r="D84" s="4">
        <v>39.520000000000003</v>
      </c>
      <c r="E84" s="4">
        <f t="shared" si="4"/>
        <v>1.036726155213173</v>
      </c>
      <c r="F84" s="4">
        <v>370.94000199999999</v>
      </c>
      <c r="G84" s="4">
        <f t="shared" si="5"/>
        <v>0.89384789322963598</v>
      </c>
    </row>
    <row r="85" spans="1:17" x14ac:dyDescent="0.3">
      <c r="A85" s="3">
        <v>44708</v>
      </c>
      <c r="B85" s="4">
        <v>759.63000499999998</v>
      </c>
      <c r="C85" s="4">
        <f t="shared" si="3"/>
        <v>0.81571007248322147</v>
      </c>
      <c r="D85" s="4">
        <v>40.169998</v>
      </c>
      <c r="E85" s="4">
        <f t="shared" si="4"/>
        <v>1.0537775197738068</v>
      </c>
      <c r="F85" s="4">
        <v>380.24188199999998</v>
      </c>
      <c r="G85" s="4">
        <f t="shared" si="5"/>
        <v>0.91626247724927723</v>
      </c>
    </row>
    <row r="86" spans="1:17" x14ac:dyDescent="0.3">
      <c r="A86" s="3">
        <v>44712</v>
      </c>
      <c r="B86" s="4">
        <v>758.26000999999997</v>
      </c>
      <c r="C86" s="4">
        <f t="shared" si="3"/>
        <v>0.81423893691275162</v>
      </c>
      <c r="D86" s="4">
        <v>39.599997999999999</v>
      </c>
      <c r="E86" s="4">
        <f t="shared" si="4"/>
        <v>1.0388247386890015</v>
      </c>
      <c r="F86" s="4">
        <v>378.13052399999998</v>
      </c>
      <c r="G86" s="4">
        <f t="shared" si="5"/>
        <v>0.91117477333495656</v>
      </c>
    </row>
    <row r="87" spans="1:17" x14ac:dyDescent="0.3">
      <c r="A87" s="3">
        <v>44713</v>
      </c>
      <c r="B87" s="4">
        <v>740.36999500000002</v>
      </c>
      <c r="C87" s="4">
        <f t="shared" si="3"/>
        <v>0.79502818255033558</v>
      </c>
      <c r="D87" s="4">
        <v>39.299999</v>
      </c>
      <c r="E87" s="4">
        <f t="shared" si="4"/>
        <v>1.0309548801404742</v>
      </c>
      <c r="F87" s="4">
        <v>374.96353099999999</v>
      </c>
      <c r="G87" s="4">
        <f t="shared" si="5"/>
        <v>0.90354332348953648</v>
      </c>
      <c r="N87" s="248"/>
      <c r="O87" s="248"/>
      <c r="P87" s="248"/>
      <c r="Q87" s="248"/>
    </row>
    <row r="88" spans="1:17" x14ac:dyDescent="0.3">
      <c r="A88" s="3">
        <v>44714</v>
      </c>
      <c r="B88" s="4">
        <v>775</v>
      </c>
      <c r="C88" s="4">
        <f t="shared" si="3"/>
        <v>0.83221476510067116</v>
      </c>
      <c r="D88" s="4">
        <v>39.909999999999997</v>
      </c>
      <c r="E88" s="4">
        <f t="shared" si="4"/>
        <v>1.0469570054290924</v>
      </c>
      <c r="F88" s="4">
        <v>382.08435100000003</v>
      </c>
      <c r="G88" s="4">
        <f t="shared" si="5"/>
        <v>0.92070224385603683</v>
      </c>
      <c r="N88" s="2"/>
      <c r="O88" s="2"/>
      <c r="P88" s="2"/>
      <c r="Q88" s="2"/>
    </row>
    <row r="89" spans="1:17" x14ac:dyDescent="0.3">
      <c r="A89" s="3">
        <v>44715</v>
      </c>
      <c r="B89" s="4">
        <v>703.54998799999998</v>
      </c>
      <c r="C89" s="4">
        <f t="shared" si="3"/>
        <v>0.75548992000000004</v>
      </c>
      <c r="D89" s="4">
        <v>40.159999999999997</v>
      </c>
      <c r="E89" s="4">
        <f t="shared" si="4"/>
        <v>1.0535152427469896</v>
      </c>
      <c r="F89" s="4">
        <v>375.89968900000002</v>
      </c>
      <c r="G89" s="4">
        <f t="shared" si="5"/>
        <v>0.90579916770024016</v>
      </c>
      <c r="N89" s="3"/>
      <c r="O89" s="4"/>
      <c r="P89" s="4"/>
      <c r="Q89" s="4"/>
    </row>
    <row r="90" spans="1:17" x14ac:dyDescent="0.3">
      <c r="A90" s="3">
        <v>44718</v>
      </c>
      <c r="B90" s="4">
        <v>714.84002699999996</v>
      </c>
      <c r="C90" s="4">
        <f t="shared" si="3"/>
        <v>0.76761345181208052</v>
      </c>
      <c r="D90" s="4">
        <v>39.560001</v>
      </c>
      <c r="E90" s="4">
        <f t="shared" si="4"/>
        <v>1.0377754994169859</v>
      </c>
      <c r="F90" s="4">
        <v>376.925476</v>
      </c>
      <c r="G90" s="4">
        <f t="shared" si="5"/>
        <v>0.90827098940700857</v>
      </c>
      <c r="N90" s="3"/>
      <c r="O90" s="4"/>
      <c r="P90" s="4"/>
      <c r="Q90" s="4"/>
    </row>
    <row r="91" spans="1:17" x14ac:dyDescent="0.3">
      <c r="A91" s="3">
        <v>44719</v>
      </c>
      <c r="B91" s="4">
        <v>716.65997300000004</v>
      </c>
      <c r="C91" s="4">
        <f t="shared" si="3"/>
        <v>0.76956775624161078</v>
      </c>
      <c r="D91" s="4">
        <v>40.130001</v>
      </c>
      <c r="E91" s="4">
        <f t="shared" si="4"/>
        <v>1.0527282805017912</v>
      </c>
      <c r="F91" s="4">
        <v>380.61038200000002</v>
      </c>
      <c r="G91" s="4">
        <f t="shared" si="5"/>
        <v>0.91715044551066505</v>
      </c>
      <c r="N91" s="3"/>
      <c r="O91" s="4"/>
      <c r="P91" s="4"/>
      <c r="Q91" s="4"/>
    </row>
    <row r="92" spans="1:17" x14ac:dyDescent="0.3">
      <c r="A92" s="3">
        <v>44720</v>
      </c>
      <c r="B92" s="4">
        <v>725.59997599999997</v>
      </c>
      <c r="C92" s="4">
        <f t="shared" si="3"/>
        <v>0.77916775946308725</v>
      </c>
      <c r="D92" s="4">
        <v>40.439999</v>
      </c>
      <c r="E92" s="4">
        <f t="shared" si="4"/>
        <v>1.0608604423100851</v>
      </c>
      <c r="F92" s="4">
        <v>376.44741800000003</v>
      </c>
      <c r="G92" s="4">
        <f t="shared" si="5"/>
        <v>0.90711902107294484</v>
      </c>
      <c r="N92" s="3"/>
      <c r="O92" s="4"/>
      <c r="P92" s="4"/>
      <c r="Q92" s="4"/>
    </row>
    <row r="93" spans="1:17" x14ac:dyDescent="0.3">
      <c r="A93" s="3">
        <v>44721</v>
      </c>
      <c r="B93" s="4">
        <v>719.11999500000002</v>
      </c>
      <c r="C93" s="4">
        <f t="shared" si="3"/>
        <v>0.77220939060402682</v>
      </c>
      <c r="D93" s="4">
        <v>39.529998999999997</v>
      </c>
      <c r="E93" s="4">
        <f t="shared" si="4"/>
        <v>1.0369884584729396</v>
      </c>
      <c r="F93" s="4">
        <v>367.59371900000002</v>
      </c>
      <c r="G93" s="4">
        <f t="shared" si="5"/>
        <v>0.88578441128222363</v>
      </c>
      <c r="N93" s="3"/>
      <c r="O93" s="4"/>
      <c r="P93" s="4"/>
      <c r="Q93" s="4"/>
    </row>
    <row r="94" spans="1:17" x14ac:dyDescent="0.3">
      <c r="A94" s="3">
        <v>44722</v>
      </c>
      <c r="B94" s="4">
        <v>696.69000200000005</v>
      </c>
      <c r="C94" s="4">
        <f t="shared" si="3"/>
        <v>0.74812349208053697</v>
      </c>
      <c r="D94" s="4">
        <v>38.979999999999997</v>
      </c>
      <c r="E94" s="4">
        <f t="shared" si="4"/>
        <v>1.0225603626065152</v>
      </c>
      <c r="F94" s="4">
        <v>356.80789199999998</v>
      </c>
      <c r="G94" s="4">
        <f t="shared" si="5"/>
        <v>0.85979398509818172</v>
      </c>
      <c r="N94" s="3"/>
      <c r="O94" s="4"/>
      <c r="P94" s="4"/>
      <c r="Q94" s="4"/>
    </row>
    <row r="95" spans="1:17" x14ac:dyDescent="0.3">
      <c r="A95" s="3">
        <v>44725</v>
      </c>
      <c r="B95" s="4">
        <v>647.21002199999998</v>
      </c>
      <c r="C95" s="4">
        <f t="shared" si="3"/>
        <v>0.69499062765100672</v>
      </c>
      <c r="D95" s="4">
        <v>37.029998999999997</v>
      </c>
      <c r="E95" s="4">
        <f t="shared" si="4"/>
        <v>0.97140608529396855</v>
      </c>
      <c r="F95" s="4">
        <v>343.05426</v>
      </c>
      <c r="G95" s="4">
        <f t="shared" si="5"/>
        <v>0.82665208904714405</v>
      </c>
      <c r="N95" s="3"/>
      <c r="O95" s="4"/>
      <c r="P95" s="4"/>
      <c r="Q95" s="4"/>
    </row>
    <row r="96" spans="1:17" x14ac:dyDescent="0.3">
      <c r="A96" s="3">
        <v>44726</v>
      </c>
      <c r="B96" s="4">
        <v>662.669983</v>
      </c>
      <c r="C96" s="4">
        <f t="shared" si="3"/>
        <v>0.71159192805369131</v>
      </c>
      <c r="D96" s="4">
        <v>37.220001000000003</v>
      </c>
      <c r="E96" s="4">
        <f t="shared" si="4"/>
        <v>0.97639039812146911</v>
      </c>
      <c r="F96" s="4">
        <v>342.19778400000001</v>
      </c>
      <c r="G96" s="4">
        <f t="shared" si="5"/>
        <v>0.82458825321365603</v>
      </c>
      <c r="N96" s="3"/>
      <c r="O96" s="4"/>
      <c r="P96" s="4"/>
      <c r="Q96" s="4"/>
    </row>
    <row r="97" spans="1:17" x14ac:dyDescent="0.3">
      <c r="A97" s="3">
        <v>44727</v>
      </c>
      <c r="B97" s="4">
        <v>699</v>
      </c>
      <c r="C97" s="4">
        <f t="shared" si="3"/>
        <v>0.75060402684563754</v>
      </c>
      <c r="D97" s="4">
        <v>37.990001999999997</v>
      </c>
      <c r="E97" s="4">
        <f t="shared" si="4"/>
        <v>0.99658979529354119</v>
      </c>
      <c r="F97" s="4">
        <v>347.09768700000001</v>
      </c>
      <c r="G97" s="4">
        <f t="shared" si="5"/>
        <v>0.83639546718347635</v>
      </c>
      <c r="N97" s="3"/>
      <c r="O97" s="4"/>
      <c r="P97" s="4"/>
      <c r="Q97" s="4"/>
    </row>
    <row r="98" spans="1:17" x14ac:dyDescent="0.3">
      <c r="A98" s="3">
        <v>44728</v>
      </c>
      <c r="B98" s="4">
        <v>639.29998799999998</v>
      </c>
      <c r="C98" s="4">
        <f t="shared" si="3"/>
        <v>0.68649663140939599</v>
      </c>
      <c r="D98" s="4">
        <v>37.360000999999997</v>
      </c>
      <c r="E98" s="4">
        <f t="shared" si="4"/>
        <v>0.98006301101949134</v>
      </c>
      <c r="F98" s="4">
        <v>335.69442700000002</v>
      </c>
      <c r="G98" s="4">
        <f t="shared" si="5"/>
        <v>0.80891722306854319</v>
      </c>
      <c r="N98" s="3"/>
      <c r="O98" s="4"/>
      <c r="P98" s="4"/>
      <c r="Q98" s="4"/>
    </row>
    <row r="99" spans="1:17" x14ac:dyDescent="0.3">
      <c r="A99" s="3">
        <v>44729</v>
      </c>
      <c r="B99" s="4">
        <v>650.28002900000001</v>
      </c>
      <c r="C99" s="4">
        <f t="shared" si="3"/>
        <v>0.69828727946308722</v>
      </c>
      <c r="D99" s="4">
        <v>37.779998999999997</v>
      </c>
      <c r="E99" s="4">
        <f t="shared" si="4"/>
        <v>0.99108079724765985</v>
      </c>
      <c r="F99" s="4">
        <v>336.57086199999998</v>
      </c>
      <c r="G99" s="4">
        <f t="shared" si="5"/>
        <v>0.81102915376913853</v>
      </c>
      <c r="N99" s="3"/>
      <c r="O99" s="4"/>
      <c r="P99" s="4"/>
      <c r="Q99" s="4"/>
    </row>
    <row r="100" spans="1:17" x14ac:dyDescent="0.3">
      <c r="A100" s="3">
        <v>44733</v>
      </c>
      <c r="B100" s="4">
        <v>711.10998500000005</v>
      </c>
      <c r="C100" s="4">
        <f t="shared" si="3"/>
        <v>0.76360803758389262</v>
      </c>
      <c r="D100" s="4">
        <v>38.909999999999997</v>
      </c>
      <c r="E100" s="4">
        <f t="shared" si="4"/>
        <v>1.0207240561575039</v>
      </c>
      <c r="F100" s="4">
        <v>344.81707799999998</v>
      </c>
      <c r="G100" s="4">
        <f t="shared" si="5"/>
        <v>0.83089992197686746</v>
      </c>
      <c r="N100" s="3"/>
      <c r="O100" s="4"/>
      <c r="P100" s="4"/>
      <c r="Q100" s="4"/>
    </row>
    <row r="101" spans="1:17" x14ac:dyDescent="0.3">
      <c r="A101" s="3">
        <v>44734</v>
      </c>
      <c r="B101" s="4">
        <v>708.26000999999997</v>
      </c>
      <c r="C101" s="4">
        <f t="shared" si="3"/>
        <v>0.76054766174496635</v>
      </c>
      <c r="D101" s="4">
        <v>38.529998999999997</v>
      </c>
      <c r="E101" s="4">
        <f t="shared" si="4"/>
        <v>1.0107555092013512</v>
      </c>
      <c r="F101" s="4">
        <v>344.09002700000002</v>
      </c>
      <c r="G101" s="4">
        <f t="shared" si="5"/>
        <v>0.8291479593923079</v>
      </c>
      <c r="N101" s="3"/>
      <c r="O101" s="4"/>
      <c r="P101" s="4"/>
      <c r="Q101" s="4"/>
    </row>
    <row r="102" spans="1:17" x14ac:dyDescent="0.3">
      <c r="A102" s="3">
        <v>44735</v>
      </c>
      <c r="B102" s="4">
        <v>705.21002199999998</v>
      </c>
      <c r="C102" s="4">
        <f t="shared" si="3"/>
        <v>0.75727250684563752</v>
      </c>
      <c r="D102" s="4">
        <v>38.68</v>
      </c>
      <c r="E102" s="4">
        <f t="shared" si="4"/>
        <v>1.0146904778250387</v>
      </c>
      <c r="F102" s="4">
        <v>347.70523100000003</v>
      </c>
      <c r="G102" s="4">
        <f t="shared" si="5"/>
        <v>0.83785945575714416</v>
      </c>
      <c r="N102" s="3"/>
      <c r="O102" s="4"/>
      <c r="P102" s="4"/>
      <c r="Q102" s="4"/>
    </row>
    <row r="103" spans="1:17" x14ac:dyDescent="0.3">
      <c r="A103" s="3">
        <v>44736</v>
      </c>
      <c r="B103" s="4">
        <v>737.11999500000002</v>
      </c>
      <c r="C103" s="4">
        <f t="shared" si="3"/>
        <v>0.79153824966442954</v>
      </c>
      <c r="D103" s="4">
        <v>39.409999999999997</v>
      </c>
      <c r="E103" s="4">
        <f t="shared" si="4"/>
        <v>1.0338405307932983</v>
      </c>
      <c r="F103" s="4">
        <v>358.53085299999998</v>
      </c>
      <c r="G103" s="4">
        <f t="shared" si="5"/>
        <v>0.86394577528436611</v>
      </c>
      <c r="N103" s="3"/>
      <c r="O103" s="4"/>
      <c r="P103" s="4"/>
      <c r="Q103" s="4"/>
    </row>
    <row r="104" spans="1:17" x14ac:dyDescent="0.3">
      <c r="A104" s="3">
        <v>44739</v>
      </c>
      <c r="B104" s="4">
        <v>734.76000999999997</v>
      </c>
      <c r="C104" s="4">
        <f t="shared" si="3"/>
        <v>0.78900403758389259</v>
      </c>
      <c r="D104" s="4">
        <v>39.189999</v>
      </c>
      <c r="E104" s="4">
        <f t="shared" si="4"/>
        <v>1.0280692557205995</v>
      </c>
      <c r="F104" s="4">
        <v>357.18637100000001</v>
      </c>
      <c r="G104" s="4">
        <f t="shared" si="5"/>
        <v>0.86070599958828164</v>
      </c>
      <c r="N104" s="3"/>
      <c r="O104" s="4"/>
      <c r="P104" s="4"/>
      <c r="Q104" s="4"/>
    </row>
    <row r="105" spans="1:17" x14ac:dyDescent="0.3">
      <c r="A105" s="3">
        <v>44740</v>
      </c>
      <c r="B105" s="4">
        <v>697.98999000000003</v>
      </c>
      <c r="C105" s="4">
        <f t="shared" si="3"/>
        <v>0.74951945234899331</v>
      </c>
      <c r="D105" s="4">
        <v>38.790000999999997</v>
      </c>
      <c r="E105" s="4">
        <f t="shared" si="4"/>
        <v>1.0175761284778626</v>
      </c>
      <c r="F105" s="4">
        <v>349.46798699999999</v>
      </c>
      <c r="G105" s="4">
        <f t="shared" si="5"/>
        <v>0.84210713928650871</v>
      </c>
      <c r="N105" s="3"/>
      <c r="O105" s="4"/>
      <c r="P105" s="4"/>
      <c r="Q105" s="4"/>
    </row>
    <row r="106" spans="1:17" x14ac:dyDescent="0.3">
      <c r="A106" s="3">
        <v>44741</v>
      </c>
      <c r="B106" s="4">
        <v>685.46997099999999</v>
      </c>
      <c r="C106" s="4">
        <f t="shared" si="3"/>
        <v>0.73607513664429525</v>
      </c>
      <c r="D106" s="4">
        <v>37.799999</v>
      </c>
      <c r="E106" s="4">
        <f t="shared" si="4"/>
        <v>0.99160545623309171</v>
      </c>
      <c r="F106" s="4">
        <v>349.64001500000001</v>
      </c>
      <c r="G106" s="4">
        <f t="shared" si="5"/>
        <v>0.84252167226905972</v>
      </c>
      <c r="N106" s="3"/>
      <c r="O106" s="4"/>
      <c r="P106" s="4"/>
      <c r="Q106" s="4"/>
    </row>
    <row r="107" spans="1:17" x14ac:dyDescent="0.3">
      <c r="A107" s="3">
        <v>44742</v>
      </c>
      <c r="B107" s="4">
        <v>673.419983</v>
      </c>
      <c r="C107" s="4">
        <f t="shared" si="3"/>
        <v>0.72313555221476511</v>
      </c>
      <c r="D107" s="4">
        <v>37.389999000000003</v>
      </c>
      <c r="E107" s="4">
        <f t="shared" si="4"/>
        <v>0.98084994703174055</v>
      </c>
      <c r="F107" s="4">
        <v>346.88000499999998</v>
      </c>
      <c r="G107" s="4">
        <f t="shared" si="5"/>
        <v>0.83587092252384143</v>
      </c>
      <c r="N107" s="3"/>
      <c r="O107" s="4"/>
      <c r="P107" s="4"/>
      <c r="Q107" s="4"/>
    </row>
    <row r="108" spans="1:17" x14ac:dyDescent="0.3">
      <c r="A108" s="3">
        <v>44743</v>
      </c>
      <c r="B108" s="4">
        <v>681.78997800000002</v>
      </c>
      <c r="C108" s="4">
        <f t="shared" si="3"/>
        <v>0.73212346630872482</v>
      </c>
      <c r="D108" s="4">
        <v>38.229999999999997</v>
      </c>
      <c r="E108" s="4">
        <f t="shared" si="4"/>
        <v>1.0028856506528239</v>
      </c>
      <c r="F108" s="4">
        <v>350.44000199999999</v>
      </c>
      <c r="G108" s="4">
        <f t="shared" si="5"/>
        <v>0.84444938750792764</v>
      </c>
      <c r="N108" s="3"/>
      <c r="O108" s="4"/>
      <c r="P108" s="4"/>
      <c r="Q108" s="4"/>
    </row>
    <row r="109" spans="1:17" x14ac:dyDescent="0.3">
      <c r="A109" s="3">
        <v>44747</v>
      </c>
      <c r="B109" s="4">
        <v>699.20001200000002</v>
      </c>
      <c r="C109" s="4">
        <f t="shared" si="3"/>
        <v>0.75081880483221475</v>
      </c>
      <c r="D109" s="4">
        <v>38.380001</v>
      </c>
      <c r="E109" s="4">
        <f t="shared" si="4"/>
        <v>1.0068206192765115</v>
      </c>
      <c r="F109" s="4">
        <v>351.05999800000001</v>
      </c>
      <c r="G109" s="4">
        <f t="shared" si="5"/>
        <v>0.84594338145687575</v>
      </c>
      <c r="N109" s="3"/>
      <c r="O109" s="4"/>
      <c r="P109" s="4"/>
      <c r="Q109" s="4"/>
    </row>
    <row r="110" spans="1:17" x14ac:dyDescent="0.3">
      <c r="A110" s="3">
        <v>44748</v>
      </c>
      <c r="B110" s="4">
        <v>695.20001200000002</v>
      </c>
      <c r="C110" s="4">
        <f t="shared" si="3"/>
        <v>0.74652350281879198</v>
      </c>
      <c r="D110" s="4">
        <v>38.209999000000003</v>
      </c>
      <c r="E110" s="4">
        <f t="shared" si="4"/>
        <v>1.002360965434443</v>
      </c>
      <c r="F110" s="4">
        <v>352.32998700000002</v>
      </c>
      <c r="G110" s="4">
        <f t="shared" si="5"/>
        <v>0.84900365262190047</v>
      </c>
      <c r="N110" s="3"/>
      <c r="O110" s="4"/>
      <c r="P110" s="4"/>
      <c r="Q110" s="4"/>
    </row>
    <row r="111" spans="1:17" x14ac:dyDescent="0.3">
      <c r="A111" s="3">
        <v>44749</v>
      </c>
      <c r="B111" s="4">
        <v>733.63000499999998</v>
      </c>
      <c r="C111" s="4">
        <f t="shared" si="3"/>
        <v>0.78779060939597312</v>
      </c>
      <c r="D111" s="4">
        <v>38.790000999999997</v>
      </c>
      <c r="E111" s="4">
        <f t="shared" si="4"/>
        <v>1.0175761284778626</v>
      </c>
      <c r="F111" s="4">
        <v>357.5</v>
      </c>
      <c r="G111" s="4">
        <f t="shared" si="5"/>
        <v>0.86146174612247639</v>
      </c>
      <c r="N111" s="3"/>
      <c r="O111" s="4"/>
      <c r="P111" s="4"/>
      <c r="Q111" s="4"/>
    </row>
    <row r="112" spans="1:17" x14ac:dyDescent="0.3">
      <c r="A112" s="3">
        <v>44750</v>
      </c>
      <c r="B112" s="4">
        <v>752.28997800000002</v>
      </c>
      <c r="C112" s="4">
        <f t="shared" si="3"/>
        <v>0.80782816429530202</v>
      </c>
      <c r="D112" s="4">
        <v>36.810001</v>
      </c>
      <c r="E112" s="4">
        <f t="shared" si="4"/>
        <v>0.96563488892011773</v>
      </c>
      <c r="F112" s="4">
        <v>357.290009</v>
      </c>
      <c r="G112" s="4">
        <f t="shared" si="5"/>
        <v>0.86095573433637851</v>
      </c>
      <c r="N112" s="3"/>
      <c r="O112" s="4"/>
      <c r="P112" s="4"/>
      <c r="Q112" s="4"/>
    </row>
    <row r="113" spans="1:17" x14ac:dyDescent="0.3">
      <c r="A113" s="3">
        <v>44753</v>
      </c>
      <c r="B113" s="4">
        <v>703.03002900000001</v>
      </c>
      <c r="C113" s="4">
        <f t="shared" si="3"/>
        <v>0.75493157476510064</v>
      </c>
      <c r="D113" s="4">
        <v>32.650002000000001</v>
      </c>
      <c r="E113" s="4">
        <f t="shared" si="4"/>
        <v>0.85650584618325931</v>
      </c>
      <c r="F113" s="4">
        <v>353.25</v>
      </c>
      <c r="G113" s="4">
        <f t="shared" si="5"/>
        <v>0.85122059249724413</v>
      </c>
      <c r="N113" s="3"/>
      <c r="O113" s="4"/>
      <c r="P113" s="4"/>
      <c r="Q113" s="4"/>
    </row>
    <row r="114" spans="1:17" x14ac:dyDescent="0.3">
      <c r="A114" s="3">
        <v>44754</v>
      </c>
      <c r="B114" s="4">
        <v>699.21002199999998</v>
      </c>
      <c r="C114" s="4">
        <f t="shared" si="3"/>
        <v>0.75082955382550332</v>
      </c>
      <c r="D114" s="4">
        <v>34.060001</v>
      </c>
      <c r="E114" s="4">
        <f t="shared" si="4"/>
        <v>0.89349427842324969</v>
      </c>
      <c r="F114" s="4">
        <v>349.98998999999998</v>
      </c>
      <c r="G114" s="4">
        <f t="shared" si="5"/>
        <v>0.84336500114905744</v>
      </c>
      <c r="N114" s="3"/>
      <c r="O114" s="4"/>
      <c r="P114" s="4"/>
      <c r="Q114" s="4"/>
    </row>
    <row r="115" spans="1:17" x14ac:dyDescent="0.3">
      <c r="A115" s="3">
        <v>44755</v>
      </c>
      <c r="B115" s="4">
        <v>711.11999500000002</v>
      </c>
      <c r="C115" s="4">
        <f t="shared" si="3"/>
        <v>0.76361878657718119</v>
      </c>
      <c r="D115" s="4">
        <v>36.75</v>
      </c>
      <c r="E115" s="4">
        <f t="shared" si="4"/>
        <v>0.96406088573087323</v>
      </c>
      <c r="F115" s="4">
        <v>348.35998499999999</v>
      </c>
      <c r="G115" s="4">
        <f t="shared" si="5"/>
        <v>0.83943720547496414</v>
      </c>
      <c r="N115" s="3"/>
      <c r="O115" s="4"/>
      <c r="P115" s="4"/>
      <c r="Q115" s="4"/>
    </row>
    <row r="116" spans="1:17" x14ac:dyDescent="0.3">
      <c r="A116" s="3">
        <v>44756</v>
      </c>
      <c r="B116" s="4">
        <v>714.94000200000005</v>
      </c>
      <c r="C116" s="4">
        <f t="shared" si="3"/>
        <v>0.76772080751677862</v>
      </c>
      <c r="D116" s="4">
        <v>36.290000999999997</v>
      </c>
      <c r="E116" s="4">
        <f t="shared" si="4"/>
        <v>0.95199375529889174</v>
      </c>
      <c r="F116" s="4">
        <v>347.44000199999999</v>
      </c>
      <c r="G116" s="4">
        <f t="shared" si="5"/>
        <v>0.83722033789011663</v>
      </c>
      <c r="N116" s="3"/>
      <c r="O116" s="4"/>
      <c r="P116" s="4"/>
      <c r="Q116" s="4"/>
    </row>
    <row r="117" spans="1:17" x14ac:dyDescent="0.3">
      <c r="A117" s="3">
        <v>44757</v>
      </c>
      <c r="B117" s="4">
        <v>720.20001200000002</v>
      </c>
      <c r="C117" s="4">
        <f t="shared" si="3"/>
        <v>0.77336914040268456</v>
      </c>
      <c r="D117" s="4">
        <v>37.740001999999997</v>
      </c>
      <c r="E117" s="4">
        <f t="shared" si="4"/>
        <v>0.99003155797564413</v>
      </c>
      <c r="F117" s="4">
        <v>354.01001000000002</v>
      </c>
      <c r="G117" s="4">
        <f t="shared" si="5"/>
        <v>0.85305197583058834</v>
      </c>
      <c r="N117" s="3"/>
      <c r="O117" s="4"/>
      <c r="P117" s="4"/>
      <c r="Q117" s="4"/>
    </row>
    <row r="118" spans="1:17" x14ac:dyDescent="0.3">
      <c r="A118" s="3">
        <v>44760</v>
      </c>
      <c r="B118" s="4">
        <v>721.64001499999995</v>
      </c>
      <c r="C118" s="4">
        <f t="shared" si="3"/>
        <v>0.77491545234899328</v>
      </c>
      <c r="D118" s="4">
        <v>38.409999999999997</v>
      </c>
      <c r="E118" s="4">
        <f t="shared" si="4"/>
        <v>1.0076075815217098</v>
      </c>
      <c r="F118" s="4">
        <v>351.07998700000002</v>
      </c>
      <c r="G118" s="4">
        <f t="shared" si="5"/>
        <v>0.84599154861447923</v>
      </c>
      <c r="N118" s="3"/>
      <c r="O118" s="4"/>
      <c r="P118" s="4"/>
      <c r="Q118" s="4"/>
    </row>
    <row r="119" spans="1:17" x14ac:dyDescent="0.3">
      <c r="A119" s="3">
        <v>44761</v>
      </c>
      <c r="B119" s="4">
        <v>736.59002699999996</v>
      </c>
      <c r="C119" s="4">
        <f t="shared" si="3"/>
        <v>0.79096915651006705</v>
      </c>
      <c r="D119" s="4">
        <v>39.490001999999997</v>
      </c>
      <c r="E119" s="4">
        <f t="shared" si="4"/>
        <v>1.0359392192009238</v>
      </c>
      <c r="F119" s="4">
        <v>360.60998499999999</v>
      </c>
      <c r="G119" s="4">
        <f t="shared" si="5"/>
        <v>0.8689558247476924</v>
      </c>
      <c r="N119" s="3"/>
      <c r="O119" s="4"/>
      <c r="P119" s="4"/>
      <c r="Q119" s="4"/>
    </row>
    <row r="120" spans="1:17" x14ac:dyDescent="0.3">
      <c r="N120" s="3"/>
      <c r="O120" s="4"/>
      <c r="P120" s="4"/>
      <c r="Q120" s="4"/>
    </row>
    <row r="121" spans="1:17" x14ac:dyDescent="0.3">
      <c r="N121" s="3"/>
      <c r="O121" s="4"/>
      <c r="P121" s="4"/>
      <c r="Q121" s="4"/>
    </row>
    <row r="122" spans="1:17" x14ac:dyDescent="0.3">
      <c r="N122" s="3"/>
      <c r="O122" s="4"/>
      <c r="P122" s="4"/>
      <c r="Q122" s="4"/>
    </row>
    <row r="123" spans="1:17" x14ac:dyDescent="0.3">
      <c r="N123" s="3"/>
      <c r="O123" s="4"/>
      <c r="P123" s="4"/>
      <c r="Q123" s="4"/>
    </row>
    <row r="124" spans="1:17" x14ac:dyDescent="0.3">
      <c r="N124" s="3"/>
      <c r="O124" s="4"/>
      <c r="P124" s="4"/>
      <c r="Q124" s="4"/>
    </row>
    <row r="125" spans="1:17" x14ac:dyDescent="0.3">
      <c r="N125" s="3"/>
      <c r="O125" s="4"/>
      <c r="P125" s="4"/>
      <c r="Q125" s="4"/>
    </row>
    <row r="126" spans="1:17" x14ac:dyDescent="0.3">
      <c r="N126" s="3"/>
      <c r="O126" s="4"/>
      <c r="P126" s="4"/>
      <c r="Q126" s="4"/>
    </row>
    <row r="127" spans="1:17" x14ac:dyDescent="0.3">
      <c r="N127" s="3"/>
      <c r="O127" s="4"/>
      <c r="P127" s="4"/>
      <c r="Q127" s="4"/>
    </row>
    <row r="128" spans="1:17" x14ac:dyDescent="0.3">
      <c r="N128" s="3"/>
      <c r="O128" s="4"/>
      <c r="P128" s="4"/>
      <c r="Q128" s="4"/>
    </row>
    <row r="129" spans="14:17" x14ac:dyDescent="0.3">
      <c r="N129" s="3"/>
      <c r="O129" s="4"/>
      <c r="P129" s="4"/>
      <c r="Q129" s="4"/>
    </row>
    <row r="130" spans="14:17" x14ac:dyDescent="0.3">
      <c r="N130" s="3"/>
      <c r="O130" s="4"/>
      <c r="P130" s="4"/>
      <c r="Q130" s="4"/>
    </row>
    <row r="131" spans="14:17" x14ac:dyDescent="0.3">
      <c r="N131" s="3"/>
      <c r="O131" s="4"/>
      <c r="P131" s="4"/>
      <c r="Q131" s="4"/>
    </row>
    <row r="132" spans="14:17" x14ac:dyDescent="0.3">
      <c r="N132" s="3"/>
      <c r="O132" s="4"/>
      <c r="P132" s="4"/>
      <c r="Q132" s="4"/>
    </row>
    <row r="133" spans="14:17" x14ac:dyDescent="0.3">
      <c r="N133" s="3"/>
      <c r="O133" s="4"/>
      <c r="P133" s="4"/>
      <c r="Q133" s="4"/>
    </row>
    <row r="134" spans="14:17" x14ac:dyDescent="0.3">
      <c r="N134" s="3"/>
      <c r="O134" s="4"/>
      <c r="P134" s="4"/>
      <c r="Q134" s="4"/>
    </row>
    <row r="135" spans="14:17" x14ac:dyDescent="0.3">
      <c r="N135" s="3"/>
      <c r="O135" s="4"/>
      <c r="P135" s="4"/>
      <c r="Q135" s="4"/>
    </row>
    <row r="136" spans="14:17" x14ac:dyDescent="0.3">
      <c r="N136" s="3"/>
      <c r="O136" s="4"/>
      <c r="P136" s="4"/>
      <c r="Q136" s="4"/>
    </row>
    <row r="137" spans="14:17" x14ac:dyDescent="0.3">
      <c r="N137" s="3"/>
      <c r="O137" s="4"/>
      <c r="P137" s="4"/>
      <c r="Q137" s="4"/>
    </row>
    <row r="138" spans="14:17" x14ac:dyDescent="0.3">
      <c r="N138" s="3"/>
      <c r="O138" s="4"/>
      <c r="P138" s="4"/>
      <c r="Q138" s="4"/>
    </row>
    <row r="139" spans="14:17" x14ac:dyDescent="0.3">
      <c r="N139" s="3"/>
      <c r="O139" s="4"/>
      <c r="P139" s="4"/>
      <c r="Q139" s="4"/>
    </row>
    <row r="140" spans="14:17" x14ac:dyDescent="0.3">
      <c r="N140" s="3"/>
      <c r="O140" s="4"/>
      <c r="P140" s="4"/>
      <c r="Q140" s="4"/>
    </row>
    <row r="141" spans="14:17" x14ac:dyDescent="0.3">
      <c r="N141" s="3"/>
      <c r="O141" s="4"/>
      <c r="P141" s="4"/>
      <c r="Q141" s="4"/>
    </row>
    <row r="142" spans="14:17" x14ac:dyDescent="0.3">
      <c r="N142" s="3"/>
      <c r="O142" s="4"/>
      <c r="P142" s="4"/>
      <c r="Q142" s="4"/>
    </row>
    <row r="143" spans="14:17" x14ac:dyDescent="0.3">
      <c r="N143" s="3"/>
      <c r="O143" s="4"/>
      <c r="P143" s="4"/>
      <c r="Q143" s="4"/>
    </row>
    <row r="144" spans="14:17" x14ac:dyDescent="0.3">
      <c r="N144" s="3"/>
      <c r="O144" s="4"/>
      <c r="P144" s="4"/>
      <c r="Q144" s="4"/>
    </row>
    <row r="145" spans="14:17" x14ac:dyDescent="0.3">
      <c r="N145" s="3"/>
      <c r="O145" s="4"/>
      <c r="P145" s="4"/>
      <c r="Q145" s="4"/>
    </row>
    <row r="146" spans="14:17" x14ac:dyDescent="0.3">
      <c r="N146" s="3"/>
      <c r="O146" s="4"/>
      <c r="P146" s="4"/>
      <c r="Q146" s="4"/>
    </row>
    <row r="147" spans="14:17" x14ac:dyDescent="0.3">
      <c r="N147" s="3"/>
      <c r="O147" s="4"/>
      <c r="P147" s="4"/>
      <c r="Q147" s="4"/>
    </row>
    <row r="148" spans="14:17" x14ac:dyDescent="0.3">
      <c r="N148" s="3"/>
      <c r="O148" s="4"/>
      <c r="P148" s="4"/>
      <c r="Q148" s="4"/>
    </row>
    <row r="149" spans="14:17" x14ac:dyDescent="0.3">
      <c r="N149" s="3"/>
      <c r="O149" s="4"/>
      <c r="P149" s="4"/>
      <c r="Q149" s="4"/>
    </row>
    <row r="150" spans="14:17" x14ac:dyDescent="0.3">
      <c r="N150" s="3"/>
      <c r="O150" s="4"/>
      <c r="P150" s="4"/>
      <c r="Q150" s="4"/>
    </row>
    <row r="151" spans="14:17" x14ac:dyDescent="0.3">
      <c r="N151" s="3"/>
      <c r="O151" s="4"/>
      <c r="P151" s="4"/>
      <c r="Q151" s="4"/>
    </row>
    <row r="152" spans="14:17" x14ac:dyDescent="0.3">
      <c r="N152" s="3"/>
      <c r="O152" s="4"/>
      <c r="P152" s="4"/>
      <c r="Q152" s="4"/>
    </row>
    <row r="153" spans="14:17" x14ac:dyDescent="0.3">
      <c r="N153" s="3"/>
      <c r="O153" s="4"/>
      <c r="P153" s="4"/>
      <c r="Q153" s="4"/>
    </row>
    <row r="154" spans="14:17" x14ac:dyDescent="0.3">
      <c r="N154" s="3"/>
      <c r="O154" s="4"/>
      <c r="P154" s="4"/>
      <c r="Q154" s="4"/>
    </row>
    <row r="155" spans="14:17" x14ac:dyDescent="0.3">
      <c r="N155" s="3"/>
      <c r="O155" s="4"/>
      <c r="P155" s="4"/>
      <c r="Q155" s="4"/>
    </row>
    <row r="156" spans="14:17" x14ac:dyDescent="0.3">
      <c r="N156" s="3"/>
      <c r="O156" s="4"/>
      <c r="P156" s="4"/>
      <c r="Q156" s="4"/>
    </row>
    <row r="157" spans="14:17" x14ac:dyDescent="0.3">
      <c r="N157" s="3"/>
      <c r="O157" s="4"/>
      <c r="P157" s="4"/>
      <c r="Q157" s="4"/>
    </row>
    <row r="158" spans="14:17" x14ac:dyDescent="0.3">
      <c r="N158" s="3"/>
      <c r="O158" s="4"/>
      <c r="P158" s="4"/>
      <c r="Q158" s="4"/>
    </row>
    <row r="159" spans="14:17" x14ac:dyDescent="0.3">
      <c r="N159" s="3"/>
      <c r="O159" s="4"/>
      <c r="P159" s="4"/>
      <c r="Q159" s="4"/>
    </row>
    <row r="160" spans="14:17" x14ac:dyDescent="0.3">
      <c r="N160" s="3"/>
      <c r="O160" s="4"/>
      <c r="P160" s="4"/>
      <c r="Q160" s="4"/>
    </row>
    <row r="161" spans="1:17" x14ac:dyDescent="0.3">
      <c r="N161" s="3"/>
      <c r="O161" s="4"/>
      <c r="P161" s="4"/>
      <c r="Q161" s="4"/>
    </row>
    <row r="162" spans="1:17" x14ac:dyDescent="0.3">
      <c r="N162" s="3"/>
      <c r="O162" s="4"/>
      <c r="P162" s="4"/>
      <c r="Q162" s="4"/>
    </row>
    <row r="163" spans="1:17" x14ac:dyDescent="0.3">
      <c r="N163" s="3"/>
      <c r="O163" s="4"/>
      <c r="P163" s="4"/>
      <c r="Q163" s="4"/>
    </row>
    <row r="164" spans="1:17" x14ac:dyDescent="0.3">
      <c r="N164" s="3"/>
      <c r="O164" s="4"/>
      <c r="P164" s="4"/>
      <c r="Q164" s="4"/>
    </row>
    <row r="165" spans="1:17" x14ac:dyDescent="0.3">
      <c r="A165" s="248"/>
      <c r="B165" s="248"/>
      <c r="C165" s="248"/>
      <c r="D165" s="248"/>
      <c r="E165" s="248"/>
      <c r="F165" s="248"/>
      <c r="G165" s="248"/>
      <c r="H165" s="248"/>
      <c r="N165" s="3"/>
      <c r="O165" s="4"/>
      <c r="P165" s="4"/>
      <c r="Q165" s="4"/>
    </row>
    <row r="166" spans="1:17" x14ac:dyDescent="0.3">
      <c r="B166" s="5"/>
      <c r="C166" s="5"/>
      <c r="D166" s="5"/>
      <c r="E166" s="5"/>
      <c r="F166" s="5"/>
      <c r="G166" s="5"/>
      <c r="H166" s="5"/>
      <c r="N166" s="3"/>
      <c r="O166" s="4"/>
      <c r="P166" s="4"/>
      <c r="Q166" s="4"/>
    </row>
    <row r="167" spans="1:17" x14ac:dyDescent="0.3">
      <c r="A167" s="3"/>
      <c r="B167" s="4"/>
      <c r="C167" s="4"/>
      <c r="D167" s="4"/>
      <c r="E167" s="4"/>
      <c r="G167" s="4"/>
      <c r="N167" s="3"/>
      <c r="O167" s="4"/>
      <c r="P167" s="4"/>
      <c r="Q167" s="4"/>
    </row>
    <row r="168" spans="1:17" x14ac:dyDescent="0.3">
      <c r="A168" s="3"/>
      <c r="B168" s="4"/>
      <c r="C168" s="4"/>
      <c r="D168" s="4"/>
      <c r="E168" s="4"/>
      <c r="G168" s="4"/>
      <c r="N168" s="3"/>
      <c r="O168" s="4"/>
      <c r="P168" s="4"/>
      <c r="Q168" s="4"/>
    </row>
    <row r="169" spans="1:17" x14ac:dyDescent="0.3">
      <c r="A169" s="3"/>
      <c r="B169" s="4"/>
      <c r="C169" s="4"/>
      <c r="D169" s="4"/>
      <c r="E169" s="4"/>
      <c r="G169" s="4"/>
      <c r="N169" s="3"/>
      <c r="O169" s="4"/>
      <c r="P169" s="4"/>
      <c r="Q169" s="4"/>
    </row>
    <row r="170" spans="1:17" x14ac:dyDescent="0.3">
      <c r="A170" s="3"/>
      <c r="B170" s="4"/>
      <c r="C170" s="4"/>
      <c r="D170" s="4"/>
      <c r="E170" s="4"/>
      <c r="G170" s="4"/>
      <c r="N170" s="3"/>
      <c r="O170" s="4"/>
      <c r="P170" s="4"/>
      <c r="Q170" s="4"/>
    </row>
    <row r="171" spans="1:17" x14ac:dyDescent="0.3">
      <c r="A171" s="3"/>
      <c r="B171" s="4"/>
      <c r="C171" s="4"/>
      <c r="D171" s="4"/>
      <c r="E171" s="4"/>
      <c r="G171" s="4"/>
      <c r="N171" s="3"/>
      <c r="O171" s="4"/>
      <c r="P171" s="4"/>
      <c r="Q171" s="4"/>
    </row>
    <row r="172" spans="1:17" x14ac:dyDescent="0.3">
      <c r="A172" s="3"/>
      <c r="B172" s="4"/>
      <c r="C172" s="4"/>
      <c r="D172" s="4"/>
      <c r="E172" s="4"/>
      <c r="G172" s="4"/>
      <c r="N172" s="3"/>
      <c r="O172" s="4"/>
      <c r="P172" s="4"/>
      <c r="Q172" s="4"/>
    </row>
    <row r="173" spans="1:17" x14ac:dyDescent="0.3">
      <c r="A173" s="3"/>
      <c r="B173" s="4"/>
      <c r="C173" s="4"/>
      <c r="D173" s="4"/>
      <c r="E173" s="4"/>
      <c r="G173" s="4"/>
      <c r="N173" s="3"/>
      <c r="O173" s="4"/>
      <c r="P173" s="4"/>
      <c r="Q173" s="4"/>
    </row>
    <row r="174" spans="1:17" x14ac:dyDescent="0.3">
      <c r="A174" s="3"/>
      <c r="B174" s="4"/>
      <c r="C174" s="4"/>
      <c r="D174" s="4"/>
      <c r="E174" s="4"/>
      <c r="G174" s="4"/>
      <c r="N174" s="3"/>
      <c r="O174" s="4"/>
      <c r="P174" s="4"/>
      <c r="Q174" s="4"/>
    </row>
    <row r="175" spans="1:17" x14ac:dyDescent="0.3">
      <c r="A175" s="3"/>
      <c r="B175" s="4"/>
      <c r="C175" s="4"/>
      <c r="D175" s="4"/>
      <c r="E175" s="4"/>
      <c r="G175" s="4"/>
      <c r="N175" s="3"/>
      <c r="O175" s="4"/>
      <c r="P175" s="4"/>
      <c r="Q175" s="4"/>
    </row>
    <row r="176" spans="1:17" x14ac:dyDescent="0.3">
      <c r="A176" s="3"/>
      <c r="B176" s="4"/>
      <c r="C176" s="4"/>
      <c r="D176" s="4"/>
      <c r="E176" s="4"/>
      <c r="G176" s="4"/>
      <c r="N176" s="3"/>
      <c r="O176" s="4"/>
      <c r="P176" s="4"/>
      <c r="Q176" s="4"/>
    </row>
    <row r="177" spans="1:17" x14ac:dyDescent="0.3">
      <c r="A177" s="3"/>
      <c r="B177" s="4"/>
      <c r="C177" s="4"/>
      <c r="D177" s="4"/>
      <c r="E177" s="4"/>
      <c r="G177" s="4"/>
      <c r="N177" s="3"/>
      <c r="O177" s="4"/>
      <c r="P177" s="4"/>
      <c r="Q177" s="4"/>
    </row>
    <row r="178" spans="1:17" x14ac:dyDescent="0.3">
      <c r="A178" s="3"/>
      <c r="B178" s="4"/>
      <c r="C178" s="4"/>
      <c r="D178" s="4"/>
      <c r="E178" s="4"/>
      <c r="G178" s="4"/>
      <c r="N178" s="3"/>
      <c r="O178" s="4"/>
      <c r="P178" s="4"/>
      <c r="Q178" s="4"/>
    </row>
    <row r="179" spans="1:17" x14ac:dyDescent="0.3">
      <c r="A179" s="3"/>
      <c r="B179" s="4"/>
      <c r="C179" s="4"/>
      <c r="D179" s="4"/>
      <c r="E179" s="4"/>
      <c r="G179" s="4"/>
      <c r="N179" s="3"/>
      <c r="O179" s="4"/>
      <c r="P179" s="4"/>
      <c r="Q179" s="4"/>
    </row>
    <row r="180" spans="1:17" x14ac:dyDescent="0.3">
      <c r="A180" s="3"/>
      <c r="B180" s="4"/>
      <c r="C180" s="4"/>
      <c r="D180" s="4"/>
      <c r="E180" s="4"/>
      <c r="G180" s="4"/>
      <c r="N180" s="3"/>
      <c r="O180" s="4"/>
      <c r="P180" s="4"/>
      <c r="Q180" s="4"/>
    </row>
    <row r="181" spans="1:17" x14ac:dyDescent="0.3">
      <c r="A181" s="3"/>
      <c r="B181" s="4"/>
      <c r="C181" s="4"/>
      <c r="D181" s="4"/>
      <c r="E181" s="4"/>
      <c r="G181" s="4"/>
      <c r="N181" s="3"/>
      <c r="O181" s="4"/>
      <c r="P181" s="4"/>
      <c r="Q181" s="4"/>
    </row>
    <row r="182" spans="1:17" x14ac:dyDescent="0.3">
      <c r="A182" s="3"/>
      <c r="B182" s="4"/>
      <c r="C182" s="4"/>
      <c r="D182" s="4"/>
      <c r="E182" s="4"/>
      <c r="G182" s="4"/>
      <c r="N182" s="3"/>
      <c r="O182" s="4"/>
      <c r="P182" s="4"/>
      <c r="Q182" s="4"/>
    </row>
    <row r="183" spans="1:17" x14ac:dyDescent="0.3">
      <c r="A183" s="3"/>
      <c r="B183" s="4"/>
      <c r="C183" s="4"/>
      <c r="D183" s="4"/>
      <c r="E183" s="4"/>
      <c r="G183" s="4"/>
      <c r="N183" s="3"/>
      <c r="O183" s="4"/>
      <c r="P183" s="4"/>
      <c r="Q183" s="4"/>
    </row>
    <row r="184" spans="1:17" x14ac:dyDescent="0.3">
      <c r="A184" s="3"/>
      <c r="B184" s="4"/>
      <c r="C184" s="4"/>
      <c r="D184" s="4"/>
      <c r="E184" s="4"/>
      <c r="G184" s="4"/>
      <c r="N184" s="3"/>
      <c r="O184" s="4"/>
      <c r="P184" s="4"/>
      <c r="Q184" s="4"/>
    </row>
    <row r="185" spans="1:17" x14ac:dyDescent="0.3">
      <c r="A185" s="3"/>
      <c r="B185" s="4"/>
      <c r="C185" s="4"/>
      <c r="D185" s="4"/>
      <c r="E185" s="4"/>
      <c r="G185" s="4"/>
      <c r="N185" s="3"/>
      <c r="O185" s="4"/>
      <c r="P185" s="4"/>
      <c r="Q185" s="4"/>
    </row>
    <row r="186" spans="1:17" x14ac:dyDescent="0.3">
      <c r="A186" s="3"/>
      <c r="B186" s="4"/>
      <c r="C186" s="4"/>
      <c r="D186" s="4"/>
      <c r="E186" s="4"/>
      <c r="G186" s="4"/>
      <c r="N186" s="3"/>
      <c r="O186" s="4"/>
      <c r="P186" s="4"/>
      <c r="Q186" s="4"/>
    </row>
    <row r="187" spans="1:17" x14ac:dyDescent="0.3">
      <c r="A187" s="3"/>
      <c r="B187" s="4"/>
      <c r="C187" s="4"/>
      <c r="D187" s="4"/>
      <c r="E187" s="4"/>
      <c r="G187" s="4"/>
      <c r="N187" s="3"/>
      <c r="O187" s="4"/>
      <c r="P187" s="4"/>
      <c r="Q187" s="4"/>
    </row>
    <row r="188" spans="1:17" x14ac:dyDescent="0.3">
      <c r="A188" s="3"/>
      <c r="B188" s="4"/>
      <c r="C188" s="4"/>
      <c r="D188" s="4"/>
      <c r="E188" s="4"/>
      <c r="G188" s="4"/>
      <c r="N188" s="3"/>
      <c r="O188" s="4"/>
      <c r="P188" s="4"/>
      <c r="Q188" s="4"/>
    </row>
    <row r="189" spans="1:17" x14ac:dyDescent="0.3">
      <c r="A189" s="3"/>
      <c r="B189" s="4"/>
      <c r="C189" s="4"/>
      <c r="D189" s="4"/>
      <c r="E189" s="4"/>
      <c r="G189" s="4"/>
      <c r="N189" s="3"/>
      <c r="O189" s="4"/>
      <c r="P189" s="4"/>
      <c r="Q189" s="4"/>
    </row>
    <row r="190" spans="1:17" x14ac:dyDescent="0.3">
      <c r="A190" s="3"/>
      <c r="B190" s="4"/>
      <c r="C190" s="4"/>
      <c r="D190" s="4"/>
      <c r="E190" s="4"/>
      <c r="G190" s="4"/>
      <c r="N190" s="3"/>
      <c r="O190" s="4"/>
      <c r="P190" s="4"/>
      <c r="Q190" s="4"/>
    </row>
    <row r="191" spans="1:17" x14ac:dyDescent="0.3">
      <c r="A191" s="3"/>
      <c r="B191" s="4"/>
      <c r="C191" s="4"/>
      <c r="D191" s="4"/>
      <c r="E191" s="4"/>
      <c r="G191" s="4"/>
      <c r="N191" s="3"/>
      <c r="O191" s="4"/>
      <c r="P191" s="4"/>
      <c r="Q191" s="4"/>
    </row>
    <row r="192" spans="1:17" x14ac:dyDescent="0.3">
      <c r="A192" s="3"/>
      <c r="B192" s="4"/>
      <c r="C192" s="4"/>
      <c r="D192" s="4"/>
      <c r="E192" s="4"/>
      <c r="G192" s="4"/>
      <c r="N192" s="3"/>
      <c r="O192" s="4"/>
      <c r="P192" s="4"/>
      <c r="Q192" s="4"/>
    </row>
    <row r="193" spans="1:17" x14ac:dyDescent="0.3">
      <c r="A193" s="3"/>
      <c r="B193" s="4"/>
      <c r="C193" s="4"/>
      <c r="D193" s="4"/>
      <c r="E193" s="4"/>
      <c r="G193" s="4"/>
      <c r="N193" s="3"/>
      <c r="O193" s="4"/>
      <c r="P193" s="4"/>
      <c r="Q193" s="4"/>
    </row>
    <row r="194" spans="1:17" x14ac:dyDescent="0.3">
      <c r="A194" s="3"/>
      <c r="B194" s="4"/>
      <c r="C194" s="4"/>
      <c r="D194" s="4"/>
      <c r="E194" s="4"/>
      <c r="G194" s="4"/>
      <c r="N194" s="3"/>
      <c r="O194" s="4"/>
      <c r="P194" s="4"/>
      <c r="Q194" s="4"/>
    </row>
    <row r="195" spans="1:17" x14ac:dyDescent="0.3">
      <c r="A195" s="3"/>
      <c r="B195" s="4"/>
      <c r="C195" s="4"/>
      <c r="D195" s="4"/>
      <c r="E195" s="4"/>
      <c r="G195" s="4"/>
      <c r="N195" s="3"/>
      <c r="O195" s="4"/>
      <c r="P195" s="4"/>
      <c r="Q195" s="4"/>
    </row>
    <row r="196" spans="1:17" x14ac:dyDescent="0.3">
      <c r="A196" s="3"/>
      <c r="B196" s="4"/>
      <c r="C196" s="4"/>
      <c r="D196" s="4"/>
      <c r="E196" s="4"/>
      <c r="G196" s="4"/>
      <c r="N196" s="3"/>
      <c r="O196" s="4"/>
      <c r="P196" s="4"/>
      <c r="Q196" s="4"/>
    </row>
    <row r="197" spans="1:17" x14ac:dyDescent="0.3">
      <c r="A197" s="3"/>
      <c r="B197" s="4"/>
      <c r="C197" s="4"/>
      <c r="D197" s="4"/>
      <c r="E197" s="4"/>
      <c r="G197" s="4"/>
      <c r="N197" s="3"/>
      <c r="O197" s="4"/>
      <c r="P197" s="4"/>
      <c r="Q197" s="4"/>
    </row>
    <row r="198" spans="1:17" x14ac:dyDescent="0.3">
      <c r="A198" s="3"/>
      <c r="B198" s="4"/>
      <c r="C198" s="4"/>
      <c r="D198" s="4"/>
      <c r="E198" s="4"/>
      <c r="G198" s="4"/>
      <c r="N198" s="3"/>
      <c r="O198" s="4"/>
      <c r="P198" s="4"/>
      <c r="Q198" s="4"/>
    </row>
    <row r="199" spans="1:17" x14ac:dyDescent="0.3">
      <c r="A199" s="3"/>
      <c r="B199" s="4"/>
      <c r="C199" s="4"/>
      <c r="D199" s="4"/>
      <c r="E199" s="4"/>
      <c r="G199" s="4"/>
      <c r="N199" s="3"/>
      <c r="O199" s="4"/>
      <c r="P199" s="4"/>
      <c r="Q199" s="4"/>
    </row>
    <row r="200" spans="1:17" x14ac:dyDescent="0.3">
      <c r="A200" s="3"/>
      <c r="B200" s="4"/>
      <c r="C200" s="4"/>
      <c r="D200" s="4"/>
      <c r="E200" s="4"/>
      <c r="G200" s="4"/>
      <c r="N200" s="3"/>
      <c r="O200" s="4"/>
      <c r="P200" s="4"/>
      <c r="Q200" s="4"/>
    </row>
    <row r="201" spans="1:17" x14ac:dyDescent="0.3">
      <c r="A201" s="3"/>
      <c r="B201" s="4"/>
      <c r="C201" s="4"/>
      <c r="D201" s="4"/>
      <c r="E201" s="4"/>
      <c r="G201" s="4"/>
      <c r="N201" s="3"/>
      <c r="O201" s="4"/>
      <c r="P201" s="4"/>
      <c r="Q201" s="4"/>
    </row>
    <row r="202" spans="1:17" x14ac:dyDescent="0.3">
      <c r="A202" s="3"/>
      <c r="B202" s="4"/>
      <c r="C202" s="4"/>
      <c r="D202" s="4"/>
      <c r="E202" s="4"/>
      <c r="G202" s="4"/>
      <c r="N202" s="3"/>
      <c r="O202" s="4"/>
      <c r="P202" s="4"/>
      <c r="Q202" s="4"/>
    </row>
    <row r="203" spans="1:17" x14ac:dyDescent="0.3">
      <c r="A203" s="3"/>
      <c r="B203" s="4"/>
      <c r="C203" s="4"/>
      <c r="D203" s="4"/>
      <c r="E203" s="4"/>
      <c r="G203" s="4"/>
      <c r="N203" s="3"/>
      <c r="O203" s="4"/>
      <c r="P203" s="4"/>
      <c r="Q203" s="4"/>
    </row>
    <row r="204" spans="1:17" x14ac:dyDescent="0.3">
      <c r="A204" s="3"/>
      <c r="B204" s="4"/>
      <c r="C204" s="4"/>
      <c r="D204" s="4"/>
      <c r="E204" s="4"/>
      <c r="G204" s="4"/>
      <c r="N204" s="3"/>
      <c r="O204" s="4"/>
      <c r="P204" s="4"/>
      <c r="Q204" s="4"/>
    </row>
    <row r="205" spans="1:17" x14ac:dyDescent="0.3">
      <c r="A205" s="3"/>
      <c r="B205" s="4"/>
      <c r="C205" s="4"/>
      <c r="D205" s="4"/>
      <c r="E205" s="4"/>
      <c r="G205" s="4"/>
      <c r="N205" s="3"/>
      <c r="O205" s="4"/>
      <c r="P205" s="4"/>
      <c r="Q205" s="4"/>
    </row>
    <row r="206" spans="1:17" x14ac:dyDescent="0.3">
      <c r="A206" s="3"/>
      <c r="B206" s="4"/>
      <c r="C206" s="4"/>
      <c r="D206" s="4"/>
      <c r="E206" s="4"/>
      <c r="G206" s="4"/>
      <c r="N206" s="3"/>
      <c r="O206" s="4"/>
      <c r="P206" s="4"/>
      <c r="Q206" s="4"/>
    </row>
    <row r="207" spans="1:17" x14ac:dyDescent="0.3">
      <c r="A207" s="3"/>
      <c r="B207" s="4"/>
      <c r="C207" s="4"/>
      <c r="D207" s="4"/>
      <c r="E207" s="4"/>
      <c r="G207" s="4"/>
      <c r="N207" s="3"/>
      <c r="O207" s="4"/>
      <c r="P207" s="4"/>
      <c r="Q207" s="4"/>
    </row>
    <row r="208" spans="1:17" x14ac:dyDescent="0.3">
      <c r="A208" s="3"/>
      <c r="B208" s="4"/>
      <c r="C208" s="4"/>
      <c r="D208" s="4"/>
      <c r="E208" s="4"/>
      <c r="G208" s="4"/>
      <c r="N208" s="3"/>
      <c r="O208" s="4"/>
      <c r="P208" s="4"/>
      <c r="Q208" s="4"/>
    </row>
    <row r="209" spans="1:17" x14ac:dyDescent="0.3">
      <c r="A209" s="3"/>
      <c r="B209" s="4"/>
      <c r="C209" s="4"/>
      <c r="D209" s="4"/>
      <c r="E209" s="4"/>
      <c r="G209" s="4"/>
      <c r="N209" s="3"/>
      <c r="O209" s="4"/>
      <c r="P209" s="4"/>
      <c r="Q209" s="4"/>
    </row>
    <row r="210" spans="1:17" x14ac:dyDescent="0.3">
      <c r="A210" s="3"/>
      <c r="B210" s="4"/>
      <c r="C210" s="4"/>
      <c r="D210" s="4"/>
      <c r="E210" s="4"/>
      <c r="G210" s="4"/>
      <c r="N210" s="3"/>
      <c r="O210" s="4"/>
      <c r="P210" s="4"/>
      <c r="Q210" s="4"/>
    </row>
    <row r="211" spans="1:17" x14ac:dyDescent="0.3">
      <c r="A211" s="3"/>
      <c r="B211" s="4"/>
      <c r="C211" s="4"/>
      <c r="D211" s="4"/>
      <c r="E211" s="4"/>
      <c r="G211" s="4"/>
      <c r="N211" s="3"/>
      <c r="O211" s="4"/>
      <c r="P211" s="4"/>
      <c r="Q211" s="4"/>
    </row>
    <row r="212" spans="1:17" x14ac:dyDescent="0.3">
      <c r="A212" s="3"/>
      <c r="B212" s="4"/>
      <c r="C212" s="4"/>
      <c r="D212" s="4"/>
      <c r="E212" s="4"/>
      <c r="G212" s="4"/>
      <c r="N212" s="3"/>
      <c r="O212" s="4"/>
      <c r="P212" s="4"/>
      <c r="Q212" s="4"/>
    </row>
    <row r="213" spans="1:17" x14ac:dyDescent="0.3">
      <c r="A213" s="3"/>
      <c r="B213" s="4"/>
      <c r="C213" s="4"/>
      <c r="D213" s="4"/>
      <c r="E213" s="4"/>
      <c r="G213" s="4"/>
      <c r="N213" s="3"/>
      <c r="O213" s="4"/>
      <c r="P213" s="4"/>
      <c r="Q213" s="4"/>
    </row>
    <row r="214" spans="1:17" x14ac:dyDescent="0.3">
      <c r="A214" s="3"/>
      <c r="B214" s="4"/>
      <c r="C214" s="4"/>
      <c r="D214" s="4"/>
      <c r="E214" s="4"/>
      <c r="G214" s="4"/>
      <c r="N214" s="3"/>
      <c r="O214" s="4"/>
      <c r="P214" s="4"/>
      <c r="Q214" s="4"/>
    </row>
    <row r="215" spans="1:17" x14ac:dyDescent="0.3">
      <c r="A215" s="3"/>
      <c r="B215" s="4"/>
      <c r="C215" s="4"/>
      <c r="D215" s="4"/>
      <c r="E215" s="4"/>
      <c r="G215" s="4"/>
      <c r="N215" s="3"/>
      <c r="O215" s="4"/>
      <c r="P215" s="4"/>
      <c r="Q215" s="4"/>
    </row>
    <row r="216" spans="1:17" x14ac:dyDescent="0.3">
      <c r="A216" s="3"/>
      <c r="B216" s="4"/>
      <c r="C216" s="4"/>
      <c r="D216" s="4"/>
      <c r="E216" s="4"/>
      <c r="G216" s="4"/>
      <c r="N216" s="3"/>
      <c r="O216" s="4"/>
      <c r="P216" s="4"/>
      <c r="Q216" s="4"/>
    </row>
    <row r="217" spans="1:17" x14ac:dyDescent="0.3">
      <c r="A217" s="3"/>
      <c r="B217" s="4"/>
      <c r="C217" s="4"/>
      <c r="D217" s="4"/>
      <c r="E217" s="4"/>
      <c r="G217" s="4"/>
      <c r="N217" s="3"/>
      <c r="O217" s="4"/>
      <c r="P217" s="4"/>
      <c r="Q217" s="4"/>
    </row>
    <row r="218" spans="1:17" x14ac:dyDescent="0.3">
      <c r="A218" s="3"/>
      <c r="B218" s="4"/>
      <c r="C218" s="4"/>
      <c r="D218" s="4"/>
      <c r="E218" s="4"/>
      <c r="G218" s="4"/>
      <c r="N218" s="3"/>
      <c r="O218" s="4"/>
      <c r="P218" s="4"/>
      <c r="Q218" s="4"/>
    </row>
    <row r="219" spans="1:17" x14ac:dyDescent="0.3">
      <c r="A219" s="3"/>
      <c r="B219" s="4"/>
      <c r="C219" s="4"/>
      <c r="D219" s="4"/>
      <c r="E219" s="4"/>
      <c r="G219" s="4"/>
      <c r="N219" s="3"/>
      <c r="O219" s="4"/>
      <c r="P219" s="4"/>
      <c r="Q219" s="4"/>
    </row>
    <row r="220" spans="1:17" x14ac:dyDescent="0.3">
      <c r="A220" s="3"/>
      <c r="B220" s="4"/>
      <c r="C220" s="4"/>
      <c r="D220" s="4"/>
      <c r="E220" s="4"/>
      <c r="G220" s="4"/>
      <c r="N220" s="3"/>
      <c r="O220" s="4"/>
      <c r="P220" s="4"/>
      <c r="Q220" s="4"/>
    </row>
    <row r="221" spans="1:17" x14ac:dyDescent="0.3">
      <c r="A221" s="3"/>
      <c r="B221" s="4"/>
      <c r="C221" s="4"/>
      <c r="D221" s="4"/>
      <c r="E221" s="4"/>
      <c r="G221" s="4"/>
      <c r="N221" s="3"/>
      <c r="O221" s="4"/>
      <c r="P221" s="4"/>
      <c r="Q221" s="4"/>
    </row>
    <row r="222" spans="1:17" x14ac:dyDescent="0.3">
      <c r="A222" s="3"/>
      <c r="B222" s="4"/>
      <c r="C222" s="4"/>
      <c r="D222" s="4"/>
      <c r="E222" s="4"/>
      <c r="G222" s="4"/>
      <c r="N222" s="3"/>
      <c r="O222" s="4"/>
      <c r="P222" s="4"/>
      <c r="Q222" s="4"/>
    </row>
    <row r="223" spans="1:17" x14ac:dyDescent="0.3">
      <c r="A223" s="3"/>
      <c r="B223" s="4"/>
      <c r="C223" s="4"/>
      <c r="D223" s="4"/>
      <c r="E223" s="4"/>
      <c r="G223" s="4"/>
      <c r="N223" s="3"/>
      <c r="O223" s="4"/>
      <c r="P223" s="4"/>
      <c r="Q223" s="4"/>
    </row>
    <row r="224" spans="1:17" x14ac:dyDescent="0.3">
      <c r="A224" s="3"/>
      <c r="B224" s="4"/>
      <c r="C224" s="4"/>
      <c r="D224" s="4"/>
      <c r="E224" s="4"/>
      <c r="G224" s="4"/>
      <c r="N224" s="3"/>
      <c r="O224" s="4"/>
      <c r="P224" s="4"/>
      <c r="Q224" s="4"/>
    </row>
    <row r="225" spans="1:17" x14ac:dyDescent="0.3">
      <c r="A225" s="3"/>
      <c r="B225" s="4"/>
      <c r="C225" s="4"/>
      <c r="D225" s="4"/>
      <c r="E225" s="4"/>
      <c r="G225" s="4"/>
      <c r="N225" s="3"/>
      <c r="O225" s="4"/>
      <c r="P225" s="4"/>
      <c r="Q225" s="4"/>
    </row>
    <row r="226" spans="1:17" x14ac:dyDescent="0.3">
      <c r="A226" s="3"/>
      <c r="B226" s="4"/>
      <c r="C226" s="4"/>
      <c r="D226" s="4"/>
      <c r="E226" s="4"/>
      <c r="G226" s="4"/>
      <c r="N226" s="3"/>
      <c r="O226" s="4"/>
      <c r="P226" s="4"/>
      <c r="Q226" s="4"/>
    </row>
    <row r="227" spans="1:17" x14ac:dyDescent="0.3">
      <c r="A227" s="3"/>
      <c r="B227" s="4"/>
      <c r="C227" s="4"/>
      <c r="D227" s="4"/>
      <c r="E227" s="4"/>
      <c r="G227" s="4"/>
      <c r="N227" s="3"/>
      <c r="O227" s="4"/>
      <c r="P227" s="4"/>
      <c r="Q227" s="4"/>
    </row>
    <row r="228" spans="1:17" x14ac:dyDescent="0.3">
      <c r="A228" s="3"/>
      <c r="B228" s="4"/>
      <c r="C228" s="4"/>
      <c r="D228" s="4"/>
      <c r="E228" s="4"/>
      <c r="G228" s="4"/>
      <c r="N228" s="3"/>
      <c r="O228" s="4"/>
      <c r="P228" s="4"/>
      <c r="Q228" s="4"/>
    </row>
    <row r="229" spans="1:17" x14ac:dyDescent="0.3">
      <c r="A229" s="3"/>
      <c r="B229" s="4"/>
      <c r="C229" s="4"/>
      <c r="D229" s="4"/>
      <c r="E229" s="4"/>
      <c r="G229" s="4"/>
      <c r="N229" s="3"/>
      <c r="O229" s="4"/>
      <c r="P229" s="4"/>
      <c r="Q229" s="4"/>
    </row>
    <row r="230" spans="1:17" x14ac:dyDescent="0.3">
      <c r="A230" s="3"/>
      <c r="B230" s="4"/>
      <c r="C230" s="4"/>
      <c r="D230" s="4"/>
      <c r="E230" s="4"/>
      <c r="G230" s="4"/>
      <c r="N230" s="3"/>
      <c r="O230" s="4"/>
      <c r="P230" s="4"/>
      <c r="Q230" s="4"/>
    </row>
    <row r="231" spans="1:17" x14ac:dyDescent="0.3">
      <c r="A231" s="3"/>
      <c r="B231" s="4"/>
      <c r="C231" s="4"/>
      <c r="D231" s="4"/>
      <c r="E231" s="4"/>
      <c r="G231" s="4"/>
      <c r="N231" s="3"/>
      <c r="O231" s="4"/>
      <c r="P231" s="4"/>
      <c r="Q231" s="4"/>
    </row>
    <row r="232" spans="1:17" x14ac:dyDescent="0.3">
      <c r="A232" s="3"/>
      <c r="B232" s="4"/>
      <c r="C232" s="4"/>
      <c r="D232" s="4"/>
      <c r="E232" s="4"/>
      <c r="G232" s="4"/>
      <c r="N232" s="3"/>
      <c r="O232" s="4"/>
      <c r="P232" s="4"/>
      <c r="Q232" s="4"/>
    </row>
    <row r="233" spans="1:17" x14ac:dyDescent="0.3">
      <c r="A233" s="3"/>
      <c r="B233" s="4"/>
      <c r="C233" s="4"/>
      <c r="D233" s="4"/>
      <c r="E233" s="4"/>
      <c r="G233" s="4"/>
      <c r="N233" s="3"/>
      <c r="O233" s="4"/>
      <c r="P233" s="4"/>
      <c r="Q233" s="4"/>
    </row>
    <row r="234" spans="1:17" x14ac:dyDescent="0.3">
      <c r="A234" s="3"/>
      <c r="B234" s="4"/>
      <c r="C234" s="4"/>
      <c r="D234" s="4"/>
      <c r="E234" s="4"/>
      <c r="G234" s="4"/>
      <c r="N234" s="3"/>
      <c r="O234" s="4"/>
      <c r="P234" s="4"/>
      <c r="Q234" s="4"/>
    </row>
    <row r="235" spans="1:17" x14ac:dyDescent="0.3">
      <c r="A235" s="3"/>
      <c r="B235" s="4"/>
      <c r="C235" s="4"/>
      <c r="D235" s="4"/>
      <c r="E235" s="4"/>
      <c r="G235" s="4"/>
      <c r="N235" s="3"/>
      <c r="O235" s="4"/>
      <c r="P235" s="4"/>
      <c r="Q235" s="4"/>
    </row>
    <row r="236" spans="1:17" x14ac:dyDescent="0.3">
      <c r="A236" s="3"/>
      <c r="B236" s="4"/>
      <c r="C236" s="4"/>
      <c r="D236" s="4"/>
      <c r="E236" s="4"/>
      <c r="G236" s="4"/>
      <c r="N236" s="3"/>
      <c r="O236" s="4"/>
      <c r="P236" s="4"/>
      <c r="Q236" s="4"/>
    </row>
    <row r="237" spans="1:17" x14ac:dyDescent="0.3">
      <c r="A237" s="3"/>
      <c r="B237" s="4"/>
      <c r="C237" s="4"/>
      <c r="D237" s="4"/>
      <c r="E237" s="4"/>
      <c r="G237" s="4"/>
      <c r="N237" s="3"/>
      <c r="O237" s="4"/>
      <c r="P237" s="4"/>
      <c r="Q237" s="4"/>
    </row>
    <row r="238" spans="1:17" x14ac:dyDescent="0.3">
      <c r="A238" s="3"/>
      <c r="B238" s="4"/>
      <c r="C238" s="4"/>
      <c r="D238" s="4"/>
      <c r="E238" s="4"/>
      <c r="G238" s="4"/>
      <c r="N238" s="3"/>
      <c r="O238" s="4"/>
      <c r="P238" s="4"/>
      <c r="Q238" s="4"/>
    </row>
    <row r="239" spans="1:17" x14ac:dyDescent="0.3">
      <c r="A239" s="3"/>
      <c r="B239" s="4"/>
      <c r="C239" s="4"/>
      <c r="D239" s="4"/>
      <c r="E239" s="4"/>
      <c r="G239" s="4"/>
      <c r="N239" s="3"/>
      <c r="O239" s="4"/>
      <c r="P239" s="4"/>
      <c r="Q239" s="4"/>
    </row>
    <row r="240" spans="1:17" x14ac:dyDescent="0.3">
      <c r="A240" s="3"/>
      <c r="B240" s="4"/>
      <c r="C240" s="4"/>
      <c r="D240" s="4"/>
      <c r="E240" s="4"/>
      <c r="G240" s="4"/>
      <c r="N240" s="3"/>
      <c r="O240" s="4"/>
      <c r="P240" s="4"/>
      <c r="Q240" s="4"/>
    </row>
    <row r="241" spans="1:17" x14ac:dyDescent="0.3">
      <c r="A241" s="3"/>
      <c r="B241" s="4"/>
      <c r="C241" s="4"/>
      <c r="D241" s="4"/>
      <c r="E241" s="4"/>
      <c r="G241" s="4"/>
      <c r="N241" s="3"/>
      <c r="O241" s="4"/>
      <c r="P241" s="4"/>
      <c r="Q241" s="4"/>
    </row>
    <row r="242" spans="1:17" x14ac:dyDescent="0.3">
      <c r="A242" s="3"/>
      <c r="B242" s="4"/>
      <c r="C242" s="4"/>
      <c r="D242" s="4"/>
      <c r="E242" s="4"/>
      <c r="G242" s="4"/>
      <c r="N242" s="3"/>
      <c r="O242" s="4"/>
      <c r="P242" s="4"/>
      <c r="Q242" s="4"/>
    </row>
    <row r="243" spans="1:17" x14ac:dyDescent="0.3">
      <c r="A243" s="3"/>
      <c r="B243" s="4"/>
      <c r="C243" s="4"/>
      <c r="D243" s="4"/>
      <c r="E243" s="4"/>
      <c r="G243" s="4"/>
      <c r="N243" s="3"/>
      <c r="O243" s="4"/>
      <c r="P243" s="4"/>
      <c r="Q243" s="4"/>
    </row>
    <row r="244" spans="1:17" x14ac:dyDescent="0.3">
      <c r="A244" s="3"/>
      <c r="B244" s="4"/>
      <c r="C244" s="4"/>
      <c r="D244" s="4"/>
      <c r="E244" s="4"/>
      <c r="G244" s="4"/>
      <c r="N244" s="3"/>
      <c r="O244" s="4"/>
      <c r="P244" s="4"/>
      <c r="Q244" s="4"/>
    </row>
    <row r="245" spans="1:17" x14ac:dyDescent="0.3">
      <c r="A245" s="3"/>
      <c r="B245" s="4"/>
      <c r="C245" s="4"/>
      <c r="D245" s="4"/>
      <c r="E245" s="4"/>
      <c r="G245" s="4"/>
      <c r="N245" s="3"/>
      <c r="O245" s="4"/>
      <c r="P245" s="4"/>
      <c r="Q245" s="4"/>
    </row>
    <row r="246" spans="1:17" x14ac:dyDescent="0.3">
      <c r="A246" s="3"/>
      <c r="B246" s="4"/>
      <c r="C246" s="4"/>
      <c r="D246" s="4"/>
      <c r="E246" s="4"/>
      <c r="G246" s="4"/>
      <c r="N246" s="3"/>
      <c r="O246" s="4"/>
      <c r="P246" s="4"/>
      <c r="Q246" s="4"/>
    </row>
    <row r="247" spans="1:17" x14ac:dyDescent="0.3">
      <c r="A247" s="3"/>
      <c r="B247" s="4"/>
      <c r="C247" s="4"/>
      <c r="D247" s="4"/>
      <c r="E247" s="4"/>
      <c r="G247" s="4"/>
      <c r="N247" s="3"/>
      <c r="O247" s="4"/>
      <c r="P247" s="4"/>
      <c r="Q247" s="4"/>
    </row>
    <row r="248" spans="1:17" x14ac:dyDescent="0.3">
      <c r="A248" s="3"/>
      <c r="B248" s="4"/>
      <c r="C248" s="4"/>
      <c r="D248" s="4"/>
      <c r="E248" s="4"/>
      <c r="G248" s="4"/>
      <c r="N248" s="3"/>
      <c r="O248" s="4"/>
      <c r="P248" s="4"/>
      <c r="Q248" s="4"/>
    </row>
    <row r="249" spans="1:17" x14ac:dyDescent="0.3">
      <c r="A249" s="3"/>
      <c r="B249" s="4"/>
      <c r="C249" s="4"/>
      <c r="D249" s="4"/>
      <c r="E249" s="4"/>
      <c r="G249" s="4"/>
      <c r="N249" s="3"/>
      <c r="O249" s="4"/>
      <c r="P249" s="4"/>
      <c r="Q249" s="4"/>
    </row>
    <row r="250" spans="1:17" x14ac:dyDescent="0.3">
      <c r="A250" s="3"/>
      <c r="B250" s="4"/>
      <c r="C250" s="4"/>
      <c r="D250" s="4"/>
      <c r="E250" s="4"/>
      <c r="G250" s="4"/>
    </row>
    <row r="251" spans="1:17" x14ac:dyDescent="0.3">
      <c r="A251" s="3"/>
      <c r="B251" s="4"/>
      <c r="C251" s="4"/>
      <c r="D251" s="4"/>
      <c r="E251" s="4"/>
      <c r="G251" s="4"/>
    </row>
    <row r="252" spans="1:17" x14ac:dyDescent="0.3">
      <c r="A252" s="3"/>
      <c r="B252" s="4"/>
      <c r="C252" s="4"/>
      <c r="D252" s="4"/>
      <c r="E252" s="4"/>
      <c r="G252" s="4"/>
    </row>
    <row r="253" spans="1:17" x14ac:dyDescent="0.3">
      <c r="A253" s="3"/>
      <c r="B253" s="4"/>
      <c r="C253" s="4"/>
      <c r="D253" s="4"/>
      <c r="E253" s="4"/>
      <c r="G253" s="4"/>
    </row>
    <row r="254" spans="1:17" x14ac:dyDescent="0.3">
      <c r="A254" s="3"/>
      <c r="B254" s="4"/>
      <c r="C254" s="4"/>
      <c r="D254" s="4"/>
      <c r="E254" s="4"/>
      <c r="G254" s="4"/>
    </row>
    <row r="255" spans="1:17" x14ac:dyDescent="0.3">
      <c r="A255" s="3"/>
      <c r="B255" s="4"/>
      <c r="C255" s="4"/>
      <c r="D255" s="4"/>
      <c r="E255" s="4"/>
      <c r="G255" s="4"/>
    </row>
    <row r="256" spans="1:17" x14ac:dyDescent="0.3">
      <c r="A256" s="3"/>
      <c r="B256" s="4"/>
      <c r="C256" s="4"/>
      <c r="D256" s="4"/>
      <c r="E256" s="4"/>
      <c r="G256" s="4"/>
    </row>
    <row r="257" spans="1:7" x14ac:dyDescent="0.3">
      <c r="A257" s="3"/>
      <c r="B257" s="4"/>
      <c r="C257" s="4"/>
      <c r="D257" s="4"/>
      <c r="E257" s="4"/>
      <c r="G257" s="4"/>
    </row>
    <row r="258" spans="1:7" x14ac:dyDescent="0.3">
      <c r="A258" s="3"/>
      <c r="B258" s="4"/>
      <c r="C258" s="4"/>
      <c r="D258" s="4"/>
      <c r="E258" s="4"/>
      <c r="G258" s="4"/>
    </row>
    <row r="259" spans="1:7" x14ac:dyDescent="0.3">
      <c r="A259" s="3"/>
      <c r="B259" s="4"/>
      <c r="C259" s="4"/>
      <c r="D259" s="4"/>
      <c r="E259" s="4"/>
      <c r="G259" s="4"/>
    </row>
    <row r="260" spans="1:7" x14ac:dyDescent="0.3">
      <c r="A260" s="3"/>
      <c r="B260" s="4"/>
      <c r="C260" s="4"/>
      <c r="D260" s="4"/>
      <c r="E260" s="4"/>
      <c r="G260" s="4"/>
    </row>
    <row r="261" spans="1:7" x14ac:dyDescent="0.3">
      <c r="A261" s="3"/>
      <c r="B261" s="4"/>
      <c r="C261" s="4"/>
      <c r="D261" s="4"/>
      <c r="E261" s="4"/>
      <c r="G261" s="4"/>
    </row>
    <row r="262" spans="1:7" x14ac:dyDescent="0.3">
      <c r="A262" s="3"/>
      <c r="B262" s="4"/>
      <c r="C262" s="4"/>
      <c r="D262" s="4"/>
      <c r="E262" s="4"/>
      <c r="G262" s="4"/>
    </row>
    <row r="263" spans="1:7" x14ac:dyDescent="0.3">
      <c r="A263" s="3"/>
      <c r="B263" s="4"/>
      <c r="C263" s="4"/>
      <c r="D263" s="4"/>
      <c r="E263" s="4"/>
      <c r="G263" s="4"/>
    </row>
    <row r="264" spans="1:7" x14ac:dyDescent="0.3">
      <c r="A264" s="3"/>
      <c r="B264" s="4"/>
      <c r="C264" s="4"/>
      <c r="D264" s="4"/>
      <c r="E264" s="4"/>
      <c r="G264" s="4"/>
    </row>
    <row r="265" spans="1:7" x14ac:dyDescent="0.3">
      <c r="A265" s="3"/>
      <c r="B265" s="4"/>
      <c r="C265" s="4"/>
      <c r="D265" s="4"/>
      <c r="E265" s="4"/>
      <c r="G265" s="4"/>
    </row>
    <row r="266" spans="1:7" x14ac:dyDescent="0.3">
      <c r="A266" s="3"/>
      <c r="B266" s="4"/>
      <c r="C266" s="4"/>
      <c r="D266" s="4"/>
      <c r="E266" s="4"/>
      <c r="G266" s="4"/>
    </row>
    <row r="267" spans="1:7" x14ac:dyDescent="0.3">
      <c r="A267" s="3"/>
      <c r="B267" s="4"/>
      <c r="C267" s="4"/>
      <c r="D267" s="4"/>
      <c r="E267" s="4"/>
      <c r="G267" s="4"/>
    </row>
    <row r="268" spans="1:7" x14ac:dyDescent="0.3">
      <c r="A268" s="3"/>
      <c r="B268" s="4"/>
      <c r="C268" s="4"/>
      <c r="D268" s="4"/>
      <c r="E268" s="4"/>
      <c r="G268" s="4"/>
    </row>
    <row r="269" spans="1:7" x14ac:dyDescent="0.3">
      <c r="A269" s="3"/>
      <c r="B269" s="4"/>
      <c r="C269" s="4"/>
      <c r="D269" s="4"/>
      <c r="E269" s="4"/>
      <c r="G269" s="4"/>
    </row>
    <row r="270" spans="1:7" x14ac:dyDescent="0.3">
      <c r="A270" s="3"/>
      <c r="B270" s="4"/>
      <c r="C270" s="4"/>
      <c r="D270" s="4"/>
      <c r="E270" s="4"/>
      <c r="G270" s="4"/>
    </row>
    <row r="271" spans="1:7" x14ac:dyDescent="0.3">
      <c r="A271" s="3"/>
      <c r="B271" s="4"/>
      <c r="C271" s="4"/>
      <c r="D271" s="4"/>
      <c r="E271" s="4"/>
      <c r="G271" s="4"/>
    </row>
    <row r="272" spans="1:7" x14ac:dyDescent="0.3">
      <c r="A272" s="3"/>
      <c r="B272" s="4"/>
      <c r="C272" s="4"/>
      <c r="D272" s="4"/>
      <c r="E272" s="4"/>
      <c r="G272" s="4"/>
    </row>
    <row r="273" spans="1:7" x14ac:dyDescent="0.3">
      <c r="A273" s="3"/>
      <c r="B273" s="4"/>
      <c r="C273" s="4"/>
      <c r="D273" s="4"/>
      <c r="E273" s="4"/>
      <c r="G273" s="4"/>
    </row>
    <row r="274" spans="1:7" x14ac:dyDescent="0.3">
      <c r="A274" s="3"/>
      <c r="B274" s="4"/>
      <c r="C274" s="4"/>
      <c r="D274" s="4"/>
      <c r="E274" s="4"/>
      <c r="G274" s="4"/>
    </row>
    <row r="275" spans="1:7" x14ac:dyDescent="0.3">
      <c r="A275" s="3"/>
      <c r="B275" s="4"/>
      <c r="C275" s="4"/>
      <c r="D275" s="4"/>
      <c r="E275" s="4"/>
      <c r="G275" s="4"/>
    </row>
    <row r="276" spans="1:7" x14ac:dyDescent="0.3">
      <c r="A276" s="3"/>
      <c r="B276" s="4"/>
      <c r="C276" s="4"/>
      <c r="D276" s="4"/>
      <c r="E276" s="4"/>
      <c r="G276" s="4"/>
    </row>
    <row r="277" spans="1:7" x14ac:dyDescent="0.3">
      <c r="A277" s="3"/>
      <c r="B277" s="4"/>
      <c r="C277" s="4"/>
      <c r="D277" s="4"/>
      <c r="E277" s="4"/>
      <c r="G277" s="4"/>
    </row>
    <row r="278" spans="1:7" x14ac:dyDescent="0.3">
      <c r="A278" s="3"/>
      <c r="B278" s="4"/>
      <c r="C278" s="4"/>
      <c r="D278" s="4"/>
      <c r="E278" s="4"/>
      <c r="G278" s="4"/>
    </row>
    <row r="279" spans="1:7" x14ac:dyDescent="0.3">
      <c r="A279" s="3"/>
      <c r="B279" s="4"/>
      <c r="C279" s="4"/>
      <c r="D279" s="4"/>
      <c r="E279" s="4"/>
      <c r="G279" s="4"/>
    </row>
    <row r="280" spans="1:7" x14ac:dyDescent="0.3">
      <c r="A280" s="3"/>
      <c r="B280" s="4"/>
      <c r="C280" s="4"/>
      <c r="D280" s="4"/>
      <c r="E280" s="4"/>
      <c r="G280" s="4"/>
    </row>
    <row r="281" spans="1:7" x14ac:dyDescent="0.3">
      <c r="A281" s="3"/>
      <c r="B281" s="4"/>
      <c r="C281" s="4"/>
      <c r="D281" s="4"/>
      <c r="E281" s="4"/>
      <c r="G281" s="4"/>
    </row>
    <row r="282" spans="1:7" x14ac:dyDescent="0.3">
      <c r="A282" s="3"/>
      <c r="B282" s="4"/>
      <c r="C282" s="4"/>
      <c r="D282" s="4"/>
      <c r="E282" s="4"/>
      <c r="G282" s="4"/>
    </row>
    <row r="283" spans="1:7" x14ac:dyDescent="0.3">
      <c r="A283" s="3"/>
      <c r="B283" s="4"/>
      <c r="C283" s="4"/>
      <c r="D283" s="4"/>
      <c r="E283" s="4"/>
      <c r="G283" s="4"/>
    </row>
    <row r="284" spans="1:7" x14ac:dyDescent="0.3">
      <c r="A284" s="3"/>
      <c r="B284" s="4"/>
      <c r="C284" s="4"/>
      <c r="D284" s="4"/>
      <c r="E284" s="4"/>
      <c r="G284" s="4"/>
    </row>
    <row r="285" spans="1:7" x14ac:dyDescent="0.3">
      <c r="A285" s="3"/>
      <c r="B285" s="4"/>
      <c r="C285" s="4"/>
      <c r="D285" s="4"/>
      <c r="E285" s="4"/>
      <c r="G285" s="4"/>
    </row>
    <row r="286" spans="1:7" x14ac:dyDescent="0.3">
      <c r="A286" s="3"/>
      <c r="B286" s="4"/>
      <c r="C286" s="4"/>
      <c r="D286" s="4"/>
      <c r="E286" s="4"/>
      <c r="G286" s="4"/>
    </row>
    <row r="287" spans="1:7" x14ac:dyDescent="0.3">
      <c r="A287" s="3"/>
      <c r="B287" s="4"/>
      <c r="C287" s="4"/>
      <c r="D287" s="4"/>
      <c r="E287" s="4"/>
      <c r="G287" s="4"/>
    </row>
    <row r="288" spans="1:7" x14ac:dyDescent="0.3">
      <c r="A288" s="3"/>
      <c r="B288" s="4"/>
      <c r="C288" s="4"/>
      <c r="D288" s="4"/>
      <c r="E288" s="4"/>
      <c r="G288" s="4"/>
    </row>
    <row r="289" spans="1:7" x14ac:dyDescent="0.3">
      <c r="A289" s="3"/>
      <c r="B289" s="4"/>
      <c r="C289" s="4"/>
      <c r="D289" s="4"/>
      <c r="E289" s="4"/>
      <c r="G289" s="4"/>
    </row>
    <row r="290" spans="1:7" x14ac:dyDescent="0.3">
      <c r="A290" s="3"/>
      <c r="B290" s="4"/>
      <c r="C290" s="4"/>
      <c r="D290" s="4"/>
      <c r="E290" s="4"/>
      <c r="G290" s="4"/>
    </row>
    <row r="291" spans="1:7" x14ac:dyDescent="0.3">
      <c r="A291" s="3"/>
    </row>
    <row r="292" spans="1:7" x14ac:dyDescent="0.3">
      <c r="A292" s="3"/>
    </row>
    <row r="293" spans="1:7" x14ac:dyDescent="0.3">
      <c r="A293" s="3"/>
    </row>
    <row r="294" spans="1:7" x14ac:dyDescent="0.3">
      <c r="A294" s="3"/>
    </row>
    <row r="295" spans="1:7" x14ac:dyDescent="0.3">
      <c r="A295" s="3"/>
    </row>
    <row r="296" spans="1:7" x14ac:dyDescent="0.3">
      <c r="A296" s="3"/>
    </row>
    <row r="297" spans="1:7" x14ac:dyDescent="0.3">
      <c r="A297" s="3"/>
    </row>
    <row r="298" spans="1:7" x14ac:dyDescent="0.3">
      <c r="A298" s="3"/>
    </row>
    <row r="299" spans="1:7" x14ac:dyDescent="0.3">
      <c r="A299" s="3"/>
    </row>
    <row r="300" spans="1:7" x14ac:dyDescent="0.3">
      <c r="A300" s="3"/>
    </row>
    <row r="301" spans="1:7" x14ac:dyDescent="0.3">
      <c r="A301" s="3"/>
    </row>
    <row r="302" spans="1:7" x14ac:dyDescent="0.3">
      <c r="A302" s="3"/>
    </row>
    <row r="303" spans="1:7" x14ac:dyDescent="0.3">
      <c r="A303" s="3"/>
    </row>
    <row r="304" spans="1:7" x14ac:dyDescent="0.3">
      <c r="A304" s="3"/>
    </row>
    <row r="305" spans="1:1" x14ac:dyDescent="0.3">
      <c r="A305" s="3"/>
    </row>
    <row r="306" spans="1:1" x14ac:dyDescent="0.3">
      <c r="A306" s="3"/>
    </row>
    <row r="307" spans="1:1" x14ac:dyDescent="0.3">
      <c r="A307" s="3"/>
    </row>
    <row r="308" spans="1:1" x14ac:dyDescent="0.3">
      <c r="A308" s="3"/>
    </row>
    <row r="309" spans="1:1" x14ac:dyDescent="0.3">
      <c r="A309" s="3"/>
    </row>
    <row r="310" spans="1:1" x14ac:dyDescent="0.3">
      <c r="A310" s="3"/>
    </row>
    <row r="311" spans="1:1" x14ac:dyDescent="0.3">
      <c r="A311" s="3"/>
    </row>
    <row r="312" spans="1:1" x14ac:dyDescent="0.3">
      <c r="A312" s="3"/>
    </row>
    <row r="313" spans="1:1" x14ac:dyDescent="0.3">
      <c r="A313" s="3"/>
    </row>
    <row r="314" spans="1:1" x14ac:dyDescent="0.3">
      <c r="A314" s="3"/>
    </row>
    <row r="315" spans="1:1" x14ac:dyDescent="0.3">
      <c r="A315" s="3"/>
    </row>
    <row r="316" spans="1:1" x14ac:dyDescent="0.3">
      <c r="A316" s="3"/>
    </row>
    <row r="317" spans="1:1" x14ac:dyDescent="0.3">
      <c r="A317" s="3"/>
    </row>
    <row r="318" spans="1:1" x14ac:dyDescent="0.3">
      <c r="A318" s="3"/>
    </row>
    <row r="319" spans="1:1" x14ac:dyDescent="0.3">
      <c r="A319" s="3"/>
    </row>
    <row r="320" spans="1:1" x14ac:dyDescent="0.3">
      <c r="A320" s="3"/>
    </row>
    <row r="321" spans="1:8" x14ac:dyDescent="0.3">
      <c r="A321" s="3"/>
    </row>
    <row r="322" spans="1:8" x14ac:dyDescent="0.3">
      <c r="A322" s="3"/>
    </row>
    <row r="323" spans="1:8" x14ac:dyDescent="0.3">
      <c r="A323" s="3"/>
    </row>
    <row r="324" spans="1:8" x14ac:dyDescent="0.3">
      <c r="A324" s="3"/>
    </row>
    <row r="325" spans="1:8" x14ac:dyDescent="0.3">
      <c r="A325" s="3"/>
    </row>
    <row r="326" spans="1:8" x14ac:dyDescent="0.3">
      <c r="A326" s="3"/>
    </row>
    <row r="327" spans="1:8" x14ac:dyDescent="0.3">
      <c r="A327" s="3"/>
    </row>
    <row r="329" spans="1:8" x14ac:dyDescent="0.3">
      <c r="A329" s="248"/>
      <c r="B329" s="248"/>
      <c r="C329" s="248"/>
      <c r="D329" s="248"/>
      <c r="E329" s="248"/>
      <c r="F329" s="248"/>
      <c r="G329" s="248"/>
      <c r="H329" s="248"/>
    </row>
    <row r="330" spans="1:8" x14ac:dyDescent="0.3">
      <c r="A330" s="2"/>
      <c r="B330" s="2"/>
      <c r="C330" s="2"/>
      <c r="D330" s="2"/>
      <c r="E330" s="2"/>
      <c r="F330" s="2"/>
      <c r="G330" s="2"/>
      <c r="H330" s="2"/>
    </row>
    <row r="331" spans="1:8" x14ac:dyDescent="0.3">
      <c r="A331" s="3"/>
      <c r="B331" s="4"/>
      <c r="C331" s="4"/>
      <c r="D331" s="4"/>
      <c r="E331" s="4"/>
      <c r="G331" s="4"/>
    </row>
    <row r="332" spans="1:8" x14ac:dyDescent="0.3">
      <c r="A332" s="3"/>
      <c r="B332" s="4"/>
      <c r="C332" s="4"/>
      <c r="D332" s="4"/>
      <c r="E332" s="4"/>
      <c r="G332" s="4"/>
    </row>
    <row r="333" spans="1:8" x14ac:dyDescent="0.3">
      <c r="A333" s="3"/>
      <c r="B333" s="4"/>
      <c r="C333" s="4"/>
      <c r="D333" s="4"/>
      <c r="E333" s="4"/>
      <c r="G333" s="4"/>
    </row>
    <row r="334" spans="1:8" x14ac:dyDescent="0.3">
      <c r="A334" s="3"/>
      <c r="B334" s="4"/>
      <c r="C334" s="4"/>
      <c r="D334" s="4"/>
      <c r="E334" s="4"/>
      <c r="G334" s="4"/>
    </row>
    <row r="335" spans="1:8" x14ac:dyDescent="0.3">
      <c r="A335" s="3"/>
      <c r="B335" s="4"/>
      <c r="C335" s="4"/>
      <c r="D335" s="4"/>
      <c r="E335" s="4"/>
      <c r="G335" s="4"/>
    </row>
    <row r="336" spans="1:8" x14ac:dyDescent="0.3">
      <c r="A336" s="3"/>
      <c r="B336" s="4"/>
      <c r="C336" s="4"/>
      <c r="D336" s="4"/>
      <c r="E336" s="4"/>
      <c r="G336" s="4"/>
    </row>
    <row r="337" spans="1:7" x14ac:dyDescent="0.3">
      <c r="A337" s="3"/>
      <c r="B337" s="4"/>
      <c r="C337" s="4"/>
      <c r="D337" s="4"/>
      <c r="E337" s="4"/>
      <c r="G337" s="4"/>
    </row>
    <row r="338" spans="1:7" x14ac:dyDescent="0.3">
      <c r="A338" s="3"/>
      <c r="B338" s="4"/>
      <c r="C338" s="4"/>
      <c r="D338" s="4"/>
      <c r="E338" s="4"/>
      <c r="G338" s="4"/>
    </row>
    <row r="339" spans="1:7" x14ac:dyDescent="0.3">
      <c r="A339" s="3"/>
      <c r="B339" s="4"/>
      <c r="C339" s="4"/>
      <c r="D339" s="4"/>
      <c r="E339" s="4"/>
      <c r="G339" s="4"/>
    </row>
    <row r="340" spans="1:7" x14ac:dyDescent="0.3">
      <c r="A340" s="3"/>
      <c r="B340" s="4"/>
      <c r="C340" s="4"/>
      <c r="D340" s="4"/>
      <c r="E340" s="4"/>
      <c r="G340" s="4"/>
    </row>
    <row r="341" spans="1:7" x14ac:dyDescent="0.3">
      <c r="A341" s="3"/>
      <c r="B341" s="4"/>
      <c r="C341" s="4"/>
      <c r="D341" s="4"/>
      <c r="E341" s="4"/>
      <c r="G341" s="4"/>
    </row>
    <row r="342" spans="1:7" x14ac:dyDescent="0.3">
      <c r="A342" s="3"/>
      <c r="B342" s="4"/>
      <c r="C342" s="4"/>
      <c r="D342" s="4"/>
      <c r="E342" s="4"/>
      <c r="G342" s="4"/>
    </row>
    <row r="343" spans="1:7" x14ac:dyDescent="0.3">
      <c r="A343" s="3"/>
      <c r="B343" s="4"/>
      <c r="C343" s="4"/>
      <c r="D343" s="4"/>
      <c r="E343" s="4"/>
      <c r="G343" s="4"/>
    </row>
    <row r="344" spans="1:7" x14ac:dyDescent="0.3">
      <c r="A344" s="3"/>
      <c r="B344" s="4"/>
      <c r="C344" s="4"/>
      <c r="D344" s="4"/>
      <c r="E344" s="4"/>
      <c r="G344" s="4"/>
    </row>
    <row r="345" spans="1:7" x14ac:dyDescent="0.3">
      <c r="A345" s="3"/>
      <c r="B345" s="4"/>
      <c r="C345" s="4"/>
      <c r="D345" s="4"/>
      <c r="E345" s="4"/>
      <c r="G345" s="4"/>
    </row>
    <row r="346" spans="1:7" x14ac:dyDescent="0.3">
      <c r="A346" s="3"/>
      <c r="B346" s="4"/>
      <c r="C346" s="4"/>
      <c r="D346" s="4"/>
      <c r="E346" s="4"/>
      <c r="G346" s="4"/>
    </row>
    <row r="347" spans="1:7" x14ac:dyDescent="0.3">
      <c r="A347" s="3"/>
      <c r="B347" s="4"/>
      <c r="C347" s="4"/>
      <c r="D347" s="4"/>
      <c r="E347" s="4"/>
      <c r="G347" s="4"/>
    </row>
    <row r="348" spans="1:7" x14ac:dyDescent="0.3">
      <c r="A348" s="3"/>
      <c r="B348" s="4"/>
      <c r="C348" s="4"/>
      <c r="D348" s="4"/>
      <c r="E348" s="4"/>
      <c r="G348" s="4"/>
    </row>
    <row r="349" spans="1:7" x14ac:dyDescent="0.3">
      <c r="A349" s="3"/>
      <c r="B349" s="4"/>
      <c r="C349" s="4"/>
      <c r="D349" s="4"/>
      <c r="E349" s="4"/>
      <c r="G349" s="4"/>
    </row>
    <row r="350" spans="1:7" x14ac:dyDescent="0.3">
      <c r="A350" s="3"/>
      <c r="B350" s="4"/>
      <c r="C350" s="4"/>
      <c r="D350" s="4"/>
      <c r="E350" s="4"/>
      <c r="G350" s="4"/>
    </row>
    <row r="351" spans="1:7" x14ac:dyDescent="0.3">
      <c r="A351" s="3"/>
      <c r="B351" s="4"/>
      <c r="C351" s="4"/>
      <c r="D351" s="4"/>
      <c r="E351" s="4"/>
      <c r="G351" s="4"/>
    </row>
    <row r="352" spans="1:7" x14ac:dyDescent="0.3">
      <c r="A352" s="3"/>
      <c r="B352" s="4"/>
      <c r="C352" s="4"/>
      <c r="D352" s="4"/>
      <c r="E352" s="4"/>
      <c r="G352" s="4"/>
    </row>
    <row r="353" spans="1:7" x14ac:dyDescent="0.3">
      <c r="A353" s="3"/>
      <c r="B353" s="4"/>
      <c r="C353" s="4"/>
      <c r="D353" s="4"/>
      <c r="E353" s="4"/>
      <c r="G353" s="4"/>
    </row>
    <row r="354" spans="1:7" x14ac:dyDescent="0.3">
      <c r="A354" s="3"/>
      <c r="B354" s="4"/>
      <c r="C354" s="4"/>
      <c r="D354" s="4"/>
      <c r="E354" s="4"/>
      <c r="G354" s="4"/>
    </row>
    <row r="355" spans="1:7" x14ac:dyDescent="0.3">
      <c r="A355" s="3"/>
      <c r="B355" s="4"/>
      <c r="C355" s="4"/>
      <c r="D355" s="4"/>
      <c r="E355" s="4"/>
      <c r="G355" s="4"/>
    </row>
    <row r="356" spans="1:7" x14ac:dyDescent="0.3">
      <c r="A356" s="3"/>
      <c r="B356" s="4"/>
      <c r="C356" s="4"/>
      <c r="D356" s="4"/>
      <c r="E356" s="4"/>
      <c r="G356" s="4"/>
    </row>
    <row r="357" spans="1:7" x14ac:dyDescent="0.3">
      <c r="A357" s="3"/>
      <c r="B357" s="4"/>
      <c r="C357" s="4"/>
      <c r="D357" s="4"/>
      <c r="E357" s="4"/>
      <c r="G357" s="4"/>
    </row>
    <row r="358" spans="1:7" x14ac:dyDescent="0.3">
      <c r="A358" s="3"/>
      <c r="B358" s="4"/>
      <c r="C358" s="4"/>
      <c r="D358" s="4"/>
      <c r="E358" s="4"/>
      <c r="G358" s="4"/>
    </row>
    <row r="359" spans="1:7" x14ac:dyDescent="0.3">
      <c r="A359" s="3"/>
      <c r="B359" s="4"/>
      <c r="C359" s="4"/>
      <c r="D359" s="4"/>
      <c r="E359" s="4"/>
      <c r="G359" s="4"/>
    </row>
    <row r="360" spans="1:7" x14ac:dyDescent="0.3">
      <c r="A360" s="3"/>
      <c r="B360" s="4"/>
      <c r="C360" s="4"/>
      <c r="D360" s="4"/>
      <c r="E360" s="4"/>
      <c r="G360" s="4"/>
    </row>
    <row r="361" spans="1:7" x14ac:dyDescent="0.3">
      <c r="A361" s="3"/>
      <c r="B361" s="4"/>
      <c r="C361" s="4"/>
      <c r="D361" s="4"/>
      <c r="E361" s="4"/>
      <c r="G361" s="4"/>
    </row>
    <row r="362" spans="1:7" x14ac:dyDescent="0.3">
      <c r="A362" s="3"/>
      <c r="B362" s="4"/>
      <c r="C362" s="4"/>
      <c r="D362" s="4"/>
      <c r="E362" s="4"/>
      <c r="G362" s="4"/>
    </row>
    <row r="363" spans="1:7" x14ac:dyDescent="0.3">
      <c r="A363" s="3"/>
      <c r="B363" s="4"/>
      <c r="C363" s="4"/>
      <c r="D363" s="4"/>
      <c r="E363" s="4"/>
      <c r="G363" s="4"/>
    </row>
    <row r="364" spans="1:7" x14ac:dyDescent="0.3">
      <c r="A364" s="3"/>
      <c r="B364" s="4"/>
      <c r="C364" s="4"/>
      <c r="D364" s="4"/>
      <c r="E364" s="4"/>
      <c r="G364" s="4"/>
    </row>
    <row r="365" spans="1:7" x14ac:dyDescent="0.3">
      <c r="A365" s="3"/>
      <c r="B365" s="4"/>
      <c r="C365" s="4"/>
      <c r="D365" s="4"/>
      <c r="E365" s="4"/>
      <c r="G365" s="4"/>
    </row>
    <row r="366" spans="1:7" x14ac:dyDescent="0.3">
      <c r="A366" s="3"/>
      <c r="B366" s="4"/>
      <c r="C366" s="4"/>
      <c r="D366" s="4"/>
      <c r="E366" s="4"/>
      <c r="G366" s="4"/>
    </row>
    <row r="367" spans="1:7" x14ac:dyDescent="0.3">
      <c r="A367" s="3"/>
      <c r="B367" s="4"/>
      <c r="C367" s="4"/>
      <c r="D367" s="4"/>
      <c r="E367" s="4"/>
      <c r="G367" s="4"/>
    </row>
    <row r="368" spans="1:7" x14ac:dyDescent="0.3">
      <c r="A368" s="3"/>
      <c r="B368" s="4"/>
      <c r="C368" s="4"/>
      <c r="D368" s="4"/>
      <c r="E368" s="4"/>
      <c r="G368" s="4"/>
    </row>
    <row r="369" spans="1:7" x14ac:dyDescent="0.3">
      <c r="A369" s="3"/>
      <c r="B369" s="4"/>
      <c r="C369" s="4"/>
      <c r="D369" s="4"/>
      <c r="E369" s="4"/>
      <c r="G369" s="4"/>
    </row>
    <row r="370" spans="1:7" x14ac:dyDescent="0.3">
      <c r="A370" s="3"/>
      <c r="B370" s="4"/>
      <c r="C370" s="4"/>
      <c r="D370" s="4"/>
      <c r="E370" s="4"/>
      <c r="G370" s="4"/>
    </row>
    <row r="371" spans="1:7" x14ac:dyDescent="0.3">
      <c r="A371" s="3"/>
      <c r="B371" s="4"/>
      <c r="C371" s="4"/>
      <c r="D371" s="4"/>
      <c r="E371" s="4"/>
      <c r="G371" s="4"/>
    </row>
    <row r="372" spans="1:7" x14ac:dyDescent="0.3">
      <c r="A372" s="3"/>
      <c r="B372" s="4"/>
      <c r="C372" s="4"/>
      <c r="D372" s="4"/>
      <c r="E372" s="4"/>
      <c r="G372" s="4"/>
    </row>
    <row r="373" spans="1:7" x14ac:dyDescent="0.3">
      <c r="A373" s="3"/>
      <c r="B373" s="4"/>
      <c r="C373" s="4"/>
      <c r="D373" s="4"/>
      <c r="E373" s="4"/>
      <c r="G373" s="4"/>
    </row>
    <row r="374" spans="1:7" x14ac:dyDescent="0.3">
      <c r="A374" s="3"/>
      <c r="B374" s="4"/>
      <c r="C374" s="4"/>
      <c r="D374" s="4"/>
      <c r="E374" s="4"/>
      <c r="G374" s="4"/>
    </row>
    <row r="375" spans="1:7" x14ac:dyDescent="0.3">
      <c r="A375" s="3"/>
      <c r="B375" s="4"/>
      <c r="C375" s="4"/>
      <c r="D375" s="4"/>
      <c r="E375" s="4"/>
      <c r="G375" s="4"/>
    </row>
    <row r="376" spans="1:7" x14ac:dyDescent="0.3">
      <c r="A376" s="3"/>
      <c r="B376" s="4"/>
      <c r="C376" s="4"/>
      <c r="D376" s="4"/>
      <c r="E376" s="4"/>
      <c r="G376" s="4"/>
    </row>
    <row r="377" spans="1:7" x14ac:dyDescent="0.3">
      <c r="A377" s="3"/>
      <c r="B377" s="4"/>
      <c r="C377" s="4"/>
      <c r="D377" s="4"/>
      <c r="E377" s="4"/>
      <c r="G377" s="4"/>
    </row>
    <row r="378" spans="1:7" x14ac:dyDescent="0.3">
      <c r="A378" s="3"/>
      <c r="B378" s="4"/>
      <c r="C378" s="4"/>
      <c r="D378" s="4"/>
      <c r="E378" s="4"/>
      <c r="G378" s="4"/>
    </row>
    <row r="379" spans="1:7" x14ac:dyDescent="0.3">
      <c r="A379" s="3"/>
      <c r="B379" s="4"/>
      <c r="C379" s="4"/>
      <c r="D379" s="4"/>
      <c r="E379" s="4"/>
      <c r="G379" s="4"/>
    </row>
    <row r="380" spans="1:7" x14ac:dyDescent="0.3">
      <c r="A380" s="3"/>
      <c r="B380" s="4"/>
      <c r="C380" s="4"/>
      <c r="D380" s="4"/>
      <c r="E380" s="4"/>
      <c r="G380" s="4"/>
    </row>
    <row r="381" spans="1:7" x14ac:dyDescent="0.3">
      <c r="A381" s="3"/>
      <c r="B381" s="4"/>
      <c r="C381" s="4"/>
      <c r="D381" s="4"/>
      <c r="E381" s="4"/>
      <c r="G381" s="4"/>
    </row>
    <row r="382" spans="1:7" x14ac:dyDescent="0.3">
      <c r="A382" s="3"/>
      <c r="B382" s="4"/>
      <c r="C382" s="4"/>
      <c r="D382" s="4"/>
      <c r="E382" s="4"/>
      <c r="G382" s="4"/>
    </row>
    <row r="383" spans="1:7" x14ac:dyDescent="0.3">
      <c r="A383" s="3"/>
      <c r="B383" s="4"/>
      <c r="C383" s="4"/>
      <c r="D383" s="4"/>
      <c r="E383" s="4"/>
      <c r="G383" s="4"/>
    </row>
    <row r="384" spans="1:7" x14ac:dyDescent="0.3">
      <c r="A384" s="3"/>
      <c r="B384" s="4"/>
      <c r="C384" s="4"/>
      <c r="D384" s="4"/>
      <c r="E384" s="4"/>
      <c r="G384" s="4"/>
    </row>
    <row r="385" spans="1:7" x14ac:dyDescent="0.3">
      <c r="A385" s="3"/>
      <c r="B385" s="4"/>
      <c r="C385" s="4"/>
      <c r="D385" s="4"/>
      <c r="E385" s="4"/>
      <c r="G385" s="4"/>
    </row>
    <row r="386" spans="1:7" x14ac:dyDescent="0.3">
      <c r="A386" s="3"/>
      <c r="B386" s="4"/>
      <c r="C386" s="4"/>
      <c r="D386" s="4"/>
      <c r="E386" s="4"/>
      <c r="G386" s="4"/>
    </row>
    <row r="387" spans="1:7" x14ac:dyDescent="0.3">
      <c r="A387" s="3"/>
      <c r="B387" s="4"/>
      <c r="C387" s="4"/>
      <c r="D387" s="4"/>
      <c r="E387" s="4"/>
      <c r="G387" s="4"/>
    </row>
    <row r="388" spans="1:7" x14ac:dyDescent="0.3">
      <c r="A388" s="3"/>
      <c r="B388" s="4"/>
      <c r="C388" s="4"/>
      <c r="D388" s="4"/>
      <c r="E388" s="4"/>
      <c r="G388" s="4"/>
    </row>
    <row r="389" spans="1:7" x14ac:dyDescent="0.3">
      <c r="A389" s="3"/>
      <c r="B389" s="4"/>
      <c r="C389" s="4"/>
      <c r="D389" s="4"/>
      <c r="E389" s="4"/>
      <c r="G389" s="4"/>
    </row>
    <row r="390" spans="1:7" x14ac:dyDescent="0.3">
      <c r="A390" s="3"/>
      <c r="B390" s="4"/>
      <c r="C390" s="4"/>
      <c r="D390" s="4"/>
      <c r="E390" s="4"/>
      <c r="G390" s="4"/>
    </row>
    <row r="391" spans="1:7" x14ac:dyDescent="0.3">
      <c r="A391" s="3"/>
      <c r="B391" s="4"/>
      <c r="C391" s="4"/>
      <c r="D391" s="4"/>
      <c r="E391" s="4"/>
      <c r="G391" s="4"/>
    </row>
    <row r="392" spans="1:7" x14ac:dyDescent="0.3">
      <c r="A392" s="3"/>
      <c r="B392" s="4"/>
      <c r="C392" s="4"/>
      <c r="D392" s="4"/>
      <c r="E392" s="4"/>
      <c r="G392" s="4"/>
    </row>
    <row r="393" spans="1:7" x14ac:dyDescent="0.3">
      <c r="A393" s="3"/>
      <c r="B393" s="4"/>
      <c r="C393" s="4"/>
      <c r="D393" s="4"/>
      <c r="E393" s="4"/>
      <c r="G393" s="4"/>
    </row>
    <row r="394" spans="1:7" x14ac:dyDescent="0.3">
      <c r="A394" s="3"/>
      <c r="B394" s="4"/>
      <c r="C394" s="4"/>
      <c r="D394" s="4"/>
      <c r="E394" s="4"/>
      <c r="G394" s="4"/>
    </row>
    <row r="395" spans="1:7" x14ac:dyDescent="0.3">
      <c r="A395" s="3"/>
      <c r="B395" s="4"/>
      <c r="C395" s="4"/>
      <c r="D395" s="4"/>
      <c r="E395" s="4"/>
      <c r="G395" s="4"/>
    </row>
    <row r="396" spans="1:7" x14ac:dyDescent="0.3">
      <c r="A396" s="3"/>
      <c r="B396" s="4"/>
      <c r="C396" s="4"/>
      <c r="D396" s="4"/>
      <c r="E396" s="4"/>
      <c r="G396" s="4"/>
    </row>
    <row r="397" spans="1:7" x14ac:dyDescent="0.3">
      <c r="A397" s="3"/>
      <c r="B397" s="4"/>
      <c r="C397" s="4"/>
      <c r="D397" s="4"/>
      <c r="E397" s="4"/>
      <c r="G397" s="4"/>
    </row>
    <row r="398" spans="1:7" x14ac:dyDescent="0.3">
      <c r="A398" s="3"/>
      <c r="B398" s="4"/>
      <c r="C398" s="4"/>
      <c r="D398" s="4"/>
      <c r="E398" s="4"/>
      <c r="G398" s="4"/>
    </row>
    <row r="399" spans="1:7" x14ac:dyDescent="0.3">
      <c r="A399" s="3"/>
      <c r="B399" s="4"/>
      <c r="C399" s="4"/>
      <c r="D399" s="4"/>
      <c r="E399" s="4"/>
      <c r="G399" s="4"/>
    </row>
    <row r="400" spans="1:7" x14ac:dyDescent="0.3">
      <c r="A400" s="3"/>
      <c r="B400" s="4"/>
      <c r="C400" s="4"/>
      <c r="D400" s="4"/>
      <c r="E400" s="4"/>
      <c r="G400" s="4"/>
    </row>
    <row r="401" spans="1:7" x14ac:dyDescent="0.3">
      <c r="A401" s="3"/>
      <c r="B401" s="4"/>
      <c r="C401" s="4"/>
      <c r="D401" s="4"/>
      <c r="E401" s="4"/>
      <c r="G401" s="4"/>
    </row>
    <row r="402" spans="1:7" x14ac:dyDescent="0.3">
      <c r="A402" s="3"/>
      <c r="B402" s="4"/>
      <c r="C402" s="4"/>
      <c r="D402" s="4"/>
      <c r="E402" s="4"/>
      <c r="G402" s="4"/>
    </row>
    <row r="403" spans="1:7" x14ac:dyDescent="0.3">
      <c r="A403" s="3"/>
      <c r="B403" s="4"/>
      <c r="C403" s="4"/>
      <c r="D403" s="4"/>
      <c r="E403" s="4"/>
      <c r="G403" s="4"/>
    </row>
    <row r="404" spans="1:7" x14ac:dyDescent="0.3">
      <c r="A404" s="3"/>
      <c r="B404" s="4"/>
      <c r="C404" s="4"/>
      <c r="D404" s="4"/>
      <c r="E404" s="4"/>
      <c r="G404" s="4"/>
    </row>
    <row r="405" spans="1:7" x14ac:dyDescent="0.3">
      <c r="A405" s="3"/>
      <c r="B405" s="4"/>
      <c r="C405" s="4"/>
      <c r="D405" s="4"/>
      <c r="E405" s="4"/>
      <c r="G405" s="4"/>
    </row>
    <row r="406" spans="1:7" x14ac:dyDescent="0.3">
      <c r="A406" s="3"/>
      <c r="B406" s="4"/>
      <c r="C406" s="4"/>
      <c r="D406" s="4"/>
      <c r="E406" s="4"/>
      <c r="G406" s="4"/>
    </row>
    <row r="407" spans="1:7" x14ac:dyDescent="0.3">
      <c r="A407" s="3"/>
      <c r="B407" s="4"/>
      <c r="C407" s="4"/>
      <c r="D407" s="4"/>
      <c r="E407" s="4"/>
      <c r="G407" s="4"/>
    </row>
    <row r="408" spans="1:7" x14ac:dyDescent="0.3">
      <c r="A408" s="3"/>
      <c r="B408" s="4"/>
      <c r="C408" s="4"/>
      <c r="D408" s="4"/>
      <c r="E408" s="4"/>
      <c r="G408" s="4"/>
    </row>
    <row r="409" spans="1:7" x14ac:dyDescent="0.3">
      <c r="A409" s="3"/>
      <c r="B409" s="4"/>
      <c r="C409" s="4"/>
      <c r="D409" s="4"/>
      <c r="E409" s="4"/>
      <c r="G409" s="4"/>
    </row>
    <row r="410" spans="1:7" x14ac:dyDescent="0.3">
      <c r="A410" s="3"/>
      <c r="B410" s="4"/>
      <c r="C410" s="4"/>
      <c r="D410" s="4"/>
      <c r="E410" s="4"/>
      <c r="G410" s="4"/>
    </row>
    <row r="411" spans="1:7" x14ac:dyDescent="0.3">
      <c r="A411" s="3"/>
      <c r="B411" s="4"/>
      <c r="C411" s="4"/>
      <c r="D411" s="4"/>
      <c r="E411" s="4"/>
      <c r="G411" s="4"/>
    </row>
    <row r="412" spans="1:7" x14ac:dyDescent="0.3">
      <c r="A412" s="3"/>
      <c r="B412" s="4"/>
      <c r="C412" s="4"/>
      <c r="D412" s="4"/>
      <c r="E412" s="4"/>
      <c r="G412" s="4"/>
    </row>
    <row r="413" spans="1:7" x14ac:dyDescent="0.3">
      <c r="A413" s="3"/>
      <c r="B413" s="4"/>
      <c r="C413" s="4"/>
      <c r="D413" s="4"/>
      <c r="E413" s="4"/>
      <c r="G413" s="4"/>
    </row>
    <row r="414" spans="1:7" x14ac:dyDescent="0.3">
      <c r="A414" s="3"/>
      <c r="B414" s="4"/>
      <c r="C414" s="4"/>
      <c r="D414" s="4"/>
      <c r="E414" s="4"/>
      <c r="G414" s="4"/>
    </row>
    <row r="415" spans="1:7" x14ac:dyDescent="0.3">
      <c r="A415" s="3"/>
      <c r="B415" s="4"/>
      <c r="C415" s="4"/>
      <c r="D415" s="4"/>
      <c r="E415" s="4"/>
      <c r="G415" s="4"/>
    </row>
    <row r="416" spans="1:7" x14ac:dyDescent="0.3">
      <c r="A416" s="3"/>
      <c r="B416" s="4"/>
      <c r="C416" s="4"/>
      <c r="D416" s="4"/>
      <c r="E416" s="4"/>
      <c r="G416" s="4"/>
    </row>
    <row r="417" spans="1:7" x14ac:dyDescent="0.3">
      <c r="A417" s="3"/>
      <c r="B417" s="4"/>
      <c r="C417" s="4"/>
      <c r="D417" s="4"/>
      <c r="E417" s="4"/>
      <c r="G417" s="4"/>
    </row>
    <row r="418" spans="1:7" x14ac:dyDescent="0.3">
      <c r="A418" s="3"/>
      <c r="B418" s="4"/>
      <c r="C418" s="4"/>
      <c r="D418" s="4"/>
      <c r="E418" s="4"/>
      <c r="G418" s="4"/>
    </row>
    <row r="419" spans="1:7" x14ac:dyDescent="0.3">
      <c r="A419" s="3"/>
      <c r="B419" s="4"/>
      <c r="C419" s="4"/>
      <c r="D419" s="4"/>
      <c r="E419" s="4"/>
      <c r="G419" s="4"/>
    </row>
    <row r="420" spans="1:7" x14ac:dyDescent="0.3">
      <c r="A420" s="3"/>
      <c r="B420" s="4"/>
      <c r="C420" s="4"/>
      <c r="D420" s="4"/>
      <c r="E420" s="4"/>
      <c r="G420" s="4"/>
    </row>
    <row r="421" spans="1:7" x14ac:dyDescent="0.3">
      <c r="A421" s="3"/>
      <c r="B421" s="4"/>
      <c r="C421" s="4"/>
      <c r="D421" s="4"/>
      <c r="E421" s="4"/>
      <c r="G421" s="4"/>
    </row>
    <row r="422" spans="1:7" x14ac:dyDescent="0.3">
      <c r="A422" s="3"/>
      <c r="B422" s="4"/>
      <c r="C422" s="4"/>
      <c r="D422" s="4"/>
      <c r="E422" s="4"/>
      <c r="G422" s="4"/>
    </row>
    <row r="423" spans="1:7" x14ac:dyDescent="0.3">
      <c r="A423" s="3"/>
      <c r="B423" s="4"/>
      <c r="C423" s="4"/>
      <c r="D423" s="4"/>
      <c r="E423" s="4"/>
      <c r="G423" s="4"/>
    </row>
    <row r="424" spans="1:7" x14ac:dyDescent="0.3">
      <c r="A424" s="3"/>
      <c r="B424" s="4"/>
      <c r="C424" s="4"/>
      <c r="D424" s="4"/>
      <c r="E424" s="4"/>
      <c r="G424" s="4"/>
    </row>
    <row r="425" spans="1:7" x14ac:dyDescent="0.3">
      <c r="A425" s="3"/>
      <c r="B425" s="4"/>
      <c r="C425" s="4"/>
      <c r="D425" s="4"/>
      <c r="E425" s="4"/>
      <c r="G425" s="4"/>
    </row>
    <row r="426" spans="1:7" x14ac:dyDescent="0.3">
      <c r="A426" s="3"/>
      <c r="B426" s="4"/>
      <c r="C426" s="4"/>
      <c r="D426" s="4"/>
      <c r="E426" s="4"/>
      <c r="G426" s="4"/>
    </row>
    <row r="427" spans="1:7" x14ac:dyDescent="0.3">
      <c r="A427" s="3"/>
      <c r="B427" s="4"/>
      <c r="C427" s="4"/>
      <c r="D427" s="4"/>
      <c r="E427" s="4"/>
      <c r="G427" s="4"/>
    </row>
    <row r="428" spans="1:7" x14ac:dyDescent="0.3">
      <c r="A428" s="3"/>
      <c r="B428" s="4"/>
      <c r="C428" s="4"/>
      <c r="D428" s="4"/>
      <c r="E428" s="4"/>
      <c r="G428" s="4"/>
    </row>
    <row r="429" spans="1:7" x14ac:dyDescent="0.3">
      <c r="A429" s="3"/>
      <c r="B429" s="4"/>
      <c r="C429" s="4"/>
      <c r="D429" s="4"/>
      <c r="E429" s="4"/>
      <c r="G429" s="4"/>
    </row>
    <row r="430" spans="1:7" x14ac:dyDescent="0.3">
      <c r="A430" s="3"/>
      <c r="B430" s="4"/>
      <c r="C430" s="4"/>
      <c r="D430" s="4"/>
      <c r="E430" s="4"/>
      <c r="G430" s="4"/>
    </row>
    <row r="431" spans="1:7" x14ac:dyDescent="0.3">
      <c r="A431" s="3"/>
      <c r="B431" s="4"/>
      <c r="C431" s="4"/>
      <c r="D431" s="4"/>
      <c r="E431" s="4"/>
      <c r="G431" s="4"/>
    </row>
    <row r="432" spans="1:7" x14ac:dyDescent="0.3">
      <c r="A432" s="3"/>
      <c r="B432" s="4"/>
      <c r="C432" s="4"/>
      <c r="D432" s="4"/>
      <c r="E432" s="4"/>
      <c r="G432" s="4"/>
    </row>
    <row r="433" spans="1:7" x14ac:dyDescent="0.3">
      <c r="A433" s="3"/>
      <c r="B433" s="4"/>
      <c r="C433" s="4"/>
      <c r="D433" s="4"/>
      <c r="E433" s="4"/>
      <c r="G433" s="4"/>
    </row>
    <row r="434" spans="1:7" x14ac:dyDescent="0.3">
      <c r="A434" s="3"/>
      <c r="B434" s="4"/>
      <c r="C434" s="4"/>
      <c r="D434" s="4"/>
      <c r="E434" s="4"/>
      <c r="G434" s="4"/>
    </row>
    <row r="435" spans="1:7" x14ac:dyDescent="0.3">
      <c r="A435" s="3"/>
      <c r="B435" s="4"/>
      <c r="C435" s="4"/>
      <c r="D435" s="4"/>
      <c r="E435" s="4"/>
      <c r="G435" s="4"/>
    </row>
    <row r="436" spans="1:7" x14ac:dyDescent="0.3">
      <c r="A436" s="3"/>
      <c r="B436" s="4"/>
      <c r="C436" s="4"/>
      <c r="D436" s="4"/>
      <c r="E436" s="4"/>
      <c r="G436" s="4"/>
    </row>
    <row r="437" spans="1:7" x14ac:dyDescent="0.3">
      <c r="A437" s="3"/>
      <c r="B437" s="4"/>
      <c r="C437" s="4"/>
      <c r="D437" s="4"/>
      <c r="E437" s="4"/>
      <c r="G437" s="4"/>
    </row>
    <row r="438" spans="1:7" x14ac:dyDescent="0.3">
      <c r="A438" s="3"/>
      <c r="B438" s="4"/>
      <c r="C438" s="4"/>
      <c r="D438" s="4"/>
      <c r="E438" s="4"/>
      <c r="G438" s="4"/>
    </row>
    <row r="439" spans="1:7" x14ac:dyDescent="0.3">
      <c r="A439" s="3"/>
      <c r="B439" s="4"/>
      <c r="C439" s="4"/>
      <c r="D439" s="4"/>
      <c r="E439" s="4"/>
      <c r="G439" s="4"/>
    </row>
    <row r="440" spans="1:7" x14ac:dyDescent="0.3">
      <c r="A440" s="3"/>
      <c r="B440" s="4"/>
      <c r="C440" s="4"/>
      <c r="D440" s="4"/>
      <c r="E440" s="4"/>
      <c r="G440" s="4"/>
    </row>
    <row r="441" spans="1:7" x14ac:dyDescent="0.3">
      <c r="A441" s="3"/>
      <c r="B441" s="4"/>
      <c r="C441" s="4"/>
      <c r="D441" s="4"/>
      <c r="E441" s="4"/>
      <c r="G441" s="4"/>
    </row>
    <row r="442" spans="1:7" x14ac:dyDescent="0.3">
      <c r="A442" s="3"/>
      <c r="B442" s="4"/>
      <c r="C442" s="4"/>
      <c r="D442" s="4"/>
      <c r="E442" s="4"/>
      <c r="G442" s="4"/>
    </row>
    <row r="443" spans="1:7" x14ac:dyDescent="0.3">
      <c r="A443" s="3"/>
      <c r="B443" s="4"/>
      <c r="C443" s="4"/>
      <c r="D443" s="4"/>
      <c r="E443" s="4"/>
      <c r="G443" s="4"/>
    </row>
    <row r="444" spans="1:7" x14ac:dyDescent="0.3">
      <c r="A444" s="3"/>
      <c r="B444" s="4"/>
      <c r="C444" s="4"/>
      <c r="D444" s="4"/>
      <c r="E444" s="4"/>
      <c r="G444" s="4"/>
    </row>
    <row r="445" spans="1:7" x14ac:dyDescent="0.3">
      <c r="A445" s="3"/>
      <c r="B445" s="4"/>
      <c r="C445" s="4"/>
      <c r="D445" s="4"/>
      <c r="E445" s="4"/>
      <c r="G445" s="4"/>
    </row>
    <row r="446" spans="1:7" x14ac:dyDescent="0.3">
      <c r="A446" s="3"/>
      <c r="B446" s="4"/>
      <c r="C446" s="4"/>
      <c r="D446" s="4"/>
      <c r="E446" s="4"/>
      <c r="G446" s="4"/>
    </row>
    <row r="447" spans="1:7" x14ac:dyDescent="0.3">
      <c r="A447" s="3"/>
      <c r="B447" s="4"/>
      <c r="C447" s="4"/>
      <c r="D447" s="4"/>
      <c r="E447" s="4"/>
      <c r="G447" s="4"/>
    </row>
    <row r="448" spans="1:7" x14ac:dyDescent="0.3">
      <c r="A448" s="3"/>
      <c r="B448" s="4"/>
      <c r="C448" s="4"/>
      <c r="D448" s="4"/>
      <c r="E448" s="4"/>
      <c r="G448" s="4"/>
    </row>
    <row r="449" spans="1:7" x14ac:dyDescent="0.3">
      <c r="A449" s="3"/>
      <c r="B449" s="4"/>
      <c r="C449" s="4"/>
      <c r="D449" s="4"/>
      <c r="E449" s="4"/>
      <c r="G449" s="4"/>
    </row>
    <row r="450" spans="1:7" x14ac:dyDescent="0.3">
      <c r="A450" s="3"/>
      <c r="B450" s="4"/>
      <c r="C450" s="4"/>
      <c r="D450" s="4"/>
      <c r="E450" s="4"/>
      <c r="G450" s="4"/>
    </row>
    <row r="451" spans="1:7" x14ac:dyDescent="0.3">
      <c r="A451" s="3"/>
      <c r="B451" s="4"/>
      <c r="C451" s="4"/>
      <c r="D451" s="4"/>
      <c r="E451" s="4"/>
      <c r="G451" s="4"/>
    </row>
    <row r="452" spans="1:7" x14ac:dyDescent="0.3">
      <c r="A452" s="3"/>
      <c r="B452" s="4"/>
      <c r="C452" s="4"/>
      <c r="D452" s="4"/>
      <c r="E452" s="4"/>
      <c r="G452" s="4"/>
    </row>
    <row r="453" spans="1:7" x14ac:dyDescent="0.3">
      <c r="A453" s="3"/>
      <c r="B453" s="4"/>
      <c r="C453" s="4"/>
      <c r="D453" s="4"/>
      <c r="E453" s="4"/>
      <c r="G453" s="4"/>
    </row>
    <row r="454" spans="1:7" x14ac:dyDescent="0.3">
      <c r="A454" s="3"/>
      <c r="B454" s="4"/>
      <c r="C454" s="4"/>
      <c r="D454" s="4"/>
      <c r="E454" s="4"/>
      <c r="G454" s="4"/>
    </row>
    <row r="455" spans="1:7" x14ac:dyDescent="0.3">
      <c r="A455" s="3"/>
    </row>
    <row r="456" spans="1:7" x14ac:dyDescent="0.3">
      <c r="A456" s="3"/>
    </row>
    <row r="457" spans="1:7" x14ac:dyDescent="0.3">
      <c r="A457" s="3"/>
    </row>
    <row r="458" spans="1:7" x14ac:dyDescent="0.3">
      <c r="A458" s="3"/>
    </row>
    <row r="459" spans="1:7" x14ac:dyDescent="0.3">
      <c r="A459" s="3"/>
    </row>
    <row r="460" spans="1:7" x14ac:dyDescent="0.3">
      <c r="A460" s="3"/>
    </row>
    <row r="461" spans="1:7" x14ac:dyDescent="0.3">
      <c r="A461" s="3"/>
    </row>
    <row r="462" spans="1:7" x14ac:dyDescent="0.3">
      <c r="A462" s="3"/>
    </row>
    <row r="463" spans="1:7" x14ac:dyDescent="0.3">
      <c r="A463" s="3"/>
    </row>
    <row r="464" spans="1:7" x14ac:dyDescent="0.3">
      <c r="A464" s="3"/>
    </row>
    <row r="465" spans="1:1" x14ac:dyDescent="0.3">
      <c r="A465" s="3"/>
    </row>
    <row r="466" spans="1:1" x14ac:dyDescent="0.3">
      <c r="A466" s="3"/>
    </row>
    <row r="467" spans="1:1" x14ac:dyDescent="0.3">
      <c r="A467" s="3"/>
    </row>
    <row r="468" spans="1:1" x14ac:dyDescent="0.3">
      <c r="A468" s="3"/>
    </row>
    <row r="469" spans="1:1" x14ac:dyDescent="0.3">
      <c r="A469" s="3"/>
    </row>
    <row r="470" spans="1:1" x14ac:dyDescent="0.3">
      <c r="A470" s="3"/>
    </row>
    <row r="471" spans="1:1" x14ac:dyDescent="0.3">
      <c r="A471" s="3"/>
    </row>
    <row r="472" spans="1:1" x14ac:dyDescent="0.3">
      <c r="A472" s="3"/>
    </row>
    <row r="473" spans="1:1" x14ac:dyDescent="0.3">
      <c r="A473" s="3"/>
    </row>
    <row r="474" spans="1:1" x14ac:dyDescent="0.3">
      <c r="A474" s="3"/>
    </row>
    <row r="475" spans="1:1" x14ac:dyDescent="0.3">
      <c r="A475" s="3"/>
    </row>
    <row r="476" spans="1:1" x14ac:dyDescent="0.3">
      <c r="A476" s="3"/>
    </row>
    <row r="477" spans="1:1" x14ac:dyDescent="0.3">
      <c r="A477" s="3"/>
    </row>
    <row r="478" spans="1:1" x14ac:dyDescent="0.3">
      <c r="A478" s="3"/>
    </row>
    <row r="479" spans="1:1" x14ac:dyDescent="0.3">
      <c r="A479" s="3"/>
    </row>
    <row r="480" spans="1:1" x14ac:dyDescent="0.3">
      <c r="A480" s="3"/>
    </row>
    <row r="481" spans="1:1" x14ac:dyDescent="0.3">
      <c r="A481" s="3"/>
    </row>
    <row r="482" spans="1:1" x14ac:dyDescent="0.3">
      <c r="A482" s="3"/>
    </row>
    <row r="483" spans="1:1" x14ac:dyDescent="0.3">
      <c r="A483" s="3"/>
    </row>
    <row r="484" spans="1:1" x14ac:dyDescent="0.3">
      <c r="A484" s="3"/>
    </row>
    <row r="485" spans="1:1" x14ac:dyDescent="0.3">
      <c r="A485" s="3"/>
    </row>
    <row r="486" spans="1:1" x14ac:dyDescent="0.3">
      <c r="A486" s="3"/>
    </row>
    <row r="487" spans="1:1" x14ac:dyDescent="0.3">
      <c r="A487" s="3"/>
    </row>
    <row r="488" spans="1:1" x14ac:dyDescent="0.3">
      <c r="A488" s="3"/>
    </row>
    <row r="489" spans="1:1" x14ac:dyDescent="0.3">
      <c r="A489" s="3"/>
    </row>
    <row r="490" spans="1:1" x14ac:dyDescent="0.3">
      <c r="A490" s="3"/>
    </row>
    <row r="491" spans="1:1" x14ac:dyDescent="0.3">
      <c r="A491" s="3"/>
    </row>
  </sheetData>
  <mergeCells count="5">
    <mergeCell ref="A165:H165"/>
    <mergeCell ref="A329:H329"/>
    <mergeCell ref="N87:Q87"/>
    <mergeCell ref="I49:R49"/>
    <mergeCell ref="A1:AG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F1E13-ED9F-4614-A8B1-19AA9BCA0075}">
  <dimension ref="A1:U25"/>
  <sheetViews>
    <sheetView workbookViewId="0">
      <selection activeCell="C18" sqref="C18"/>
    </sheetView>
  </sheetViews>
  <sheetFormatPr defaultColWidth="9.08984375" defaultRowHeight="14" x14ac:dyDescent="0.3"/>
  <cols>
    <col min="1" max="1" width="7.7265625" style="1" customWidth="1"/>
    <col min="2" max="4" width="11.26953125" style="1" customWidth="1"/>
    <col min="5" max="5" width="11.08984375" style="1" customWidth="1"/>
    <col min="6" max="6" width="11.7265625" style="1" customWidth="1"/>
    <col min="7" max="7" width="9.08984375" style="1" customWidth="1"/>
    <col min="8" max="8" width="11.36328125" style="1" customWidth="1"/>
    <col min="9" max="9" width="3.7265625" style="1" customWidth="1"/>
    <col min="10" max="16384" width="9.08984375" style="1"/>
  </cols>
  <sheetData>
    <row r="1" spans="1:21" ht="15.5" x14ac:dyDescent="0.35">
      <c r="A1" s="255" t="s">
        <v>161</v>
      </c>
      <c r="B1" s="255"/>
      <c r="C1" s="255"/>
      <c r="D1" s="255"/>
      <c r="E1" s="255"/>
      <c r="F1" s="255"/>
      <c r="G1" s="255"/>
      <c r="H1" s="255"/>
      <c r="I1" s="255"/>
      <c r="J1" s="255"/>
      <c r="K1" s="255"/>
      <c r="L1" s="255"/>
      <c r="M1" s="255"/>
      <c r="N1" s="255"/>
      <c r="O1" s="255"/>
      <c r="P1" s="255"/>
      <c r="Q1" s="255"/>
      <c r="R1" s="255"/>
      <c r="S1" s="255"/>
      <c r="T1" s="255"/>
      <c r="U1" s="255"/>
    </row>
    <row r="3" spans="1:21" x14ac:dyDescent="0.3">
      <c r="A3" s="113"/>
      <c r="B3" s="251" t="s">
        <v>162</v>
      </c>
      <c r="C3" s="252"/>
      <c r="D3" s="253"/>
      <c r="E3" s="251" t="s">
        <v>163</v>
      </c>
      <c r="F3" s="252"/>
      <c r="G3" s="252"/>
      <c r="H3" s="253"/>
    </row>
    <row r="4" spans="1:21" ht="28" x14ac:dyDescent="0.3">
      <c r="A4" s="112" t="s">
        <v>41</v>
      </c>
      <c r="B4" s="112" t="s">
        <v>5</v>
      </c>
      <c r="C4" s="114">
        <v>0.05</v>
      </c>
      <c r="D4" s="114">
        <v>0.2</v>
      </c>
      <c r="E4" s="112" t="s">
        <v>8</v>
      </c>
      <c r="F4" s="112" t="s">
        <v>106</v>
      </c>
      <c r="G4" s="112" t="s">
        <v>11</v>
      </c>
      <c r="H4" s="112" t="s">
        <v>105</v>
      </c>
    </row>
    <row r="5" spans="1:21" x14ac:dyDescent="0.3">
      <c r="A5" s="7">
        <v>2010</v>
      </c>
      <c r="B5" s="8">
        <v>54</v>
      </c>
      <c r="C5" s="9">
        <f>B5*0.05</f>
        <v>2.7</v>
      </c>
      <c r="D5" s="10">
        <f>B5*0.2</f>
        <v>10.8</v>
      </c>
      <c r="E5" s="7">
        <v>28</v>
      </c>
      <c r="F5" s="8">
        <v>-67</v>
      </c>
      <c r="G5" s="7">
        <v>-67</v>
      </c>
      <c r="H5" s="11">
        <v>-54</v>
      </c>
    </row>
    <row r="6" spans="1:21" x14ac:dyDescent="0.3">
      <c r="A6" s="12">
        <v>2011</v>
      </c>
      <c r="B6" s="8">
        <v>117</v>
      </c>
      <c r="C6" s="13">
        <f t="shared" ref="C6:C16" si="0">B6*0.05</f>
        <v>5.8500000000000005</v>
      </c>
      <c r="D6" s="10">
        <f t="shared" ref="D6:D16" si="1">B6*0.2</f>
        <v>23.400000000000002</v>
      </c>
      <c r="E6" s="12">
        <v>106</v>
      </c>
      <c r="F6" s="8">
        <v>-127</v>
      </c>
      <c r="G6" s="12">
        <v>-164</v>
      </c>
      <c r="H6" s="11">
        <v>-82</v>
      </c>
    </row>
    <row r="7" spans="1:21" x14ac:dyDescent="0.3">
      <c r="A7" s="12">
        <v>2012</v>
      </c>
      <c r="B7" s="8">
        <v>185</v>
      </c>
      <c r="C7" s="13">
        <f t="shared" si="0"/>
        <v>9.25</v>
      </c>
      <c r="D7" s="10">
        <f t="shared" si="1"/>
        <v>37</v>
      </c>
      <c r="E7" s="12">
        <v>317</v>
      </c>
      <c r="F7" s="8">
        <v>-77</v>
      </c>
      <c r="G7" s="12">
        <v>-79</v>
      </c>
      <c r="H7" s="11">
        <v>-78</v>
      </c>
    </row>
    <row r="8" spans="1:21" x14ac:dyDescent="0.3">
      <c r="A8" s="12">
        <v>2013</v>
      </c>
      <c r="B8" s="8">
        <v>241</v>
      </c>
      <c r="C8" s="13">
        <f t="shared" si="0"/>
        <v>12.05</v>
      </c>
      <c r="D8" s="10">
        <f t="shared" si="1"/>
        <v>48.2</v>
      </c>
      <c r="E8" s="12">
        <v>665</v>
      </c>
      <c r="F8" s="8">
        <v>-636</v>
      </c>
      <c r="G8" s="12">
        <v>-645</v>
      </c>
      <c r="H8" s="11">
        <v>-74</v>
      </c>
    </row>
    <row r="9" spans="1:21" x14ac:dyDescent="0.3">
      <c r="A9" s="12">
        <v>2014</v>
      </c>
      <c r="B9" s="8">
        <v>288</v>
      </c>
      <c r="C9" s="13">
        <f t="shared" si="0"/>
        <v>14.4</v>
      </c>
      <c r="D9" s="10">
        <f t="shared" si="1"/>
        <v>57.6</v>
      </c>
      <c r="E9" s="12">
        <v>1403</v>
      </c>
      <c r="F9" s="8">
        <v>-539</v>
      </c>
      <c r="G9" s="12">
        <v>-578</v>
      </c>
      <c r="H9" s="11">
        <v>-120</v>
      </c>
    </row>
    <row r="10" spans="1:21" x14ac:dyDescent="0.3">
      <c r="A10" s="12">
        <v>2015</v>
      </c>
      <c r="B10" s="8">
        <v>305</v>
      </c>
      <c r="C10" s="13">
        <f t="shared" si="0"/>
        <v>15.25</v>
      </c>
      <c r="D10" s="10">
        <f t="shared" si="1"/>
        <v>61</v>
      </c>
      <c r="E10" s="12">
        <v>2218</v>
      </c>
      <c r="F10" s="8">
        <v>-450</v>
      </c>
      <c r="G10" s="12">
        <v>-521</v>
      </c>
      <c r="H10" s="11">
        <v>36</v>
      </c>
    </row>
    <row r="11" spans="1:21" x14ac:dyDescent="0.3">
      <c r="A11" s="12">
        <v>2016</v>
      </c>
      <c r="B11" s="8">
        <v>318</v>
      </c>
      <c r="C11" s="13">
        <f t="shared" si="0"/>
        <v>15.9</v>
      </c>
      <c r="D11" s="10">
        <f t="shared" si="1"/>
        <v>63.6</v>
      </c>
      <c r="E11" s="12">
        <v>2530</v>
      </c>
      <c r="F11" s="8">
        <v>-367</v>
      </c>
      <c r="G11" s="12">
        <v>-457</v>
      </c>
      <c r="H11" s="11">
        <v>544</v>
      </c>
    </row>
    <row r="12" spans="1:21" x14ac:dyDescent="0.3">
      <c r="A12" s="12">
        <v>2017</v>
      </c>
      <c r="B12" s="8">
        <v>330</v>
      </c>
      <c r="C12" s="13">
        <f t="shared" si="0"/>
        <v>16.5</v>
      </c>
      <c r="D12" s="10">
        <f t="shared" si="1"/>
        <v>66</v>
      </c>
      <c r="E12" s="12">
        <v>2443</v>
      </c>
      <c r="F12" s="8">
        <v>39</v>
      </c>
      <c r="G12" s="12">
        <v>-108</v>
      </c>
      <c r="H12" s="11">
        <v>708</v>
      </c>
    </row>
    <row r="13" spans="1:21" x14ac:dyDescent="0.3">
      <c r="A13" s="12">
        <v>2018</v>
      </c>
      <c r="B13" s="8">
        <v>321</v>
      </c>
      <c r="C13" s="13">
        <f t="shared" si="0"/>
        <v>16.05</v>
      </c>
      <c r="D13" s="10">
        <f t="shared" si="1"/>
        <v>64.2</v>
      </c>
      <c r="E13" s="12">
        <v>3042</v>
      </c>
      <c r="F13" s="8">
        <v>453</v>
      </c>
      <c r="G13" s="12">
        <v>1206</v>
      </c>
      <c r="H13" s="11">
        <v>869</v>
      </c>
    </row>
    <row r="14" spans="1:21" x14ac:dyDescent="0.3">
      <c r="A14" s="12">
        <v>2019</v>
      </c>
      <c r="B14" s="8">
        <v>330</v>
      </c>
      <c r="C14" s="13">
        <f t="shared" si="0"/>
        <v>16.5</v>
      </c>
      <c r="D14" s="10">
        <f t="shared" si="1"/>
        <v>66</v>
      </c>
      <c r="E14" s="12">
        <v>3459</v>
      </c>
      <c r="F14" s="8">
        <v>366</v>
      </c>
      <c r="G14" s="12">
        <v>1466</v>
      </c>
      <c r="H14" s="11">
        <v>769</v>
      </c>
    </row>
    <row r="15" spans="1:21" x14ac:dyDescent="0.3">
      <c r="A15" s="12">
        <v>2020</v>
      </c>
      <c r="B15" s="8">
        <v>353</v>
      </c>
      <c r="C15" s="13">
        <f t="shared" si="0"/>
        <v>17.650000000000002</v>
      </c>
      <c r="D15" s="10">
        <f t="shared" si="1"/>
        <v>70.600000000000009</v>
      </c>
      <c r="E15" s="12">
        <v>3716</v>
      </c>
      <c r="F15" s="8">
        <v>27</v>
      </c>
      <c r="G15" s="12">
        <v>-1136</v>
      </c>
      <c r="H15" s="11">
        <v>129</v>
      </c>
    </row>
    <row r="16" spans="1:21" x14ac:dyDescent="0.3">
      <c r="A16" s="14">
        <v>2021</v>
      </c>
      <c r="B16" s="15">
        <v>396.5</v>
      </c>
      <c r="C16" s="16">
        <f t="shared" si="0"/>
        <v>19.825000000000003</v>
      </c>
      <c r="D16" s="17">
        <f t="shared" si="1"/>
        <v>79.300000000000011</v>
      </c>
      <c r="E16" s="14">
        <v>5077</v>
      </c>
      <c r="F16" s="15">
        <v>-493</v>
      </c>
      <c r="G16" s="14">
        <v>221</v>
      </c>
      <c r="H16" s="18">
        <v>-370</v>
      </c>
    </row>
    <row r="17" spans="1:10" x14ac:dyDescent="0.3">
      <c r="A17" s="2" t="s">
        <v>306</v>
      </c>
      <c r="B17" s="226">
        <f>(B16/B5)^(1/($A$16-$A$5))-1</f>
        <v>0.1987084994637589</v>
      </c>
      <c r="E17" s="226">
        <f>(E16/E5)^(1/($A$16-$A$5))-1</f>
        <v>0.60440334017770292</v>
      </c>
    </row>
    <row r="18" spans="1:10" x14ac:dyDescent="0.3">
      <c r="E18" s="1">
        <f>E16/B16</f>
        <v>12.804539722572509</v>
      </c>
    </row>
    <row r="21" spans="1:10" x14ac:dyDescent="0.3">
      <c r="A21" s="256" t="s">
        <v>164</v>
      </c>
      <c r="B21" s="256"/>
      <c r="C21" s="256"/>
      <c r="D21" s="256"/>
      <c r="E21" s="256"/>
      <c r="F21" s="256"/>
      <c r="G21" s="256"/>
      <c r="H21" s="256"/>
    </row>
    <row r="22" spans="1:10" ht="56.25" customHeight="1" x14ac:dyDescent="0.3">
      <c r="A22" s="256" t="s">
        <v>165</v>
      </c>
      <c r="B22" s="256"/>
      <c r="C22" s="256"/>
      <c r="D22" s="256"/>
      <c r="E22" s="256"/>
      <c r="F22" s="256"/>
      <c r="G22" s="256"/>
      <c r="H22" s="256"/>
    </row>
    <row r="24" spans="1:10" x14ac:dyDescent="0.3">
      <c r="A24" s="254"/>
      <c r="B24" s="254"/>
      <c r="C24" s="254"/>
      <c r="D24" s="254"/>
      <c r="E24" s="254"/>
      <c r="F24" s="254"/>
      <c r="G24" s="254"/>
      <c r="H24" s="254"/>
      <c r="I24" s="254"/>
      <c r="J24" s="254"/>
    </row>
    <row r="25" spans="1:10" x14ac:dyDescent="0.3">
      <c r="A25" s="254"/>
      <c r="B25" s="254"/>
      <c r="C25" s="254"/>
      <c r="D25" s="254"/>
      <c r="E25" s="254"/>
      <c r="F25" s="254"/>
    </row>
  </sheetData>
  <mergeCells count="7">
    <mergeCell ref="E3:H3"/>
    <mergeCell ref="A25:F25"/>
    <mergeCell ref="A24:J24"/>
    <mergeCell ref="B3:D3"/>
    <mergeCell ref="A1:U1"/>
    <mergeCell ref="A21:H21"/>
    <mergeCell ref="A22:H2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CA508-448F-4740-90E9-274CA36B436D}">
  <dimension ref="A1:D43"/>
  <sheetViews>
    <sheetView workbookViewId="0">
      <selection activeCell="F1" sqref="F1"/>
    </sheetView>
  </sheetViews>
  <sheetFormatPr defaultColWidth="9.08984375" defaultRowHeight="14" x14ac:dyDescent="0.3"/>
  <cols>
    <col min="1" max="1" width="46" style="1" customWidth="1"/>
    <col min="2" max="4" width="13.6328125" style="1" customWidth="1"/>
    <col min="5" max="16384" width="9.08984375" style="1"/>
  </cols>
  <sheetData>
    <row r="1" spans="1:4" ht="15.5" x14ac:dyDescent="0.35">
      <c r="A1" s="255" t="s">
        <v>169</v>
      </c>
      <c r="B1" s="255"/>
      <c r="C1" s="255"/>
      <c r="D1" s="255"/>
    </row>
    <row r="3" spans="1:4" x14ac:dyDescent="0.3">
      <c r="B3" s="19">
        <v>2019</v>
      </c>
      <c r="C3" s="19">
        <v>2020</v>
      </c>
      <c r="D3" s="19">
        <v>2021</v>
      </c>
    </row>
    <row r="4" spans="1:4" x14ac:dyDescent="0.3">
      <c r="A4" s="20" t="s">
        <v>12</v>
      </c>
      <c r="B4" s="21"/>
      <c r="C4" s="21"/>
      <c r="D4" s="21"/>
    </row>
    <row r="5" spans="1:4" x14ac:dyDescent="0.3">
      <c r="A5" s="22" t="s">
        <v>50</v>
      </c>
      <c r="B5" s="23">
        <v>3459.3289999999997</v>
      </c>
      <c r="C5" s="23">
        <v>3716.3489999999997</v>
      </c>
      <c r="D5" s="23">
        <v>5077.482</v>
      </c>
    </row>
    <row r="6" spans="1:4" ht="14.5" x14ac:dyDescent="0.35">
      <c r="A6" s="24" t="s">
        <v>51</v>
      </c>
      <c r="B6" s="21"/>
      <c r="C6" s="25">
        <f>(C5-B5)/B5</f>
        <v>7.4297645583869004E-2</v>
      </c>
      <c r="D6" s="25">
        <f>(D5-C5)/C5</f>
        <v>0.36625542972417297</v>
      </c>
    </row>
    <row r="7" spans="1:4" x14ac:dyDescent="0.3">
      <c r="A7" s="22" t="s">
        <v>166</v>
      </c>
      <c r="B7" s="26">
        <v>-3092.9560000000001</v>
      </c>
      <c r="C7" s="26">
        <v>-3689.6909999999998</v>
      </c>
      <c r="D7" s="26">
        <v>-4804.5200000000004</v>
      </c>
    </row>
    <row r="8" spans="1:4" x14ac:dyDescent="0.3">
      <c r="A8" s="22" t="s">
        <v>52</v>
      </c>
      <c r="B8" s="26">
        <v>0</v>
      </c>
      <c r="C8" s="26">
        <v>0</v>
      </c>
      <c r="D8" s="26">
        <v>-765.70100000000002</v>
      </c>
    </row>
    <row r="9" spans="1:4" x14ac:dyDescent="0.3">
      <c r="A9" s="22" t="s">
        <v>53</v>
      </c>
      <c r="B9" s="26">
        <f>B5+B7+B8</f>
        <v>366.37299999999959</v>
      </c>
      <c r="C9" s="26">
        <f t="shared" ref="C9:D9" si="0">C5+C7+C8</f>
        <v>26.657999999999902</v>
      </c>
      <c r="D9" s="26">
        <f t="shared" si="0"/>
        <v>-492.73900000000049</v>
      </c>
    </row>
    <row r="10" spans="1:4" ht="14.5" x14ac:dyDescent="0.35">
      <c r="A10" s="22" t="s">
        <v>116</v>
      </c>
      <c r="B10" s="25">
        <f>B9/B5</f>
        <v>0.1059086892284601</v>
      </c>
      <c r="C10" s="25">
        <f>C9/C5</f>
        <v>7.173169150690612E-3</v>
      </c>
      <c r="D10" s="25">
        <f>D9/D5</f>
        <v>-9.7043967856508498E-2</v>
      </c>
    </row>
    <row r="11" spans="1:4" x14ac:dyDescent="0.3">
      <c r="A11" s="22" t="s">
        <v>158</v>
      </c>
      <c r="B11" s="26">
        <v>465.5</v>
      </c>
      <c r="C11" s="26">
        <v>495.17700000000002</v>
      </c>
      <c r="D11" s="26">
        <v>544.84799999999996</v>
      </c>
    </row>
    <row r="12" spans="1:4" x14ac:dyDescent="0.3">
      <c r="A12" s="22" t="s">
        <v>54</v>
      </c>
      <c r="B12" s="26">
        <f>B9+B11-B8</f>
        <v>831.87299999999959</v>
      </c>
      <c r="C12" s="26">
        <f t="shared" ref="C12:D12" si="1">C9+C11-C8</f>
        <v>521.83499999999992</v>
      </c>
      <c r="D12" s="26">
        <f t="shared" si="1"/>
        <v>817.80999999999949</v>
      </c>
    </row>
    <row r="13" spans="1:4" ht="14.5" x14ac:dyDescent="0.35">
      <c r="A13" s="22" t="s">
        <v>117</v>
      </c>
      <c r="B13" s="25">
        <f>B12/B5</f>
        <v>0.24047235750054408</v>
      </c>
      <c r="C13" s="25">
        <f t="shared" ref="C13:D13" si="2">C12/C5</f>
        <v>0.14041603735278899</v>
      </c>
      <c r="D13" s="25">
        <f t="shared" si="2"/>
        <v>0.16106605597026233</v>
      </c>
    </row>
    <row r="14" spans="1:4" x14ac:dyDescent="0.3">
      <c r="A14" s="22"/>
      <c r="B14" s="27"/>
      <c r="C14" s="27"/>
      <c r="D14" s="27"/>
    </row>
    <row r="15" spans="1:4" x14ac:dyDescent="0.3">
      <c r="A15" s="22" t="s">
        <v>55</v>
      </c>
      <c r="B15" s="23">
        <v>-138.18</v>
      </c>
      <c r="C15" s="23">
        <v>-152.87799999999999</v>
      </c>
      <c r="D15" s="23">
        <v>-51.186</v>
      </c>
    </row>
    <row r="16" spans="1:4" x14ac:dyDescent="0.3">
      <c r="A16" s="22" t="s">
        <v>56</v>
      </c>
      <c r="B16" s="26">
        <v>157.703</v>
      </c>
      <c r="C16" s="26">
        <v>88.177999999999997</v>
      </c>
      <c r="D16" s="26">
        <v>35.683</v>
      </c>
    </row>
    <row r="17" spans="1:4" x14ac:dyDescent="0.3">
      <c r="A17" s="22" t="s">
        <v>57</v>
      </c>
      <c r="B17" s="23">
        <v>4.2430000000000003</v>
      </c>
      <c r="C17" s="23">
        <v>-12.897</v>
      </c>
      <c r="D17" s="23">
        <v>97.129000000000005</v>
      </c>
    </row>
    <row r="18" spans="1:4" x14ac:dyDescent="0.3">
      <c r="A18" s="22" t="s">
        <v>58</v>
      </c>
      <c r="B18" s="26">
        <f>B15+B16+B17</f>
        <v>23.765999999999998</v>
      </c>
      <c r="C18" s="26">
        <f t="shared" ref="C18:D18" si="3">C15+C16+C17</f>
        <v>-77.596999999999994</v>
      </c>
      <c r="D18" s="26">
        <f t="shared" si="3"/>
        <v>81.626000000000005</v>
      </c>
    </row>
    <row r="19" spans="1:4" x14ac:dyDescent="0.3">
      <c r="A19" s="22"/>
      <c r="B19" s="28"/>
      <c r="C19" s="28"/>
      <c r="D19" s="28"/>
    </row>
    <row r="20" spans="1:4" x14ac:dyDescent="0.3">
      <c r="A20" s="22" t="s">
        <v>59</v>
      </c>
      <c r="B20" s="26">
        <f>B9+B18</f>
        <v>390.13899999999961</v>
      </c>
      <c r="C20" s="26">
        <f>C9+C18</f>
        <v>-50.939000000000092</v>
      </c>
      <c r="D20" s="26">
        <f>D9+D18</f>
        <v>-411.11300000000051</v>
      </c>
    </row>
    <row r="21" spans="1:4" x14ac:dyDescent="0.3">
      <c r="A21" s="22" t="s">
        <v>60</v>
      </c>
      <c r="B21" s="26">
        <v>1075.52</v>
      </c>
      <c r="C21" s="26">
        <v>-1084.6869999999999</v>
      </c>
      <c r="D21" s="26">
        <v>189.70400000000001</v>
      </c>
    </row>
    <row r="22" spans="1:4" x14ac:dyDescent="0.3">
      <c r="A22" s="22" t="s">
        <v>61</v>
      </c>
      <c r="B22" s="26">
        <f>B20+B21</f>
        <v>1465.6589999999997</v>
      </c>
      <c r="C22" s="26">
        <f t="shared" ref="C22:D22" si="4">C20+C21</f>
        <v>-1135.626</v>
      </c>
      <c r="D22" s="26">
        <f t="shared" si="4"/>
        <v>-221.4090000000005</v>
      </c>
    </row>
    <row r="23" spans="1:4" x14ac:dyDescent="0.3">
      <c r="A23" s="22"/>
      <c r="B23" s="29"/>
      <c r="C23" s="29"/>
      <c r="D23" s="29"/>
    </row>
    <row r="24" spans="1:4" x14ac:dyDescent="0.3">
      <c r="A24" s="20" t="s">
        <v>62</v>
      </c>
      <c r="B24" s="29"/>
      <c r="C24" s="29"/>
      <c r="D24" s="29"/>
    </row>
    <row r="25" spans="1:4" x14ac:dyDescent="0.3">
      <c r="A25" s="22"/>
      <c r="B25" s="29"/>
      <c r="C25" s="29"/>
      <c r="D25" s="29"/>
    </row>
    <row r="26" spans="1:4" x14ac:dyDescent="0.3">
      <c r="A26" s="22" t="s">
        <v>63</v>
      </c>
      <c r="B26" s="26">
        <v>1799.08</v>
      </c>
      <c r="C26" s="26">
        <v>1988.43</v>
      </c>
      <c r="D26" s="26">
        <v>2186.5500000000002</v>
      </c>
    </row>
    <row r="27" spans="1:4" x14ac:dyDescent="0.3">
      <c r="A27" s="22" t="s">
        <v>64</v>
      </c>
      <c r="B27" s="26">
        <v>4839.97</v>
      </c>
      <c r="C27" s="26">
        <v>5483.87</v>
      </c>
      <c r="D27" s="26">
        <v>4207.13</v>
      </c>
    </row>
    <row r="28" spans="1:4" x14ac:dyDescent="0.3">
      <c r="A28" s="22" t="s">
        <v>65</v>
      </c>
      <c r="B28" s="26">
        <v>7620.08</v>
      </c>
      <c r="C28" s="26">
        <v>8637.11</v>
      </c>
      <c r="D28" s="26">
        <v>7918.37</v>
      </c>
    </row>
    <row r="29" spans="1:4" x14ac:dyDescent="0.3">
      <c r="A29" s="22"/>
      <c r="B29" s="26"/>
      <c r="C29" s="26"/>
      <c r="D29" s="26"/>
    </row>
    <row r="30" spans="1:4" x14ac:dyDescent="0.3">
      <c r="A30" s="22" t="s">
        <v>66</v>
      </c>
      <c r="B30" s="26">
        <v>1031.78</v>
      </c>
      <c r="C30" s="26">
        <v>1493.79</v>
      </c>
      <c r="D30" s="26">
        <v>2082.16</v>
      </c>
    </row>
    <row r="31" spans="1:4" x14ac:dyDescent="0.3">
      <c r="A31" s="22" t="s">
        <v>67</v>
      </c>
      <c r="B31" s="26">
        <v>55.11</v>
      </c>
      <c r="C31" s="26">
        <v>58.338000000000001</v>
      </c>
      <c r="D31" s="26">
        <v>69.323999999999998</v>
      </c>
    </row>
    <row r="32" spans="1:4" x14ac:dyDescent="0.3">
      <c r="A32" s="22" t="s">
        <v>68</v>
      </c>
      <c r="B32" s="26">
        <v>1256.7</v>
      </c>
      <c r="C32" s="26">
        <v>1312.346</v>
      </c>
      <c r="D32" s="26">
        <v>1301.52</v>
      </c>
    </row>
    <row r="33" spans="1:4" x14ac:dyDescent="0.3">
      <c r="A33" s="22" t="s">
        <v>69</v>
      </c>
      <c r="B33" s="26">
        <v>12703.39</v>
      </c>
      <c r="C33" s="26">
        <v>13379.09</v>
      </c>
      <c r="D33" s="26">
        <v>14059.52</v>
      </c>
    </row>
    <row r="34" spans="1:4" x14ac:dyDescent="0.3">
      <c r="A34" s="22"/>
      <c r="B34" s="26"/>
      <c r="C34" s="26"/>
      <c r="D34" s="26"/>
    </row>
    <row r="35" spans="1:4" x14ac:dyDescent="0.3">
      <c r="A35" s="22" t="s">
        <v>70</v>
      </c>
      <c r="B35" s="26">
        <v>0</v>
      </c>
      <c r="C35" s="26">
        <v>917.86599999999999</v>
      </c>
      <c r="D35" s="26">
        <v>0</v>
      </c>
    </row>
    <row r="36" spans="1:4" x14ac:dyDescent="0.3">
      <c r="A36" s="22" t="s">
        <v>71</v>
      </c>
      <c r="B36" s="26">
        <v>832.48</v>
      </c>
      <c r="C36" s="26">
        <v>1952.826</v>
      </c>
      <c r="D36" s="26">
        <v>1343.867</v>
      </c>
    </row>
    <row r="37" spans="1:4" x14ac:dyDescent="0.3">
      <c r="A37" s="22" t="s">
        <v>72</v>
      </c>
      <c r="B37" s="26">
        <v>1816.83</v>
      </c>
      <c r="C37" s="26">
        <v>1875.8779999999999</v>
      </c>
      <c r="D37" s="26">
        <v>3559.0230000000001</v>
      </c>
    </row>
    <row r="38" spans="1:4" x14ac:dyDescent="0.3">
      <c r="A38" s="22" t="s">
        <v>73</v>
      </c>
      <c r="B38" s="26">
        <v>691.97</v>
      </c>
      <c r="C38" s="26">
        <v>692.99400000000003</v>
      </c>
      <c r="D38" s="26">
        <v>693.99599999999998</v>
      </c>
    </row>
    <row r="39" spans="1:4" x14ac:dyDescent="0.3">
      <c r="A39" s="22" t="s">
        <v>74</v>
      </c>
      <c r="B39" s="26">
        <v>3999</v>
      </c>
      <c r="C39" s="26">
        <v>5409.0079999999998</v>
      </c>
      <c r="D39" s="26">
        <v>6752.317</v>
      </c>
    </row>
    <row r="40" spans="1:4" x14ac:dyDescent="0.3">
      <c r="A40" s="129" t="s">
        <v>75</v>
      </c>
      <c r="B40" s="130">
        <v>8704.3860000000004</v>
      </c>
      <c r="C40" s="130">
        <v>7970.08</v>
      </c>
      <c r="D40" s="130">
        <v>7307.1989999999996</v>
      </c>
    </row>
    <row r="41" spans="1:4" x14ac:dyDescent="0.3">
      <c r="A41" s="22"/>
      <c r="B41" s="2"/>
      <c r="C41" s="2"/>
      <c r="D41" s="2"/>
    </row>
    <row r="42" spans="1:4" ht="29.25" customHeight="1" x14ac:dyDescent="0.3">
      <c r="A42" s="256" t="s">
        <v>159</v>
      </c>
      <c r="B42" s="256"/>
      <c r="C42" s="256"/>
      <c r="D42" s="256"/>
    </row>
    <row r="43" spans="1:4" ht="102.75" customHeight="1" x14ac:dyDescent="0.3">
      <c r="A43" s="257" t="s">
        <v>160</v>
      </c>
      <c r="B43" s="257"/>
      <c r="C43" s="257"/>
      <c r="D43" s="257"/>
    </row>
  </sheetData>
  <mergeCells count="3">
    <mergeCell ref="A43:D43"/>
    <mergeCell ref="A1:D1"/>
    <mergeCell ref="A42:D4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46C6-E1E4-47B2-B17F-24581E0A5F88}">
  <dimension ref="A1:P26"/>
  <sheetViews>
    <sheetView workbookViewId="0">
      <selection activeCell="I5" sqref="I5"/>
    </sheetView>
  </sheetViews>
  <sheetFormatPr defaultColWidth="9.08984375" defaultRowHeight="14" x14ac:dyDescent="0.3"/>
  <cols>
    <col min="1" max="1" width="37.7265625" style="1" customWidth="1"/>
    <col min="2" max="2" width="15.26953125" style="1" customWidth="1"/>
    <col min="3" max="3" width="15.7265625" style="1" customWidth="1"/>
    <col min="4" max="4" width="2.26953125" style="1" customWidth="1"/>
    <col min="5" max="5" width="8.81640625" style="1" customWidth="1"/>
    <col min="6" max="6" width="9.08984375" style="1"/>
    <col min="7" max="7" width="4.36328125" style="1" customWidth="1"/>
    <col min="8" max="8" width="9.08984375" style="1"/>
    <col min="9" max="9" width="10.6328125" style="1" customWidth="1"/>
    <col min="10" max="10" width="8.81640625" style="1" customWidth="1"/>
    <col min="11" max="11" width="9.08984375" style="1"/>
    <col min="12" max="12" width="8.81640625" style="1" customWidth="1"/>
    <col min="13" max="13" width="9.08984375" style="1"/>
    <col min="14" max="14" width="7.6328125" style="1" customWidth="1"/>
    <col min="15" max="15" width="8.81640625" style="1" customWidth="1"/>
    <col min="16" max="16384" width="9.08984375" style="1"/>
  </cols>
  <sheetData>
    <row r="1" spans="1:16" ht="15.5" x14ac:dyDescent="0.35">
      <c r="A1" s="255" t="s">
        <v>154</v>
      </c>
      <c r="B1" s="255"/>
      <c r="C1" s="255"/>
      <c r="D1" s="255"/>
      <c r="E1" s="255"/>
      <c r="F1" s="255"/>
      <c r="G1" s="255"/>
      <c r="H1" s="255"/>
      <c r="I1" s="255"/>
      <c r="J1" s="255"/>
      <c r="K1" s="255"/>
      <c r="L1" s="255"/>
      <c r="M1" s="255"/>
      <c r="N1" s="255"/>
      <c r="O1" s="255"/>
      <c r="P1" s="255"/>
    </row>
    <row r="3" spans="1:16" x14ac:dyDescent="0.3">
      <c r="A3" s="265" t="s">
        <v>143</v>
      </c>
      <c r="B3" s="266"/>
      <c r="C3" s="267"/>
      <c r="E3" s="268" t="s">
        <v>109</v>
      </c>
      <c r="F3" s="269"/>
      <c r="G3" s="269"/>
      <c r="H3" s="269"/>
      <c r="I3" s="269"/>
      <c r="J3" s="269"/>
      <c r="K3" s="269"/>
      <c r="L3" s="269"/>
      <c r="M3" s="269"/>
      <c r="N3" s="269"/>
      <c r="O3" s="269"/>
      <c r="P3" s="270"/>
    </row>
    <row r="4" spans="1:16" x14ac:dyDescent="0.3">
      <c r="A4" s="117" t="s">
        <v>0</v>
      </c>
      <c r="B4" s="30">
        <v>727.5</v>
      </c>
      <c r="C4" s="31">
        <f>B4/B6</f>
        <v>0.90869347989008242</v>
      </c>
      <c r="E4" s="262" t="s">
        <v>144</v>
      </c>
      <c r="F4" s="263"/>
      <c r="G4" s="263"/>
      <c r="H4" s="263"/>
      <c r="I4" s="263"/>
      <c r="J4" s="264"/>
      <c r="K4" s="262" t="s">
        <v>145</v>
      </c>
      <c r="L4" s="263"/>
      <c r="M4" s="263"/>
      <c r="N4" s="263"/>
      <c r="O4" s="263"/>
      <c r="P4" s="264"/>
    </row>
    <row r="5" spans="1:16" x14ac:dyDescent="0.3">
      <c r="A5" s="117" t="s">
        <v>47</v>
      </c>
      <c r="B5" s="32">
        <v>73.099999999999994</v>
      </c>
      <c r="C5" s="33">
        <f>B5/B6</f>
        <v>9.1306520109917549E-2</v>
      </c>
      <c r="E5" s="258" t="s">
        <v>153</v>
      </c>
      <c r="F5" s="259"/>
      <c r="G5" s="259"/>
      <c r="H5" s="34"/>
      <c r="I5" s="35">
        <v>25000</v>
      </c>
      <c r="J5" s="36">
        <f>I5/I10</f>
        <v>0.4771567868491009</v>
      </c>
      <c r="K5" s="258" t="s">
        <v>6</v>
      </c>
      <c r="L5" s="259"/>
      <c r="M5" s="259"/>
      <c r="N5" s="259"/>
      <c r="O5" s="37">
        <f>B8*B4</f>
        <v>39430.5</v>
      </c>
      <c r="P5" s="38">
        <f>O5/O10</f>
        <v>0.75258352559629516</v>
      </c>
    </row>
    <row r="6" spans="1:16" x14ac:dyDescent="0.3">
      <c r="A6" s="117" t="s">
        <v>1</v>
      </c>
      <c r="B6" s="8">
        <f>SUM(B4:B5)</f>
        <v>800.6</v>
      </c>
      <c r="C6" s="38">
        <v>1</v>
      </c>
      <c r="E6" s="258" t="s">
        <v>4</v>
      </c>
      <c r="F6" s="259"/>
      <c r="G6" s="259"/>
      <c r="H6" s="8"/>
      <c r="I6" s="39">
        <f>B12*-1</f>
        <v>6393.68</v>
      </c>
      <c r="J6" s="36">
        <f>I6/I10</f>
        <v>0.12203151219765437</v>
      </c>
      <c r="K6" s="258" t="s">
        <v>152</v>
      </c>
      <c r="L6" s="259"/>
      <c r="M6" s="259"/>
      <c r="N6" s="259"/>
      <c r="O6" s="40">
        <f>B8*B5</f>
        <v>3962.02</v>
      </c>
      <c r="P6" s="38">
        <f>O6/O10</f>
        <v>7.5620420235174124E-2</v>
      </c>
    </row>
    <row r="7" spans="1:16" x14ac:dyDescent="0.3">
      <c r="A7" s="41"/>
      <c r="B7" s="8"/>
      <c r="C7" s="11"/>
      <c r="E7" s="258" t="s">
        <v>48</v>
      </c>
      <c r="F7" s="259"/>
      <c r="G7" s="259"/>
      <c r="H7" s="8"/>
      <c r="I7" s="35">
        <v>21000</v>
      </c>
      <c r="J7" s="36">
        <f>I7/I10</f>
        <v>0.40081170095324475</v>
      </c>
      <c r="K7" s="258" t="s">
        <v>7</v>
      </c>
      <c r="L7" s="259"/>
      <c r="M7" s="259"/>
      <c r="N7" s="259"/>
      <c r="O7" s="40">
        <v>4476</v>
      </c>
      <c r="P7" s="38">
        <f>O7/O10</f>
        <v>8.543041200514874E-2</v>
      </c>
    </row>
    <row r="8" spans="1:16" x14ac:dyDescent="0.3">
      <c r="A8" s="117" t="s">
        <v>167</v>
      </c>
      <c r="B8" s="42">
        <v>54.2</v>
      </c>
      <c r="C8" s="11"/>
      <c r="D8" s="43"/>
      <c r="E8" s="258" t="s">
        <v>151</v>
      </c>
      <c r="F8" s="259"/>
      <c r="G8" s="259"/>
      <c r="H8" s="44">
        <f>B8*B5</f>
        <v>3962.02</v>
      </c>
      <c r="I8" s="8"/>
      <c r="J8" s="38">
        <f>H8/I10</f>
        <v>7.562018930527499E-2</v>
      </c>
      <c r="K8" s="258" t="s">
        <v>148</v>
      </c>
      <c r="L8" s="259"/>
      <c r="M8" s="259"/>
      <c r="N8" s="259"/>
      <c r="O8" s="45">
        <v>4025</v>
      </c>
      <c r="P8" s="38">
        <f>O8/O10</f>
        <v>7.6822477283450319E-2</v>
      </c>
    </row>
    <row r="9" spans="1:16" x14ac:dyDescent="0.3">
      <c r="A9" s="117" t="s">
        <v>2</v>
      </c>
      <c r="B9" s="44">
        <f>B8*B6</f>
        <v>43392.520000000004</v>
      </c>
      <c r="C9" s="11"/>
      <c r="E9" s="258" t="s">
        <v>49</v>
      </c>
      <c r="F9" s="259"/>
      <c r="G9" s="259"/>
      <c r="H9" s="46">
        <f>I7-H8</f>
        <v>17037.98</v>
      </c>
      <c r="I9" s="47"/>
      <c r="J9" s="48">
        <f>H9/I10</f>
        <v>0.32519151164796972</v>
      </c>
      <c r="K9" s="258" t="s">
        <v>110</v>
      </c>
      <c r="L9" s="259"/>
      <c r="M9" s="259"/>
      <c r="N9" s="259"/>
      <c r="O9" s="49">
        <v>500</v>
      </c>
      <c r="P9" s="48">
        <f>O9/O10</f>
        <v>9.5431648799317176E-3</v>
      </c>
    </row>
    <row r="10" spans="1:16" x14ac:dyDescent="0.3">
      <c r="A10" s="41"/>
      <c r="B10" s="8"/>
      <c r="C10" s="11"/>
      <c r="E10" s="271" t="s">
        <v>5</v>
      </c>
      <c r="F10" s="272"/>
      <c r="G10" s="272"/>
      <c r="H10" s="15"/>
      <c r="I10" s="47">
        <f>SUM(I5:I7)</f>
        <v>52393.68</v>
      </c>
      <c r="J10" s="48">
        <f>SUM(J5:J5:J7)</f>
        <v>1</v>
      </c>
      <c r="K10" s="271" t="s">
        <v>5</v>
      </c>
      <c r="L10" s="272"/>
      <c r="M10" s="272"/>
      <c r="N10" s="272"/>
      <c r="O10" s="50">
        <f>SUM(O5:O9)</f>
        <v>52393.52</v>
      </c>
      <c r="P10" s="48">
        <f>SUM(P5:P9)</f>
        <v>1.0000000000000002</v>
      </c>
    </row>
    <row r="11" spans="1:16" x14ac:dyDescent="0.3">
      <c r="A11" s="117" t="s">
        <v>147</v>
      </c>
      <c r="B11" s="40">
        <f>SUM('[1]Twitter Historical Data'!D34+'[1]Twitter Historical Data'!D36+'[1]Twitter Historical Data'!D37)</f>
        <v>4253.0190000000002</v>
      </c>
      <c r="C11" s="11"/>
      <c r="O11" s="51"/>
    </row>
    <row r="12" spans="1:16" x14ac:dyDescent="0.3">
      <c r="A12" s="41" t="s">
        <v>146</v>
      </c>
      <c r="B12" s="52">
        <f>-('[1]Twitter Historical Data'!D25+'[1]Twitter Historical Data'!D26)</f>
        <v>-6393.68</v>
      </c>
      <c r="C12" s="11"/>
    </row>
    <row r="13" spans="1:16" x14ac:dyDescent="0.3">
      <c r="A13" s="116" t="s">
        <v>3</v>
      </c>
      <c r="B13" s="46">
        <f>B9+B11+B12</f>
        <v>41251.859000000004</v>
      </c>
      <c r="C13" s="18"/>
    </row>
    <row r="15" spans="1:16" ht="70.900000000000006" customHeight="1" x14ac:dyDescent="0.3">
      <c r="A15" s="256" t="s">
        <v>149</v>
      </c>
      <c r="B15" s="256"/>
      <c r="C15" s="256"/>
    </row>
    <row r="16" spans="1:16" ht="72" customHeight="1" x14ac:dyDescent="0.3">
      <c r="A16" s="256" t="s">
        <v>150</v>
      </c>
      <c r="B16" s="256"/>
      <c r="C16" s="256"/>
    </row>
    <row r="17" spans="1:7" x14ac:dyDescent="0.3">
      <c r="A17" s="115"/>
    </row>
    <row r="18" spans="1:7" x14ac:dyDescent="0.3">
      <c r="A18" s="260"/>
      <c r="B18" s="260"/>
      <c r="C18" s="260"/>
    </row>
    <row r="19" spans="1:7" x14ac:dyDescent="0.3">
      <c r="A19" s="260"/>
      <c r="B19" s="260"/>
      <c r="C19" s="260"/>
    </row>
    <row r="20" spans="1:7" x14ac:dyDescent="0.3">
      <c r="A20" s="261"/>
      <c r="B20" s="261"/>
      <c r="C20" s="53"/>
    </row>
    <row r="21" spans="1:7" x14ac:dyDescent="0.3">
      <c r="A21" s="261"/>
      <c r="B21" s="261"/>
      <c r="C21" s="53"/>
    </row>
    <row r="22" spans="1:7" x14ac:dyDescent="0.3">
      <c r="A22" s="261"/>
      <c r="B22" s="261"/>
      <c r="C22" s="53"/>
    </row>
    <row r="23" spans="1:7" x14ac:dyDescent="0.3">
      <c r="A23" s="260"/>
      <c r="B23" s="260"/>
      <c r="C23" s="53"/>
    </row>
    <row r="24" spans="1:7" x14ac:dyDescent="0.3">
      <c r="A24" s="260"/>
      <c r="B24" s="260"/>
      <c r="C24" s="260"/>
    </row>
    <row r="26" spans="1:7" x14ac:dyDescent="0.3">
      <c r="A26" s="249"/>
      <c r="B26" s="249"/>
      <c r="C26" s="249"/>
      <c r="D26" s="249"/>
      <c r="E26" s="249"/>
      <c r="F26" s="249"/>
      <c r="G26" s="249"/>
    </row>
  </sheetData>
  <mergeCells count="25">
    <mergeCell ref="A1:P1"/>
    <mergeCell ref="A15:C15"/>
    <mergeCell ref="A16:C16"/>
    <mergeCell ref="K5:N5"/>
    <mergeCell ref="K4:P4"/>
    <mergeCell ref="A3:C3"/>
    <mergeCell ref="E3:P3"/>
    <mergeCell ref="E10:G10"/>
    <mergeCell ref="K6:N6"/>
    <mergeCell ref="K7:N7"/>
    <mergeCell ref="K8:N8"/>
    <mergeCell ref="K9:N9"/>
    <mergeCell ref="K10:N10"/>
    <mergeCell ref="E9:G9"/>
    <mergeCell ref="E4:J4"/>
    <mergeCell ref="E5:G5"/>
    <mergeCell ref="E6:G6"/>
    <mergeCell ref="E7:G7"/>
    <mergeCell ref="E8:G8"/>
    <mergeCell ref="A26:G26"/>
    <mergeCell ref="A24:C24"/>
    <mergeCell ref="A18:C18"/>
    <mergeCell ref="A19:C19"/>
    <mergeCell ref="A20:B22"/>
    <mergeCell ref="A23:B2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882DC-0F28-4156-9BF0-924F4D743E5C}">
  <dimension ref="A1:U27"/>
  <sheetViews>
    <sheetView zoomScaleNormal="100" workbookViewId="0">
      <selection activeCell="A7" sqref="A7"/>
    </sheetView>
  </sheetViews>
  <sheetFormatPr defaultColWidth="9.08984375" defaultRowHeight="14" x14ac:dyDescent="0.3"/>
  <cols>
    <col min="1" max="1" width="24.6328125" style="1" customWidth="1"/>
    <col min="2" max="10" width="13.08984375" style="1" customWidth="1"/>
    <col min="11" max="11" width="11.81640625" style="1" customWidth="1"/>
    <col min="12" max="12" width="16" style="1" customWidth="1"/>
    <col min="13" max="13" width="22.81640625" style="1" customWidth="1"/>
    <col min="14" max="14" width="22" style="1" customWidth="1"/>
    <col min="15" max="15" width="21.36328125" style="1" customWidth="1"/>
    <col min="16" max="16" width="11.81640625" style="1" customWidth="1"/>
    <col min="17" max="17" width="14.6328125" style="1" customWidth="1"/>
    <col min="18" max="18" width="13.36328125" style="1" customWidth="1"/>
    <col min="19" max="19" width="24.08984375" style="1" customWidth="1"/>
    <col min="20" max="21" width="11.81640625" style="1" customWidth="1"/>
    <col min="22" max="16384" width="9.08984375" style="1"/>
  </cols>
  <sheetData>
    <row r="1" spans="1:21" ht="15.5" x14ac:dyDescent="0.35">
      <c r="A1" s="255" t="s">
        <v>155</v>
      </c>
      <c r="B1" s="255"/>
      <c r="C1" s="255"/>
      <c r="D1" s="255"/>
      <c r="E1" s="255"/>
      <c r="F1" s="255"/>
      <c r="G1" s="255"/>
      <c r="H1" s="255"/>
      <c r="I1" s="255"/>
      <c r="J1" s="255"/>
      <c r="K1" s="255"/>
      <c r="L1" s="255"/>
    </row>
    <row r="3" spans="1:21" ht="28" x14ac:dyDescent="0.3">
      <c r="A3" s="54"/>
      <c r="B3" s="251" t="s">
        <v>141</v>
      </c>
      <c r="C3" s="266"/>
      <c r="D3" s="267"/>
      <c r="E3" s="265" t="s">
        <v>13</v>
      </c>
      <c r="F3" s="266"/>
      <c r="G3" s="267"/>
      <c r="H3" s="265" t="s">
        <v>14</v>
      </c>
      <c r="I3" s="266"/>
      <c r="J3" s="267"/>
      <c r="K3" s="6" t="s">
        <v>36</v>
      </c>
      <c r="L3" s="112" t="s">
        <v>140</v>
      </c>
      <c r="O3" s="55"/>
      <c r="P3" s="55"/>
      <c r="Q3" s="55"/>
      <c r="R3" s="55"/>
      <c r="S3" s="55"/>
    </row>
    <row r="4" spans="1:21" x14ac:dyDescent="0.3">
      <c r="A4" s="54"/>
      <c r="B4" s="56">
        <v>2021</v>
      </c>
      <c r="C4" s="56">
        <v>2020</v>
      </c>
      <c r="D4" s="57">
        <v>2019</v>
      </c>
      <c r="E4" s="58">
        <v>2021</v>
      </c>
      <c r="F4" s="56">
        <v>2020</v>
      </c>
      <c r="G4" s="57">
        <v>2019</v>
      </c>
      <c r="H4" s="58">
        <v>2021</v>
      </c>
      <c r="I4" s="56">
        <v>2020</v>
      </c>
      <c r="J4" s="57">
        <v>2019</v>
      </c>
      <c r="K4" s="6">
        <v>2021</v>
      </c>
      <c r="L4" s="6">
        <v>2021</v>
      </c>
      <c r="O4" s="55"/>
      <c r="P4" s="55"/>
      <c r="Q4" s="55"/>
      <c r="R4" s="55"/>
      <c r="S4" s="55"/>
    </row>
    <row r="5" spans="1:21" x14ac:dyDescent="0.3">
      <c r="A5" s="12" t="s">
        <v>119</v>
      </c>
      <c r="B5" s="59">
        <v>34.549999999999997</v>
      </c>
      <c r="C5" s="59">
        <v>42.96</v>
      </c>
      <c r="D5" s="60">
        <v>24.83</v>
      </c>
      <c r="E5" s="61">
        <v>0.64590000000000003</v>
      </c>
      <c r="F5" s="62">
        <v>0.63229999999999997</v>
      </c>
      <c r="G5" s="63">
        <v>0.67130000000000001</v>
      </c>
      <c r="H5" s="61">
        <v>0.18720000000000001</v>
      </c>
      <c r="I5" s="62">
        <v>0.16070000000000001</v>
      </c>
      <c r="J5" s="63">
        <v>0.2873</v>
      </c>
      <c r="K5" s="64">
        <v>0.59</v>
      </c>
      <c r="L5" s="65">
        <v>34.549999999999997</v>
      </c>
      <c r="O5" s="2"/>
      <c r="P5" s="2"/>
      <c r="Q5" s="2"/>
      <c r="R5" s="2"/>
      <c r="S5" s="2"/>
    </row>
    <row r="6" spans="1:21" x14ac:dyDescent="0.3">
      <c r="A6" s="12" t="s">
        <v>120</v>
      </c>
      <c r="B6" s="59">
        <v>935.65</v>
      </c>
      <c r="C6" s="59">
        <v>778.04</v>
      </c>
      <c r="D6" s="60">
        <v>585.37</v>
      </c>
      <c r="E6" s="61">
        <v>0.8034</v>
      </c>
      <c r="F6" s="62">
        <v>0.80579999999999996</v>
      </c>
      <c r="G6" s="63">
        <v>0.81940000000000002</v>
      </c>
      <c r="H6" s="61">
        <v>0.4652</v>
      </c>
      <c r="I6" s="62">
        <v>0.46139999999999998</v>
      </c>
      <c r="J6" s="63">
        <v>0.43390000000000001</v>
      </c>
      <c r="K6" s="66">
        <v>1.37</v>
      </c>
      <c r="L6" s="67">
        <v>935.65</v>
      </c>
      <c r="O6" s="68"/>
      <c r="P6" s="2"/>
      <c r="Q6" s="2"/>
      <c r="R6" s="2"/>
      <c r="S6" s="2"/>
    </row>
    <row r="7" spans="1:21" x14ac:dyDescent="0.3">
      <c r="A7" s="12" t="s">
        <v>121</v>
      </c>
      <c r="B7" s="59">
        <v>23.71</v>
      </c>
      <c r="C7" s="59">
        <v>40.729999999999997</v>
      </c>
      <c r="D7" s="60">
        <v>10.41</v>
      </c>
      <c r="E7" s="61">
        <v>0.79469999999999996</v>
      </c>
      <c r="F7" s="62">
        <v>0.73450000000000004</v>
      </c>
      <c r="G7" s="63">
        <v>0.68589999999999995</v>
      </c>
      <c r="H7" s="61">
        <v>0.13880000000000001</v>
      </c>
      <c r="I7" s="69" t="s">
        <v>15</v>
      </c>
      <c r="J7" s="70" t="s">
        <v>15</v>
      </c>
      <c r="K7" s="66">
        <v>1.24</v>
      </c>
      <c r="L7" s="67">
        <v>23.71</v>
      </c>
      <c r="O7" s="2"/>
      <c r="P7" s="2"/>
      <c r="Q7" s="2"/>
      <c r="R7" s="2"/>
      <c r="S7" s="2"/>
    </row>
    <row r="8" spans="1:21" x14ac:dyDescent="0.3">
      <c r="A8" s="12" t="s">
        <v>39</v>
      </c>
      <c r="B8" s="59">
        <v>76.150000000000006</v>
      </c>
      <c r="C8" s="59">
        <v>75.27</v>
      </c>
      <c r="D8" s="60">
        <v>23.12</v>
      </c>
      <c r="E8" s="61">
        <v>0.57489999999999997</v>
      </c>
      <c r="F8" s="62">
        <v>0.5282</v>
      </c>
      <c r="G8" s="63">
        <v>0.4778</v>
      </c>
      <c r="H8" s="71" t="s">
        <v>15</v>
      </c>
      <c r="I8" s="69" t="s">
        <v>15</v>
      </c>
      <c r="J8" s="70" t="s">
        <v>15</v>
      </c>
      <c r="K8" s="66">
        <v>1.18</v>
      </c>
      <c r="L8" s="67">
        <v>76.150000000000006</v>
      </c>
      <c r="O8" s="2"/>
      <c r="P8" s="2"/>
      <c r="Q8" s="2"/>
      <c r="R8" s="68"/>
      <c r="S8" s="2"/>
    </row>
    <row r="9" spans="1:21" x14ac:dyDescent="0.3">
      <c r="A9" s="12" t="s">
        <v>40</v>
      </c>
      <c r="B9" s="59">
        <v>6.93</v>
      </c>
      <c r="C9" s="59">
        <v>8.68</v>
      </c>
      <c r="D9" s="60">
        <v>10.75</v>
      </c>
      <c r="E9" s="61">
        <v>0.82110000000000005</v>
      </c>
      <c r="F9" s="62">
        <v>0.82120000000000004</v>
      </c>
      <c r="G9" s="63">
        <v>0.81389999999999996</v>
      </c>
      <c r="H9" s="61">
        <v>0.38069999999999998</v>
      </c>
      <c r="I9" s="62">
        <v>0.38119999999999998</v>
      </c>
      <c r="J9" s="63">
        <v>0.39829999999999999</v>
      </c>
      <c r="K9" s="66">
        <v>0.88</v>
      </c>
      <c r="L9" s="67">
        <v>6.93</v>
      </c>
      <c r="O9" s="2"/>
      <c r="P9" s="2"/>
      <c r="Q9" s="2"/>
      <c r="R9" s="2"/>
      <c r="S9" s="5"/>
    </row>
    <row r="10" spans="1:21" x14ac:dyDescent="0.3">
      <c r="A10" s="12" t="s">
        <v>107</v>
      </c>
      <c r="B10" s="59">
        <v>36.369999999999997</v>
      </c>
      <c r="C10" s="59">
        <v>40.28</v>
      </c>
      <c r="D10" s="60">
        <v>13.28</v>
      </c>
      <c r="E10" s="61">
        <v>0.71860000000000002</v>
      </c>
      <c r="F10" s="62">
        <v>0.73409999999999997</v>
      </c>
      <c r="G10" s="63">
        <v>0.76300000000000001</v>
      </c>
      <c r="H10" s="61"/>
      <c r="I10" s="62"/>
      <c r="J10" s="63"/>
      <c r="K10" s="66">
        <v>1.24</v>
      </c>
      <c r="L10" s="67">
        <v>36.369999999999997</v>
      </c>
      <c r="O10" s="2"/>
      <c r="P10" s="2"/>
      <c r="Q10" s="2"/>
      <c r="R10" s="72"/>
      <c r="S10" s="2"/>
    </row>
    <row r="11" spans="1:21" x14ac:dyDescent="0.3">
      <c r="A11" s="14" t="s">
        <v>108</v>
      </c>
      <c r="B11" s="59">
        <v>4.1100000000000003</v>
      </c>
      <c r="C11" s="59" t="s">
        <v>15</v>
      </c>
      <c r="D11" s="73" t="s">
        <v>15</v>
      </c>
      <c r="E11" s="62">
        <v>0.7258</v>
      </c>
      <c r="F11" s="62" t="s">
        <v>15</v>
      </c>
      <c r="G11" s="74" t="s">
        <v>15</v>
      </c>
      <c r="H11" s="62">
        <v>0.15310000000000001</v>
      </c>
      <c r="I11" s="62" t="s">
        <v>15</v>
      </c>
      <c r="J11" s="74" t="s">
        <v>15</v>
      </c>
      <c r="K11" s="75" t="s">
        <v>15</v>
      </c>
      <c r="L11" s="76">
        <v>4.1100000000000003</v>
      </c>
      <c r="O11" s="2"/>
      <c r="P11" s="5"/>
      <c r="Q11" s="2"/>
      <c r="R11" s="2"/>
      <c r="S11" s="2"/>
    </row>
    <row r="12" spans="1:21" x14ac:dyDescent="0.3">
      <c r="A12" s="77"/>
      <c r="B12" s="78"/>
      <c r="C12" s="78"/>
      <c r="D12" s="78"/>
      <c r="E12" s="79"/>
      <c r="F12" s="79"/>
      <c r="G12" s="79"/>
      <c r="H12" s="79"/>
      <c r="I12" s="79"/>
      <c r="J12" s="79"/>
      <c r="K12" s="80"/>
      <c r="L12" s="81"/>
      <c r="M12" s="81"/>
      <c r="O12" s="2"/>
      <c r="P12" s="82"/>
      <c r="Q12" s="2"/>
      <c r="R12" s="2"/>
      <c r="S12" s="2"/>
      <c r="T12" s="2"/>
      <c r="U12" s="2"/>
    </row>
    <row r="13" spans="1:21" ht="28" x14ac:dyDescent="0.3">
      <c r="A13" s="14"/>
      <c r="B13" s="112" t="s">
        <v>136</v>
      </c>
      <c r="C13" s="251" t="s">
        <v>137</v>
      </c>
      <c r="D13" s="267"/>
      <c r="E13" s="112" t="s">
        <v>138</v>
      </c>
      <c r="F13" s="251" t="s">
        <v>139</v>
      </c>
      <c r="G13" s="267"/>
      <c r="H13" s="112" t="s">
        <v>133</v>
      </c>
      <c r="I13" s="6" t="s">
        <v>37</v>
      </c>
      <c r="J13" s="6" t="s">
        <v>135</v>
      </c>
      <c r="K13" s="6" t="s">
        <v>38</v>
      </c>
      <c r="L13" s="83" t="s">
        <v>134</v>
      </c>
      <c r="O13" s="2"/>
      <c r="P13" s="82"/>
      <c r="Q13" s="2"/>
      <c r="R13" s="2"/>
      <c r="S13" s="2"/>
      <c r="T13" s="2"/>
      <c r="U13" s="2"/>
    </row>
    <row r="14" spans="1:21" x14ac:dyDescent="0.3">
      <c r="A14" s="54"/>
      <c r="B14" s="6">
        <v>2021</v>
      </c>
      <c r="C14" s="265">
        <v>2021</v>
      </c>
      <c r="D14" s="267"/>
      <c r="E14" s="6">
        <v>2021</v>
      </c>
      <c r="F14" s="265">
        <v>2021</v>
      </c>
      <c r="G14" s="267"/>
      <c r="H14" s="6">
        <v>2021</v>
      </c>
      <c r="I14" s="6">
        <v>2021</v>
      </c>
      <c r="J14" s="57">
        <v>2021</v>
      </c>
      <c r="K14" s="6">
        <v>2021</v>
      </c>
      <c r="L14" s="83">
        <v>2021</v>
      </c>
      <c r="O14" s="2"/>
      <c r="P14" s="82"/>
      <c r="Q14" s="2"/>
      <c r="R14" s="2"/>
      <c r="S14" s="2"/>
      <c r="T14" s="2"/>
      <c r="U14" s="2"/>
    </row>
    <row r="15" spans="1:21" x14ac:dyDescent="0.3">
      <c r="A15" s="12" t="s">
        <v>119</v>
      </c>
      <c r="B15" s="67">
        <v>4.2530000000000001</v>
      </c>
      <c r="C15" s="273">
        <v>43.22</v>
      </c>
      <c r="D15" s="274"/>
      <c r="E15" s="64">
        <v>798</v>
      </c>
      <c r="F15" s="281">
        <v>5077.4799999999996</v>
      </c>
      <c r="G15" s="282"/>
      <c r="H15" s="64">
        <v>353</v>
      </c>
      <c r="I15" s="64">
        <v>-94.29</v>
      </c>
      <c r="J15" s="84">
        <v>6.8</v>
      </c>
      <c r="K15" s="64">
        <v>41.9</v>
      </c>
      <c r="L15" s="64">
        <v>92.17</v>
      </c>
      <c r="O15" s="2"/>
      <c r="P15" s="82"/>
      <c r="Q15" s="2"/>
      <c r="R15" s="2"/>
      <c r="S15" s="2"/>
      <c r="T15" s="2"/>
      <c r="U15" s="2"/>
    </row>
    <row r="16" spans="1:21" x14ac:dyDescent="0.3">
      <c r="A16" s="12" t="s">
        <v>120</v>
      </c>
      <c r="B16" s="67">
        <v>0.58099999999999996</v>
      </c>
      <c r="C16" s="275">
        <v>336.35</v>
      </c>
      <c r="D16" s="276"/>
      <c r="E16" s="85">
        <v>2859</v>
      </c>
      <c r="F16" s="285">
        <v>117929</v>
      </c>
      <c r="G16" s="286"/>
      <c r="H16" s="85">
        <v>2900</v>
      </c>
      <c r="I16" s="66">
        <v>24.06</v>
      </c>
      <c r="J16" s="70">
        <v>8.6</v>
      </c>
      <c r="K16" s="66">
        <v>16.100000000000001</v>
      </c>
      <c r="L16" s="66">
        <v>302.24</v>
      </c>
      <c r="O16" s="2"/>
      <c r="P16" s="82"/>
      <c r="Q16" s="2"/>
      <c r="R16" s="2"/>
      <c r="S16" s="2"/>
      <c r="T16" s="2"/>
      <c r="U16" s="2"/>
    </row>
    <row r="17" spans="1:21" x14ac:dyDescent="0.3">
      <c r="A17" s="12" t="s">
        <v>121</v>
      </c>
      <c r="B17" s="67">
        <v>0.25</v>
      </c>
      <c r="C17" s="275">
        <v>36.35</v>
      </c>
      <c r="D17" s="276"/>
      <c r="E17" s="66">
        <v>692</v>
      </c>
      <c r="F17" s="283">
        <v>2578.0300000000002</v>
      </c>
      <c r="G17" s="284"/>
      <c r="H17" s="66">
        <v>431</v>
      </c>
      <c r="I17" s="66">
        <v>66.09</v>
      </c>
      <c r="J17" s="70">
        <v>8.9</v>
      </c>
      <c r="K17" s="66">
        <v>56.8</v>
      </c>
      <c r="L17" s="66">
        <v>50.49</v>
      </c>
      <c r="O17" s="2"/>
      <c r="P17" s="82"/>
      <c r="Q17" s="2"/>
      <c r="R17" s="2"/>
      <c r="S17" s="2"/>
      <c r="T17" s="2"/>
      <c r="U17" s="2"/>
    </row>
    <row r="18" spans="1:21" x14ac:dyDescent="0.3">
      <c r="A18" s="12" t="s">
        <v>39</v>
      </c>
      <c r="B18" s="67">
        <v>2.25</v>
      </c>
      <c r="C18" s="275">
        <v>47.03</v>
      </c>
      <c r="D18" s="276"/>
      <c r="E18" s="85">
        <v>1559</v>
      </c>
      <c r="F18" s="283">
        <v>4117.05</v>
      </c>
      <c r="G18" s="284"/>
      <c r="H18" s="66">
        <v>428</v>
      </c>
      <c r="I18" s="66">
        <v>-32.130000000000003</v>
      </c>
      <c r="J18" s="70">
        <v>20.100000000000001</v>
      </c>
      <c r="K18" s="85" t="s">
        <v>15</v>
      </c>
      <c r="L18" s="66">
        <v>175.86</v>
      </c>
      <c r="O18" s="2"/>
      <c r="P18" s="82"/>
      <c r="Q18" s="2"/>
      <c r="R18" s="2"/>
      <c r="S18" s="2"/>
      <c r="T18" s="2"/>
      <c r="U18" s="2"/>
    </row>
    <row r="19" spans="1:21" x14ac:dyDescent="0.3">
      <c r="A19" s="12" t="s">
        <v>40</v>
      </c>
      <c r="B19" s="67">
        <v>1.538</v>
      </c>
      <c r="C19" s="275">
        <v>30.98</v>
      </c>
      <c r="D19" s="276"/>
      <c r="E19" s="66">
        <v>230</v>
      </c>
      <c r="F19" s="283">
        <v>2257.08</v>
      </c>
      <c r="G19" s="284"/>
      <c r="H19" s="66">
        <v>573</v>
      </c>
      <c r="I19" s="66">
        <v>20.79</v>
      </c>
      <c r="J19" s="70">
        <v>2.6</v>
      </c>
      <c r="K19" s="66">
        <v>7.4</v>
      </c>
      <c r="L19" s="86">
        <v>9.6</v>
      </c>
      <c r="O19" s="2"/>
      <c r="P19" s="82"/>
      <c r="Q19" s="2"/>
      <c r="R19" s="2"/>
      <c r="S19" s="2"/>
      <c r="T19" s="2"/>
      <c r="U19" s="2"/>
    </row>
    <row r="20" spans="1:21" x14ac:dyDescent="0.3">
      <c r="A20" s="12" t="s">
        <v>107</v>
      </c>
      <c r="B20" s="67">
        <v>3.8290000000000002</v>
      </c>
      <c r="C20" s="275">
        <v>132.25</v>
      </c>
      <c r="D20" s="276"/>
      <c r="E20" s="66">
        <v>305</v>
      </c>
      <c r="F20" s="283">
        <v>2983.28</v>
      </c>
      <c r="G20" s="284"/>
      <c r="H20" s="66">
        <v>16.329999999999998</v>
      </c>
      <c r="I20" s="66">
        <v>70.72</v>
      </c>
      <c r="J20" s="70">
        <v>14.5</v>
      </c>
      <c r="K20" s="87">
        <v>46</v>
      </c>
      <c r="L20" s="66">
        <v>2516.7800000000002</v>
      </c>
      <c r="O20" s="2"/>
      <c r="P20" s="82"/>
      <c r="Q20" s="2"/>
      <c r="R20" s="2"/>
      <c r="S20" s="2"/>
      <c r="T20" s="2"/>
      <c r="U20" s="2"/>
    </row>
    <row r="21" spans="1:21" x14ac:dyDescent="0.3">
      <c r="A21" s="14" t="s">
        <v>108</v>
      </c>
      <c r="B21" s="76">
        <v>0.68</v>
      </c>
      <c r="C21" s="277">
        <v>33.86</v>
      </c>
      <c r="D21" s="278"/>
      <c r="E21" s="88">
        <v>193</v>
      </c>
      <c r="F21" s="279">
        <v>765.67</v>
      </c>
      <c r="G21" s="280"/>
      <c r="H21" s="88">
        <v>12.33</v>
      </c>
      <c r="I21" s="89">
        <v>57.2</v>
      </c>
      <c r="J21" s="88">
        <v>7.7</v>
      </c>
      <c r="K21" s="88">
        <v>105.4</v>
      </c>
      <c r="L21" s="88">
        <v>452.64</v>
      </c>
      <c r="O21" s="2"/>
      <c r="P21" s="82"/>
      <c r="Q21" s="2"/>
      <c r="R21" s="2"/>
      <c r="S21" s="2"/>
      <c r="T21" s="2"/>
      <c r="U21" s="2"/>
    </row>
    <row r="23" spans="1:21" ht="26.25" customHeight="1" x14ac:dyDescent="0.3">
      <c r="A23" s="256" t="s">
        <v>142</v>
      </c>
      <c r="B23" s="256"/>
      <c r="C23" s="256"/>
      <c r="D23" s="256"/>
      <c r="E23" s="256"/>
      <c r="F23" s="256"/>
      <c r="G23" s="256"/>
      <c r="H23" s="256"/>
      <c r="I23" s="256"/>
      <c r="J23" s="256"/>
      <c r="K23" s="256"/>
      <c r="L23" s="256"/>
    </row>
    <row r="24" spans="1:21" x14ac:dyDescent="0.3">
      <c r="A24" s="249" t="s">
        <v>172</v>
      </c>
      <c r="B24" s="249"/>
      <c r="C24" s="249"/>
      <c r="D24" s="249"/>
      <c r="E24" s="249"/>
      <c r="F24" s="249"/>
      <c r="G24" s="249"/>
      <c r="H24" s="249"/>
      <c r="I24" s="249"/>
      <c r="J24" s="249"/>
      <c r="K24" s="249"/>
      <c r="L24" s="249"/>
    </row>
    <row r="25" spans="1:21" x14ac:dyDescent="0.3">
      <c r="A25" s="249"/>
      <c r="B25" s="249"/>
      <c r="C25" s="249"/>
    </row>
    <row r="26" spans="1:21" x14ac:dyDescent="0.3">
      <c r="A26" s="249"/>
      <c r="B26" s="249"/>
      <c r="K26" s="90"/>
    </row>
    <row r="27" spans="1:21" x14ac:dyDescent="0.3">
      <c r="A27" s="249"/>
      <c r="B27" s="249"/>
    </row>
  </sheetData>
  <mergeCells count="27">
    <mergeCell ref="A1:L1"/>
    <mergeCell ref="F15:G15"/>
    <mergeCell ref="F13:G13"/>
    <mergeCell ref="F20:G20"/>
    <mergeCell ref="F18:G18"/>
    <mergeCell ref="F16:G16"/>
    <mergeCell ref="F14:G14"/>
    <mergeCell ref="C18:D18"/>
    <mergeCell ref="C19:D19"/>
    <mergeCell ref="C20:D20"/>
    <mergeCell ref="F19:G19"/>
    <mergeCell ref="F17:G17"/>
    <mergeCell ref="B3:D3"/>
    <mergeCell ref="E3:G3"/>
    <mergeCell ref="H3:J3"/>
    <mergeCell ref="C13:D13"/>
    <mergeCell ref="F21:G21"/>
    <mergeCell ref="A27:B27"/>
    <mergeCell ref="A25:C25"/>
    <mergeCell ref="A23:L23"/>
    <mergeCell ref="A24:L24"/>
    <mergeCell ref="C14:D14"/>
    <mergeCell ref="C15:D15"/>
    <mergeCell ref="C16:D16"/>
    <mergeCell ref="C17:D17"/>
    <mergeCell ref="A26:B26"/>
    <mergeCell ref="C21:D2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26F9F-0FEC-45F2-B2F8-E413873E9BEF}">
  <dimension ref="A1:N71"/>
  <sheetViews>
    <sheetView topLeftCell="A7" zoomScale="80" zoomScaleNormal="80" workbookViewId="0">
      <selection activeCell="B60" sqref="B60"/>
    </sheetView>
  </sheetViews>
  <sheetFormatPr defaultColWidth="9.08984375" defaultRowHeight="14" x14ac:dyDescent="0.3"/>
  <cols>
    <col min="1" max="1" width="40.36328125" style="1" bestFit="1" customWidth="1"/>
    <col min="2" max="2" width="12.6328125" style="1" customWidth="1"/>
    <col min="3" max="8" width="13.6328125" style="1" customWidth="1"/>
    <col min="9" max="9" width="10.81640625" style="1" bestFit="1" customWidth="1"/>
    <col min="10" max="16384" width="9.08984375" style="1"/>
  </cols>
  <sheetData>
    <row r="1" spans="1:12" ht="15.5" x14ac:dyDescent="0.35">
      <c r="A1" s="255" t="s">
        <v>156</v>
      </c>
      <c r="B1" s="255"/>
      <c r="C1" s="255"/>
      <c r="D1" s="255"/>
      <c r="E1" s="255"/>
      <c r="F1" s="255"/>
      <c r="G1" s="255"/>
      <c r="H1" s="255"/>
      <c r="I1" s="255"/>
    </row>
    <row r="2" spans="1:12" ht="15.5" x14ac:dyDescent="0.35">
      <c r="A2" s="137"/>
      <c r="B2" s="137"/>
      <c r="C2" s="137"/>
      <c r="D2" s="137"/>
      <c r="E2" s="137"/>
      <c r="F2" s="137"/>
      <c r="G2" s="137"/>
      <c r="H2" s="137"/>
      <c r="I2" s="137"/>
    </row>
    <row r="3" spans="1:12" ht="15.5" x14ac:dyDescent="0.35">
      <c r="A3" s="137"/>
      <c r="B3" s="139" t="s">
        <v>193</v>
      </c>
      <c r="C3" s="143">
        <v>21000</v>
      </c>
      <c r="D3" s="137"/>
      <c r="E3" s="137"/>
      <c r="F3" s="137"/>
      <c r="G3" s="137"/>
      <c r="H3" s="137"/>
      <c r="I3" s="137"/>
    </row>
    <row r="4" spans="1:12" ht="15.5" x14ac:dyDescent="0.35">
      <c r="A4" s="137"/>
      <c r="B4" s="139" t="s">
        <v>186</v>
      </c>
      <c r="C4" s="138">
        <v>0.25</v>
      </c>
      <c r="D4" s="137"/>
      <c r="E4" s="137"/>
      <c r="F4" s="137"/>
      <c r="G4" s="137"/>
      <c r="H4" s="137"/>
      <c r="I4" s="137"/>
    </row>
    <row r="5" spans="1:12" ht="15.5" x14ac:dyDescent="0.35">
      <c r="A5" s="137"/>
      <c r="B5" s="137"/>
      <c r="C5" s="137"/>
      <c r="D5" s="137"/>
      <c r="E5" s="137"/>
      <c r="F5" s="137"/>
      <c r="G5" s="137"/>
      <c r="H5" s="137"/>
      <c r="I5" s="137"/>
    </row>
    <row r="6" spans="1:12" ht="15.5" x14ac:dyDescent="0.35">
      <c r="A6" s="137"/>
      <c r="B6" s="1" t="s">
        <v>192</v>
      </c>
      <c r="C6" s="191">
        <v>2</v>
      </c>
      <c r="D6" s="192" t="s">
        <v>238</v>
      </c>
      <c r="E6" s="137"/>
      <c r="F6" s="137"/>
      <c r="G6" s="137"/>
      <c r="H6" s="137"/>
      <c r="I6" s="137"/>
    </row>
    <row r="7" spans="1:12" ht="15.5" x14ac:dyDescent="0.35">
      <c r="A7" s="137"/>
      <c r="B7" s="91" t="s">
        <v>191</v>
      </c>
      <c r="E7" s="137" t="s">
        <v>185</v>
      </c>
      <c r="H7" s="137" t="s">
        <v>183</v>
      </c>
      <c r="K7" s="137" t="s">
        <v>184</v>
      </c>
      <c r="L7" s="137"/>
    </row>
    <row r="8" spans="1:12" ht="15.5" x14ac:dyDescent="0.35">
      <c r="A8" s="137"/>
      <c r="B8" s="1" t="str">
        <f>E8</f>
        <v>EBITDA %</v>
      </c>
      <c r="C8" s="140">
        <f>CHOOSE($C$6,F8,I8,L8)</f>
        <v>0.22500000000000001</v>
      </c>
      <c r="E8" s="139" t="s">
        <v>187</v>
      </c>
      <c r="F8" s="138">
        <v>0.2</v>
      </c>
      <c r="G8" s="137"/>
      <c r="H8" s="139" t="s">
        <v>187</v>
      </c>
      <c r="I8" s="140">
        <v>0.22500000000000001</v>
      </c>
      <c r="J8" s="137"/>
      <c r="K8" s="139" t="s">
        <v>187</v>
      </c>
      <c r="L8" s="138">
        <v>0.25</v>
      </c>
    </row>
    <row r="9" spans="1:12" ht="15.5" x14ac:dyDescent="0.35">
      <c r="A9" s="137"/>
      <c r="B9" s="1" t="str">
        <f t="shared" ref="B9:B11" si="0">E9</f>
        <v xml:space="preserve">ST Growth </v>
      </c>
      <c r="C9" s="140">
        <f t="shared" ref="C9:C11" si="1">CHOOSE($C$6,F9,I9,L9)</f>
        <v>0.125</v>
      </c>
      <c r="E9" s="139" t="s">
        <v>188</v>
      </c>
      <c r="F9" s="138">
        <v>0.1</v>
      </c>
      <c r="G9" s="137"/>
      <c r="H9" s="139" t="s">
        <v>188</v>
      </c>
      <c r="I9" s="140">
        <v>0.125</v>
      </c>
      <c r="J9" s="137"/>
      <c r="K9" s="139" t="s">
        <v>188</v>
      </c>
      <c r="L9" s="138">
        <v>0.15</v>
      </c>
    </row>
    <row r="10" spans="1:12" ht="15.5" x14ac:dyDescent="0.35">
      <c r="A10" s="137"/>
      <c r="B10" s="1" t="str">
        <f t="shared" si="0"/>
        <v>LT Growth</v>
      </c>
      <c r="C10" s="140">
        <f t="shared" si="1"/>
        <v>0.1</v>
      </c>
      <c r="E10" s="139" t="s">
        <v>189</v>
      </c>
      <c r="F10" s="138">
        <v>0.08</v>
      </c>
      <c r="G10" s="137"/>
      <c r="H10" s="139" t="s">
        <v>189</v>
      </c>
      <c r="I10" s="140">
        <v>0.1</v>
      </c>
      <c r="J10" s="137"/>
      <c r="K10" s="139" t="s">
        <v>189</v>
      </c>
      <c r="L10" s="138">
        <v>0.1</v>
      </c>
    </row>
    <row r="11" spans="1:12" ht="15.5" x14ac:dyDescent="0.35">
      <c r="A11" s="137"/>
      <c r="B11" s="1" t="str">
        <f t="shared" si="0"/>
        <v xml:space="preserve">Exit </v>
      </c>
      <c r="C11" s="141">
        <f t="shared" si="1"/>
        <v>22.5</v>
      </c>
      <c r="E11" s="139" t="s">
        <v>190</v>
      </c>
      <c r="F11" s="141">
        <v>20</v>
      </c>
      <c r="G11" s="137"/>
      <c r="H11" s="139" t="s">
        <v>190</v>
      </c>
      <c r="I11" s="141">
        <v>22.5</v>
      </c>
      <c r="J11" s="137"/>
      <c r="K11" s="139" t="s">
        <v>190</v>
      </c>
      <c r="L11" s="141">
        <v>25</v>
      </c>
    </row>
    <row r="13" spans="1:12" x14ac:dyDescent="0.3">
      <c r="A13" s="289" t="s">
        <v>76</v>
      </c>
      <c r="B13" s="288"/>
      <c r="C13" s="288"/>
      <c r="D13" s="288"/>
      <c r="E13" s="288"/>
      <c r="F13" s="288"/>
      <c r="G13" s="288"/>
      <c r="H13" s="288"/>
      <c r="I13" s="288"/>
    </row>
    <row r="14" spans="1:12" x14ac:dyDescent="0.3">
      <c r="A14" s="91" t="s">
        <v>42</v>
      </c>
      <c r="B14" s="126"/>
      <c r="C14" s="290" t="s">
        <v>131</v>
      </c>
      <c r="D14" s="126"/>
      <c r="E14" s="126"/>
      <c r="F14" s="126"/>
      <c r="G14" s="126"/>
      <c r="H14" s="126"/>
      <c r="I14" s="126"/>
    </row>
    <row r="15" spans="1:12" x14ac:dyDescent="0.3">
      <c r="A15" s="91"/>
      <c r="B15" s="92" t="s">
        <v>77</v>
      </c>
      <c r="C15" s="289"/>
      <c r="D15" s="19" t="s">
        <v>126</v>
      </c>
      <c r="E15" s="19" t="s">
        <v>127</v>
      </c>
      <c r="F15" s="19" t="s">
        <v>128</v>
      </c>
      <c r="G15" s="19" t="s">
        <v>129</v>
      </c>
      <c r="H15" s="19" t="s">
        <v>130</v>
      </c>
      <c r="I15" s="110" t="s">
        <v>132</v>
      </c>
    </row>
    <row r="16" spans="1:12" ht="14.5" x14ac:dyDescent="0.35">
      <c r="A16" s="1" t="s">
        <v>43</v>
      </c>
      <c r="B16" s="118">
        <v>0.36625542972417297</v>
      </c>
      <c r="C16" s="119">
        <v>0.25</v>
      </c>
      <c r="D16" s="120">
        <f>STgrowth</f>
        <v>0.125</v>
      </c>
      <c r="E16" s="120">
        <f>STgrowth</f>
        <v>0.125</v>
      </c>
      <c r="F16" s="120">
        <f>STgrowth</f>
        <v>0.125</v>
      </c>
      <c r="G16" s="120">
        <f>STgrowth</f>
        <v>0.125</v>
      </c>
      <c r="H16" s="120">
        <f>STgrowth</f>
        <v>0.125</v>
      </c>
      <c r="I16" s="119">
        <f>LTgrowth</f>
        <v>0.1</v>
      </c>
    </row>
    <row r="17" spans="1:14" x14ac:dyDescent="0.3">
      <c r="A17" s="1" t="s">
        <v>78</v>
      </c>
      <c r="B17" s="121"/>
      <c r="C17" s="29"/>
      <c r="D17" s="93">
        <v>9.5000000000000001E-2</v>
      </c>
      <c r="E17" s="93">
        <v>0.09</v>
      </c>
      <c r="F17" s="93">
        <v>8.5000000000000006E-2</v>
      </c>
      <c r="G17" s="93">
        <v>0.08</v>
      </c>
      <c r="H17" s="93">
        <v>7.4999999999999997E-2</v>
      </c>
      <c r="I17" s="121"/>
    </row>
    <row r="18" spans="1:14" ht="14.5" x14ac:dyDescent="0.35">
      <c r="A18" s="1" t="s">
        <v>79</v>
      </c>
      <c r="B18" s="118">
        <v>0.16106605597026233</v>
      </c>
      <c r="C18" s="29"/>
      <c r="D18" s="120">
        <v>0.25</v>
      </c>
      <c r="E18" s="120">
        <v>0.25</v>
      </c>
      <c r="F18" s="120">
        <v>0.25</v>
      </c>
      <c r="G18" s="120">
        <v>0.25</v>
      </c>
      <c r="H18" s="120">
        <v>0.25</v>
      </c>
      <c r="I18" s="121"/>
      <c r="K18" s="90"/>
      <c r="L18" s="90"/>
      <c r="M18" s="90"/>
      <c r="N18" s="90"/>
    </row>
    <row r="19" spans="1:14" x14ac:dyDescent="0.3">
      <c r="B19" s="121"/>
      <c r="C19" s="29"/>
      <c r="D19" s="29"/>
      <c r="E19" s="29"/>
      <c r="F19" s="29"/>
      <c r="G19" s="29"/>
      <c r="H19" s="29"/>
      <c r="I19" s="121"/>
      <c r="K19" s="90"/>
      <c r="L19" s="90"/>
      <c r="M19" s="90"/>
      <c r="N19" s="90"/>
    </row>
    <row r="20" spans="1:14" x14ac:dyDescent="0.3">
      <c r="A20" s="1" t="s">
        <v>80</v>
      </c>
      <c r="B20" s="121"/>
      <c r="C20" s="29"/>
      <c r="D20" s="93">
        <v>0.1</v>
      </c>
      <c r="E20" s="93">
        <v>0.1</v>
      </c>
      <c r="F20" s="93">
        <v>0.1</v>
      </c>
      <c r="G20" s="93">
        <v>0.1</v>
      </c>
      <c r="H20" s="93">
        <v>0.1</v>
      </c>
      <c r="I20" s="121"/>
    </row>
    <row r="21" spans="1:14" x14ac:dyDescent="0.3">
      <c r="A21" s="1" t="s">
        <v>81</v>
      </c>
      <c r="B21" s="121"/>
      <c r="C21" s="29"/>
      <c r="D21" s="120">
        <v>0.01</v>
      </c>
      <c r="E21" s="120">
        <v>0.01</v>
      </c>
      <c r="F21" s="120">
        <v>0.01</v>
      </c>
      <c r="G21" s="120">
        <v>0.01</v>
      </c>
      <c r="H21" s="120">
        <v>0.01</v>
      </c>
      <c r="I21" s="121"/>
    </row>
    <row r="22" spans="1:14" x14ac:dyDescent="0.3">
      <c r="B22" s="121"/>
      <c r="C22" s="29"/>
      <c r="D22" s="29"/>
      <c r="E22" s="29"/>
      <c r="F22" s="29"/>
      <c r="G22" s="29"/>
      <c r="H22" s="29"/>
      <c r="I22" s="121"/>
      <c r="K22" s="90"/>
      <c r="L22" s="90"/>
      <c r="M22" s="90"/>
      <c r="N22" s="90"/>
    </row>
    <row r="23" spans="1:14" x14ac:dyDescent="0.3">
      <c r="A23" s="1" t="s">
        <v>82</v>
      </c>
      <c r="B23" s="121"/>
      <c r="C23" s="29">
        <f>Exitm</f>
        <v>22.5</v>
      </c>
      <c r="D23" s="29"/>
      <c r="E23" s="29"/>
      <c r="F23" s="29"/>
      <c r="G23" s="29"/>
      <c r="H23" s="29">
        <f>Exitm</f>
        <v>22.5</v>
      </c>
      <c r="I23" s="121"/>
      <c r="K23" s="94"/>
    </row>
    <row r="24" spans="1:14" x14ac:dyDescent="0.3">
      <c r="A24" s="1" t="s">
        <v>83</v>
      </c>
      <c r="B24" s="121"/>
      <c r="C24" s="122">
        <v>25000</v>
      </c>
      <c r="D24" s="123">
        <f ca="1">C24-D46</f>
        <v>25635.457438897723</v>
      </c>
      <c r="E24" s="123">
        <f t="shared" ref="E24:H24" ca="1" si="2">D24-E46</f>
        <v>26233.167004512281</v>
      </c>
      <c r="F24" s="123">
        <f t="shared" ca="1" si="2"/>
        <v>26783.793731333924</v>
      </c>
      <c r="G24" s="123">
        <f t="shared" ca="1" si="2"/>
        <v>27276.777356227783</v>
      </c>
      <c r="H24" s="123">
        <f t="shared" ca="1" si="2"/>
        <v>27700.198667712772</v>
      </c>
      <c r="I24" s="121"/>
    </row>
    <row r="25" spans="1:14" x14ac:dyDescent="0.3">
      <c r="A25" s="1" t="s">
        <v>84</v>
      </c>
      <c r="B25" s="121"/>
      <c r="C25" s="142">
        <v>4025</v>
      </c>
      <c r="D25" s="29"/>
      <c r="E25" s="29"/>
      <c r="F25" s="29"/>
      <c r="G25" s="29"/>
      <c r="H25" s="29"/>
      <c r="I25" s="121"/>
    </row>
    <row r="26" spans="1:14" x14ac:dyDescent="0.3">
      <c r="A26" s="1" t="s">
        <v>124</v>
      </c>
      <c r="B26" s="121"/>
      <c r="C26" s="119">
        <v>7.0000000000000007E-2</v>
      </c>
      <c r="D26" s="29"/>
      <c r="E26" s="29"/>
      <c r="F26" s="29"/>
      <c r="G26" s="29"/>
      <c r="H26" s="29"/>
      <c r="I26" s="121"/>
    </row>
    <row r="27" spans="1:14" x14ac:dyDescent="0.3">
      <c r="A27" s="1" t="s">
        <v>45</v>
      </c>
      <c r="B27" s="121"/>
      <c r="C27" s="119">
        <v>0.28000000000000003</v>
      </c>
      <c r="D27" s="29"/>
      <c r="E27" s="29"/>
      <c r="F27" s="29"/>
      <c r="G27" s="29"/>
      <c r="H27" s="29"/>
      <c r="I27" s="121"/>
    </row>
    <row r="28" spans="1:14" x14ac:dyDescent="0.3">
      <c r="A28" s="1" t="s">
        <v>85</v>
      </c>
      <c r="B28" s="121"/>
      <c r="C28" s="124">
        <v>0.25</v>
      </c>
      <c r="D28" s="29"/>
      <c r="E28" s="29"/>
      <c r="F28" s="29"/>
      <c r="G28" s="29"/>
      <c r="H28" s="29"/>
      <c r="I28" s="121"/>
    </row>
    <row r="29" spans="1:14" x14ac:dyDescent="0.3">
      <c r="A29" s="1" t="s">
        <v>86</v>
      </c>
      <c r="B29" s="111"/>
      <c r="C29" s="125">
        <v>0.25</v>
      </c>
      <c r="D29" s="95"/>
      <c r="E29" s="95"/>
      <c r="F29" s="95"/>
      <c r="G29" s="95"/>
      <c r="H29" s="95"/>
      <c r="I29" s="111"/>
    </row>
    <row r="31" spans="1:14" x14ac:dyDescent="0.3">
      <c r="J31" s="90"/>
    </row>
    <row r="32" spans="1:14" x14ac:dyDescent="0.3">
      <c r="A32" s="288" t="s">
        <v>87</v>
      </c>
      <c r="B32" s="288"/>
      <c r="C32" s="288"/>
      <c r="D32" s="288"/>
      <c r="E32" s="288"/>
      <c r="F32" s="288"/>
      <c r="G32" s="288"/>
      <c r="H32" s="288"/>
      <c r="I32" s="288"/>
      <c r="J32" s="90"/>
    </row>
    <row r="33" spans="1:10" x14ac:dyDescent="0.3">
      <c r="B33" s="96">
        <v>2021</v>
      </c>
      <c r="C33" s="96" t="s">
        <v>88</v>
      </c>
      <c r="D33" s="96" t="s">
        <v>126</v>
      </c>
      <c r="E33" s="96" t="s">
        <v>127</v>
      </c>
      <c r="F33" s="96" t="s">
        <v>128</v>
      </c>
      <c r="G33" s="96" t="s">
        <v>129</v>
      </c>
      <c r="H33" s="96" t="s">
        <v>130</v>
      </c>
    </row>
    <row r="34" spans="1:10" x14ac:dyDescent="0.3">
      <c r="A34" s="1" t="s">
        <v>8</v>
      </c>
      <c r="B34" s="23">
        <v>5077.482</v>
      </c>
      <c r="C34" s="127">
        <f>B34*(1+C16)</f>
        <v>6346.8525</v>
      </c>
      <c r="D34" s="127">
        <f t="shared" ref="D34:H34" si="3">C34*(1+D16)</f>
        <v>7140.2090625000001</v>
      </c>
      <c r="E34" s="127">
        <f t="shared" si="3"/>
        <v>8032.7351953124999</v>
      </c>
      <c r="F34" s="127">
        <f t="shared" si="3"/>
        <v>9036.8270947265628</v>
      </c>
      <c r="G34" s="127">
        <f t="shared" si="3"/>
        <v>10166.430481567382</v>
      </c>
      <c r="H34" s="127">
        <f t="shared" si="3"/>
        <v>11437.234291763305</v>
      </c>
      <c r="J34" s="90"/>
    </row>
    <row r="35" spans="1:10" x14ac:dyDescent="0.3">
      <c r="A35" s="1" t="s">
        <v>9</v>
      </c>
      <c r="C35" s="97"/>
      <c r="D35" s="97">
        <f>D34*EBITDAgrowth</f>
        <v>1606.5470390625001</v>
      </c>
      <c r="E35" s="97">
        <f>E34*EBITDAgrowth</f>
        <v>1807.3654189453125</v>
      </c>
      <c r="F35" s="97">
        <f>F34*EBITDAgrowth</f>
        <v>2033.2860963134767</v>
      </c>
      <c r="G35" s="97">
        <f>G34*EBITDAgrowth</f>
        <v>2287.4468583526609</v>
      </c>
      <c r="H35" s="97">
        <f>H34*EBITDAgrowth</f>
        <v>2573.3777156467436</v>
      </c>
      <c r="J35" s="98"/>
    </row>
    <row r="36" spans="1:10" x14ac:dyDescent="0.3">
      <c r="A36" s="1" t="s">
        <v>78</v>
      </c>
      <c r="D36" s="97">
        <f>D34*-D17</f>
        <v>-678.31986093750004</v>
      </c>
      <c r="E36" s="97">
        <f t="shared" ref="E36:H36" si="4">E34*-E17</f>
        <v>-722.94616757812491</v>
      </c>
      <c r="F36" s="97">
        <f t="shared" si="4"/>
        <v>-768.13030305175789</v>
      </c>
      <c r="G36" s="97">
        <f t="shared" si="4"/>
        <v>-813.31443852539064</v>
      </c>
      <c r="H36" s="97">
        <f t="shared" si="4"/>
        <v>-857.7925718822479</v>
      </c>
      <c r="J36" s="99"/>
    </row>
    <row r="37" spans="1:10" x14ac:dyDescent="0.3">
      <c r="A37" s="1" t="s">
        <v>10</v>
      </c>
      <c r="D37" s="97">
        <f>D35+D36</f>
        <v>928.22717812500002</v>
      </c>
      <c r="E37" s="97">
        <f t="shared" ref="E37:H37" si="5">E35+E36</f>
        <v>1084.4192513671876</v>
      </c>
      <c r="F37" s="97">
        <f t="shared" si="5"/>
        <v>1265.1557932617188</v>
      </c>
      <c r="G37" s="97">
        <f t="shared" si="5"/>
        <v>1474.1324198272703</v>
      </c>
      <c r="H37" s="97">
        <f t="shared" si="5"/>
        <v>1715.5851437644956</v>
      </c>
    </row>
    <row r="38" spans="1:10" x14ac:dyDescent="0.3">
      <c r="A38" s="1" t="s">
        <v>89</v>
      </c>
      <c r="D38" s="100">
        <f ca="1">$C$26*AVERAGE(C24,D24)</f>
        <v>1772.2410103614204</v>
      </c>
      <c r="E38" s="100">
        <f t="shared" ref="E38:H38" ca="1" si="6">$C$26*AVERAGE(D24,E24)</f>
        <v>1815.4018555193504</v>
      </c>
      <c r="F38" s="100">
        <f t="shared" ca="1" si="6"/>
        <v>1855.5936257546175</v>
      </c>
      <c r="G38" s="100">
        <f t="shared" ca="1" si="6"/>
        <v>1892.11998806466</v>
      </c>
      <c r="H38" s="100">
        <f t="shared" ca="1" si="6"/>
        <v>1924.1941608379198</v>
      </c>
    </row>
    <row r="39" spans="1:10" x14ac:dyDescent="0.3">
      <c r="A39" s="1" t="s">
        <v>90</v>
      </c>
      <c r="D39" s="97">
        <f ca="1">D37-D38</f>
        <v>-844.0138322364204</v>
      </c>
      <c r="E39" s="97">
        <f t="shared" ref="E39:H39" ca="1" si="7">E37-E38</f>
        <v>-730.98260415216282</v>
      </c>
      <c r="F39" s="97">
        <f t="shared" ca="1" si="7"/>
        <v>-590.43783249289868</v>
      </c>
      <c r="G39" s="97">
        <f t="shared" ca="1" si="7"/>
        <v>-417.98756823738972</v>
      </c>
      <c r="H39" s="97">
        <f t="shared" ca="1" si="7"/>
        <v>-208.60901707342418</v>
      </c>
    </row>
    <row r="40" spans="1:10" x14ac:dyDescent="0.3">
      <c r="A40" s="1" t="s">
        <v>46</v>
      </c>
      <c r="D40" s="97">
        <f ca="1">D39*-$C$27</f>
        <v>236.32387302619773</v>
      </c>
      <c r="E40" s="97">
        <f t="shared" ref="E40:H40" ca="1" si="8">E39*-$C$27</f>
        <v>204.6751291626056</v>
      </c>
      <c r="F40" s="97">
        <f t="shared" ca="1" si="8"/>
        <v>165.32259309801165</v>
      </c>
      <c r="G40" s="97">
        <f t="shared" ca="1" si="8"/>
        <v>117.03651910646913</v>
      </c>
      <c r="H40" s="97">
        <f t="shared" ca="1" si="8"/>
        <v>58.410524780558774</v>
      </c>
    </row>
    <row r="41" spans="1:10" x14ac:dyDescent="0.3">
      <c r="A41" s="1" t="s">
        <v>11</v>
      </c>
      <c r="D41" s="97">
        <f ca="1">D39+D40</f>
        <v>-607.6899592102227</v>
      </c>
      <c r="E41" s="97">
        <f t="shared" ref="E41:H41" ca="1" si="9">E39+E40</f>
        <v>-526.30747498955725</v>
      </c>
      <c r="F41" s="97">
        <f t="shared" ca="1" si="9"/>
        <v>-425.115239394887</v>
      </c>
      <c r="G41" s="97">
        <f t="shared" ca="1" si="9"/>
        <v>-300.95104913092058</v>
      </c>
      <c r="H41" s="97">
        <f t="shared" ca="1" si="9"/>
        <v>-150.19849229286541</v>
      </c>
    </row>
    <row r="42" spans="1:10" x14ac:dyDescent="0.3">
      <c r="A42" s="1" t="s">
        <v>44</v>
      </c>
      <c r="D42" s="97">
        <f>D34*-D20</f>
        <v>-714.02090625000005</v>
      </c>
      <c r="E42" s="97">
        <f t="shared" ref="E42:H42" si="10">E34*-E20</f>
        <v>-803.27351953125003</v>
      </c>
      <c r="F42" s="97">
        <f t="shared" si="10"/>
        <v>-903.68270947265637</v>
      </c>
      <c r="G42" s="97">
        <f t="shared" si="10"/>
        <v>-1016.6430481567382</v>
      </c>
      <c r="H42" s="97">
        <f t="shared" si="10"/>
        <v>-1143.7234291763305</v>
      </c>
    </row>
    <row r="43" spans="1:10" x14ac:dyDescent="0.3">
      <c r="A43" s="1" t="s">
        <v>91</v>
      </c>
      <c r="D43" s="97">
        <f>D21*(D34-C34)</f>
        <v>7.9335656250000008</v>
      </c>
      <c r="E43" s="97">
        <f t="shared" ref="E43:H43" si="11">E21*(E34-D34)</f>
        <v>8.9252613281249982</v>
      </c>
      <c r="F43" s="97">
        <f t="shared" si="11"/>
        <v>10.040918994140629</v>
      </c>
      <c r="G43" s="97">
        <f t="shared" si="11"/>
        <v>11.296033868408195</v>
      </c>
      <c r="H43" s="97">
        <f t="shared" si="11"/>
        <v>12.708038101959229</v>
      </c>
    </row>
    <row r="44" spans="1:10" x14ac:dyDescent="0.3">
      <c r="D44" s="97"/>
      <c r="E44" s="97"/>
      <c r="F44" s="97"/>
      <c r="G44" s="97"/>
      <c r="H44" s="97"/>
    </row>
    <row r="45" spans="1:10" x14ac:dyDescent="0.3">
      <c r="A45" s="1" t="s">
        <v>92</v>
      </c>
      <c r="D45" s="97">
        <f ca="1">D41-D36+D43+D42</f>
        <v>-635.45743889772268</v>
      </c>
      <c r="E45" s="97">
        <f t="shared" ref="E45:H45" ca="1" si="12">E41-E36+E43+E42</f>
        <v>-597.70956561455739</v>
      </c>
      <c r="F45" s="97">
        <f t="shared" ca="1" si="12"/>
        <v>-550.62672682164487</v>
      </c>
      <c r="G45" s="97">
        <f t="shared" ca="1" si="12"/>
        <v>-492.98362489386</v>
      </c>
      <c r="H45" s="97">
        <f t="shared" ca="1" si="12"/>
        <v>-423.42131148498868</v>
      </c>
      <c r="J45" s="101"/>
    </row>
    <row r="46" spans="1:10" x14ac:dyDescent="0.3">
      <c r="A46" s="1" t="s">
        <v>93</v>
      </c>
      <c r="D46" s="97">
        <f ca="1">IF(C63 &lt;3, 0, D45)</f>
        <v>-635.45743889772268</v>
      </c>
      <c r="E46" s="97">
        <f t="shared" ref="E46:H46" ca="1" si="13">IF(D63 &lt;3, 0, E45)</f>
        <v>-597.70956561455739</v>
      </c>
      <c r="F46" s="97">
        <f t="shared" ca="1" si="13"/>
        <v>-550.62672682164487</v>
      </c>
      <c r="G46" s="97">
        <f t="shared" ca="1" si="13"/>
        <v>-492.98362489386</v>
      </c>
      <c r="H46" s="97">
        <f t="shared" ca="1" si="13"/>
        <v>-423.42131148498868</v>
      </c>
      <c r="J46" s="102"/>
    </row>
    <row r="47" spans="1:10" x14ac:dyDescent="0.3">
      <c r="A47" s="1" t="s">
        <v>111</v>
      </c>
      <c r="C47" s="144"/>
      <c r="D47" s="97">
        <f>0</f>
        <v>0</v>
      </c>
      <c r="E47" s="97">
        <f>0</f>
        <v>0</v>
      </c>
      <c r="F47" s="97">
        <f>0</f>
        <v>0</v>
      </c>
      <c r="G47" s="97">
        <f>0</f>
        <v>0</v>
      </c>
      <c r="H47" s="97">
        <f>0</f>
        <v>0</v>
      </c>
    </row>
    <row r="49" spans="1:9" x14ac:dyDescent="0.3">
      <c r="A49" s="1" t="s">
        <v>194</v>
      </c>
      <c r="C49" s="144">
        <f>-C3</f>
        <v>-21000</v>
      </c>
      <c r="D49" s="97">
        <f>D47</f>
        <v>0</v>
      </c>
      <c r="E49" s="97">
        <f t="shared" ref="E49:G49" si="14">E47</f>
        <v>0</v>
      </c>
      <c r="F49" s="97">
        <f t="shared" si="14"/>
        <v>0</v>
      </c>
      <c r="G49" s="97">
        <f t="shared" si="14"/>
        <v>0</v>
      </c>
      <c r="H49" s="97">
        <f ca="1">H47+B52</f>
        <v>34225.79993433896</v>
      </c>
    </row>
    <row r="51" spans="1:9" x14ac:dyDescent="0.3">
      <c r="A51" s="1" t="s">
        <v>112</v>
      </c>
      <c r="B51" s="97">
        <f>H35*H23</f>
        <v>57900.998602051732</v>
      </c>
      <c r="H51" s="97"/>
    </row>
    <row r="52" spans="1:9" x14ac:dyDescent="0.3">
      <c r="A52" s="1" t="s">
        <v>113</v>
      </c>
      <c r="B52" s="97">
        <f ca="1">B51-H24+C25</f>
        <v>34225.79993433896</v>
      </c>
      <c r="H52" s="97"/>
    </row>
    <row r="53" spans="1:9" x14ac:dyDescent="0.3">
      <c r="H53" s="97"/>
      <c r="I53" s="97"/>
    </row>
    <row r="54" spans="1:9" ht="14.5" x14ac:dyDescent="0.35">
      <c r="A54" s="1" t="s">
        <v>118</v>
      </c>
      <c r="B54" s="97">
        <f ca="1">SUM(C49:H49)</f>
        <v>13225.79993433896</v>
      </c>
      <c r="H54" s="97"/>
      <c r="I54" s="97"/>
    </row>
    <row r="55" spans="1:9" x14ac:dyDescent="0.3">
      <c r="A55" s="103" t="s">
        <v>114</v>
      </c>
      <c r="B55" s="97">
        <f ca="1">B54/(1+C28)^5</f>
        <v>4333.8301224841907</v>
      </c>
      <c r="H55" s="97"/>
      <c r="I55" s="97"/>
    </row>
    <row r="56" spans="1:9" x14ac:dyDescent="0.3">
      <c r="H56" s="97"/>
      <c r="I56" s="97"/>
    </row>
    <row r="57" spans="1:9" x14ac:dyDescent="0.3">
      <c r="A57" s="1" t="s">
        <v>123</v>
      </c>
      <c r="B57" s="144">
        <f>C25</f>
        <v>4025</v>
      </c>
      <c r="H57" s="97"/>
      <c r="I57" s="97"/>
    </row>
    <row r="58" spans="1:9" x14ac:dyDescent="0.3">
      <c r="A58" s="1" t="s">
        <v>94</v>
      </c>
      <c r="B58" s="97">
        <f>B51</f>
        <v>57900.998602051732</v>
      </c>
      <c r="H58" s="97"/>
      <c r="I58" s="97"/>
    </row>
    <row r="59" spans="1:9" x14ac:dyDescent="0.3">
      <c r="A59" s="1" t="s">
        <v>115</v>
      </c>
      <c r="B59" s="97">
        <f ca="1">B52/'Exhibit 4'!B6</f>
        <v>42.750187277465599</v>
      </c>
      <c r="H59" s="97"/>
      <c r="I59" s="97"/>
    </row>
    <row r="60" spans="1:9" x14ac:dyDescent="0.3">
      <c r="A60" s="103" t="s">
        <v>98</v>
      </c>
      <c r="B60" s="145">
        <f ca="1">IRR(C49:H49)</f>
        <v>0.10262253078468087</v>
      </c>
      <c r="H60" s="97"/>
      <c r="I60" s="97"/>
    </row>
    <row r="61" spans="1:9" x14ac:dyDescent="0.3">
      <c r="C61" s="104"/>
      <c r="D61" s="97"/>
      <c r="E61" s="97"/>
      <c r="F61" s="97"/>
      <c r="G61" s="97"/>
      <c r="H61" s="97"/>
    </row>
    <row r="62" spans="1:9" x14ac:dyDescent="0.3">
      <c r="A62" s="105" t="s">
        <v>95</v>
      </c>
      <c r="B62" s="105"/>
      <c r="C62" s="105"/>
      <c r="D62" s="105">
        <f ca="1">D35/ABS(D38)</f>
        <v>0.90650596034614406</v>
      </c>
      <c r="E62" s="105">
        <f ca="1">E35/ABS(E38)</f>
        <v>0.99557319138481393</v>
      </c>
      <c r="F62" s="105">
        <f ca="1">F35/ABS(F38)</f>
        <v>1.0957604445782663</v>
      </c>
      <c r="G62" s="105">
        <f ca="1">G35/ABS(G38)</f>
        <v>1.208933298512616</v>
      </c>
      <c r="H62" s="105">
        <f ca="1">H35/ABS(H38)</f>
        <v>1.337379443312585</v>
      </c>
    </row>
    <row r="63" spans="1:9" x14ac:dyDescent="0.3">
      <c r="A63" s="105" t="s">
        <v>96</v>
      </c>
      <c r="B63" s="105"/>
      <c r="C63" s="105">
        <v>15</v>
      </c>
      <c r="D63" s="105">
        <f ca="1">D24/D35</f>
        <v>15.956867004564824</v>
      </c>
      <c r="E63" s="105">
        <f ca="1">E24/E35</f>
        <v>14.514589429192817</v>
      </c>
      <c r="F63" s="105">
        <f ca="1">F24/F35</f>
        <v>13.172663591166661</v>
      </c>
      <c r="G63" s="105">
        <f ca="1">G24/G35</f>
        <v>11.924551277170025</v>
      </c>
      <c r="H63" s="105">
        <f ca="1">H24/H35</f>
        <v>10.764140257875487</v>
      </c>
    </row>
    <row r="64" spans="1:9" x14ac:dyDescent="0.3">
      <c r="A64" s="105" t="s">
        <v>97</v>
      </c>
      <c r="B64" s="105"/>
      <c r="C64" s="105"/>
      <c r="D64" s="105">
        <f ca="1">(D35-ABS(D42))/ABS(D38)</f>
        <v>0.50361442241452448</v>
      </c>
      <c r="E64" s="105">
        <f ca="1">(E35-ABS(E42))/ABS(E38)</f>
        <v>0.55309621743600768</v>
      </c>
      <c r="F64" s="105">
        <f ca="1">(F35-ABS(F42))/ABS(F38)</f>
        <v>0.60875580254348127</v>
      </c>
      <c r="G64" s="105">
        <f ca="1">(G35-ABS(G42))/ABS(G38)</f>
        <v>0.67162961028478663</v>
      </c>
      <c r="H64" s="105">
        <f ca="1">(H35-ABS(H42))/ABS(H38)</f>
        <v>0.74298857961810272</v>
      </c>
    </row>
    <row r="66" spans="1:9" x14ac:dyDescent="0.3">
      <c r="A66" s="287" t="s">
        <v>125</v>
      </c>
      <c r="B66" s="287"/>
      <c r="C66" s="287"/>
      <c r="D66" s="287"/>
      <c r="E66" s="287"/>
      <c r="F66" s="287"/>
      <c r="G66" s="287"/>
      <c r="H66" s="287"/>
      <c r="I66" s="287"/>
    </row>
    <row r="67" spans="1:9" x14ac:dyDescent="0.3">
      <c r="A67" s="287"/>
      <c r="B67" s="287"/>
      <c r="C67" s="287"/>
      <c r="D67" s="287"/>
      <c r="E67" s="287"/>
      <c r="F67" s="287"/>
      <c r="G67" s="287"/>
      <c r="H67" s="287"/>
      <c r="I67" s="287"/>
    </row>
    <row r="68" spans="1:9" ht="51" customHeight="1" x14ac:dyDescent="0.3">
      <c r="A68" s="287"/>
      <c r="B68" s="287"/>
      <c r="C68" s="287"/>
      <c r="D68" s="287"/>
      <c r="E68" s="287"/>
      <c r="F68" s="287"/>
      <c r="G68" s="287"/>
      <c r="H68" s="287"/>
      <c r="I68" s="287"/>
    </row>
    <row r="69" spans="1:9" x14ac:dyDescent="0.3">
      <c r="A69" s="287" t="s">
        <v>171</v>
      </c>
      <c r="B69" s="287"/>
      <c r="C69" s="287"/>
      <c r="D69" s="287"/>
      <c r="E69" s="287"/>
      <c r="F69" s="287"/>
      <c r="G69" s="287"/>
      <c r="H69" s="287"/>
      <c r="I69" s="287"/>
    </row>
    <row r="70" spans="1:9" x14ac:dyDescent="0.3">
      <c r="A70" s="287"/>
      <c r="B70" s="287"/>
      <c r="C70" s="287"/>
      <c r="D70" s="287"/>
      <c r="E70" s="287"/>
      <c r="F70" s="287"/>
      <c r="G70" s="287"/>
      <c r="H70" s="287"/>
      <c r="I70" s="287"/>
    </row>
    <row r="71" spans="1:9" x14ac:dyDescent="0.3">
      <c r="A71" s="287"/>
      <c r="B71" s="287"/>
      <c r="C71" s="287"/>
      <c r="D71" s="287"/>
      <c r="E71" s="287"/>
      <c r="F71" s="287"/>
      <c r="G71" s="287"/>
      <c r="H71" s="287"/>
      <c r="I71" s="287"/>
    </row>
  </sheetData>
  <mergeCells count="6">
    <mergeCell ref="A1:I1"/>
    <mergeCell ref="A66:I68"/>
    <mergeCell ref="A69:I71"/>
    <mergeCell ref="A32:I32"/>
    <mergeCell ref="A13:I13"/>
    <mergeCell ref="C14:C1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28176-D5FD-49B6-A184-F7364BBEE9D6}">
  <dimension ref="A1:E28"/>
  <sheetViews>
    <sheetView workbookViewId="0">
      <selection activeCell="E28" sqref="E28"/>
    </sheetView>
  </sheetViews>
  <sheetFormatPr defaultColWidth="9.08984375" defaultRowHeight="14" x14ac:dyDescent="0.3"/>
  <cols>
    <col min="1" max="1" width="47" style="1" bestFit="1" customWidth="1"/>
    <col min="2" max="2" width="1.7265625" style="1" customWidth="1"/>
    <col min="3" max="3" width="32.6328125" style="1" customWidth="1"/>
    <col min="4" max="4" width="7.36328125" style="1" bestFit="1" customWidth="1"/>
    <col min="5" max="16384" width="9.08984375" style="1"/>
  </cols>
  <sheetData>
    <row r="1" spans="1:3" ht="15.5" x14ac:dyDescent="0.35">
      <c r="A1" s="255" t="s">
        <v>157</v>
      </c>
      <c r="B1" s="255"/>
      <c r="C1" s="255"/>
    </row>
    <row r="3" spans="1:3" x14ac:dyDescent="0.3">
      <c r="A3" s="106" t="s">
        <v>17</v>
      </c>
      <c r="B3" s="15"/>
      <c r="C3" s="106" t="s">
        <v>122</v>
      </c>
    </row>
    <row r="4" spans="1:3" x14ac:dyDescent="0.3">
      <c r="A4" s="8" t="s">
        <v>18</v>
      </c>
      <c r="B4" s="8"/>
      <c r="C4" s="109">
        <v>1000</v>
      </c>
    </row>
    <row r="5" spans="1:3" x14ac:dyDescent="0.3">
      <c r="A5" s="8" t="s">
        <v>19</v>
      </c>
      <c r="B5" s="8"/>
      <c r="C5" s="107">
        <v>800</v>
      </c>
    </row>
    <row r="6" spans="1:3" x14ac:dyDescent="0.3">
      <c r="A6" s="8" t="s">
        <v>20</v>
      </c>
      <c r="B6" s="8"/>
      <c r="C6" s="107">
        <v>700</v>
      </c>
    </row>
    <row r="7" spans="1:3" x14ac:dyDescent="0.3">
      <c r="A7" s="8" t="s">
        <v>21</v>
      </c>
      <c r="B7" s="8"/>
      <c r="C7" s="107">
        <v>500</v>
      </c>
    </row>
    <row r="8" spans="1:3" x14ac:dyDescent="0.3">
      <c r="A8" s="8" t="s">
        <v>22</v>
      </c>
      <c r="B8" s="8"/>
      <c r="C8" s="107">
        <v>400</v>
      </c>
    </row>
    <row r="9" spans="1:3" x14ac:dyDescent="0.3">
      <c r="A9" s="8" t="s">
        <v>23</v>
      </c>
      <c r="B9" s="8"/>
      <c r="C9" s="107">
        <v>375</v>
      </c>
    </row>
    <row r="10" spans="1:3" x14ac:dyDescent="0.3">
      <c r="A10" s="8" t="s">
        <v>24</v>
      </c>
      <c r="B10" s="8"/>
      <c r="C10" s="107">
        <v>360</v>
      </c>
    </row>
    <row r="11" spans="1:3" x14ac:dyDescent="0.3">
      <c r="A11" s="8" t="s">
        <v>25</v>
      </c>
      <c r="B11" s="8"/>
      <c r="C11" s="107">
        <v>316</v>
      </c>
    </row>
    <row r="12" spans="1:3" x14ac:dyDescent="0.3">
      <c r="A12" s="8" t="s">
        <v>26</v>
      </c>
      <c r="B12" s="8"/>
      <c r="C12" s="107">
        <v>250</v>
      </c>
    </row>
    <row r="13" spans="1:3" x14ac:dyDescent="0.3">
      <c r="A13" s="8" t="s">
        <v>27</v>
      </c>
      <c r="B13" s="8"/>
      <c r="C13" s="107">
        <v>150</v>
      </c>
    </row>
    <row r="14" spans="1:3" x14ac:dyDescent="0.3">
      <c r="A14" s="8" t="s">
        <v>28</v>
      </c>
      <c r="B14" s="8"/>
      <c r="C14" s="107">
        <v>100</v>
      </c>
    </row>
    <row r="15" spans="1:3" x14ac:dyDescent="0.3">
      <c r="A15" s="8" t="s">
        <v>29</v>
      </c>
      <c r="B15" s="8"/>
      <c r="C15" s="107">
        <v>100</v>
      </c>
    </row>
    <row r="16" spans="1:3" x14ac:dyDescent="0.3">
      <c r="A16" s="8" t="s">
        <v>30</v>
      </c>
      <c r="B16" s="8"/>
      <c r="C16" s="107">
        <v>100</v>
      </c>
    </row>
    <row r="17" spans="1:5" x14ac:dyDescent="0.3">
      <c r="A17" s="8" t="s">
        <v>31</v>
      </c>
      <c r="B17" s="8"/>
      <c r="C17" s="107">
        <v>30</v>
      </c>
    </row>
    <row r="18" spans="1:5" x14ac:dyDescent="0.3">
      <c r="A18" s="8" t="s">
        <v>32</v>
      </c>
      <c r="B18" s="8"/>
      <c r="C18" s="107">
        <v>25</v>
      </c>
    </row>
    <row r="19" spans="1:5" x14ac:dyDescent="0.3">
      <c r="A19" s="8" t="s">
        <v>33</v>
      </c>
      <c r="B19" s="8"/>
      <c r="C19" s="107">
        <v>25</v>
      </c>
    </row>
    <row r="20" spans="1:5" x14ac:dyDescent="0.3">
      <c r="A20" s="8" t="s">
        <v>34</v>
      </c>
      <c r="B20" s="8"/>
      <c r="C20" s="107">
        <v>9</v>
      </c>
    </row>
    <row r="21" spans="1:5" x14ac:dyDescent="0.3">
      <c r="A21" s="15" t="s">
        <v>35</v>
      </c>
      <c r="B21" s="15"/>
      <c r="C21" s="108">
        <v>5</v>
      </c>
    </row>
    <row r="23" spans="1:5" ht="29.25" customHeight="1" x14ac:dyDescent="0.3">
      <c r="A23" s="256" t="s">
        <v>168</v>
      </c>
      <c r="B23" s="256"/>
      <c r="C23" s="256"/>
    </row>
    <row r="28" spans="1:5" ht="14.5" x14ac:dyDescent="0.3">
      <c r="E28" s="205"/>
    </row>
  </sheetData>
  <mergeCells count="2">
    <mergeCell ref="A1:C1"/>
    <mergeCell ref="A23:C23"/>
  </mergeCells>
  <pageMargins left="0.7" right="0.7" top="0.75" bottom="0.75" header="0.3" footer="0.3"/>
  <pageSetup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EBCB6-8BA4-4558-A620-D834308368C6}">
  <sheetPr>
    <tabColor theme="9"/>
  </sheetPr>
  <dimension ref="A1:AG78"/>
  <sheetViews>
    <sheetView showGridLines="0" tabSelected="1" zoomScaleNormal="100" workbookViewId="0">
      <selection activeCell="H70" sqref="H70"/>
    </sheetView>
  </sheetViews>
  <sheetFormatPr defaultRowHeight="14.5" x14ac:dyDescent="0.35"/>
  <cols>
    <col min="1" max="1" width="2.6328125" customWidth="1"/>
    <col min="5" max="15" width="10.6328125" customWidth="1"/>
    <col min="17" max="17" width="10.6328125" customWidth="1"/>
    <col min="18" max="20" width="9.6328125" customWidth="1"/>
    <col min="21" max="22" width="9.26953125" bestFit="1" customWidth="1"/>
  </cols>
  <sheetData>
    <row r="1" spans="1:33" ht="26" x14ac:dyDescent="0.6">
      <c r="B1" s="147" t="s">
        <v>196</v>
      </c>
    </row>
    <row r="3" spans="1:33" x14ac:dyDescent="0.35">
      <c r="A3" s="149" t="s">
        <v>197</v>
      </c>
      <c r="B3" s="148" t="s">
        <v>195</v>
      </c>
      <c r="C3" s="148"/>
      <c r="D3" s="148"/>
      <c r="E3" s="148"/>
      <c r="F3" s="148"/>
      <c r="G3" s="148"/>
      <c r="H3" s="148"/>
      <c r="I3" s="148"/>
      <c r="J3" s="148"/>
      <c r="K3" s="148"/>
      <c r="L3" s="148"/>
      <c r="M3" s="148"/>
      <c r="N3" s="148"/>
      <c r="O3" s="148"/>
      <c r="Q3" s="148" t="s">
        <v>242</v>
      </c>
      <c r="R3" s="148"/>
      <c r="S3" s="148"/>
      <c r="T3" s="148"/>
      <c r="U3" s="148"/>
      <c r="V3" s="148"/>
      <c r="W3" s="148"/>
    </row>
    <row r="5" spans="1:33" x14ac:dyDescent="0.35">
      <c r="B5" s="154" t="s">
        <v>191</v>
      </c>
      <c r="Q5" s="227" t="s">
        <v>307</v>
      </c>
      <c r="R5" s="227" t="s">
        <v>184</v>
      </c>
      <c r="S5" s="227" t="s">
        <v>183</v>
      </c>
      <c r="T5" s="227" t="s">
        <v>185</v>
      </c>
      <c r="U5" s="228"/>
      <c r="V5" s="228"/>
    </row>
    <row r="6" spans="1:33" x14ac:dyDescent="0.35">
      <c r="B6" t="s">
        <v>204</v>
      </c>
      <c r="E6" s="155">
        <v>3</v>
      </c>
      <c r="G6" s="150" t="s">
        <v>185</v>
      </c>
      <c r="H6" s="150"/>
      <c r="J6" s="150" t="s">
        <v>183</v>
      </c>
      <c r="K6" s="150"/>
      <c r="M6" s="150" t="s">
        <v>184</v>
      </c>
      <c r="N6" s="150"/>
      <c r="Q6" s="229" t="s">
        <v>243</v>
      </c>
      <c r="R6" s="230">
        <v>3191.4468484693343</v>
      </c>
      <c r="S6" s="230">
        <v>2573.3777156467436</v>
      </c>
      <c r="T6" s="230">
        <v>2044.3338839550008</v>
      </c>
      <c r="U6" s="228"/>
      <c r="V6" s="228"/>
    </row>
    <row r="7" spans="1:33" x14ac:dyDescent="0.35">
      <c r="B7" t="s">
        <v>205</v>
      </c>
      <c r="E7" s="156">
        <f>CHOOSE($E$6,H7,K7,N7)</f>
        <v>0.25</v>
      </c>
      <c r="G7" t="s">
        <v>187</v>
      </c>
      <c r="H7" s="156">
        <v>0.2</v>
      </c>
      <c r="J7" t="s">
        <v>187</v>
      </c>
      <c r="K7" s="156">
        <v>0.22500000000000001</v>
      </c>
      <c r="M7" t="s">
        <v>187</v>
      </c>
      <c r="N7" s="156">
        <v>0.25</v>
      </c>
      <c r="Q7" s="229" t="s">
        <v>247</v>
      </c>
      <c r="R7" s="231">
        <f>N10</f>
        <v>25</v>
      </c>
      <c r="S7" s="231">
        <f>K10</f>
        <v>22.5</v>
      </c>
      <c r="T7" s="231">
        <f>H10</f>
        <v>20</v>
      </c>
      <c r="U7" s="228"/>
      <c r="V7" s="228"/>
    </row>
    <row r="8" spans="1:33" x14ac:dyDescent="0.35">
      <c r="B8" t="s">
        <v>206</v>
      </c>
      <c r="E8" s="156">
        <f>CHOOSE($E$6,H8,K8,N8)</f>
        <v>0.15</v>
      </c>
      <c r="G8" t="s">
        <v>188</v>
      </c>
      <c r="H8" s="156">
        <v>0.1</v>
      </c>
      <c r="J8" t="s">
        <v>188</v>
      </c>
      <c r="K8" s="156">
        <v>0.125</v>
      </c>
      <c r="M8" t="s">
        <v>188</v>
      </c>
      <c r="N8" s="156">
        <v>0.15</v>
      </c>
      <c r="Q8" s="229" t="s">
        <v>244</v>
      </c>
      <c r="R8" s="230">
        <v>79786.171211733352</v>
      </c>
      <c r="S8" s="230">
        <v>57900.998602051732</v>
      </c>
      <c r="T8" s="230">
        <v>40886.677679100016</v>
      </c>
      <c r="U8" s="228"/>
      <c r="V8" s="228"/>
    </row>
    <row r="9" spans="1:33" x14ac:dyDescent="0.35">
      <c r="B9" t="s">
        <v>207</v>
      </c>
      <c r="E9" s="156">
        <f>CHOOSE($E$6,H9,K9,N9)</f>
        <v>0.1</v>
      </c>
      <c r="G9" t="s">
        <v>189</v>
      </c>
      <c r="H9" s="156">
        <v>0.08</v>
      </c>
      <c r="J9" t="s">
        <v>189</v>
      </c>
      <c r="K9" s="156">
        <v>0.1</v>
      </c>
      <c r="M9" t="s">
        <v>189</v>
      </c>
      <c r="N9" s="156">
        <v>0.1</v>
      </c>
      <c r="Q9" s="229" t="s">
        <v>245</v>
      </c>
      <c r="R9" s="230">
        <v>57432.74796772658</v>
      </c>
      <c r="S9" s="230">
        <v>34225.799934338938</v>
      </c>
      <c r="T9" s="230">
        <v>16038.667209559066</v>
      </c>
      <c r="U9" s="228"/>
      <c r="V9" s="228"/>
    </row>
    <row r="10" spans="1:33" x14ac:dyDescent="0.35">
      <c r="B10" t="s">
        <v>82</v>
      </c>
      <c r="E10" s="157">
        <f>CHOOSE($E$6,H10,K10,N10)</f>
        <v>25</v>
      </c>
      <c r="G10" t="s">
        <v>190</v>
      </c>
      <c r="H10" s="157">
        <v>20</v>
      </c>
      <c r="J10" t="s">
        <v>190</v>
      </c>
      <c r="K10" s="157">
        <v>22.5</v>
      </c>
      <c r="M10" t="s">
        <v>190</v>
      </c>
      <c r="N10" s="157">
        <v>25</v>
      </c>
      <c r="Q10" s="229" t="s">
        <v>246</v>
      </c>
      <c r="R10" s="230">
        <v>-2180.4371459398608</v>
      </c>
      <c r="S10" s="230">
        <v>-9784.889877630716</v>
      </c>
      <c r="T10" s="230">
        <v>-15744.449528771685</v>
      </c>
      <c r="U10" s="228"/>
      <c r="V10" s="228"/>
    </row>
    <row r="11" spans="1:33" x14ac:dyDescent="0.35">
      <c r="Q11" s="229" t="s">
        <v>231</v>
      </c>
      <c r="R11" s="232">
        <v>0.22289187722556147</v>
      </c>
      <c r="S11" s="232">
        <v>0.10262253072739891</v>
      </c>
      <c r="T11" s="232">
        <v>-5.2476922462583619E-2</v>
      </c>
      <c r="U11" s="228"/>
      <c r="V11" s="228"/>
    </row>
    <row r="12" spans="1:33" x14ac:dyDescent="0.35">
      <c r="B12" s="154" t="s">
        <v>209</v>
      </c>
      <c r="Q12" s="228"/>
      <c r="R12" s="228"/>
      <c r="S12" s="228"/>
      <c r="T12" s="228"/>
      <c r="U12" s="228"/>
      <c r="V12" s="228"/>
    </row>
    <row r="13" spans="1:33" x14ac:dyDescent="0.35">
      <c r="B13" t="s">
        <v>83</v>
      </c>
      <c r="E13" s="161">
        <f>'Exhibit 6'!C24</f>
        <v>25000</v>
      </c>
      <c r="J13" s="150" t="s">
        <v>230</v>
      </c>
      <c r="K13" s="150"/>
      <c r="L13" s="150"/>
      <c r="Q13" s="210"/>
      <c r="R13" s="233"/>
      <c r="S13" s="234" t="s">
        <v>248</v>
      </c>
      <c r="T13" s="235"/>
      <c r="U13" s="234"/>
      <c r="V13" s="234"/>
    </row>
    <row r="14" spans="1:33" x14ac:dyDescent="0.35">
      <c r="B14" t="s">
        <v>84</v>
      </c>
      <c r="E14" s="161">
        <f>'Exhibit 6'!C25</f>
        <v>4025</v>
      </c>
      <c r="J14" t="s">
        <v>232</v>
      </c>
      <c r="L14" s="158">
        <f ca="1">H70</f>
        <v>0.22289187726497639</v>
      </c>
      <c r="Q14" s="210" t="s">
        <v>249</v>
      </c>
      <c r="R14" s="233"/>
      <c r="S14" s="236"/>
      <c r="T14" s="211" t="s">
        <v>250</v>
      </c>
      <c r="U14" s="237" t="s">
        <v>250</v>
      </c>
      <c r="V14" s="237" t="s">
        <v>250</v>
      </c>
    </row>
    <row r="15" spans="1:33" x14ac:dyDescent="0.35">
      <c r="B15" t="s">
        <v>203</v>
      </c>
      <c r="E15" s="160">
        <f>'Exhibit 6'!C26</f>
        <v>7.0000000000000007E-2</v>
      </c>
      <c r="J15" t="s">
        <v>239</v>
      </c>
      <c r="L15" s="185">
        <f>N45</f>
        <v>3191.4468484693343</v>
      </c>
      <c r="Q15" s="210" t="s">
        <v>251</v>
      </c>
      <c r="R15" s="211"/>
      <c r="S15" s="211" t="s">
        <v>252</v>
      </c>
      <c r="T15" s="211" t="s">
        <v>8</v>
      </c>
      <c r="U15" s="211" t="s">
        <v>9</v>
      </c>
      <c r="V15" s="211" t="s">
        <v>253</v>
      </c>
    </row>
    <row r="16" spans="1:33" x14ac:dyDescent="0.35">
      <c r="B16" t="s">
        <v>45</v>
      </c>
      <c r="E16" s="160">
        <f>'Exhibit 6'!C27</f>
        <v>0.28000000000000003</v>
      </c>
      <c r="J16" t="s">
        <v>240</v>
      </c>
      <c r="L16" s="185">
        <f>N61</f>
        <v>79786.171211733352</v>
      </c>
      <c r="Q16" s="213" t="s">
        <v>278</v>
      </c>
      <c r="R16" s="228"/>
      <c r="S16" s="216">
        <v>24.06</v>
      </c>
      <c r="T16" s="216" t="s">
        <v>254</v>
      </c>
      <c r="U16" s="216" t="s">
        <v>255</v>
      </c>
      <c r="V16" s="216" t="s">
        <v>256</v>
      </c>
      <c r="AG16" s="195"/>
    </row>
    <row r="17" spans="1:33" x14ac:dyDescent="0.35">
      <c r="B17" t="s">
        <v>208</v>
      </c>
      <c r="E17" s="159">
        <v>0.25</v>
      </c>
      <c r="J17" t="s">
        <v>241</v>
      </c>
      <c r="L17" s="185">
        <f ca="1">F78</f>
        <v>-2180.4371459353533</v>
      </c>
      <c r="Q17" s="213" t="s">
        <v>279</v>
      </c>
      <c r="R17" s="228"/>
      <c r="S17" s="216">
        <v>66.09</v>
      </c>
      <c r="T17" s="216" t="s">
        <v>257</v>
      </c>
      <c r="U17" s="216" t="s">
        <v>258</v>
      </c>
      <c r="V17" s="216" t="s">
        <v>259</v>
      </c>
      <c r="AG17" s="195"/>
    </row>
    <row r="18" spans="1:33" x14ac:dyDescent="0.35">
      <c r="B18" t="s">
        <v>219</v>
      </c>
      <c r="E18" s="161">
        <v>21000</v>
      </c>
      <c r="Q18" s="213" t="s">
        <v>280</v>
      </c>
      <c r="R18" s="228"/>
      <c r="S18" s="216">
        <v>-32.130000000000003</v>
      </c>
      <c r="T18" s="216" t="s">
        <v>260</v>
      </c>
      <c r="U18" s="216" t="s">
        <v>15</v>
      </c>
      <c r="V18" s="216" t="s">
        <v>261</v>
      </c>
      <c r="AG18" s="195"/>
    </row>
    <row r="19" spans="1:33" x14ac:dyDescent="0.35">
      <c r="Q19" s="213" t="s">
        <v>281</v>
      </c>
      <c r="R19" s="228"/>
      <c r="S19" s="216">
        <v>20.79</v>
      </c>
      <c r="T19" s="216" t="s">
        <v>262</v>
      </c>
      <c r="U19" s="216" t="s">
        <v>263</v>
      </c>
      <c r="V19" s="216" t="s">
        <v>264</v>
      </c>
      <c r="AG19" s="195"/>
    </row>
    <row r="20" spans="1:33" x14ac:dyDescent="0.35">
      <c r="Q20" s="219" t="s">
        <v>119</v>
      </c>
      <c r="R20" s="219"/>
      <c r="S20" s="222">
        <v>-94.29</v>
      </c>
      <c r="T20" s="222" t="s">
        <v>265</v>
      </c>
      <c r="U20" s="222" t="s">
        <v>266</v>
      </c>
      <c r="V20" s="222" t="s">
        <v>267</v>
      </c>
      <c r="AG20" s="195"/>
    </row>
    <row r="21" spans="1:33" x14ac:dyDescent="0.35">
      <c r="A21" s="149" t="s">
        <v>197</v>
      </c>
      <c r="B21" s="148" t="s">
        <v>201</v>
      </c>
      <c r="C21" s="148"/>
      <c r="D21" s="148"/>
      <c r="E21" s="148"/>
      <c r="F21" s="148"/>
      <c r="G21" s="148"/>
      <c r="H21" s="148"/>
      <c r="I21" s="148"/>
      <c r="J21" s="148"/>
      <c r="K21" s="148"/>
      <c r="L21" s="148"/>
      <c r="M21" s="148"/>
      <c r="N21" s="148"/>
      <c r="O21" s="148"/>
      <c r="Q21" s="223" t="s">
        <v>268</v>
      </c>
      <c r="R21" s="223"/>
      <c r="S21" s="224">
        <v>-3.1</v>
      </c>
      <c r="T21" s="224" t="s">
        <v>269</v>
      </c>
      <c r="U21" s="224" t="s">
        <v>270</v>
      </c>
      <c r="V21" s="224" t="s">
        <v>271</v>
      </c>
      <c r="X21" s="291"/>
      <c r="Y21" s="291"/>
      <c r="Z21" s="199"/>
      <c r="AA21" s="199"/>
      <c r="AB21" s="199"/>
      <c r="AG21" s="195"/>
    </row>
    <row r="22" spans="1:33" x14ac:dyDescent="0.35">
      <c r="Q22" s="223" t="s">
        <v>272</v>
      </c>
      <c r="R22" s="223"/>
      <c r="S22" s="224">
        <v>20.79</v>
      </c>
      <c r="T22" s="224" t="s">
        <v>254</v>
      </c>
      <c r="U22" s="224" t="s">
        <v>273</v>
      </c>
      <c r="V22" s="224" t="s">
        <v>267</v>
      </c>
      <c r="X22" s="291"/>
      <c r="Y22" s="291"/>
      <c r="Z22" s="199"/>
      <c r="AA22" s="199"/>
      <c r="AB22" s="199"/>
      <c r="AG22" s="195"/>
    </row>
    <row r="23" spans="1:33" x14ac:dyDescent="0.35">
      <c r="B23" s="150" t="s">
        <v>200</v>
      </c>
      <c r="C23" s="150"/>
      <c r="D23" s="150"/>
      <c r="E23" s="150"/>
      <c r="F23" s="151">
        <v>2019</v>
      </c>
      <c r="G23" s="151">
        <f>+F23+1</f>
        <v>2020</v>
      </c>
      <c r="H23" s="151">
        <f t="shared" ref="H23:O23" si="0">+G23+1</f>
        <v>2021</v>
      </c>
      <c r="I23" s="152">
        <f t="shared" si="0"/>
        <v>2022</v>
      </c>
      <c r="J23" s="152">
        <f t="shared" si="0"/>
        <v>2023</v>
      </c>
      <c r="K23" s="152">
        <f t="shared" si="0"/>
        <v>2024</v>
      </c>
      <c r="L23" s="152">
        <f t="shared" si="0"/>
        <v>2025</v>
      </c>
      <c r="M23" s="152">
        <f t="shared" si="0"/>
        <v>2026</v>
      </c>
      <c r="N23" s="152">
        <f t="shared" si="0"/>
        <v>2027</v>
      </c>
      <c r="O23" s="152">
        <f t="shared" si="0"/>
        <v>2028</v>
      </c>
      <c r="Q23" s="223" t="s">
        <v>274</v>
      </c>
      <c r="R23" s="213"/>
      <c r="S23" s="224">
        <v>61.75</v>
      </c>
      <c r="T23" s="224" t="s">
        <v>275</v>
      </c>
      <c r="U23" s="224" t="s">
        <v>276</v>
      </c>
      <c r="V23" s="224" t="s">
        <v>277</v>
      </c>
      <c r="X23" s="292"/>
      <c r="Y23" s="292"/>
      <c r="Z23" s="195"/>
      <c r="AA23" s="195"/>
      <c r="AB23" s="195"/>
      <c r="AG23" s="195"/>
    </row>
    <row r="24" spans="1:33" s="163" customFormat="1" x14ac:dyDescent="0.35">
      <c r="B24" s="163" t="s">
        <v>43</v>
      </c>
      <c r="G24" s="164">
        <f>G44/F44-1</f>
        <v>7.4297645583869087E-2</v>
      </c>
      <c r="H24" s="164">
        <f t="shared" ref="H24" si="1">H44/G44-1</f>
        <v>0.36625542972417291</v>
      </c>
      <c r="I24" s="165">
        <f>'Exhibit 6'!C16</f>
        <v>0.25</v>
      </c>
      <c r="J24" s="168">
        <f>$E$8</f>
        <v>0.15</v>
      </c>
      <c r="K24" s="168">
        <f>$E$8</f>
        <v>0.15</v>
      </c>
      <c r="L24" s="168">
        <f>$E$8</f>
        <v>0.15</v>
      </c>
      <c r="M24" s="168">
        <f>$E$8</f>
        <v>0.15</v>
      </c>
      <c r="N24" s="168">
        <f>$E$8</f>
        <v>0.15</v>
      </c>
      <c r="O24" s="168">
        <f>$E$9</f>
        <v>0.1</v>
      </c>
      <c r="Q24" s="238"/>
      <c r="R24" s="238"/>
      <c r="S24" s="238"/>
      <c r="T24" s="238"/>
      <c r="U24" s="238"/>
      <c r="V24" s="228"/>
    </row>
    <row r="25" spans="1:33" s="163" customFormat="1" x14ac:dyDescent="0.35">
      <c r="B25" s="163" t="s">
        <v>202</v>
      </c>
      <c r="J25" s="167">
        <f>'Exhibit 6'!D17</f>
        <v>9.5000000000000001E-2</v>
      </c>
      <c r="K25" s="167">
        <f>'Exhibit 6'!E17</f>
        <v>0.09</v>
      </c>
      <c r="L25" s="167">
        <f>'Exhibit 6'!F17</f>
        <v>8.5000000000000006E-2</v>
      </c>
      <c r="M25" s="167">
        <f>'Exhibit 6'!G17</f>
        <v>0.08</v>
      </c>
      <c r="N25" s="167">
        <f>'Exhibit 6'!H17</f>
        <v>7.4999999999999997E-2</v>
      </c>
      <c r="Q25" s="210" t="s">
        <v>285</v>
      </c>
      <c r="R25" s="210"/>
      <c r="S25" s="210"/>
      <c r="T25" s="210" t="s">
        <v>250</v>
      </c>
      <c r="U25" s="210" t="s">
        <v>250</v>
      </c>
      <c r="V25" s="210" t="s">
        <v>250</v>
      </c>
    </row>
    <row r="26" spans="1:33" s="163" customFormat="1" x14ac:dyDescent="0.35">
      <c r="J26" s="167"/>
      <c r="K26" s="167"/>
      <c r="L26" s="167"/>
      <c r="M26" s="167"/>
      <c r="N26" s="167"/>
      <c r="Q26" s="210" t="s">
        <v>286</v>
      </c>
      <c r="R26" s="210"/>
      <c r="S26" s="210"/>
      <c r="T26" s="210" t="s">
        <v>8</v>
      </c>
      <c r="U26" s="210" t="s">
        <v>9</v>
      </c>
      <c r="V26" s="210" t="s">
        <v>253</v>
      </c>
    </row>
    <row r="27" spans="1:33" s="163" customFormat="1" x14ac:dyDescent="0.35">
      <c r="B27" s="163" t="s">
        <v>79</v>
      </c>
      <c r="I27" s="165"/>
      <c r="J27" s="168">
        <f>$E$7</f>
        <v>0.25</v>
      </c>
      <c r="K27" s="168">
        <f>$E$7</f>
        <v>0.25</v>
      </c>
      <c r="L27" s="168">
        <f>$E$7</f>
        <v>0.25</v>
      </c>
      <c r="M27" s="168">
        <f>$E$7</f>
        <v>0.25</v>
      </c>
      <c r="N27" s="168">
        <f>$E$7</f>
        <v>0.25</v>
      </c>
      <c r="O27" s="166"/>
      <c r="Q27" s="213" t="s">
        <v>282</v>
      </c>
      <c r="R27" s="238"/>
      <c r="S27" s="238"/>
      <c r="T27" s="214">
        <v>57.03</v>
      </c>
      <c r="U27" s="214">
        <v>28.63</v>
      </c>
      <c r="V27" s="214">
        <v>53.01</v>
      </c>
    </row>
    <row r="28" spans="1:33" s="163" customFormat="1" x14ac:dyDescent="0.35">
      <c r="J28" s="167"/>
      <c r="K28" s="167"/>
      <c r="L28" s="167"/>
      <c r="M28" s="167"/>
      <c r="N28" s="167"/>
      <c r="Q28" s="239" t="s">
        <v>283</v>
      </c>
      <c r="R28" s="240"/>
      <c r="S28" s="240"/>
      <c r="T28" s="241">
        <v>51.96</v>
      </c>
      <c r="U28" s="241">
        <v>27.04</v>
      </c>
      <c r="V28" s="241">
        <v>38.06</v>
      </c>
      <c r="Y28" s="201"/>
    </row>
    <row r="29" spans="1:33" s="163" customFormat="1" x14ac:dyDescent="0.35">
      <c r="B29" s="163" t="s">
        <v>80</v>
      </c>
      <c r="J29" s="167">
        <f>'Exhibit 6'!D20</f>
        <v>0.1</v>
      </c>
      <c r="K29" s="167">
        <f>'Exhibit 6'!E20</f>
        <v>0.1</v>
      </c>
      <c r="L29" s="167">
        <f>'Exhibit 6'!F20</f>
        <v>0.1</v>
      </c>
      <c r="M29" s="167">
        <f>'Exhibit 6'!G20</f>
        <v>0.1</v>
      </c>
      <c r="N29" s="167">
        <f>'Exhibit 6'!H20</f>
        <v>0.1</v>
      </c>
      <c r="Q29" s="223" t="s">
        <v>284</v>
      </c>
      <c r="R29" s="238"/>
      <c r="S29" s="238"/>
      <c r="T29" s="242">
        <v>54.5</v>
      </c>
      <c r="U29" s="242">
        <v>27.83</v>
      </c>
      <c r="V29" s="242">
        <v>45.53</v>
      </c>
    </row>
    <row r="30" spans="1:33" s="163" customFormat="1" x14ac:dyDescent="0.35">
      <c r="B30" s="163" t="s">
        <v>81</v>
      </c>
      <c r="J30" s="167">
        <f>'Exhibit 6'!D21</f>
        <v>0.01</v>
      </c>
      <c r="K30" s="167">
        <f>'Exhibit 6'!E21</f>
        <v>0.01</v>
      </c>
      <c r="L30" s="167">
        <f>'Exhibit 6'!F21</f>
        <v>0.01</v>
      </c>
      <c r="M30" s="167">
        <f>'Exhibit 6'!G21</f>
        <v>0.01</v>
      </c>
      <c r="N30" s="167">
        <f>'Exhibit 6'!H21</f>
        <v>0.01</v>
      </c>
    </row>
    <row r="32" spans="1:33" x14ac:dyDescent="0.35">
      <c r="A32" s="149" t="s">
        <v>197</v>
      </c>
      <c r="B32" s="148" t="s">
        <v>198</v>
      </c>
      <c r="C32" s="148"/>
      <c r="D32" s="148"/>
      <c r="E32" s="148"/>
      <c r="F32" s="148"/>
      <c r="G32" s="148"/>
      <c r="H32" s="148"/>
      <c r="I32" s="148"/>
      <c r="J32" s="148"/>
      <c r="K32" s="148"/>
      <c r="L32" s="148"/>
      <c r="M32" s="148"/>
      <c r="N32" s="148"/>
      <c r="O32" s="148"/>
    </row>
    <row r="33" spans="2:15" x14ac:dyDescent="0.35">
      <c r="I33" s="169" t="s">
        <v>210</v>
      </c>
    </row>
    <row r="34" spans="2:15" x14ac:dyDescent="0.35">
      <c r="B34" s="150" t="s">
        <v>211</v>
      </c>
      <c r="C34" s="150"/>
      <c r="D34" s="150"/>
      <c r="E34" s="150"/>
      <c r="F34" s="151"/>
      <c r="G34" s="151"/>
      <c r="H34" s="151"/>
      <c r="I34" s="152">
        <v>2022</v>
      </c>
      <c r="J34" s="152">
        <f t="shared" ref="J34:O34" si="2">+I34+1</f>
        <v>2023</v>
      </c>
      <c r="K34" s="152">
        <f t="shared" si="2"/>
        <v>2024</v>
      </c>
      <c r="L34" s="152">
        <f t="shared" si="2"/>
        <v>2025</v>
      </c>
      <c r="M34" s="152">
        <f t="shared" si="2"/>
        <v>2026</v>
      </c>
      <c r="N34" s="152">
        <f t="shared" si="2"/>
        <v>2027</v>
      </c>
      <c r="O34" s="152">
        <f t="shared" si="2"/>
        <v>2028</v>
      </c>
    </row>
    <row r="35" spans="2:15" x14ac:dyDescent="0.35">
      <c r="B35" t="s">
        <v>212</v>
      </c>
      <c r="J35" s="176">
        <f>I37</f>
        <v>4025</v>
      </c>
      <c r="K35" s="153">
        <f ca="1">J37</f>
        <v>4025</v>
      </c>
      <c r="L35" s="153">
        <f t="shared" ref="L35:N35" ca="1" si="3">K37</f>
        <v>4025</v>
      </c>
      <c r="M35" s="153">
        <f t="shared" ca="1" si="3"/>
        <v>4025</v>
      </c>
      <c r="N35" s="153">
        <f t="shared" ca="1" si="3"/>
        <v>4025</v>
      </c>
      <c r="O35" s="153"/>
    </row>
    <row r="36" spans="2:15" x14ac:dyDescent="0.35">
      <c r="B36" s="179" t="s">
        <v>213</v>
      </c>
      <c r="C36" s="170"/>
      <c r="D36" s="170"/>
      <c r="E36" s="170"/>
      <c r="F36" s="170"/>
      <c r="G36" s="170"/>
      <c r="H36" s="170"/>
      <c r="I36" s="170"/>
      <c r="J36" s="178">
        <f ca="1">J55-J56</f>
        <v>0</v>
      </c>
      <c r="K36" s="170">
        <v>0</v>
      </c>
      <c r="L36" s="170">
        <v>0</v>
      </c>
      <c r="M36" s="170">
        <v>0</v>
      </c>
      <c r="N36" s="170">
        <v>0</v>
      </c>
      <c r="O36" s="170"/>
    </row>
    <row r="37" spans="2:15" x14ac:dyDescent="0.35">
      <c r="B37" s="146" t="s">
        <v>214</v>
      </c>
      <c r="I37" s="180">
        <f>E14</f>
        <v>4025</v>
      </c>
      <c r="J37" s="181">
        <f ca="1">SUM(J35:J36)</f>
        <v>4025</v>
      </c>
      <c r="K37" s="181">
        <f t="shared" ref="K37:N37" ca="1" si="4">SUM(K35:K36)</f>
        <v>4025</v>
      </c>
      <c r="L37" s="181">
        <f t="shared" ca="1" si="4"/>
        <v>4025</v>
      </c>
      <c r="M37" s="181">
        <f t="shared" ca="1" si="4"/>
        <v>4025</v>
      </c>
      <c r="N37" s="181">
        <f t="shared" ca="1" si="4"/>
        <v>4025</v>
      </c>
    </row>
    <row r="38" spans="2:15" x14ac:dyDescent="0.35">
      <c r="J38" s="177"/>
    </row>
    <row r="39" spans="2:15" x14ac:dyDescent="0.35">
      <c r="B39" t="s">
        <v>215</v>
      </c>
      <c r="J39" s="176">
        <f>I41</f>
        <v>25000</v>
      </c>
      <c r="K39" s="176">
        <f t="shared" ref="K39:N39" ca="1" si="5">J41</f>
        <v>25484.631794496308</v>
      </c>
      <c r="L39" s="176">
        <f t="shared" ca="1" si="5"/>
        <v>25885.184291534279</v>
      </c>
      <c r="M39" s="176">
        <f t="shared" ca="1" si="5"/>
        <v>26182.748167948048</v>
      </c>
      <c r="N39" s="176">
        <f t="shared" ca="1" si="5"/>
        <v>26355.523343810866</v>
      </c>
    </row>
    <row r="40" spans="2:15" x14ac:dyDescent="0.35">
      <c r="B40" s="179" t="s">
        <v>216</v>
      </c>
      <c r="C40" s="170"/>
      <c r="D40" s="170"/>
      <c r="E40" s="170"/>
      <c r="F40" s="170"/>
      <c r="G40" s="170"/>
      <c r="H40" s="170"/>
      <c r="I40" s="170"/>
      <c r="J40" s="178">
        <f ca="1">J36-J55</f>
        <v>484.63179449630695</v>
      </c>
      <c r="K40" s="178">
        <f t="shared" ref="K40:N40" ca="1" si="6">K36-K55</f>
        <v>400.55249703797119</v>
      </c>
      <c r="L40" s="178">
        <f t="shared" ca="1" si="6"/>
        <v>297.5638764137675</v>
      </c>
      <c r="M40" s="178">
        <f t="shared" ca="1" si="6"/>
        <v>172.77517586281897</v>
      </c>
      <c r="N40" s="178">
        <f t="shared" ca="1" si="6"/>
        <v>22.899900195901473</v>
      </c>
      <c r="O40" s="170"/>
    </row>
    <row r="41" spans="2:15" x14ac:dyDescent="0.35">
      <c r="B41" s="146" t="s">
        <v>217</v>
      </c>
      <c r="I41" s="180">
        <f>'Exhibit 6'!C24</f>
        <v>25000</v>
      </c>
      <c r="J41" s="181">
        <f ca="1">SUM(J39:J40)</f>
        <v>25484.631794496308</v>
      </c>
      <c r="K41" s="181">
        <f t="shared" ref="K41:N41" ca="1" si="7">SUM(K39:K40)</f>
        <v>25885.184291534279</v>
      </c>
      <c r="L41" s="181">
        <f t="shared" ca="1" si="7"/>
        <v>26182.748167948048</v>
      </c>
      <c r="M41" s="181">
        <f t="shared" ca="1" si="7"/>
        <v>26355.523343810866</v>
      </c>
      <c r="N41" s="181">
        <f t="shared" ca="1" si="7"/>
        <v>26378.423244006768</v>
      </c>
      <c r="O41" s="146"/>
    </row>
    <row r="42" spans="2:15" x14ac:dyDescent="0.35">
      <c r="I42" s="169"/>
    </row>
    <row r="43" spans="2:15" x14ac:dyDescent="0.35">
      <c r="B43" s="150" t="s">
        <v>199</v>
      </c>
      <c r="C43" s="150"/>
      <c r="D43" s="150"/>
      <c r="E43" s="150"/>
      <c r="F43" s="151">
        <v>2019</v>
      </c>
      <c r="G43" s="151">
        <f>+F43+1</f>
        <v>2020</v>
      </c>
      <c r="H43" s="151">
        <f t="shared" ref="H43:O43" si="8">+G43+1</f>
        <v>2021</v>
      </c>
      <c r="I43" s="152">
        <f t="shared" si="8"/>
        <v>2022</v>
      </c>
      <c r="J43" s="152">
        <f t="shared" si="8"/>
        <v>2023</v>
      </c>
      <c r="K43" s="152">
        <f t="shared" si="8"/>
        <v>2024</v>
      </c>
      <c r="L43" s="152">
        <f t="shared" si="8"/>
        <v>2025</v>
      </c>
      <c r="M43" s="152">
        <f t="shared" si="8"/>
        <v>2026</v>
      </c>
      <c r="N43" s="152">
        <f t="shared" si="8"/>
        <v>2027</v>
      </c>
      <c r="O43" s="152">
        <f t="shared" si="8"/>
        <v>2028</v>
      </c>
    </row>
    <row r="44" spans="2:15" x14ac:dyDescent="0.35">
      <c r="B44" t="s">
        <v>8</v>
      </c>
      <c r="F44" s="162">
        <f>'Exhibit 3'!B5</f>
        <v>3459.3289999999997</v>
      </c>
      <c r="G44" s="162">
        <f>'Exhibit 3'!C5</f>
        <v>3716.3489999999997</v>
      </c>
      <c r="H44" s="162">
        <f>'Exhibit 3'!D5</f>
        <v>5077.482</v>
      </c>
      <c r="I44" s="153">
        <f t="shared" ref="I44:N44" si="9">H44*(1+I24)</f>
        <v>6346.8525</v>
      </c>
      <c r="J44" s="153">
        <f t="shared" si="9"/>
        <v>7298.8803749999997</v>
      </c>
      <c r="K44" s="153">
        <f t="shared" si="9"/>
        <v>8393.7124312499982</v>
      </c>
      <c r="L44" s="153">
        <f t="shared" si="9"/>
        <v>9652.7692959374963</v>
      </c>
      <c r="M44" s="153">
        <f t="shared" si="9"/>
        <v>11100.68469032812</v>
      </c>
      <c r="N44" s="153">
        <f t="shared" si="9"/>
        <v>12765.787393877337</v>
      </c>
      <c r="O44" s="153"/>
    </row>
    <row r="45" spans="2:15" x14ac:dyDescent="0.35">
      <c r="B45" t="s">
        <v>9</v>
      </c>
      <c r="F45" s="162">
        <f>'Exhibit 3'!B12</f>
        <v>831.87299999999959</v>
      </c>
      <c r="G45" s="162">
        <f>'Exhibit 3'!C12</f>
        <v>521.83499999999992</v>
      </c>
      <c r="H45" s="162">
        <f>'Exhibit 3'!D12</f>
        <v>817.80999999999949</v>
      </c>
      <c r="J45" s="153">
        <f>J44*J27</f>
        <v>1824.7200937499999</v>
      </c>
      <c r="K45" s="153">
        <f>K44*K27</f>
        <v>2098.4281078124995</v>
      </c>
      <c r="L45" s="153">
        <f>L44*L27</f>
        <v>2413.1923239843741</v>
      </c>
      <c r="M45" s="153">
        <f>M44*M27</f>
        <v>2775.1711725820301</v>
      </c>
      <c r="N45" s="153">
        <f>N44*N27</f>
        <v>3191.4468484693343</v>
      </c>
    </row>
    <row r="46" spans="2:15" x14ac:dyDescent="0.35">
      <c r="B46" t="s">
        <v>78</v>
      </c>
      <c r="F46" s="162">
        <f>'Exhibit 3'!B11</f>
        <v>465.5</v>
      </c>
      <c r="G46" s="162">
        <f>'Exhibit 3'!C11</f>
        <v>495.17700000000002</v>
      </c>
      <c r="H46" s="162">
        <f>'Exhibit 3'!D11</f>
        <v>544.84799999999996</v>
      </c>
      <c r="J46" s="153">
        <f>J25*J44</f>
        <v>693.393635625</v>
      </c>
      <c r="K46" s="153">
        <f>K25*K44</f>
        <v>755.43411881249983</v>
      </c>
      <c r="L46" s="153">
        <f>L25*L44</f>
        <v>820.48539015468725</v>
      </c>
      <c r="M46" s="153">
        <f>M25*M44</f>
        <v>888.0547752262496</v>
      </c>
      <c r="N46" s="153">
        <f>N25*N44</f>
        <v>957.43405454080028</v>
      </c>
    </row>
    <row r="47" spans="2:15" x14ac:dyDescent="0.35">
      <c r="B47" t="s">
        <v>10</v>
      </c>
      <c r="F47" s="153">
        <f>F45-F46</f>
        <v>366.37299999999959</v>
      </c>
      <c r="G47" s="153">
        <f t="shared" ref="G47:H47" si="10">G45-G46</f>
        <v>26.657999999999902</v>
      </c>
      <c r="H47" s="153">
        <f t="shared" si="10"/>
        <v>272.96199999999953</v>
      </c>
      <c r="J47" s="153">
        <f>J45-J46</f>
        <v>1131.326458125</v>
      </c>
      <c r="K47" s="153">
        <f t="shared" ref="K47:N47" si="11">K45-K46</f>
        <v>1342.9939889999996</v>
      </c>
      <c r="L47" s="153">
        <f t="shared" si="11"/>
        <v>1592.7069338296869</v>
      </c>
      <c r="M47" s="153">
        <f t="shared" si="11"/>
        <v>1887.1163973557805</v>
      </c>
      <c r="N47" s="153">
        <f t="shared" si="11"/>
        <v>2234.0127939285339</v>
      </c>
    </row>
    <row r="48" spans="2:15" x14ac:dyDescent="0.35">
      <c r="B48" t="s">
        <v>89</v>
      </c>
      <c r="F48" s="162">
        <f>'Exhibit 3'!B15</f>
        <v>-138.18</v>
      </c>
      <c r="G48" s="162">
        <f>'Exhibit 3'!C15</f>
        <v>-152.87799999999999</v>
      </c>
      <c r="H48" s="162">
        <f>'Exhibit 3'!D15</f>
        <v>-51.186</v>
      </c>
      <c r="J48" s="153">
        <f ca="1">AVERAGE(I41:J41)*-$E$15</f>
        <v>-1766.9621128073709</v>
      </c>
      <c r="K48" s="153">
        <f t="shared" ref="K48:N48" ca="1" si="12">AVERAGE(J41:K41)*-$E$15</f>
        <v>-1797.9435630110706</v>
      </c>
      <c r="L48" s="153">
        <f t="shared" ca="1" si="12"/>
        <v>-1822.3776360818815</v>
      </c>
      <c r="M48" s="153">
        <f t="shared" ca="1" si="12"/>
        <v>-1838.839502911562</v>
      </c>
      <c r="N48" s="153">
        <f t="shared" ca="1" si="12"/>
        <v>-1845.6881305736174</v>
      </c>
    </row>
    <row r="49" spans="2:18" x14ac:dyDescent="0.35">
      <c r="B49" t="s">
        <v>90</v>
      </c>
      <c r="F49" s="162">
        <f>'Exhibit 3'!B20</f>
        <v>390.13899999999961</v>
      </c>
      <c r="G49" s="162">
        <f>'Exhibit 3'!C20</f>
        <v>-50.939000000000092</v>
      </c>
      <c r="H49" s="162">
        <f>'Exhibit 3'!D20</f>
        <v>-411.11300000000051</v>
      </c>
      <c r="J49" s="153">
        <f ca="1">J47+J48</f>
        <v>-635.63565468237084</v>
      </c>
      <c r="K49" s="153">
        <f t="shared" ref="K49:N49" ca="1" si="13">K47+K48</f>
        <v>-454.94957401107104</v>
      </c>
      <c r="L49" s="153">
        <f t="shared" ca="1" si="13"/>
        <v>-229.67070225219459</v>
      </c>
      <c r="M49" s="153">
        <f t="shared" ca="1" si="13"/>
        <v>48.276894444218442</v>
      </c>
      <c r="N49" s="153">
        <f t="shared" ca="1" si="13"/>
        <v>388.32466335491654</v>
      </c>
    </row>
    <row r="50" spans="2:18" x14ac:dyDescent="0.35">
      <c r="B50" s="171" t="s">
        <v>46</v>
      </c>
      <c r="C50" s="171"/>
      <c r="D50" s="171"/>
      <c r="E50" s="171"/>
      <c r="F50" s="172">
        <f>'Exhibit 3'!B21</f>
        <v>1075.52</v>
      </c>
      <c r="G50" s="172">
        <f>'Exhibit 3'!C21</f>
        <v>-1084.6869999999999</v>
      </c>
      <c r="H50" s="172">
        <f>'Exhibit 3'!D21</f>
        <v>189.70400000000001</v>
      </c>
      <c r="I50" s="171"/>
      <c r="J50" s="173">
        <f ca="1">J49*-$E$16</f>
        <v>177.97798331106387</v>
      </c>
      <c r="K50" s="173">
        <f t="shared" ref="K50:N50" ca="1" si="14">K49*-$E$16</f>
        <v>127.3858807230999</v>
      </c>
      <c r="L50" s="173">
        <f t="shared" ca="1" si="14"/>
        <v>64.30779663061449</v>
      </c>
      <c r="M50" s="173">
        <f t="shared" ca="1" si="14"/>
        <v>-13.517530444381165</v>
      </c>
      <c r="N50" s="173">
        <f t="shared" ca="1" si="14"/>
        <v>-108.73090573937664</v>
      </c>
      <c r="O50" s="171"/>
      <c r="R50" s="153">
        <f ca="1">(N41-N37)/N45</f>
        <v>7.0041659176394573</v>
      </c>
    </row>
    <row r="51" spans="2:18" x14ac:dyDescent="0.35">
      <c r="B51" s="146" t="s">
        <v>11</v>
      </c>
      <c r="C51" s="146"/>
      <c r="D51" s="146"/>
      <c r="E51" s="146"/>
      <c r="F51" s="174">
        <f>F50+F49</f>
        <v>1465.6589999999997</v>
      </c>
      <c r="G51" s="174">
        <f t="shared" ref="G51:H51" si="15">G50+G49</f>
        <v>-1135.626</v>
      </c>
      <c r="H51" s="174">
        <f t="shared" si="15"/>
        <v>-221.4090000000005</v>
      </c>
      <c r="I51" s="146"/>
      <c r="J51" s="174">
        <f ca="1">J49+J50</f>
        <v>-457.65767137130695</v>
      </c>
      <c r="K51" s="174">
        <f t="shared" ref="K51:N51" ca="1" si="16">K49+K50</f>
        <v>-327.56369328797115</v>
      </c>
      <c r="L51" s="174">
        <f t="shared" ca="1" si="16"/>
        <v>-165.3629056215801</v>
      </c>
      <c r="M51" s="174">
        <f t="shared" ca="1" si="16"/>
        <v>34.759363999837277</v>
      </c>
      <c r="N51" s="174">
        <f t="shared" ca="1" si="16"/>
        <v>279.59375761553991</v>
      </c>
      <c r="O51" s="146"/>
    </row>
    <row r="53" spans="2:18" x14ac:dyDescent="0.35">
      <c r="B53" t="s">
        <v>44</v>
      </c>
      <c r="J53" s="153">
        <f>J44*-J29</f>
        <v>-729.8880375</v>
      </c>
      <c r="K53" s="153">
        <f>K44*-K29</f>
        <v>-839.37124312499986</v>
      </c>
      <c r="L53" s="153">
        <f>L44*-L29</f>
        <v>-965.27692959374963</v>
      </c>
      <c r="M53" s="153">
        <f>M44*-M29</f>
        <v>-1110.0684690328121</v>
      </c>
      <c r="N53" s="153">
        <f>N44*-N29</f>
        <v>-1276.5787393877338</v>
      </c>
    </row>
    <row r="54" spans="2:18" x14ac:dyDescent="0.35">
      <c r="B54" s="170" t="s">
        <v>91</v>
      </c>
      <c r="C54" s="170"/>
      <c r="D54" s="170"/>
      <c r="E54" s="170"/>
      <c r="F54" s="170"/>
      <c r="G54" s="170"/>
      <c r="H54" s="170"/>
      <c r="I54" s="170"/>
      <c r="J54" s="175">
        <f>(J44-I44)*J30</f>
        <v>9.5202787499999975</v>
      </c>
      <c r="K54" s="175">
        <f>(K44-J44)*K30</f>
        <v>10.948320562499985</v>
      </c>
      <c r="L54" s="175">
        <f>(L44-K44)*L30</f>
        <v>12.590568646874981</v>
      </c>
      <c r="M54" s="175">
        <f>(M44-L44)*M30</f>
        <v>14.47915394390624</v>
      </c>
      <c r="N54" s="175">
        <f>(N44-M44)*N30</f>
        <v>16.65102703549217</v>
      </c>
      <c r="O54" s="170"/>
    </row>
    <row r="55" spans="2:18" x14ac:dyDescent="0.35">
      <c r="B55" s="146" t="s">
        <v>92</v>
      </c>
      <c r="C55" s="146"/>
      <c r="D55" s="146"/>
      <c r="E55" s="146"/>
      <c r="F55" s="146"/>
      <c r="G55" s="146"/>
      <c r="H55" s="146"/>
      <c r="I55" s="146"/>
      <c r="J55" s="174">
        <f ca="1">J51+J46+J53+J54</f>
        <v>-484.63179449630695</v>
      </c>
      <c r="K55" s="174">
        <f t="shared" ref="K55:N55" ca="1" si="17">K51+K46+K53+K54</f>
        <v>-400.55249703797119</v>
      </c>
      <c r="L55" s="174">
        <f t="shared" ca="1" si="17"/>
        <v>-297.5638764137675</v>
      </c>
      <c r="M55" s="174">
        <f t="shared" ca="1" si="17"/>
        <v>-172.77517586281897</v>
      </c>
      <c r="N55" s="174">
        <f t="shared" ca="1" si="17"/>
        <v>-22.899900195901473</v>
      </c>
      <c r="O55" s="146"/>
    </row>
    <row r="56" spans="2:18" x14ac:dyDescent="0.35">
      <c r="B56" t="s">
        <v>218</v>
      </c>
      <c r="J56" s="153">
        <f ca="1">(J35-E14+J55)</f>
        <v>-484.63179449630695</v>
      </c>
    </row>
    <row r="57" spans="2:18" x14ac:dyDescent="0.35">
      <c r="I57" s="190">
        <v>0</v>
      </c>
      <c r="J57" s="190">
        <f>I57+1</f>
        <v>1</v>
      </c>
      <c r="K57" s="190">
        <f t="shared" ref="K57:N57" si="18">J57+1</f>
        <v>2</v>
      </c>
      <c r="L57" s="190">
        <f t="shared" si="18"/>
        <v>3</v>
      </c>
      <c r="M57" s="190">
        <f t="shared" si="18"/>
        <v>4</v>
      </c>
      <c r="N57" s="190">
        <f t="shared" si="18"/>
        <v>5</v>
      </c>
    </row>
    <row r="58" spans="2:18" x14ac:dyDescent="0.35">
      <c r="B58" s="150" t="s">
        <v>222</v>
      </c>
      <c r="C58" s="150"/>
      <c r="D58" s="150"/>
      <c r="E58" s="150"/>
      <c r="F58" s="151"/>
      <c r="G58" s="151"/>
      <c r="H58" s="151"/>
      <c r="I58" s="152">
        <v>2022</v>
      </c>
      <c r="J58" s="152">
        <f t="shared" ref="J58:O58" si="19">+I58+1</f>
        <v>2023</v>
      </c>
      <c r="K58" s="152">
        <f t="shared" si="19"/>
        <v>2024</v>
      </c>
      <c r="L58" s="152">
        <f t="shared" si="19"/>
        <v>2025</v>
      </c>
      <c r="M58" s="152">
        <f t="shared" si="19"/>
        <v>2026</v>
      </c>
      <c r="N58" s="152">
        <f t="shared" si="19"/>
        <v>2027</v>
      </c>
      <c r="O58" s="152">
        <f t="shared" si="19"/>
        <v>2028</v>
      </c>
    </row>
    <row r="59" spans="2:18" x14ac:dyDescent="0.35">
      <c r="B59" s="146" t="s">
        <v>9</v>
      </c>
      <c r="N59" s="174">
        <f>N45</f>
        <v>3191.4468484693343</v>
      </c>
    </row>
    <row r="60" spans="2:18" x14ac:dyDescent="0.35">
      <c r="B60" s="179" t="s">
        <v>223</v>
      </c>
      <c r="C60" s="170"/>
      <c r="D60" s="170"/>
      <c r="E60" s="170"/>
      <c r="F60" s="170"/>
      <c r="G60" s="170"/>
      <c r="H60" s="170"/>
      <c r="I60" s="170"/>
      <c r="J60" s="170"/>
      <c r="K60" s="170"/>
      <c r="L60" s="170"/>
      <c r="M60" s="170"/>
      <c r="N60" s="182">
        <f>E10</f>
        <v>25</v>
      </c>
    </row>
    <row r="61" spans="2:18" x14ac:dyDescent="0.35">
      <c r="B61" s="146" t="s">
        <v>224</v>
      </c>
      <c r="C61" s="146"/>
      <c r="D61" s="146"/>
      <c r="E61" s="146"/>
      <c r="F61" s="146"/>
      <c r="G61" s="146"/>
      <c r="H61" s="146"/>
      <c r="I61" s="146"/>
      <c r="J61" s="146"/>
      <c r="K61" s="146"/>
      <c r="L61" s="146"/>
      <c r="M61" s="146"/>
      <c r="N61" s="174">
        <f>N59*N60</f>
        <v>79786.171211733352</v>
      </c>
    </row>
    <row r="62" spans="2:18" x14ac:dyDescent="0.35">
      <c r="B62" s="179" t="s">
        <v>225</v>
      </c>
      <c r="C62" s="170"/>
      <c r="D62" s="170"/>
      <c r="E62" s="170"/>
      <c r="F62" s="170"/>
      <c r="G62" s="170"/>
      <c r="H62" s="170"/>
      <c r="I62" s="170"/>
      <c r="J62" s="170"/>
      <c r="K62" s="170"/>
      <c r="L62" s="170"/>
      <c r="M62" s="170"/>
      <c r="N62" s="175">
        <f ca="1">-$N$41+$N$37</f>
        <v>-22353.423244006768</v>
      </c>
    </row>
    <row r="63" spans="2:18" x14ac:dyDescent="0.35">
      <c r="B63" s="146" t="s">
        <v>226</v>
      </c>
      <c r="N63" s="174">
        <f ca="1">SUM(N61:N62)</f>
        <v>57432.74796772658</v>
      </c>
    </row>
    <row r="65" spans="1:15" x14ac:dyDescent="0.35">
      <c r="B65" s="183" t="s">
        <v>227</v>
      </c>
      <c r="C65" s="184"/>
      <c r="D65" s="184"/>
      <c r="E65" s="184"/>
      <c r="F65" s="184"/>
      <c r="G65" s="184"/>
      <c r="H65" s="184"/>
      <c r="I65" s="184"/>
      <c r="J65" s="184"/>
      <c r="K65" s="184"/>
      <c r="L65" s="184"/>
      <c r="M65" s="184"/>
      <c r="N65" s="184"/>
    </row>
    <row r="66" spans="1:15" x14ac:dyDescent="0.35">
      <c r="B66" t="s">
        <v>220</v>
      </c>
      <c r="I66" s="186">
        <f>-E18</f>
        <v>-21000</v>
      </c>
    </row>
    <row r="67" spans="1:15" x14ac:dyDescent="0.35">
      <c r="B67" s="170" t="s">
        <v>221</v>
      </c>
      <c r="C67" s="170"/>
      <c r="D67" s="170"/>
      <c r="E67" s="170"/>
      <c r="F67" s="170"/>
      <c r="G67" s="170"/>
      <c r="H67" s="170"/>
      <c r="I67" s="187"/>
      <c r="J67" s="187"/>
      <c r="K67" s="187"/>
      <c r="L67" s="187"/>
      <c r="M67" s="187"/>
      <c r="N67" s="187">
        <f ca="1">N63</f>
        <v>57432.74796772658</v>
      </c>
    </row>
    <row r="68" spans="1:15" x14ac:dyDescent="0.35">
      <c r="B68" s="146" t="s">
        <v>228</v>
      </c>
      <c r="I68" s="189">
        <f>SUM(I66:I67)</f>
        <v>-21000</v>
      </c>
      <c r="J68" s="189">
        <f t="shared" ref="J68:N68" si="20">SUM(J66:J67)</f>
        <v>0</v>
      </c>
      <c r="K68" s="189">
        <f t="shared" si="20"/>
        <v>0</v>
      </c>
      <c r="L68" s="189">
        <f t="shared" si="20"/>
        <v>0</v>
      </c>
      <c r="M68" s="189">
        <f t="shared" si="20"/>
        <v>0</v>
      </c>
      <c r="N68" s="189">
        <f t="shared" ca="1" si="20"/>
        <v>57432.74796772658</v>
      </c>
    </row>
    <row r="69" spans="1:15" x14ac:dyDescent="0.35">
      <c r="B69" t="s">
        <v>237</v>
      </c>
      <c r="I69" s="189">
        <f>I68/(1+$E$17)^I57</f>
        <v>-21000</v>
      </c>
      <c r="J69" s="189">
        <f t="shared" ref="J69:N69" si="21">J68/(1+$E$17)^J57</f>
        <v>0</v>
      </c>
      <c r="K69" s="189">
        <f t="shared" si="21"/>
        <v>0</v>
      </c>
      <c r="L69" s="189">
        <f t="shared" si="21"/>
        <v>0</v>
      </c>
      <c r="M69" s="189">
        <f t="shared" si="21"/>
        <v>0</v>
      </c>
      <c r="N69" s="189">
        <f t="shared" ca="1" si="21"/>
        <v>18819.562854064647</v>
      </c>
    </row>
    <row r="70" spans="1:15" x14ac:dyDescent="0.35">
      <c r="B70" s="146" t="s">
        <v>229</v>
      </c>
      <c r="C70" s="146"/>
      <c r="D70" s="146"/>
      <c r="E70" s="146"/>
      <c r="F70" s="146"/>
      <c r="G70" s="146"/>
      <c r="H70" s="225">
        <f ca="1">IRR(I68:N68)</f>
        <v>0.22289187726497639</v>
      </c>
    </row>
    <row r="72" spans="1:15" x14ac:dyDescent="0.35">
      <c r="A72" s="149" t="s">
        <v>197</v>
      </c>
      <c r="B72" s="148" t="s">
        <v>233</v>
      </c>
      <c r="C72" s="148"/>
      <c r="D72" s="148"/>
      <c r="E72" s="148"/>
      <c r="F72" s="148"/>
      <c r="G72" s="148"/>
      <c r="H72" s="148"/>
      <c r="I72" s="148"/>
      <c r="J72" s="148"/>
      <c r="K72" s="148"/>
      <c r="L72" s="148"/>
      <c r="M72" s="148"/>
      <c r="N72" s="148"/>
      <c r="O72" s="148"/>
    </row>
    <row r="74" spans="1:15" x14ac:dyDescent="0.35">
      <c r="B74" t="s">
        <v>234</v>
      </c>
      <c r="F74" s="188">
        <f>N61</f>
        <v>79786.171211733352</v>
      </c>
    </row>
    <row r="75" spans="1:15" x14ac:dyDescent="0.35">
      <c r="B75" t="s">
        <v>235</v>
      </c>
      <c r="F75" s="188">
        <f ca="1">N63</f>
        <v>57432.74796772658</v>
      </c>
    </row>
    <row r="77" spans="1:15" x14ac:dyDescent="0.35">
      <c r="B77" s="170" t="s">
        <v>236</v>
      </c>
      <c r="C77" s="170"/>
      <c r="D77" s="170"/>
      <c r="E77" s="170"/>
      <c r="F77" s="175">
        <f ca="1">SUM(I68:N68)</f>
        <v>36432.74796772658</v>
      </c>
    </row>
    <row r="78" spans="1:15" x14ac:dyDescent="0.35">
      <c r="B78" s="146" t="s">
        <v>114</v>
      </c>
      <c r="C78" s="146"/>
      <c r="D78" s="146"/>
      <c r="E78" s="146"/>
      <c r="F78" s="174">
        <f ca="1">SUM(I69:N69)</f>
        <v>-2180.4371459353533</v>
      </c>
    </row>
  </sheetData>
  <mergeCells count="3">
    <mergeCell ref="X21:Y21"/>
    <mergeCell ref="X22:Y22"/>
    <mergeCell ref="X23:Y23"/>
  </mergeCells>
  <conditionalFormatting sqref="R6:T11">
    <cfRule type="cellIs" dxfId="0" priority="1" operator="lessThan">
      <formula>0</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EB9E1-B8B3-4970-BD1A-457A65FE2E87}">
  <sheetPr>
    <tabColor theme="9"/>
  </sheetPr>
  <dimension ref="A1:R35"/>
  <sheetViews>
    <sheetView showGridLines="0" topLeftCell="A2" zoomScale="92" workbookViewId="0">
      <selection activeCell="H35" sqref="H35"/>
    </sheetView>
  </sheetViews>
  <sheetFormatPr defaultRowHeight="14.5" x14ac:dyDescent="0.35"/>
  <cols>
    <col min="1" max="1" width="3.6328125" customWidth="1"/>
    <col min="4" max="8" width="11.6328125" customWidth="1"/>
    <col min="9" max="9" width="5.6328125" customWidth="1"/>
    <col min="10" max="10" width="12.36328125" bestFit="1" customWidth="1"/>
    <col min="11" max="12" width="11.6328125" customWidth="1"/>
    <col min="13" max="13" width="5.6328125" customWidth="1"/>
    <col min="14" max="17" width="10.6328125" customWidth="1"/>
    <col min="18" max="18" width="3.6328125" customWidth="1"/>
  </cols>
  <sheetData>
    <row r="1" spans="1:18" ht="26" x14ac:dyDescent="0.6">
      <c r="A1" s="195"/>
      <c r="B1" s="206" t="s">
        <v>287</v>
      </c>
      <c r="C1" s="195"/>
      <c r="D1" s="195"/>
      <c r="E1" s="195"/>
      <c r="F1" s="195"/>
      <c r="G1" s="195"/>
      <c r="H1" s="195"/>
      <c r="I1" s="292"/>
      <c r="J1" s="292"/>
      <c r="K1" s="195"/>
      <c r="L1" s="195"/>
      <c r="M1" s="292"/>
      <c r="N1" s="292"/>
      <c r="O1" s="195"/>
      <c r="P1" s="195"/>
      <c r="Q1" s="195"/>
      <c r="R1" s="195"/>
    </row>
    <row r="2" spans="1:18" ht="20" customHeight="1" x14ac:dyDescent="0.35">
      <c r="A2" s="195"/>
      <c r="B2" s="210">
        <v>2021</v>
      </c>
      <c r="C2" s="297"/>
      <c r="D2" s="297"/>
      <c r="E2" s="298" t="s">
        <v>288</v>
      </c>
      <c r="F2" s="298"/>
      <c r="G2" s="298"/>
      <c r="H2" s="298"/>
      <c r="I2" s="211"/>
      <c r="J2" s="298" t="s">
        <v>289</v>
      </c>
      <c r="K2" s="298"/>
      <c r="L2" s="298"/>
      <c r="M2" s="210"/>
      <c r="N2" s="299" t="s">
        <v>248</v>
      </c>
      <c r="O2" s="299"/>
      <c r="P2" s="299"/>
      <c r="Q2" s="299"/>
      <c r="R2" s="212"/>
    </row>
    <row r="3" spans="1:18" ht="20" customHeight="1" x14ac:dyDescent="0.35">
      <c r="A3" s="195"/>
      <c r="B3" s="210" t="s">
        <v>249</v>
      </c>
      <c r="C3" s="297"/>
      <c r="D3" s="297"/>
      <c r="E3" s="210"/>
      <c r="F3" s="210"/>
      <c r="G3" s="210"/>
      <c r="H3" s="210" t="s">
        <v>290</v>
      </c>
      <c r="I3" s="297"/>
      <c r="J3" s="297"/>
      <c r="K3" s="210"/>
      <c r="L3" s="210"/>
      <c r="M3" s="297"/>
      <c r="N3" s="297"/>
      <c r="O3" s="211" t="s">
        <v>250</v>
      </c>
      <c r="P3" s="211" t="s">
        <v>250</v>
      </c>
      <c r="Q3" s="211" t="s">
        <v>250</v>
      </c>
      <c r="R3" s="212"/>
    </row>
    <row r="4" spans="1:18" ht="20" customHeight="1" x14ac:dyDescent="0.35">
      <c r="A4" s="195"/>
      <c r="B4" s="210" t="s">
        <v>251</v>
      </c>
      <c r="C4" s="211"/>
      <c r="D4" s="211"/>
      <c r="E4" s="211" t="s">
        <v>291</v>
      </c>
      <c r="F4" s="211" t="s">
        <v>292</v>
      </c>
      <c r="G4" s="211" t="s">
        <v>293</v>
      </c>
      <c r="H4" s="210" t="s">
        <v>294</v>
      </c>
      <c r="I4" s="210"/>
      <c r="J4" s="211" t="s">
        <v>295</v>
      </c>
      <c r="K4" s="211" t="s">
        <v>296</v>
      </c>
      <c r="L4" s="211" t="s">
        <v>297</v>
      </c>
      <c r="M4" s="210"/>
      <c r="N4" s="211" t="s">
        <v>252</v>
      </c>
      <c r="O4" s="211" t="s">
        <v>8</v>
      </c>
      <c r="P4" s="211" t="s">
        <v>9</v>
      </c>
      <c r="Q4" s="211" t="s">
        <v>253</v>
      </c>
      <c r="R4" s="212"/>
    </row>
    <row r="5" spans="1:18" ht="20" customHeight="1" x14ac:dyDescent="0.35">
      <c r="A5" s="195"/>
      <c r="B5" s="213" t="s">
        <v>120</v>
      </c>
      <c r="C5" s="213"/>
      <c r="D5" s="213"/>
      <c r="E5" s="214">
        <v>336.35</v>
      </c>
      <c r="F5" s="214">
        <v>935.65</v>
      </c>
      <c r="G5" s="215">
        <v>1014.19</v>
      </c>
      <c r="H5" s="216">
        <v>2859</v>
      </c>
      <c r="I5" s="217"/>
      <c r="J5" s="214">
        <v>117929</v>
      </c>
      <c r="K5" s="218">
        <v>2900</v>
      </c>
      <c r="L5" s="214">
        <v>0.57999999999999996</v>
      </c>
      <c r="M5" s="213"/>
      <c r="N5" s="216">
        <v>24.06</v>
      </c>
      <c r="O5" s="216" t="s">
        <v>254</v>
      </c>
      <c r="P5" s="216" t="s">
        <v>255</v>
      </c>
      <c r="Q5" s="216" t="s">
        <v>256</v>
      </c>
      <c r="R5" s="213"/>
    </row>
    <row r="6" spans="1:18" ht="20" customHeight="1" x14ac:dyDescent="0.35">
      <c r="A6" s="195"/>
      <c r="B6" s="213" t="s">
        <v>121</v>
      </c>
      <c r="C6" s="213"/>
      <c r="D6" s="213"/>
      <c r="E6" s="214">
        <v>36.35</v>
      </c>
      <c r="F6" s="214">
        <v>23.71</v>
      </c>
      <c r="G6" s="215">
        <v>22.94</v>
      </c>
      <c r="H6" s="216">
        <v>692</v>
      </c>
      <c r="I6" s="213"/>
      <c r="J6" s="214">
        <v>2578.0300000000002</v>
      </c>
      <c r="K6" s="213">
        <v>431</v>
      </c>
      <c r="L6" s="214">
        <v>0.25</v>
      </c>
      <c r="M6" s="213"/>
      <c r="N6" s="216">
        <v>66.09</v>
      </c>
      <c r="O6" s="216" t="s">
        <v>257</v>
      </c>
      <c r="P6" s="216" t="s">
        <v>258</v>
      </c>
      <c r="Q6" s="216" t="s">
        <v>259</v>
      </c>
      <c r="R6" s="213"/>
    </row>
    <row r="7" spans="1:18" ht="20" customHeight="1" x14ac:dyDescent="0.35">
      <c r="A7" s="195"/>
      <c r="B7" s="213" t="s">
        <v>39</v>
      </c>
      <c r="C7" s="213"/>
      <c r="D7" s="213"/>
      <c r="E7" s="214">
        <v>47.03</v>
      </c>
      <c r="F7" s="214">
        <v>76.150000000000006</v>
      </c>
      <c r="G7" s="215">
        <v>82.75</v>
      </c>
      <c r="H7" s="216">
        <v>1559</v>
      </c>
      <c r="I7" s="213"/>
      <c r="J7" s="214">
        <v>4117.05</v>
      </c>
      <c r="K7" s="213">
        <v>428</v>
      </c>
      <c r="L7" s="214">
        <v>2.25</v>
      </c>
      <c r="M7" s="213"/>
      <c r="N7" s="216">
        <v>-32.130000000000003</v>
      </c>
      <c r="O7" s="216" t="s">
        <v>260</v>
      </c>
      <c r="P7" s="216" t="s">
        <v>15</v>
      </c>
      <c r="Q7" s="216" t="s">
        <v>261</v>
      </c>
      <c r="R7" s="213"/>
    </row>
    <row r="8" spans="1:18" ht="20" customHeight="1" x14ac:dyDescent="0.35">
      <c r="A8" s="195"/>
      <c r="B8" s="213" t="s">
        <v>40</v>
      </c>
      <c r="C8" s="213"/>
      <c r="D8" s="213"/>
      <c r="E8" s="214">
        <v>30.98</v>
      </c>
      <c r="F8" s="214">
        <v>6.93</v>
      </c>
      <c r="G8" s="215">
        <v>5.87</v>
      </c>
      <c r="H8" s="216">
        <v>230</v>
      </c>
      <c r="I8" s="213"/>
      <c r="J8" s="214">
        <v>2257.08</v>
      </c>
      <c r="K8" s="213">
        <v>573</v>
      </c>
      <c r="L8" s="214">
        <v>1.54</v>
      </c>
      <c r="M8" s="213"/>
      <c r="N8" s="216">
        <v>20.79</v>
      </c>
      <c r="O8" s="216" t="s">
        <v>262</v>
      </c>
      <c r="P8" s="216" t="s">
        <v>263</v>
      </c>
      <c r="Q8" s="216" t="s">
        <v>264</v>
      </c>
      <c r="R8" s="213"/>
    </row>
    <row r="9" spans="1:18" ht="20" customHeight="1" x14ac:dyDescent="0.35">
      <c r="A9" s="195"/>
      <c r="B9" s="219" t="s">
        <v>119</v>
      </c>
      <c r="C9" s="219"/>
      <c r="D9" s="219"/>
      <c r="E9" s="220">
        <v>43.22</v>
      </c>
      <c r="F9" s="220">
        <v>34.549999999999997</v>
      </c>
      <c r="G9" s="221">
        <v>34.53</v>
      </c>
      <c r="H9" s="222">
        <v>798</v>
      </c>
      <c r="I9" s="219"/>
      <c r="J9" s="220">
        <v>5077.4799999999996</v>
      </c>
      <c r="K9" s="219">
        <v>353</v>
      </c>
      <c r="L9" s="220">
        <v>4.25</v>
      </c>
      <c r="M9" s="219"/>
      <c r="N9" s="222">
        <v>-94.29</v>
      </c>
      <c r="O9" s="222" t="s">
        <v>265</v>
      </c>
      <c r="P9" s="222" t="s">
        <v>266</v>
      </c>
      <c r="Q9" s="222" t="s">
        <v>267</v>
      </c>
      <c r="R9" s="213"/>
    </row>
    <row r="10" spans="1:18" ht="20" customHeight="1" x14ac:dyDescent="0.35">
      <c r="A10" s="195"/>
      <c r="B10" s="223" t="s">
        <v>268</v>
      </c>
      <c r="C10" s="295"/>
      <c r="D10" s="295"/>
      <c r="E10" s="223"/>
      <c r="F10" s="223"/>
      <c r="G10" s="223"/>
      <c r="H10" s="223"/>
      <c r="I10" s="295"/>
      <c r="J10" s="295"/>
      <c r="K10" s="223"/>
      <c r="L10" s="223"/>
      <c r="M10" s="223"/>
      <c r="N10" s="224">
        <v>-3.1</v>
      </c>
      <c r="O10" s="224" t="s">
        <v>269</v>
      </c>
      <c r="P10" s="224" t="s">
        <v>270</v>
      </c>
      <c r="Q10" s="224" t="s">
        <v>271</v>
      </c>
      <c r="R10" s="213"/>
    </row>
    <row r="11" spans="1:18" ht="20" customHeight="1" x14ac:dyDescent="0.35">
      <c r="A11" s="195"/>
      <c r="B11" s="223" t="s">
        <v>272</v>
      </c>
      <c r="C11" s="295"/>
      <c r="D11" s="295"/>
      <c r="E11" s="223"/>
      <c r="F11" s="223"/>
      <c r="G11" s="223"/>
      <c r="H11" s="223"/>
      <c r="I11" s="295"/>
      <c r="J11" s="295"/>
      <c r="K11" s="223"/>
      <c r="L11" s="223"/>
      <c r="M11" s="223"/>
      <c r="N11" s="224">
        <v>20.79</v>
      </c>
      <c r="O11" s="224" t="s">
        <v>254</v>
      </c>
      <c r="P11" s="224" t="s">
        <v>273</v>
      </c>
      <c r="Q11" s="224" t="s">
        <v>267</v>
      </c>
      <c r="R11" s="213"/>
    </row>
    <row r="12" spans="1:18" ht="20" customHeight="1" x14ac:dyDescent="0.35">
      <c r="A12" s="195"/>
      <c r="B12" s="223" t="s">
        <v>274</v>
      </c>
      <c r="C12" s="296"/>
      <c r="D12" s="296"/>
      <c r="E12" s="213"/>
      <c r="F12" s="213"/>
      <c r="G12" s="213"/>
      <c r="H12" s="213"/>
      <c r="I12" s="296"/>
      <c r="J12" s="296"/>
      <c r="K12" s="213"/>
      <c r="L12" s="213"/>
      <c r="M12" s="213"/>
      <c r="N12" s="224">
        <v>61.75</v>
      </c>
      <c r="O12" s="224" t="s">
        <v>275</v>
      </c>
      <c r="P12" s="224" t="s">
        <v>276</v>
      </c>
      <c r="Q12" s="224" t="s">
        <v>277</v>
      </c>
      <c r="R12" s="213"/>
    </row>
    <row r="13" spans="1:18" x14ac:dyDescent="0.35">
      <c r="A13" s="292"/>
      <c r="B13" s="292"/>
      <c r="C13" s="292"/>
      <c r="D13" s="292"/>
      <c r="E13" s="195"/>
      <c r="F13" s="195"/>
      <c r="G13" s="195"/>
      <c r="H13" s="195"/>
      <c r="I13" s="292"/>
      <c r="J13" s="292"/>
      <c r="K13" s="195"/>
      <c r="L13" s="195"/>
      <c r="M13" s="292"/>
      <c r="N13" s="292"/>
      <c r="O13" s="195"/>
      <c r="P13" s="195"/>
      <c r="Q13" s="195"/>
      <c r="R13" s="195"/>
    </row>
    <row r="14" spans="1:18" x14ac:dyDescent="0.35">
      <c r="A14" s="195"/>
      <c r="B14" s="193" t="s">
        <v>249</v>
      </c>
      <c r="C14" s="293"/>
      <c r="D14" s="293"/>
      <c r="E14" s="194"/>
      <c r="F14" s="194" t="s">
        <v>250</v>
      </c>
      <c r="G14" s="194" t="s">
        <v>250</v>
      </c>
      <c r="H14" s="194" t="s">
        <v>250</v>
      </c>
      <c r="I14" s="292"/>
      <c r="J14" s="292"/>
      <c r="K14" s="195"/>
      <c r="L14" s="195"/>
      <c r="M14" s="292"/>
      <c r="N14" s="292"/>
      <c r="O14" s="195"/>
      <c r="P14" s="195"/>
      <c r="Q14" s="195"/>
      <c r="R14" s="195"/>
    </row>
    <row r="15" spans="1:18" x14ac:dyDescent="0.35">
      <c r="A15" s="195"/>
      <c r="B15" s="193" t="s">
        <v>251</v>
      </c>
      <c r="C15" s="293"/>
      <c r="D15" s="293"/>
      <c r="E15" s="194" t="s">
        <v>252</v>
      </c>
      <c r="F15" s="194" t="s">
        <v>8</v>
      </c>
      <c r="G15" s="194" t="s">
        <v>9</v>
      </c>
      <c r="H15" s="194" t="s">
        <v>253</v>
      </c>
      <c r="I15" s="292"/>
      <c r="J15" s="292"/>
      <c r="K15" s="195"/>
      <c r="L15" s="195"/>
      <c r="M15" s="292"/>
      <c r="N15" s="292"/>
      <c r="O15" s="195"/>
      <c r="P15" s="195"/>
      <c r="Q15" s="195"/>
      <c r="R15" s="195"/>
    </row>
    <row r="16" spans="1:18" x14ac:dyDescent="0.35">
      <c r="A16" s="195"/>
      <c r="B16" s="195" t="s">
        <v>119</v>
      </c>
      <c r="C16" s="292"/>
      <c r="D16" s="292"/>
      <c r="E16" s="197">
        <v>-94.29</v>
      </c>
      <c r="F16" s="197" t="s">
        <v>265</v>
      </c>
      <c r="G16" s="197" t="s">
        <v>266</v>
      </c>
      <c r="H16" s="197" t="s">
        <v>267</v>
      </c>
      <c r="I16" s="292"/>
      <c r="J16" s="292"/>
      <c r="K16" s="195"/>
      <c r="L16" s="195"/>
      <c r="M16" s="292"/>
      <c r="N16" s="292"/>
      <c r="O16" s="195"/>
      <c r="P16" s="195"/>
      <c r="Q16" s="195"/>
      <c r="R16" s="195"/>
    </row>
    <row r="17" spans="1:18" x14ac:dyDescent="0.35">
      <c r="A17" s="195"/>
      <c r="B17" s="198" t="s">
        <v>268</v>
      </c>
      <c r="C17" s="294"/>
      <c r="D17" s="294"/>
      <c r="E17" s="208">
        <v>-3.1</v>
      </c>
      <c r="F17" s="208" t="s">
        <v>269</v>
      </c>
      <c r="G17" s="208" t="s">
        <v>270</v>
      </c>
      <c r="H17" s="208" t="s">
        <v>271</v>
      </c>
      <c r="I17" s="292"/>
      <c r="J17" s="292"/>
      <c r="K17" s="195"/>
      <c r="L17" s="195"/>
      <c r="M17" s="292"/>
      <c r="N17" s="292"/>
      <c r="O17" s="195"/>
      <c r="P17" s="195"/>
      <c r="Q17" s="195"/>
      <c r="R17" s="195"/>
    </row>
    <row r="18" spans="1:18" x14ac:dyDescent="0.35">
      <c r="A18" s="195"/>
      <c r="B18" s="195" t="s">
        <v>272</v>
      </c>
      <c r="C18" s="292"/>
      <c r="D18" s="292"/>
      <c r="E18" s="200">
        <v>20.79</v>
      </c>
      <c r="F18" s="200" t="s">
        <v>254</v>
      </c>
      <c r="G18" s="200" t="s">
        <v>273</v>
      </c>
      <c r="H18" s="200" t="s">
        <v>267</v>
      </c>
      <c r="I18" s="292"/>
      <c r="J18" s="292"/>
      <c r="K18" s="195"/>
      <c r="L18" s="195"/>
      <c r="M18" s="292"/>
      <c r="N18" s="292"/>
      <c r="O18" s="195"/>
      <c r="P18" s="195"/>
      <c r="Q18" s="195"/>
      <c r="R18" s="195"/>
    </row>
    <row r="19" spans="1:18" x14ac:dyDescent="0.35">
      <c r="A19" s="292"/>
      <c r="B19" s="292"/>
      <c r="C19" s="292"/>
      <c r="D19" s="292"/>
      <c r="E19" s="200"/>
      <c r="F19" s="200"/>
      <c r="G19" s="200"/>
      <c r="H19" s="200"/>
      <c r="I19" s="292"/>
      <c r="J19" s="292"/>
      <c r="K19" s="195"/>
      <c r="L19" s="195"/>
      <c r="M19" s="292"/>
      <c r="N19" s="292"/>
      <c r="O19" s="195"/>
      <c r="P19" s="195"/>
      <c r="Q19" s="195"/>
      <c r="R19" s="195"/>
    </row>
    <row r="20" spans="1:18" x14ac:dyDescent="0.35">
      <c r="A20" s="292"/>
      <c r="B20" s="292"/>
      <c r="C20" s="292"/>
      <c r="D20" s="292"/>
      <c r="E20" s="200"/>
      <c r="F20" s="196">
        <v>5077.4799999999996</v>
      </c>
      <c r="G20" s="196">
        <v>817.81</v>
      </c>
      <c r="H20" s="195">
        <v>353</v>
      </c>
      <c r="I20" s="292"/>
      <c r="J20" s="292"/>
      <c r="K20" s="195"/>
      <c r="L20" s="195"/>
      <c r="M20" s="292"/>
      <c r="N20" s="292"/>
      <c r="O20" s="195"/>
      <c r="P20" s="195"/>
      <c r="Q20" s="195"/>
      <c r="R20" s="195"/>
    </row>
    <row r="21" spans="1:18" x14ac:dyDescent="0.35">
      <c r="A21" s="292"/>
      <c r="B21" s="292"/>
      <c r="C21" s="292"/>
      <c r="D21" s="292"/>
      <c r="E21" s="200"/>
      <c r="F21" s="200"/>
      <c r="G21" s="200"/>
      <c r="H21" s="200"/>
      <c r="I21" s="292"/>
      <c r="J21" s="292"/>
      <c r="K21" s="195"/>
      <c r="L21" s="195"/>
      <c r="M21" s="292"/>
      <c r="N21" s="292"/>
      <c r="O21" s="195"/>
      <c r="P21" s="195"/>
      <c r="Q21" s="195"/>
      <c r="R21" s="195"/>
    </row>
    <row r="22" spans="1:18" x14ac:dyDescent="0.35">
      <c r="A22" s="195"/>
      <c r="B22" s="209"/>
      <c r="C22" s="293"/>
      <c r="D22" s="293"/>
      <c r="E22" s="193"/>
      <c r="F22" s="193" t="s">
        <v>250</v>
      </c>
      <c r="G22" s="193" t="s">
        <v>250</v>
      </c>
      <c r="H22" s="193" t="s">
        <v>250</v>
      </c>
      <c r="I22" s="292"/>
      <c r="J22" s="292"/>
      <c r="K22" s="195"/>
      <c r="L22" s="195"/>
      <c r="M22" s="292"/>
      <c r="N22" s="292"/>
      <c r="O22" s="195"/>
      <c r="P22" s="195"/>
      <c r="Q22" s="195"/>
      <c r="R22" s="195"/>
    </row>
    <row r="23" spans="1:18" x14ac:dyDescent="0.35">
      <c r="A23" s="195"/>
      <c r="B23" s="193" t="s">
        <v>298</v>
      </c>
      <c r="C23" s="193"/>
      <c r="D23" s="193" t="s">
        <v>299</v>
      </c>
      <c r="E23" s="193" t="s">
        <v>300</v>
      </c>
      <c r="F23" s="193" t="s">
        <v>8</v>
      </c>
      <c r="G23" s="193" t="s">
        <v>9</v>
      </c>
      <c r="H23" s="193" t="s">
        <v>253</v>
      </c>
      <c r="I23" s="292"/>
      <c r="J23" s="292"/>
      <c r="K23" s="195"/>
      <c r="L23" s="195"/>
      <c r="M23" s="292"/>
      <c r="N23" s="292"/>
      <c r="O23" s="195"/>
      <c r="P23" s="195"/>
      <c r="Q23" s="195"/>
      <c r="R23" s="195"/>
    </row>
    <row r="24" spans="1:18" x14ac:dyDescent="0.35">
      <c r="A24" s="195"/>
      <c r="B24" s="195" t="s">
        <v>83</v>
      </c>
      <c r="C24" s="195"/>
      <c r="D24" s="196">
        <v>4253</v>
      </c>
      <c r="E24" s="195" t="s">
        <v>301</v>
      </c>
      <c r="F24" s="196">
        <v>47728.33</v>
      </c>
      <c r="G24" s="196">
        <v>24984.1</v>
      </c>
      <c r="H24" s="196">
        <v>44503.42</v>
      </c>
      <c r="I24" s="292"/>
      <c r="J24" s="292"/>
      <c r="K24" s="195"/>
      <c r="L24" s="195"/>
      <c r="M24" s="292"/>
      <c r="N24" s="292"/>
      <c r="O24" s="195"/>
      <c r="P24" s="195"/>
      <c r="Q24" s="195"/>
      <c r="R24" s="195"/>
    </row>
    <row r="25" spans="1:18" x14ac:dyDescent="0.35">
      <c r="A25" s="195"/>
      <c r="B25" s="195" t="s">
        <v>302</v>
      </c>
      <c r="C25" s="195"/>
      <c r="D25" s="196">
        <v>2186.5500000000002</v>
      </c>
      <c r="E25" s="195" t="s">
        <v>303</v>
      </c>
      <c r="F25" s="196">
        <v>43666.35</v>
      </c>
      <c r="G25" s="196">
        <v>23716.49</v>
      </c>
      <c r="H25" s="196">
        <v>32536.01</v>
      </c>
      <c r="I25" s="292"/>
      <c r="J25" s="292"/>
      <c r="K25" s="195"/>
      <c r="L25" s="195"/>
      <c r="M25" s="292"/>
      <c r="N25" s="292"/>
      <c r="O25" s="195"/>
      <c r="P25" s="195"/>
      <c r="Q25" s="195"/>
      <c r="R25" s="195"/>
    </row>
    <row r="26" spans="1:18" x14ac:dyDescent="0.35">
      <c r="A26" s="195"/>
      <c r="B26" s="195" t="s">
        <v>8</v>
      </c>
      <c r="C26" s="195"/>
      <c r="D26" s="196">
        <v>5077.4799999999996</v>
      </c>
      <c r="E26" s="195"/>
      <c r="F26" s="195"/>
      <c r="G26" s="195"/>
      <c r="H26" s="195"/>
      <c r="I26" s="292"/>
      <c r="J26" s="292"/>
      <c r="K26" s="195"/>
      <c r="L26" s="195"/>
      <c r="M26" s="292"/>
      <c r="N26" s="292"/>
      <c r="O26" s="195"/>
      <c r="P26" s="195"/>
      <c r="Q26" s="195"/>
      <c r="R26" s="195"/>
    </row>
    <row r="27" spans="1:18" x14ac:dyDescent="0.35">
      <c r="A27" s="195"/>
      <c r="B27" s="195" t="s">
        <v>9</v>
      </c>
      <c r="C27" s="195"/>
      <c r="D27" s="196">
        <v>817.81</v>
      </c>
      <c r="E27" s="195" t="s">
        <v>304</v>
      </c>
      <c r="F27" s="196">
        <v>45661.88</v>
      </c>
      <c r="G27" s="196">
        <v>22917.65</v>
      </c>
      <c r="H27" s="196">
        <v>42436.97</v>
      </c>
      <c r="I27" s="292"/>
      <c r="J27" s="292"/>
      <c r="K27" s="195"/>
      <c r="L27" s="195"/>
      <c r="M27" s="292"/>
      <c r="N27" s="292"/>
      <c r="O27" s="195"/>
      <c r="P27" s="195"/>
      <c r="Q27" s="195"/>
      <c r="R27" s="195"/>
    </row>
    <row r="28" spans="1:18" x14ac:dyDescent="0.35">
      <c r="A28" s="195"/>
      <c r="B28" s="195" t="s">
        <v>253</v>
      </c>
      <c r="C28" s="195"/>
      <c r="D28" s="195">
        <v>353</v>
      </c>
      <c r="E28" s="195" t="s">
        <v>305</v>
      </c>
      <c r="F28" s="196">
        <v>41599.9</v>
      </c>
      <c r="G28" s="196">
        <v>21650.04</v>
      </c>
      <c r="H28" s="196">
        <v>30469.56</v>
      </c>
      <c r="I28" s="292"/>
      <c r="J28" s="292"/>
      <c r="K28" s="195"/>
      <c r="L28" s="195"/>
      <c r="M28" s="292"/>
      <c r="N28" s="292"/>
      <c r="O28" s="195"/>
      <c r="P28" s="195"/>
      <c r="Q28" s="195"/>
      <c r="R28" s="195"/>
    </row>
    <row r="29" spans="1:18" x14ac:dyDescent="0.35">
      <c r="A29" s="292"/>
      <c r="B29" s="292"/>
      <c r="C29" s="292"/>
      <c r="D29" s="292"/>
      <c r="E29" s="195"/>
      <c r="F29" s="195"/>
      <c r="G29" s="195"/>
      <c r="H29" s="195"/>
      <c r="I29" s="292"/>
      <c r="J29" s="292"/>
      <c r="K29" s="195"/>
      <c r="L29" s="195"/>
      <c r="M29" s="292"/>
      <c r="N29" s="292"/>
      <c r="O29" s="195"/>
      <c r="P29" s="195"/>
      <c r="Q29" s="195"/>
      <c r="R29" s="195"/>
    </row>
    <row r="30" spans="1:18" x14ac:dyDescent="0.35">
      <c r="A30" s="292"/>
      <c r="B30" s="292"/>
      <c r="C30" s="292"/>
      <c r="D30" s="292"/>
      <c r="E30" s="195" t="s">
        <v>282</v>
      </c>
      <c r="F30" s="196">
        <v>57.03</v>
      </c>
      <c r="G30" s="196">
        <v>28.63</v>
      </c>
      <c r="H30" s="196">
        <v>53.01</v>
      </c>
      <c r="I30" s="292"/>
      <c r="J30" s="292"/>
      <c r="K30" s="195"/>
      <c r="L30" s="195"/>
      <c r="M30" s="292"/>
      <c r="N30" s="292"/>
      <c r="O30" s="195"/>
      <c r="P30" s="195"/>
      <c r="Q30" s="195"/>
      <c r="R30" s="195"/>
    </row>
    <row r="31" spans="1:18" x14ac:dyDescent="0.35">
      <c r="A31" s="292"/>
      <c r="B31" s="292"/>
      <c r="C31" s="292"/>
      <c r="D31" s="292"/>
      <c r="E31" s="202" t="s">
        <v>283</v>
      </c>
      <c r="F31" s="203">
        <v>51.96</v>
      </c>
      <c r="G31" s="203">
        <v>27.04</v>
      </c>
      <c r="H31" s="203">
        <v>38.06</v>
      </c>
      <c r="I31" s="292"/>
      <c r="J31" s="292"/>
      <c r="K31" s="195"/>
      <c r="L31" s="195"/>
      <c r="M31" s="292"/>
      <c r="N31" s="292"/>
      <c r="O31" s="195"/>
      <c r="P31" s="195"/>
      <c r="Q31" s="195"/>
      <c r="R31" s="195"/>
    </row>
    <row r="32" spans="1:18" x14ac:dyDescent="0.35">
      <c r="A32" s="292"/>
      <c r="B32" s="292"/>
      <c r="C32" s="292"/>
      <c r="D32" s="292"/>
      <c r="E32" s="199" t="s">
        <v>284</v>
      </c>
      <c r="F32" s="204">
        <v>54.5</v>
      </c>
      <c r="G32" s="204">
        <v>27.83</v>
      </c>
      <c r="H32" s="204">
        <v>45.53</v>
      </c>
      <c r="I32" s="292"/>
      <c r="J32" s="292"/>
      <c r="K32" s="195"/>
      <c r="L32" s="195"/>
      <c r="M32" s="292"/>
      <c r="N32" s="292"/>
      <c r="O32" s="195"/>
      <c r="P32" s="195"/>
      <c r="Q32" s="195"/>
      <c r="R32" s="195"/>
    </row>
    <row r="35" spans="6:8" x14ac:dyDescent="0.35">
      <c r="F35" s="207">
        <f>AVERAGE(F32:H32)</f>
        <v>42.62</v>
      </c>
      <c r="H35" s="207">
        <f>F35*798</f>
        <v>34010.759999999995</v>
      </c>
    </row>
  </sheetData>
  <mergeCells count="77">
    <mergeCell ref="C3:D3"/>
    <mergeCell ref="I3:J3"/>
    <mergeCell ref="M3:N3"/>
    <mergeCell ref="I1:J1"/>
    <mergeCell ref="M1:N1"/>
    <mergeCell ref="C2:D2"/>
    <mergeCell ref="E2:H2"/>
    <mergeCell ref="J2:L2"/>
    <mergeCell ref="N2:Q2"/>
    <mergeCell ref="M13:N13"/>
    <mergeCell ref="C10:D10"/>
    <mergeCell ref="I10:J10"/>
    <mergeCell ref="C11:D11"/>
    <mergeCell ref="I11:J11"/>
    <mergeCell ref="C12:D12"/>
    <mergeCell ref="I12:J12"/>
    <mergeCell ref="A13:B13"/>
    <mergeCell ref="C13:D13"/>
    <mergeCell ref="I13:J13"/>
    <mergeCell ref="C14:D14"/>
    <mergeCell ref="I14:J14"/>
    <mergeCell ref="M14:N14"/>
    <mergeCell ref="C15:D15"/>
    <mergeCell ref="I15:J15"/>
    <mergeCell ref="M15:N15"/>
    <mergeCell ref="C16:D16"/>
    <mergeCell ref="I16:J16"/>
    <mergeCell ref="M16:N16"/>
    <mergeCell ref="C17:D17"/>
    <mergeCell ref="I17:J17"/>
    <mergeCell ref="M17:N17"/>
    <mergeCell ref="C18:D18"/>
    <mergeCell ref="I18:J18"/>
    <mergeCell ref="M18:N18"/>
    <mergeCell ref="A19:B19"/>
    <mergeCell ref="C19:D19"/>
    <mergeCell ref="I19:J19"/>
    <mergeCell ref="M19:N19"/>
    <mergeCell ref="A20:B20"/>
    <mergeCell ref="C20:D20"/>
    <mergeCell ref="I20:J20"/>
    <mergeCell ref="M20:N20"/>
    <mergeCell ref="A21:B21"/>
    <mergeCell ref="C21:D21"/>
    <mergeCell ref="I21:J21"/>
    <mergeCell ref="M21:N21"/>
    <mergeCell ref="C22:D22"/>
    <mergeCell ref="I22:J22"/>
    <mergeCell ref="M22:N22"/>
    <mergeCell ref="I23:J23"/>
    <mergeCell ref="M23:N23"/>
    <mergeCell ref="I24:J24"/>
    <mergeCell ref="M24:N24"/>
    <mergeCell ref="I25:J25"/>
    <mergeCell ref="M25:N25"/>
    <mergeCell ref="I26:J26"/>
    <mergeCell ref="M26:N26"/>
    <mergeCell ref="I27:J27"/>
    <mergeCell ref="M27:N27"/>
    <mergeCell ref="I28:J28"/>
    <mergeCell ref="M28:N28"/>
    <mergeCell ref="A29:B29"/>
    <mergeCell ref="C29:D29"/>
    <mergeCell ref="I29:J29"/>
    <mergeCell ref="M29:N29"/>
    <mergeCell ref="A32:B32"/>
    <mergeCell ref="C32:D32"/>
    <mergeCell ref="I32:J32"/>
    <mergeCell ref="M32:N32"/>
    <mergeCell ref="A30:B30"/>
    <mergeCell ref="C30:D30"/>
    <mergeCell ref="I30:J30"/>
    <mergeCell ref="M30:N30"/>
    <mergeCell ref="A31:B31"/>
    <mergeCell ref="C31:D31"/>
    <mergeCell ref="I31:J31"/>
    <mergeCell ref="M31:N3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EFCEFB-CACA-4637-B77A-C6F6EB249A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Copyright</vt:lpstr>
      <vt:lpstr>Exhibit 1</vt:lpstr>
      <vt:lpstr>Exhibit 2</vt:lpstr>
      <vt:lpstr>Exhibit 3</vt:lpstr>
      <vt:lpstr>Exhibit 4</vt:lpstr>
      <vt:lpstr>Exhibit 5</vt:lpstr>
      <vt:lpstr>Exhibit 6</vt:lpstr>
      <vt:lpstr>Exhibit 7</vt:lpstr>
      <vt:lpstr>LBO</vt:lpstr>
      <vt:lpstr>Comps</vt:lpstr>
      <vt:lpstr>Copy</vt:lpstr>
      <vt:lpstr>EBITDAgrowth</vt:lpstr>
      <vt:lpstr>Exitm</vt:lpstr>
      <vt:lpstr>LTgrowth</vt:lpstr>
      <vt:lpstr>STgrowth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2022-11-07T15:41:19Z</dcterms:created>
  <dcterms:modified xsi:type="dcterms:W3CDTF">2026-01-08T12:11:39Z</dcterms:modified>
</cp:coreProperties>
</file>