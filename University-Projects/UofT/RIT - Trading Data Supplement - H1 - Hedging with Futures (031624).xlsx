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msuni-my.sharepoint.com/personal/theodor_hogan_student_uva_nl/Documents/Courses/Exchange/Futures and Options Markets/RIT/"/>
    </mc:Choice>
  </mc:AlternateContent>
  <xr:revisionPtr revIDLastSave="115" documentId="11_D34E9A4C66501B54682F48692C9020A511E2A8E1" xr6:coauthVersionLast="47" xr6:coauthVersionMax="47" xr10:uidLastSave="{E23AEC82-7F1A-43FE-9366-7D4CC90FACA5}"/>
  <bookViews>
    <workbookView xWindow="-98" yWindow="-98" windowWidth="21795" windowHeight="12975" xr2:uid="{00000000-000D-0000-FFFF-FFFF00000000}"/>
  </bookViews>
  <sheets>
    <sheet name="SUMMARY" sheetId="2" r:id="rId1"/>
    <sheet name="Hedging 1 Data Supplement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0" i="2" l="1"/>
  <c r="D29" i="2"/>
  <c r="D28" i="2"/>
  <c r="D27" i="2"/>
  <c r="D23" i="2"/>
  <c r="C3" i="2"/>
  <c r="D15" i="2"/>
  <c r="D12" i="2" a="1"/>
  <c r="D12" i="2" s="1"/>
  <c r="N7" i="2"/>
  <c r="M7" i="2"/>
  <c r="L7" i="2"/>
  <c r="K7" i="2"/>
  <c r="J7" i="2"/>
  <c r="I7" i="2"/>
  <c r="H7" i="2"/>
  <c r="G7" i="2"/>
  <c r="F7" i="2"/>
  <c r="E7" i="2"/>
  <c r="D7" i="2"/>
  <c r="N6" i="2"/>
  <c r="M6" i="2"/>
  <c r="L6" i="2"/>
  <c r="K6" i="2"/>
  <c r="J6" i="2"/>
  <c r="I6" i="2"/>
  <c r="H6" i="2"/>
  <c r="G6" i="2"/>
  <c r="F6" i="2"/>
  <c r="E6" i="2"/>
  <c r="D6" i="2"/>
  <c r="N5" i="2"/>
  <c r="M4" i="2"/>
  <c r="L4" i="2"/>
  <c r="K4" i="2"/>
  <c r="J4" i="2"/>
  <c r="I4" i="2"/>
  <c r="H4" i="2"/>
  <c r="G4" i="2"/>
  <c r="F4" i="2"/>
  <c r="E4" i="2"/>
  <c r="D4" i="2"/>
  <c r="C4" i="2"/>
  <c r="B4" i="2"/>
  <c r="M3" i="2"/>
  <c r="L3" i="2"/>
  <c r="K3" i="2"/>
  <c r="J3" i="2"/>
  <c r="I3" i="2"/>
  <c r="H3" i="2"/>
  <c r="G3" i="2"/>
  <c r="F3" i="2"/>
  <c r="E3" i="2"/>
  <c r="D3" i="2"/>
  <c r="M2" i="2"/>
  <c r="L2" i="2"/>
  <c r="K2" i="2"/>
  <c r="J2" i="2"/>
  <c r="I2" i="2"/>
  <c r="H2" i="2"/>
  <c r="G2" i="2"/>
  <c r="F2" i="2"/>
  <c r="E2" i="2"/>
  <c r="D2" i="2"/>
  <c r="C2" i="2"/>
  <c r="B2" i="2"/>
  <c r="Z301" i="1"/>
  <c r="Y301" i="1"/>
  <c r="X301" i="1"/>
  <c r="W301" i="1"/>
  <c r="V301" i="1"/>
  <c r="U301" i="1"/>
  <c r="T301" i="1"/>
  <c r="S301" i="1"/>
  <c r="R301" i="1"/>
  <c r="Q301" i="1"/>
  <c r="P301" i="1"/>
  <c r="Z300" i="1"/>
  <c r="Y300" i="1"/>
  <c r="X300" i="1"/>
  <c r="W300" i="1"/>
  <c r="V300" i="1"/>
  <c r="U300" i="1"/>
  <c r="T300" i="1"/>
  <c r="S300" i="1"/>
  <c r="R300" i="1"/>
  <c r="Q300" i="1"/>
  <c r="P300" i="1"/>
  <c r="Z299" i="1"/>
  <c r="Y299" i="1"/>
  <c r="X299" i="1"/>
  <c r="W299" i="1"/>
  <c r="V299" i="1"/>
  <c r="U299" i="1"/>
  <c r="T299" i="1"/>
  <c r="S299" i="1"/>
  <c r="R299" i="1"/>
  <c r="Q299" i="1"/>
  <c r="P299" i="1"/>
  <c r="Z298" i="1"/>
  <c r="Y298" i="1"/>
  <c r="X298" i="1"/>
  <c r="W298" i="1"/>
  <c r="V298" i="1"/>
  <c r="U298" i="1"/>
  <c r="T298" i="1"/>
  <c r="S298" i="1"/>
  <c r="R298" i="1"/>
  <c r="Q298" i="1"/>
  <c r="P298" i="1"/>
  <c r="Z297" i="1"/>
  <c r="Y297" i="1"/>
  <c r="X297" i="1"/>
  <c r="W297" i="1"/>
  <c r="V297" i="1"/>
  <c r="U297" i="1"/>
  <c r="T297" i="1"/>
  <c r="S297" i="1"/>
  <c r="R297" i="1"/>
  <c r="Q297" i="1"/>
  <c r="P297" i="1"/>
  <c r="Z296" i="1"/>
  <c r="Y296" i="1"/>
  <c r="X296" i="1"/>
  <c r="W296" i="1"/>
  <c r="V296" i="1"/>
  <c r="U296" i="1"/>
  <c r="T296" i="1"/>
  <c r="S296" i="1"/>
  <c r="R296" i="1"/>
  <c r="Q296" i="1"/>
  <c r="P296" i="1"/>
  <c r="Z295" i="1"/>
  <c r="Y295" i="1"/>
  <c r="X295" i="1"/>
  <c r="W295" i="1"/>
  <c r="V295" i="1"/>
  <c r="U295" i="1"/>
  <c r="T295" i="1"/>
  <c r="S295" i="1"/>
  <c r="R295" i="1"/>
  <c r="Q295" i="1"/>
  <c r="P295" i="1"/>
  <c r="Z294" i="1"/>
  <c r="Y294" i="1"/>
  <c r="X294" i="1"/>
  <c r="W294" i="1"/>
  <c r="V294" i="1"/>
  <c r="U294" i="1"/>
  <c r="T294" i="1"/>
  <c r="S294" i="1"/>
  <c r="R294" i="1"/>
  <c r="Q294" i="1"/>
  <c r="P294" i="1"/>
  <c r="Z293" i="1"/>
  <c r="Y293" i="1"/>
  <c r="X293" i="1"/>
  <c r="W293" i="1"/>
  <c r="V293" i="1"/>
  <c r="U293" i="1"/>
  <c r="T293" i="1"/>
  <c r="S293" i="1"/>
  <c r="R293" i="1"/>
  <c r="Q293" i="1"/>
  <c r="P293" i="1"/>
  <c r="Z292" i="1"/>
  <c r="Y292" i="1"/>
  <c r="X292" i="1"/>
  <c r="W292" i="1"/>
  <c r="V292" i="1"/>
  <c r="U292" i="1"/>
  <c r="T292" i="1"/>
  <c r="S292" i="1"/>
  <c r="R292" i="1"/>
  <c r="Q292" i="1"/>
  <c r="P292" i="1"/>
  <c r="Z291" i="1"/>
  <c r="Y291" i="1"/>
  <c r="X291" i="1"/>
  <c r="W291" i="1"/>
  <c r="V291" i="1"/>
  <c r="U291" i="1"/>
  <c r="T291" i="1"/>
  <c r="S291" i="1"/>
  <c r="R291" i="1"/>
  <c r="Q291" i="1"/>
  <c r="P291" i="1"/>
  <c r="Z290" i="1"/>
  <c r="Y290" i="1"/>
  <c r="X290" i="1"/>
  <c r="W290" i="1"/>
  <c r="V290" i="1"/>
  <c r="U290" i="1"/>
  <c r="T290" i="1"/>
  <c r="S290" i="1"/>
  <c r="R290" i="1"/>
  <c r="Q290" i="1"/>
  <c r="P290" i="1"/>
  <c r="Z289" i="1"/>
  <c r="Y289" i="1"/>
  <c r="X289" i="1"/>
  <c r="W289" i="1"/>
  <c r="V289" i="1"/>
  <c r="U289" i="1"/>
  <c r="T289" i="1"/>
  <c r="S289" i="1"/>
  <c r="R289" i="1"/>
  <c r="Q289" i="1"/>
  <c r="P289" i="1"/>
  <c r="Z288" i="1"/>
  <c r="Y288" i="1"/>
  <c r="X288" i="1"/>
  <c r="W288" i="1"/>
  <c r="V288" i="1"/>
  <c r="U288" i="1"/>
  <c r="T288" i="1"/>
  <c r="S288" i="1"/>
  <c r="R288" i="1"/>
  <c r="Q288" i="1"/>
  <c r="P288" i="1"/>
  <c r="Z287" i="1"/>
  <c r="Y287" i="1"/>
  <c r="X287" i="1"/>
  <c r="W287" i="1"/>
  <c r="V287" i="1"/>
  <c r="U287" i="1"/>
  <c r="T287" i="1"/>
  <c r="S287" i="1"/>
  <c r="R287" i="1"/>
  <c r="Q287" i="1"/>
  <c r="P287" i="1"/>
  <c r="Z286" i="1"/>
  <c r="Y286" i="1"/>
  <c r="X286" i="1"/>
  <c r="W286" i="1"/>
  <c r="V286" i="1"/>
  <c r="U286" i="1"/>
  <c r="T286" i="1"/>
  <c r="S286" i="1"/>
  <c r="R286" i="1"/>
  <c r="Q286" i="1"/>
  <c r="P286" i="1"/>
  <c r="Z285" i="1"/>
  <c r="Y285" i="1"/>
  <c r="X285" i="1"/>
  <c r="W285" i="1"/>
  <c r="V285" i="1"/>
  <c r="U285" i="1"/>
  <c r="T285" i="1"/>
  <c r="S285" i="1"/>
  <c r="R285" i="1"/>
  <c r="Q285" i="1"/>
  <c r="P285" i="1"/>
  <c r="Z284" i="1"/>
  <c r="Y284" i="1"/>
  <c r="X284" i="1"/>
  <c r="W284" i="1"/>
  <c r="V284" i="1"/>
  <c r="U284" i="1"/>
  <c r="T284" i="1"/>
  <c r="S284" i="1"/>
  <c r="R284" i="1"/>
  <c r="Q284" i="1"/>
  <c r="P284" i="1"/>
  <c r="Z283" i="1"/>
  <c r="Y283" i="1"/>
  <c r="X283" i="1"/>
  <c r="W283" i="1"/>
  <c r="V283" i="1"/>
  <c r="U283" i="1"/>
  <c r="T283" i="1"/>
  <c r="S283" i="1"/>
  <c r="R283" i="1"/>
  <c r="Q283" i="1"/>
  <c r="P283" i="1"/>
  <c r="Z282" i="1"/>
  <c r="Y282" i="1"/>
  <c r="X282" i="1"/>
  <c r="W282" i="1"/>
  <c r="V282" i="1"/>
  <c r="U282" i="1"/>
  <c r="T282" i="1"/>
  <c r="S282" i="1"/>
  <c r="R282" i="1"/>
  <c r="Q282" i="1"/>
  <c r="P282" i="1"/>
  <c r="Z281" i="1"/>
  <c r="Y281" i="1"/>
  <c r="X281" i="1"/>
  <c r="W281" i="1"/>
  <c r="V281" i="1"/>
  <c r="U281" i="1"/>
  <c r="T281" i="1"/>
  <c r="S281" i="1"/>
  <c r="R281" i="1"/>
  <c r="Q281" i="1"/>
  <c r="P281" i="1"/>
  <c r="Z280" i="1"/>
  <c r="Y280" i="1"/>
  <c r="X280" i="1"/>
  <c r="W280" i="1"/>
  <c r="V280" i="1"/>
  <c r="U280" i="1"/>
  <c r="T280" i="1"/>
  <c r="S280" i="1"/>
  <c r="R280" i="1"/>
  <c r="Q280" i="1"/>
  <c r="P280" i="1"/>
  <c r="Z279" i="1"/>
  <c r="Y279" i="1"/>
  <c r="X279" i="1"/>
  <c r="W279" i="1"/>
  <c r="V279" i="1"/>
  <c r="U279" i="1"/>
  <c r="T279" i="1"/>
  <c r="S279" i="1"/>
  <c r="R279" i="1"/>
  <c r="Q279" i="1"/>
  <c r="P279" i="1"/>
  <c r="Z278" i="1"/>
  <c r="Y278" i="1"/>
  <c r="X278" i="1"/>
  <c r="W278" i="1"/>
  <c r="V278" i="1"/>
  <c r="U278" i="1"/>
  <c r="T278" i="1"/>
  <c r="S278" i="1"/>
  <c r="R278" i="1"/>
  <c r="Q278" i="1"/>
  <c r="P278" i="1"/>
  <c r="Z277" i="1"/>
  <c r="Y277" i="1"/>
  <c r="X277" i="1"/>
  <c r="W277" i="1"/>
  <c r="V277" i="1"/>
  <c r="U277" i="1"/>
  <c r="T277" i="1"/>
  <c r="S277" i="1"/>
  <c r="R277" i="1"/>
  <c r="Q277" i="1"/>
  <c r="P277" i="1"/>
  <c r="Z276" i="1"/>
  <c r="Y276" i="1"/>
  <c r="X276" i="1"/>
  <c r="W276" i="1"/>
  <c r="V276" i="1"/>
  <c r="U276" i="1"/>
  <c r="T276" i="1"/>
  <c r="S276" i="1"/>
  <c r="R276" i="1"/>
  <c r="Q276" i="1"/>
  <c r="P276" i="1"/>
  <c r="Z275" i="1"/>
  <c r="Y275" i="1"/>
  <c r="X275" i="1"/>
  <c r="W275" i="1"/>
  <c r="V275" i="1"/>
  <c r="U275" i="1"/>
  <c r="T275" i="1"/>
  <c r="S275" i="1"/>
  <c r="R275" i="1"/>
  <c r="Q275" i="1"/>
  <c r="P275" i="1"/>
  <c r="Z274" i="1"/>
  <c r="Y274" i="1"/>
  <c r="X274" i="1"/>
  <c r="W274" i="1"/>
  <c r="V274" i="1"/>
  <c r="U274" i="1"/>
  <c r="T274" i="1"/>
  <c r="S274" i="1"/>
  <c r="R274" i="1"/>
  <c r="Q274" i="1"/>
  <c r="P274" i="1"/>
  <c r="Z273" i="1"/>
  <c r="Y273" i="1"/>
  <c r="X273" i="1"/>
  <c r="W273" i="1"/>
  <c r="V273" i="1"/>
  <c r="U273" i="1"/>
  <c r="T273" i="1"/>
  <c r="S273" i="1"/>
  <c r="R273" i="1"/>
  <c r="Q273" i="1"/>
  <c r="P273" i="1"/>
  <c r="Z272" i="1"/>
  <c r="Y272" i="1"/>
  <c r="X272" i="1"/>
  <c r="W272" i="1"/>
  <c r="V272" i="1"/>
  <c r="U272" i="1"/>
  <c r="T272" i="1"/>
  <c r="S272" i="1"/>
  <c r="R272" i="1"/>
  <c r="Q272" i="1"/>
  <c r="P272" i="1"/>
  <c r="Z271" i="1"/>
  <c r="Y271" i="1"/>
  <c r="X271" i="1"/>
  <c r="W271" i="1"/>
  <c r="V271" i="1"/>
  <c r="U271" i="1"/>
  <c r="T271" i="1"/>
  <c r="S271" i="1"/>
  <c r="R271" i="1"/>
  <c r="Q271" i="1"/>
  <c r="P271" i="1"/>
  <c r="Z270" i="1"/>
  <c r="Y270" i="1"/>
  <c r="X270" i="1"/>
  <c r="W270" i="1"/>
  <c r="V270" i="1"/>
  <c r="U270" i="1"/>
  <c r="T270" i="1"/>
  <c r="S270" i="1"/>
  <c r="R270" i="1"/>
  <c r="Q270" i="1"/>
  <c r="P270" i="1"/>
  <c r="Z269" i="1"/>
  <c r="Y269" i="1"/>
  <c r="X269" i="1"/>
  <c r="W269" i="1"/>
  <c r="V269" i="1"/>
  <c r="U269" i="1"/>
  <c r="T269" i="1"/>
  <c r="S269" i="1"/>
  <c r="R269" i="1"/>
  <c r="Q269" i="1"/>
  <c r="P269" i="1"/>
  <c r="Z268" i="1"/>
  <c r="Y268" i="1"/>
  <c r="X268" i="1"/>
  <c r="W268" i="1"/>
  <c r="V268" i="1"/>
  <c r="U268" i="1"/>
  <c r="T268" i="1"/>
  <c r="S268" i="1"/>
  <c r="R268" i="1"/>
  <c r="Q268" i="1"/>
  <c r="P268" i="1"/>
  <c r="Z267" i="1"/>
  <c r="Y267" i="1"/>
  <c r="X267" i="1"/>
  <c r="W267" i="1"/>
  <c r="V267" i="1"/>
  <c r="U267" i="1"/>
  <c r="T267" i="1"/>
  <c r="S267" i="1"/>
  <c r="R267" i="1"/>
  <c r="Q267" i="1"/>
  <c r="P267" i="1"/>
  <c r="Z266" i="1"/>
  <c r="Y266" i="1"/>
  <c r="X266" i="1"/>
  <c r="W266" i="1"/>
  <c r="V266" i="1"/>
  <c r="U266" i="1"/>
  <c r="T266" i="1"/>
  <c r="S266" i="1"/>
  <c r="R266" i="1"/>
  <c r="Q266" i="1"/>
  <c r="P266" i="1"/>
  <c r="Z265" i="1"/>
  <c r="Y265" i="1"/>
  <c r="X265" i="1"/>
  <c r="W265" i="1"/>
  <c r="V265" i="1"/>
  <c r="U265" i="1"/>
  <c r="T265" i="1"/>
  <c r="S265" i="1"/>
  <c r="R265" i="1"/>
  <c r="Q265" i="1"/>
  <c r="P265" i="1"/>
  <c r="Z264" i="1"/>
  <c r="Y264" i="1"/>
  <c r="X264" i="1"/>
  <c r="W264" i="1"/>
  <c r="V264" i="1"/>
  <c r="U264" i="1"/>
  <c r="T264" i="1"/>
  <c r="S264" i="1"/>
  <c r="R264" i="1"/>
  <c r="Q264" i="1"/>
  <c r="P264" i="1"/>
  <c r="Z263" i="1"/>
  <c r="Y263" i="1"/>
  <c r="X263" i="1"/>
  <c r="W263" i="1"/>
  <c r="V263" i="1"/>
  <c r="U263" i="1"/>
  <c r="T263" i="1"/>
  <c r="S263" i="1"/>
  <c r="R263" i="1"/>
  <c r="Q263" i="1"/>
  <c r="P263" i="1"/>
  <c r="Z262" i="1"/>
  <c r="Y262" i="1"/>
  <c r="X262" i="1"/>
  <c r="W262" i="1"/>
  <c r="V262" i="1"/>
  <c r="U262" i="1"/>
  <c r="T262" i="1"/>
  <c r="S262" i="1"/>
  <c r="R262" i="1"/>
  <c r="Q262" i="1"/>
  <c r="P262" i="1"/>
  <c r="Z261" i="1"/>
  <c r="Y261" i="1"/>
  <c r="X261" i="1"/>
  <c r="W261" i="1"/>
  <c r="V261" i="1"/>
  <c r="U261" i="1"/>
  <c r="T261" i="1"/>
  <c r="S261" i="1"/>
  <c r="R261" i="1"/>
  <c r="Q261" i="1"/>
  <c r="P261" i="1"/>
  <c r="Z260" i="1"/>
  <c r="Y260" i="1"/>
  <c r="X260" i="1"/>
  <c r="W260" i="1"/>
  <c r="V260" i="1"/>
  <c r="U260" i="1"/>
  <c r="T260" i="1"/>
  <c r="S260" i="1"/>
  <c r="R260" i="1"/>
  <c r="Q260" i="1"/>
  <c r="P260" i="1"/>
  <c r="Z259" i="1"/>
  <c r="Y259" i="1"/>
  <c r="X259" i="1"/>
  <c r="W259" i="1"/>
  <c r="V259" i="1"/>
  <c r="U259" i="1"/>
  <c r="T259" i="1"/>
  <c r="S259" i="1"/>
  <c r="R259" i="1"/>
  <c r="Q259" i="1"/>
  <c r="P259" i="1"/>
  <c r="Z258" i="1"/>
  <c r="Y258" i="1"/>
  <c r="X258" i="1"/>
  <c r="W258" i="1"/>
  <c r="V258" i="1"/>
  <c r="U258" i="1"/>
  <c r="T258" i="1"/>
  <c r="S258" i="1"/>
  <c r="R258" i="1"/>
  <c r="Q258" i="1"/>
  <c r="P258" i="1"/>
  <c r="Z257" i="1"/>
  <c r="Y257" i="1"/>
  <c r="X257" i="1"/>
  <c r="W257" i="1"/>
  <c r="V257" i="1"/>
  <c r="U257" i="1"/>
  <c r="T257" i="1"/>
  <c r="S257" i="1"/>
  <c r="R257" i="1"/>
  <c r="Q257" i="1"/>
  <c r="P257" i="1"/>
  <c r="Z256" i="1"/>
  <c r="Y256" i="1"/>
  <c r="X256" i="1"/>
  <c r="W256" i="1"/>
  <c r="V256" i="1"/>
  <c r="U256" i="1"/>
  <c r="T256" i="1"/>
  <c r="S256" i="1"/>
  <c r="R256" i="1"/>
  <c r="Q256" i="1"/>
  <c r="P256" i="1"/>
  <c r="Z255" i="1"/>
  <c r="Y255" i="1"/>
  <c r="X255" i="1"/>
  <c r="W255" i="1"/>
  <c r="V255" i="1"/>
  <c r="U255" i="1"/>
  <c r="T255" i="1"/>
  <c r="S255" i="1"/>
  <c r="R255" i="1"/>
  <c r="Q255" i="1"/>
  <c r="P255" i="1"/>
  <c r="Z254" i="1"/>
  <c r="Y254" i="1"/>
  <c r="X254" i="1"/>
  <c r="W254" i="1"/>
  <c r="V254" i="1"/>
  <c r="U254" i="1"/>
  <c r="T254" i="1"/>
  <c r="S254" i="1"/>
  <c r="R254" i="1"/>
  <c r="Q254" i="1"/>
  <c r="P254" i="1"/>
  <c r="Z253" i="1"/>
  <c r="Y253" i="1"/>
  <c r="X253" i="1"/>
  <c r="W253" i="1"/>
  <c r="V253" i="1"/>
  <c r="U253" i="1"/>
  <c r="T253" i="1"/>
  <c r="S253" i="1"/>
  <c r="R253" i="1"/>
  <c r="Q253" i="1"/>
  <c r="P253" i="1"/>
  <c r="Z252" i="1"/>
  <c r="Y252" i="1"/>
  <c r="X252" i="1"/>
  <c r="W252" i="1"/>
  <c r="V252" i="1"/>
  <c r="U252" i="1"/>
  <c r="T252" i="1"/>
  <c r="S252" i="1"/>
  <c r="R252" i="1"/>
  <c r="Q252" i="1"/>
  <c r="P252" i="1"/>
  <c r="Z251" i="1"/>
  <c r="Y251" i="1"/>
  <c r="X251" i="1"/>
  <c r="W251" i="1"/>
  <c r="V251" i="1"/>
  <c r="U251" i="1"/>
  <c r="T251" i="1"/>
  <c r="S251" i="1"/>
  <c r="R251" i="1"/>
  <c r="Q251" i="1"/>
  <c r="P251" i="1"/>
  <c r="Z250" i="1"/>
  <c r="Y250" i="1"/>
  <c r="X250" i="1"/>
  <c r="W250" i="1"/>
  <c r="V250" i="1"/>
  <c r="U250" i="1"/>
  <c r="T250" i="1"/>
  <c r="S250" i="1"/>
  <c r="R250" i="1"/>
  <c r="Q250" i="1"/>
  <c r="P250" i="1"/>
  <c r="Z249" i="1"/>
  <c r="Y249" i="1"/>
  <c r="X249" i="1"/>
  <c r="W249" i="1"/>
  <c r="V249" i="1"/>
  <c r="U249" i="1"/>
  <c r="T249" i="1"/>
  <c r="S249" i="1"/>
  <c r="R249" i="1"/>
  <c r="Q249" i="1"/>
  <c r="P249" i="1"/>
  <c r="Z248" i="1"/>
  <c r="Y248" i="1"/>
  <c r="X248" i="1"/>
  <c r="W248" i="1"/>
  <c r="V248" i="1"/>
  <c r="U248" i="1"/>
  <c r="T248" i="1"/>
  <c r="S248" i="1"/>
  <c r="R248" i="1"/>
  <c r="Q248" i="1"/>
  <c r="P248" i="1"/>
  <c r="Z247" i="1"/>
  <c r="Y247" i="1"/>
  <c r="X247" i="1"/>
  <c r="W247" i="1"/>
  <c r="V247" i="1"/>
  <c r="U247" i="1"/>
  <c r="T247" i="1"/>
  <c r="S247" i="1"/>
  <c r="R247" i="1"/>
  <c r="Q247" i="1"/>
  <c r="P247" i="1"/>
  <c r="Z246" i="1"/>
  <c r="Y246" i="1"/>
  <c r="X246" i="1"/>
  <c r="W246" i="1"/>
  <c r="V246" i="1"/>
  <c r="U246" i="1"/>
  <c r="T246" i="1"/>
  <c r="S246" i="1"/>
  <c r="R246" i="1"/>
  <c r="Q246" i="1"/>
  <c r="P246" i="1"/>
  <c r="Z245" i="1"/>
  <c r="Y245" i="1"/>
  <c r="X245" i="1"/>
  <c r="W245" i="1"/>
  <c r="V245" i="1"/>
  <c r="U245" i="1"/>
  <c r="T245" i="1"/>
  <c r="S245" i="1"/>
  <c r="R245" i="1"/>
  <c r="Q245" i="1"/>
  <c r="P245" i="1"/>
  <c r="Z244" i="1"/>
  <c r="Y244" i="1"/>
  <c r="X244" i="1"/>
  <c r="W244" i="1"/>
  <c r="V244" i="1"/>
  <c r="U244" i="1"/>
  <c r="T244" i="1"/>
  <c r="S244" i="1"/>
  <c r="R244" i="1"/>
  <c r="Q244" i="1"/>
  <c r="P244" i="1"/>
  <c r="Z243" i="1"/>
  <c r="Y243" i="1"/>
  <c r="X243" i="1"/>
  <c r="W243" i="1"/>
  <c r="V243" i="1"/>
  <c r="U243" i="1"/>
  <c r="T243" i="1"/>
  <c r="S243" i="1"/>
  <c r="R243" i="1"/>
  <c r="Q243" i="1"/>
  <c r="P243" i="1"/>
  <c r="Z242" i="1"/>
  <c r="Y242" i="1"/>
  <c r="X242" i="1"/>
  <c r="W242" i="1"/>
  <c r="V242" i="1"/>
  <c r="U242" i="1"/>
  <c r="T242" i="1"/>
  <c r="S242" i="1"/>
  <c r="R242" i="1"/>
  <c r="Q242" i="1"/>
  <c r="P242" i="1"/>
  <c r="Z241" i="1"/>
  <c r="Y241" i="1"/>
  <c r="X241" i="1"/>
  <c r="W241" i="1"/>
  <c r="V241" i="1"/>
  <c r="U241" i="1"/>
  <c r="T241" i="1"/>
  <c r="S241" i="1"/>
  <c r="R241" i="1"/>
  <c r="Q241" i="1"/>
  <c r="P241" i="1"/>
  <c r="Z240" i="1"/>
  <c r="Y240" i="1"/>
  <c r="X240" i="1"/>
  <c r="W240" i="1"/>
  <c r="V240" i="1"/>
  <c r="U240" i="1"/>
  <c r="T240" i="1"/>
  <c r="S240" i="1"/>
  <c r="R240" i="1"/>
  <c r="Q240" i="1"/>
  <c r="P240" i="1"/>
  <c r="Z239" i="1"/>
  <c r="Y239" i="1"/>
  <c r="X239" i="1"/>
  <c r="W239" i="1"/>
  <c r="V239" i="1"/>
  <c r="U239" i="1"/>
  <c r="T239" i="1"/>
  <c r="S239" i="1"/>
  <c r="R239" i="1"/>
  <c r="Q239" i="1"/>
  <c r="P239" i="1"/>
  <c r="Z238" i="1"/>
  <c r="Y238" i="1"/>
  <c r="X238" i="1"/>
  <c r="W238" i="1"/>
  <c r="V238" i="1"/>
  <c r="U238" i="1"/>
  <c r="T238" i="1"/>
  <c r="S238" i="1"/>
  <c r="R238" i="1"/>
  <c r="Q238" i="1"/>
  <c r="P238" i="1"/>
  <c r="Z237" i="1"/>
  <c r="Y237" i="1"/>
  <c r="X237" i="1"/>
  <c r="W237" i="1"/>
  <c r="V237" i="1"/>
  <c r="U237" i="1"/>
  <c r="T237" i="1"/>
  <c r="S237" i="1"/>
  <c r="R237" i="1"/>
  <c r="Q237" i="1"/>
  <c r="P237" i="1"/>
  <c r="Z236" i="1"/>
  <c r="Y236" i="1"/>
  <c r="X236" i="1"/>
  <c r="W236" i="1"/>
  <c r="V236" i="1"/>
  <c r="U236" i="1"/>
  <c r="T236" i="1"/>
  <c r="S236" i="1"/>
  <c r="R236" i="1"/>
  <c r="Q236" i="1"/>
  <c r="P236" i="1"/>
  <c r="Z235" i="1"/>
  <c r="Y235" i="1"/>
  <c r="X235" i="1"/>
  <c r="W235" i="1"/>
  <c r="V235" i="1"/>
  <c r="U235" i="1"/>
  <c r="T235" i="1"/>
  <c r="S235" i="1"/>
  <c r="R235" i="1"/>
  <c r="Q235" i="1"/>
  <c r="P235" i="1"/>
  <c r="Z234" i="1"/>
  <c r="Y234" i="1"/>
  <c r="X234" i="1"/>
  <c r="W234" i="1"/>
  <c r="V234" i="1"/>
  <c r="U234" i="1"/>
  <c r="T234" i="1"/>
  <c r="S234" i="1"/>
  <c r="R234" i="1"/>
  <c r="Q234" i="1"/>
  <c r="P234" i="1"/>
  <c r="Z233" i="1"/>
  <c r="Y233" i="1"/>
  <c r="X233" i="1"/>
  <c r="W233" i="1"/>
  <c r="V233" i="1"/>
  <c r="U233" i="1"/>
  <c r="T233" i="1"/>
  <c r="S233" i="1"/>
  <c r="R233" i="1"/>
  <c r="Q233" i="1"/>
  <c r="P233" i="1"/>
  <c r="Z232" i="1"/>
  <c r="Y232" i="1"/>
  <c r="X232" i="1"/>
  <c r="W232" i="1"/>
  <c r="V232" i="1"/>
  <c r="U232" i="1"/>
  <c r="T232" i="1"/>
  <c r="S232" i="1"/>
  <c r="R232" i="1"/>
  <c r="Q232" i="1"/>
  <c r="P232" i="1"/>
  <c r="Z231" i="1"/>
  <c r="Y231" i="1"/>
  <c r="X231" i="1"/>
  <c r="W231" i="1"/>
  <c r="V231" i="1"/>
  <c r="U231" i="1"/>
  <c r="T231" i="1"/>
  <c r="S231" i="1"/>
  <c r="R231" i="1"/>
  <c r="Q231" i="1"/>
  <c r="P231" i="1"/>
  <c r="Z230" i="1"/>
  <c r="Y230" i="1"/>
  <c r="X230" i="1"/>
  <c r="W230" i="1"/>
  <c r="V230" i="1"/>
  <c r="U230" i="1"/>
  <c r="T230" i="1"/>
  <c r="S230" i="1"/>
  <c r="R230" i="1"/>
  <c r="Q230" i="1"/>
  <c r="P230" i="1"/>
  <c r="Z229" i="1"/>
  <c r="Y229" i="1"/>
  <c r="X229" i="1"/>
  <c r="W229" i="1"/>
  <c r="V229" i="1"/>
  <c r="U229" i="1"/>
  <c r="T229" i="1"/>
  <c r="S229" i="1"/>
  <c r="R229" i="1"/>
  <c r="Q229" i="1"/>
  <c r="P229" i="1"/>
  <c r="Z228" i="1"/>
  <c r="Y228" i="1"/>
  <c r="X228" i="1"/>
  <c r="W228" i="1"/>
  <c r="V228" i="1"/>
  <c r="U228" i="1"/>
  <c r="T228" i="1"/>
  <c r="S228" i="1"/>
  <c r="R228" i="1"/>
  <c r="Q228" i="1"/>
  <c r="P228" i="1"/>
  <c r="Z227" i="1"/>
  <c r="Y227" i="1"/>
  <c r="X227" i="1"/>
  <c r="W227" i="1"/>
  <c r="V227" i="1"/>
  <c r="U227" i="1"/>
  <c r="T227" i="1"/>
  <c r="S227" i="1"/>
  <c r="R227" i="1"/>
  <c r="Q227" i="1"/>
  <c r="P227" i="1"/>
  <c r="Z226" i="1"/>
  <c r="Y226" i="1"/>
  <c r="X226" i="1"/>
  <c r="W226" i="1"/>
  <c r="V226" i="1"/>
  <c r="U226" i="1"/>
  <c r="T226" i="1"/>
  <c r="S226" i="1"/>
  <c r="R226" i="1"/>
  <c r="Q226" i="1"/>
  <c r="P226" i="1"/>
  <c r="Z225" i="1"/>
  <c r="Y225" i="1"/>
  <c r="X225" i="1"/>
  <c r="W225" i="1"/>
  <c r="V225" i="1"/>
  <c r="U225" i="1"/>
  <c r="T225" i="1"/>
  <c r="S225" i="1"/>
  <c r="R225" i="1"/>
  <c r="Q225" i="1"/>
  <c r="P225" i="1"/>
  <c r="Z224" i="1"/>
  <c r="Y224" i="1"/>
  <c r="X224" i="1"/>
  <c r="W224" i="1"/>
  <c r="V224" i="1"/>
  <c r="U224" i="1"/>
  <c r="T224" i="1"/>
  <c r="S224" i="1"/>
  <c r="R224" i="1"/>
  <c r="Q224" i="1"/>
  <c r="P224" i="1"/>
  <c r="Z223" i="1"/>
  <c r="Y223" i="1"/>
  <c r="X223" i="1"/>
  <c r="W223" i="1"/>
  <c r="V223" i="1"/>
  <c r="U223" i="1"/>
  <c r="T223" i="1"/>
  <c r="S223" i="1"/>
  <c r="R223" i="1"/>
  <c r="Q223" i="1"/>
  <c r="P223" i="1"/>
  <c r="Z222" i="1"/>
  <c r="Y222" i="1"/>
  <c r="X222" i="1"/>
  <c r="W222" i="1"/>
  <c r="V222" i="1"/>
  <c r="U222" i="1"/>
  <c r="T222" i="1"/>
  <c r="S222" i="1"/>
  <c r="R222" i="1"/>
  <c r="Q222" i="1"/>
  <c r="P222" i="1"/>
  <c r="Z221" i="1"/>
  <c r="Y221" i="1"/>
  <c r="X221" i="1"/>
  <c r="W221" i="1"/>
  <c r="V221" i="1"/>
  <c r="U221" i="1"/>
  <c r="T221" i="1"/>
  <c r="S221" i="1"/>
  <c r="R221" i="1"/>
  <c r="Q221" i="1"/>
  <c r="P221" i="1"/>
  <c r="Z220" i="1"/>
  <c r="Y220" i="1"/>
  <c r="X220" i="1"/>
  <c r="W220" i="1"/>
  <c r="V220" i="1"/>
  <c r="U220" i="1"/>
  <c r="T220" i="1"/>
  <c r="S220" i="1"/>
  <c r="R220" i="1"/>
  <c r="Q220" i="1"/>
  <c r="P220" i="1"/>
  <c r="Z219" i="1"/>
  <c r="Y219" i="1"/>
  <c r="X219" i="1"/>
  <c r="W219" i="1"/>
  <c r="V219" i="1"/>
  <c r="U219" i="1"/>
  <c r="T219" i="1"/>
  <c r="S219" i="1"/>
  <c r="R219" i="1"/>
  <c r="Q219" i="1"/>
  <c r="P219" i="1"/>
  <c r="Z218" i="1"/>
  <c r="Y218" i="1"/>
  <c r="X218" i="1"/>
  <c r="W218" i="1"/>
  <c r="V218" i="1"/>
  <c r="U218" i="1"/>
  <c r="T218" i="1"/>
  <c r="S218" i="1"/>
  <c r="R218" i="1"/>
  <c r="Q218" i="1"/>
  <c r="P218" i="1"/>
  <c r="Z217" i="1"/>
  <c r="Y217" i="1"/>
  <c r="X217" i="1"/>
  <c r="W217" i="1"/>
  <c r="V217" i="1"/>
  <c r="U217" i="1"/>
  <c r="T217" i="1"/>
  <c r="S217" i="1"/>
  <c r="R217" i="1"/>
  <c r="Q217" i="1"/>
  <c r="P217" i="1"/>
  <c r="Z216" i="1"/>
  <c r="Y216" i="1"/>
  <c r="X216" i="1"/>
  <c r="W216" i="1"/>
  <c r="V216" i="1"/>
  <c r="U216" i="1"/>
  <c r="T216" i="1"/>
  <c r="S216" i="1"/>
  <c r="R216" i="1"/>
  <c r="Q216" i="1"/>
  <c r="P216" i="1"/>
  <c r="Z215" i="1"/>
  <c r="Y215" i="1"/>
  <c r="X215" i="1"/>
  <c r="W215" i="1"/>
  <c r="V215" i="1"/>
  <c r="U215" i="1"/>
  <c r="T215" i="1"/>
  <c r="S215" i="1"/>
  <c r="R215" i="1"/>
  <c r="Q215" i="1"/>
  <c r="P215" i="1"/>
  <c r="Z214" i="1"/>
  <c r="Y214" i="1"/>
  <c r="X214" i="1"/>
  <c r="W214" i="1"/>
  <c r="V214" i="1"/>
  <c r="U214" i="1"/>
  <c r="T214" i="1"/>
  <c r="S214" i="1"/>
  <c r="R214" i="1"/>
  <c r="Q214" i="1"/>
  <c r="P214" i="1"/>
  <c r="Z213" i="1"/>
  <c r="Y213" i="1"/>
  <c r="X213" i="1"/>
  <c r="W213" i="1"/>
  <c r="V213" i="1"/>
  <c r="U213" i="1"/>
  <c r="T213" i="1"/>
  <c r="S213" i="1"/>
  <c r="R213" i="1"/>
  <c r="Q213" i="1"/>
  <c r="P213" i="1"/>
  <c r="Z212" i="1"/>
  <c r="Y212" i="1"/>
  <c r="X212" i="1"/>
  <c r="W212" i="1"/>
  <c r="V212" i="1"/>
  <c r="U212" i="1"/>
  <c r="T212" i="1"/>
  <c r="S212" i="1"/>
  <c r="R212" i="1"/>
  <c r="Q212" i="1"/>
  <c r="P212" i="1"/>
  <c r="Z211" i="1"/>
  <c r="Y211" i="1"/>
  <c r="X211" i="1"/>
  <c r="W211" i="1"/>
  <c r="V211" i="1"/>
  <c r="U211" i="1"/>
  <c r="T211" i="1"/>
  <c r="S211" i="1"/>
  <c r="R211" i="1"/>
  <c r="Q211" i="1"/>
  <c r="P211" i="1"/>
  <c r="Z210" i="1"/>
  <c r="Y210" i="1"/>
  <c r="X210" i="1"/>
  <c r="W210" i="1"/>
  <c r="V210" i="1"/>
  <c r="U210" i="1"/>
  <c r="T210" i="1"/>
  <c r="S210" i="1"/>
  <c r="R210" i="1"/>
  <c r="Q210" i="1"/>
  <c r="P210" i="1"/>
  <c r="Z209" i="1"/>
  <c r="Y209" i="1"/>
  <c r="X209" i="1"/>
  <c r="W209" i="1"/>
  <c r="V209" i="1"/>
  <c r="U209" i="1"/>
  <c r="T209" i="1"/>
  <c r="S209" i="1"/>
  <c r="R209" i="1"/>
  <c r="Q209" i="1"/>
  <c r="P209" i="1"/>
  <c r="Z208" i="1"/>
  <c r="Y208" i="1"/>
  <c r="X208" i="1"/>
  <c r="W208" i="1"/>
  <c r="V208" i="1"/>
  <c r="U208" i="1"/>
  <c r="T208" i="1"/>
  <c r="S208" i="1"/>
  <c r="R208" i="1"/>
  <c r="Q208" i="1"/>
  <c r="P208" i="1"/>
  <c r="Z207" i="1"/>
  <c r="Y207" i="1"/>
  <c r="X207" i="1"/>
  <c r="W207" i="1"/>
  <c r="V207" i="1"/>
  <c r="U207" i="1"/>
  <c r="T207" i="1"/>
  <c r="S207" i="1"/>
  <c r="R207" i="1"/>
  <c r="Q207" i="1"/>
  <c r="P207" i="1"/>
  <c r="Z206" i="1"/>
  <c r="Y206" i="1"/>
  <c r="X206" i="1"/>
  <c r="W206" i="1"/>
  <c r="V206" i="1"/>
  <c r="U206" i="1"/>
  <c r="T206" i="1"/>
  <c r="S206" i="1"/>
  <c r="R206" i="1"/>
  <c r="Q206" i="1"/>
  <c r="P206" i="1"/>
  <c r="Z205" i="1"/>
  <c r="Y205" i="1"/>
  <c r="X205" i="1"/>
  <c r="W205" i="1"/>
  <c r="V205" i="1"/>
  <c r="U205" i="1"/>
  <c r="T205" i="1"/>
  <c r="S205" i="1"/>
  <c r="R205" i="1"/>
  <c r="Q205" i="1"/>
  <c r="P205" i="1"/>
  <c r="Z204" i="1"/>
  <c r="Y204" i="1"/>
  <c r="X204" i="1"/>
  <c r="W204" i="1"/>
  <c r="V204" i="1"/>
  <c r="U204" i="1"/>
  <c r="T204" i="1"/>
  <c r="S204" i="1"/>
  <c r="R204" i="1"/>
  <c r="Q204" i="1"/>
  <c r="P204" i="1"/>
  <c r="Z203" i="1"/>
  <c r="Y203" i="1"/>
  <c r="X203" i="1"/>
  <c r="W203" i="1"/>
  <c r="V203" i="1"/>
  <c r="U203" i="1"/>
  <c r="T203" i="1"/>
  <c r="S203" i="1"/>
  <c r="R203" i="1"/>
  <c r="Q203" i="1"/>
  <c r="P203" i="1"/>
  <c r="Z202" i="1"/>
  <c r="Y202" i="1"/>
  <c r="X202" i="1"/>
  <c r="W202" i="1"/>
  <c r="V202" i="1"/>
  <c r="U202" i="1"/>
  <c r="T202" i="1"/>
  <c r="S202" i="1"/>
  <c r="R202" i="1"/>
  <c r="Q202" i="1"/>
  <c r="P202" i="1"/>
  <c r="Z201" i="1"/>
  <c r="Y201" i="1"/>
  <c r="X201" i="1"/>
  <c r="W201" i="1"/>
  <c r="V201" i="1"/>
  <c r="U201" i="1"/>
  <c r="T201" i="1"/>
  <c r="S201" i="1"/>
  <c r="R201" i="1"/>
  <c r="Q201" i="1"/>
  <c r="P201" i="1"/>
  <c r="Z200" i="1"/>
  <c r="Y200" i="1"/>
  <c r="X200" i="1"/>
  <c r="W200" i="1"/>
  <c r="V200" i="1"/>
  <c r="U200" i="1"/>
  <c r="T200" i="1"/>
  <c r="S200" i="1"/>
  <c r="R200" i="1"/>
  <c r="Q200" i="1"/>
  <c r="P200" i="1"/>
  <c r="Z199" i="1"/>
  <c r="Y199" i="1"/>
  <c r="X199" i="1"/>
  <c r="W199" i="1"/>
  <c r="V199" i="1"/>
  <c r="U199" i="1"/>
  <c r="T199" i="1"/>
  <c r="S199" i="1"/>
  <c r="R199" i="1"/>
  <c r="Q199" i="1"/>
  <c r="P199" i="1"/>
  <c r="Z198" i="1"/>
  <c r="Y198" i="1"/>
  <c r="X198" i="1"/>
  <c r="W198" i="1"/>
  <c r="V198" i="1"/>
  <c r="U198" i="1"/>
  <c r="T198" i="1"/>
  <c r="S198" i="1"/>
  <c r="R198" i="1"/>
  <c r="Q198" i="1"/>
  <c r="P198" i="1"/>
  <c r="Z197" i="1"/>
  <c r="Y197" i="1"/>
  <c r="X197" i="1"/>
  <c r="W197" i="1"/>
  <c r="V197" i="1"/>
  <c r="U197" i="1"/>
  <c r="T197" i="1"/>
  <c r="S197" i="1"/>
  <c r="R197" i="1"/>
  <c r="Q197" i="1"/>
  <c r="P197" i="1"/>
  <c r="Z196" i="1"/>
  <c r="Y196" i="1"/>
  <c r="X196" i="1"/>
  <c r="W196" i="1"/>
  <c r="V196" i="1"/>
  <c r="U196" i="1"/>
  <c r="T196" i="1"/>
  <c r="S196" i="1"/>
  <c r="R196" i="1"/>
  <c r="Q196" i="1"/>
  <c r="P196" i="1"/>
  <c r="Z195" i="1"/>
  <c r="Y195" i="1"/>
  <c r="X195" i="1"/>
  <c r="W195" i="1"/>
  <c r="V195" i="1"/>
  <c r="U195" i="1"/>
  <c r="T195" i="1"/>
  <c r="S195" i="1"/>
  <c r="R195" i="1"/>
  <c r="Q195" i="1"/>
  <c r="P195" i="1"/>
  <c r="Z194" i="1"/>
  <c r="Y194" i="1"/>
  <c r="X194" i="1"/>
  <c r="W194" i="1"/>
  <c r="V194" i="1"/>
  <c r="U194" i="1"/>
  <c r="T194" i="1"/>
  <c r="S194" i="1"/>
  <c r="R194" i="1"/>
  <c r="Q194" i="1"/>
  <c r="P194" i="1"/>
  <c r="Z193" i="1"/>
  <c r="Y193" i="1"/>
  <c r="X193" i="1"/>
  <c r="W193" i="1"/>
  <c r="V193" i="1"/>
  <c r="U193" i="1"/>
  <c r="T193" i="1"/>
  <c r="S193" i="1"/>
  <c r="R193" i="1"/>
  <c r="Q193" i="1"/>
  <c r="P193" i="1"/>
  <c r="Z192" i="1"/>
  <c r="Y192" i="1"/>
  <c r="X192" i="1"/>
  <c r="W192" i="1"/>
  <c r="V192" i="1"/>
  <c r="U192" i="1"/>
  <c r="T192" i="1"/>
  <c r="S192" i="1"/>
  <c r="R192" i="1"/>
  <c r="Q192" i="1"/>
  <c r="P192" i="1"/>
  <c r="Z191" i="1"/>
  <c r="Y191" i="1"/>
  <c r="X191" i="1"/>
  <c r="W191" i="1"/>
  <c r="V191" i="1"/>
  <c r="U191" i="1"/>
  <c r="T191" i="1"/>
  <c r="S191" i="1"/>
  <c r="R191" i="1"/>
  <c r="Q191" i="1"/>
  <c r="P191" i="1"/>
  <c r="Z190" i="1"/>
  <c r="Y190" i="1"/>
  <c r="X190" i="1"/>
  <c r="W190" i="1"/>
  <c r="V190" i="1"/>
  <c r="U190" i="1"/>
  <c r="T190" i="1"/>
  <c r="S190" i="1"/>
  <c r="R190" i="1"/>
  <c r="Q190" i="1"/>
  <c r="P190" i="1"/>
  <c r="Z189" i="1"/>
  <c r="Y189" i="1"/>
  <c r="X189" i="1"/>
  <c r="W189" i="1"/>
  <c r="V189" i="1"/>
  <c r="U189" i="1"/>
  <c r="T189" i="1"/>
  <c r="S189" i="1"/>
  <c r="R189" i="1"/>
  <c r="Q189" i="1"/>
  <c r="P189" i="1"/>
  <c r="Z188" i="1"/>
  <c r="Y188" i="1"/>
  <c r="X188" i="1"/>
  <c r="W188" i="1"/>
  <c r="V188" i="1"/>
  <c r="U188" i="1"/>
  <c r="T188" i="1"/>
  <c r="S188" i="1"/>
  <c r="R188" i="1"/>
  <c r="Q188" i="1"/>
  <c r="P188" i="1"/>
  <c r="Z187" i="1"/>
  <c r="Y187" i="1"/>
  <c r="X187" i="1"/>
  <c r="W187" i="1"/>
  <c r="V187" i="1"/>
  <c r="U187" i="1"/>
  <c r="T187" i="1"/>
  <c r="S187" i="1"/>
  <c r="R187" i="1"/>
  <c r="Q187" i="1"/>
  <c r="P187" i="1"/>
  <c r="Z186" i="1"/>
  <c r="Y186" i="1"/>
  <c r="X186" i="1"/>
  <c r="W186" i="1"/>
  <c r="V186" i="1"/>
  <c r="U186" i="1"/>
  <c r="T186" i="1"/>
  <c r="S186" i="1"/>
  <c r="R186" i="1"/>
  <c r="Q186" i="1"/>
  <c r="P186" i="1"/>
  <c r="Z185" i="1"/>
  <c r="Y185" i="1"/>
  <c r="X185" i="1"/>
  <c r="W185" i="1"/>
  <c r="V185" i="1"/>
  <c r="U185" i="1"/>
  <c r="T185" i="1"/>
  <c r="S185" i="1"/>
  <c r="R185" i="1"/>
  <c r="Q185" i="1"/>
  <c r="P185" i="1"/>
  <c r="Z184" i="1"/>
  <c r="Y184" i="1"/>
  <c r="X184" i="1"/>
  <c r="W184" i="1"/>
  <c r="V184" i="1"/>
  <c r="U184" i="1"/>
  <c r="T184" i="1"/>
  <c r="S184" i="1"/>
  <c r="R184" i="1"/>
  <c r="Q184" i="1"/>
  <c r="P184" i="1"/>
  <c r="Z183" i="1"/>
  <c r="Y183" i="1"/>
  <c r="X183" i="1"/>
  <c r="W183" i="1"/>
  <c r="V183" i="1"/>
  <c r="U183" i="1"/>
  <c r="T183" i="1"/>
  <c r="S183" i="1"/>
  <c r="R183" i="1"/>
  <c r="Q183" i="1"/>
  <c r="P183" i="1"/>
  <c r="Z182" i="1"/>
  <c r="Y182" i="1"/>
  <c r="X182" i="1"/>
  <c r="W182" i="1"/>
  <c r="V182" i="1"/>
  <c r="U182" i="1"/>
  <c r="T182" i="1"/>
  <c r="S182" i="1"/>
  <c r="R182" i="1"/>
  <c r="Q182" i="1"/>
  <c r="P182" i="1"/>
  <c r="Z181" i="1"/>
  <c r="Y181" i="1"/>
  <c r="X181" i="1"/>
  <c r="W181" i="1"/>
  <c r="V181" i="1"/>
  <c r="U181" i="1"/>
  <c r="T181" i="1"/>
  <c r="S181" i="1"/>
  <c r="R181" i="1"/>
  <c r="Q181" i="1"/>
  <c r="P181" i="1"/>
  <c r="Z180" i="1"/>
  <c r="Y180" i="1"/>
  <c r="X180" i="1"/>
  <c r="W180" i="1"/>
  <c r="V180" i="1"/>
  <c r="U180" i="1"/>
  <c r="T180" i="1"/>
  <c r="S180" i="1"/>
  <c r="R180" i="1"/>
  <c r="Q180" i="1"/>
  <c r="P180" i="1"/>
  <c r="Z179" i="1"/>
  <c r="Y179" i="1"/>
  <c r="X179" i="1"/>
  <c r="W179" i="1"/>
  <c r="V179" i="1"/>
  <c r="U179" i="1"/>
  <c r="T179" i="1"/>
  <c r="S179" i="1"/>
  <c r="R179" i="1"/>
  <c r="Q179" i="1"/>
  <c r="P179" i="1"/>
  <c r="Z178" i="1"/>
  <c r="Y178" i="1"/>
  <c r="X178" i="1"/>
  <c r="W178" i="1"/>
  <c r="V178" i="1"/>
  <c r="U178" i="1"/>
  <c r="T178" i="1"/>
  <c r="S178" i="1"/>
  <c r="R178" i="1"/>
  <c r="Q178" i="1"/>
  <c r="P178" i="1"/>
  <c r="Z177" i="1"/>
  <c r="Y177" i="1"/>
  <c r="X177" i="1"/>
  <c r="W177" i="1"/>
  <c r="V177" i="1"/>
  <c r="U177" i="1"/>
  <c r="T177" i="1"/>
  <c r="S177" i="1"/>
  <c r="R177" i="1"/>
  <c r="Q177" i="1"/>
  <c r="P177" i="1"/>
  <c r="Z176" i="1"/>
  <c r="Y176" i="1"/>
  <c r="X176" i="1"/>
  <c r="W176" i="1"/>
  <c r="V176" i="1"/>
  <c r="U176" i="1"/>
  <c r="T176" i="1"/>
  <c r="S176" i="1"/>
  <c r="R176" i="1"/>
  <c r="Q176" i="1"/>
  <c r="P176" i="1"/>
  <c r="Z175" i="1"/>
  <c r="Y175" i="1"/>
  <c r="X175" i="1"/>
  <c r="W175" i="1"/>
  <c r="V175" i="1"/>
  <c r="U175" i="1"/>
  <c r="T175" i="1"/>
  <c r="S175" i="1"/>
  <c r="R175" i="1"/>
  <c r="Q175" i="1"/>
  <c r="P175" i="1"/>
  <c r="Z174" i="1"/>
  <c r="Y174" i="1"/>
  <c r="X174" i="1"/>
  <c r="W174" i="1"/>
  <c r="V174" i="1"/>
  <c r="U174" i="1"/>
  <c r="T174" i="1"/>
  <c r="S174" i="1"/>
  <c r="R174" i="1"/>
  <c r="Q174" i="1"/>
  <c r="P174" i="1"/>
  <c r="Z173" i="1"/>
  <c r="Y173" i="1"/>
  <c r="X173" i="1"/>
  <c r="W173" i="1"/>
  <c r="V173" i="1"/>
  <c r="U173" i="1"/>
  <c r="T173" i="1"/>
  <c r="S173" i="1"/>
  <c r="R173" i="1"/>
  <c r="Q173" i="1"/>
  <c r="P173" i="1"/>
  <c r="Z172" i="1"/>
  <c r="Y172" i="1"/>
  <c r="X172" i="1"/>
  <c r="W172" i="1"/>
  <c r="V172" i="1"/>
  <c r="U172" i="1"/>
  <c r="T172" i="1"/>
  <c r="S172" i="1"/>
  <c r="R172" i="1"/>
  <c r="Q172" i="1"/>
  <c r="P172" i="1"/>
  <c r="Z171" i="1"/>
  <c r="Y171" i="1"/>
  <c r="X171" i="1"/>
  <c r="W171" i="1"/>
  <c r="V171" i="1"/>
  <c r="U171" i="1"/>
  <c r="T171" i="1"/>
  <c r="S171" i="1"/>
  <c r="R171" i="1"/>
  <c r="Q171" i="1"/>
  <c r="P171" i="1"/>
  <c r="Z170" i="1"/>
  <c r="Y170" i="1"/>
  <c r="X170" i="1"/>
  <c r="W170" i="1"/>
  <c r="V170" i="1"/>
  <c r="U170" i="1"/>
  <c r="T170" i="1"/>
  <c r="S170" i="1"/>
  <c r="R170" i="1"/>
  <c r="Q170" i="1"/>
  <c r="P170" i="1"/>
  <c r="Z169" i="1"/>
  <c r="Y169" i="1"/>
  <c r="X169" i="1"/>
  <c r="W169" i="1"/>
  <c r="V169" i="1"/>
  <c r="U169" i="1"/>
  <c r="T169" i="1"/>
  <c r="S169" i="1"/>
  <c r="R169" i="1"/>
  <c r="Q169" i="1"/>
  <c r="P169" i="1"/>
  <c r="Z168" i="1"/>
  <c r="Y168" i="1"/>
  <c r="X168" i="1"/>
  <c r="W168" i="1"/>
  <c r="V168" i="1"/>
  <c r="U168" i="1"/>
  <c r="T168" i="1"/>
  <c r="S168" i="1"/>
  <c r="R168" i="1"/>
  <c r="Q168" i="1"/>
  <c r="P168" i="1"/>
  <c r="Z167" i="1"/>
  <c r="Y167" i="1"/>
  <c r="X167" i="1"/>
  <c r="W167" i="1"/>
  <c r="V167" i="1"/>
  <c r="U167" i="1"/>
  <c r="T167" i="1"/>
  <c r="S167" i="1"/>
  <c r="R167" i="1"/>
  <c r="Q167" i="1"/>
  <c r="P167" i="1"/>
  <c r="Z166" i="1"/>
  <c r="Y166" i="1"/>
  <c r="X166" i="1"/>
  <c r="W166" i="1"/>
  <c r="V166" i="1"/>
  <c r="U166" i="1"/>
  <c r="T166" i="1"/>
  <c r="S166" i="1"/>
  <c r="R166" i="1"/>
  <c r="Q166" i="1"/>
  <c r="P166" i="1"/>
  <c r="Z165" i="1"/>
  <c r="Y165" i="1"/>
  <c r="X165" i="1"/>
  <c r="W165" i="1"/>
  <c r="V165" i="1"/>
  <c r="U165" i="1"/>
  <c r="T165" i="1"/>
  <c r="S165" i="1"/>
  <c r="R165" i="1"/>
  <c r="Q165" i="1"/>
  <c r="P165" i="1"/>
  <c r="Z164" i="1"/>
  <c r="Y164" i="1"/>
  <c r="X164" i="1"/>
  <c r="W164" i="1"/>
  <c r="V164" i="1"/>
  <c r="U164" i="1"/>
  <c r="T164" i="1"/>
  <c r="S164" i="1"/>
  <c r="R164" i="1"/>
  <c r="Q164" i="1"/>
  <c r="P164" i="1"/>
  <c r="Z163" i="1"/>
  <c r="Y163" i="1"/>
  <c r="X163" i="1"/>
  <c r="W163" i="1"/>
  <c r="V163" i="1"/>
  <c r="U163" i="1"/>
  <c r="T163" i="1"/>
  <c r="S163" i="1"/>
  <c r="R163" i="1"/>
  <c r="Q163" i="1"/>
  <c r="P163" i="1"/>
  <c r="Z162" i="1"/>
  <c r="Y162" i="1"/>
  <c r="X162" i="1"/>
  <c r="W162" i="1"/>
  <c r="V162" i="1"/>
  <c r="U162" i="1"/>
  <c r="T162" i="1"/>
  <c r="S162" i="1"/>
  <c r="R162" i="1"/>
  <c r="Q162" i="1"/>
  <c r="P162" i="1"/>
  <c r="Z161" i="1"/>
  <c r="Y161" i="1"/>
  <c r="X161" i="1"/>
  <c r="W161" i="1"/>
  <c r="V161" i="1"/>
  <c r="U161" i="1"/>
  <c r="T161" i="1"/>
  <c r="S161" i="1"/>
  <c r="R161" i="1"/>
  <c r="Q161" i="1"/>
  <c r="P161" i="1"/>
  <c r="Z160" i="1"/>
  <c r="Y160" i="1"/>
  <c r="X160" i="1"/>
  <c r="W160" i="1"/>
  <c r="V160" i="1"/>
  <c r="U160" i="1"/>
  <c r="T160" i="1"/>
  <c r="S160" i="1"/>
  <c r="R160" i="1"/>
  <c r="Q160" i="1"/>
  <c r="P160" i="1"/>
  <c r="Z159" i="1"/>
  <c r="Y159" i="1"/>
  <c r="X159" i="1"/>
  <c r="W159" i="1"/>
  <c r="V159" i="1"/>
  <c r="U159" i="1"/>
  <c r="T159" i="1"/>
  <c r="S159" i="1"/>
  <c r="R159" i="1"/>
  <c r="Q159" i="1"/>
  <c r="P159" i="1"/>
  <c r="Z158" i="1"/>
  <c r="Y158" i="1"/>
  <c r="X158" i="1"/>
  <c r="W158" i="1"/>
  <c r="V158" i="1"/>
  <c r="U158" i="1"/>
  <c r="T158" i="1"/>
  <c r="S158" i="1"/>
  <c r="R158" i="1"/>
  <c r="Q158" i="1"/>
  <c r="P158" i="1"/>
  <c r="Z157" i="1"/>
  <c r="Y157" i="1"/>
  <c r="X157" i="1"/>
  <c r="W157" i="1"/>
  <c r="V157" i="1"/>
  <c r="U157" i="1"/>
  <c r="T157" i="1"/>
  <c r="S157" i="1"/>
  <c r="R157" i="1"/>
  <c r="Q157" i="1"/>
  <c r="P157" i="1"/>
  <c r="Z156" i="1"/>
  <c r="Y156" i="1"/>
  <c r="X156" i="1"/>
  <c r="W156" i="1"/>
  <c r="V156" i="1"/>
  <c r="U156" i="1"/>
  <c r="T156" i="1"/>
  <c r="S156" i="1"/>
  <c r="R156" i="1"/>
  <c r="Q156" i="1"/>
  <c r="P156" i="1"/>
  <c r="Z155" i="1"/>
  <c r="Y155" i="1"/>
  <c r="X155" i="1"/>
  <c r="W155" i="1"/>
  <c r="V155" i="1"/>
  <c r="U155" i="1"/>
  <c r="T155" i="1"/>
  <c r="S155" i="1"/>
  <c r="R155" i="1"/>
  <c r="Q155" i="1"/>
  <c r="P155" i="1"/>
  <c r="Z154" i="1"/>
  <c r="Y154" i="1"/>
  <c r="X154" i="1"/>
  <c r="W154" i="1"/>
  <c r="V154" i="1"/>
  <c r="U154" i="1"/>
  <c r="T154" i="1"/>
  <c r="S154" i="1"/>
  <c r="R154" i="1"/>
  <c r="Q154" i="1"/>
  <c r="P154" i="1"/>
  <c r="Z153" i="1"/>
  <c r="Y153" i="1"/>
  <c r="X153" i="1"/>
  <c r="W153" i="1"/>
  <c r="V153" i="1"/>
  <c r="U153" i="1"/>
  <c r="T153" i="1"/>
  <c r="S153" i="1"/>
  <c r="R153" i="1"/>
  <c r="Q153" i="1"/>
  <c r="P153" i="1"/>
  <c r="Z152" i="1"/>
  <c r="Y152" i="1"/>
  <c r="X152" i="1"/>
  <c r="W152" i="1"/>
  <c r="V152" i="1"/>
  <c r="U152" i="1"/>
  <c r="T152" i="1"/>
  <c r="S152" i="1"/>
  <c r="R152" i="1"/>
  <c r="Q152" i="1"/>
  <c r="P152" i="1"/>
  <c r="Z151" i="1"/>
  <c r="Y151" i="1"/>
  <c r="X151" i="1"/>
  <c r="W151" i="1"/>
  <c r="V151" i="1"/>
  <c r="U151" i="1"/>
  <c r="T151" i="1"/>
  <c r="S151" i="1"/>
  <c r="R151" i="1"/>
  <c r="Q151" i="1"/>
  <c r="P151" i="1"/>
  <c r="Z150" i="1"/>
  <c r="Y150" i="1"/>
  <c r="X150" i="1"/>
  <c r="W150" i="1"/>
  <c r="V150" i="1"/>
  <c r="U150" i="1"/>
  <c r="T150" i="1"/>
  <c r="S150" i="1"/>
  <c r="R150" i="1"/>
  <c r="Q150" i="1"/>
  <c r="P150" i="1"/>
  <c r="Z149" i="1"/>
  <c r="Y149" i="1"/>
  <c r="X149" i="1"/>
  <c r="W149" i="1"/>
  <c r="V149" i="1"/>
  <c r="U149" i="1"/>
  <c r="T149" i="1"/>
  <c r="S149" i="1"/>
  <c r="R149" i="1"/>
  <c r="Q149" i="1"/>
  <c r="P149" i="1"/>
  <c r="Z148" i="1"/>
  <c r="Y148" i="1"/>
  <c r="X148" i="1"/>
  <c r="W148" i="1"/>
  <c r="V148" i="1"/>
  <c r="U148" i="1"/>
  <c r="T148" i="1"/>
  <c r="S148" i="1"/>
  <c r="R148" i="1"/>
  <c r="Q148" i="1"/>
  <c r="P148" i="1"/>
  <c r="Z147" i="1"/>
  <c r="Y147" i="1"/>
  <c r="X147" i="1"/>
  <c r="W147" i="1"/>
  <c r="V147" i="1"/>
  <c r="U147" i="1"/>
  <c r="T147" i="1"/>
  <c r="S147" i="1"/>
  <c r="R147" i="1"/>
  <c r="Q147" i="1"/>
  <c r="P147" i="1"/>
  <c r="Z146" i="1"/>
  <c r="Y146" i="1"/>
  <c r="X146" i="1"/>
  <c r="W146" i="1"/>
  <c r="V146" i="1"/>
  <c r="U146" i="1"/>
  <c r="T146" i="1"/>
  <c r="S146" i="1"/>
  <c r="R146" i="1"/>
  <c r="Q146" i="1"/>
  <c r="P146" i="1"/>
  <c r="Z145" i="1"/>
  <c r="Y145" i="1"/>
  <c r="X145" i="1"/>
  <c r="W145" i="1"/>
  <c r="V145" i="1"/>
  <c r="U145" i="1"/>
  <c r="T145" i="1"/>
  <c r="S145" i="1"/>
  <c r="R145" i="1"/>
  <c r="Q145" i="1"/>
  <c r="P145" i="1"/>
  <c r="Z144" i="1"/>
  <c r="Y144" i="1"/>
  <c r="X144" i="1"/>
  <c r="W144" i="1"/>
  <c r="V144" i="1"/>
  <c r="U144" i="1"/>
  <c r="T144" i="1"/>
  <c r="S144" i="1"/>
  <c r="R144" i="1"/>
  <c r="Q144" i="1"/>
  <c r="P144" i="1"/>
  <c r="Z143" i="1"/>
  <c r="Y143" i="1"/>
  <c r="X143" i="1"/>
  <c r="W143" i="1"/>
  <c r="V143" i="1"/>
  <c r="U143" i="1"/>
  <c r="T143" i="1"/>
  <c r="S143" i="1"/>
  <c r="R143" i="1"/>
  <c r="Q143" i="1"/>
  <c r="P143" i="1"/>
  <c r="Z142" i="1"/>
  <c r="Y142" i="1"/>
  <c r="X142" i="1"/>
  <c r="W142" i="1"/>
  <c r="V142" i="1"/>
  <c r="U142" i="1"/>
  <c r="T142" i="1"/>
  <c r="S142" i="1"/>
  <c r="R142" i="1"/>
  <c r="Q142" i="1"/>
  <c r="P142" i="1"/>
  <c r="Z141" i="1"/>
  <c r="Y141" i="1"/>
  <c r="X141" i="1"/>
  <c r="W141" i="1"/>
  <c r="V141" i="1"/>
  <c r="U141" i="1"/>
  <c r="T141" i="1"/>
  <c r="S141" i="1"/>
  <c r="R141" i="1"/>
  <c r="Q141" i="1"/>
  <c r="P141" i="1"/>
  <c r="Z140" i="1"/>
  <c r="Y140" i="1"/>
  <c r="X140" i="1"/>
  <c r="W140" i="1"/>
  <c r="V140" i="1"/>
  <c r="U140" i="1"/>
  <c r="T140" i="1"/>
  <c r="S140" i="1"/>
  <c r="R140" i="1"/>
  <c r="Q140" i="1"/>
  <c r="P140" i="1"/>
  <c r="Z139" i="1"/>
  <c r="Y139" i="1"/>
  <c r="X139" i="1"/>
  <c r="W139" i="1"/>
  <c r="V139" i="1"/>
  <c r="U139" i="1"/>
  <c r="T139" i="1"/>
  <c r="S139" i="1"/>
  <c r="R139" i="1"/>
  <c r="Q139" i="1"/>
  <c r="P139" i="1"/>
  <c r="Z138" i="1"/>
  <c r="Y138" i="1"/>
  <c r="X138" i="1"/>
  <c r="W138" i="1"/>
  <c r="V138" i="1"/>
  <c r="U138" i="1"/>
  <c r="T138" i="1"/>
  <c r="S138" i="1"/>
  <c r="R138" i="1"/>
  <c r="Q138" i="1"/>
  <c r="P138" i="1"/>
  <c r="Z137" i="1"/>
  <c r="Y137" i="1"/>
  <c r="X137" i="1"/>
  <c r="W137" i="1"/>
  <c r="V137" i="1"/>
  <c r="U137" i="1"/>
  <c r="T137" i="1"/>
  <c r="S137" i="1"/>
  <c r="R137" i="1"/>
  <c r="Q137" i="1"/>
  <c r="P137" i="1"/>
  <c r="Z136" i="1"/>
  <c r="Y136" i="1"/>
  <c r="X136" i="1"/>
  <c r="W136" i="1"/>
  <c r="V136" i="1"/>
  <c r="U136" i="1"/>
  <c r="T136" i="1"/>
  <c r="S136" i="1"/>
  <c r="R136" i="1"/>
  <c r="Q136" i="1"/>
  <c r="P136" i="1"/>
  <c r="Z135" i="1"/>
  <c r="Y135" i="1"/>
  <c r="X135" i="1"/>
  <c r="W135" i="1"/>
  <c r="V135" i="1"/>
  <c r="U135" i="1"/>
  <c r="T135" i="1"/>
  <c r="S135" i="1"/>
  <c r="R135" i="1"/>
  <c r="Q135" i="1"/>
  <c r="P135" i="1"/>
  <c r="Z134" i="1"/>
  <c r="Y134" i="1"/>
  <c r="X134" i="1"/>
  <c r="W134" i="1"/>
  <c r="V134" i="1"/>
  <c r="U134" i="1"/>
  <c r="T134" i="1"/>
  <c r="S134" i="1"/>
  <c r="R134" i="1"/>
  <c r="Q134" i="1"/>
  <c r="P134" i="1"/>
  <c r="Z133" i="1"/>
  <c r="Y133" i="1"/>
  <c r="X133" i="1"/>
  <c r="W133" i="1"/>
  <c r="V133" i="1"/>
  <c r="U133" i="1"/>
  <c r="T133" i="1"/>
  <c r="S133" i="1"/>
  <c r="R133" i="1"/>
  <c r="Q133" i="1"/>
  <c r="P133" i="1"/>
  <c r="Z132" i="1"/>
  <c r="Y132" i="1"/>
  <c r="X132" i="1"/>
  <c r="W132" i="1"/>
  <c r="V132" i="1"/>
  <c r="U132" i="1"/>
  <c r="T132" i="1"/>
  <c r="S132" i="1"/>
  <c r="R132" i="1"/>
  <c r="Q132" i="1"/>
  <c r="P132" i="1"/>
  <c r="Z131" i="1"/>
  <c r="Y131" i="1"/>
  <c r="X131" i="1"/>
  <c r="W131" i="1"/>
  <c r="V131" i="1"/>
  <c r="U131" i="1"/>
  <c r="T131" i="1"/>
  <c r="S131" i="1"/>
  <c r="R131" i="1"/>
  <c r="Q131" i="1"/>
  <c r="P131" i="1"/>
  <c r="Z130" i="1"/>
  <c r="Y130" i="1"/>
  <c r="X130" i="1"/>
  <c r="W130" i="1"/>
  <c r="V130" i="1"/>
  <c r="U130" i="1"/>
  <c r="T130" i="1"/>
  <c r="S130" i="1"/>
  <c r="R130" i="1"/>
  <c r="Q130" i="1"/>
  <c r="P130" i="1"/>
  <c r="Z129" i="1"/>
  <c r="Y129" i="1"/>
  <c r="X129" i="1"/>
  <c r="W129" i="1"/>
  <c r="V129" i="1"/>
  <c r="U129" i="1"/>
  <c r="T129" i="1"/>
  <c r="S129" i="1"/>
  <c r="R129" i="1"/>
  <c r="Q129" i="1"/>
  <c r="P129" i="1"/>
  <c r="Z128" i="1"/>
  <c r="Y128" i="1"/>
  <c r="X128" i="1"/>
  <c r="W128" i="1"/>
  <c r="V128" i="1"/>
  <c r="U128" i="1"/>
  <c r="T128" i="1"/>
  <c r="S128" i="1"/>
  <c r="R128" i="1"/>
  <c r="Q128" i="1"/>
  <c r="P128" i="1"/>
  <c r="Z127" i="1"/>
  <c r="Y127" i="1"/>
  <c r="X127" i="1"/>
  <c r="W127" i="1"/>
  <c r="V127" i="1"/>
  <c r="U127" i="1"/>
  <c r="T127" i="1"/>
  <c r="S127" i="1"/>
  <c r="R127" i="1"/>
  <c r="Q127" i="1"/>
  <c r="P127" i="1"/>
  <c r="Z126" i="1"/>
  <c r="Y126" i="1"/>
  <c r="X126" i="1"/>
  <c r="W126" i="1"/>
  <c r="V126" i="1"/>
  <c r="U126" i="1"/>
  <c r="T126" i="1"/>
  <c r="S126" i="1"/>
  <c r="R126" i="1"/>
  <c r="Q126" i="1"/>
  <c r="P126" i="1"/>
  <c r="Z125" i="1"/>
  <c r="Y125" i="1"/>
  <c r="X125" i="1"/>
  <c r="W125" i="1"/>
  <c r="V125" i="1"/>
  <c r="U125" i="1"/>
  <c r="T125" i="1"/>
  <c r="S125" i="1"/>
  <c r="R125" i="1"/>
  <c r="Q125" i="1"/>
  <c r="P125" i="1"/>
  <c r="Z124" i="1"/>
  <c r="Y124" i="1"/>
  <c r="X124" i="1"/>
  <c r="W124" i="1"/>
  <c r="V124" i="1"/>
  <c r="U124" i="1"/>
  <c r="T124" i="1"/>
  <c r="S124" i="1"/>
  <c r="R124" i="1"/>
  <c r="Q124" i="1"/>
  <c r="P124" i="1"/>
  <c r="Z123" i="1"/>
  <c r="Y123" i="1"/>
  <c r="X123" i="1"/>
  <c r="W123" i="1"/>
  <c r="V123" i="1"/>
  <c r="U123" i="1"/>
  <c r="T123" i="1"/>
  <c r="S123" i="1"/>
  <c r="R123" i="1"/>
  <c r="Q123" i="1"/>
  <c r="P123" i="1"/>
  <c r="Z122" i="1"/>
  <c r="Y122" i="1"/>
  <c r="X122" i="1"/>
  <c r="W122" i="1"/>
  <c r="V122" i="1"/>
  <c r="U122" i="1"/>
  <c r="T122" i="1"/>
  <c r="S122" i="1"/>
  <c r="R122" i="1"/>
  <c r="Q122" i="1"/>
  <c r="P122" i="1"/>
  <c r="Z121" i="1"/>
  <c r="Y121" i="1"/>
  <c r="X121" i="1"/>
  <c r="W121" i="1"/>
  <c r="V121" i="1"/>
  <c r="U121" i="1"/>
  <c r="T121" i="1"/>
  <c r="S121" i="1"/>
  <c r="R121" i="1"/>
  <c r="Q121" i="1"/>
  <c r="P121" i="1"/>
  <c r="Z120" i="1"/>
  <c r="Y120" i="1"/>
  <c r="X120" i="1"/>
  <c r="W120" i="1"/>
  <c r="V120" i="1"/>
  <c r="U120" i="1"/>
  <c r="T120" i="1"/>
  <c r="S120" i="1"/>
  <c r="R120" i="1"/>
  <c r="Q120" i="1"/>
  <c r="P120" i="1"/>
  <c r="Z119" i="1"/>
  <c r="Y119" i="1"/>
  <c r="X119" i="1"/>
  <c r="W119" i="1"/>
  <c r="V119" i="1"/>
  <c r="U119" i="1"/>
  <c r="T119" i="1"/>
  <c r="S119" i="1"/>
  <c r="R119" i="1"/>
  <c r="Q119" i="1"/>
  <c r="P119" i="1"/>
  <c r="Z118" i="1"/>
  <c r="Y118" i="1"/>
  <c r="X118" i="1"/>
  <c r="W118" i="1"/>
  <c r="V118" i="1"/>
  <c r="U118" i="1"/>
  <c r="T118" i="1"/>
  <c r="S118" i="1"/>
  <c r="R118" i="1"/>
  <c r="Q118" i="1"/>
  <c r="P118" i="1"/>
  <c r="Z117" i="1"/>
  <c r="Y117" i="1"/>
  <c r="X117" i="1"/>
  <c r="W117" i="1"/>
  <c r="V117" i="1"/>
  <c r="U117" i="1"/>
  <c r="T117" i="1"/>
  <c r="S117" i="1"/>
  <c r="R117" i="1"/>
  <c r="Q117" i="1"/>
  <c r="P117" i="1"/>
  <c r="Z116" i="1"/>
  <c r="Y116" i="1"/>
  <c r="X116" i="1"/>
  <c r="W116" i="1"/>
  <c r="V116" i="1"/>
  <c r="U116" i="1"/>
  <c r="T116" i="1"/>
  <c r="S116" i="1"/>
  <c r="R116" i="1"/>
  <c r="Q116" i="1"/>
  <c r="P116" i="1"/>
  <c r="Z115" i="1"/>
  <c r="Y115" i="1"/>
  <c r="X115" i="1"/>
  <c r="W115" i="1"/>
  <c r="V115" i="1"/>
  <c r="U115" i="1"/>
  <c r="T115" i="1"/>
  <c r="S115" i="1"/>
  <c r="R115" i="1"/>
  <c r="Q115" i="1"/>
  <c r="P115" i="1"/>
  <c r="Z114" i="1"/>
  <c r="Y114" i="1"/>
  <c r="X114" i="1"/>
  <c r="W114" i="1"/>
  <c r="V114" i="1"/>
  <c r="U114" i="1"/>
  <c r="T114" i="1"/>
  <c r="S114" i="1"/>
  <c r="R114" i="1"/>
  <c r="Q114" i="1"/>
  <c r="P114" i="1"/>
  <c r="Z113" i="1"/>
  <c r="Y113" i="1"/>
  <c r="X113" i="1"/>
  <c r="W113" i="1"/>
  <c r="V113" i="1"/>
  <c r="U113" i="1"/>
  <c r="T113" i="1"/>
  <c r="S113" i="1"/>
  <c r="R113" i="1"/>
  <c r="Q113" i="1"/>
  <c r="P113" i="1"/>
  <c r="Z112" i="1"/>
  <c r="Y112" i="1"/>
  <c r="X112" i="1"/>
  <c r="W112" i="1"/>
  <c r="V112" i="1"/>
  <c r="U112" i="1"/>
  <c r="T112" i="1"/>
  <c r="S112" i="1"/>
  <c r="R112" i="1"/>
  <c r="Q112" i="1"/>
  <c r="P112" i="1"/>
  <c r="Z111" i="1"/>
  <c r="Y111" i="1"/>
  <c r="X111" i="1"/>
  <c r="W111" i="1"/>
  <c r="V111" i="1"/>
  <c r="U111" i="1"/>
  <c r="T111" i="1"/>
  <c r="S111" i="1"/>
  <c r="R111" i="1"/>
  <c r="Q111" i="1"/>
  <c r="P111" i="1"/>
  <c r="Z110" i="1"/>
  <c r="Y110" i="1"/>
  <c r="X110" i="1"/>
  <c r="W110" i="1"/>
  <c r="V110" i="1"/>
  <c r="U110" i="1"/>
  <c r="T110" i="1"/>
  <c r="S110" i="1"/>
  <c r="R110" i="1"/>
  <c r="Q110" i="1"/>
  <c r="P110" i="1"/>
  <c r="Z109" i="1"/>
  <c r="Y109" i="1"/>
  <c r="X109" i="1"/>
  <c r="W109" i="1"/>
  <c r="V109" i="1"/>
  <c r="U109" i="1"/>
  <c r="T109" i="1"/>
  <c r="S109" i="1"/>
  <c r="R109" i="1"/>
  <c r="Q109" i="1"/>
  <c r="P109" i="1"/>
  <c r="Z108" i="1"/>
  <c r="Y108" i="1"/>
  <c r="X108" i="1"/>
  <c r="W108" i="1"/>
  <c r="V108" i="1"/>
  <c r="U108" i="1"/>
  <c r="T108" i="1"/>
  <c r="S108" i="1"/>
  <c r="R108" i="1"/>
  <c r="Q108" i="1"/>
  <c r="P108" i="1"/>
  <c r="Z107" i="1"/>
  <c r="Y107" i="1"/>
  <c r="X107" i="1"/>
  <c r="W107" i="1"/>
  <c r="V107" i="1"/>
  <c r="U107" i="1"/>
  <c r="T107" i="1"/>
  <c r="S107" i="1"/>
  <c r="R107" i="1"/>
  <c r="Q107" i="1"/>
  <c r="P107" i="1"/>
  <c r="Z106" i="1"/>
  <c r="Y106" i="1"/>
  <c r="X106" i="1"/>
  <c r="W106" i="1"/>
  <c r="V106" i="1"/>
  <c r="U106" i="1"/>
  <c r="T106" i="1"/>
  <c r="S106" i="1"/>
  <c r="R106" i="1"/>
  <c r="Q106" i="1"/>
  <c r="P106" i="1"/>
  <c r="Z105" i="1"/>
  <c r="Y105" i="1"/>
  <c r="X105" i="1"/>
  <c r="W105" i="1"/>
  <c r="V105" i="1"/>
  <c r="U105" i="1"/>
  <c r="T105" i="1"/>
  <c r="S105" i="1"/>
  <c r="R105" i="1"/>
  <c r="Q105" i="1"/>
  <c r="P105" i="1"/>
  <c r="Z104" i="1"/>
  <c r="Y104" i="1"/>
  <c r="X104" i="1"/>
  <c r="W104" i="1"/>
  <c r="V104" i="1"/>
  <c r="U104" i="1"/>
  <c r="T104" i="1"/>
  <c r="S104" i="1"/>
  <c r="R104" i="1"/>
  <c r="Q104" i="1"/>
  <c r="P104" i="1"/>
  <c r="Z103" i="1"/>
  <c r="Y103" i="1"/>
  <c r="X103" i="1"/>
  <c r="W103" i="1"/>
  <c r="V103" i="1"/>
  <c r="U103" i="1"/>
  <c r="T103" i="1"/>
  <c r="S103" i="1"/>
  <c r="R103" i="1"/>
  <c r="Q103" i="1"/>
  <c r="P103" i="1"/>
  <c r="Z102" i="1"/>
  <c r="Y102" i="1"/>
  <c r="X102" i="1"/>
  <c r="W102" i="1"/>
  <c r="V102" i="1"/>
  <c r="U102" i="1"/>
  <c r="T102" i="1"/>
  <c r="S102" i="1"/>
  <c r="R102" i="1"/>
  <c r="Q102" i="1"/>
  <c r="P102" i="1"/>
  <c r="Z101" i="1"/>
  <c r="Y101" i="1"/>
  <c r="X101" i="1"/>
  <c r="W101" i="1"/>
  <c r="V101" i="1"/>
  <c r="U101" i="1"/>
  <c r="T101" i="1"/>
  <c r="S101" i="1"/>
  <c r="R101" i="1"/>
  <c r="Q101" i="1"/>
  <c r="P101" i="1"/>
  <c r="Z100" i="1"/>
  <c r="Y100" i="1"/>
  <c r="X100" i="1"/>
  <c r="W100" i="1"/>
  <c r="V100" i="1"/>
  <c r="U100" i="1"/>
  <c r="T100" i="1"/>
  <c r="S100" i="1"/>
  <c r="R100" i="1"/>
  <c r="Q100" i="1"/>
  <c r="P100" i="1"/>
  <c r="Z99" i="1"/>
  <c r="Y99" i="1"/>
  <c r="X99" i="1"/>
  <c r="W99" i="1"/>
  <c r="V99" i="1"/>
  <c r="U99" i="1"/>
  <c r="T99" i="1"/>
  <c r="S99" i="1"/>
  <c r="R99" i="1"/>
  <c r="Q99" i="1"/>
  <c r="P99" i="1"/>
  <c r="Z98" i="1"/>
  <c r="Y98" i="1"/>
  <c r="X98" i="1"/>
  <c r="W98" i="1"/>
  <c r="V98" i="1"/>
  <c r="U98" i="1"/>
  <c r="T98" i="1"/>
  <c r="S98" i="1"/>
  <c r="R98" i="1"/>
  <c r="Q98" i="1"/>
  <c r="P98" i="1"/>
  <c r="Z97" i="1"/>
  <c r="Y97" i="1"/>
  <c r="X97" i="1"/>
  <c r="W97" i="1"/>
  <c r="V97" i="1"/>
  <c r="U97" i="1"/>
  <c r="T97" i="1"/>
  <c r="S97" i="1"/>
  <c r="R97" i="1"/>
  <c r="Q97" i="1"/>
  <c r="P97" i="1"/>
  <c r="Z96" i="1"/>
  <c r="Y96" i="1"/>
  <c r="X96" i="1"/>
  <c r="W96" i="1"/>
  <c r="V96" i="1"/>
  <c r="U96" i="1"/>
  <c r="T96" i="1"/>
  <c r="S96" i="1"/>
  <c r="R96" i="1"/>
  <c r="Q96" i="1"/>
  <c r="P96" i="1"/>
  <c r="Z95" i="1"/>
  <c r="Y95" i="1"/>
  <c r="X95" i="1"/>
  <c r="W95" i="1"/>
  <c r="V95" i="1"/>
  <c r="U95" i="1"/>
  <c r="T95" i="1"/>
  <c r="S95" i="1"/>
  <c r="R95" i="1"/>
  <c r="Q95" i="1"/>
  <c r="P95" i="1"/>
  <c r="Z94" i="1"/>
  <c r="Y94" i="1"/>
  <c r="X94" i="1"/>
  <c r="W94" i="1"/>
  <c r="V94" i="1"/>
  <c r="U94" i="1"/>
  <c r="T94" i="1"/>
  <c r="S94" i="1"/>
  <c r="R94" i="1"/>
  <c r="Q94" i="1"/>
  <c r="P94" i="1"/>
  <c r="Z93" i="1"/>
  <c r="Y93" i="1"/>
  <c r="X93" i="1"/>
  <c r="W93" i="1"/>
  <c r="V93" i="1"/>
  <c r="U93" i="1"/>
  <c r="T93" i="1"/>
  <c r="S93" i="1"/>
  <c r="R93" i="1"/>
  <c r="Q93" i="1"/>
  <c r="P93" i="1"/>
  <c r="Z92" i="1"/>
  <c r="Y92" i="1"/>
  <c r="X92" i="1"/>
  <c r="W92" i="1"/>
  <c r="V92" i="1"/>
  <c r="U92" i="1"/>
  <c r="T92" i="1"/>
  <c r="S92" i="1"/>
  <c r="R92" i="1"/>
  <c r="Q92" i="1"/>
  <c r="P92" i="1"/>
  <c r="Z91" i="1"/>
  <c r="Y91" i="1"/>
  <c r="X91" i="1"/>
  <c r="W91" i="1"/>
  <c r="V91" i="1"/>
  <c r="U91" i="1"/>
  <c r="T91" i="1"/>
  <c r="S91" i="1"/>
  <c r="R91" i="1"/>
  <c r="Q91" i="1"/>
  <c r="P91" i="1"/>
  <c r="Z90" i="1"/>
  <c r="Y90" i="1"/>
  <c r="X90" i="1"/>
  <c r="W90" i="1"/>
  <c r="V90" i="1"/>
  <c r="U90" i="1"/>
  <c r="T90" i="1"/>
  <c r="S90" i="1"/>
  <c r="R90" i="1"/>
  <c r="Q90" i="1"/>
  <c r="P90" i="1"/>
  <c r="Z89" i="1"/>
  <c r="Y89" i="1"/>
  <c r="X89" i="1"/>
  <c r="W89" i="1"/>
  <c r="V89" i="1"/>
  <c r="U89" i="1"/>
  <c r="T89" i="1"/>
  <c r="S89" i="1"/>
  <c r="R89" i="1"/>
  <c r="Q89" i="1"/>
  <c r="P89" i="1"/>
  <c r="Z88" i="1"/>
  <c r="Y88" i="1"/>
  <c r="X88" i="1"/>
  <c r="W88" i="1"/>
  <c r="V88" i="1"/>
  <c r="U88" i="1"/>
  <c r="T88" i="1"/>
  <c r="S88" i="1"/>
  <c r="R88" i="1"/>
  <c r="Q88" i="1"/>
  <c r="P88" i="1"/>
  <c r="Z87" i="1"/>
  <c r="Y87" i="1"/>
  <c r="X87" i="1"/>
  <c r="W87" i="1"/>
  <c r="V87" i="1"/>
  <c r="U87" i="1"/>
  <c r="T87" i="1"/>
  <c r="S87" i="1"/>
  <c r="R87" i="1"/>
  <c r="Q87" i="1"/>
  <c r="P87" i="1"/>
  <c r="Z86" i="1"/>
  <c r="Y86" i="1"/>
  <c r="X86" i="1"/>
  <c r="W86" i="1"/>
  <c r="V86" i="1"/>
  <c r="U86" i="1"/>
  <c r="T86" i="1"/>
  <c r="S86" i="1"/>
  <c r="R86" i="1"/>
  <c r="Q86" i="1"/>
  <c r="P86" i="1"/>
  <c r="Z85" i="1"/>
  <c r="Y85" i="1"/>
  <c r="X85" i="1"/>
  <c r="W85" i="1"/>
  <c r="V85" i="1"/>
  <c r="U85" i="1"/>
  <c r="T85" i="1"/>
  <c r="S85" i="1"/>
  <c r="R85" i="1"/>
  <c r="Q85" i="1"/>
  <c r="P85" i="1"/>
  <c r="Z84" i="1"/>
  <c r="Y84" i="1"/>
  <c r="X84" i="1"/>
  <c r="W84" i="1"/>
  <c r="V84" i="1"/>
  <c r="U84" i="1"/>
  <c r="T84" i="1"/>
  <c r="S84" i="1"/>
  <c r="R84" i="1"/>
  <c r="Q84" i="1"/>
  <c r="P84" i="1"/>
  <c r="Z83" i="1"/>
  <c r="Y83" i="1"/>
  <c r="X83" i="1"/>
  <c r="W83" i="1"/>
  <c r="V83" i="1"/>
  <c r="U83" i="1"/>
  <c r="T83" i="1"/>
  <c r="S83" i="1"/>
  <c r="R83" i="1"/>
  <c r="Q83" i="1"/>
  <c r="P83" i="1"/>
  <c r="Z82" i="1"/>
  <c r="Y82" i="1"/>
  <c r="X82" i="1"/>
  <c r="W82" i="1"/>
  <c r="V82" i="1"/>
  <c r="U82" i="1"/>
  <c r="T82" i="1"/>
  <c r="S82" i="1"/>
  <c r="R82" i="1"/>
  <c r="Q82" i="1"/>
  <c r="P82" i="1"/>
  <c r="Z81" i="1"/>
  <c r="Y81" i="1"/>
  <c r="X81" i="1"/>
  <c r="W81" i="1"/>
  <c r="V81" i="1"/>
  <c r="U81" i="1"/>
  <c r="T81" i="1"/>
  <c r="S81" i="1"/>
  <c r="R81" i="1"/>
  <c r="Q81" i="1"/>
  <c r="P81" i="1"/>
  <c r="Z80" i="1"/>
  <c r="Y80" i="1"/>
  <c r="X80" i="1"/>
  <c r="W80" i="1"/>
  <c r="V80" i="1"/>
  <c r="U80" i="1"/>
  <c r="T80" i="1"/>
  <c r="S80" i="1"/>
  <c r="R80" i="1"/>
  <c r="Q80" i="1"/>
  <c r="P80" i="1"/>
  <c r="Z79" i="1"/>
  <c r="Y79" i="1"/>
  <c r="X79" i="1"/>
  <c r="W79" i="1"/>
  <c r="V79" i="1"/>
  <c r="U79" i="1"/>
  <c r="T79" i="1"/>
  <c r="S79" i="1"/>
  <c r="R79" i="1"/>
  <c r="Q79" i="1"/>
  <c r="P79" i="1"/>
  <c r="Z78" i="1"/>
  <c r="Y78" i="1"/>
  <c r="X78" i="1"/>
  <c r="W78" i="1"/>
  <c r="V78" i="1"/>
  <c r="U78" i="1"/>
  <c r="T78" i="1"/>
  <c r="S78" i="1"/>
  <c r="R78" i="1"/>
  <c r="Q78" i="1"/>
  <c r="P78" i="1"/>
  <c r="Z77" i="1"/>
  <c r="Y77" i="1"/>
  <c r="X77" i="1"/>
  <c r="W77" i="1"/>
  <c r="V77" i="1"/>
  <c r="U77" i="1"/>
  <c r="T77" i="1"/>
  <c r="S77" i="1"/>
  <c r="R77" i="1"/>
  <c r="Q77" i="1"/>
  <c r="P77" i="1"/>
  <c r="Z76" i="1"/>
  <c r="Y76" i="1"/>
  <c r="X76" i="1"/>
  <c r="W76" i="1"/>
  <c r="V76" i="1"/>
  <c r="U76" i="1"/>
  <c r="T76" i="1"/>
  <c r="S76" i="1"/>
  <c r="R76" i="1"/>
  <c r="Q76" i="1"/>
  <c r="P76" i="1"/>
  <c r="Z75" i="1"/>
  <c r="Y75" i="1"/>
  <c r="X75" i="1"/>
  <c r="W75" i="1"/>
  <c r="V75" i="1"/>
  <c r="U75" i="1"/>
  <c r="T75" i="1"/>
  <c r="S75" i="1"/>
  <c r="R75" i="1"/>
  <c r="Q75" i="1"/>
  <c r="P75" i="1"/>
  <c r="Z74" i="1"/>
  <c r="Y74" i="1"/>
  <c r="X74" i="1"/>
  <c r="W74" i="1"/>
  <c r="V74" i="1"/>
  <c r="U74" i="1"/>
  <c r="T74" i="1"/>
  <c r="S74" i="1"/>
  <c r="R74" i="1"/>
  <c r="Q74" i="1"/>
  <c r="P74" i="1"/>
  <c r="Z73" i="1"/>
  <c r="Y73" i="1"/>
  <c r="X73" i="1"/>
  <c r="W73" i="1"/>
  <c r="V73" i="1"/>
  <c r="U73" i="1"/>
  <c r="T73" i="1"/>
  <c r="S73" i="1"/>
  <c r="R73" i="1"/>
  <c r="Q73" i="1"/>
  <c r="P73" i="1"/>
  <c r="Z72" i="1"/>
  <c r="Y72" i="1"/>
  <c r="X72" i="1"/>
  <c r="W72" i="1"/>
  <c r="V72" i="1"/>
  <c r="U72" i="1"/>
  <c r="T72" i="1"/>
  <c r="S72" i="1"/>
  <c r="R72" i="1"/>
  <c r="Q72" i="1"/>
  <c r="P72" i="1"/>
  <c r="Z71" i="1"/>
  <c r="Y71" i="1"/>
  <c r="X71" i="1"/>
  <c r="W71" i="1"/>
  <c r="V71" i="1"/>
  <c r="U71" i="1"/>
  <c r="T71" i="1"/>
  <c r="S71" i="1"/>
  <c r="R71" i="1"/>
  <c r="Q71" i="1"/>
  <c r="P71" i="1"/>
  <c r="Z70" i="1"/>
  <c r="Y70" i="1"/>
  <c r="X70" i="1"/>
  <c r="W70" i="1"/>
  <c r="V70" i="1"/>
  <c r="U70" i="1"/>
  <c r="T70" i="1"/>
  <c r="S70" i="1"/>
  <c r="R70" i="1"/>
  <c r="Q70" i="1"/>
  <c r="P70" i="1"/>
  <c r="Z69" i="1"/>
  <c r="Y69" i="1"/>
  <c r="X69" i="1"/>
  <c r="W69" i="1"/>
  <c r="V69" i="1"/>
  <c r="U69" i="1"/>
  <c r="T69" i="1"/>
  <c r="S69" i="1"/>
  <c r="R69" i="1"/>
  <c r="Q69" i="1"/>
  <c r="P69" i="1"/>
  <c r="Z68" i="1"/>
  <c r="Y68" i="1"/>
  <c r="X68" i="1"/>
  <c r="W68" i="1"/>
  <c r="V68" i="1"/>
  <c r="U68" i="1"/>
  <c r="T68" i="1"/>
  <c r="S68" i="1"/>
  <c r="R68" i="1"/>
  <c r="Q68" i="1"/>
  <c r="P68" i="1"/>
  <c r="Z67" i="1"/>
  <c r="Y67" i="1"/>
  <c r="X67" i="1"/>
  <c r="W67" i="1"/>
  <c r="V67" i="1"/>
  <c r="U67" i="1"/>
  <c r="T67" i="1"/>
  <c r="S67" i="1"/>
  <c r="R67" i="1"/>
  <c r="Q67" i="1"/>
  <c r="P67" i="1"/>
  <c r="Z66" i="1"/>
  <c r="Y66" i="1"/>
  <c r="X66" i="1"/>
  <c r="W66" i="1"/>
  <c r="V66" i="1"/>
  <c r="U66" i="1"/>
  <c r="T66" i="1"/>
  <c r="S66" i="1"/>
  <c r="R66" i="1"/>
  <c r="Q66" i="1"/>
  <c r="P66" i="1"/>
  <c r="Z65" i="1"/>
  <c r="Y65" i="1"/>
  <c r="X65" i="1"/>
  <c r="W65" i="1"/>
  <c r="V65" i="1"/>
  <c r="U65" i="1"/>
  <c r="T65" i="1"/>
  <c r="S65" i="1"/>
  <c r="R65" i="1"/>
  <c r="Q65" i="1"/>
  <c r="P65" i="1"/>
  <c r="Z64" i="1"/>
  <c r="Y64" i="1"/>
  <c r="X64" i="1"/>
  <c r="W64" i="1"/>
  <c r="V64" i="1"/>
  <c r="U64" i="1"/>
  <c r="T64" i="1"/>
  <c r="S64" i="1"/>
  <c r="R64" i="1"/>
  <c r="Q64" i="1"/>
  <c r="P64" i="1"/>
  <c r="Z63" i="1"/>
  <c r="Y63" i="1"/>
  <c r="X63" i="1"/>
  <c r="W63" i="1"/>
  <c r="V63" i="1"/>
  <c r="U63" i="1"/>
  <c r="T63" i="1"/>
  <c r="S63" i="1"/>
  <c r="R63" i="1"/>
  <c r="Q63" i="1"/>
  <c r="P63" i="1"/>
  <c r="Z62" i="1"/>
  <c r="Y62" i="1"/>
  <c r="X62" i="1"/>
  <c r="W62" i="1"/>
  <c r="V62" i="1"/>
  <c r="U62" i="1"/>
  <c r="T62" i="1"/>
  <c r="S62" i="1"/>
  <c r="R62" i="1"/>
  <c r="Q62" i="1"/>
  <c r="P62" i="1"/>
  <c r="Z61" i="1"/>
  <c r="Y61" i="1"/>
  <c r="X61" i="1"/>
  <c r="W61" i="1"/>
  <c r="V61" i="1"/>
  <c r="U61" i="1"/>
  <c r="T61" i="1"/>
  <c r="S61" i="1"/>
  <c r="R61" i="1"/>
  <c r="Q61" i="1"/>
  <c r="P61" i="1"/>
  <c r="Z60" i="1"/>
  <c r="Y60" i="1"/>
  <c r="X60" i="1"/>
  <c r="W60" i="1"/>
  <c r="V60" i="1"/>
  <c r="U60" i="1"/>
  <c r="T60" i="1"/>
  <c r="S60" i="1"/>
  <c r="R60" i="1"/>
  <c r="Q60" i="1"/>
  <c r="P60" i="1"/>
  <c r="Z59" i="1"/>
  <c r="Y59" i="1"/>
  <c r="X59" i="1"/>
  <c r="W59" i="1"/>
  <c r="V59" i="1"/>
  <c r="U59" i="1"/>
  <c r="T59" i="1"/>
  <c r="S59" i="1"/>
  <c r="R59" i="1"/>
  <c r="Q59" i="1"/>
  <c r="P59" i="1"/>
  <c r="Z58" i="1"/>
  <c r="Y58" i="1"/>
  <c r="X58" i="1"/>
  <c r="W58" i="1"/>
  <c r="V58" i="1"/>
  <c r="U58" i="1"/>
  <c r="T58" i="1"/>
  <c r="S58" i="1"/>
  <c r="R58" i="1"/>
  <c r="Q58" i="1"/>
  <c r="P58" i="1"/>
  <c r="Z57" i="1"/>
  <c r="Y57" i="1"/>
  <c r="X57" i="1"/>
  <c r="W57" i="1"/>
  <c r="V57" i="1"/>
  <c r="U57" i="1"/>
  <c r="T57" i="1"/>
  <c r="S57" i="1"/>
  <c r="R57" i="1"/>
  <c r="Q57" i="1"/>
  <c r="P57" i="1"/>
  <c r="Z56" i="1"/>
  <c r="Y56" i="1"/>
  <c r="X56" i="1"/>
  <c r="W56" i="1"/>
  <c r="V56" i="1"/>
  <c r="U56" i="1"/>
  <c r="T56" i="1"/>
  <c r="S56" i="1"/>
  <c r="R56" i="1"/>
  <c r="Q56" i="1"/>
  <c r="P56" i="1"/>
  <c r="Z55" i="1"/>
  <c r="Y55" i="1"/>
  <c r="X55" i="1"/>
  <c r="W55" i="1"/>
  <c r="V55" i="1"/>
  <c r="U55" i="1"/>
  <c r="T55" i="1"/>
  <c r="S55" i="1"/>
  <c r="R55" i="1"/>
  <c r="Q55" i="1"/>
  <c r="P55" i="1"/>
  <c r="Z54" i="1"/>
  <c r="Y54" i="1"/>
  <c r="X54" i="1"/>
  <c r="W54" i="1"/>
  <c r="V54" i="1"/>
  <c r="U54" i="1"/>
  <c r="T54" i="1"/>
  <c r="S54" i="1"/>
  <c r="R54" i="1"/>
  <c r="Q54" i="1"/>
  <c r="P54" i="1"/>
  <c r="Z53" i="1"/>
  <c r="Y53" i="1"/>
  <c r="X53" i="1"/>
  <c r="W53" i="1"/>
  <c r="V53" i="1"/>
  <c r="U53" i="1"/>
  <c r="T53" i="1"/>
  <c r="S53" i="1"/>
  <c r="R53" i="1"/>
  <c r="Q53" i="1"/>
  <c r="P53" i="1"/>
  <c r="Z52" i="1"/>
  <c r="Y52" i="1"/>
  <c r="X52" i="1"/>
  <c r="W52" i="1"/>
  <c r="V52" i="1"/>
  <c r="U52" i="1"/>
  <c r="T52" i="1"/>
  <c r="S52" i="1"/>
  <c r="R52" i="1"/>
  <c r="Q52" i="1"/>
  <c r="P52" i="1"/>
  <c r="Z51" i="1"/>
  <c r="Y51" i="1"/>
  <c r="X51" i="1"/>
  <c r="W51" i="1"/>
  <c r="V51" i="1"/>
  <c r="U51" i="1"/>
  <c r="T51" i="1"/>
  <c r="S51" i="1"/>
  <c r="R51" i="1"/>
  <c r="Q51" i="1"/>
  <c r="P51" i="1"/>
  <c r="Z50" i="1"/>
  <c r="Y50" i="1"/>
  <c r="X50" i="1"/>
  <c r="W50" i="1"/>
  <c r="V50" i="1"/>
  <c r="U50" i="1"/>
  <c r="T50" i="1"/>
  <c r="S50" i="1"/>
  <c r="R50" i="1"/>
  <c r="Q50" i="1"/>
  <c r="P50" i="1"/>
  <c r="Z49" i="1"/>
  <c r="Y49" i="1"/>
  <c r="X49" i="1"/>
  <c r="W49" i="1"/>
  <c r="V49" i="1"/>
  <c r="U49" i="1"/>
  <c r="T49" i="1"/>
  <c r="S49" i="1"/>
  <c r="R49" i="1"/>
  <c r="Q49" i="1"/>
  <c r="P49" i="1"/>
  <c r="Z48" i="1"/>
  <c r="Y48" i="1"/>
  <c r="X48" i="1"/>
  <c r="W48" i="1"/>
  <c r="V48" i="1"/>
  <c r="U48" i="1"/>
  <c r="T48" i="1"/>
  <c r="S48" i="1"/>
  <c r="R48" i="1"/>
  <c r="Q48" i="1"/>
  <c r="P48" i="1"/>
  <c r="Z47" i="1"/>
  <c r="Y47" i="1"/>
  <c r="X47" i="1"/>
  <c r="W47" i="1"/>
  <c r="V47" i="1"/>
  <c r="U47" i="1"/>
  <c r="T47" i="1"/>
  <c r="S47" i="1"/>
  <c r="R47" i="1"/>
  <c r="Q47" i="1"/>
  <c r="P47" i="1"/>
  <c r="Z46" i="1"/>
  <c r="Y46" i="1"/>
  <c r="X46" i="1"/>
  <c r="W46" i="1"/>
  <c r="V46" i="1"/>
  <c r="U46" i="1"/>
  <c r="T46" i="1"/>
  <c r="S46" i="1"/>
  <c r="R46" i="1"/>
  <c r="Q46" i="1"/>
  <c r="P46" i="1"/>
  <c r="Z45" i="1"/>
  <c r="Y45" i="1"/>
  <c r="X45" i="1"/>
  <c r="W45" i="1"/>
  <c r="V45" i="1"/>
  <c r="U45" i="1"/>
  <c r="T45" i="1"/>
  <c r="S45" i="1"/>
  <c r="R45" i="1"/>
  <c r="Q45" i="1"/>
  <c r="P45" i="1"/>
  <c r="Z44" i="1"/>
  <c r="Y44" i="1"/>
  <c r="X44" i="1"/>
  <c r="W44" i="1"/>
  <c r="V44" i="1"/>
  <c r="U44" i="1"/>
  <c r="T44" i="1"/>
  <c r="S44" i="1"/>
  <c r="R44" i="1"/>
  <c r="Q44" i="1"/>
  <c r="P44" i="1"/>
  <c r="Z43" i="1"/>
  <c r="Y43" i="1"/>
  <c r="X43" i="1"/>
  <c r="W43" i="1"/>
  <c r="V43" i="1"/>
  <c r="U43" i="1"/>
  <c r="T43" i="1"/>
  <c r="S43" i="1"/>
  <c r="R43" i="1"/>
  <c r="Q43" i="1"/>
  <c r="P43" i="1"/>
  <c r="Z42" i="1"/>
  <c r="Y42" i="1"/>
  <c r="X42" i="1"/>
  <c r="W42" i="1"/>
  <c r="V42" i="1"/>
  <c r="U42" i="1"/>
  <c r="T42" i="1"/>
  <c r="S42" i="1"/>
  <c r="R42" i="1"/>
  <c r="Q42" i="1"/>
  <c r="P42" i="1"/>
  <c r="Z41" i="1"/>
  <c r="Y41" i="1"/>
  <c r="X41" i="1"/>
  <c r="W41" i="1"/>
  <c r="V41" i="1"/>
  <c r="U41" i="1"/>
  <c r="T41" i="1"/>
  <c r="S41" i="1"/>
  <c r="R41" i="1"/>
  <c r="Q41" i="1"/>
  <c r="P41" i="1"/>
  <c r="Z40" i="1"/>
  <c r="Y40" i="1"/>
  <c r="X40" i="1"/>
  <c r="W40" i="1"/>
  <c r="V40" i="1"/>
  <c r="U40" i="1"/>
  <c r="T40" i="1"/>
  <c r="S40" i="1"/>
  <c r="R40" i="1"/>
  <c r="Q40" i="1"/>
  <c r="P40" i="1"/>
  <c r="Z39" i="1"/>
  <c r="Y39" i="1"/>
  <c r="X39" i="1"/>
  <c r="W39" i="1"/>
  <c r="V39" i="1"/>
  <c r="U39" i="1"/>
  <c r="T39" i="1"/>
  <c r="S39" i="1"/>
  <c r="R39" i="1"/>
  <c r="Q39" i="1"/>
  <c r="P39" i="1"/>
  <c r="Z38" i="1"/>
  <c r="Y38" i="1"/>
  <c r="X38" i="1"/>
  <c r="W38" i="1"/>
  <c r="V38" i="1"/>
  <c r="U38" i="1"/>
  <c r="T38" i="1"/>
  <c r="S38" i="1"/>
  <c r="R38" i="1"/>
  <c r="Q38" i="1"/>
  <c r="P38" i="1"/>
  <c r="Z37" i="1"/>
  <c r="Y37" i="1"/>
  <c r="X37" i="1"/>
  <c r="W37" i="1"/>
  <c r="V37" i="1"/>
  <c r="U37" i="1"/>
  <c r="T37" i="1"/>
  <c r="S37" i="1"/>
  <c r="R37" i="1"/>
  <c r="Q37" i="1"/>
  <c r="P37" i="1"/>
  <c r="Z36" i="1"/>
  <c r="Y36" i="1"/>
  <c r="X36" i="1"/>
  <c r="W36" i="1"/>
  <c r="V36" i="1"/>
  <c r="U36" i="1"/>
  <c r="T36" i="1"/>
  <c r="S36" i="1"/>
  <c r="R36" i="1"/>
  <c r="Q36" i="1"/>
  <c r="P36" i="1"/>
  <c r="Z35" i="1"/>
  <c r="Y35" i="1"/>
  <c r="X35" i="1"/>
  <c r="W35" i="1"/>
  <c r="V35" i="1"/>
  <c r="U35" i="1"/>
  <c r="T35" i="1"/>
  <c r="S35" i="1"/>
  <c r="R35" i="1"/>
  <c r="Q35" i="1"/>
  <c r="P35" i="1"/>
  <c r="Z34" i="1"/>
  <c r="Y34" i="1"/>
  <c r="X34" i="1"/>
  <c r="W34" i="1"/>
  <c r="V34" i="1"/>
  <c r="U34" i="1"/>
  <c r="T34" i="1"/>
  <c r="S34" i="1"/>
  <c r="R34" i="1"/>
  <c r="Q34" i="1"/>
  <c r="P34" i="1"/>
  <c r="Z33" i="1"/>
  <c r="Y33" i="1"/>
  <c r="X33" i="1"/>
  <c r="W33" i="1"/>
  <c r="V33" i="1"/>
  <c r="U33" i="1"/>
  <c r="T33" i="1"/>
  <c r="S33" i="1"/>
  <c r="R33" i="1"/>
  <c r="Q33" i="1"/>
  <c r="P33" i="1"/>
  <c r="Z32" i="1"/>
  <c r="Y32" i="1"/>
  <c r="X32" i="1"/>
  <c r="W32" i="1"/>
  <c r="V32" i="1"/>
  <c r="U32" i="1"/>
  <c r="T32" i="1"/>
  <c r="S32" i="1"/>
  <c r="R32" i="1"/>
  <c r="Q32" i="1"/>
  <c r="P32" i="1"/>
  <c r="Z31" i="1"/>
  <c r="Y31" i="1"/>
  <c r="X31" i="1"/>
  <c r="W31" i="1"/>
  <c r="V31" i="1"/>
  <c r="U31" i="1"/>
  <c r="T31" i="1"/>
  <c r="S31" i="1"/>
  <c r="R31" i="1"/>
  <c r="Q31" i="1"/>
  <c r="P31" i="1"/>
  <c r="Z30" i="1"/>
  <c r="Y30" i="1"/>
  <c r="X30" i="1"/>
  <c r="W30" i="1"/>
  <c r="V30" i="1"/>
  <c r="U30" i="1"/>
  <c r="T30" i="1"/>
  <c r="S30" i="1"/>
  <c r="R30" i="1"/>
  <c r="Q30" i="1"/>
  <c r="P30" i="1"/>
  <c r="Z29" i="1"/>
  <c r="Y29" i="1"/>
  <c r="X29" i="1"/>
  <c r="W29" i="1"/>
  <c r="V29" i="1"/>
  <c r="U29" i="1"/>
  <c r="T29" i="1"/>
  <c r="S29" i="1"/>
  <c r="R29" i="1"/>
  <c r="Q29" i="1"/>
  <c r="P29" i="1"/>
  <c r="Z28" i="1"/>
  <c r="Y28" i="1"/>
  <c r="X28" i="1"/>
  <c r="W28" i="1"/>
  <c r="V28" i="1"/>
  <c r="U28" i="1"/>
  <c r="T28" i="1"/>
  <c r="S28" i="1"/>
  <c r="R28" i="1"/>
  <c r="Q28" i="1"/>
  <c r="P28" i="1"/>
  <c r="Z27" i="1"/>
  <c r="Y27" i="1"/>
  <c r="X27" i="1"/>
  <c r="W27" i="1"/>
  <c r="V27" i="1"/>
  <c r="U27" i="1"/>
  <c r="T27" i="1"/>
  <c r="S27" i="1"/>
  <c r="R27" i="1"/>
  <c r="Q27" i="1"/>
  <c r="P27" i="1"/>
  <c r="Z26" i="1"/>
  <c r="Y26" i="1"/>
  <c r="X26" i="1"/>
  <c r="W26" i="1"/>
  <c r="V26" i="1"/>
  <c r="U26" i="1"/>
  <c r="T26" i="1"/>
  <c r="S26" i="1"/>
  <c r="R26" i="1"/>
  <c r="Q26" i="1"/>
  <c r="P26" i="1"/>
  <c r="Z25" i="1"/>
  <c r="Y25" i="1"/>
  <c r="X25" i="1"/>
  <c r="W25" i="1"/>
  <c r="V25" i="1"/>
  <c r="U25" i="1"/>
  <c r="T25" i="1"/>
  <c r="S25" i="1"/>
  <c r="R25" i="1"/>
  <c r="Q25" i="1"/>
  <c r="P25" i="1"/>
  <c r="Z24" i="1"/>
  <c r="Y24" i="1"/>
  <c r="X24" i="1"/>
  <c r="W24" i="1"/>
  <c r="V24" i="1"/>
  <c r="U24" i="1"/>
  <c r="T24" i="1"/>
  <c r="S24" i="1"/>
  <c r="R24" i="1"/>
  <c r="Q24" i="1"/>
  <c r="P24" i="1"/>
  <c r="Z23" i="1"/>
  <c r="Y23" i="1"/>
  <c r="X23" i="1"/>
  <c r="W23" i="1"/>
  <c r="V23" i="1"/>
  <c r="U23" i="1"/>
  <c r="T23" i="1"/>
  <c r="S23" i="1"/>
  <c r="R23" i="1"/>
  <c r="Q23" i="1"/>
  <c r="P23" i="1"/>
  <c r="Z22" i="1"/>
  <c r="Y22" i="1"/>
  <c r="X22" i="1"/>
  <c r="W22" i="1"/>
  <c r="V22" i="1"/>
  <c r="U22" i="1"/>
  <c r="T22" i="1"/>
  <c r="S22" i="1"/>
  <c r="R22" i="1"/>
  <c r="Q22" i="1"/>
  <c r="P22" i="1"/>
  <c r="Z21" i="1"/>
  <c r="Y21" i="1"/>
  <c r="X21" i="1"/>
  <c r="W21" i="1"/>
  <c r="V21" i="1"/>
  <c r="U21" i="1"/>
  <c r="T21" i="1"/>
  <c r="S21" i="1"/>
  <c r="R21" i="1"/>
  <c r="Q21" i="1"/>
  <c r="P21" i="1"/>
  <c r="Z20" i="1"/>
  <c r="Y20" i="1"/>
  <c r="X20" i="1"/>
  <c r="W20" i="1"/>
  <c r="V20" i="1"/>
  <c r="U20" i="1"/>
  <c r="T20" i="1"/>
  <c r="S20" i="1"/>
  <c r="R20" i="1"/>
  <c r="Q20" i="1"/>
  <c r="P20" i="1"/>
  <c r="Z19" i="1"/>
  <c r="Y19" i="1"/>
  <c r="X19" i="1"/>
  <c r="W19" i="1"/>
  <c r="V19" i="1"/>
  <c r="U19" i="1"/>
  <c r="T19" i="1"/>
  <c r="S19" i="1"/>
  <c r="R19" i="1"/>
  <c r="Q19" i="1"/>
  <c r="P19" i="1"/>
  <c r="Z18" i="1"/>
  <c r="Y18" i="1"/>
  <c r="X18" i="1"/>
  <c r="W18" i="1"/>
  <c r="V18" i="1"/>
  <c r="U18" i="1"/>
  <c r="T18" i="1"/>
  <c r="S18" i="1"/>
  <c r="R18" i="1"/>
  <c r="Q18" i="1"/>
  <c r="P18" i="1"/>
  <c r="Z17" i="1"/>
  <c r="Y17" i="1"/>
  <c r="X17" i="1"/>
  <c r="W17" i="1"/>
  <c r="V17" i="1"/>
  <c r="U17" i="1"/>
  <c r="T17" i="1"/>
  <c r="S17" i="1"/>
  <c r="R17" i="1"/>
  <c r="Q17" i="1"/>
  <c r="P17" i="1"/>
  <c r="Z16" i="1"/>
  <c r="Y16" i="1"/>
  <c r="X16" i="1"/>
  <c r="W16" i="1"/>
  <c r="V16" i="1"/>
  <c r="U16" i="1"/>
  <c r="T16" i="1"/>
  <c r="S16" i="1"/>
  <c r="R16" i="1"/>
  <c r="Q16" i="1"/>
  <c r="P16" i="1"/>
  <c r="Z15" i="1"/>
  <c r="Y15" i="1"/>
  <c r="X15" i="1"/>
  <c r="W15" i="1"/>
  <c r="V15" i="1"/>
  <c r="U15" i="1"/>
  <c r="T15" i="1"/>
  <c r="S15" i="1"/>
  <c r="R15" i="1"/>
  <c r="Q15" i="1"/>
  <c r="P15" i="1"/>
  <c r="Z14" i="1"/>
  <c r="Y14" i="1"/>
  <c r="X14" i="1"/>
  <c r="W14" i="1"/>
  <c r="V14" i="1"/>
  <c r="U14" i="1"/>
  <c r="T14" i="1"/>
  <c r="S14" i="1"/>
  <c r="R14" i="1"/>
  <c r="Q14" i="1"/>
  <c r="P14" i="1"/>
  <c r="Z13" i="1"/>
  <c r="Y13" i="1"/>
  <c r="X13" i="1"/>
  <c r="W13" i="1"/>
  <c r="V13" i="1"/>
  <c r="U13" i="1"/>
  <c r="T13" i="1"/>
  <c r="S13" i="1"/>
  <c r="R13" i="1"/>
  <c r="Q13" i="1"/>
  <c r="P13" i="1"/>
  <c r="Z12" i="1"/>
  <c r="Y12" i="1"/>
  <c r="X12" i="1"/>
  <c r="W12" i="1"/>
  <c r="V12" i="1"/>
  <c r="U12" i="1"/>
  <c r="T12" i="1"/>
  <c r="S12" i="1"/>
  <c r="R12" i="1"/>
  <c r="Q12" i="1"/>
  <c r="P12" i="1"/>
  <c r="Z11" i="1"/>
  <c r="Y11" i="1"/>
  <c r="X11" i="1"/>
  <c r="W11" i="1"/>
  <c r="V11" i="1"/>
  <c r="U11" i="1"/>
  <c r="T11" i="1"/>
  <c r="S11" i="1"/>
  <c r="R11" i="1"/>
  <c r="Q11" i="1"/>
  <c r="P11" i="1"/>
  <c r="Z10" i="1"/>
  <c r="Y10" i="1"/>
  <c r="X10" i="1"/>
  <c r="W10" i="1"/>
  <c r="V10" i="1"/>
  <c r="U10" i="1"/>
  <c r="T10" i="1"/>
  <c r="S10" i="1"/>
  <c r="R10" i="1"/>
  <c r="Q10" i="1"/>
  <c r="P10" i="1"/>
  <c r="Z9" i="1"/>
  <c r="Y9" i="1"/>
  <c r="X9" i="1"/>
  <c r="W9" i="1"/>
  <c r="V9" i="1"/>
  <c r="U9" i="1"/>
  <c r="T9" i="1"/>
  <c r="S9" i="1"/>
  <c r="R9" i="1"/>
  <c r="Q9" i="1"/>
  <c r="P9" i="1"/>
  <c r="Z8" i="1"/>
  <c r="Y8" i="1"/>
  <c r="X8" i="1"/>
  <c r="W8" i="1"/>
  <c r="V8" i="1"/>
  <c r="U8" i="1"/>
  <c r="T8" i="1"/>
  <c r="S8" i="1"/>
  <c r="R8" i="1"/>
  <c r="Q8" i="1"/>
  <c r="P8" i="1"/>
  <c r="Z7" i="1"/>
  <c r="Y7" i="1"/>
  <c r="X7" i="1"/>
  <c r="W7" i="1"/>
  <c r="V7" i="1"/>
  <c r="U7" i="1"/>
  <c r="T7" i="1"/>
  <c r="S7" i="1"/>
  <c r="R7" i="1"/>
  <c r="Q7" i="1"/>
  <c r="P7" i="1"/>
  <c r="Z6" i="1"/>
  <c r="Y6" i="1"/>
  <c r="X6" i="1"/>
  <c r="W6" i="1"/>
  <c r="V6" i="1"/>
  <c r="U6" i="1"/>
  <c r="T6" i="1"/>
  <c r="S6" i="1"/>
  <c r="R6" i="1"/>
  <c r="Q6" i="1"/>
  <c r="P6" i="1"/>
  <c r="Z5" i="1"/>
  <c r="Y5" i="1"/>
  <c r="X5" i="1"/>
  <c r="W5" i="1"/>
  <c r="V5" i="1"/>
  <c r="U5" i="1"/>
  <c r="T5" i="1"/>
  <c r="S5" i="1"/>
  <c r="R5" i="1"/>
  <c r="Q5" i="1"/>
  <c r="P5" i="1"/>
  <c r="Z4" i="1"/>
  <c r="Y4" i="1"/>
  <c r="X4" i="1"/>
  <c r="W4" i="1"/>
  <c r="V4" i="1"/>
  <c r="U4" i="1"/>
  <c r="T4" i="1"/>
  <c r="S4" i="1"/>
  <c r="R4" i="1"/>
  <c r="Q4" i="1"/>
  <c r="P4" i="1"/>
  <c r="Z3" i="1"/>
  <c r="Y3" i="1"/>
  <c r="X3" i="1"/>
  <c r="W3" i="1"/>
  <c r="V3" i="1"/>
  <c r="U3" i="1"/>
  <c r="T3" i="1"/>
  <c r="S3" i="1"/>
  <c r="R3" i="1"/>
  <c r="Q3" i="1"/>
  <c r="P3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Z1" i="1"/>
  <c r="Y1" i="1"/>
  <c r="X1" i="1"/>
  <c r="W1" i="1"/>
  <c r="V1" i="1"/>
  <c r="U1" i="1"/>
  <c r="T1" i="1"/>
  <c r="S1" i="1"/>
  <c r="R1" i="1"/>
  <c r="Q1" i="1"/>
  <c r="P1" i="1"/>
  <c r="O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<sst xmlns="http://schemas.openxmlformats.org/spreadsheetml/2006/main" count="44" uniqueCount="44">
  <si>
    <t>Rotman Index</t>
  </si>
  <si>
    <t>Rotman Index Futures</t>
  </si>
  <si>
    <t>GD Stock</t>
  </si>
  <si>
    <t>POP Stock</t>
  </si>
  <si>
    <t>RMS Stock</t>
  </si>
  <si>
    <t>BBL Stock</t>
  </si>
  <si>
    <t>TC Stock</t>
  </si>
  <si>
    <t>GEB Stock</t>
  </si>
  <si>
    <t>PKR Stock</t>
  </si>
  <si>
    <t>TTW Stock</t>
  </si>
  <si>
    <t>NWL Stock</t>
  </si>
  <si>
    <t>GGS Stock</t>
  </si>
  <si>
    <t>Tick</t>
  </si>
  <si>
    <t>RTX</t>
  </si>
  <si>
    <t>RTF</t>
  </si>
  <si>
    <t>GD</t>
  </si>
  <si>
    <t>POP</t>
  </si>
  <si>
    <t>RMS</t>
  </si>
  <si>
    <t>BBL</t>
  </si>
  <si>
    <t>TC</t>
  </si>
  <si>
    <t>GEB</t>
  </si>
  <si>
    <t>PKR</t>
  </si>
  <si>
    <t>TTW</t>
  </si>
  <si>
    <t>NWL</t>
  </si>
  <si>
    <t>GGS</t>
  </si>
  <si>
    <t>BETA</t>
  </si>
  <si>
    <t>Price</t>
  </si>
  <si>
    <t xml:space="preserve">CS </t>
  </si>
  <si>
    <t>Q1</t>
  </si>
  <si>
    <t>Value</t>
  </si>
  <si>
    <t>Weight</t>
  </si>
  <si>
    <t>Weighted Avg Beta of portfoilio</t>
  </si>
  <si>
    <t>Multiplier</t>
  </si>
  <si>
    <t>Actual per futures</t>
  </si>
  <si>
    <t>Q2</t>
  </si>
  <si>
    <t>Beta Target</t>
  </si>
  <si>
    <t xml:space="preserve">Short </t>
  </si>
  <si>
    <t>Q3</t>
  </si>
  <si>
    <t>Bid Ask Spread</t>
  </si>
  <si>
    <t>To be  bought or sold</t>
  </si>
  <si>
    <t>TOTALS</t>
  </si>
  <si>
    <t>Buy Stock Fee</t>
  </si>
  <si>
    <t>Sell Stock Fee</t>
  </si>
  <si>
    <t>Total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</si>
</sst>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7" formatCode="0.0\x"/>
    <numFmt numFmtId="170" formatCode="0.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">
    <xf numFmtId="0" fontId="0" fillId="0" borderId="0" xfId="0"/>
    <xf numFmtId="43" fontId="0" fillId="0" borderId="0" xfId="1" applyFont="1"/>
    <xf numFmtId="44" fontId="0" fillId="0" borderId="0" xfId="2" applyFont="1"/>
    <xf numFmtId="0" fontId="2" fillId="0" borderId="0" xfId="0" applyFont="1"/>
    <xf numFmtId="0" fontId="2" fillId="0" borderId="1" xfId="0" applyFont="1" applyBorder="1"/>
    <xf numFmtId="10" fontId="0" fillId="0" borderId="0" xfId="3" applyNumberFormat="1" applyFont="1"/>
    <xf numFmtId="10" fontId="3" fillId="0" borderId="0" xfId="3" applyNumberFormat="1" applyFont="1" applyAlignment="1">
      <alignment horizontal="center"/>
    </xf>
    <xf numFmtId="2" fontId="0" fillId="0" borderId="0" xfId="0" applyNumberFormat="1"/>
    <xf numFmtId="43" fontId="0" fillId="0" borderId="0" xfId="0" applyNumberFormat="1"/>
    <xf numFmtId="41" fontId="0" fillId="0" borderId="1" xfId="0" applyNumberFormat="1" applyBorder="1"/>
    <xf numFmtId="167" fontId="0" fillId="0" borderId="0" xfId="0" applyNumberFormat="1" applyAlignment="1">
      <alignment horizontal="center"/>
    </xf>
    <xf numFmtId="170" fontId="0" fillId="0" borderId="2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41" fontId="2" fillId="0" borderId="1" xfId="0" applyNumberFormat="1" applyFont="1" applyBorder="1"/>
    <xf numFmtId="10" fontId="2" fillId="0" borderId="0" xfId="3" applyNumberFormat="1" applyFont="1"/>
    <xf numFmtId="3" fontId="0" fillId="0" borderId="1" xfId="0" applyNumberFormat="1" applyBorder="1"/>
    <xf numFmtId="43" fontId="2" fillId="0" borderId="0" xfId="0" applyNumberFormat="1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84F3B-449A-450D-BBD0-63EAAA191D29}">
  <dimension ref="A2:N30"/>
  <sheetViews>
    <sheetView tabSelected="1" topLeftCell="A8" workbookViewId="0">
      <selection activeCell="D33" sqref="D33"/>
    </sheetView>
  </sheetViews>
  <sheetFormatPr defaultRowHeight="14.25" x14ac:dyDescent="0.45"/>
  <cols>
    <col min="2" max="3" width="10.59765625" customWidth="1"/>
    <col min="4" max="13" width="12.59765625" customWidth="1"/>
    <col min="14" max="14" width="11.86328125" bestFit="1" customWidth="1"/>
  </cols>
  <sheetData>
    <row r="2" spans="1:14" x14ac:dyDescent="0.45">
      <c r="B2" t="str">
        <f>'Hedging 1 Data Supplement'!B2</f>
        <v>RTX</v>
      </c>
      <c r="C2" t="str">
        <f>'Hedging 1 Data Supplement'!C2</f>
        <v>RTF</v>
      </c>
      <c r="D2" t="str">
        <f>'Hedging 1 Data Supplement'!D2</f>
        <v>GD</v>
      </c>
      <c r="E2" t="str">
        <f>'Hedging 1 Data Supplement'!E2</f>
        <v>POP</v>
      </c>
      <c r="F2" t="str">
        <f>'Hedging 1 Data Supplement'!F2</f>
        <v>RMS</v>
      </c>
      <c r="G2" t="str">
        <f>'Hedging 1 Data Supplement'!G2</f>
        <v>BBL</v>
      </c>
      <c r="H2" t="str">
        <f>'Hedging 1 Data Supplement'!H2</f>
        <v>TC</v>
      </c>
      <c r="I2" t="str">
        <f>'Hedging 1 Data Supplement'!I2</f>
        <v>GEB</v>
      </c>
      <c r="J2" t="str">
        <f>'Hedging 1 Data Supplement'!J2</f>
        <v>PKR</v>
      </c>
      <c r="K2" t="str">
        <f>'Hedging 1 Data Supplement'!K2</f>
        <v>TTW</v>
      </c>
      <c r="L2" t="str">
        <f>'Hedging 1 Data Supplement'!L2</f>
        <v>NWL</v>
      </c>
      <c r="M2" t="str">
        <f>'Hedging 1 Data Supplement'!M2</f>
        <v>GGS</v>
      </c>
      <c r="N2" s="3" t="s">
        <v>40</v>
      </c>
    </row>
    <row r="3" spans="1:14" x14ac:dyDescent="0.45">
      <c r="A3" t="s">
        <v>25</v>
      </c>
      <c r="B3">
        <v>1</v>
      </c>
      <c r="C3" s="7">
        <f>-_xlfn.COVARIANCE.S('Hedging 1 Data Supplement'!P3:P301,'Hedging 1 Data Supplement'!$P$3:$P$301)/_xlfn.VAR.S('Hedging 1 Data Supplement'!$P$3:$P$301)</f>
        <v>-0.99999999999999967</v>
      </c>
      <c r="D3" s="7">
        <f>_xlfn.COVARIANCE.S('Hedging 1 Data Supplement'!Q3:Q301,'Hedging 1 Data Supplement'!$P$3:$P$301)/_xlfn.VAR.S('Hedging 1 Data Supplement'!$P$3:$P$301)</f>
        <v>1.009499405694918</v>
      </c>
      <c r="E3" s="7">
        <f>_xlfn.COVARIANCE.S('Hedging 1 Data Supplement'!R3:R301,'Hedging 1 Data Supplement'!$P$3:$P$301)/_xlfn.VAR.S('Hedging 1 Data Supplement'!$P$3:$P$301)</f>
        <v>1.294380143657009</v>
      </c>
      <c r="F3" s="7">
        <f>_xlfn.COVARIANCE.S('Hedging 1 Data Supplement'!S3:S301,'Hedging 1 Data Supplement'!$P$3:$P$301)/_xlfn.VAR.S('Hedging 1 Data Supplement'!$P$3:$P$301)</f>
        <v>0.77623567857420384</v>
      </c>
      <c r="G3" s="7">
        <f>_xlfn.COVARIANCE.S('Hedging 1 Data Supplement'!T3:T301,'Hedging 1 Data Supplement'!$P$3:$P$301)/_xlfn.VAR.S('Hedging 1 Data Supplement'!$P$3:$P$301)</f>
        <v>1.3698528688657783</v>
      </c>
      <c r="H3" s="7">
        <f>_xlfn.COVARIANCE.S('Hedging 1 Data Supplement'!U3:U301,'Hedging 1 Data Supplement'!$P$3:$P$301)/_xlfn.VAR.S('Hedging 1 Data Supplement'!$P$3:$P$301)</f>
        <v>1.0674403535825345</v>
      </c>
      <c r="I3" s="7">
        <f>_xlfn.COVARIANCE.S('Hedging 1 Data Supplement'!V3:V301,'Hedging 1 Data Supplement'!$P$3:$P$301)/_xlfn.VAR.S('Hedging 1 Data Supplement'!$P$3:$P$301)</f>
        <v>1.2805291386914721</v>
      </c>
      <c r="J3" s="7">
        <f>_xlfn.COVARIANCE.S('Hedging 1 Data Supplement'!W3:W301,'Hedging 1 Data Supplement'!$P$3:$P$301)/_xlfn.VAR.S('Hedging 1 Data Supplement'!$P$3:$P$301)</f>
        <v>1.3975617781289933</v>
      </c>
      <c r="K3" s="7">
        <f>_xlfn.COVARIANCE.S('Hedging 1 Data Supplement'!X3:X301,'Hedging 1 Data Supplement'!$P$3:$P$301)/_xlfn.VAR.S('Hedging 1 Data Supplement'!$P$3:$P$301)</f>
        <v>1.4836910074214213</v>
      </c>
      <c r="L3" s="7">
        <f>_xlfn.COVARIANCE.S('Hedging 1 Data Supplement'!Y3:Y301,'Hedging 1 Data Supplement'!$P$3:$P$301)/_xlfn.VAR.S('Hedging 1 Data Supplement'!$P$3:$P$301)</f>
        <v>0.97723622270446353</v>
      </c>
      <c r="M3" s="7">
        <f>_xlfn.COVARIANCE.S('Hedging 1 Data Supplement'!Z3:Z301,'Hedging 1 Data Supplement'!$P$3:$P$301)/_xlfn.VAR.S('Hedging 1 Data Supplement'!$P$3:$P$301)</f>
        <v>1.0509435998607459</v>
      </c>
      <c r="N3" s="3"/>
    </row>
    <row r="4" spans="1:14" x14ac:dyDescent="0.45">
      <c r="A4" t="s">
        <v>26</v>
      </c>
      <c r="B4" s="8">
        <f>'Hedging 1 Data Supplement'!B3</f>
        <v>1050</v>
      </c>
      <c r="C4" s="8">
        <f>'Hedging 1 Data Supplement'!C3</f>
        <v>1050</v>
      </c>
      <c r="D4" s="8">
        <f>'Hedging 1 Data Supplement'!D3</f>
        <v>50</v>
      </c>
      <c r="E4" s="8">
        <f>'Hedging 1 Data Supplement'!E3</f>
        <v>80</v>
      </c>
      <c r="F4" s="8">
        <f>'Hedging 1 Data Supplement'!F3</f>
        <v>25</v>
      </c>
      <c r="G4" s="8">
        <f>'Hedging 1 Data Supplement'!G3</f>
        <v>16</v>
      </c>
      <c r="H4" s="8">
        <f>'Hedging 1 Data Supplement'!H3</f>
        <v>84</v>
      </c>
      <c r="I4" s="8">
        <f>'Hedging 1 Data Supplement'!I3</f>
        <v>52</v>
      </c>
      <c r="J4" s="8">
        <f>'Hedging 1 Data Supplement'!J3</f>
        <v>154</v>
      </c>
      <c r="K4" s="8">
        <f>'Hedging 1 Data Supplement'!K3</f>
        <v>62</v>
      </c>
      <c r="L4" s="8">
        <f>'Hedging 1 Data Supplement'!L3</f>
        <v>8</v>
      </c>
      <c r="M4" s="8">
        <f>'Hedging 1 Data Supplement'!M3</f>
        <v>21</v>
      </c>
      <c r="N4" s="3"/>
    </row>
    <row r="5" spans="1:14" x14ac:dyDescent="0.45">
      <c r="A5" t="s">
        <v>27</v>
      </c>
      <c r="D5">
        <v>176000</v>
      </c>
      <c r="E5">
        <v>156250</v>
      </c>
      <c r="F5">
        <v>580000</v>
      </c>
      <c r="G5">
        <v>281250</v>
      </c>
      <c r="H5">
        <v>100000</v>
      </c>
      <c r="I5">
        <v>200000</v>
      </c>
      <c r="J5">
        <v>100000</v>
      </c>
      <c r="K5">
        <v>200000</v>
      </c>
      <c r="L5">
        <v>1112500</v>
      </c>
      <c r="M5">
        <v>200000</v>
      </c>
      <c r="N5" s="3">
        <f>SUM(D5:M5)</f>
        <v>3106000</v>
      </c>
    </row>
    <row r="6" spans="1:14" x14ac:dyDescent="0.45">
      <c r="A6" t="s">
        <v>29</v>
      </c>
      <c r="D6" s="9">
        <f>D4*D5</f>
        <v>8800000</v>
      </c>
      <c r="E6" s="9">
        <f t="shared" ref="E6:N6" si="0">E4*E5</f>
        <v>12500000</v>
      </c>
      <c r="F6" s="9">
        <f t="shared" si="0"/>
        <v>14500000</v>
      </c>
      <c r="G6" s="9">
        <f t="shared" si="0"/>
        <v>4500000</v>
      </c>
      <c r="H6" s="9">
        <f t="shared" si="0"/>
        <v>8400000</v>
      </c>
      <c r="I6" s="9">
        <f t="shared" si="0"/>
        <v>10400000</v>
      </c>
      <c r="J6" s="9">
        <f t="shared" si="0"/>
        <v>15400000</v>
      </c>
      <c r="K6" s="9">
        <f t="shared" si="0"/>
        <v>12400000</v>
      </c>
      <c r="L6" s="9">
        <f t="shared" si="0"/>
        <v>8900000</v>
      </c>
      <c r="M6" s="9">
        <f t="shared" si="0"/>
        <v>4200000</v>
      </c>
      <c r="N6" s="14">
        <f>SUM(D6:M6)</f>
        <v>100000000</v>
      </c>
    </row>
    <row r="7" spans="1:14" x14ac:dyDescent="0.45">
      <c r="A7" t="s">
        <v>30</v>
      </c>
      <c r="D7" s="5">
        <f>D6/$N$6</f>
        <v>8.7999999999999995E-2</v>
      </c>
      <c r="E7" s="5">
        <f t="shared" ref="E7:N7" si="1">E6/$N$6</f>
        <v>0.125</v>
      </c>
      <c r="F7" s="5">
        <f t="shared" si="1"/>
        <v>0.14499999999999999</v>
      </c>
      <c r="G7" s="5">
        <f t="shared" si="1"/>
        <v>4.4999999999999998E-2</v>
      </c>
      <c r="H7" s="5">
        <f t="shared" si="1"/>
        <v>8.4000000000000005E-2</v>
      </c>
      <c r="I7" s="5">
        <f t="shared" si="1"/>
        <v>0.104</v>
      </c>
      <c r="J7" s="5">
        <f t="shared" si="1"/>
        <v>0.154</v>
      </c>
      <c r="K7" s="5">
        <f t="shared" si="1"/>
        <v>0.124</v>
      </c>
      <c r="L7" s="5">
        <f t="shared" si="1"/>
        <v>8.8999999999999996E-2</v>
      </c>
      <c r="M7" s="5">
        <f t="shared" si="1"/>
        <v>4.2000000000000003E-2</v>
      </c>
      <c r="N7" s="15">
        <f t="shared" si="1"/>
        <v>1</v>
      </c>
    </row>
    <row r="11" spans="1:14" x14ac:dyDescent="0.45">
      <c r="A11" t="s">
        <v>28</v>
      </c>
    </row>
    <row r="12" spans="1:14" x14ac:dyDescent="0.45">
      <c r="A12" t="s">
        <v>31</v>
      </c>
      <c r="D12" s="11" cm="1">
        <f t="array" ref="D12">SUM(D7:M7*D3:M3)</f>
        <v>1.1779868920423144</v>
      </c>
    </row>
    <row r="14" spans="1:14" x14ac:dyDescent="0.45">
      <c r="A14" t="s">
        <v>32</v>
      </c>
      <c r="D14" s="10">
        <v>250</v>
      </c>
    </row>
    <row r="15" spans="1:14" x14ac:dyDescent="0.45">
      <c r="A15" t="s">
        <v>33</v>
      </c>
      <c r="D15" s="8">
        <f>C4*D14</f>
        <v>262500</v>
      </c>
    </row>
    <row r="19" spans="1:4" x14ac:dyDescent="0.45">
      <c r="A19" t="s">
        <v>34</v>
      </c>
    </row>
    <row r="21" spans="1:4" x14ac:dyDescent="0.45">
      <c r="A21" t="s">
        <v>35</v>
      </c>
      <c r="D21" s="12">
        <v>0</v>
      </c>
    </row>
    <row r="23" spans="1:4" x14ac:dyDescent="0.45">
      <c r="A23" t="s">
        <v>36</v>
      </c>
      <c r="D23">
        <f>D12*N6/D15</f>
        <v>448.75691125421503</v>
      </c>
    </row>
    <row r="25" spans="1:4" x14ac:dyDescent="0.45">
      <c r="A25" t="s">
        <v>37</v>
      </c>
    </row>
    <row r="26" spans="1:4" x14ac:dyDescent="0.45">
      <c r="A26" t="s">
        <v>38</v>
      </c>
      <c r="D26">
        <v>0.01</v>
      </c>
    </row>
    <row r="27" spans="1:4" x14ac:dyDescent="0.45">
      <c r="A27" s="13" t="s">
        <v>39</v>
      </c>
      <c r="B27" s="13"/>
      <c r="C27" s="13"/>
      <c r="D27" s="16">
        <f>SUM(D5:M5)</f>
        <v>3106000</v>
      </c>
    </row>
    <row r="28" spans="1:4" x14ac:dyDescent="0.45">
      <c r="A28" t="s">
        <v>41</v>
      </c>
      <c r="D28">
        <f>D26*$D$27</f>
        <v>31060</v>
      </c>
    </row>
    <row r="29" spans="1:4" x14ac:dyDescent="0.45">
      <c r="A29" s="13" t="s">
        <v>42</v>
      </c>
      <c r="B29" s="13"/>
      <c r="C29" s="13"/>
      <c r="D29" s="13">
        <f>D28</f>
        <v>31060</v>
      </c>
    </row>
    <row r="30" spans="1:4" x14ac:dyDescent="0.45">
      <c r="A30" s="17" t="s">
        <v>43</v>
      </c>
      <c r="B30" s="17"/>
      <c r="C30" s="17"/>
      <c r="D30" s="17">
        <f>SUM(D28:D29)</f>
        <v>62120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02"/>
  <sheetViews>
    <sheetView workbookViewId="0">
      <selection activeCell="C2" sqref="C2"/>
    </sheetView>
  </sheetViews>
  <sheetFormatPr defaultRowHeight="14.25" x14ac:dyDescent="0.45"/>
  <cols>
    <col min="2" max="2" width="14.33203125" customWidth="1"/>
    <col min="3" max="3" width="13.33203125" customWidth="1"/>
    <col min="4" max="13" width="9.86328125" customWidth="1"/>
  </cols>
  <sheetData>
    <row r="1" spans="1:26" x14ac:dyDescent="0.45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O1" t="str">
        <f>B2</f>
        <v>RTX</v>
      </c>
      <c r="P1" t="str">
        <f>C2</f>
        <v>RTF</v>
      </c>
      <c r="Q1" t="str">
        <f>D2</f>
        <v>GD</v>
      </c>
      <c r="R1" t="str">
        <f>E2</f>
        <v>POP</v>
      </c>
      <c r="S1" t="str">
        <f>F2</f>
        <v>RMS</v>
      </c>
      <c r="T1" t="str">
        <f>G2</f>
        <v>BBL</v>
      </c>
      <c r="U1" t="str">
        <f>H2</f>
        <v>TC</v>
      </c>
      <c r="V1" t="str">
        <f>I2</f>
        <v>GEB</v>
      </c>
      <c r="W1" t="str">
        <f>J2</f>
        <v>PKR</v>
      </c>
      <c r="X1" t="str">
        <f>K2</f>
        <v>TTW</v>
      </c>
      <c r="Y1" t="str">
        <f>L2</f>
        <v>NWL</v>
      </c>
      <c r="Z1" t="str">
        <f>M2</f>
        <v>GGS</v>
      </c>
    </row>
    <row r="2" spans="1:26" x14ac:dyDescent="0.45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  <c r="F2" s="4" t="s">
        <v>17</v>
      </c>
      <c r="G2" s="4" t="s">
        <v>18</v>
      </c>
      <c r="H2" s="4" t="s">
        <v>19</v>
      </c>
      <c r="I2" s="4" t="s">
        <v>20</v>
      </c>
      <c r="J2" s="4" t="s">
        <v>21</v>
      </c>
      <c r="K2" s="4" t="s">
        <v>22</v>
      </c>
      <c r="L2" s="4" t="s">
        <v>23</v>
      </c>
      <c r="M2" s="4" t="s">
        <v>24</v>
      </c>
    </row>
    <row r="3" spans="1:26" x14ac:dyDescent="0.45">
      <c r="A3">
        <v>1</v>
      </c>
      <c r="B3" s="1">
        <v>1050</v>
      </c>
      <c r="C3" s="1">
        <v>1050</v>
      </c>
      <c r="D3" s="2">
        <v>50</v>
      </c>
      <c r="E3" s="2">
        <v>80</v>
      </c>
      <c r="F3" s="2">
        <v>25</v>
      </c>
      <c r="G3" s="2">
        <v>16</v>
      </c>
      <c r="H3" s="2">
        <v>84</v>
      </c>
      <c r="I3" s="2">
        <v>52</v>
      </c>
      <c r="J3" s="2">
        <v>154</v>
      </c>
      <c r="K3" s="2">
        <v>62</v>
      </c>
      <c r="L3" s="2">
        <v>8</v>
      </c>
      <c r="M3" s="2">
        <v>21</v>
      </c>
      <c r="O3" s="6">
        <f>B4/B3-1</f>
        <v>1.0740480601643121E-3</v>
      </c>
      <c r="P3" s="6">
        <f t="shared" ref="P3:Z18" si="0">C4/C3-1</f>
        <v>1.0740480601643121E-3</v>
      </c>
      <c r="Q3" s="6">
        <f t="shared" si="0"/>
        <v>-1.1535587659083912E-4</v>
      </c>
      <c r="R3" s="6">
        <f t="shared" si="0"/>
        <v>-1.8077530983392487E-3</v>
      </c>
      <c r="S3" s="6">
        <f t="shared" si="0"/>
        <v>-1.8430264443738409E-3</v>
      </c>
      <c r="T3" s="6">
        <f t="shared" si="0"/>
        <v>3.5271937593184255E-4</v>
      </c>
      <c r="U3" s="6">
        <f t="shared" si="0"/>
        <v>1.4106325634748451E-3</v>
      </c>
      <c r="V3" s="6">
        <f t="shared" si="0"/>
        <v>-8.7632983937389053E-3</v>
      </c>
      <c r="W3" s="6">
        <f t="shared" si="0"/>
        <v>-5.5073762850365027E-3</v>
      </c>
      <c r="X3" s="6">
        <f t="shared" si="0"/>
        <v>-1.3652918180222517E-3</v>
      </c>
      <c r="Y3" s="6">
        <f t="shared" si="0"/>
        <v>9.1554766651187336E-3</v>
      </c>
      <c r="Z3" s="6">
        <f t="shared" si="0"/>
        <v>1.3924681491128688E-3</v>
      </c>
    </row>
    <row r="4" spans="1:26" x14ac:dyDescent="0.45">
      <c r="A4">
        <v>2</v>
      </c>
      <c r="B4" s="1">
        <v>1051.1277504631726</v>
      </c>
      <c r="C4" s="1">
        <v>1051.1277504631726</v>
      </c>
      <c r="D4" s="2">
        <v>49.994232206170459</v>
      </c>
      <c r="E4" s="2">
        <v>79.855379752132862</v>
      </c>
      <c r="F4" s="2">
        <v>24.953924338890655</v>
      </c>
      <c r="G4" s="2">
        <v>16.005643510014909</v>
      </c>
      <c r="H4" s="2">
        <v>84.118493135331889</v>
      </c>
      <c r="I4" s="2">
        <v>51.544308483525576</v>
      </c>
      <c r="J4" s="2">
        <v>153.15186405210437</v>
      </c>
      <c r="K4" s="2">
        <v>61.91535190728262</v>
      </c>
      <c r="L4" s="2">
        <v>8.0732438133209499</v>
      </c>
      <c r="M4" s="2">
        <v>21.029241831131369</v>
      </c>
      <c r="O4" s="6">
        <f t="shared" ref="O4:O67" si="1">B5/B4-1</f>
        <v>6.2285540691986441E-4</v>
      </c>
      <c r="P4" s="6">
        <f t="shared" si="0"/>
        <v>6.2285540691986441E-4</v>
      </c>
      <c r="Q4" s="6">
        <f t="shared" si="0"/>
        <v>1.4793048586472235E-3</v>
      </c>
      <c r="R4" s="6">
        <f t="shared" si="0"/>
        <v>-3.5179856262069764E-3</v>
      </c>
      <c r="S4" s="6">
        <f t="shared" si="0"/>
        <v>5.5439836315140933E-3</v>
      </c>
      <c r="T4" s="6">
        <f t="shared" si="0"/>
        <v>-1.3195082893572296E-3</v>
      </c>
      <c r="U4" s="6">
        <f t="shared" si="0"/>
        <v>-5.5380419202836206E-3</v>
      </c>
      <c r="V4" s="6">
        <f t="shared" si="0"/>
        <v>1.086792943886028E-3</v>
      </c>
      <c r="W4" s="6">
        <f t="shared" si="0"/>
        <v>3.6000361409616044E-3</v>
      </c>
      <c r="X4" s="6">
        <f t="shared" si="0"/>
        <v>8.3710561953198592E-4</v>
      </c>
      <c r="Y4" s="6">
        <f t="shared" si="0"/>
        <v>-1.0368157655221699E-3</v>
      </c>
      <c r="Z4" s="6">
        <f t="shared" si="0"/>
        <v>-4.5578206151539735E-3</v>
      </c>
    </row>
    <row r="5" spans="1:26" x14ac:dyDescent="0.45">
      <c r="A5">
        <v>3</v>
      </c>
      <c r="B5" s="1">
        <v>1051.782451065912</v>
      </c>
      <c r="C5" s="1">
        <v>1051.782451065912</v>
      </c>
      <c r="D5" s="2">
        <v>50.068188916777387</v>
      </c>
      <c r="E5" s="2">
        <v>79.574449673989562</v>
      </c>
      <c r="F5" s="2">
        <v>25.092268486967505</v>
      </c>
      <c r="G5" s="2">
        <v>15.984523930726947</v>
      </c>
      <c r="H5" s="2">
        <v>83.652641394077335</v>
      </c>
      <c r="I5" s="2">
        <v>51.600326474282959</v>
      </c>
      <c r="J5" s="2">
        <v>153.70321629774759</v>
      </c>
      <c r="K5" s="2">
        <v>61.967181596299504</v>
      </c>
      <c r="L5" s="2">
        <v>8.0648733468563947</v>
      </c>
      <c r="M5" s="2">
        <v>20.933394319192381</v>
      </c>
      <c r="O5" s="6">
        <f t="shared" si="1"/>
        <v>-2.1562323109730608E-3</v>
      </c>
      <c r="P5" s="6">
        <f t="shared" si="0"/>
        <v>-2.1562323109730608E-3</v>
      </c>
      <c r="Q5" s="6">
        <f t="shared" si="0"/>
        <v>1.1141567374932659E-3</v>
      </c>
      <c r="R5" s="6">
        <f t="shared" si="0"/>
        <v>1.9996549559635479E-3</v>
      </c>
      <c r="S5" s="6">
        <f t="shared" si="0"/>
        <v>-4.7835427314679713E-3</v>
      </c>
      <c r="T5" s="6">
        <f t="shared" si="0"/>
        <v>-5.4728427176162775E-3</v>
      </c>
      <c r="U5" s="6">
        <f t="shared" si="0"/>
        <v>-3.903746004262354E-4</v>
      </c>
      <c r="V5" s="6">
        <f t="shared" si="0"/>
        <v>-2.5408874368814116E-3</v>
      </c>
      <c r="W5" s="6">
        <f t="shared" si="0"/>
        <v>-1.042180118349112E-3</v>
      </c>
      <c r="X5" s="6">
        <f t="shared" si="0"/>
        <v>-2.5987568667057426E-3</v>
      </c>
      <c r="Y5" s="6">
        <f t="shared" si="0"/>
        <v>-7.9803398405271508E-3</v>
      </c>
      <c r="Z5" s="6">
        <f t="shared" si="0"/>
        <v>-5.8871712329281456E-3</v>
      </c>
    </row>
    <row r="6" spans="1:26" x14ac:dyDescent="0.45">
      <c r="A6">
        <v>4</v>
      </c>
      <c r="B6" s="1">
        <v>1049.5145637608093</v>
      </c>
      <c r="C6" s="1">
        <v>1049.5145637608093</v>
      </c>
      <c r="D6" s="2">
        <v>50.123972726793099</v>
      </c>
      <c r="E6" s="2">
        <v>79.733571116648221</v>
      </c>
      <c r="F6" s="2">
        <v>24.972238548430628</v>
      </c>
      <c r="G6" s="2">
        <v>15.897043145338106</v>
      </c>
      <c r="H6" s="2">
        <v>83.619985527618525</v>
      </c>
      <c r="I6" s="2">
        <v>51.469215853005473</v>
      </c>
      <c r="J6" s="2">
        <v>153.54302986159576</v>
      </c>
      <c r="K6" s="2">
        <v>61.806143957615717</v>
      </c>
      <c r="L6" s="2">
        <v>8.0005129167776712</v>
      </c>
      <c r="M6" s="2">
        <v>20.810155842348891</v>
      </c>
      <c r="O6" s="6">
        <f t="shared" si="1"/>
        <v>3.4773507542156246E-3</v>
      </c>
      <c r="P6" s="6">
        <f t="shared" si="0"/>
        <v>3.4773507542156246E-3</v>
      </c>
      <c r="Q6" s="6">
        <f t="shared" si="0"/>
        <v>2.0701569581904611E-3</v>
      </c>
      <c r="R6" s="6">
        <f t="shared" si="0"/>
        <v>5.8924097032113654E-3</v>
      </c>
      <c r="S6" s="6">
        <f t="shared" si="0"/>
        <v>2.0286280591204076E-3</v>
      </c>
      <c r="T6" s="6">
        <f t="shared" si="0"/>
        <v>6.0771863165214324E-3</v>
      </c>
      <c r="U6" s="6">
        <f t="shared" si="0"/>
        <v>-1.7860035653256556E-3</v>
      </c>
      <c r="V6" s="6">
        <f t="shared" si="0"/>
        <v>1.7059826263854383E-3</v>
      </c>
      <c r="W6" s="6">
        <f t="shared" si="0"/>
        <v>2.8790008845587245E-3</v>
      </c>
      <c r="X6" s="6">
        <f t="shared" si="0"/>
        <v>4.206053244254937E-3</v>
      </c>
      <c r="Y6" s="6">
        <f t="shared" si="0"/>
        <v>7.3488974440329979E-3</v>
      </c>
      <c r="Z6" s="6">
        <f t="shared" si="0"/>
        <v>5.4208902108792145E-3</v>
      </c>
    </row>
    <row r="7" spans="1:26" x14ac:dyDescent="0.45">
      <c r="A7">
        <v>5</v>
      </c>
      <c r="B7" s="1">
        <v>1053.1640940206632</v>
      </c>
      <c r="C7" s="1">
        <v>1053.1640940206632</v>
      </c>
      <c r="D7" s="2">
        <v>50.227737217705617</v>
      </c>
      <c r="E7" s="2">
        <v>80.203393984767658</v>
      </c>
      <c r="F7" s="2">
        <v>25.022897932249023</v>
      </c>
      <c r="G7" s="2">
        <v>15.993652438414106</v>
      </c>
      <c r="H7" s="2">
        <v>83.470639935333722</v>
      </c>
      <c r="I7" s="2">
        <v>51.557021441044384</v>
      </c>
      <c r="J7" s="2">
        <v>153.98508038038511</v>
      </c>
      <c r="K7" s="2">
        <v>62.066103889923532</v>
      </c>
      <c r="L7" s="2">
        <v>8.0593078657027313</v>
      </c>
      <c r="M7" s="2">
        <v>20.922965412441553</v>
      </c>
      <c r="O7" s="6">
        <f t="shared" si="1"/>
        <v>-4.2205793769267697E-4</v>
      </c>
      <c r="P7" s="6">
        <f t="shared" si="0"/>
        <v>-4.2205793769267697E-4</v>
      </c>
      <c r="Q7" s="6">
        <f t="shared" si="0"/>
        <v>8.6044673194929366E-4</v>
      </c>
      <c r="R7" s="6">
        <f t="shared" si="0"/>
        <v>-3.6773042111071241E-3</v>
      </c>
      <c r="S7" s="6">
        <f t="shared" si="0"/>
        <v>-1.6826583361364555E-3</v>
      </c>
      <c r="T7" s="6">
        <f t="shared" si="0"/>
        <v>-4.8421305524452007E-3</v>
      </c>
      <c r="U7" s="6">
        <f t="shared" si="0"/>
        <v>-2.6946710398845219E-4</v>
      </c>
      <c r="V7" s="6">
        <f t="shared" si="0"/>
        <v>-1.0702726947828811E-3</v>
      </c>
      <c r="W7" s="6">
        <f t="shared" si="0"/>
        <v>6.4651723271877959E-3</v>
      </c>
      <c r="X7" s="6">
        <f t="shared" si="0"/>
        <v>-9.111425216604685E-4</v>
      </c>
      <c r="Y7" s="6">
        <f t="shared" si="0"/>
        <v>5.1568372478763003E-3</v>
      </c>
      <c r="Z7" s="6">
        <f t="shared" si="0"/>
        <v>-2.8813893905046406E-3</v>
      </c>
    </row>
    <row r="8" spans="1:26" x14ac:dyDescent="0.45">
      <c r="A8">
        <v>6</v>
      </c>
      <c r="B8" s="1">
        <v>1052.7195977550889</v>
      </c>
      <c r="C8" s="1">
        <v>1052.7195977550889</v>
      </c>
      <c r="D8" s="2">
        <v>50.270955510047798</v>
      </c>
      <c r="E8" s="2">
        <v>79.908461706322385</v>
      </c>
      <c r="F8" s="2">
        <v>24.980792944449032</v>
      </c>
      <c r="G8" s="2">
        <v>15.916209085296872</v>
      </c>
      <c r="H8" s="2">
        <v>83.448147343722283</v>
      </c>
      <c r="I8" s="2">
        <v>51.5018413687717</v>
      </c>
      <c r="J8" s="2">
        <v>154.98062046086017</v>
      </c>
      <c r="K8" s="2">
        <v>62.009552823515627</v>
      </c>
      <c r="L8" s="2">
        <v>8.1008684046966888</v>
      </c>
      <c r="M8" s="2">
        <v>20.862678201884247</v>
      </c>
      <c r="O8" s="6">
        <f t="shared" si="1"/>
        <v>-1.5751238890471253E-4</v>
      </c>
      <c r="P8" s="6">
        <f t="shared" si="0"/>
        <v>-1.5751238890471253E-4</v>
      </c>
      <c r="Q8" s="6">
        <f t="shared" si="0"/>
        <v>-2.570946577297617E-3</v>
      </c>
      <c r="R8" s="6">
        <f t="shared" si="0"/>
        <v>-8.185357831862472E-4</v>
      </c>
      <c r="S8" s="6">
        <f t="shared" si="0"/>
        <v>-8.8460298547954341E-4</v>
      </c>
      <c r="T8" s="6">
        <f t="shared" si="0"/>
        <v>-5.8665877183537996E-3</v>
      </c>
      <c r="U8" s="6">
        <f t="shared" si="0"/>
        <v>5.1148427000831109E-3</v>
      </c>
      <c r="V8" s="6">
        <f t="shared" si="0"/>
        <v>1.0390052332729605E-2</v>
      </c>
      <c r="W8" s="6">
        <f t="shared" si="0"/>
        <v>3.2849160996883953E-5</v>
      </c>
      <c r="X8" s="6">
        <f t="shared" si="0"/>
        <v>2.2397800509537102E-3</v>
      </c>
      <c r="Y8" s="6">
        <f t="shared" si="0"/>
        <v>-3.7545811947446994E-3</v>
      </c>
      <c r="Z8" s="6">
        <f t="shared" si="0"/>
        <v>-2.4120664984383922E-3</v>
      </c>
    </row>
    <row r="9" spans="1:26" x14ac:dyDescent="0.45">
      <c r="A9">
        <v>7</v>
      </c>
      <c r="B9" s="1">
        <v>1052.5537813763997</v>
      </c>
      <c r="C9" s="1">
        <v>1052.5537813763997</v>
      </c>
      <c r="D9" s="2">
        <v>50.14171156904176</v>
      </c>
      <c r="E9" s="2">
        <v>79.843053771036395</v>
      </c>
      <c r="F9" s="2">
        <v>24.958694860430725</v>
      </c>
      <c r="G9" s="2">
        <v>15.822835248554318</v>
      </c>
      <c r="H9" s="2">
        <v>83.874971490998774</v>
      </c>
      <c r="I9" s="2">
        <v>52.036948195825175</v>
      </c>
      <c r="J9" s="2">
        <v>154.98571144421308</v>
      </c>
      <c r="K9" s="2">
        <v>62.148440582898296</v>
      </c>
      <c r="L9" s="2">
        <v>8.0704530365233129</v>
      </c>
      <c r="M9" s="2">
        <v>20.812356034725781</v>
      </c>
      <c r="O9" s="6">
        <f t="shared" si="1"/>
        <v>-4.4669595669093454E-3</v>
      </c>
      <c r="P9" s="6">
        <f t="shared" si="0"/>
        <v>-4.4669595669093454E-3</v>
      </c>
      <c r="Q9" s="6">
        <f t="shared" si="0"/>
        <v>-8.4713797675527447E-3</v>
      </c>
      <c r="R9" s="6">
        <f t="shared" si="0"/>
        <v>-5.7733393709971104E-3</v>
      </c>
      <c r="S9" s="6">
        <f t="shared" si="0"/>
        <v>-4.2592932387290894E-3</v>
      </c>
      <c r="T9" s="6">
        <f t="shared" si="0"/>
        <v>-7.4940412803545797E-3</v>
      </c>
      <c r="U9" s="6">
        <f t="shared" si="0"/>
        <v>-4.6523075951410142E-3</v>
      </c>
      <c r="V9" s="6">
        <f t="shared" si="0"/>
        <v>-4.241647758434941E-3</v>
      </c>
      <c r="W9" s="6">
        <f t="shared" si="0"/>
        <v>-1.1846797112581187E-2</v>
      </c>
      <c r="X9" s="6">
        <f t="shared" si="0"/>
        <v>-1.146540867427559E-2</v>
      </c>
      <c r="Y9" s="6">
        <f t="shared" si="0"/>
        <v>-3.8124259928130622E-3</v>
      </c>
      <c r="Z9" s="6">
        <f t="shared" si="0"/>
        <v>-2.5299353104422106E-3</v>
      </c>
    </row>
    <row r="10" spans="1:26" x14ac:dyDescent="0.45">
      <c r="A10">
        <v>8</v>
      </c>
      <c r="B10" s="1">
        <v>1047.8520661929938</v>
      </c>
      <c r="C10" s="1">
        <v>1047.8520661929938</v>
      </c>
      <c r="D10" s="2">
        <v>49.716942088145316</v>
      </c>
      <c r="E10" s="2">
        <v>79.382092725199428</v>
      </c>
      <c r="F10" s="2">
        <v>24.852388460164189</v>
      </c>
      <c r="G10" s="2">
        <v>15.704258268029403</v>
      </c>
      <c r="H10" s="2">
        <v>83.484759324088969</v>
      </c>
      <c r="I10" s="2">
        <v>51.816225791154558</v>
      </c>
      <c r="J10" s="2">
        <v>153.14962716538443</v>
      </c>
      <c r="K10" s="2">
        <v>61.435883313146434</v>
      </c>
      <c r="L10" s="2">
        <v>8.0396850315930948</v>
      </c>
      <c r="M10" s="2">
        <v>20.759702120300034</v>
      </c>
      <c r="O10" s="6">
        <f t="shared" si="1"/>
        <v>2.0839528394531737E-3</v>
      </c>
      <c r="P10" s="6">
        <f t="shared" si="0"/>
        <v>2.0839528394531737E-3</v>
      </c>
      <c r="Q10" s="6">
        <f t="shared" si="0"/>
        <v>1.1057768319044925E-4</v>
      </c>
      <c r="R10" s="6">
        <f t="shared" si="0"/>
        <v>8.2639912775261948E-4</v>
      </c>
      <c r="S10" s="6">
        <f t="shared" si="0"/>
        <v>2.6785233426820376E-3</v>
      </c>
      <c r="T10" s="6">
        <f t="shared" si="0"/>
        <v>2.8574197862027972E-3</v>
      </c>
      <c r="U10" s="6">
        <f t="shared" si="0"/>
        <v>1.9648154473712598E-3</v>
      </c>
      <c r="V10" s="6">
        <f t="shared" si="0"/>
        <v>-8.5934268029275174E-5</v>
      </c>
      <c r="W10" s="6">
        <f t="shared" si="0"/>
        <v>2.7261414579897725E-3</v>
      </c>
      <c r="X10" s="6">
        <f t="shared" si="0"/>
        <v>6.1070254842725546E-3</v>
      </c>
      <c r="Y10" s="6">
        <f t="shared" si="0"/>
        <v>-8.7011006447312855E-4</v>
      </c>
      <c r="Z10" s="6">
        <f t="shared" si="0"/>
        <v>-5.3710059682399169E-4</v>
      </c>
    </row>
    <row r="11" spans="1:26" x14ac:dyDescent="0.45">
      <c r="A11">
        <v>9</v>
      </c>
      <c r="B11" s="1">
        <v>1050.0357404816637</v>
      </c>
      <c r="C11" s="1">
        <v>1050.0357404816637</v>
      </c>
      <c r="D11" s="2">
        <v>49.722439672416741</v>
      </c>
      <c r="E11" s="2">
        <v>79.447694017386709</v>
      </c>
      <c r="F11" s="2">
        <v>24.918956162776141</v>
      </c>
      <c r="G11" s="2">
        <v>15.749131926332108</v>
      </c>
      <c r="H11" s="2">
        <v>83.648791468829018</v>
      </c>
      <c r="I11" s="2">
        <v>51.811773001719153</v>
      </c>
      <c r="J11" s="2">
        <v>153.56713471327566</v>
      </c>
      <c r="K11" s="2">
        <v>61.811073818188611</v>
      </c>
      <c r="L11" s="2">
        <v>8.0326896207319116</v>
      </c>
      <c r="M11" s="2">
        <v>20.748552071901333</v>
      </c>
      <c r="O11" s="6">
        <f t="shared" si="1"/>
        <v>-4.9486771877645941E-3</v>
      </c>
      <c r="P11" s="6">
        <f t="shared" si="0"/>
        <v>-4.9486771877645941E-3</v>
      </c>
      <c r="Q11" s="6">
        <f t="shared" si="0"/>
        <v>-5.750207866288215E-3</v>
      </c>
      <c r="R11" s="6">
        <f t="shared" si="0"/>
        <v>-1.0377004414184654E-2</v>
      </c>
      <c r="S11" s="6">
        <f t="shared" si="0"/>
        <v>2.8075346898026599E-3</v>
      </c>
      <c r="T11" s="6">
        <f t="shared" si="0"/>
        <v>-2.8753038287183674E-3</v>
      </c>
      <c r="U11" s="6">
        <f t="shared" si="0"/>
        <v>-4.0086412660430559E-3</v>
      </c>
      <c r="V11" s="6">
        <f t="shared" si="0"/>
        <v>-8.1213620927590435E-3</v>
      </c>
      <c r="W11" s="6">
        <f t="shared" si="0"/>
        <v>-1.1408869278331624E-2</v>
      </c>
      <c r="X11" s="6">
        <f t="shared" si="0"/>
        <v>-8.6881308171898874E-3</v>
      </c>
      <c r="Y11" s="6">
        <f t="shared" si="0"/>
        <v>-9.4628024126423016E-3</v>
      </c>
      <c r="Z11" s="6">
        <f t="shared" si="0"/>
        <v>-1.1611607355320741E-3</v>
      </c>
    </row>
    <row r="12" spans="1:26" x14ac:dyDescent="0.45">
      <c r="A12">
        <v>10</v>
      </c>
      <c r="B12" s="1">
        <v>1044.8394525664046</v>
      </c>
      <c r="C12" s="1">
        <v>1044.8394525664046</v>
      </c>
      <c r="D12" s="2">
        <v>49.436525308681368</v>
      </c>
      <c r="E12" s="2">
        <v>78.623264945871497</v>
      </c>
      <c r="F12" s="2">
        <v>24.988916996636807</v>
      </c>
      <c r="G12" s="2">
        <v>15.703848387005335</v>
      </c>
      <c r="H12" s="2">
        <v>83.313473471492443</v>
      </c>
      <c r="I12" s="2">
        <v>51.390990832504357</v>
      </c>
      <c r="J12" s="2">
        <v>151.81510734788395</v>
      </c>
      <c r="K12" s="2">
        <v>61.274051122905206</v>
      </c>
      <c r="L12" s="2">
        <v>7.9566778660088433</v>
      </c>
      <c r="M12" s="2">
        <v>20.7244596679163</v>
      </c>
      <c r="O12" s="6">
        <f t="shared" si="1"/>
        <v>-6.8941396364985419E-4</v>
      </c>
      <c r="P12" s="6">
        <f t="shared" si="0"/>
        <v>-6.8941396364985419E-4</v>
      </c>
      <c r="Q12" s="6">
        <f t="shared" si="0"/>
        <v>1.0820847458856697E-3</v>
      </c>
      <c r="R12" s="6">
        <f t="shared" si="0"/>
        <v>3.2074182460450906E-4</v>
      </c>
      <c r="S12" s="6">
        <f t="shared" si="0"/>
        <v>-2.3809268820418339E-4</v>
      </c>
      <c r="T12" s="6">
        <f t="shared" si="0"/>
        <v>-1.9883570173332421E-3</v>
      </c>
      <c r="U12" s="6">
        <f t="shared" si="0"/>
        <v>-5.9099415423105039E-3</v>
      </c>
      <c r="V12" s="6">
        <f t="shared" si="0"/>
        <v>7.1343614255048315E-4</v>
      </c>
      <c r="W12" s="6">
        <f t="shared" si="0"/>
        <v>-1.7555253137330196E-3</v>
      </c>
      <c r="X12" s="6">
        <f t="shared" si="0"/>
        <v>-2.1799388842935752E-3</v>
      </c>
      <c r="Y12" s="6">
        <f t="shared" si="0"/>
        <v>-3.6616869845129685E-3</v>
      </c>
      <c r="Z12" s="6">
        <f t="shared" si="0"/>
        <v>-2.0165080664619195E-3</v>
      </c>
    </row>
    <row r="13" spans="1:26" x14ac:dyDescent="0.45">
      <c r="A13">
        <v>11</v>
      </c>
      <c r="B13" s="1">
        <v>1044.119125658033</v>
      </c>
      <c r="C13" s="1">
        <v>1044.119125658033</v>
      </c>
      <c r="D13" s="2">
        <v>49.490019818607486</v>
      </c>
      <c r="E13" s="2">
        <v>78.648482715326594</v>
      </c>
      <c r="F13" s="2">
        <v>24.982967318213767</v>
      </c>
      <c r="G13" s="2">
        <v>15.672623529865895</v>
      </c>
      <c r="H13" s="2">
        <v>82.821095713589088</v>
      </c>
      <c r="I13" s="2">
        <v>51.427655022765748</v>
      </c>
      <c r="J13" s="2">
        <v>151.54859208392764</v>
      </c>
      <c r="K13" s="2">
        <v>61.140477436264192</v>
      </c>
      <c r="L13" s="2">
        <v>7.9275430022269164</v>
      </c>
      <c r="M13" s="2">
        <v>20.682668627822881</v>
      </c>
      <c r="O13" s="6">
        <f t="shared" si="1"/>
        <v>-1.8487243892568728E-3</v>
      </c>
      <c r="P13" s="6">
        <f t="shared" si="0"/>
        <v>-1.8487243892568728E-3</v>
      </c>
      <c r="Q13" s="6">
        <f t="shared" si="0"/>
        <v>-3.049494434995581E-3</v>
      </c>
      <c r="R13" s="6">
        <f t="shared" si="0"/>
        <v>3.805732559843289E-3</v>
      </c>
      <c r="S13" s="6">
        <f t="shared" si="0"/>
        <v>-2.0120580108020647E-3</v>
      </c>
      <c r="T13" s="6">
        <f t="shared" si="0"/>
        <v>-1.3481674320036108E-3</v>
      </c>
      <c r="U13" s="6">
        <f t="shared" si="0"/>
        <v>-5.2159126339823558E-5</v>
      </c>
      <c r="V13" s="6">
        <f t="shared" si="0"/>
        <v>-1.13029952084166E-2</v>
      </c>
      <c r="W13" s="6">
        <f t="shared" si="0"/>
        <v>-8.6003805953578372E-3</v>
      </c>
      <c r="X13" s="6">
        <f t="shared" si="0"/>
        <v>-9.8804026192679251E-3</v>
      </c>
      <c r="Y13" s="6">
        <f t="shared" si="0"/>
        <v>-8.3050250541005788E-5</v>
      </c>
      <c r="Z13" s="6">
        <f t="shared" si="0"/>
        <v>-8.7193292643356068E-3</v>
      </c>
    </row>
    <row r="14" spans="1:26" x14ac:dyDescent="0.45">
      <c r="A14">
        <v>12</v>
      </c>
      <c r="B14" s="1">
        <v>1042.1888371651394</v>
      </c>
      <c r="C14" s="1">
        <v>1042.1888371651394</v>
      </c>
      <c r="D14" s="2">
        <v>49.339100278582819</v>
      </c>
      <c r="E14" s="2">
        <v>78.947797806778581</v>
      </c>
      <c r="F14" s="2">
        <v>24.932700138687547</v>
      </c>
      <c r="G14" s="2">
        <v>15.651494209248876</v>
      </c>
      <c r="H14" s="2">
        <v>82.816775837594164</v>
      </c>
      <c r="I14" s="2">
        <v>50.846368484463326</v>
      </c>
      <c r="J14" s="2">
        <v>150.24521651331523</v>
      </c>
      <c r="K14" s="2">
        <v>60.536384902859638</v>
      </c>
      <c r="L14" s="2">
        <v>7.926884617794407</v>
      </c>
      <c r="M14" s="2">
        <v>20.502329629991749</v>
      </c>
      <c r="O14" s="6">
        <f t="shared" si="1"/>
        <v>2.7937270518139101E-3</v>
      </c>
      <c r="P14" s="6">
        <f t="shared" si="0"/>
        <v>2.7937270518139101E-3</v>
      </c>
      <c r="Q14" s="6">
        <f t="shared" si="0"/>
        <v>3.4557269747732544E-3</v>
      </c>
      <c r="R14" s="6">
        <f t="shared" si="0"/>
        <v>9.1756669645230993E-3</v>
      </c>
      <c r="S14" s="6">
        <f t="shared" si="0"/>
        <v>3.8691585909800263E-3</v>
      </c>
      <c r="T14" s="6">
        <f t="shared" si="0"/>
        <v>3.9377902443678003E-3</v>
      </c>
      <c r="U14" s="6">
        <f t="shared" si="0"/>
        <v>-2.6263717886713112E-3</v>
      </c>
      <c r="V14" s="6">
        <f t="shared" si="0"/>
        <v>5.536696781714312E-3</v>
      </c>
      <c r="W14" s="6">
        <f t="shared" si="0"/>
        <v>1.1145230872846357E-2</v>
      </c>
      <c r="X14" s="6">
        <f t="shared" si="0"/>
        <v>-1.0222312989858207E-3</v>
      </c>
      <c r="Y14" s="6">
        <f t="shared" si="0"/>
        <v>8.6915170072461301E-3</v>
      </c>
      <c r="Z14" s="6">
        <f t="shared" si="0"/>
        <v>3.9568999662322746E-3</v>
      </c>
    </row>
    <row r="15" spans="1:26" x14ac:dyDescent="0.45">
      <c r="A15">
        <v>13</v>
      </c>
      <c r="B15" s="1">
        <v>1045.100428312626</v>
      </c>
      <c r="C15" s="1">
        <v>1045.100428312626</v>
      </c>
      <c r="D15" s="2">
        <v>49.509602738326564</v>
      </c>
      <c r="E15" s="2">
        <v>79.672196507036091</v>
      </c>
      <c r="F15" s="2">
        <v>25.02916870962548</v>
      </c>
      <c r="G15" s="2">
        <v>15.713126510455835</v>
      </c>
      <c r="H15" s="2">
        <v>82.599268193905587</v>
      </c>
      <c r="I15" s="2">
        <v>51.127889409213111</v>
      </c>
      <c r="J15" s="2">
        <v>151.91973413889693</v>
      </c>
      <c r="K15" s="2">
        <v>60.474502715484483</v>
      </c>
      <c r="L15" s="2">
        <v>7.9957812702644446</v>
      </c>
      <c r="M15" s="2">
        <v>20.583455297412346</v>
      </c>
      <c r="O15" s="6">
        <f t="shared" si="1"/>
        <v>1.4034947391263763E-3</v>
      </c>
      <c r="P15" s="6">
        <f t="shared" si="0"/>
        <v>1.4034947391263763E-3</v>
      </c>
      <c r="Q15" s="6">
        <f t="shared" si="0"/>
        <v>2.9880746762975807E-3</v>
      </c>
      <c r="R15" s="6">
        <f t="shared" si="0"/>
        <v>6.6553720053543763E-3</v>
      </c>
      <c r="S15" s="6">
        <f t="shared" si="0"/>
        <v>-9.1772751771024286E-4</v>
      </c>
      <c r="T15" s="6">
        <f t="shared" si="0"/>
        <v>-2.5221270950237518E-3</v>
      </c>
      <c r="U15" s="6">
        <f t="shared" si="0"/>
        <v>-6.266699058881775E-3</v>
      </c>
      <c r="V15" s="6">
        <f t="shared" si="0"/>
        <v>3.9458845772131212E-3</v>
      </c>
      <c r="W15" s="6">
        <f t="shared" si="0"/>
        <v>2.9034899154591898E-3</v>
      </c>
      <c r="X15" s="6">
        <f t="shared" si="0"/>
        <v>3.5648871774767166E-3</v>
      </c>
      <c r="Y15" s="6">
        <f t="shared" si="0"/>
        <v>1.5362515713188696E-3</v>
      </c>
      <c r="Z15" s="6">
        <f t="shared" si="0"/>
        <v>1.5837466597836691E-3</v>
      </c>
    </row>
    <row r="16" spans="1:26" x14ac:dyDescent="0.45">
      <c r="A16">
        <v>14</v>
      </c>
      <c r="B16" s="1">
        <v>1046.5672212656216</v>
      </c>
      <c r="C16" s="1">
        <v>1046.5672212656216</v>
      </c>
      <c r="D16" s="2">
        <v>49.657541128502508</v>
      </c>
      <c r="E16" s="2">
        <v>80.20244461327411</v>
      </c>
      <c r="F16" s="2">
        <v>25.006198752755246</v>
      </c>
      <c r="G16" s="2">
        <v>15.673496008336278</v>
      </c>
      <c r="H16" s="2">
        <v>82.081643437650513</v>
      </c>
      <c r="I16" s="2">
        <v>51.329634159498383</v>
      </c>
      <c r="J16" s="2">
        <v>152.36083155492847</v>
      </c>
      <c r="K16" s="2">
        <v>60.690087494779192</v>
      </c>
      <c r="L16" s="2">
        <v>8.0080648018048102</v>
      </c>
      <c r="M16" s="2">
        <v>20.616054275986428</v>
      </c>
      <c r="O16" s="6">
        <f t="shared" si="1"/>
        <v>2.0357207722687676E-3</v>
      </c>
      <c r="P16" s="6">
        <f t="shared" si="0"/>
        <v>2.0357207722687676E-3</v>
      </c>
      <c r="Q16" s="6">
        <f t="shared" si="0"/>
        <v>-4.2560668347249031E-3</v>
      </c>
      <c r="R16" s="6">
        <f t="shared" si="0"/>
        <v>-8.0689177021309177E-4</v>
      </c>
      <c r="S16" s="6">
        <f t="shared" si="0"/>
        <v>-2.1268344042133513E-3</v>
      </c>
      <c r="T16" s="6">
        <f t="shared" si="0"/>
        <v>3.6988545042007104E-3</v>
      </c>
      <c r="U16" s="6">
        <f t="shared" si="0"/>
        <v>-4.8813227573436535E-3</v>
      </c>
      <c r="V16" s="6">
        <f t="shared" si="0"/>
        <v>-1.9134496675078383E-3</v>
      </c>
      <c r="W16" s="6">
        <f t="shared" si="0"/>
        <v>1.5551023711408707E-3</v>
      </c>
      <c r="X16" s="6">
        <f t="shared" si="0"/>
        <v>3.215180494536618E-3</v>
      </c>
      <c r="Y16" s="6">
        <f t="shared" si="0"/>
        <v>5.5088233795919095E-4</v>
      </c>
      <c r="Z16" s="6">
        <f t="shared" si="0"/>
        <v>1.7921056371232869E-3</v>
      </c>
    </row>
    <row r="17" spans="1:26" x14ac:dyDescent="0.45">
      <c r="A17">
        <v>15</v>
      </c>
      <c r="B17" s="1">
        <v>1048.6977398975275</v>
      </c>
      <c r="C17" s="1">
        <v>1048.6977398975275</v>
      </c>
      <c r="D17" s="2">
        <v>49.446195314611501</v>
      </c>
      <c r="E17" s="2">
        <v>80.137729920764684</v>
      </c>
      <c r="F17" s="2">
        <v>24.953014708929288</v>
      </c>
      <c r="G17" s="2">
        <v>15.731469989643283</v>
      </c>
      <c r="H17" s="2">
        <v>81.680976443578146</v>
      </c>
      <c r="I17" s="2">
        <v>51.231417488082592</v>
      </c>
      <c r="J17" s="2">
        <v>152.59776824534853</v>
      </c>
      <c r="K17" s="2">
        <v>60.885217080304123</v>
      </c>
      <c r="L17" s="2">
        <v>8.0124763032653572</v>
      </c>
      <c r="M17" s="2">
        <v>20.653000423069663</v>
      </c>
      <c r="O17" s="6">
        <f t="shared" si="1"/>
        <v>-4.7116776928394222E-3</v>
      </c>
      <c r="P17" s="6">
        <f t="shared" si="0"/>
        <v>-4.7116776928394222E-3</v>
      </c>
      <c r="Q17" s="6">
        <f t="shared" si="0"/>
        <v>-7.2899692860433074E-3</v>
      </c>
      <c r="R17" s="6">
        <f t="shared" si="0"/>
        <v>-6.5645707151752442E-3</v>
      </c>
      <c r="S17" s="6">
        <f t="shared" si="0"/>
        <v>-4.474313784086581E-3</v>
      </c>
      <c r="T17" s="6">
        <f t="shared" si="0"/>
        <v>-3.0447161902069642E-3</v>
      </c>
      <c r="U17" s="6">
        <f t="shared" si="0"/>
        <v>-6.5581764259456943E-3</v>
      </c>
      <c r="V17" s="6">
        <f t="shared" si="0"/>
        <v>-3.8717181776463105E-3</v>
      </c>
      <c r="W17" s="6">
        <f t="shared" si="0"/>
        <v>-3.598713774824347E-3</v>
      </c>
      <c r="X17" s="6">
        <f t="shared" si="0"/>
        <v>-6.5264265842923663E-3</v>
      </c>
      <c r="Y17" s="6">
        <f t="shared" si="0"/>
        <v>-3.0398327978110595E-3</v>
      </c>
      <c r="Z17" s="6">
        <f t="shared" si="0"/>
        <v>-1.9207774685573442E-3</v>
      </c>
    </row>
    <row r="18" spans="1:26" x14ac:dyDescent="0.45">
      <c r="A18">
        <v>16</v>
      </c>
      <c r="B18" s="1">
        <v>1043.7566141499212</v>
      </c>
      <c r="C18" s="1">
        <v>1043.7566141499212</v>
      </c>
      <c r="D18" s="2">
        <v>49.085734069456286</v>
      </c>
      <c r="E18" s="2">
        <v>79.611660125746212</v>
      </c>
      <c r="F18" s="2">
        <v>24.841367091262612</v>
      </c>
      <c r="G18" s="2">
        <v>15.683572128270061</v>
      </c>
      <c r="H18" s="2">
        <v>81.145298189417645</v>
      </c>
      <c r="I18" s="2">
        <v>51.033063877727393</v>
      </c>
      <c r="J18" s="2">
        <v>152.04861255475655</v>
      </c>
      <c r="K18" s="2">
        <v>60.487854180960817</v>
      </c>
      <c r="L18" s="2">
        <v>7.9881197150070076</v>
      </c>
      <c r="M18" s="2">
        <v>20.613330605198925</v>
      </c>
      <c r="O18" s="6">
        <f t="shared" si="1"/>
        <v>-4.5462914833056534E-3</v>
      </c>
      <c r="P18" s="6">
        <f t="shared" si="0"/>
        <v>-4.5462914833056534E-3</v>
      </c>
      <c r="Q18" s="6">
        <f t="shared" si="0"/>
        <v>-9.2082720241154492E-3</v>
      </c>
      <c r="R18" s="6">
        <f t="shared" si="0"/>
        <v>-8.246668909082655E-3</v>
      </c>
      <c r="S18" s="6">
        <f t="shared" si="0"/>
        <v>-6.8716186693974501E-3</v>
      </c>
      <c r="T18" s="6">
        <f t="shared" si="0"/>
        <v>-5.1325927341913102E-3</v>
      </c>
      <c r="U18" s="6">
        <f t="shared" si="0"/>
        <v>-2.933290107688058E-3</v>
      </c>
      <c r="V18" s="6">
        <f t="shared" si="0"/>
        <v>-1.0090299747938736E-2</v>
      </c>
      <c r="W18" s="6">
        <f t="shared" si="0"/>
        <v>-7.3269770739207152E-3</v>
      </c>
      <c r="X18" s="6">
        <f t="shared" si="0"/>
        <v>-1.4123245543071761E-3</v>
      </c>
      <c r="Y18" s="6">
        <f t="shared" si="0"/>
        <v>-7.9487171946552859E-3</v>
      </c>
      <c r="Z18" s="6">
        <f t="shared" si="0"/>
        <v>-5.2281092298933629E-4</v>
      </c>
    </row>
    <row r="19" spans="1:26" x14ac:dyDescent="0.45">
      <c r="A19">
        <v>17</v>
      </c>
      <c r="B19" s="1">
        <v>1039.0113923443676</v>
      </c>
      <c r="C19" s="1">
        <v>1039.0113923443676</v>
      </c>
      <c r="D19" s="2">
        <v>48.63373927764134</v>
      </c>
      <c r="E19" s="2">
        <v>78.955129123386769</v>
      </c>
      <c r="F19" s="2">
        <v>24.670666689384937</v>
      </c>
      <c r="G19" s="2">
        <v>15.603074739918338</v>
      </c>
      <c r="H19" s="2">
        <v>80.907275488953232</v>
      </c>
      <c r="I19" s="2">
        <v>50.518124966145422</v>
      </c>
      <c r="J19" s="2">
        <v>150.93455585644639</v>
      </c>
      <c r="K19" s="2">
        <v>60.402425699263695</v>
      </c>
      <c r="L19" s="2">
        <v>7.9246244104753663</v>
      </c>
      <c r="M19" s="2">
        <v>20.602553730799336</v>
      </c>
      <c r="O19" s="6">
        <f t="shared" si="1"/>
        <v>5.4495437825297088E-4</v>
      </c>
      <c r="P19" s="6">
        <f t="shared" ref="P19:P82" si="2">C20/C19-1</f>
        <v>5.4495437825297088E-4</v>
      </c>
      <c r="Q19" s="6">
        <f t="shared" ref="Q19:Q82" si="3">D20/D19-1</f>
        <v>-5.2148528982387532E-4</v>
      </c>
      <c r="R19" s="6">
        <f t="shared" ref="R19:R82" si="4">E20/E19-1</f>
        <v>4.4284412270920726E-3</v>
      </c>
      <c r="S19" s="6">
        <f t="shared" ref="S19:S82" si="5">F20/F19-1</f>
        <v>2.0908065642086804E-3</v>
      </c>
      <c r="T19" s="6">
        <f t="shared" ref="T19:T82" si="6">G20/G19-1</f>
        <v>3.518934581488331E-3</v>
      </c>
      <c r="U19" s="6">
        <f t="shared" ref="U19:U82" si="7">H20/H19-1</f>
        <v>6.1023821768122488E-3</v>
      </c>
      <c r="V19" s="6">
        <f t="shared" ref="V19:V82" si="8">I20/I19-1</f>
        <v>7.2584648248641415E-4</v>
      </c>
      <c r="W19" s="6">
        <f t="shared" ref="W19:W82" si="9">J20/J19-1</f>
        <v>2.3312510999422553E-3</v>
      </c>
      <c r="X19" s="6">
        <f t="shared" ref="X19:X82" si="10">K20/K19-1</f>
        <v>4.3909024539507957E-3</v>
      </c>
      <c r="Y19" s="6">
        <f t="shared" ref="Y19:Y82" si="11">L20/L19-1</f>
        <v>6.4867849553233992E-3</v>
      </c>
      <c r="Z19" s="6">
        <f t="shared" ref="Z19:Z82" si="12">M20/M19-1</f>
        <v>-3.3844732599871419E-3</v>
      </c>
    </row>
    <row r="20" spans="1:26" x14ac:dyDescent="0.45">
      <c r="A20">
        <v>18</v>
      </c>
      <c r="B20" s="1">
        <v>1039.5776061516804</v>
      </c>
      <c r="C20" s="1">
        <v>1039.5776061516804</v>
      </c>
      <c r="D20" s="2">
        <v>48.608377498018918</v>
      </c>
      <c r="E20" s="2">
        <v>79.304777272287154</v>
      </c>
      <c r="F20" s="2">
        <v>24.722248281242507</v>
      </c>
      <c r="G20" s="2">
        <v>15.657980939198183</v>
      </c>
      <c r="H20" s="2">
        <v>81.401002604871465</v>
      </c>
      <c r="I20" s="2">
        <v>50.554793369453904</v>
      </c>
      <c r="J20" s="2">
        <v>151.28642220580602</v>
      </c>
      <c r="K20" s="2">
        <v>60.667646858491175</v>
      </c>
      <c r="L20" s="2">
        <v>7.9760297448778266</v>
      </c>
      <c r="M20" s="2">
        <v>20.532824938609998</v>
      </c>
      <c r="O20" s="6">
        <f t="shared" si="1"/>
        <v>-4.103439802226827E-3</v>
      </c>
      <c r="P20" s="6">
        <f t="shared" si="2"/>
        <v>-4.103439802226827E-3</v>
      </c>
      <c r="Q20" s="6">
        <f t="shared" si="3"/>
        <v>-5.0290849205847366E-3</v>
      </c>
      <c r="R20" s="6">
        <f t="shared" si="4"/>
        <v>-9.6844508922122596E-4</v>
      </c>
      <c r="S20" s="6">
        <f t="shared" si="5"/>
        <v>-4.7369314757077507E-3</v>
      </c>
      <c r="T20" s="6">
        <f t="shared" si="6"/>
        <v>-3.0628127819259943E-3</v>
      </c>
      <c r="U20" s="6">
        <f t="shared" si="7"/>
        <v>-6.690108607514289E-3</v>
      </c>
      <c r="V20" s="6">
        <f t="shared" si="8"/>
        <v>-9.4861916158973658E-3</v>
      </c>
      <c r="W20" s="6">
        <f t="shared" si="9"/>
        <v>-1.0261131182688343E-2</v>
      </c>
      <c r="X20" s="6">
        <f t="shared" si="10"/>
        <v>-4.0023927137142756E-3</v>
      </c>
      <c r="Y20" s="6">
        <f t="shared" si="11"/>
        <v>-1.142112384967342E-2</v>
      </c>
      <c r="Z20" s="6">
        <f t="shared" si="12"/>
        <v>-5.8204529968980401E-3</v>
      </c>
    </row>
    <row r="21" spans="1:26" x14ac:dyDescent="0.45">
      <c r="A21">
        <v>19</v>
      </c>
      <c r="B21" s="1">
        <v>1035.3117620250939</v>
      </c>
      <c r="C21" s="1">
        <v>1035.3117620250939</v>
      </c>
      <c r="D21" s="2">
        <v>48.363921839729542</v>
      </c>
      <c r="E21" s="2">
        <v>79.227974950186024</v>
      </c>
      <c r="F21" s="2">
        <v>24.605140685208827</v>
      </c>
      <c r="G21" s="2">
        <v>15.610023475038453</v>
      </c>
      <c r="H21" s="2">
        <v>80.856421056684326</v>
      </c>
      <c r="I21" s="2">
        <v>50.075220912449169</v>
      </c>
      <c r="J21" s="2">
        <v>149.73405238139267</v>
      </c>
      <c r="K21" s="2">
        <v>60.42483111074656</v>
      </c>
      <c r="L21" s="2">
        <v>7.8849345213328981</v>
      </c>
      <c r="M21" s="2">
        <v>20.413314596161282</v>
      </c>
      <c r="O21" s="6">
        <f t="shared" si="1"/>
        <v>-3.9173547540489739E-3</v>
      </c>
      <c r="P21" s="6">
        <f t="shared" si="2"/>
        <v>-3.9173547540489739E-3</v>
      </c>
      <c r="Q21" s="6">
        <f t="shared" si="3"/>
        <v>-5.6914739195597086E-3</v>
      </c>
      <c r="R21" s="6">
        <f t="shared" si="4"/>
        <v>-1.725618441415433E-2</v>
      </c>
      <c r="S21" s="6">
        <f t="shared" si="5"/>
        <v>-1.1007936976887844E-3</v>
      </c>
      <c r="T21" s="6">
        <f t="shared" si="6"/>
        <v>-9.6539702111637649E-3</v>
      </c>
      <c r="U21" s="6">
        <f t="shared" si="7"/>
        <v>-9.7836236302984991E-3</v>
      </c>
      <c r="V21" s="6">
        <f t="shared" si="8"/>
        <v>-7.1533041429984179E-3</v>
      </c>
      <c r="W21" s="6">
        <f t="shared" si="9"/>
        <v>3.2566424736635291E-4</v>
      </c>
      <c r="X21" s="6">
        <f t="shared" si="10"/>
        <v>-4.6460877106292431E-3</v>
      </c>
      <c r="Y21" s="6">
        <f t="shared" si="11"/>
        <v>-4.6448321115633018E-3</v>
      </c>
      <c r="Z21" s="6">
        <f t="shared" si="12"/>
        <v>-3.1591721205067591E-3</v>
      </c>
    </row>
    <row r="22" spans="1:26" x14ac:dyDescent="0.45">
      <c r="A22">
        <v>20</v>
      </c>
      <c r="B22" s="1">
        <v>1031.2560785722021</v>
      </c>
      <c r="C22" s="1">
        <v>1031.2560785722021</v>
      </c>
      <c r="D22" s="2">
        <v>48.088659839931097</v>
      </c>
      <c r="E22" s="2">
        <v>77.860802403685611</v>
      </c>
      <c r="F22" s="2">
        <v>24.578055501411804</v>
      </c>
      <c r="G22" s="2">
        <v>15.459324773414865</v>
      </c>
      <c r="H22" s="2">
        <v>80.065352264972788</v>
      </c>
      <c r="I22" s="2">
        <v>49.717017627234583</v>
      </c>
      <c r="J22" s="2">
        <v>149.78281540886658</v>
      </c>
      <c r="K22" s="2">
        <v>60.144092045506071</v>
      </c>
      <c r="L22" s="2">
        <v>7.8483103242706367</v>
      </c>
      <c r="M22" s="2">
        <v>20.348825421801955</v>
      </c>
      <c r="O22" s="6">
        <f t="shared" si="1"/>
        <v>-3.5451042299480262E-3</v>
      </c>
      <c r="P22" s="6">
        <f t="shared" si="2"/>
        <v>-3.5451042299480262E-3</v>
      </c>
      <c r="Q22" s="6">
        <f t="shared" si="3"/>
        <v>-6.8230990160014215E-3</v>
      </c>
      <c r="R22" s="6">
        <f t="shared" si="4"/>
        <v>1.6884957741871709E-3</v>
      </c>
      <c r="S22" s="6">
        <f t="shared" si="5"/>
        <v>-3.7571444009132371E-3</v>
      </c>
      <c r="T22" s="6">
        <f t="shared" si="6"/>
        <v>-6.8390773348108169E-3</v>
      </c>
      <c r="U22" s="6">
        <f t="shared" si="7"/>
        <v>-1.3229280945214139E-2</v>
      </c>
      <c r="V22" s="6">
        <f t="shared" si="8"/>
        <v>-1.9716066079594752E-3</v>
      </c>
      <c r="W22" s="6">
        <f t="shared" si="9"/>
        <v>-5.2833547808384118E-3</v>
      </c>
      <c r="X22" s="6">
        <f t="shared" si="10"/>
        <v>-7.4767266502461238E-3</v>
      </c>
      <c r="Y22" s="6">
        <f t="shared" si="11"/>
        <v>-7.2642244704791414E-3</v>
      </c>
      <c r="Z22" s="6">
        <f t="shared" si="12"/>
        <v>2.5896299663541456E-5</v>
      </c>
    </row>
    <row r="23" spans="1:26" x14ac:dyDescent="0.45">
      <c r="A23">
        <v>21</v>
      </c>
      <c r="B23" s="1">
        <v>1027.6001682858962</v>
      </c>
      <c r="C23" s="1">
        <v>1027.6001682858962</v>
      </c>
      <c r="D23" s="2">
        <v>47.760546152296435</v>
      </c>
      <c r="E23" s="2">
        <v>77.992270039519056</v>
      </c>
      <c r="F23" s="2">
        <v>24.485712197799341</v>
      </c>
      <c r="G23" s="2">
        <v>15.353597255745525</v>
      </c>
      <c r="H23" s="2">
        <v>79.006145225881923</v>
      </c>
      <c r="I23" s="2">
        <v>49.618995226752688</v>
      </c>
      <c r="J23" s="2">
        <v>148.99145965498872</v>
      </c>
      <c r="K23" s="2">
        <v>59.694411109654581</v>
      </c>
      <c r="L23" s="2">
        <v>7.7912984363611555</v>
      </c>
      <c r="M23" s="2">
        <v>20.34935238108288</v>
      </c>
      <c r="O23" s="6">
        <f t="shared" si="1"/>
        <v>1.8083606810526121E-3</v>
      </c>
      <c r="P23" s="6">
        <f t="shared" si="2"/>
        <v>1.8083606810526121E-3</v>
      </c>
      <c r="Q23" s="6">
        <f t="shared" si="3"/>
        <v>3.0867475590119486E-3</v>
      </c>
      <c r="R23" s="6">
        <f t="shared" si="4"/>
        <v>-2.4458011655077438E-3</v>
      </c>
      <c r="S23" s="6">
        <f t="shared" si="5"/>
        <v>1.7335820498352028E-3</v>
      </c>
      <c r="T23" s="6">
        <f t="shared" si="6"/>
        <v>2.0367743566174212E-5</v>
      </c>
      <c r="U23" s="6">
        <f t="shared" si="7"/>
        <v>-7.7029238678630874E-3</v>
      </c>
      <c r="V23" s="6">
        <f t="shared" si="8"/>
        <v>-3.363443601582361E-3</v>
      </c>
      <c r="W23" s="6">
        <f t="shared" si="9"/>
        <v>-5.0277178773461273E-4</v>
      </c>
      <c r="X23" s="6">
        <f t="shared" si="10"/>
        <v>8.6906523432861427E-4</v>
      </c>
      <c r="Y23" s="6">
        <f t="shared" si="11"/>
        <v>5.8829818880050677E-3</v>
      </c>
      <c r="Z23" s="6">
        <f t="shared" si="12"/>
        <v>4.5899336633639098E-3</v>
      </c>
    </row>
    <row r="24" spans="1:26" x14ac:dyDescent="0.45">
      <c r="A24">
        <v>22</v>
      </c>
      <c r="B24" s="1">
        <v>1029.4584400260674</v>
      </c>
      <c r="C24" s="1">
        <v>1029.4584400260674</v>
      </c>
      <c r="D24" s="2">
        <v>47.907970901549113</v>
      </c>
      <c r="E24" s="2">
        <v>77.801516454555809</v>
      </c>
      <c r="F24" s="2">
        <v>24.528160188942877</v>
      </c>
      <c r="G24" s="2">
        <v>15.353909973877249</v>
      </c>
      <c r="H24" s="2">
        <v>78.397566904113617</v>
      </c>
      <c r="I24" s="2">
        <v>49.452104534740322</v>
      </c>
      <c r="J24" s="2">
        <v>148.9165509524608</v>
      </c>
      <c r="K24" s="2">
        <v>59.746289447033703</v>
      </c>
      <c r="L24" s="2">
        <v>7.8371345039463103</v>
      </c>
      <c r="M24" s="2">
        <v>20.442754558604467</v>
      </c>
      <c r="O24" s="6">
        <f t="shared" si="1"/>
        <v>7.8898587097175898E-4</v>
      </c>
      <c r="P24" s="6">
        <f t="shared" si="2"/>
        <v>7.8898587097175898E-4</v>
      </c>
      <c r="Q24" s="6">
        <f t="shared" si="3"/>
        <v>-2.8382330306248038E-3</v>
      </c>
      <c r="R24" s="6">
        <f t="shared" si="4"/>
        <v>6.9709312838697191E-3</v>
      </c>
      <c r="S24" s="6">
        <f t="shared" si="5"/>
        <v>1.0590128210463678E-3</v>
      </c>
      <c r="T24" s="6">
        <f t="shared" si="6"/>
        <v>-4.1204343837242252E-4</v>
      </c>
      <c r="U24" s="6">
        <f t="shared" si="7"/>
        <v>-6.3327740517676867E-3</v>
      </c>
      <c r="V24" s="6">
        <f t="shared" si="8"/>
        <v>-1.5263867768460226E-3</v>
      </c>
      <c r="W24" s="6">
        <f t="shared" si="9"/>
        <v>3.0336240157002869E-3</v>
      </c>
      <c r="X24" s="6">
        <f t="shared" si="10"/>
        <v>7.5792299070418512E-3</v>
      </c>
      <c r="Y24" s="6">
        <f t="shared" si="11"/>
        <v>-2.5002138406573504E-3</v>
      </c>
      <c r="Z24" s="6">
        <f t="shared" si="12"/>
        <v>2.8145576843068287E-3</v>
      </c>
    </row>
    <row r="25" spans="1:26" x14ac:dyDescent="0.45">
      <c r="A25">
        <v>23</v>
      </c>
      <c r="B25" s="1">
        <v>1030.2706681900006</v>
      </c>
      <c r="C25" s="1">
        <v>1030.2706681900006</v>
      </c>
      <c r="D25" s="2">
        <v>47.771996916106126</v>
      </c>
      <c r="E25" s="2">
        <v>78.343865479541378</v>
      </c>
      <c r="F25" s="2">
        <v>24.554135825059646</v>
      </c>
      <c r="G25" s="2">
        <v>15.347583496019151</v>
      </c>
      <c r="H25" s="2">
        <v>77.901092826701529</v>
      </c>
      <c r="I25" s="2">
        <v>49.376621496291285</v>
      </c>
      <c r="J25" s="2">
        <v>149.36830777776544</v>
      </c>
      <c r="K25" s="2">
        <v>60.199120310845437</v>
      </c>
      <c r="L25" s="2">
        <v>7.8175399917884505</v>
      </c>
      <c r="M25" s="2">
        <v>20.500291870535786</v>
      </c>
      <c r="O25" s="6">
        <f t="shared" si="1"/>
        <v>6.7273057957490945E-3</v>
      </c>
      <c r="P25" s="6">
        <f t="shared" si="2"/>
        <v>6.7273057957490945E-3</v>
      </c>
      <c r="Q25" s="6">
        <f t="shared" si="3"/>
        <v>2.2920063517442024E-3</v>
      </c>
      <c r="R25" s="6">
        <f t="shared" si="4"/>
        <v>1.5809427738663118E-2</v>
      </c>
      <c r="S25" s="6">
        <f t="shared" si="5"/>
        <v>9.804321338634292E-3</v>
      </c>
      <c r="T25" s="6">
        <f t="shared" si="6"/>
        <v>1.0189634743830833E-2</v>
      </c>
      <c r="U25" s="6">
        <f t="shared" si="7"/>
        <v>8.0397354143502131E-3</v>
      </c>
      <c r="V25" s="6">
        <f t="shared" si="8"/>
        <v>9.2603542345179868E-3</v>
      </c>
      <c r="W25" s="6">
        <f t="shared" si="9"/>
        <v>1.4181680667616492E-2</v>
      </c>
      <c r="X25" s="6">
        <f t="shared" si="10"/>
        <v>1.4059872688466646E-2</v>
      </c>
      <c r="Y25" s="6">
        <f t="shared" si="11"/>
        <v>7.9413250631550358E-3</v>
      </c>
      <c r="Z25" s="6">
        <f t="shared" si="12"/>
        <v>1.0551320714260237E-2</v>
      </c>
    </row>
    <row r="26" spans="1:26" x14ac:dyDescent="0.45">
      <c r="A26">
        <v>24</v>
      </c>
      <c r="B26" s="1">
        <v>1037.2016140273056</v>
      </c>
      <c r="C26" s="1">
        <v>1037.2016140273056</v>
      </c>
      <c r="D26" s="2">
        <v>47.881490636473345</v>
      </c>
      <c r="E26" s="2">
        <v>79.582437159607736</v>
      </c>
      <c r="F26" s="2">
        <v>24.794872462881003</v>
      </c>
      <c r="G26" s="2">
        <v>15.503969766044033</v>
      </c>
      <c r="H26" s="2">
        <v>78.527397001516945</v>
      </c>
      <c r="I26" s="2">
        <v>49.833866502250658</v>
      </c>
      <c r="J26" s="2">
        <v>151.48660142053197</v>
      </c>
      <c r="K26" s="2">
        <v>61.045512278373607</v>
      </c>
      <c r="L26" s="2">
        <v>7.879621618057457</v>
      </c>
      <c r="M26" s="2">
        <v>20.71659702479775</v>
      </c>
      <c r="O26" s="6">
        <f t="shared" si="1"/>
        <v>4.9879464405155893E-4</v>
      </c>
      <c r="P26" s="6">
        <f t="shared" si="2"/>
        <v>4.9879464405155893E-4</v>
      </c>
      <c r="Q26" s="6">
        <f t="shared" si="3"/>
        <v>5.5483033857084418E-3</v>
      </c>
      <c r="R26" s="6">
        <f t="shared" si="4"/>
        <v>2.0229545200771692E-3</v>
      </c>
      <c r="S26" s="6">
        <f t="shared" si="5"/>
        <v>6.2371027191887585E-4</v>
      </c>
      <c r="T26" s="6">
        <f t="shared" si="6"/>
        <v>7.7418741468804342E-4</v>
      </c>
      <c r="U26" s="6">
        <f t="shared" si="7"/>
        <v>-8.9635019276657069E-4</v>
      </c>
      <c r="V26" s="6">
        <f t="shared" si="8"/>
        <v>-3.0087022843121591E-3</v>
      </c>
      <c r="W26" s="6">
        <f t="shared" si="9"/>
        <v>2.5787178314125025E-3</v>
      </c>
      <c r="X26" s="6">
        <f t="shared" si="10"/>
        <v>7.5659402282721722E-3</v>
      </c>
      <c r="Y26" s="6">
        <f t="shared" si="11"/>
        <v>-6.7760984309062078E-4</v>
      </c>
      <c r="Z26" s="6">
        <f t="shared" si="12"/>
        <v>4.0960925347801602E-3</v>
      </c>
    </row>
    <row r="27" spans="1:26" x14ac:dyDescent="0.45">
      <c r="A27">
        <v>25</v>
      </c>
      <c r="B27" s="1">
        <v>1037.7189646371839</v>
      </c>
      <c r="C27" s="1">
        <v>1037.7189646371839</v>
      </c>
      <c r="D27" s="2">
        <v>48.147151673084458</v>
      </c>
      <c r="E27" s="2">
        <v>79.743428810578521</v>
      </c>
      <c r="F27" s="2">
        <v>24.810337279527019</v>
      </c>
      <c r="G27" s="2">
        <v>15.515972744314608</v>
      </c>
      <c r="H27" s="2">
        <v>78.457008954077182</v>
      </c>
      <c r="I27" s="2">
        <v>49.683931234269231</v>
      </c>
      <c r="J27" s="2">
        <v>151.87724262083518</v>
      </c>
      <c r="K27" s="2">
        <v>61.507378975476037</v>
      </c>
      <c r="L27" s="2">
        <v>7.8742823088892315</v>
      </c>
      <c r="M27" s="2">
        <v>20.801454123217074</v>
      </c>
      <c r="O27" s="6">
        <f t="shared" si="1"/>
        <v>-3.8262372670212486E-3</v>
      </c>
      <c r="P27" s="6">
        <f t="shared" si="2"/>
        <v>-3.8262372670212486E-3</v>
      </c>
      <c r="Q27" s="6">
        <f t="shared" si="3"/>
        <v>-3.9284160837284032E-3</v>
      </c>
      <c r="R27" s="6">
        <f t="shared" si="4"/>
        <v>-6.4152992100707795E-4</v>
      </c>
      <c r="S27" s="6">
        <f t="shared" si="5"/>
        <v>-4.7743870004024469E-4</v>
      </c>
      <c r="T27" s="6">
        <f t="shared" si="6"/>
        <v>-3.7552500722179971E-3</v>
      </c>
      <c r="U27" s="6">
        <f t="shared" si="7"/>
        <v>-1.9981974064201546E-3</v>
      </c>
      <c r="V27" s="6">
        <f t="shared" si="8"/>
        <v>-2.4547989952232729E-3</v>
      </c>
      <c r="W27" s="6">
        <f t="shared" si="9"/>
        <v>-3.2720184784328366E-3</v>
      </c>
      <c r="X27" s="6">
        <f t="shared" si="10"/>
        <v>-1.9874444450370565E-2</v>
      </c>
      <c r="Y27" s="6">
        <f t="shared" si="11"/>
        <v>-6.2763948895959709E-3</v>
      </c>
      <c r="Z27" s="6">
        <f t="shared" si="12"/>
        <v>-3.9982731315022502E-3</v>
      </c>
    </row>
    <row r="28" spans="1:26" x14ac:dyDescent="0.45">
      <c r="A28">
        <v>26</v>
      </c>
      <c r="B28" s="1">
        <v>1033.7484056619944</v>
      </c>
      <c r="C28" s="1">
        <v>1033.7484056619944</v>
      </c>
      <c r="D28" s="2">
        <v>47.9580096280662</v>
      </c>
      <c r="E28" s="2">
        <v>79.692271014992841</v>
      </c>
      <c r="F28" s="2">
        <v>24.798491864348723</v>
      </c>
      <c r="G28" s="2">
        <v>15.457706386545988</v>
      </c>
      <c r="H28" s="2">
        <v>78.300236362269658</v>
      </c>
      <c r="I28" s="2">
        <v>49.561967169796603</v>
      </c>
      <c r="J28" s="2">
        <v>151.38029747652638</v>
      </c>
      <c r="K28" s="2">
        <v>60.28495398874005</v>
      </c>
      <c r="L28" s="2">
        <v>7.8248602036464829</v>
      </c>
      <c r="M28" s="2">
        <v>20.718284228100039</v>
      </c>
      <c r="O28" s="6">
        <f t="shared" si="1"/>
        <v>3.7349524246261812E-3</v>
      </c>
      <c r="P28" s="6">
        <f t="shared" si="2"/>
        <v>3.7349524246261812E-3</v>
      </c>
      <c r="Q28" s="6">
        <f t="shared" si="3"/>
        <v>4.6477294132158953E-3</v>
      </c>
      <c r="R28" s="6">
        <f t="shared" si="4"/>
        <v>2.9480752965980184E-3</v>
      </c>
      <c r="S28" s="6">
        <f t="shared" si="5"/>
        <v>5.2148067450599189E-3</v>
      </c>
      <c r="T28" s="6">
        <f t="shared" si="6"/>
        <v>5.1489398989628121E-3</v>
      </c>
      <c r="U28" s="6">
        <f t="shared" si="7"/>
        <v>6.0445733964158421E-3</v>
      </c>
      <c r="V28" s="6">
        <f t="shared" si="8"/>
        <v>3.7352697534456247E-3</v>
      </c>
      <c r="W28" s="6">
        <f t="shared" si="9"/>
        <v>1.0703119812023321E-3</v>
      </c>
      <c r="X28" s="6">
        <f t="shared" si="10"/>
        <v>-2.3161073462840687E-4</v>
      </c>
      <c r="Y28" s="6">
        <f t="shared" si="11"/>
        <v>3.193556650534779E-3</v>
      </c>
      <c r="Z28" s="6">
        <f t="shared" si="12"/>
        <v>3.8621138270193978E-3</v>
      </c>
    </row>
    <row r="29" spans="1:26" x14ac:dyDescent="0.45">
      <c r="A29">
        <v>27</v>
      </c>
      <c r="B29" s="1">
        <v>1037.6094067761751</v>
      </c>
      <c r="C29" s="1">
        <v>1037.6094067761751</v>
      </c>
      <c r="D29" s="2">
        <v>48.180905480013855</v>
      </c>
      <c r="E29" s="2">
        <v>79.927209830501937</v>
      </c>
      <c r="F29" s="2">
        <v>24.927811206990242</v>
      </c>
      <c r="G29" s="2">
        <v>15.537297187706127</v>
      </c>
      <c r="H29" s="2">
        <v>78.773527887918107</v>
      </c>
      <c r="I29" s="2">
        <v>49.74709448668721</v>
      </c>
      <c r="J29" s="2">
        <v>151.54232162263347</v>
      </c>
      <c r="K29" s="2">
        <v>60.270991346259677</v>
      </c>
      <c r="L29" s="2">
        <v>7.849849337989343</v>
      </c>
      <c r="M29" s="2">
        <v>20.798300600089501</v>
      </c>
      <c r="O29" s="6">
        <f t="shared" si="1"/>
        <v>-4.8289535178092091E-4</v>
      </c>
      <c r="P29" s="6">
        <f t="shared" si="2"/>
        <v>-4.8289535178092091E-4</v>
      </c>
      <c r="Q29" s="6">
        <f t="shared" si="3"/>
        <v>5.3787267754967782E-3</v>
      </c>
      <c r="R29" s="6">
        <f t="shared" si="4"/>
        <v>-5.3585640580587901E-3</v>
      </c>
      <c r="S29" s="6">
        <f t="shared" si="5"/>
        <v>-3.5015785100594998E-3</v>
      </c>
      <c r="T29" s="6">
        <f t="shared" si="6"/>
        <v>2.6168189266793096E-3</v>
      </c>
      <c r="U29" s="6">
        <f t="shared" si="7"/>
        <v>6.2955727170215248E-3</v>
      </c>
      <c r="V29" s="6">
        <f t="shared" si="8"/>
        <v>3.9516210287302567E-3</v>
      </c>
      <c r="W29" s="6">
        <f t="shared" si="9"/>
        <v>4.7297813169007163E-3</v>
      </c>
      <c r="X29" s="6">
        <f t="shared" si="10"/>
        <v>6.8053970238288741E-3</v>
      </c>
      <c r="Y29" s="6">
        <f t="shared" si="11"/>
        <v>2.8165835710733944E-3</v>
      </c>
      <c r="Z29" s="6">
        <f t="shared" si="12"/>
        <v>-2.4050081118613953E-3</v>
      </c>
    </row>
    <row r="30" spans="1:26" x14ac:dyDescent="0.45">
      <c r="A30">
        <v>28</v>
      </c>
      <c r="B30" s="1">
        <v>1037.1083500166787</v>
      </c>
      <c r="C30" s="1">
        <v>1037.1083500166787</v>
      </c>
      <c r="D30" s="2">
        <v>48.440057406386885</v>
      </c>
      <c r="E30" s="2">
        <v>79.498914756643288</v>
      </c>
      <c r="F30" s="2">
        <v>24.840524518965026</v>
      </c>
      <c r="G30" s="2">
        <v>15.577955481056357</v>
      </c>
      <c r="H30" s="2">
        <v>79.269452360912823</v>
      </c>
      <c r="I30" s="2">
        <v>49.943676151379037</v>
      </c>
      <c r="J30" s="2">
        <v>152.25908366416397</v>
      </c>
      <c r="K30" s="2">
        <v>60.681159371390727</v>
      </c>
      <c r="L30" s="2">
        <v>7.8719590946701254</v>
      </c>
      <c r="M30" s="2">
        <v>20.748280518433354</v>
      </c>
      <c r="O30" s="6">
        <f t="shared" si="1"/>
        <v>-4.0524790314722114E-4</v>
      </c>
      <c r="P30" s="6">
        <f t="shared" si="2"/>
        <v>-4.0524790314722114E-4</v>
      </c>
      <c r="Q30" s="6">
        <f t="shared" si="3"/>
        <v>1.6987640018431005E-3</v>
      </c>
      <c r="R30" s="6">
        <f t="shared" si="4"/>
        <v>-2.6412042298861182E-3</v>
      </c>
      <c r="S30" s="6">
        <f t="shared" si="5"/>
        <v>7.8244806330030059E-4</v>
      </c>
      <c r="T30" s="6">
        <f t="shared" si="6"/>
        <v>-3.5921353173645754E-3</v>
      </c>
      <c r="U30" s="6">
        <f t="shared" si="7"/>
        <v>-2.0454824619384748E-3</v>
      </c>
      <c r="V30" s="6">
        <f t="shared" si="8"/>
        <v>5.3558109820248667E-3</v>
      </c>
      <c r="W30" s="6">
        <f t="shared" si="9"/>
        <v>3.532921042327386E-3</v>
      </c>
      <c r="X30" s="6">
        <f t="shared" si="10"/>
        <v>4.1683210987915054E-3</v>
      </c>
      <c r="Y30" s="6">
        <f t="shared" si="11"/>
        <v>4.7196231669841548E-3</v>
      </c>
      <c r="Z30" s="6">
        <f t="shared" si="12"/>
        <v>-1.524785864862932E-3</v>
      </c>
    </row>
    <row r="31" spans="1:26" x14ac:dyDescent="0.45">
      <c r="A31">
        <v>29</v>
      </c>
      <c r="B31" s="1">
        <v>1036.688064032498</v>
      </c>
      <c r="C31" s="1">
        <v>1036.688064032498</v>
      </c>
      <c r="D31" s="2">
        <v>48.522345632156068</v>
      </c>
      <c r="E31" s="2">
        <v>79.288941886716685</v>
      </c>
      <c r="F31" s="2">
        <v>24.859960939266255</v>
      </c>
      <c r="G31" s="2">
        <v>15.521997357000521</v>
      </c>
      <c r="H31" s="2">
        <v>79.107308086341106</v>
      </c>
      <c r="I31" s="2">
        <v>50.211165040593286</v>
      </c>
      <c r="J31" s="2">
        <v>152.79700298472659</v>
      </c>
      <c r="K31" s="2">
        <v>60.934097928297625</v>
      </c>
      <c r="L31" s="2">
        <v>7.9091117751828826</v>
      </c>
      <c r="M31" s="2">
        <v>20.716643833578637</v>
      </c>
      <c r="O31" s="6">
        <f t="shared" si="1"/>
        <v>3.1154396332162548E-3</v>
      </c>
      <c r="P31" s="6">
        <f t="shared" si="2"/>
        <v>3.1154396332162548E-3</v>
      </c>
      <c r="Q31" s="6">
        <f t="shared" si="3"/>
        <v>5.3721596274662886E-3</v>
      </c>
      <c r="R31" s="6">
        <f t="shared" si="4"/>
        <v>3.9973832339386117E-3</v>
      </c>
      <c r="S31" s="6">
        <f t="shared" si="5"/>
        <v>-6.7079564461303143E-4</v>
      </c>
      <c r="T31" s="6">
        <f t="shared" si="6"/>
        <v>8.107494842954921E-4</v>
      </c>
      <c r="U31" s="6">
        <f t="shared" si="7"/>
        <v>-2.3880653001184804E-3</v>
      </c>
      <c r="V31" s="6">
        <f t="shared" si="8"/>
        <v>-2.4545433132080463E-3</v>
      </c>
      <c r="W31" s="6">
        <f t="shared" si="9"/>
        <v>3.1142109072161972E-3</v>
      </c>
      <c r="X31" s="6">
        <f t="shared" si="10"/>
        <v>4.3062007377061562E-3</v>
      </c>
      <c r="Y31" s="6">
        <f t="shared" si="11"/>
        <v>-1.2830590783327045E-3</v>
      </c>
      <c r="Z31" s="6">
        <f t="shared" si="12"/>
        <v>9.0022419809399068E-4</v>
      </c>
    </row>
    <row r="32" spans="1:26" x14ac:dyDescent="0.45">
      <c r="A32">
        <v>30</v>
      </c>
      <c r="B32" s="1">
        <v>1039.917803114467</v>
      </c>
      <c r="C32" s="1">
        <v>1039.917803114467</v>
      </c>
      <c r="D32" s="2">
        <v>48.783015418391102</v>
      </c>
      <c r="E32" s="2">
        <v>79.605890173651375</v>
      </c>
      <c r="F32" s="2">
        <v>24.843284985742944</v>
      </c>
      <c r="G32" s="2">
        <v>15.534581808352945</v>
      </c>
      <c r="H32" s="2">
        <v>78.918394668914331</v>
      </c>
      <c r="I32" s="2">
        <v>50.087919561194511</v>
      </c>
      <c r="J32" s="2">
        <v>153.27284507801156</v>
      </c>
      <c r="K32" s="2">
        <v>61.196492385747916</v>
      </c>
      <c r="L32" s="2">
        <v>7.8989639175181861</v>
      </c>
      <c r="M32" s="2">
        <v>20.735293457660919</v>
      </c>
      <c r="O32" s="6">
        <f t="shared" si="1"/>
        <v>-7.936603465746872E-4</v>
      </c>
      <c r="P32" s="6">
        <f t="shared" si="2"/>
        <v>-7.936603465746872E-4</v>
      </c>
      <c r="Q32" s="6">
        <f t="shared" si="3"/>
        <v>5.1224653072727833E-3</v>
      </c>
      <c r="R32" s="6">
        <f t="shared" si="4"/>
        <v>-2.797290014982301E-3</v>
      </c>
      <c r="S32" s="6">
        <f t="shared" si="5"/>
        <v>1.1546067625283207E-3</v>
      </c>
      <c r="T32" s="6">
        <f t="shared" si="6"/>
        <v>-4.5650078725045784E-3</v>
      </c>
      <c r="U32" s="6">
        <f t="shared" si="7"/>
        <v>-8.072799563844324E-3</v>
      </c>
      <c r="V32" s="6">
        <f t="shared" si="8"/>
        <v>-2.2266445871879093E-3</v>
      </c>
      <c r="W32" s="6">
        <f t="shared" si="9"/>
        <v>1.8726992731072922E-3</v>
      </c>
      <c r="X32" s="6">
        <f t="shared" si="10"/>
        <v>-2.5476489984096462E-3</v>
      </c>
      <c r="Y32" s="6">
        <f t="shared" si="11"/>
        <v>-2.6739188229382149E-3</v>
      </c>
      <c r="Z32" s="6">
        <f t="shared" si="12"/>
        <v>-2.6537119724275859E-3</v>
      </c>
    </row>
    <row r="33" spans="1:26" x14ac:dyDescent="0.45">
      <c r="A33">
        <v>31</v>
      </c>
      <c r="B33" s="1">
        <v>1039.092461590438</v>
      </c>
      <c r="C33" s="1">
        <v>1039.092461590438</v>
      </c>
      <c r="D33" s="2">
        <v>49.03290472245596</v>
      </c>
      <c r="E33" s="2">
        <v>79.383209411934843</v>
      </c>
      <c r="F33" s="2">
        <v>24.871969210590901</v>
      </c>
      <c r="G33" s="2">
        <v>15.463666320101748</v>
      </c>
      <c r="H33" s="2">
        <v>78.281302286851826</v>
      </c>
      <c r="I33" s="2">
        <v>49.976391566220073</v>
      </c>
      <c r="J33" s="2">
        <v>153.55987902357623</v>
      </c>
      <c r="K33" s="2">
        <v>61.04058520321518</v>
      </c>
      <c r="L33" s="2">
        <v>7.8778427292174245</v>
      </c>
      <c r="M33" s="2">
        <v>20.680267961160524</v>
      </c>
      <c r="O33" s="6">
        <f t="shared" si="1"/>
        <v>2.0772926406920078E-3</v>
      </c>
      <c r="P33" s="6">
        <f t="shared" si="2"/>
        <v>2.0772926406920078E-3</v>
      </c>
      <c r="Q33" s="6">
        <f t="shared" si="3"/>
        <v>2.6918300480316404E-4</v>
      </c>
      <c r="R33" s="6">
        <f t="shared" si="4"/>
        <v>1.0879143951091352E-2</v>
      </c>
      <c r="S33" s="6">
        <f t="shared" si="5"/>
        <v>2.913977191004502E-3</v>
      </c>
      <c r="T33" s="6">
        <f t="shared" si="6"/>
        <v>-1.7167794127583846E-3</v>
      </c>
      <c r="U33" s="6">
        <f t="shared" si="7"/>
        <v>-2.3026087896198533E-3</v>
      </c>
      <c r="V33" s="6">
        <f t="shared" si="8"/>
        <v>3.3337771759209822E-3</v>
      </c>
      <c r="W33" s="6">
        <f t="shared" si="9"/>
        <v>-2.949608269906312E-3</v>
      </c>
      <c r="X33" s="6">
        <f t="shared" si="10"/>
        <v>2.559476255445059E-3</v>
      </c>
      <c r="Y33" s="6">
        <f t="shared" si="11"/>
        <v>1.7277823742904985E-3</v>
      </c>
      <c r="Z33" s="6">
        <f t="shared" si="12"/>
        <v>3.0374660612684234E-3</v>
      </c>
    </row>
    <row r="34" spans="1:26" x14ac:dyDescent="0.45">
      <c r="A34">
        <v>32</v>
      </c>
      <c r="B34" s="1">
        <v>1041.2509607138984</v>
      </c>
      <c r="C34" s="1">
        <v>1041.2509607138984</v>
      </c>
      <c r="D34" s="2">
        <v>49.046103547083376</v>
      </c>
      <c r="E34" s="2">
        <v>80.246830774426911</v>
      </c>
      <c r="F34" s="2">
        <v>24.944445561565928</v>
      </c>
      <c r="G34" s="2">
        <v>15.437118616117631</v>
      </c>
      <c r="H34" s="2">
        <v>78.101051072143235</v>
      </c>
      <c r="I34" s="2">
        <v>50.143001719758431</v>
      </c>
      <c r="J34" s="2">
        <v>153.10693753448248</v>
      </c>
      <c r="K34" s="2">
        <v>61.196817131661277</v>
      </c>
      <c r="L34" s="2">
        <v>7.8914539270323987</v>
      </c>
      <c r="M34" s="2">
        <v>20.743083573230486</v>
      </c>
      <c r="O34" s="6">
        <f t="shared" si="1"/>
        <v>-2.5932152764807093E-4</v>
      </c>
      <c r="P34" s="6">
        <f t="shared" si="2"/>
        <v>-2.5932152764807093E-4</v>
      </c>
      <c r="Q34" s="6">
        <f t="shared" si="3"/>
        <v>-2.8193520992851884E-3</v>
      </c>
      <c r="R34" s="6">
        <f t="shared" si="4"/>
        <v>-1.8892430212934519E-3</v>
      </c>
      <c r="S34" s="6">
        <f t="shared" si="5"/>
        <v>3.4342180026378788E-3</v>
      </c>
      <c r="T34" s="6">
        <f t="shared" si="6"/>
        <v>-7.5890268488709722E-4</v>
      </c>
      <c r="U34" s="6">
        <f t="shared" si="7"/>
        <v>-2.4809687902103139E-3</v>
      </c>
      <c r="V34" s="6">
        <f t="shared" si="8"/>
        <v>-6.8003414405776175E-3</v>
      </c>
      <c r="W34" s="6">
        <f t="shared" si="9"/>
        <v>-1.3885424975562666E-3</v>
      </c>
      <c r="X34" s="6">
        <f t="shared" si="10"/>
        <v>2.2778074824436612E-3</v>
      </c>
      <c r="Y34" s="6">
        <f t="shared" si="11"/>
        <v>2.6568280997429916E-3</v>
      </c>
      <c r="Z34" s="6">
        <f t="shared" si="12"/>
        <v>1.565470605733088E-3</v>
      </c>
    </row>
    <row r="35" spans="1:26" x14ac:dyDescent="0.45">
      <c r="A35">
        <v>33</v>
      </c>
      <c r="B35" s="1">
        <v>1040.980941924101</v>
      </c>
      <c r="C35" s="1">
        <v>1040.980941924101</v>
      </c>
      <c r="D35" s="2">
        <v>48.907825312086146</v>
      </c>
      <c r="E35" s="2">
        <v>80.095225009405411</v>
      </c>
      <c r="F35" s="2">
        <v>25.030110225579278</v>
      </c>
      <c r="G35" s="2">
        <v>15.425403345352938</v>
      </c>
      <c r="H35" s="2">
        <v>77.907284801950624</v>
      </c>
      <c r="I35" s="2">
        <v>49.802012187208604</v>
      </c>
      <c r="J35" s="2">
        <v>152.89434204504516</v>
      </c>
      <c r="K35" s="2">
        <v>61.336211699625508</v>
      </c>
      <c r="L35" s="2">
        <v>7.9124201635735654</v>
      </c>
      <c r="M35" s="2">
        <v>20.775556260836645</v>
      </c>
      <c r="O35" s="6">
        <f t="shared" si="1"/>
        <v>2.6971558993855727E-3</v>
      </c>
      <c r="P35" s="6">
        <f t="shared" si="2"/>
        <v>2.6971558993855727E-3</v>
      </c>
      <c r="Q35" s="6">
        <f t="shared" si="3"/>
        <v>8.5401918124616838E-3</v>
      </c>
      <c r="R35" s="6">
        <f t="shared" si="4"/>
        <v>7.8881325532216273E-3</v>
      </c>
      <c r="S35" s="6">
        <f t="shared" si="5"/>
        <v>-5.5431428340102507E-4</v>
      </c>
      <c r="T35" s="6">
        <f t="shared" si="6"/>
        <v>4.7909160402082041E-3</v>
      </c>
      <c r="U35" s="6">
        <f t="shared" si="7"/>
        <v>5.313318561928515E-3</v>
      </c>
      <c r="V35" s="6">
        <f t="shared" si="8"/>
        <v>1.0643928043281736E-2</v>
      </c>
      <c r="W35" s="6">
        <f t="shared" si="9"/>
        <v>5.1060786605914288E-3</v>
      </c>
      <c r="X35" s="6">
        <f t="shared" si="10"/>
        <v>6.5197402049810282E-3</v>
      </c>
      <c r="Y35" s="6">
        <f t="shared" si="11"/>
        <v>-2.4477748670461708E-3</v>
      </c>
      <c r="Z35" s="6">
        <f t="shared" si="12"/>
        <v>8.1569261840641616E-4</v>
      </c>
    </row>
    <row r="36" spans="1:26" x14ac:dyDescent="0.45">
      <c r="A36">
        <v>34</v>
      </c>
      <c r="B36" s="1">
        <v>1043.7886298127596</v>
      </c>
      <c r="C36" s="1">
        <v>1043.7886298127596</v>
      </c>
      <c r="D36" s="2">
        <v>49.325507521381731</v>
      </c>
      <c r="E36" s="2">
        <v>80.727026761159706</v>
      </c>
      <c r="F36" s="2">
        <v>25.016235677966137</v>
      </c>
      <c r="G36" s="2">
        <v>15.499305157666871</v>
      </c>
      <c r="H36" s="2">
        <v>78.321231024398273</v>
      </c>
      <c r="I36" s="2">
        <v>50.33210122133989</v>
      </c>
      <c r="J36" s="2">
        <v>153.67503258228655</v>
      </c>
      <c r="K36" s="2">
        <v>61.736107865064781</v>
      </c>
      <c r="L36" s="2">
        <v>7.8930523403596604</v>
      </c>
      <c r="M36" s="2">
        <v>20.792502728721896</v>
      </c>
      <c r="O36" s="6">
        <f t="shared" si="1"/>
        <v>3.990032198632365E-3</v>
      </c>
      <c r="P36" s="6">
        <f t="shared" si="2"/>
        <v>3.990032198632365E-3</v>
      </c>
      <c r="Q36" s="6">
        <f t="shared" si="3"/>
        <v>9.7139224323359308E-3</v>
      </c>
      <c r="R36" s="6">
        <f t="shared" si="4"/>
        <v>8.4477222978605049E-3</v>
      </c>
      <c r="S36" s="6">
        <f t="shared" si="5"/>
        <v>-8.7062195681941734E-4</v>
      </c>
      <c r="T36" s="6">
        <f t="shared" si="6"/>
        <v>3.7630148335110469E-3</v>
      </c>
      <c r="U36" s="6">
        <f t="shared" si="7"/>
        <v>3.4298013021374363E-3</v>
      </c>
      <c r="V36" s="6">
        <f t="shared" si="8"/>
        <v>8.3379047597142986E-3</v>
      </c>
      <c r="W36" s="6">
        <f t="shared" si="9"/>
        <v>2.5578549718092702E-3</v>
      </c>
      <c r="X36" s="6">
        <f t="shared" si="10"/>
        <v>5.9359795562672346E-3</v>
      </c>
      <c r="Y36" s="6">
        <f t="shared" si="11"/>
        <v>2.3085556577460142E-3</v>
      </c>
      <c r="Z36" s="6">
        <f t="shared" si="12"/>
        <v>2.9396638556808963E-3</v>
      </c>
    </row>
    <row r="37" spans="1:26" x14ac:dyDescent="0.45">
      <c r="A37">
        <v>35</v>
      </c>
      <c r="B37" s="1">
        <v>1047.9533800542788</v>
      </c>
      <c r="C37" s="1">
        <v>1047.9533800542788</v>
      </c>
      <c r="D37" s="2">
        <v>49.804651675380036</v>
      </c>
      <c r="E37" s="2">
        <v>81.408986265169943</v>
      </c>
      <c r="F37" s="2">
        <v>24.99445599390793</v>
      </c>
      <c r="G37" s="2">
        <v>15.557629272884286</v>
      </c>
      <c r="H37" s="2">
        <v>78.58985728455076</v>
      </c>
      <c r="I37" s="2">
        <v>50.75176548767972</v>
      </c>
      <c r="J37" s="2">
        <v>154.06811102842011</v>
      </c>
      <c r="K37" s="2">
        <v>62.102572139235313</v>
      </c>
      <c r="L37" s="2">
        <v>7.9112738909968829</v>
      </c>
      <c r="M37" s="2">
        <v>20.853625697462665</v>
      </c>
      <c r="O37" s="6">
        <f t="shared" si="1"/>
        <v>-3.0067689216306537E-3</v>
      </c>
      <c r="P37" s="6">
        <f t="shared" si="2"/>
        <v>-3.0067689216306537E-3</v>
      </c>
      <c r="Q37" s="6">
        <f t="shared" si="3"/>
        <v>-4.6258438458910422E-3</v>
      </c>
      <c r="R37" s="6">
        <f t="shared" si="4"/>
        <v>6.2104900550912223E-3</v>
      </c>
      <c r="S37" s="6">
        <f t="shared" si="5"/>
        <v>-3.4360387229546152E-3</v>
      </c>
      <c r="T37" s="6">
        <f t="shared" si="6"/>
        <v>-2.6623228148514588E-3</v>
      </c>
      <c r="U37" s="6">
        <f t="shared" si="7"/>
        <v>-7.5557309892460012E-3</v>
      </c>
      <c r="V37" s="6">
        <f t="shared" si="8"/>
        <v>-6.0927350437148808E-3</v>
      </c>
      <c r="W37" s="6">
        <f t="shared" si="9"/>
        <v>9.5975167678274964E-4</v>
      </c>
      <c r="X37" s="6">
        <f t="shared" si="10"/>
        <v>-1.2313352608189887E-2</v>
      </c>
      <c r="Y37" s="6">
        <f t="shared" si="11"/>
        <v>-1.9340965970884305E-3</v>
      </c>
      <c r="Z37" s="6">
        <f t="shared" si="12"/>
        <v>1.8427799931055588E-3</v>
      </c>
    </row>
    <row r="38" spans="1:26" x14ac:dyDescent="0.45">
      <c r="A38">
        <v>36</v>
      </c>
      <c r="B38" s="1">
        <v>1044.8024263998138</v>
      </c>
      <c r="C38" s="1">
        <v>1044.8024263998138</v>
      </c>
      <c r="D38" s="2">
        <v>49.574263133930735</v>
      </c>
      <c r="E38" s="2">
        <v>81.914575964764836</v>
      </c>
      <c r="F38" s="2">
        <v>24.908574075253679</v>
      </c>
      <c r="G38" s="2">
        <v>15.516209841526086</v>
      </c>
      <c r="H38" s="2">
        <v>77.996053464425458</v>
      </c>
      <c r="I38" s="2">
        <v>50.442548427562535</v>
      </c>
      <c r="J38" s="2">
        <v>154.21597815631839</v>
      </c>
      <c r="K38" s="2">
        <v>61.337881270609358</v>
      </c>
      <c r="L38" s="2">
        <v>7.8959727230856709</v>
      </c>
      <c r="M38" s="2">
        <v>20.892054341681661</v>
      </c>
      <c r="O38" s="6">
        <f t="shared" si="1"/>
        <v>-1.4079456200172258E-3</v>
      </c>
      <c r="P38" s="6">
        <f t="shared" si="2"/>
        <v>-1.4079456200172258E-3</v>
      </c>
      <c r="Q38" s="6">
        <f t="shared" si="3"/>
        <v>-3.8956130957783497E-3</v>
      </c>
      <c r="R38" s="6">
        <f t="shared" si="4"/>
        <v>-8.5767836121997121E-4</v>
      </c>
      <c r="S38" s="6">
        <f t="shared" si="5"/>
        <v>6.0955624905156824E-5</v>
      </c>
      <c r="T38" s="6">
        <f t="shared" si="6"/>
        <v>2.2955987013923984E-3</v>
      </c>
      <c r="U38" s="6">
        <f t="shared" si="7"/>
        <v>2.3212844967437363E-3</v>
      </c>
      <c r="V38" s="6">
        <f t="shared" si="8"/>
        <v>-3.3030303010397333E-3</v>
      </c>
      <c r="W38" s="6">
        <f t="shared" si="9"/>
        <v>-8.1678199753439928E-3</v>
      </c>
      <c r="X38" s="6">
        <f t="shared" si="10"/>
        <v>-4.1030606441672113E-5</v>
      </c>
      <c r="Y38" s="6">
        <f t="shared" si="11"/>
        <v>-4.2523574780035656E-3</v>
      </c>
      <c r="Z38" s="6">
        <f t="shared" si="12"/>
        <v>-2.4909455591027863E-3</v>
      </c>
    </row>
    <row r="39" spans="1:26" x14ac:dyDescent="0.45">
      <c r="A39">
        <v>37</v>
      </c>
      <c r="B39" s="1">
        <v>1043.3314013997808</v>
      </c>
      <c r="C39" s="1">
        <v>1043.3314013997808</v>
      </c>
      <c r="D39" s="2">
        <v>49.381140985252635</v>
      </c>
      <c r="E39" s="2">
        <v>81.84431960549135</v>
      </c>
      <c r="F39" s="2">
        <v>24.910092392951931</v>
      </c>
      <c r="G39" s="2">
        <v>15.551828832688825</v>
      </c>
      <c r="H39" s="2">
        <v>78.177104494139627</v>
      </c>
      <c r="I39" s="2">
        <v>50.275935161644632</v>
      </c>
      <c r="J39" s="2">
        <v>152.956369809416</v>
      </c>
      <c r="K39" s="2">
        <v>61.335364540142976</v>
      </c>
      <c r="L39" s="2">
        <v>7.8623962244305456</v>
      </c>
      <c r="M39" s="2">
        <v>20.840013371698713</v>
      </c>
      <c r="O39" s="6">
        <f t="shared" si="1"/>
        <v>9.5186488035281513E-4</v>
      </c>
      <c r="P39" s="6">
        <f t="shared" si="2"/>
        <v>9.5186488035281513E-4</v>
      </c>
      <c r="Q39" s="6">
        <f t="shared" si="3"/>
        <v>5.9579853958791062E-3</v>
      </c>
      <c r="R39" s="6">
        <f t="shared" si="4"/>
        <v>1.0241644822475582E-2</v>
      </c>
      <c r="S39" s="6">
        <f t="shared" si="5"/>
        <v>2.8049429325733843E-3</v>
      </c>
      <c r="T39" s="6">
        <f t="shared" si="6"/>
        <v>1.7044518528273045E-3</v>
      </c>
      <c r="U39" s="6">
        <f t="shared" si="7"/>
        <v>9.039856697407922E-3</v>
      </c>
      <c r="V39" s="6">
        <f t="shared" si="8"/>
        <v>-4.4011298878576799E-4</v>
      </c>
      <c r="W39" s="6">
        <f t="shared" si="9"/>
        <v>1.5403930558566259E-4</v>
      </c>
      <c r="X39" s="6">
        <f t="shared" si="10"/>
        <v>1.4646780117490987E-3</v>
      </c>
      <c r="Y39" s="6">
        <f t="shared" si="11"/>
        <v>8.9159065940209725E-3</v>
      </c>
      <c r="Z39" s="6">
        <f t="shared" si="12"/>
        <v>3.0838058628821496E-3</v>
      </c>
    </row>
    <row r="40" spans="1:26" x14ac:dyDescent="0.45">
      <c r="A40">
        <v>38</v>
      </c>
      <c r="B40" s="1">
        <v>1044.3245119193425</v>
      </c>
      <c r="C40" s="1">
        <v>1044.3245119193425</v>
      </c>
      <c r="D40" s="2">
        <v>49.675353102074617</v>
      </c>
      <c r="E40" s="2">
        <v>82.682540057627961</v>
      </c>
      <c r="F40" s="2">
        <v>24.979963780559292</v>
      </c>
      <c r="G40" s="2">
        <v>15.578336176157555</v>
      </c>
      <c r="H40" s="2">
        <v>78.883814315784932</v>
      </c>
      <c r="I40" s="2">
        <v>50.253808069556641</v>
      </c>
      <c r="J40" s="2">
        <v>152.97993110240634</v>
      </c>
      <c r="K40" s="2">
        <v>61.425201099927541</v>
      </c>
      <c r="L40" s="2">
        <v>7.9324966147727514</v>
      </c>
      <c r="M40" s="2">
        <v>20.9042799271169</v>
      </c>
      <c r="O40" s="6">
        <f t="shared" si="1"/>
        <v>-2.8124686354776829E-3</v>
      </c>
      <c r="P40" s="6">
        <f t="shared" si="2"/>
        <v>-2.8124686354776829E-3</v>
      </c>
      <c r="Q40" s="6">
        <f t="shared" si="3"/>
        <v>-5.7667653559745347E-3</v>
      </c>
      <c r="R40" s="6">
        <f t="shared" si="4"/>
        <v>-7.9109061547228965E-3</v>
      </c>
      <c r="S40" s="6">
        <f t="shared" si="5"/>
        <v>-1.2317899511171682E-3</v>
      </c>
      <c r="T40" s="6">
        <f t="shared" si="6"/>
        <v>-2.5494409144051211E-3</v>
      </c>
      <c r="U40" s="6">
        <f t="shared" si="7"/>
        <v>-6.0816215051162636E-5</v>
      </c>
      <c r="V40" s="6">
        <f t="shared" si="8"/>
        <v>-5.2954120361428103E-3</v>
      </c>
      <c r="W40" s="6">
        <f t="shared" si="9"/>
        <v>3.0808008202320991E-5</v>
      </c>
      <c r="X40" s="6">
        <f t="shared" si="10"/>
        <v>-5.2963347434077379E-3</v>
      </c>
      <c r="Y40" s="6">
        <f t="shared" si="11"/>
        <v>-2.2287131383559311E-3</v>
      </c>
      <c r="Z40" s="6">
        <f t="shared" si="12"/>
        <v>-4.4409238775481308E-3</v>
      </c>
    </row>
    <row r="41" spans="1:26" x14ac:dyDescent="0.45">
      <c r="A41">
        <v>39</v>
      </c>
      <c r="B41" s="1">
        <v>1041.3873819843088</v>
      </c>
      <c r="C41" s="1">
        <v>1041.3873819843088</v>
      </c>
      <c r="D41" s="2">
        <v>49.388886996759773</v>
      </c>
      <c r="E41" s="2">
        <v>82.028446242597951</v>
      </c>
      <c r="F41" s="2">
        <v>24.949193712195129</v>
      </c>
      <c r="G41" s="2">
        <v>15.538620128531701</v>
      </c>
      <c r="H41" s="2">
        <v>78.879016900769443</v>
      </c>
      <c r="I41" s="2">
        <v>49.9876934494431</v>
      </c>
      <c r="J41" s="2">
        <v>152.98464410937854</v>
      </c>
      <c r="K41" s="2">
        <v>61.099872673221185</v>
      </c>
      <c r="L41" s="2">
        <v>7.9148173553474432</v>
      </c>
      <c r="M41" s="2">
        <v>20.811445611245617</v>
      </c>
      <c r="O41" s="6">
        <f t="shared" si="1"/>
        <v>1.5233077060430311E-3</v>
      </c>
      <c r="P41" s="6">
        <f t="shared" si="2"/>
        <v>1.5233077060430311E-3</v>
      </c>
      <c r="Q41" s="6">
        <f t="shared" si="3"/>
        <v>4.7118933528189633E-3</v>
      </c>
      <c r="R41" s="6">
        <f t="shared" si="4"/>
        <v>4.8695722331260072E-4</v>
      </c>
      <c r="S41" s="6">
        <f t="shared" si="5"/>
        <v>-1.7297358245105254E-3</v>
      </c>
      <c r="T41" s="6">
        <f t="shared" si="6"/>
        <v>3.0859890516616861E-3</v>
      </c>
      <c r="U41" s="6">
        <f t="shared" si="7"/>
        <v>4.8152887400521038E-4</v>
      </c>
      <c r="V41" s="6">
        <f t="shared" si="8"/>
        <v>3.4210717004157232E-5</v>
      </c>
      <c r="W41" s="6">
        <f t="shared" si="9"/>
        <v>7.3306377580633075E-3</v>
      </c>
      <c r="X41" s="6">
        <f t="shared" si="10"/>
        <v>5.1433905636877331E-3</v>
      </c>
      <c r="Y41" s="6">
        <f t="shared" si="11"/>
        <v>1.2762771411616303E-3</v>
      </c>
      <c r="Z41" s="6">
        <f t="shared" si="12"/>
        <v>5.8068332198393247E-3</v>
      </c>
    </row>
    <row r="42" spans="1:26" x14ac:dyDescent="0.45">
      <c r="A42">
        <v>40</v>
      </c>
      <c r="B42" s="1">
        <v>1042.9737354082615</v>
      </c>
      <c r="C42" s="1">
        <v>1042.9737354082615</v>
      </c>
      <c r="D42" s="2">
        <v>49.621602165102935</v>
      </c>
      <c r="E42" s="2">
        <v>82.0683905870129</v>
      </c>
      <c r="F42" s="2">
        <v>24.906038198038491</v>
      </c>
      <c r="G42" s="2">
        <v>15.586572140126279</v>
      </c>
      <c r="H42" s="2">
        <v>78.916999424960309</v>
      </c>
      <c r="I42" s="2">
        <v>49.989403564277389</v>
      </c>
      <c r="J42" s="2">
        <v>154.10611911789061</v>
      </c>
      <c r="K42" s="2">
        <v>61.414133181771156</v>
      </c>
      <c r="L42" s="2">
        <v>7.9249188558145427</v>
      </c>
      <c r="M42" s="2">
        <v>20.932294204973878</v>
      </c>
      <c r="O42" s="6">
        <f t="shared" si="1"/>
        <v>7.3243944770373659E-5</v>
      </c>
      <c r="P42" s="6">
        <f t="shared" si="2"/>
        <v>7.3243944770373659E-5</v>
      </c>
      <c r="Q42" s="6">
        <f t="shared" si="3"/>
        <v>-7.8910796322555488E-3</v>
      </c>
      <c r="R42" s="6">
        <f t="shared" si="4"/>
        <v>1.595545236349416E-3</v>
      </c>
      <c r="S42" s="6">
        <f t="shared" si="5"/>
        <v>-3.2520694309169373E-3</v>
      </c>
      <c r="T42" s="6">
        <f t="shared" si="6"/>
        <v>1.1150906307124675E-3</v>
      </c>
      <c r="U42" s="6">
        <f t="shared" si="7"/>
        <v>-4.1505682616623796E-3</v>
      </c>
      <c r="V42" s="6">
        <f t="shared" si="8"/>
        <v>6.0792859748304284E-3</v>
      </c>
      <c r="W42" s="6">
        <f t="shared" si="9"/>
        <v>1.033322112185564E-2</v>
      </c>
      <c r="X42" s="6">
        <f t="shared" si="10"/>
        <v>4.8487218319162029E-3</v>
      </c>
      <c r="Y42" s="6">
        <f t="shared" si="11"/>
        <v>3.1065299885753017E-3</v>
      </c>
      <c r="Z42" s="6">
        <f t="shared" si="12"/>
        <v>4.5115090732763541E-3</v>
      </c>
    </row>
    <row r="43" spans="1:26" x14ac:dyDescent="0.45">
      <c r="A43">
        <v>41</v>
      </c>
      <c r="B43" s="1">
        <v>1043.0501269189347</v>
      </c>
      <c r="C43" s="1">
        <v>1043.0501269189347</v>
      </c>
      <c r="D43" s="2">
        <v>49.230034150938003</v>
      </c>
      <c r="E43" s="2">
        <v>82.199334416668876</v>
      </c>
      <c r="F43" s="2">
        <v>24.825042032569399</v>
      </c>
      <c r="G43" s="2">
        <v>15.603952580684657</v>
      </c>
      <c r="H43" s="2">
        <v>78.58944903184144</v>
      </c>
      <c r="I43" s="2">
        <v>50.293303444255841</v>
      </c>
      <c r="J43" s="2">
        <v>155.69853172296681</v>
      </c>
      <c r="K43" s="2">
        <v>61.711913230117823</v>
      </c>
      <c r="L43" s="2">
        <v>7.9495378538971568</v>
      </c>
      <c r="M43" s="2">
        <v>21.026730440204108</v>
      </c>
      <c r="O43" s="6">
        <f t="shared" si="1"/>
        <v>-3.3754632289686448E-3</v>
      </c>
      <c r="P43" s="6">
        <f t="shared" si="2"/>
        <v>-3.3754632289686448E-3</v>
      </c>
      <c r="Q43" s="6">
        <f t="shared" si="3"/>
        <v>-5.0354243894465966E-3</v>
      </c>
      <c r="R43" s="6">
        <f t="shared" si="4"/>
        <v>-5.8368728021498395E-3</v>
      </c>
      <c r="S43" s="6">
        <f t="shared" si="5"/>
        <v>-1.1489232754406942E-3</v>
      </c>
      <c r="T43" s="6">
        <f t="shared" si="6"/>
        <v>-6.3442060590493954E-3</v>
      </c>
      <c r="U43" s="6">
        <f t="shared" si="7"/>
        <v>-2.539101014336298E-3</v>
      </c>
      <c r="V43" s="6">
        <f t="shared" si="8"/>
        <v>-3.2202489981794091E-3</v>
      </c>
      <c r="W43" s="6">
        <f t="shared" si="9"/>
        <v>-5.5223140459004227E-4</v>
      </c>
      <c r="X43" s="6">
        <f t="shared" si="10"/>
        <v>-8.6326615241202331E-3</v>
      </c>
      <c r="Y43" s="6">
        <f t="shared" si="11"/>
        <v>-1.0462811351928836E-2</v>
      </c>
      <c r="Z43" s="6">
        <f t="shared" si="12"/>
        <v>3.3942945268639058E-4</v>
      </c>
    </row>
    <row r="44" spans="1:26" x14ac:dyDescent="0.45">
      <c r="A44">
        <v>42</v>
      </c>
      <c r="B44" s="1">
        <v>1039.5293495695487</v>
      </c>
      <c r="C44" s="1">
        <v>1039.5293495695487</v>
      </c>
      <c r="D44" s="2">
        <v>48.982140036281081</v>
      </c>
      <c r="E44" s="2">
        <v>81.719547357257397</v>
      </c>
      <c r="F44" s="2">
        <v>24.796519963964386</v>
      </c>
      <c r="G44" s="2">
        <v>15.504957890177158</v>
      </c>
      <c r="H44" s="2">
        <v>78.389902482088559</v>
      </c>
      <c r="I44" s="2">
        <v>50.131346484224345</v>
      </c>
      <c r="J44" s="2">
        <v>155.61255010410082</v>
      </c>
      <c r="K44" s="2">
        <v>61.179175171196341</v>
      </c>
      <c r="L44" s="2">
        <v>7.8663633389968135</v>
      </c>
      <c r="M44" s="2">
        <v>21.033867531809211</v>
      </c>
      <c r="O44" s="6">
        <f t="shared" si="1"/>
        <v>-2.7291192463593239E-3</v>
      </c>
      <c r="P44" s="6">
        <f t="shared" si="2"/>
        <v>-2.7291192463593239E-3</v>
      </c>
      <c r="Q44" s="6">
        <f t="shared" si="3"/>
        <v>-6.5923506736882409E-3</v>
      </c>
      <c r="R44" s="6">
        <f t="shared" si="4"/>
        <v>-6.8373989453254236E-3</v>
      </c>
      <c r="S44" s="6">
        <f t="shared" si="5"/>
        <v>-3.1400252323776634E-3</v>
      </c>
      <c r="T44" s="6">
        <f t="shared" si="6"/>
        <v>-7.4275205228443442E-3</v>
      </c>
      <c r="U44" s="6">
        <f t="shared" si="7"/>
        <v>-3.5884605181675244E-3</v>
      </c>
      <c r="V44" s="6">
        <f t="shared" si="8"/>
        <v>-3.3089162632108371E-3</v>
      </c>
      <c r="W44" s="6">
        <f t="shared" si="9"/>
        <v>-7.5370731759003551E-3</v>
      </c>
      <c r="X44" s="6">
        <f t="shared" si="10"/>
        <v>-7.1767788880433558E-3</v>
      </c>
      <c r="Y44" s="6">
        <f t="shared" si="11"/>
        <v>-6.5097025249372109E-5</v>
      </c>
      <c r="Z44" s="6">
        <f t="shared" si="12"/>
        <v>-5.5371814356260929E-3</v>
      </c>
    </row>
    <row r="45" spans="1:26" x14ac:dyDescent="0.45">
      <c r="A45">
        <v>43</v>
      </c>
      <c r="B45" s="1">
        <v>1036.6923500144831</v>
      </c>
      <c r="C45" s="1">
        <v>1036.6923500144831</v>
      </c>
      <c r="D45" s="2">
        <v>48.659232592414213</v>
      </c>
      <c r="E45" s="2">
        <v>81.16079821034441</v>
      </c>
      <c r="F45" s="2">
        <v>24.718658265602382</v>
      </c>
      <c r="G45" s="2">
        <v>15.389794497242029</v>
      </c>
      <c r="H45" s="2">
        <v>78.108603412008577</v>
      </c>
      <c r="I45" s="2">
        <v>49.965466056546035</v>
      </c>
      <c r="J45" s="2">
        <v>154.43968692687776</v>
      </c>
      <c r="K45" s="2">
        <v>60.740105758439796</v>
      </c>
      <c r="L45" s="2">
        <v>7.8658512621439138</v>
      </c>
      <c r="M45" s="2">
        <v>20.917399190992658</v>
      </c>
      <c r="O45" s="6">
        <f t="shared" si="1"/>
        <v>-1.8552400711241424E-3</v>
      </c>
      <c r="P45" s="6">
        <f t="shared" si="2"/>
        <v>-1.8552400711241424E-3</v>
      </c>
      <c r="Q45" s="6">
        <f t="shared" si="3"/>
        <v>-1.6792313820633842E-3</v>
      </c>
      <c r="R45" s="6">
        <f t="shared" si="4"/>
        <v>4.8422024722905022E-4</v>
      </c>
      <c r="S45" s="6">
        <f t="shared" si="5"/>
        <v>1.5511897122153506E-3</v>
      </c>
      <c r="T45" s="6">
        <f t="shared" si="6"/>
        <v>-3.1636085475390541E-3</v>
      </c>
      <c r="U45" s="6">
        <f t="shared" si="7"/>
        <v>-5.6961643299693332E-3</v>
      </c>
      <c r="V45" s="6">
        <f t="shared" si="8"/>
        <v>-5.871940369190809E-3</v>
      </c>
      <c r="W45" s="6">
        <f t="shared" si="9"/>
        <v>-2.1750715441831714E-3</v>
      </c>
      <c r="X45" s="6">
        <f t="shared" si="10"/>
        <v>-6.3314392437652245E-3</v>
      </c>
      <c r="Y45" s="6">
        <f t="shared" si="11"/>
        <v>3.8475261943848871E-4</v>
      </c>
      <c r="Z45" s="6">
        <f t="shared" si="12"/>
        <v>-2.7286765918766998E-3</v>
      </c>
    </row>
    <row r="46" spans="1:26" x14ac:dyDescent="0.45">
      <c r="A46">
        <v>44</v>
      </c>
      <c r="B46" s="1">
        <v>1034.7690368253084</v>
      </c>
      <c r="C46" s="1">
        <v>1034.7690368253084</v>
      </c>
      <c r="D46" s="2">
        <v>48.577522482017912</v>
      </c>
      <c r="E46" s="2">
        <v>81.200097912119134</v>
      </c>
      <c r="F46" s="2">
        <v>24.75700159400375</v>
      </c>
      <c r="G46" s="2">
        <v>15.341107211825685</v>
      </c>
      <c r="H46" s="2">
        <v>77.663683971389375</v>
      </c>
      <c r="I46" s="2">
        <v>49.672071819343167</v>
      </c>
      <c r="J46" s="2">
        <v>154.10376955855054</v>
      </c>
      <c r="K46" s="2">
        <v>60.355533469170361</v>
      </c>
      <c r="L46" s="2">
        <v>7.8688776690211375</v>
      </c>
      <c r="M46" s="2">
        <v>20.860322373457254</v>
      </c>
      <c r="O46" s="6">
        <f t="shared" si="1"/>
        <v>-1.161130231574492E-3</v>
      </c>
      <c r="P46" s="6">
        <f t="shared" si="2"/>
        <v>-1.161130231574492E-3</v>
      </c>
      <c r="Q46" s="6">
        <f t="shared" si="3"/>
        <v>2.0864716113822013E-3</v>
      </c>
      <c r="R46" s="6">
        <f t="shared" si="4"/>
        <v>-4.7830267359749712E-3</v>
      </c>
      <c r="S46" s="6">
        <f t="shared" si="5"/>
        <v>-3.7591156404142012E-3</v>
      </c>
      <c r="T46" s="6">
        <f t="shared" si="6"/>
        <v>-4.7699441016753052E-3</v>
      </c>
      <c r="U46" s="6">
        <f t="shared" si="7"/>
        <v>4.377382644710881E-3</v>
      </c>
      <c r="V46" s="6">
        <f t="shared" si="8"/>
        <v>-3.9324758601355647E-3</v>
      </c>
      <c r="W46" s="6">
        <f t="shared" si="9"/>
        <v>2.1011196726639092E-4</v>
      </c>
      <c r="X46" s="6">
        <f t="shared" si="10"/>
        <v>2.101535877383709E-3</v>
      </c>
      <c r="Y46" s="6">
        <f t="shared" si="11"/>
        <v>9.6586344305304994E-3</v>
      </c>
      <c r="Z46" s="6">
        <f t="shared" si="12"/>
        <v>-7.5755142069877657E-4</v>
      </c>
    </row>
    <row r="47" spans="1:26" x14ac:dyDescent="0.45">
      <c r="A47">
        <v>45</v>
      </c>
      <c r="B47" s="1">
        <v>1033.5675352139533</v>
      </c>
      <c r="C47" s="1">
        <v>1033.5675352139533</v>
      </c>
      <c r="D47" s="2">
        <v>48.678878103627923</v>
      </c>
      <c r="E47" s="2">
        <v>80.811715672841686</v>
      </c>
      <c r="F47" s="2">
        <v>24.66393716210197</v>
      </c>
      <c r="G47" s="2">
        <v>15.267930987967469</v>
      </c>
      <c r="H47" s="2">
        <v>78.00364763373004</v>
      </c>
      <c r="I47" s="2">
        <v>49.476737595990677</v>
      </c>
      <c r="J47" s="2">
        <v>154.13614860473567</v>
      </c>
      <c r="K47" s="2">
        <v>60.482372788154457</v>
      </c>
      <c r="L47" s="2">
        <v>7.9448802818047772</v>
      </c>
      <c r="M47" s="2">
        <v>20.844519606607008</v>
      </c>
      <c r="O47" s="6">
        <f t="shared" si="1"/>
        <v>1.0848134108696339E-3</v>
      </c>
      <c r="P47" s="6">
        <f t="shared" si="2"/>
        <v>1.0848134108696339E-3</v>
      </c>
      <c r="Q47" s="6">
        <f t="shared" si="3"/>
        <v>-1.2437124530088051E-3</v>
      </c>
      <c r="R47" s="6">
        <f t="shared" si="4"/>
        <v>5.3031759081823004E-4</v>
      </c>
      <c r="S47" s="6">
        <f t="shared" si="5"/>
        <v>3.4713292353738545E-4</v>
      </c>
      <c r="T47" s="6">
        <f t="shared" si="6"/>
        <v>-1.7859218876440375E-3</v>
      </c>
      <c r="U47" s="6">
        <f t="shared" si="7"/>
        <v>-2.3809412289368392E-3</v>
      </c>
      <c r="V47" s="6">
        <f t="shared" si="8"/>
        <v>4.1476768267121322E-3</v>
      </c>
      <c r="W47" s="6">
        <f t="shared" si="9"/>
        <v>7.8719707313923415E-3</v>
      </c>
      <c r="X47" s="6">
        <f t="shared" si="10"/>
        <v>8.4712118938590208E-4</v>
      </c>
      <c r="Y47" s="6">
        <f t="shared" si="11"/>
        <v>4.5849096549999135E-3</v>
      </c>
      <c r="Z47" s="6">
        <f t="shared" si="12"/>
        <v>4.8747965092044154E-4</v>
      </c>
    </row>
    <row r="48" spans="1:26" x14ac:dyDescent="0.45">
      <c r="A48">
        <v>46</v>
      </c>
      <c r="B48" s="1">
        <v>1034.6887631371928</v>
      </c>
      <c r="C48" s="1">
        <v>1034.6887631371928</v>
      </c>
      <c r="D48" s="2">
        <v>48.618335576731944</v>
      </c>
      <c r="E48" s="2">
        <v>80.8545715472072</v>
      </c>
      <c r="F48" s="2">
        <v>24.672498826714993</v>
      </c>
      <c r="G48" s="2">
        <v>15.24066365583702</v>
      </c>
      <c r="H48" s="2">
        <v>77.817925533071431</v>
      </c>
      <c r="I48" s="2">
        <v>49.681951113978883</v>
      </c>
      <c r="J48" s="2">
        <v>155.34950385520168</v>
      </c>
      <c r="K48" s="2">
        <v>60.533608687727643</v>
      </c>
      <c r="L48" s="2">
        <v>7.981306840116642</v>
      </c>
      <c r="M48" s="2">
        <v>20.85468088574844</v>
      </c>
      <c r="O48" s="6">
        <f t="shared" si="1"/>
        <v>-3.0687227295806974E-3</v>
      </c>
      <c r="P48" s="6">
        <f t="shared" si="2"/>
        <v>-3.0687227295806974E-3</v>
      </c>
      <c r="Q48" s="6">
        <f t="shared" si="3"/>
        <v>-8.1585801509312939E-3</v>
      </c>
      <c r="R48" s="6">
        <f t="shared" si="4"/>
        <v>-1.9327533527153662E-3</v>
      </c>
      <c r="S48" s="6">
        <f t="shared" si="5"/>
        <v>-3.8681441311049225E-3</v>
      </c>
      <c r="T48" s="6">
        <f t="shared" si="6"/>
        <v>-3.6067128586599884E-3</v>
      </c>
      <c r="U48" s="6">
        <f t="shared" si="7"/>
        <v>5.3082948678533359E-3</v>
      </c>
      <c r="V48" s="6">
        <f t="shared" si="8"/>
        <v>1.1664662027479622E-3</v>
      </c>
      <c r="W48" s="6">
        <f t="shared" si="9"/>
        <v>-7.349943429437289E-3</v>
      </c>
      <c r="X48" s="6">
        <f t="shared" si="10"/>
        <v>-1.7226181667533869E-2</v>
      </c>
      <c r="Y48" s="6">
        <f t="shared" si="11"/>
        <v>2.6460002095187729E-3</v>
      </c>
      <c r="Z48" s="6">
        <f t="shared" si="12"/>
        <v>-1.0661314563842783E-2</v>
      </c>
    </row>
    <row r="49" spans="1:26" x14ac:dyDescent="0.45">
      <c r="A49">
        <v>47</v>
      </c>
      <c r="B49" s="1">
        <v>1031.513590211712</v>
      </c>
      <c r="C49" s="1">
        <v>1031.513590211712</v>
      </c>
      <c r="D49" s="2">
        <v>48.2216789891243</v>
      </c>
      <c r="E49" s="2">
        <v>80.698299602966969</v>
      </c>
      <c r="F49" s="2">
        <v>24.577062045178742</v>
      </c>
      <c r="G49" s="2">
        <v>15.185694958255</v>
      </c>
      <c r="H49" s="2">
        <v>78.231006027805634</v>
      </c>
      <c r="I49" s="2">
        <v>49.739903430839917</v>
      </c>
      <c r="J49" s="2">
        <v>154.20769379007479</v>
      </c>
      <c r="K49" s="2">
        <v>59.490845747481437</v>
      </c>
      <c r="L49" s="2">
        <v>8.0024253796878249</v>
      </c>
      <c r="M49" s="2">
        <v>20.632342572696917</v>
      </c>
      <c r="O49" s="6">
        <f t="shared" si="1"/>
        <v>3.88134545835217E-3</v>
      </c>
      <c r="P49" s="6">
        <f t="shared" si="2"/>
        <v>3.88134545835217E-3</v>
      </c>
      <c r="Q49" s="6">
        <f t="shared" si="3"/>
        <v>6.8061470634726007E-3</v>
      </c>
      <c r="R49" s="6">
        <f t="shared" si="4"/>
        <v>1.9106109480249156E-3</v>
      </c>
      <c r="S49" s="6">
        <f t="shared" si="5"/>
        <v>-2.9041399532178103E-3</v>
      </c>
      <c r="T49" s="6">
        <f t="shared" si="6"/>
        <v>3.4912852136743666E-3</v>
      </c>
      <c r="U49" s="6">
        <f t="shared" si="7"/>
        <v>2.7670564110089391E-3</v>
      </c>
      <c r="V49" s="6">
        <f t="shared" si="8"/>
        <v>1.2951404727647997E-3</v>
      </c>
      <c r="W49" s="6">
        <f t="shared" si="9"/>
        <v>4.7290851962531466E-3</v>
      </c>
      <c r="X49" s="6">
        <f t="shared" si="10"/>
        <v>3.2372388432533317E-3</v>
      </c>
      <c r="Y49" s="6">
        <f t="shared" si="11"/>
        <v>2.02121568520508E-3</v>
      </c>
      <c r="Z49" s="6">
        <f t="shared" si="12"/>
        <v>1.5561080337038735E-3</v>
      </c>
    </row>
    <row r="50" spans="1:26" x14ac:dyDescent="0.45">
      <c r="A50">
        <v>48</v>
      </c>
      <c r="B50" s="1">
        <v>1035.5172508003088</v>
      </c>
      <c r="C50" s="1">
        <v>1035.5172508003088</v>
      </c>
      <c r="D50" s="2">
        <v>48.54988282797185</v>
      </c>
      <c r="E50" s="2">
        <v>80.852482657675395</v>
      </c>
      <c r="F50" s="2">
        <v>24.505686817360626</v>
      </c>
      <c r="G50" s="2">
        <v>15.238712550522125</v>
      </c>
      <c r="H50" s="2">
        <v>78.447475634574559</v>
      </c>
      <c r="I50" s="2">
        <v>49.804323592884607</v>
      </c>
      <c r="J50" s="2">
        <v>154.93695511192576</v>
      </c>
      <c r="K50" s="2">
        <v>59.683431824153175</v>
      </c>
      <c r="L50" s="2">
        <v>8.0186000073849328</v>
      </c>
      <c r="M50" s="2">
        <v>20.66444872672842</v>
      </c>
      <c r="O50" s="6">
        <f t="shared" si="1"/>
        <v>9.6451814675102554E-6</v>
      </c>
      <c r="P50" s="6">
        <f t="shared" si="2"/>
        <v>9.6451814675102554E-6</v>
      </c>
      <c r="Q50" s="6">
        <f t="shared" si="3"/>
        <v>-1.7660179538390164E-3</v>
      </c>
      <c r="R50" s="6">
        <f t="shared" si="4"/>
        <v>-2.0918382265441293E-3</v>
      </c>
      <c r="S50" s="6">
        <f t="shared" si="5"/>
        <v>7.1420907082453411E-5</v>
      </c>
      <c r="T50" s="6">
        <f t="shared" si="6"/>
        <v>-3.8015744232111626E-4</v>
      </c>
      <c r="U50" s="6">
        <f t="shared" si="7"/>
        <v>1.6055751419203901E-3</v>
      </c>
      <c r="V50" s="6">
        <f t="shared" si="8"/>
        <v>1.1102205624640149E-3</v>
      </c>
      <c r="W50" s="6">
        <f t="shared" si="9"/>
        <v>7.0640736641844892E-3</v>
      </c>
      <c r="X50" s="6">
        <f t="shared" si="10"/>
        <v>4.512068596618013E-3</v>
      </c>
      <c r="Y50" s="6">
        <f t="shared" si="11"/>
        <v>-3.4124809981928017E-4</v>
      </c>
      <c r="Z50" s="6">
        <f t="shared" si="12"/>
        <v>-2.0086903293115022E-3</v>
      </c>
    </row>
    <row r="51" spans="1:26" x14ac:dyDescent="0.45">
      <c r="A51">
        <v>49</v>
      </c>
      <c r="B51" s="1">
        <v>1035.5272385521055</v>
      </c>
      <c r="C51" s="1">
        <v>1035.5272385521055</v>
      </c>
      <c r="D51" s="2">
        <v>48.464142863240873</v>
      </c>
      <c r="E51" s="2">
        <v>80.683352343741078</v>
      </c>
      <c r="F51" s="2">
        <v>24.507437035741802</v>
      </c>
      <c r="G51" s="2">
        <v>15.232919440534651</v>
      </c>
      <c r="H51" s="2">
        <v>78.573428951399833</v>
      </c>
      <c r="I51" s="2">
        <v>49.85961737703704</v>
      </c>
      <c r="J51" s="2">
        <v>156.03144117614085</v>
      </c>
      <c r="K51" s="2">
        <v>59.952727562625327</v>
      </c>
      <c r="L51" s="2">
        <v>8.0158636753692019</v>
      </c>
      <c r="M51" s="2">
        <v>20.622940248410487</v>
      </c>
      <c r="O51" s="6">
        <f t="shared" si="1"/>
        <v>-1.0736423481113588E-3</v>
      </c>
      <c r="P51" s="6">
        <f t="shared" si="2"/>
        <v>-1.0736423481113588E-3</v>
      </c>
      <c r="Q51" s="6">
        <f t="shared" si="3"/>
        <v>-3.313804545475918E-3</v>
      </c>
      <c r="R51" s="6">
        <f t="shared" si="4"/>
        <v>-4.7698110852297804E-3</v>
      </c>
      <c r="S51" s="6">
        <f t="shared" si="5"/>
        <v>-4.7271924462285453E-3</v>
      </c>
      <c r="T51" s="6">
        <f t="shared" si="6"/>
        <v>-8.3105751869294586E-4</v>
      </c>
      <c r="U51" s="6">
        <f t="shared" si="7"/>
        <v>1.2997556895881779E-3</v>
      </c>
      <c r="V51" s="6">
        <f t="shared" si="8"/>
        <v>-6.2450269127978242E-3</v>
      </c>
      <c r="W51" s="6">
        <f t="shared" si="9"/>
        <v>-5.8595303201847138E-5</v>
      </c>
      <c r="X51" s="6">
        <f t="shared" si="10"/>
        <v>-1.2293437958518227E-3</v>
      </c>
      <c r="Y51" s="6">
        <f t="shared" si="11"/>
        <v>-1.3712192837425086E-3</v>
      </c>
      <c r="Z51" s="6">
        <f t="shared" si="12"/>
        <v>-1.5537601862468664E-3</v>
      </c>
    </row>
    <row r="52" spans="1:26" x14ac:dyDescent="0.45">
      <c r="A52">
        <v>50</v>
      </c>
      <c r="B52" s="1">
        <v>1034.4154526561731</v>
      </c>
      <c r="C52" s="1">
        <v>1034.4154526561731</v>
      </c>
      <c r="D52" s="2">
        <v>48.303542166328072</v>
      </c>
      <c r="E52" s="2">
        <v>80.298507995338397</v>
      </c>
      <c r="F52" s="2">
        <v>24.391585664510021</v>
      </c>
      <c r="G52" s="2">
        <v>15.220260008301951</v>
      </c>
      <c r="H52" s="2">
        <v>78.675555212729861</v>
      </c>
      <c r="I52" s="2">
        <v>49.548242724655644</v>
      </c>
      <c r="J52" s="2">
        <v>156.02229846653611</v>
      </c>
      <c r="K52" s="2">
        <v>59.879025048951817</v>
      </c>
      <c r="L52" s="2">
        <v>8.0048721685216844</v>
      </c>
      <c r="M52" s="2">
        <v>20.590897144929158</v>
      </c>
      <c r="O52" s="6">
        <f t="shared" si="1"/>
        <v>-1.6404991590095452E-3</v>
      </c>
      <c r="P52" s="6">
        <f t="shared" si="2"/>
        <v>-1.6404991590095452E-3</v>
      </c>
      <c r="Q52" s="6">
        <f t="shared" si="3"/>
        <v>-1.0259254637881021E-3</v>
      </c>
      <c r="R52" s="6">
        <f t="shared" si="4"/>
        <v>3.3083844301964316E-3</v>
      </c>
      <c r="S52" s="6">
        <f t="shared" si="5"/>
        <v>4.0526636715254583E-4</v>
      </c>
      <c r="T52" s="6">
        <f t="shared" si="6"/>
        <v>-2.8598776037648266E-3</v>
      </c>
      <c r="U52" s="6">
        <f t="shared" si="7"/>
        <v>-4.454072833416034E-3</v>
      </c>
      <c r="V52" s="6">
        <f t="shared" si="8"/>
        <v>1.5127641525241042E-3</v>
      </c>
      <c r="W52" s="6">
        <f t="shared" si="9"/>
        <v>-5.8994639772462776E-3</v>
      </c>
      <c r="X52" s="6">
        <f t="shared" si="10"/>
        <v>-8.3051530857558564E-4</v>
      </c>
      <c r="Y52" s="6">
        <f t="shared" si="11"/>
        <v>4.6550861429350832E-4</v>
      </c>
      <c r="Z52" s="6">
        <f t="shared" si="12"/>
        <v>-7.2231623420834223E-3</v>
      </c>
    </row>
    <row r="53" spans="1:26" x14ac:dyDescent="0.45">
      <c r="A53">
        <v>51</v>
      </c>
      <c r="B53" s="1">
        <v>1032.7184949760242</v>
      </c>
      <c r="C53" s="1">
        <v>1032.7184949760242</v>
      </c>
      <c r="D53" s="2">
        <v>48.253986332428475</v>
      </c>
      <c r="E53" s="2">
        <v>80.56416632895818</v>
      </c>
      <c r="F53" s="2">
        <v>24.401470753821368</v>
      </c>
      <c r="G53" s="2">
        <v>15.176731927580731</v>
      </c>
      <c r="H53" s="2">
        <v>78.325128559602916</v>
      </c>
      <c r="I53" s="2">
        <v>49.623197530070065</v>
      </c>
      <c r="J53" s="2">
        <v>155.10185053708562</v>
      </c>
      <c r="K53" s="2">
        <v>59.829294601986085</v>
      </c>
      <c r="L53" s="2">
        <v>8.0085985054724489</v>
      </c>
      <c r="M53" s="2">
        <v>20.442165752082193</v>
      </c>
      <c r="O53" s="6">
        <f t="shared" si="1"/>
        <v>-1.4289472561734851E-4</v>
      </c>
      <c r="P53" s="6">
        <f t="shared" si="2"/>
        <v>-1.4289472561734851E-4</v>
      </c>
      <c r="Q53" s="6">
        <f t="shared" si="3"/>
        <v>2.2040090868591378E-5</v>
      </c>
      <c r="R53" s="6">
        <f t="shared" si="4"/>
        <v>1.3788546766324572E-4</v>
      </c>
      <c r="S53" s="6">
        <f t="shared" si="5"/>
        <v>-7.7323444708010669E-5</v>
      </c>
      <c r="T53" s="6">
        <f t="shared" si="6"/>
        <v>4.7960743981168008E-4</v>
      </c>
      <c r="U53" s="6">
        <f t="shared" si="7"/>
        <v>2.2924425650947544E-3</v>
      </c>
      <c r="V53" s="6">
        <f t="shared" si="8"/>
        <v>-3.1070837474547197E-3</v>
      </c>
      <c r="W53" s="6">
        <f t="shared" si="9"/>
        <v>-5.7533145839054889E-3</v>
      </c>
      <c r="X53" s="6">
        <f t="shared" si="10"/>
        <v>6.3087086418560645E-3</v>
      </c>
      <c r="Y53" s="6">
        <f t="shared" si="11"/>
        <v>-9.2195585991597939E-3</v>
      </c>
      <c r="Z53" s="6">
        <f t="shared" si="12"/>
        <v>-3.9920182022425976E-3</v>
      </c>
    </row>
    <row r="54" spans="1:26" x14ac:dyDescent="0.45">
      <c r="A54">
        <v>52</v>
      </c>
      <c r="B54" s="1">
        <v>1032.5709249500446</v>
      </c>
      <c r="C54" s="1">
        <v>1032.5709249500446</v>
      </c>
      <c r="D54" s="2">
        <v>48.255049854672016</v>
      </c>
      <c r="E54" s="2">
        <v>80.57527495670935</v>
      </c>
      <c r="F54" s="2">
        <v>24.39958394804674</v>
      </c>
      <c r="G54" s="2">
        <v>15.184010801125225</v>
      </c>
      <c r="H54" s="2">
        <v>78.504684418229473</v>
      </c>
      <c r="I54" s="2">
        <v>49.469014099527648</v>
      </c>
      <c r="J54" s="2">
        <v>154.20950079839989</v>
      </c>
      <c r="K54" s="2">
        <v>60.206740189877785</v>
      </c>
      <c r="L54" s="2">
        <v>7.9347627622541017</v>
      </c>
      <c r="M54" s="2">
        <v>20.36056025430662</v>
      </c>
      <c r="O54" s="6">
        <f t="shared" si="1"/>
        <v>-3.978138730291958E-3</v>
      </c>
      <c r="P54" s="6">
        <f t="shared" si="2"/>
        <v>-3.978138730291958E-3</v>
      </c>
      <c r="Q54" s="6">
        <f t="shared" si="3"/>
        <v>-4.6035321802523343E-3</v>
      </c>
      <c r="R54" s="6">
        <f t="shared" si="4"/>
        <v>-4.9137172058024703E-3</v>
      </c>
      <c r="S54" s="6">
        <f t="shared" si="5"/>
        <v>-6.8980735327250908E-3</v>
      </c>
      <c r="T54" s="6">
        <f t="shared" si="6"/>
        <v>-7.0368216264313777E-3</v>
      </c>
      <c r="U54" s="6">
        <f t="shared" si="7"/>
        <v>-6.945938205951907E-3</v>
      </c>
      <c r="V54" s="6">
        <f t="shared" si="8"/>
        <v>-4.7243495665926227E-3</v>
      </c>
      <c r="W54" s="6">
        <f t="shared" si="9"/>
        <v>-1.0539929096736289E-2</v>
      </c>
      <c r="X54" s="6">
        <f t="shared" si="10"/>
        <v>-1.2869395936756511E-3</v>
      </c>
      <c r="Y54" s="6">
        <f t="shared" si="11"/>
        <v>-2.3333196329726746E-3</v>
      </c>
      <c r="Z54" s="6">
        <f t="shared" si="12"/>
        <v>-1.3006866820517438E-3</v>
      </c>
    </row>
    <row r="55" spans="1:26" x14ac:dyDescent="0.45">
      <c r="A55">
        <v>53</v>
      </c>
      <c r="B55" s="1">
        <v>1028.4632145617275</v>
      </c>
      <c r="C55" s="1">
        <v>1028.4632145617275</v>
      </c>
      <c r="D55" s="2">
        <v>48.032906179806353</v>
      </c>
      <c r="E55" s="2">
        <v>80.179350841792299</v>
      </c>
      <c r="F55" s="2">
        <v>24.231273823805214</v>
      </c>
      <c r="G55" s="2">
        <v>15.0771636255439</v>
      </c>
      <c r="H55" s="2">
        <v>77.959395731382699</v>
      </c>
      <c r="I55" s="2">
        <v>49.23530518420678</v>
      </c>
      <c r="J55" s="2">
        <v>152.58414359394166</v>
      </c>
      <c r="K55" s="2">
        <v>60.129257752121291</v>
      </c>
      <c r="L55" s="2">
        <v>7.9162484245179536</v>
      </c>
      <c r="M55" s="2">
        <v>20.33407754474473</v>
      </c>
      <c r="O55" s="6">
        <f t="shared" si="1"/>
        <v>-1.6242331234482821E-3</v>
      </c>
      <c r="P55" s="6">
        <f t="shared" si="2"/>
        <v>-1.6242331234482821E-3</v>
      </c>
      <c r="Q55" s="6">
        <f t="shared" si="3"/>
        <v>-2.6515739809562788E-4</v>
      </c>
      <c r="R55" s="6">
        <f t="shared" si="4"/>
        <v>-1.2539153328942065E-2</v>
      </c>
      <c r="S55" s="6">
        <f t="shared" si="5"/>
        <v>-3.2566839438057382E-3</v>
      </c>
      <c r="T55" s="6">
        <f t="shared" si="6"/>
        <v>-5.4418500069393083E-3</v>
      </c>
      <c r="U55" s="6">
        <f t="shared" si="7"/>
        <v>1.388860272302006E-3</v>
      </c>
      <c r="V55" s="6">
        <f t="shared" si="8"/>
        <v>2.002241031148877E-3</v>
      </c>
      <c r="W55" s="6">
        <f t="shared" si="9"/>
        <v>-1.8125249575449143E-3</v>
      </c>
      <c r="X55" s="6">
        <f t="shared" si="10"/>
        <v>3.5515031403601238E-3</v>
      </c>
      <c r="Y55" s="6">
        <f t="shared" si="11"/>
        <v>5.1582773162646145E-3</v>
      </c>
      <c r="Z55" s="6">
        <f t="shared" si="12"/>
        <v>-5.9468001106434132E-3</v>
      </c>
    </row>
    <row r="56" spans="1:26" x14ac:dyDescent="0.45">
      <c r="A56">
        <v>54</v>
      </c>
      <c r="B56" s="1">
        <v>1026.7927505423881</v>
      </c>
      <c r="C56" s="1">
        <v>1026.7927505423881</v>
      </c>
      <c r="D56" s="2">
        <v>48.020169899380747</v>
      </c>
      <c r="E56" s="2">
        <v>79.173969667772027</v>
      </c>
      <c r="F56" s="2">
        <v>24.152360223405267</v>
      </c>
      <c r="G56" s="2">
        <v>14.995115962563609</v>
      </c>
      <c r="H56" s="2">
        <v>78.067670438966687</v>
      </c>
      <c r="I56" s="2">
        <v>49.333886132427736</v>
      </c>
      <c r="J56" s="2">
        <v>152.30758102555203</v>
      </c>
      <c r="K56" s="2">
        <v>60.342806999855476</v>
      </c>
      <c r="L56" s="2">
        <v>7.9570826291960604</v>
      </c>
      <c r="M56" s="2">
        <v>20.21315485015181</v>
      </c>
      <c r="O56" s="6">
        <f t="shared" si="1"/>
        <v>-8.8150674136022733E-4</v>
      </c>
      <c r="P56" s="6">
        <f t="shared" si="2"/>
        <v>-8.8150674136022733E-4</v>
      </c>
      <c r="Q56" s="6">
        <f t="shared" si="3"/>
        <v>-5.5957559304004034E-3</v>
      </c>
      <c r="R56" s="6">
        <f t="shared" si="4"/>
        <v>-5.0044024703562728E-3</v>
      </c>
      <c r="S56" s="6">
        <f t="shared" si="5"/>
        <v>-3.2918830284084377E-3</v>
      </c>
      <c r="T56" s="6">
        <f t="shared" si="6"/>
        <v>-9.0431878363994578E-4</v>
      </c>
      <c r="U56" s="6">
        <f t="shared" si="7"/>
        <v>-7.1497940040295971E-3</v>
      </c>
      <c r="V56" s="6">
        <f t="shared" si="8"/>
        <v>-2.7087036998906244E-3</v>
      </c>
      <c r="W56" s="6">
        <f t="shared" si="9"/>
        <v>-3.769366998402579E-3</v>
      </c>
      <c r="X56" s="6">
        <f t="shared" si="10"/>
        <v>8.3079861225650031E-3</v>
      </c>
      <c r="Y56" s="6">
        <f t="shared" si="11"/>
        <v>3.5053332858219211E-3</v>
      </c>
      <c r="Z56" s="6">
        <f t="shared" si="12"/>
        <v>-4.9001616358461675E-3</v>
      </c>
    </row>
    <row r="57" spans="1:26" x14ac:dyDescent="0.45">
      <c r="A57">
        <v>55</v>
      </c>
      <c r="B57" s="1">
        <v>1025.8876258108053</v>
      </c>
      <c r="C57" s="1">
        <v>1025.8876258108053</v>
      </c>
      <c r="D57" s="2">
        <v>47.751460748887453</v>
      </c>
      <c r="E57" s="2">
        <v>78.777751258378714</v>
      </c>
      <c r="F57" s="2">
        <v>24.072853478689833</v>
      </c>
      <c r="G57" s="2">
        <v>14.981555597535804</v>
      </c>
      <c r="H57" s="2">
        <v>77.509502676953602</v>
      </c>
      <c r="I57" s="2">
        <v>49.200255252530845</v>
      </c>
      <c r="J57" s="2">
        <v>151.73347785602778</v>
      </c>
      <c r="K57" s="2">
        <v>60.844134203006895</v>
      </c>
      <c r="L57" s="2">
        <v>7.9849748557942171</v>
      </c>
      <c r="M57" s="2">
        <v>20.114107124215678</v>
      </c>
      <c r="O57" s="6">
        <f t="shared" si="1"/>
        <v>1.1893397455480237E-3</v>
      </c>
      <c r="P57" s="6">
        <f t="shared" si="2"/>
        <v>1.1893397455480237E-3</v>
      </c>
      <c r="Q57" s="6">
        <f t="shared" si="3"/>
        <v>4.0534080124696725E-3</v>
      </c>
      <c r="R57" s="6">
        <f t="shared" si="4"/>
        <v>-2.2921542001393957E-3</v>
      </c>
      <c r="S57" s="6">
        <f t="shared" si="5"/>
        <v>-1.880183561923876E-3</v>
      </c>
      <c r="T57" s="6">
        <f t="shared" si="6"/>
        <v>4.5421503165110622E-5</v>
      </c>
      <c r="U57" s="6">
        <f t="shared" si="7"/>
        <v>-6.3690554338302618E-6</v>
      </c>
      <c r="V57" s="6">
        <f t="shared" si="8"/>
        <v>-4.0569394302201189E-3</v>
      </c>
      <c r="W57" s="6">
        <f t="shared" si="9"/>
        <v>3.2264342760135456E-4</v>
      </c>
      <c r="X57" s="6">
        <f t="shared" si="10"/>
        <v>-1.3770748984254233E-4</v>
      </c>
      <c r="Y57" s="6">
        <f t="shared" si="11"/>
        <v>-3.6216187064361804E-3</v>
      </c>
      <c r="Z57" s="6">
        <f t="shared" si="12"/>
        <v>-2.858535352278091E-3</v>
      </c>
    </row>
    <row r="58" spans="1:26" x14ac:dyDescent="0.45">
      <c r="A58">
        <v>56</v>
      </c>
      <c r="B58" s="1">
        <v>1027.1077547386481</v>
      </c>
      <c r="C58" s="1">
        <v>1027.1077547386481</v>
      </c>
      <c r="D58" s="2">
        <v>47.945016902494125</v>
      </c>
      <c r="E58" s="2">
        <v>78.597180504954281</v>
      </c>
      <c r="F58" s="2">
        <v>24.027592095290597</v>
      </c>
      <c r="G58" s="2">
        <v>14.982236082310797</v>
      </c>
      <c r="H58" s="2">
        <v>77.509009014634401</v>
      </c>
      <c r="I58" s="2">
        <v>49.00065279701996</v>
      </c>
      <c r="J58" s="2">
        <v>151.78243366540511</v>
      </c>
      <c r="K58" s="2">
        <v>60.83575551001416</v>
      </c>
      <c r="L58" s="2">
        <v>7.9560563214860505</v>
      </c>
      <c r="M58" s="2">
        <v>20.0566102379216</v>
      </c>
      <c r="O58" s="6">
        <f t="shared" si="1"/>
        <v>4.9000592363501738E-4</v>
      </c>
      <c r="P58" s="6">
        <f t="shared" si="2"/>
        <v>4.9000592363501738E-4</v>
      </c>
      <c r="Q58" s="6">
        <f t="shared" si="3"/>
        <v>-2.735314297849456E-3</v>
      </c>
      <c r="R58" s="6">
        <f t="shared" si="4"/>
        <v>3.161017434045732E-4</v>
      </c>
      <c r="S58" s="6">
        <f t="shared" si="5"/>
        <v>-3.402531203977377E-3</v>
      </c>
      <c r="T58" s="6">
        <f t="shared" si="6"/>
        <v>2.9156368734495341E-3</v>
      </c>
      <c r="U58" s="6">
        <f t="shared" si="7"/>
        <v>3.3058790266122795E-3</v>
      </c>
      <c r="V58" s="6">
        <f t="shared" si="8"/>
        <v>1.2895627609410543E-3</v>
      </c>
      <c r="W58" s="6">
        <f t="shared" si="9"/>
        <v>9.9517394450576724E-4</v>
      </c>
      <c r="X58" s="6">
        <f t="shared" si="10"/>
        <v>3.2158906800598963E-3</v>
      </c>
      <c r="Y58" s="6">
        <f t="shared" si="11"/>
        <v>-1.3745722576454789E-3</v>
      </c>
      <c r="Z58" s="6">
        <f t="shared" si="12"/>
        <v>-3.2546056199798112E-3</v>
      </c>
    </row>
    <row r="59" spans="1:26" x14ac:dyDescent="0.45">
      <c r="A59">
        <v>57</v>
      </c>
      <c r="B59" s="1">
        <v>1027.6110436226816</v>
      </c>
      <c r="C59" s="1">
        <v>1027.6110436226816</v>
      </c>
      <c r="D59" s="2">
        <v>47.813872212250097</v>
      </c>
      <c r="E59" s="2">
        <v>78.622025210738585</v>
      </c>
      <c r="F59" s="2">
        <v>23.945837463429932</v>
      </c>
      <c r="G59" s="2">
        <v>15.025918842279108</v>
      </c>
      <c r="H59" s="2">
        <v>77.765244421909387</v>
      </c>
      <c r="I59" s="2">
        <v>49.063842214128798</v>
      </c>
      <c r="J59" s="2">
        <v>151.93348358862261</v>
      </c>
      <c r="K59" s="2">
        <v>61.031396649173217</v>
      </c>
      <c r="L59" s="2">
        <v>7.9451201471862705</v>
      </c>
      <c r="M59" s="2">
        <v>19.991333881523516</v>
      </c>
      <c r="O59" s="6">
        <f t="shared" si="1"/>
        <v>-5.5330479578619141E-5</v>
      </c>
      <c r="P59" s="6">
        <f t="shared" si="2"/>
        <v>-5.5330479578619141E-5</v>
      </c>
      <c r="Q59" s="6">
        <f t="shared" si="3"/>
        <v>-6.1987102161713548E-3</v>
      </c>
      <c r="R59" s="6">
        <f t="shared" si="4"/>
        <v>-1.6596115308246118E-3</v>
      </c>
      <c r="S59" s="6">
        <f t="shared" si="5"/>
        <v>3.809893426399702E-3</v>
      </c>
      <c r="T59" s="6">
        <f t="shared" si="6"/>
        <v>-6.4646014209945868E-4</v>
      </c>
      <c r="U59" s="6">
        <f t="shared" si="7"/>
        <v>-4.4314162441637661E-3</v>
      </c>
      <c r="V59" s="6">
        <f t="shared" si="8"/>
        <v>3.3945442785141555E-3</v>
      </c>
      <c r="W59" s="6">
        <f t="shared" si="9"/>
        <v>-1.3281702651180005E-4</v>
      </c>
      <c r="X59" s="6">
        <f t="shared" si="10"/>
        <v>3.056490656993649E-3</v>
      </c>
      <c r="Y59" s="6">
        <f t="shared" si="11"/>
        <v>-1.0114004844929969E-3</v>
      </c>
      <c r="Z59" s="6">
        <f t="shared" si="12"/>
        <v>2.4497796288740492E-3</v>
      </c>
    </row>
    <row r="60" spans="1:26" x14ac:dyDescent="0.45">
      <c r="A60">
        <v>58</v>
      </c>
      <c r="B60" s="1">
        <v>1027.5541854108176</v>
      </c>
      <c r="C60" s="1">
        <v>1027.5541854108176</v>
      </c>
      <c r="D60" s="2">
        <v>47.517487874093312</v>
      </c>
      <c r="E60" s="2">
        <v>78.491543191122062</v>
      </c>
      <c r="F60" s="2">
        <v>24.03706855217149</v>
      </c>
      <c r="G60" s="2">
        <v>15.016205184649152</v>
      </c>
      <c r="H60" s="2">
        <v>77.420634254546769</v>
      </c>
      <c r="I60" s="2">
        <v>49.230391598998686</v>
      </c>
      <c r="J60" s="2">
        <v>151.91330423510479</v>
      </c>
      <c r="K60" s="2">
        <v>61.217938542814686</v>
      </c>
      <c r="L60" s="2">
        <v>7.9370844488200509</v>
      </c>
      <c r="M60" s="2">
        <v>20.040308244020494</v>
      </c>
      <c r="O60" s="6">
        <f t="shared" si="1"/>
        <v>-6.1735383976602165E-4</v>
      </c>
      <c r="P60" s="6">
        <f t="shared" si="2"/>
        <v>-6.1735383976602165E-4</v>
      </c>
      <c r="Q60" s="6">
        <f t="shared" si="3"/>
        <v>-5.4353441938952418E-3</v>
      </c>
      <c r="R60" s="6">
        <f t="shared" si="4"/>
        <v>8.2659680986463258E-4</v>
      </c>
      <c r="S60" s="6">
        <f t="shared" si="5"/>
        <v>-1.0877600436646206E-3</v>
      </c>
      <c r="T60" s="6">
        <f t="shared" si="6"/>
        <v>-2.9117315488447204E-4</v>
      </c>
      <c r="U60" s="6">
        <f t="shared" si="7"/>
        <v>2.7056979009725257E-3</v>
      </c>
      <c r="V60" s="6">
        <f t="shared" si="8"/>
        <v>-5.4988166759807333E-3</v>
      </c>
      <c r="W60" s="6">
        <f t="shared" si="9"/>
        <v>2.1030757813855772E-3</v>
      </c>
      <c r="X60" s="6">
        <f t="shared" si="10"/>
        <v>-4.4662296728004147E-3</v>
      </c>
      <c r="Y60" s="6">
        <f t="shared" si="11"/>
        <v>-5.301893237166122E-3</v>
      </c>
      <c r="Z60" s="6">
        <f t="shared" si="12"/>
        <v>-9.6368131908475263E-4</v>
      </c>
    </row>
    <row r="61" spans="1:26" x14ac:dyDescent="0.45">
      <c r="A61">
        <v>59</v>
      </c>
      <c r="B61" s="1">
        <v>1026.9198208888865</v>
      </c>
      <c r="C61" s="1">
        <v>1026.9198208888865</v>
      </c>
      <c r="D61" s="2">
        <v>47.25921397226837</v>
      </c>
      <c r="E61" s="2">
        <v>78.556424050325191</v>
      </c>
      <c r="F61" s="2">
        <v>24.010921989433612</v>
      </c>
      <c r="G61" s="2">
        <v>15.011832868811146</v>
      </c>
      <c r="H61" s="2">
        <v>77.630111102141257</v>
      </c>
      <c r="I61" s="2">
        <v>48.959682700709052</v>
      </c>
      <c r="J61" s="2">
        <v>152.23278942611191</v>
      </c>
      <c r="K61" s="2">
        <v>60.944525169187095</v>
      </c>
      <c r="L61" s="2">
        <v>7.8950028744580356</v>
      </c>
      <c r="M61" s="2">
        <v>20.020995773337031</v>
      </c>
      <c r="O61" s="6">
        <f t="shared" si="1"/>
        <v>1.649748202068535E-3</v>
      </c>
      <c r="P61" s="6">
        <f t="shared" si="2"/>
        <v>1.649748202068535E-3</v>
      </c>
      <c r="Q61" s="6">
        <f t="shared" si="3"/>
        <v>1.7679940832628915E-3</v>
      </c>
      <c r="R61" s="6">
        <f t="shared" si="4"/>
        <v>-1.8920766653804932E-3</v>
      </c>
      <c r="S61" s="6">
        <f t="shared" si="5"/>
        <v>-3.8136945672258005E-3</v>
      </c>
      <c r="T61" s="6">
        <f t="shared" si="6"/>
        <v>-4.6964517791994176E-3</v>
      </c>
      <c r="U61" s="6">
        <f t="shared" si="7"/>
        <v>1.1178156924420701E-3</v>
      </c>
      <c r="V61" s="6">
        <f t="shared" si="8"/>
        <v>2.426579666636286E-3</v>
      </c>
      <c r="W61" s="6">
        <f t="shared" si="9"/>
        <v>2.7861407500295865E-3</v>
      </c>
      <c r="X61" s="6">
        <f t="shared" si="10"/>
        <v>6.8537914322097659E-3</v>
      </c>
      <c r="Y61" s="6">
        <f t="shared" si="11"/>
        <v>-2.960259071175253E-3</v>
      </c>
      <c r="Z61" s="6">
        <f t="shared" si="12"/>
        <v>3.7657932896082436E-3</v>
      </c>
    </row>
    <row r="62" spans="1:26" x14ac:dyDescent="0.45">
      <c r="A62">
        <v>60</v>
      </c>
      <c r="B62" s="1">
        <v>1028.6139800170665</v>
      </c>
      <c r="C62" s="1">
        <v>1028.6139800170665</v>
      </c>
      <c r="D62" s="2">
        <v>47.342767982950996</v>
      </c>
      <c r="E62" s="2">
        <v>78.407789273463834</v>
      </c>
      <c r="F62" s="2">
        <v>23.919351666688428</v>
      </c>
      <c r="G62" s="2">
        <v>14.941330519625373</v>
      </c>
      <c r="H62" s="2">
        <v>77.716887258537255</v>
      </c>
      <c r="I62" s="2">
        <v>49.078487271235559</v>
      </c>
      <c r="J62" s="2">
        <v>152.65693140422266</v>
      </c>
      <c r="K62" s="2">
        <v>61.362226233631759</v>
      </c>
      <c r="L62" s="2">
        <v>7.8716316205819661</v>
      </c>
      <c r="M62" s="2">
        <v>20.096390704871538</v>
      </c>
      <c r="O62" s="6">
        <f t="shared" si="1"/>
        <v>-1.0278356506774333E-3</v>
      </c>
      <c r="P62" s="6">
        <f t="shared" si="2"/>
        <v>-1.0278356506774333E-3</v>
      </c>
      <c r="Q62" s="6">
        <f t="shared" si="3"/>
        <v>-2.3082986098226232E-3</v>
      </c>
      <c r="R62" s="6">
        <f t="shared" si="4"/>
        <v>5.4317787966449149E-3</v>
      </c>
      <c r="S62" s="6">
        <f t="shared" si="5"/>
        <v>-1.9585049642913965E-3</v>
      </c>
      <c r="T62" s="6">
        <f t="shared" si="6"/>
        <v>-2.581904535159163E-3</v>
      </c>
      <c r="U62" s="6">
        <f t="shared" si="7"/>
        <v>-6.8044565128176915E-3</v>
      </c>
      <c r="V62" s="6">
        <f t="shared" si="8"/>
        <v>-5.6718528527380796E-3</v>
      </c>
      <c r="W62" s="6">
        <f t="shared" si="9"/>
        <v>-9.1911043960832828E-3</v>
      </c>
      <c r="X62" s="6">
        <f t="shared" si="10"/>
        <v>-5.2056064590734197E-3</v>
      </c>
      <c r="Y62" s="6">
        <f t="shared" si="11"/>
        <v>2.1430974113443302E-3</v>
      </c>
      <c r="Z62" s="6">
        <f t="shared" si="12"/>
        <v>-1.5469555200313678E-3</v>
      </c>
    </row>
    <row r="63" spans="1:26" x14ac:dyDescent="0.45">
      <c r="A63">
        <v>61</v>
      </c>
      <c r="B63" s="1">
        <v>1027.5567338976198</v>
      </c>
      <c r="C63" s="1">
        <v>1027.5567338976198</v>
      </c>
      <c r="D63" s="2">
        <v>47.233486737430795</v>
      </c>
      <c r="E63" s="2">
        <v>78.833683040731231</v>
      </c>
      <c r="F63" s="2">
        <v>23.872505497706587</v>
      </c>
      <c r="G63" s="2">
        <v>14.902753430595441</v>
      </c>
      <c r="H63" s="2">
        <v>77.188066078874982</v>
      </c>
      <c r="I63" s="2">
        <v>48.800121313198133</v>
      </c>
      <c r="J63" s="2">
        <v>151.25384561090073</v>
      </c>
      <c r="K63" s="2">
        <v>61.042798632406843</v>
      </c>
      <c r="L63" s="2">
        <v>7.8885012939310917</v>
      </c>
      <c r="M63" s="2">
        <v>20.06530248233793</v>
      </c>
      <c r="O63" s="6">
        <f t="shared" si="1"/>
        <v>-9.8326836847495436E-4</v>
      </c>
      <c r="P63" s="6">
        <f t="shared" si="2"/>
        <v>-9.8326836847495436E-4</v>
      </c>
      <c r="Q63" s="6">
        <f t="shared" si="3"/>
        <v>-6.6212248589603284E-5</v>
      </c>
      <c r="R63" s="6">
        <f t="shared" si="4"/>
        <v>-2.0802356676445921E-3</v>
      </c>
      <c r="S63" s="6">
        <f t="shared" si="5"/>
        <v>-1.1953958139289123E-3</v>
      </c>
      <c r="T63" s="6">
        <f t="shared" si="6"/>
        <v>-5.8596094343121852E-4</v>
      </c>
      <c r="U63" s="6">
        <f t="shared" si="7"/>
        <v>1.4027017767894723E-3</v>
      </c>
      <c r="V63" s="6">
        <f t="shared" si="8"/>
        <v>5.8035790187676017E-3</v>
      </c>
      <c r="W63" s="6">
        <f t="shared" si="9"/>
        <v>2.6946869766029113E-3</v>
      </c>
      <c r="X63" s="6">
        <f t="shared" si="10"/>
        <v>-6.9477301075773212E-3</v>
      </c>
      <c r="Y63" s="6">
        <f t="shared" si="11"/>
        <v>-5.2668833820582739E-3</v>
      </c>
      <c r="Z63" s="6">
        <f t="shared" si="12"/>
        <v>3.9694298592871657E-3</v>
      </c>
    </row>
    <row r="64" spans="1:26" x14ac:dyDescent="0.45">
      <c r="A64">
        <v>62</v>
      </c>
      <c r="B64" s="1">
        <v>1026.5463698643648</v>
      </c>
      <c r="C64" s="1">
        <v>1026.5463698643648</v>
      </c>
      <c r="D64" s="2">
        <v>47.230359302065182</v>
      </c>
      <c r="E64" s="2">
        <v>78.669690401458112</v>
      </c>
      <c r="F64" s="2">
        <v>23.843968404566635</v>
      </c>
      <c r="G64" s="2">
        <v>14.894020999135526</v>
      </c>
      <c r="H64" s="2">
        <v>77.296337916310762</v>
      </c>
      <c r="I64" s="2">
        <v>49.083336673364727</v>
      </c>
      <c r="J64" s="2">
        <v>151.66142737882953</v>
      </c>
      <c r="K64" s="2">
        <v>60.618689742497693</v>
      </c>
      <c r="L64" s="2">
        <v>7.8469534775567409</v>
      </c>
      <c r="M64" s="2">
        <v>20.144950293146952</v>
      </c>
      <c r="O64" s="6">
        <f t="shared" si="1"/>
        <v>-2.7469842591042459E-3</v>
      </c>
      <c r="P64" s="6">
        <f t="shared" si="2"/>
        <v>-2.7469842591042459E-3</v>
      </c>
      <c r="Q64" s="6">
        <f t="shared" si="3"/>
        <v>-7.0963450350924884E-4</v>
      </c>
      <c r="R64" s="6">
        <f t="shared" si="4"/>
        <v>-8.960131064043253E-3</v>
      </c>
      <c r="S64" s="6">
        <f t="shared" si="5"/>
        <v>-4.9106518046591052E-3</v>
      </c>
      <c r="T64" s="6">
        <f t="shared" si="6"/>
        <v>-2.3112358934609389E-3</v>
      </c>
      <c r="U64" s="6">
        <f t="shared" si="7"/>
        <v>-8.1689363195158737E-4</v>
      </c>
      <c r="V64" s="6">
        <f t="shared" si="8"/>
        <v>3.1890255266933121E-3</v>
      </c>
      <c r="W64" s="6">
        <f t="shared" si="9"/>
        <v>-1.2425487942682611E-2</v>
      </c>
      <c r="X64" s="6">
        <f t="shared" si="10"/>
        <v>-3.8156101184695368E-3</v>
      </c>
      <c r="Y64" s="6">
        <f t="shared" si="11"/>
        <v>1.9122278077425836E-3</v>
      </c>
      <c r="Z64" s="6">
        <f t="shared" si="12"/>
        <v>8.7305736787213206E-4</v>
      </c>
    </row>
    <row r="65" spans="1:26" x14ac:dyDescent="0.45">
      <c r="A65">
        <v>63</v>
      </c>
      <c r="B65" s="1">
        <v>1023.7264631451068</v>
      </c>
      <c r="C65" s="1">
        <v>1023.7264631451068</v>
      </c>
      <c r="D65" s="2">
        <v>47.196843009491296</v>
      </c>
      <c r="E65" s="2">
        <v>77.964799664693345</v>
      </c>
      <c r="F65" s="2">
        <v>23.726878978090514</v>
      </c>
      <c r="G65" s="2">
        <v>14.859597403204363</v>
      </c>
      <c r="H65" s="2">
        <v>77.233195030093754</v>
      </c>
      <c r="I65" s="2">
        <v>49.239864686951371</v>
      </c>
      <c r="J65" s="2">
        <v>149.77696014156385</v>
      </c>
      <c r="K65" s="2">
        <v>60.38739245654785</v>
      </c>
      <c r="L65" s="2">
        <v>7.8619586402025874</v>
      </c>
      <c r="M65" s="2">
        <v>20.1625379904258</v>
      </c>
      <c r="O65" s="6">
        <f t="shared" si="1"/>
        <v>-2.5318091709436441E-4</v>
      </c>
      <c r="P65" s="6">
        <f t="shared" si="2"/>
        <v>-2.5318091709436441E-4</v>
      </c>
      <c r="Q65" s="6">
        <f t="shared" si="3"/>
        <v>-2.3935527642432453E-3</v>
      </c>
      <c r="R65" s="6">
        <f t="shared" si="4"/>
        <v>2.3633151321877932E-4</v>
      </c>
      <c r="S65" s="6">
        <f t="shared" si="5"/>
        <v>-1.8125906541303083E-3</v>
      </c>
      <c r="T65" s="6">
        <f t="shared" si="6"/>
        <v>-1.4783599643547474E-3</v>
      </c>
      <c r="U65" s="6">
        <f t="shared" si="7"/>
        <v>-5.6200618246849965E-3</v>
      </c>
      <c r="V65" s="6">
        <f t="shared" si="8"/>
        <v>7.178714211668602E-3</v>
      </c>
      <c r="W65" s="6">
        <f t="shared" si="9"/>
        <v>2.4720661348709427E-3</v>
      </c>
      <c r="X65" s="6">
        <f t="shared" si="10"/>
        <v>-5.6058428605813004E-3</v>
      </c>
      <c r="Y65" s="6">
        <f t="shared" si="11"/>
        <v>-5.0851458397486171E-3</v>
      </c>
      <c r="Z65" s="6">
        <f t="shared" si="12"/>
        <v>-2.7323176352676004E-3</v>
      </c>
    </row>
    <row r="66" spans="1:26" x14ac:dyDescent="0.45">
      <c r="A66">
        <v>64</v>
      </c>
      <c r="B66" s="1">
        <v>1023.467275140314</v>
      </c>
      <c r="C66" s="1">
        <v>1023.467275140314</v>
      </c>
      <c r="D66" s="2">
        <v>47.083874875442376</v>
      </c>
      <c r="E66" s="2">
        <v>77.983225203775902</v>
      </c>
      <c r="F66" s="2">
        <v>23.683871859003148</v>
      </c>
      <c r="G66" s="2">
        <v>14.837629569317036</v>
      </c>
      <c r="H66" s="2">
        <v>76.799139699106675</v>
      </c>
      <c r="I66" s="2">
        <v>49.593343603360225</v>
      </c>
      <c r="J66" s="2">
        <v>150.14721869251372</v>
      </c>
      <c r="K66" s="2">
        <v>60.04887022367619</v>
      </c>
      <c r="L66" s="2">
        <v>7.8219794339310855</v>
      </c>
      <c r="M66" s="2">
        <v>20.107447532302807</v>
      </c>
      <c r="O66" s="6">
        <f t="shared" si="1"/>
        <v>2.6684736294413369E-4</v>
      </c>
      <c r="P66" s="6">
        <f t="shared" si="2"/>
        <v>2.6684736294413369E-4</v>
      </c>
      <c r="Q66" s="6">
        <f t="shared" si="3"/>
        <v>1.9460774016590854E-3</v>
      </c>
      <c r="R66" s="6">
        <f t="shared" si="4"/>
        <v>3.7320299654037825E-3</v>
      </c>
      <c r="S66" s="6">
        <f t="shared" si="5"/>
        <v>-7.0347654368940749E-4</v>
      </c>
      <c r="T66" s="6">
        <f t="shared" si="6"/>
        <v>2.1114010986431619E-3</v>
      </c>
      <c r="U66" s="6">
        <f t="shared" si="7"/>
        <v>-3.8069350327889495E-3</v>
      </c>
      <c r="V66" s="6">
        <f t="shared" si="8"/>
        <v>-3.3955037742017247E-4</v>
      </c>
      <c r="W66" s="6">
        <f t="shared" si="9"/>
        <v>8.8117183949654176E-3</v>
      </c>
      <c r="X66" s="6">
        <f t="shared" si="10"/>
        <v>4.1871455164648186E-3</v>
      </c>
      <c r="Y66" s="6">
        <f t="shared" si="11"/>
        <v>-3.5197599488159259E-3</v>
      </c>
      <c r="Z66" s="6">
        <f t="shared" si="12"/>
        <v>-2.9703950571740023E-3</v>
      </c>
    </row>
    <row r="67" spans="1:26" x14ac:dyDescent="0.45">
      <c r="A67">
        <v>65</v>
      </c>
      <c r="B67" s="1">
        <v>1023.7403846837448</v>
      </c>
      <c r="C67" s="1">
        <v>1023.7403846837448</v>
      </c>
      <c r="D67" s="2">
        <v>47.175503740320018</v>
      </c>
      <c r="E67" s="2">
        <v>78.274260937035223</v>
      </c>
      <c r="F67" s="2">
        <v>23.667210810686594</v>
      </c>
      <c r="G67" s="2">
        <v>14.868957756690952</v>
      </c>
      <c r="H67" s="2">
        <v>76.506770363698095</v>
      </c>
      <c r="I67" s="2">
        <v>49.576504164822175</v>
      </c>
      <c r="J67" s="2">
        <v>151.47027370141944</v>
      </c>
      <c r="K67" s="2">
        <v>60.300303581402034</v>
      </c>
      <c r="L67" s="2">
        <v>7.7944479439990726</v>
      </c>
      <c r="M67" s="2">
        <v>20.047720469540469</v>
      </c>
      <c r="O67" s="6">
        <f t="shared" si="1"/>
        <v>-1.5826607811744164E-3</v>
      </c>
      <c r="P67" s="6">
        <f t="shared" si="2"/>
        <v>-1.5826607811744164E-3</v>
      </c>
      <c r="Q67" s="6">
        <f t="shared" si="3"/>
        <v>-3.8529104229696465E-3</v>
      </c>
      <c r="R67" s="6">
        <f t="shared" si="4"/>
        <v>-2.4100373594118096E-3</v>
      </c>
      <c r="S67" s="6">
        <f t="shared" si="5"/>
        <v>2.69385585044013E-3</v>
      </c>
      <c r="T67" s="6">
        <f t="shared" si="6"/>
        <v>1.2879653153907711E-3</v>
      </c>
      <c r="U67" s="6">
        <f t="shared" si="7"/>
        <v>-2.5835285218429593E-3</v>
      </c>
      <c r="V67" s="6">
        <f t="shared" si="8"/>
        <v>-6.656909150868362E-4</v>
      </c>
      <c r="W67" s="6">
        <f t="shared" si="9"/>
        <v>-7.5171019007680417E-4</v>
      </c>
      <c r="X67" s="6">
        <f t="shared" si="10"/>
        <v>-1.5856186428027108E-3</v>
      </c>
      <c r="Y67" s="6">
        <f t="shared" si="11"/>
        <v>-5.4720345386811697E-3</v>
      </c>
      <c r="Z67" s="6">
        <f t="shared" si="12"/>
        <v>-3.3971295716874739E-3</v>
      </c>
    </row>
    <row r="68" spans="1:26" x14ac:dyDescent="0.45">
      <c r="A68">
        <v>66</v>
      </c>
      <c r="B68" s="1">
        <v>1022.1201509268014</v>
      </c>
      <c r="C68" s="1">
        <v>1022.1201509268014</v>
      </c>
      <c r="D68" s="2">
        <v>46.993740750250097</v>
      </c>
      <c r="E68" s="2">
        <v>78.085617043896619</v>
      </c>
      <c r="F68" s="2">
        <v>23.730966864992563</v>
      </c>
      <c r="G68" s="2">
        <v>14.88810845855758</v>
      </c>
      <c r="H68" s="2">
        <v>76.309112940349394</v>
      </c>
      <c r="I68" s="2">
        <v>49.543501536397891</v>
      </c>
      <c r="J68" s="2">
        <v>151.35641195318436</v>
      </c>
      <c r="K68" s="2">
        <v>60.204690295876702</v>
      </c>
      <c r="L68" s="2">
        <v>7.7517964556395569</v>
      </c>
      <c r="M68" s="2">
        <v>19.979615765488468</v>
      </c>
      <c r="O68" s="6">
        <f t="shared" ref="O68:O131" si="13">B69/B68-1</f>
        <v>-1.9839423648548848E-4</v>
      </c>
      <c r="P68" s="6">
        <f t="shared" si="2"/>
        <v>-1.9839423648548848E-4</v>
      </c>
      <c r="Q68" s="6">
        <f t="shared" si="3"/>
        <v>-4.3681635201642255E-4</v>
      </c>
      <c r="R68" s="6">
        <f t="shared" si="4"/>
        <v>-2.0146359618111731E-4</v>
      </c>
      <c r="S68" s="6">
        <f t="shared" si="5"/>
        <v>8.7886011599636049E-4</v>
      </c>
      <c r="T68" s="6">
        <f t="shared" si="6"/>
        <v>-4.9594792030005497E-4</v>
      </c>
      <c r="U68" s="6">
        <f t="shared" si="7"/>
        <v>-2.7317097316625905E-5</v>
      </c>
      <c r="V68" s="6">
        <f t="shared" si="8"/>
        <v>-1.8676565156185987E-3</v>
      </c>
      <c r="W68" s="6">
        <f t="shared" si="9"/>
        <v>-1.439105576091726E-3</v>
      </c>
      <c r="X68" s="6">
        <f t="shared" si="10"/>
        <v>4.1191530203359417E-3</v>
      </c>
      <c r="Y68" s="6">
        <f t="shared" si="11"/>
        <v>-6.2923937325354284E-4</v>
      </c>
      <c r="Z68" s="6">
        <f t="shared" si="12"/>
        <v>-2.7461645729429662E-3</v>
      </c>
    </row>
    <row r="69" spans="1:26" x14ac:dyDescent="0.45">
      <c r="A69">
        <v>67</v>
      </c>
      <c r="B69" s="1">
        <v>1021.9173681798619</v>
      </c>
      <c r="C69" s="1">
        <v>1021.9173681798619</v>
      </c>
      <c r="D69" s="2">
        <v>46.973213115847969</v>
      </c>
      <c r="E69" s="2">
        <v>78.069885634676936</v>
      </c>
      <c r="F69" s="2">
        <v>23.751823065284235</v>
      </c>
      <c r="G69" s="2">
        <v>14.880724732130357</v>
      </c>
      <c r="H69" s="2">
        <v>76.307028396885059</v>
      </c>
      <c r="I69" s="2">
        <v>49.450971292946875</v>
      </c>
      <c r="J69" s="2">
        <v>151.1385940967653</v>
      </c>
      <c r="K69" s="2">
        <v>60.45268262774735</v>
      </c>
      <c r="L69" s="2">
        <v>7.7469187200962208</v>
      </c>
      <c r="M69" s="2">
        <v>19.92474845249227</v>
      </c>
      <c r="O69" s="6">
        <f t="shared" si="13"/>
        <v>-1.2333834122033593E-3</v>
      </c>
      <c r="P69" s="6">
        <f t="shared" si="2"/>
        <v>-1.2333834122033593E-3</v>
      </c>
      <c r="Q69" s="6">
        <f t="shared" si="3"/>
        <v>5.707724922918711E-4</v>
      </c>
      <c r="R69" s="6">
        <f t="shared" si="4"/>
        <v>-2.5189773279731265E-3</v>
      </c>
      <c r="S69" s="6">
        <f t="shared" si="5"/>
        <v>-5.6409875185561287E-3</v>
      </c>
      <c r="T69" s="6">
        <f t="shared" si="6"/>
        <v>-5.7390487556683301E-3</v>
      </c>
      <c r="U69" s="6">
        <f t="shared" si="7"/>
        <v>1.6475528008164098E-4</v>
      </c>
      <c r="V69" s="6">
        <f t="shared" si="8"/>
        <v>-7.4747047275772749E-3</v>
      </c>
      <c r="W69" s="6">
        <f t="shared" si="9"/>
        <v>-3.9491874893604617E-5</v>
      </c>
      <c r="X69" s="6">
        <f t="shared" si="10"/>
        <v>1.3952656121065665E-3</v>
      </c>
      <c r="Y69" s="6">
        <f t="shared" si="11"/>
        <v>-5.6616976120489326E-3</v>
      </c>
      <c r="Z69" s="6">
        <f t="shared" si="12"/>
        <v>-5.0725752327367424E-3</v>
      </c>
    </row>
    <row r="70" spans="1:26" x14ac:dyDescent="0.45">
      <c r="A70">
        <v>68</v>
      </c>
      <c r="B70" s="1">
        <v>1020.6569522493063</v>
      </c>
      <c r="C70" s="1">
        <v>1020.6569522493063</v>
      </c>
      <c r="D70" s="2">
        <v>47.00002413376906</v>
      </c>
      <c r="E70" s="2">
        <v>77.873229362765727</v>
      </c>
      <c r="F70" s="2">
        <v>23.617839327830012</v>
      </c>
      <c r="G70" s="2">
        <v>14.795323527372981</v>
      </c>
      <c r="H70" s="2">
        <v>76.319600382720779</v>
      </c>
      <c r="I70" s="2">
        <v>49.081339884040197</v>
      </c>
      <c r="J70" s="2">
        <v>151.13262535031564</v>
      </c>
      <c r="K70" s="2">
        <v>60.537030176977439</v>
      </c>
      <c r="L70" s="2">
        <v>7.7030580088779148</v>
      </c>
      <c r="M70" s="2">
        <v>19.823678666973649</v>
      </c>
      <c r="O70" s="6">
        <f t="shared" si="13"/>
        <v>-2.6410126900601183E-3</v>
      </c>
      <c r="P70" s="6">
        <f t="shared" si="2"/>
        <v>-2.6410126900601183E-3</v>
      </c>
      <c r="Q70" s="6">
        <f t="shared" si="3"/>
        <v>1.454465195418253E-3</v>
      </c>
      <c r="R70" s="6">
        <f t="shared" si="4"/>
        <v>1.0085638186081436E-3</v>
      </c>
      <c r="S70" s="6">
        <f t="shared" si="5"/>
        <v>-2.91364504321312E-3</v>
      </c>
      <c r="T70" s="6">
        <f t="shared" si="6"/>
        <v>-7.0306681032311635E-3</v>
      </c>
      <c r="U70" s="6">
        <f t="shared" si="7"/>
        <v>2.0576417395403723E-3</v>
      </c>
      <c r="V70" s="6">
        <f t="shared" si="8"/>
        <v>-3.2278954399495019E-3</v>
      </c>
      <c r="W70" s="6">
        <f t="shared" si="9"/>
        <v>-1.1734920307616137E-2</v>
      </c>
      <c r="X70" s="6">
        <f t="shared" si="10"/>
        <v>-1.8803356928533965E-3</v>
      </c>
      <c r="Y70" s="6">
        <f t="shared" si="11"/>
        <v>4.9477871568537335E-3</v>
      </c>
      <c r="Z70" s="6">
        <f t="shared" si="12"/>
        <v>-2.2853973570619024E-3</v>
      </c>
    </row>
    <row r="71" spans="1:26" x14ac:dyDescent="0.45">
      <c r="A71">
        <v>69</v>
      </c>
      <c r="B71" s="1">
        <v>1017.9613842862178</v>
      </c>
      <c r="C71" s="1">
        <v>1017.9613842862178</v>
      </c>
      <c r="D71" s="2">
        <v>47.068384033055445</v>
      </c>
      <c r="E71" s="2">
        <v>77.951769484339181</v>
      </c>
      <c r="F71" s="2">
        <v>23.549025327341077</v>
      </c>
      <c r="G71" s="2">
        <v>14.691302518172094</v>
      </c>
      <c r="H71" s="2">
        <v>76.47663877801331</v>
      </c>
      <c r="I71" s="2">
        <v>48.92291045084189</v>
      </c>
      <c r="J71" s="2">
        <v>149.35909603594888</v>
      </c>
      <c r="K71" s="2">
        <v>60.423200238396326</v>
      </c>
      <c r="L71" s="2">
        <v>7.7411711003627399</v>
      </c>
      <c r="M71" s="2">
        <v>19.778373684140902</v>
      </c>
      <c r="O71" s="6">
        <f t="shared" si="13"/>
        <v>4.3468638199706255E-4</v>
      </c>
      <c r="P71" s="6">
        <f t="shared" si="2"/>
        <v>4.3468638199706255E-4</v>
      </c>
      <c r="Q71" s="6">
        <f t="shared" si="3"/>
        <v>6.2264455537319741E-4</v>
      </c>
      <c r="R71" s="6">
        <f t="shared" si="4"/>
        <v>-1.70817887802166E-3</v>
      </c>
      <c r="S71" s="6">
        <f t="shared" si="5"/>
        <v>1.4966120230988089E-3</v>
      </c>
      <c r="T71" s="6">
        <f t="shared" si="6"/>
        <v>2.9323603142104027E-3</v>
      </c>
      <c r="U71" s="6">
        <f t="shared" si="7"/>
        <v>2.3776471649572528E-3</v>
      </c>
      <c r="V71" s="6">
        <f t="shared" si="8"/>
        <v>3.7601805961136048E-3</v>
      </c>
      <c r="W71" s="6">
        <f t="shared" si="9"/>
        <v>-1.179531576249282E-2</v>
      </c>
      <c r="X71" s="6">
        <f t="shared" si="10"/>
        <v>1.7493084720816565E-3</v>
      </c>
      <c r="Y71" s="6">
        <f t="shared" si="11"/>
        <v>7.4757666753879626E-3</v>
      </c>
      <c r="Z71" s="6">
        <f t="shared" si="12"/>
        <v>2.7957861838179277E-3</v>
      </c>
    </row>
    <row r="72" spans="1:26" x14ac:dyDescent="0.45">
      <c r="A72">
        <v>70</v>
      </c>
      <c r="B72" s="1">
        <v>1018.4038782373659</v>
      </c>
      <c r="C72" s="1">
        <v>1018.4038782373659</v>
      </c>
      <c r="D72" s="2">
        <v>47.097690906103843</v>
      </c>
      <c r="E72" s="2">
        <v>77.818613918201621</v>
      </c>
      <c r="F72" s="2">
        <v>23.584269081778235</v>
      </c>
      <c r="G72" s="2">
        <v>14.734382710640441</v>
      </c>
      <c r="H72" s="2">
        <v>76.658473241389316</v>
      </c>
      <c r="I72" s="2">
        <v>49.106869429424549</v>
      </c>
      <c r="J72" s="2">
        <v>147.59735833620437</v>
      </c>
      <c r="K72" s="2">
        <v>60.528899054483638</v>
      </c>
      <c r="L72" s="2">
        <v>7.7990422893033085</v>
      </c>
      <c r="M72" s="2">
        <v>19.833669788025411</v>
      </c>
      <c r="O72" s="6">
        <f t="shared" si="13"/>
        <v>-3.3108875256050441E-3</v>
      </c>
      <c r="P72" s="6">
        <f t="shared" si="2"/>
        <v>-3.3108875256050441E-3</v>
      </c>
      <c r="Q72" s="6">
        <f t="shared" si="3"/>
        <v>-7.0169667463744201E-3</v>
      </c>
      <c r="R72" s="6">
        <f t="shared" si="4"/>
        <v>-5.1266519138879474E-3</v>
      </c>
      <c r="S72" s="6">
        <f t="shared" si="5"/>
        <v>-1.5547921411127597E-3</v>
      </c>
      <c r="T72" s="6">
        <f t="shared" si="6"/>
        <v>-7.1558482195488438E-4</v>
      </c>
      <c r="U72" s="6">
        <f t="shared" si="7"/>
        <v>6.2154444115256613E-3</v>
      </c>
      <c r="V72" s="6">
        <f t="shared" si="8"/>
        <v>-9.3100500196464653E-3</v>
      </c>
      <c r="W72" s="6">
        <f t="shared" si="9"/>
        <v>-1.2059821520935543E-3</v>
      </c>
      <c r="X72" s="6">
        <f t="shared" si="10"/>
        <v>-8.5492061079593951E-3</v>
      </c>
      <c r="Y72" s="6">
        <f t="shared" si="11"/>
        <v>-5.9414666970677432E-3</v>
      </c>
      <c r="Z72" s="6">
        <f t="shared" si="12"/>
        <v>-2.7253419918132904E-3</v>
      </c>
    </row>
    <row r="73" spans="1:26" x14ac:dyDescent="0.45">
      <c r="A73">
        <v>71</v>
      </c>
      <c r="B73" s="1">
        <v>1015.0320575408821</v>
      </c>
      <c r="C73" s="1">
        <v>1015.0320575408821</v>
      </c>
      <c r="D73" s="2">
        <v>46.767207975184689</v>
      </c>
      <c r="E73" s="2">
        <v>77.419664972221767</v>
      </c>
      <c r="F73" s="2">
        <v>23.547600445555997</v>
      </c>
      <c r="G73" s="2">
        <v>14.723839010011831</v>
      </c>
      <c r="H73" s="2">
        <v>77.134939720493605</v>
      </c>
      <c r="I73" s="2">
        <v>48.649682018728356</v>
      </c>
      <c r="J73" s="2">
        <v>147.41935855635475</v>
      </c>
      <c r="K73" s="2">
        <v>60.01142502097899</v>
      </c>
      <c r="L73" s="2">
        <v>7.7527045392723899</v>
      </c>
      <c r="M73" s="2">
        <v>19.779616254900347</v>
      </c>
      <c r="O73" s="6">
        <f t="shared" si="13"/>
        <v>2.8830538421102947E-3</v>
      </c>
      <c r="P73" s="6">
        <f t="shared" si="2"/>
        <v>2.8830538421102947E-3</v>
      </c>
      <c r="Q73" s="6">
        <f t="shared" si="3"/>
        <v>3.9542777892171976E-3</v>
      </c>
      <c r="R73" s="6">
        <f t="shared" si="4"/>
        <v>-1.2162135222828496E-3</v>
      </c>
      <c r="S73" s="6">
        <f t="shared" si="5"/>
        <v>3.5652719255141463E-3</v>
      </c>
      <c r="T73" s="6">
        <f t="shared" si="6"/>
        <v>4.3001673219213998E-3</v>
      </c>
      <c r="U73" s="6">
        <f t="shared" si="7"/>
        <v>1.674628122108035E-2</v>
      </c>
      <c r="V73" s="6">
        <f t="shared" si="8"/>
        <v>2.7468853649628144E-3</v>
      </c>
      <c r="W73" s="6">
        <f t="shared" si="9"/>
        <v>3.9967302908590074E-3</v>
      </c>
      <c r="X73" s="6">
        <f t="shared" si="10"/>
        <v>-5.8795914630831447E-3</v>
      </c>
      <c r="Y73" s="6">
        <f t="shared" si="11"/>
        <v>-1.5888272008013349E-4</v>
      </c>
      <c r="Z73" s="6">
        <f t="shared" si="12"/>
        <v>3.849390851986545E-3</v>
      </c>
    </row>
    <row r="74" spans="1:26" x14ac:dyDescent="0.45">
      <c r="A74">
        <v>72</v>
      </c>
      <c r="B74" s="1">
        <v>1017.9584496142404</v>
      </c>
      <c r="C74" s="1">
        <v>1017.9584496142404</v>
      </c>
      <c r="D74" s="2">
        <v>46.952138506944664</v>
      </c>
      <c r="E74" s="2">
        <v>77.325506128791943</v>
      </c>
      <c r="F74" s="2">
        <v>23.631554044337761</v>
      </c>
      <c r="G74" s="2">
        <v>14.787153981375916</v>
      </c>
      <c r="H74" s="2">
        <v>78.426663113024077</v>
      </c>
      <c r="I74" s="2">
        <v>48.783317118275697</v>
      </c>
      <c r="J74" s="2">
        <v>148.00855397215594</v>
      </c>
      <c r="K74" s="2">
        <v>59.658582358738187</v>
      </c>
      <c r="L74" s="2">
        <v>7.7514727684872131</v>
      </c>
      <c r="M74" s="2">
        <v>19.855755728767765</v>
      </c>
      <c r="O74" s="6">
        <f t="shared" si="13"/>
        <v>9.4566705651555338E-5</v>
      </c>
      <c r="P74" s="6">
        <f t="shared" si="2"/>
        <v>9.4566705651555338E-5</v>
      </c>
      <c r="Q74" s="6">
        <f t="shared" si="3"/>
        <v>-6.3602283413377592E-4</v>
      </c>
      <c r="R74" s="6">
        <f t="shared" si="4"/>
        <v>8.5229341500481226E-4</v>
      </c>
      <c r="S74" s="6">
        <f t="shared" si="5"/>
        <v>-5.1919831060583954E-3</v>
      </c>
      <c r="T74" s="6">
        <f t="shared" si="6"/>
        <v>-2.633274560522092E-3</v>
      </c>
      <c r="U74" s="6">
        <f t="shared" si="7"/>
        <v>7.8617221805301618E-3</v>
      </c>
      <c r="V74" s="6">
        <f t="shared" si="8"/>
        <v>-6.7007472190904194E-3</v>
      </c>
      <c r="W74" s="6">
        <f t="shared" si="9"/>
        <v>5.8454516847232796E-3</v>
      </c>
      <c r="X74" s="6">
        <f t="shared" si="10"/>
        <v>4.7774813709700048E-3</v>
      </c>
      <c r="Y74" s="6">
        <f t="shared" si="11"/>
        <v>2.9229967945396673E-3</v>
      </c>
      <c r="Z74" s="6">
        <f t="shared" si="12"/>
        <v>-6.1785114979109323E-3</v>
      </c>
    </row>
    <row r="75" spans="1:26" x14ac:dyDescent="0.45">
      <c r="A75">
        <v>73</v>
      </c>
      <c r="B75" s="1">
        <v>1018.0547145913106</v>
      </c>
      <c r="C75" s="1">
        <v>1018.0547145913106</v>
      </c>
      <c r="D75" s="2">
        <v>46.922275874742837</v>
      </c>
      <c r="E75" s="2">
        <v>77.391410148477433</v>
      </c>
      <c r="F75" s="2">
        <v>23.508859414969653</v>
      </c>
      <c r="G75" s="2">
        <v>14.748215344974236</v>
      </c>
      <c r="H75" s="2">
        <v>79.043231749964704</v>
      </c>
      <c r="I75" s="2">
        <v>48.456432441757407</v>
      </c>
      <c r="J75" s="2">
        <v>148.87373082332593</v>
      </c>
      <c r="K75" s="2">
        <v>59.943600124575539</v>
      </c>
      <c r="L75" s="2">
        <v>7.7741302985424632</v>
      </c>
      <c r="M75" s="2">
        <v>19.733076713697862</v>
      </c>
      <c r="O75" s="6">
        <f t="shared" si="13"/>
        <v>2.2231244847799037E-3</v>
      </c>
      <c r="P75" s="6">
        <f t="shared" si="2"/>
        <v>2.2231244847799037E-3</v>
      </c>
      <c r="Q75" s="6">
        <f t="shared" si="3"/>
        <v>-1.98990809777988E-3</v>
      </c>
      <c r="R75" s="6">
        <f t="shared" si="4"/>
        <v>-3.5940212264103932E-3</v>
      </c>
      <c r="S75" s="6">
        <f t="shared" si="5"/>
        <v>3.9235326335873566E-5</v>
      </c>
      <c r="T75" s="6">
        <f t="shared" si="6"/>
        <v>6.0998934057154841E-3</v>
      </c>
      <c r="U75" s="6">
        <f t="shared" si="7"/>
        <v>5.7155920739240251E-3</v>
      </c>
      <c r="V75" s="6">
        <f t="shared" si="8"/>
        <v>2.057464594942271E-3</v>
      </c>
      <c r="W75" s="6">
        <f t="shared" si="9"/>
        <v>-7.2502714580335859E-4</v>
      </c>
      <c r="X75" s="6">
        <f t="shared" si="10"/>
        <v>2.7954095533240242E-3</v>
      </c>
      <c r="Y75" s="6">
        <f t="shared" si="11"/>
        <v>3.5227501640335834E-3</v>
      </c>
      <c r="Z75" s="6">
        <f t="shared" si="12"/>
        <v>3.8346960533719443E-3</v>
      </c>
    </row>
    <row r="76" spans="1:26" x14ac:dyDescent="0.45">
      <c r="A76">
        <v>74</v>
      </c>
      <c r="B76" s="1">
        <v>1020.3179769541641</v>
      </c>
      <c r="C76" s="1">
        <v>1020.3179769541641</v>
      </c>
      <c r="D76" s="2">
        <v>46.828904858013424</v>
      </c>
      <c r="E76" s="2">
        <v>77.11326377766197</v>
      </c>
      <c r="F76" s="2">
        <v>23.509781792740583</v>
      </c>
      <c r="G76" s="2">
        <v>14.838177886503116</v>
      </c>
      <c r="H76" s="2">
        <v>79.495010618852149</v>
      </c>
      <c r="I76" s="2">
        <v>48.556129835903533</v>
      </c>
      <c r="J76" s="2">
        <v>148.765793327182</v>
      </c>
      <c r="K76" s="2">
        <v>60.111167037024416</v>
      </c>
      <c r="L76" s="2">
        <v>7.8015166173268717</v>
      </c>
      <c r="M76" s="2">
        <v>19.808747065092764</v>
      </c>
      <c r="O76" s="6">
        <f t="shared" si="13"/>
        <v>-5.5747222234803218E-4</v>
      </c>
      <c r="P76" s="6">
        <f t="shared" si="2"/>
        <v>-5.5747222234803218E-4</v>
      </c>
      <c r="Q76" s="6">
        <f t="shared" si="3"/>
        <v>-5.1501305467190894E-3</v>
      </c>
      <c r="R76" s="6">
        <f t="shared" si="4"/>
        <v>-3.1924387924184838E-3</v>
      </c>
      <c r="S76" s="6">
        <f t="shared" si="5"/>
        <v>2.6905270122297154E-3</v>
      </c>
      <c r="T76" s="6">
        <f t="shared" si="6"/>
        <v>-4.4793457476520748E-3</v>
      </c>
      <c r="U76" s="6">
        <f t="shared" si="7"/>
        <v>1.1518931551157907E-2</v>
      </c>
      <c r="V76" s="6">
        <f t="shared" si="8"/>
        <v>3.2310828921899848E-4</v>
      </c>
      <c r="W76" s="6">
        <f t="shared" si="9"/>
        <v>5.7159585345354369E-3</v>
      </c>
      <c r="X76" s="6">
        <f t="shared" si="10"/>
        <v>1.6245495711575408E-3</v>
      </c>
      <c r="Y76" s="6">
        <f t="shared" si="11"/>
        <v>2.2530705851524502E-3</v>
      </c>
      <c r="Z76" s="6">
        <f t="shared" si="12"/>
        <v>2.3912459208075276E-4</v>
      </c>
    </row>
    <row r="77" spans="1:26" x14ac:dyDescent="0.45">
      <c r="A77">
        <v>75</v>
      </c>
      <c r="B77" s="1">
        <v>1019.7491780240498</v>
      </c>
      <c r="C77" s="1">
        <v>1019.7491780240498</v>
      </c>
      <c r="D77" s="2">
        <v>46.587729884634768</v>
      </c>
      <c r="E77" s="2">
        <v>76.86708440296816</v>
      </c>
      <c r="F77" s="2">
        <v>23.573035495705579</v>
      </c>
      <c r="G77" s="2">
        <v>14.771712557484303</v>
      </c>
      <c r="H77" s="2">
        <v>80.410708204829277</v>
      </c>
      <c r="I77" s="2">
        <v>48.57181872394591</v>
      </c>
      <c r="J77" s="2">
        <v>149.61613243319744</v>
      </c>
      <c r="K77" s="2">
        <v>60.208820607656193</v>
      </c>
      <c r="L77" s="2">
        <v>7.8190939849369485</v>
      </c>
      <c r="M77" s="2">
        <v>19.813483823654334</v>
      </c>
      <c r="O77" s="6">
        <f t="shared" si="13"/>
        <v>1.1360025537239249E-3</v>
      </c>
      <c r="P77" s="6">
        <f t="shared" si="2"/>
        <v>1.1360025537239249E-3</v>
      </c>
      <c r="Q77" s="6">
        <f t="shared" si="3"/>
        <v>1.735826573031618E-3</v>
      </c>
      <c r="R77" s="6">
        <f t="shared" si="4"/>
        <v>3.497107770112251E-3</v>
      </c>
      <c r="S77" s="6">
        <f t="shared" si="5"/>
        <v>3.4285346403639672E-4</v>
      </c>
      <c r="T77" s="6">
        <f t="shared" si="6"/>
        <v>4.1560227288719442E-3</v>
      </c>
      <c r="U77" s="6">
        <f t="shared" si="7"/>
        <v>-1.3094482325369805E-3</v>
      </c>
      <c r="V77" s="6">
        <f t="shared" si="8"/>
        <v>6.6755382790055773E-3</v>
      </c>
      <c r="W77" s="6">
        <f t="shared" si="9"/>
        <v>1.764550907654483E-3</v>
      </c>
      <c r="X77" s="6">
        <f t="shared" si="10"/>
        <v>4.3143211100515888E-3</v>
      </c>
      <c r="Y77" s="6">
        <f t="shared" si="11"/>
        <v>-3.1133587000033991E-3</v>
      </c>
      <c r="Z77" s="6">
        <f t="shared" si="12"/>
        <v>3.6646722032163126E-4</v>
      </c>
    </row>
    <row r="78" spans="1:26" x14ac:dyDescent="0.45">
      <c r="A78">
        <v>76</v>
      </c>
      <c r="B78" s="1">
        <v>1020.9076156944429</v>
      </c>
      <c r="C78" s="1">
        <v>1020.9076156944429</v>
      </c>
      <c r="D78" s="2">
        <v>46.668598104145737</v>
      </c>
      <c r="E78" s="2">
        <v>77.135896881099654</v>
      </c>
      <c r="F78" s="2">
        <v>23.581117592583134</v>
      </c>
      <c r="G78" s="2">
        <v>14.833104130617571</v>
      </c>
      <c r="H78" s="2">
        <v>80.305414545093413</v>
      </c>
      <c r="I78" s="2">
        <v>48.896061759118531</v>
      </c>
      <c r="J78" s="2">
        <v>149.88013771548219</v>
      </c>
      <c r="K78" s="2">
        <v>60.468580793415114</v>
      </c>
      <c r="L78" s="2">
        <v>7.7947503406528007</v>
      </c>
      <c r="M78" s="2">
        <v>19.820744815996076</v>
      </c>
      <c r="O78" s="6">
        <f t="shared" si="13"/>
        <v>-2.6954067056261799E-3</v>
      </c>
      <c r="P78" s="6">
        <f t="shared" si="2"/>
        <v>-2.6954067056261799E-3</v>
      </c>
      <c r="Q78" s="6">
        <f t="shared" si="3"/>
        <v>-4.9368513249148371E-3</v>
      </c>
      <c r="R78" s="6">
        <f t="shared" si="4"/>
        <v>-7.5922459671782239E-3</v>
      </c>
      <c r="S78" s="6">
        <f t="shared" si="5"/>
        <v>7.077586134560665E-4</v>
      </c>
      <c r="T78" s="6">
        <f t="shared" si="6"/>
        <v>-2.4697212593920437E-3</v>
      </c>
      <c r="U78" s="6">
        <f t="shared" si="7"/>
        <v>8.129416865669814E-4</v>
      </c>
      <c r="V78" s="6">
        <f t="shared" si="8"/>
        <v>-3.5539228556261682E-3</v>
      </c>
      <c r="W78" s="6">
        <f t="shared" si="9"/>
        <v>-3.1878383302683666E-3</v>
      </c>
      <c r="X78" s="6">
        <f t="shared" si="10"/>
        <v>-8.4312416799535717E-3</v>
      </c>
      <c r="Y78" s="6">
        <f t="shared" si="11"/>
        <v>1.6403027130440506E-3</v>
      </c>
      <c r="Z78" s="6">
        <f t="shared" si="12"/>
        <v>2.0441425261059631E-3</v>
      </c>
    </row>
    <row r="79" spans="1:26" x14ac:dyDescent="0.45">
      <c r="A79">
        <v>77</v>
      </c>
      <c r="B79" s="1">
        <v>1018.1558544612753</v>
      </c>
      <c r="C79" s="1">
        <v>1018.1558544612753</v>
      </c>
      <c r="D79" s="2">
        <v>46.438202173763365</v>
      </c>
      <c r="E79" s="2">
        <v>76.550262179079454</v>
      </c>
      <c r="F79" s="2">
        <v>23.597807331674204</v>
      </c>
      <c r="G79" s="2">
        <v>14.796470498003409</v>
      </c>
      <c r="H79" s="2">
        <v>80.370698164234156</v>
      </c>
      <c r="I79" s="2">
        <v>48.72228892768269</v>
      </c>
      <c r="J79" s="2">
        <v>149.40234406752688</v>
      </c>
      <c r="K79" s="2">
        <v>59.958755574702032</v>
      </c>
      <c r="L79" s="2">
        <v>7.8075360907840743</v>
      </c>
      <c r="M79" s="2">
        <v>19.861261243373548</v>
      </c>
      <c r="O79" s="6">
        <f t="shared" si="13"/>
        <v>-2.6604840196039481E-3</v>
      </c>
      <c r="P79" s="6">
        <f t="shared" si="2"/>
        <v>-2.6604840196039481E-3</v>
      </c>
      <c r="Q79" s="6">
        <f t="shared" si="3"/>
        <v>4.1386886888072905E-3</v>
      </c>
      <c r="R79" s="6">
        <f t="shared" si="4"/>
        <v>3.0476088110573674E-3</v>
      </c>
      <c r="S79" s="6">
        <f t="shared" si="5"/>
        <v>-3.3756444166274102E-3</v>
      </c>
      <c r="T79" s="6">
        <f t="shared" si="6"/>
        <v>-3.6491895354374693E-3</v>
      </c>
      <c r="U79" s="6">
        <f t="shared" si="7"/>
        <v>-4.9081669547368367E-3</v>
      </c>
      <c r="V79" s="6">
        <f t="shared" si="8"/>
        <v>-7.8524559766568469E-3</v>
      </c>
      <c r="W79" s="6">
        <f t="shared" si="9"/>
        <v>-7.6178203363937991E-3</v>
      </c>
      <c r="X79" s="6">
        <f t="shared" si="10"/>
        <v>-2.8602762521819924E-3</v>
      </c>
      <c r="Y79" s="6">
        <f t="shared" si="11"/>
        <v>-2.7702916540834899E-3</v>
      </c>
      <c r="Z79" s="6">
        <f t="shared" si="12"/>
        <v>-6.1485428273788667E-3</v>
      </c>
    </row>
    <row r="80" spans="1:26" x14ac:dyDescent="0.45">
      <c r="A80">
        <v>78</v>
      </c>
      <c r="B80" s="1">
        <v>1015.4470670810149</v>
      </c>
      <c r="C80" s="1">
        <v>1015.4470670810149</v>
      </c>
      <c r="D80" s="2">
        <v>46.630395435828468</v>
      </c>
      <c r="E80" s="2">
        <v>76.78355743258517</v>
      </c>
      <c r="F80" s="2">
        <v>23.518149525110388</v>
      </c>
      <c r="G80" s="2">
        <v>14.742475372700685</v>
      </c>
      <c r="H80" s="2">
        <v>79.976225359375334</v>
      </c>
      <c r="I80" s="2">
        <v>48.339699298796106</v>
      </c>
      <c r="J80" s="2">
        <v>148.26422385258437</v>
      </c>
      <c r="K80" s="2">
        <v>59.787256970021325</v>
      </c>
      <c r="L80" s="2">
        <v>7.7859069387128192</v>
      </c>
      <c r="M80" s="2">
        <v>19.739143428012905</v>
      </c>
      <c r="O80" s="6">
        <f t="shared" si="13"/>
        <v>1.5982488435037912E-3</v>
      </c>
      <c r="P80" s="6">
        <f t="shared" si="2"/>
        <v>1.5982488435037912E-3</v>
      </c>
      <c r="Q80" s="6">
        <f t="shared" si="3"/>
        <v>-8.0913203315491344E-4</v>
      </c>
      <c r="R80" s="6">
        <f t="shared" si="4"/>
        <v>1.0875650801318804E-2</v>
      </c>
      <c r="S80" s="6">
        <f t="shared" si="5"/>
        <v>-5.8659513625367588E-3</v>
      </c>
      <c r="T80" s="6">
        <f t="shared" si="6"/>
        <v>9.1615993865268308E-4</v>
      </c>
      <c r="U80" s="6">
        <f t="shared" si="7"/>
        <v>7.6977306220651354E-3</v>
      </c>
      <c r="V80" s="6">
        <f t="shared" si="8"/>
        <v>3.1283261234436033E-3</v>
      </c>
      <c r="W80" s="6">
        <f t="shared" si="9"/>
        <v>4.5392414489937583E-3</v>
      </c>
      <c r="X80" s="6">
        <f t="shared" si="10"/>
        <v>-5.3412838160871168E-3</v>
      </c>
      <c r="Y80" s="6">
        <f t="shared" si="11"/>
        <v>-4.0312375931067512E-3</v>
      </c>
      <c r="Z80" s="6">
        <f t="shared" si="12"/>
        <v>5.5767131304766959E-3</v>
      </c>
    </row>
    <row r="81" spans="1:26" x14ac:dyDescent="0.45">
      <c r="A81">
        <v>79</v>
      </c>
      <c r="B81" s="1">
        <v>1017.0700041816165</v>
      </c>
      <c r="C81" s="1">
        <v>1017.0700041816165</v>
      </c>
      <c r="D81" s="2">
        <v>46.59266528916266</v>
      </c>
      <c r="E81" s="2">
        <v>77.618628590504969</v>
      </c>
      <c r="F81" s="2">
        <v>23.380193203859225</v>
      </c>
      <c r="G81" s="2">
        <v>14.755981838033728</v>
      </c>
      <c r="H81" s="2">
        <v>80.591860798361381</v>
      </c>
      <c r="I81" s="2">
        <v>48.490921642911935</v>
      </c>
      <c r="J81" s="2">
        <v>148.93723096289889</v>
      </c>
      <c r="K81" s="2">
        <v>59.467916261959111</v>
      </c>
      <c r="L81" s="2">
        <v>7.7545200979650497</v>
      </c>
      <c r="M81" s="2">
        <v>19.849222968352269</v>
      </c>
      <c r="O81" s="6">
        <f t="shared" si="13"/>
        <v>1.8259457552627367E-6</v>
      </c>
      <c r="P81" s="6">
        <f t="shared" si="2"/>
        <v>1.8259457552627367E-6</v>
      </c>
      <c r="Q81" s="6">
        <f t="shared" si="3"/>
        <v>-1.4450698652523908E-4</v>
      </c>
      <c r="R81" s="6">
        <f t="shared" si="4"/>
        <v>3.6491707927863715E-3</v>
      </c>
      <c r="S81" s="6">
        <f t="shared" si="5"/>
        <v>-5.7058115870400883E-4</v>
      </c>
      <c r="T81" s="6">
        <f t="shared" si="6"/>
        <v>2.0946005745208218E-3</v>
      </c>
      <c r="U81" s="6">
        <f t="shared" si="7"/>
        <v>-6.14543088990116E-4</v>
      </c>
      <c r="V81" s="6">
        <f t="shared" si="8"/>
        <v>-3.8309436058096002E-3</v>
      </c>
      <c r="W81" s="6">
        <f t="shared" si="9"/>
        <v>-4.364349324990191E-3</v>
      </c>
      <c r="X81" s="6">
        <f t="shared" si="10"/>
        <v>-4.6162120123505179E-4</v>
      </c>
      <c r="Y81" s="6">
        <f t="shared" si="11"/>
        <v>-4.7493731775658521E-3</v>
      </c>
      <c r="Z81" s="6">
        <f t="shared" si="12"/>
        <v>-5.2881920413772043E-4</v>
      </c>
    </row>
    <row r="82" spans="1:26" x14ac:dyDescent="0.45">
      <c r="A82">
        <v>80</v>
      </c>
      <c r="B82" s="1">
        <v>1017.0718612962734</v>
      </c>
      <c r="C82" s="1">
        <v>1017.0718612962734</v>
      </c>
      <c r="D82" s="2">
        <v>46.585932323507542</v>
      </c>
      <c r="E82" s="2">
        <v>77.901872222933576</v>
      </c>
      <c r="F82" s="2">
        <v>23.366852906130244</v>
      </c>
      <c r="G82" s="2">
        <v>14.786889726069292</v>
      </c>
      <c r="H82" s="2">
        <v>80.542333627278893</v>
      </c>
      <c r="I82" s="2">
        <v>48.305155656704208</v>
      </c>
      <c r="J82" s="2">
        <v>148.28721685948005</v>
      </c>
      <c r="K82" s="2">
        <v>59.440464611019323</v>
      </c>
      <c r="L82" s="2">
        <v>7.7176909882068792</v>
      </c>
      <c r="M82" s="2">
        <v>19.838726318059393</v>
      </c>
      <c r="O82" s="6">
        <f t="shared" si="13"/>
        <v>2.4155264709848634E-3</v>
      </c>
      <c r="P82" s="6">
        <f t="shared" si="2"/>
        <v>2.4155264709848634E-3</v>
      </c>
      <c r="Q82" s="6">
        <f t="shared" si="3"/>
        <v>1.4575879742493303E-3</v>
      </c>
      <c r="R82" s="6">
        <f t="shared" si="4"/>
        <v>3.8331733308065719E-3</v>
      </c>
      <c r="S82" s="6">
        <f t="shared" si="5"/>
        <v>3.1778524311261158E-3</v>
      </c>
      <c r="T82" s="6">
        <f t="shared" si="6"/>
        <v>2.6382508942841554E-3</v>
      </c>
      <c r="U82" s="6">
        <f t="shared" si="7"/>
        <v>-4.0889700280114516E-3</v>
      </c>
      <c r="V82" s="6">
        <f t="shared" si="8"/>
        <v>1.0040587741946494E-2</v>
      </c>
      <c r="W82" s="6">
        <f t="shared" si="9"/>
        <v>-2.1300734061924231E-3</v>
      </c>
      <c r="X82" s="6">
        <f t="shared" si="10"/>
        <v>9.2460157800162701E-3</v>
      </c>
      <c r="Y82" s="6">
        <f t="shared" si="11"/>
        <v>1.2034735626160753E-3</v>
      </c>
      <c r="Z82" s="6">
        <f t="shared" si="12"/>
        <v>2.0763153589202776E-3</v>
      </c>
    </row>
    <row r="83" spans="1:26" x14ac:dyDescent="0.45">
      <c r="A83">
        <v>81</v>
      </c>
      <c r="B83" s="1">
        <v>1019.5286253001284</v>
      </c>
      <c r="C83" s="1">
        <v>1019.5286253001284</v>
      </c>
      <c r="D83" s="2">
        <v>46.653835418231481</v>
      </c>
      <c r="E83" s="2">
        <v>78.200483601958425</v>
      </c>
      <c r="F83" s="2">
        <v>23.441109316445758</v>
      </c>
      <c r="G83" s="2">
        <v>14.825901251112775</v>
      </c>
      <c r="H83" s="2">
        <v>80.212998439090853</v>
      </c>
      <c r="I83" s="2">
        <v>48.790167810463728</v>
      </c>
      <c r="J83" s="2">
        <v>147.97135420236938</v>
      </c>
      <c r="K83" s="2">
        <v>59.990052084784303</v>
      </c>
      <c r="L83" s="2">
        <v>7.7269790252756261</v>
      </c>
      <c r="M83" s="2">
        <v>19.879917770214995</v>
      </c>
      <c r="O83" s="6">
        <f t="shared" si="13"/>
        <v>3.8224526852357332E-3</v>
      </c>
      <c r="P83" s="6">
        <f t="shared" ref="P83:P146" si="14">C84/C83-1</f>
        <v>3.8224526852357332E-3</v>
      </c>
      <c r="Q83" s="6">
        <f t="shared" ref="Q83:Q146" si="15">D84/D83-1</f>
        <v>5.7495399524585267E-3</v>
      </c>
      <c r="R83" s="6">
        <f t="shared" ref="R83:R146" si="16">E84/E83-1</f>
        <v>1.8978800517976957E-4</v>
      </c>
      <c r="S83" s="6">
        <f t="shared" ref="S83:S146" si="17">F84/F83-1</f>
        <v>2.9530151375161129E-3</v>
      </c>
      <c r="T83" s="6">
        <f t="shared" ref="T83:T146" si="18">G84/G83-1</f>
        <v>9.9739114002084239E-3</v>
      </c>
      <c r="U83" s="6">
        <f t="shared" ref="U83:U146" si="19">H84/H83-1</f>
        <v>3.744007757438661E-3</v>
      </c>
      <c r="V83" s="6">
        <f t="shared" ref="V83:V146" si="20">I84/I83-1</f>
        <v>8.449763224025908E-3</v>
      </c>
      <c r="W83" s="6">
        <f t="shared" ref="W83:W146" si="21">J84/J83-1</f>
        <v>1.0560286343432868E-2</v>
      </c>
      <c r="X83" s="6">
        <f t="shared" ref="X83:X146" si="22">K84/K83-1</f>
        <v>6.573925589769658E-3</v>
      </c>
      <c r="Y83" s="6">
        <f t="shared" ref="Y83:Y146" si="23">L84/L83-1</f>
        <v>2.0824766286229313E-3</v>
      </c>
      <c r="Z83" s="6">
        <f t="shared" ref="Z83:Z146" si="24">M84/M83-1</f>
        <v>6.8984676131347289E-3</v>
      </c>
    </row>
    <row r="84" spans="1:26" x14ac:dyDescent="0.45">
      <c r="A84">
        <v>82</v>
      </c>
      <c r="B84" s="1">
        <v>1023.4257252315816</v>
      </c>
      <c r="C84" s="1">
        <v>1023.4257252315816</v>
      </c>
      <c r="D84" s="2">
        <v>46.922073508904028</v>
      </c>
      <c r="E84" s="2">
        <v>78.21532511574533</v>
      </c>
      <c r="F84" s="2">
        <v>23.510331267097392</v>
      </c>
      <c r="G84" s="2">
        <v>14.973773476619613</v>
      </c>
      <c r="H84" s="2">
        <v>80.513316527494226</v>
      </c>
      <c r="I84" s="2">
        <v>49.202433176122639</v>
      </c>
      <c r="J84" s="2">
        <v>149.53397407337192</v>
      </c>
      <c r="K84" s="2">
        <v>60.384422223316079</v>
      </c>
      <c r="L84" s="2">
        <v>7.7430702785056225</v>
      </c>
      <c r="M84" s="2">
        <v>20.017058739104606</v>
      </c>
      <c r="O84" s="6">
        <f t="shared" si="13"/>
        <v>-3.8727314194362261E-3</v>
      </c>
      <c r="P84" s="6">
        <f t="shared" si="14"/>
        <v>-3.8727314194362261E-3</v>
      </c>
      <c r="Q84" s="6">
        <f t="shared" si="15"/>
        <v>-4.3619525870401965E-3</v>
      </c>
      <c r="R84" s="6">
        <f t="shared" si="16"/>
        <v>4.0644447450266519E-3</v>
      </c>
      <c r="S84" s="6">
        <f t="shared" si="17"/>
        <v>-4.793012343837999E-3</v>
      </c>
      <c r="T84" s="6">
        <f t="shared" si="18"/>
        <v>-3.6701630798716689E-3</v>
      </c>
      <c r="U84" s="6">
        <f t="shared" si="19"/>
        <v>-9.2751223302071084E-3</v>
      </c>
      <c r="V84" s="6">
        <f t="shared" si="20"/>
        <v>-2.7955879878323042E-3</v>
      </c>
      <c r="W84" s="6">
        <f t="shared" si="21"/>
        <v>-4.4221411120214382E-3</v>
      </c>
      <c r="X84" s="6">
        <f t="shared" si="22"/>
        <v>-4.8566642146417038E-3</v>
      </c>
      <c r="Y84" s="6">
        <f t="shared" si="23"/>
        <v>-4.2716600069783173E-3</v>
      </c>
      <c r="Z84" s="6">
        <f t="shared" si="24"/>
        <v>-3.298991910843263E-3</v>
      </c>
    </row>
    <row r="85" spans="1:26" x14ac:dyDescent="0.45">
      <c r="A85">
        <v>83</v>
      </c>
      <c r="B85" s="1">
        <v>1019.4622722700179</v>
      </c>
      <c r="C85" s="1">
        <v>1019.4622722700179</v>
      </c>
      <c r="D85" s="2">
        <v>46.717401648972576</v>
      </c>
      <c r="E85" s="2">
        <v>78.533226982892572</v>
      </c>
      <c r="F85" s="2">
        <v>23.397645959126475</v>
      </c>
      <c r="G85" s="2">
        <v>14.918817286039362</v>
      </c>
      <c r="H85" s="2">
        <v>79.76654566749103</v>
      </c>
      <c r="I85" s="2">
        <v>49.06488344496335</v>
      </c>
      <c r="J85" s="2">
        <v>148.87271373897812</v>
      </c>
      <c r="K85" s="2">
        <v>60.091155360782288</v>
      </c>
      <c r="L85" s="2">
        <v>7.7099945148657074</v>
      </c>
      <c r="M85" s="2">
        <v>19.951022624245425</v>
      </c>
      <c r="O85" s="6">
        <f t="shared" si="13"/>
        <v>1.9926073555016632E-3</v>
      </c>
      <c r="P85" s="6">
        <f t="shared" si="14"/>
        <v>1.9926073555016632E-3</v>
      </c>
      <c r="Q85" s="6">
        <f t="shared" si="15"/>
        <v>1.4791813057366543E-3</v>
      </c>
      <c r="R85" s="6">
        <f t="shared" si="16"/>
        <v>4.2869439567285728E-3</v>
      </c>
      <c r="S85" s="6">
        <f t="shared" si="17"/>
        <v>7.0780051819707701E-4</v>
      </c>
      <c r="T85" s="6">
        <f t="shared" si="18"/>
        <v>1.9762641774105916E-3</v>
      </c>
      <c r="U85" s="6">
        <f t="shared" si="19"/>
        <v>-1.5322108928694789E-3</v>
      </c>
      <c r="V85" s="6">
        <f t="shared" si="20"/>
        <v>5.9135910924119628E-3</v>
      </c>
      <c r="W85" s="6">
        <f t="shared" si="21"/>
        <v>9.8389136224961149E-3</v>
      </c>
      <c r="X85" s="6">
        <f t="shared" si="22"/>
        <v>3.8396387579564539E-3</v>
      </c>
      <c r="Y85" s="6">
        <f t="shared" si="23"/>
        <v>7.1717120186076677E-3</v>
      </c>
      <c r="Z85" s="6">
        <f t="shared" si="24"/>
        <v>-2.6181689017046317E-3</v>
      </c>
    </row>
    <row r="86" spans="1:26" x14ac:dyDescent="0.45">
      <c r="A86">
        <v>84</v>
      </c>
      <c r="B86" s="1">
        <v>1021.4936602923996</v>
      </c>
      <c r="C86" s="1">
        <v>1021.4936602923996</v>
      </c>
      <c r="D86" s="2">
        <v>46.786505156144329</v>
      </c>
      <c r="E86" s="2">
        <v>78.86989452570927</v>
      </c>
      <c r="F86" s="2">
        <v>23.414206825060937</v>
      </c>
      <c r="G86" s="2">
        <v>14.948300810211094</v>
      </c>
      <c r="H86" s="2">
        <v>79.644326497332727</v>
      </c>
      <c r="I86" s="2">
        <v>49.355033102653714</v>
      </c>
      <c r="J86" s="2">
        <v>150.33745951020251</v>
      </c>
      <c r="K86" s="2">
        <v>60.321883689915929</v>
      </c>
      <c r="L86" s="2">
        <v>7.7652883751913686</v>
      </c>
      <c r="M86" s="2">
        <v>19.898787477253421</v>
      </c>
      <c r="O86" s="6">
        <f t="shared" si="13"/>
        <v>-1.574916240407731E-4</v>
      </c>
      <c r="P86" s="6">
        <f t="shared" si="14"/>
        <v>-1.574916240407731E-4</v>
      </c>
      <c r="Q86" s="6">
        <f t="shared" si="15"/>
        <v>-7.2170819480987802E-4</v>
      </c>
      <c r="R86" s="6">
        <f t="shared" si="16"/>
        <v>-1.8794886665740584E-3</v>
      </c>
      <c r="S86" s="6">
        <f t="shared" si="17"/>
        <v>-5.4834157040903886E-3</v>
      </c>
      <c r="T86" s="6">
        <f t="shared" si="18"/>
        <v>-9.1681011999655837E-4</v>
      </c>
      <c r="U86" s="6">
        <f t="shared" si="19"/>
        <v>3.9373177685486649E-3</v>
      </c>
      <c r="V86" s="6">
        <f t="shared" si="20"/>
        <v>-6.3997386970324754E-3</v>
      </c>
      <c r="W86" s="6">
        <f t="shared" si="21"/>
        <v>4.3241190213383351E-3</v>
      </c>
      <c r="X86" s="6">
        <f t="shared" si="22"/>
        <v>1.8943886729685389E-3</v>
      </c>
      <c r="Y86" s="6">
        <f t="shared" si="23"/>
        <v>4.8527637884108188E-3</v>
      </c>
      <c r="Z86" s="6">
        <f t="shared" si="24"/>
        <v>-4.1656774668739072E-3</v>
      </c>
    </row>
    <row r="87" spans="1:26" x14ac:dyDescent="0.45">
      <c r="A87">
        <v>85</v>
      </c>
      <c r="B87" s="1">
        <v>1021.3327835968928</v>
      </c>
      <c r="C87" s="1">
        <v>1021.3327835968928</v>
      </c>
      <c r="D87" s="2">
        <v>46.752738951966627</v>
      </c>
      <c r="E87" s="2">
        <v>78.721659452814308</v>
      </c>
      <c r="F87" s="2">
        <v>23.285816995657576</v>
      </c>
      <c r="G87" s="2">
        <v>14.934596056751539</v>
      </c>
      <c r="H87" s="2">
        <v>79.957911519214761</v>
      </c>
      <c r="I87" s="2">
        <v>49.03917378741334</v>
      </c>
      <c r="J87" s="2">
        <v>150.98753657849025</v>
      </c>
      <c r="K87" s="2">
        <v>60.436156783110228</v>
      </c>
      <c r="L87" s="2">
        <v>7.8029714854250649</v>
      </c>
      <c r="M87" s="2">
        <v>19.815895546641315</v>
      </c>
      <c r="O87" s="6">
        <f t="shared" si="13"/>
        <v>-1.6276380250008771E-3</v>
      </c>
      <c r="P87" s="6">
        <f t="shared" si="14"/>
        <v>-1.6276380250008771E-3</v>
      </c>
      <c r="Q87" s="6">
        <f t="shared" si="15"/>
        <v>-1.8419653616835729E-3</v>
      </c>
      <c r="R87" s="6">
        <f t="shared" si="16"/>
        <v>6.8678467666272169E-4</v>
      </c>
      <c r="S87" s="6">
        <f t="shared" si="17"/>
        <v>2.704299625981843E-3</v>
      </c>
      <c r="T87" s="6">
        <f t="shared" si="18"/>
        <v>1.002510271295165E-4</v>
      </c>
      <c r="U87" s="6">
        <f t="shared" si="19"/>
        <v>-1.0794736924954029E-2</v>
      </c>
      <c r="V87" s="6">
        <f t="shared" si="20"/>
        <v>4.7450955565657704E-3</v>
      </c>
      <c r="W87" s="6">
        <f t="shared" si="21"/>
        <v>-8.5593096376023192E-3</v>
      </c>
      <c r="X87" s="6">
        <f t="shared" si="22"/>
        <v>-5.3390652679852213E-3</v>
      </c>
      <c r="Y87" s="6">
        <f t="shared" si="23"/>
        <v>-1.8356877052057019E-3</v>
      </c>
      <c r="Z87" s="6">
        <f t="shared" si="24"/>
        <v>-4.4519401584927065E-3</v>
      </c>
    </row>
    <row r="88" spans="1:26" x14ac:dyDescent="0.45">
      <c r="A88">
        <v>86</v>
      </c>
      <c r="B88" s="1">
        <v>1019.6704235221305</v>
      </c>
      <c r="C88" s="1">
        <v>1019.6704235221305</v>
      </c>
      <c r="D88" s="2">
        <v>46.666622026253272</v>
      </c>
      <c r="E88" s="2">
        <v>78.775724282247964</v>
      </c>
      <c r="F88" s="2">
        <v>23.348788821849613</v>
      </c>
      <c r="G88" s="2">
        <v>14.936093265345994</v>
      </c>
      <c r="H88" s="2">
        <v>79.094786899296082</v>
      </c>
      <c r="I88" s="2">
        <v>49.271869353049652</v>
      </c>
      <c r="J88" s="2">
        <v>149.69518750149615</v>
      </c>
      <c r="K88" s="2">
        <v>60.113484197499012</v>
      </c>
      <c r="L88" s="2">
        <v>7.7886476666051996</v>
      </c>
      <c r="M88" s="2">
        <v>19.727676365480725</v>
      </c>
      <c r="O88" s="6">
        <f t="shared" si="13"/>
        <v>3.1785400561901156E-4</v>
      </c>
      <c r="P88" s="6">
        <f t="shared" si="14"/>
        <v>3.1785400561901156E-4</v>
      </c>
      <c r="Q88" s="6">
        <f t="shared" si="15"/>
        <v>6.2096927494101894E-3</v>
      </c>
      <c r="R88" s="6">
        <f t="shared" si="16"/>
        <v>5.8165608976432637E-3</v>
      </c>
      <c r="S88" s="6">
        <f t="shared" si="17"/>
        <v>2.0579092079877626E-3</v>
      </c>
      <c r="T88" s="6">
        <f t="shared" si="18"/>
        <v>-9.3610965516288669E-4</v>
      </c>
      <c r="U88" s="6">
        <f t="shared" si="19"/>
        <v>1.4726808302893968E-3</v>
      </c>
      <c r="V88" s="6">
        <f t="shared" si="20"/>
        <v>-1.5470211912068654E-3</v>
      </c>
      <c r="W88" s="6">
        <f t="shared" si="21"/>
        <v>-3.1739301632406347E-3</v>
      </c>
      <c r="X88" s="6">
        <f t="shared" si="22"/>
        <v>3.0875871379181241E-3</v>
      </c>
      <c r="Y88" s="6">
        <f t="shared" si="23"/>
        <v>4.4426846315868129E-3</v>
      </c>
      <c r="Z88" s="6">
        <f t="shared" si="24"/>
        <v>3.0467583089905936E-3</v>
      </c>
    </row>
    <row r="89" spans="1:26" x14ac:dyDescent="0.45">
      <c r="A89">
        <v>87</v>
      </c>
      <c r="B89" s="1">
        <v>1019.9945298506582</v>
      </c>
      <c r="C89" s="1">
        <v>1019.9945298506582</v>
      </c>
      <c r="D89" s="2">
        <v>46.95640741068916</v>
      </c>
      <c r="E89" s="2">
        <v>79.23392807979161</v>
      </c>
      <c r="F89" s="2">
        <v>23.396838509361459</v>
      </c>
      <c r="G89" s="2">
        <v>14.922111444229889</v>
      </c>
      <c r="H89" s="2">
        <v>79.211268275738504</v>
      </c>
      <c r="I89" s="2">
        <v>49.195644727030107</v>
      </c>
      <c r="J89" s="2">
        <v>149.22006543059319</v>
      </c>
      <c r="K89" s="2">
        <v>60.299089818122653</v>
      </c>
      <c r="L89" s="2">
        <v>7.8232501718944709</v>
      </c>
      <c r="M89" s="2">
        <v>19.787781827364331</v>
      </c>
      <c r="O89" s="6">
        <f t="shared" si="13"/>
        <v>-4.163742158147854E-3</v>
      </c>
      <c r="P89" s="6">
        <f t="shared" si="14"/>
        <v>-4.163742158147854E-3</v>
      </c>
      <c r="Q89" s="6">
        <f t="shared" si="15"/>
        <v>-6.832733878284647E-3</v>
      </c>
      <c r="R89" s="6">
        <f t="shared" si="16"/>
        <v>-6.1438976266714462E-4</v>
      </c>
      <c r="S89" s="6">
        <f t="shared" si="17"/>
        <v>-3.7249168435488089E-3</v>
      </c>
      <c r="T89" s="6">
        <f t="shared" si="18"/>
        <v>-1.6896260961685172E-3</v>
      </c>
      <c r="U89" s="6">
        <f t="shared" si="19"/>
        <v>-9.5390697717394612E-3</v>
      </c>
      <c r="V89" s="6">
        <f t="shared" si="20"/>
        <v>-6.4512614499770971E-3</v>
      </c>
      <c r="W89" s="6">
        <f t="shared" si="21"/>
        <v>-4.8025732391716591E-3</v>
      </c>
      <c r="X89" s="6">
        <f t="shared" si="22"/>
        <v>-5.9735857068264897E-3</v>
      </c>
      <c r="Y89" s="6">
        <f t="shared" si="23"/>
        <v>-5.5035729145447299E-4</v>
      </c>
      <c r="Z89" s="6">
        <f t="shared" si="24"/>
        <v>-3.0746236984527942E-3</v>
      </c>
    </row>
    <row r="90" spans="1:26" x14ac:dyDescent="0.45">
      <c r="A90">
        <v>88</v>
      </c>
      <c r="B90" s="1">
        <v>1015.7475356256388</v>
      </c>
      <c r="C90" s="1">
        <v>1015.7475356256388</v>
      </c>
      <c r="D90" s="2">
        <v>46.635566774971608</v>
      </c>
      <c r="E90" s="2">
        <v>79.185247565523483</v>
      </c>
      <c r="F90" s="2">
        <v>23.309687231512147</v>
      </c>
      <c r="G90" s="2">
        <v>14.896898655323783</v>
      </c>
      <c r="H90" s="2">
        <v>78.455666460948265</v>
      </c>
      <c r="I90" s="2">
        <v>48.878270760695848</v>
      </c>
      <c r="J90" s="2">
        <v>148.50342513760879</v>
      </c>
      <c r="K90" s="2">
        <v>59.938888037050468</v>
      </c>
      <c r="L90" s="2">
        <v>7.8189445891194964</v>
      </c>
      <c r="M90" s="2">
        <v>19.726941844418103</v>
      </c>
      <c r="O90" s="6">
        <f t="shared" si="13"/>
        <v>2.238129420242263E-4</v>
      </c>
      <c r="P90" s="6">
        <f t="shared" si="14"/>
        <v>2.238129420242263E-4</v>
      </c>
      <c r="Q90" s="6">
        <f t="shared" si="15"/>
        <v>2.7515577688816961E-3</v>
      </c>
      <c r="R90" s="6">
        <f t="shared" si="16"/>
        <v>4.6762105022835065E-4</v>
      </c>
      <c r="S90" s="6">
        <f t="shared" si="17"/>
        <v>-1.2425076786349853E-3</v>
      </c>
      <c r="T90" s="6">
        <f t="shared" si="18"/>
        <v>-9.4650801901341453E-4</v>
      </c>
      <c r="U90" s="6">
        <f t="shared" si="19"/>
        <v>-5.5961625022016293E-4</v>
      </c>
      <c r="V90" s="6">
        <f t="shared" si="20"/>
        <v>6.4043705270107054E-3</v>
      </c>
      <c r="W90" s="6">
        <f t="shared" si="21"/>
        <v>-1.3595315125851659E-3</v>
      </c>
      <c r="X90" s="6">
        <f t="shared" si="22"/>
        <v>4.6834768732084697E-4</v>
      </c>
      <c r="Y90" s="6">
        <f t="shared" si="23"/>
        <v>-2.1302266744348541E-3</v>
      </c>
      <c r="Z90" s="6">
        <f t="shared" si="24"/>
        <v>2.815064434137371E-3</v>
      </c>
    </row>
    <row r="91" spans="1:26" x14ac:dyDescent="0.45">
      <c r="A91">
        <v>89</v>
      </c>
      <c r="B91" s="1">
        <v>1015.9748730699409</v>
      </c>
      <c r="C91" s="1">
        <v>1015.9748730699409</v>
      </c>
      <c r="D91" s="2">
        <v>46.763887231037479</v>
      </c>
      <c r="E91" s="2">
        <v>79.222276254152661</v>
      </c>
      <c r="F91" s="2">
        <v>23.280724766140413</v>
      </c>
      <c r="G91" s="2">
        <v>14.882798621288089</v>
      </c>
      <c r="H91" s="2">
        <v>78.411761395074862</v>
      </c>
      <c r="I91" s="2">
        <v>49.191305317366897</v>
      </c>
      <c r="J91" s="2">
        <v>148.30153005140738</v>
      </c>
      <c r="K91" s="2">
        <v>59.966960276643206</v>
      </c>
      <c r="L91" s="2">
        <v>7.8022884647898261</v>
      </c>
      <c r="M91" s="2">
        <v>19.782474456798621</v>
      </c>
      <c r="O91" s="6">
        <f t="shared" si="13"/>
        <v>7.8582649171776708E-4</v>
      </c>
      <c r="P91" s="6">
        <f t="shared" si="14"/>
        <v>7.8582649171776708E-4</v>
      </c>
      <c r="Q91" s="6">
        <f t="shared" si="15"/>
        <v>-2.043498896431406E-3</v>
      </c>
      <c r="R91" s="6">
        <f t="shared" si="16"/>
        <v>-4.0902636378224999E-3</v>
      </c>
      <c r="S91" s="6">
        <f t="shared" si="17"/>
        <v>1.2917153521545544E-3</v>
      </c>
      <c r="T91" s="6">
        <f t="shared" si="18"/>
        <v>2.5733793200373167E-3</v>
      </c>
      <c r="U91" s="6">
        <f t="shared" si="19"/>
        <v>-5.4664052642539041E-5</v>
      </c>
      <c r="V91" s="6">
        <f t="shared" si="20"/>
        <v>5.1880220801217014E-3</v>
      </c>
      <c r="W91" s="6">
        <f t="shared" si="21"/>
        <v>-6.8159183659962652E-3</v>
      </c>
      <c r="X91" s="6">
        <f t="shared" si="22"/>
        <v>2.8418422356242257E-3</v>
      </c>
      <c r="Y91" s="6">
        <f t="shared" si="23"/>
        <v>3.3792793450984071E-3</v>
      </c>
      <c r="Z91" s="6">
        <f t="shared" si="24"/>
        <v>1.4268505139698462E-3</v>
      </c>
    </row>
    <row r="92" spans="1:26" x14ac:dyDescent="0.45">
      <c r="A92">
        <v>90</v>
      </c>
      <c r="B92" s="1">
        <v>1016.7732530401189</v>
      </c>
      <c r="C92" s="1">
        <v>1016.7732530401189</v>
      </c>
      <c r="D92" s="2">
        <v>46.668325279088009</v>
      </c>
      <c r="E92" s="2">
        <v>78.898236258284768</v>
      </c>
      <c r="F92" s="2">
        <v>23.31079683573012</v>
      </c>
      <c r="G92" s="2">
        <v>14.921097707484391</v>
      </c>
      <c r="H92" s="2">
        <v>78.407475090422167</v>
      </c>
      <c r="I92" s="2">
        <v>49.446510895503401</v>
      </c>
      <c r="J92" s="2">
        <v>147.29071892902465</v>
      </c>
      <c r="K92" s="2">
        <v>60.137376917099374</v>
      </c>
      <c r="L92" s="2">
        <v>7.8286545770433902</v>
      </c>
      <c r="M92" s="2">
        <v>19.810701090644898</v>
      </c>
      <c r="O92" s="6">
        <f t="shared" si="13"/>
        <v>1.135476184627171E-3</v>
      </c>
      <c r="P92" s="6">
        <f t="shared" si="14"/>
        <v>1.135476184627171E-3</v>
      </c>
      <c r="Q92" s="6">
        <f t="shared" si="15"/>
        <v>5.0078489798628389E-3</v>
      </c>
      <c r="R92" s="6">
        <f t="shared" si="16"/>
        <v>4.5557101774760245E-3</v>
      </c>
      <c r="S92" s="6">
        <f t="shared" si="17"/>
        <v>-1.8535715287683052E-3</v>
      </c>
      <c r="T92" s="6">
        <f t="shared" si="18"/>
        <v>-5.4779250323866435E-4</v>
      </c>
      <c r="U92" s="6">
        <f t="shared" si="19"/>
        <v>-5.1380329851472561E-3</v>
      </c>
      <c r="V92" s="6">
        <f t="shared" si="20"/>
        <v>-5.743205300951959E-3</v>
      </c>
      <c r="W92" s="6">
        <f t="shared" si="21"/>
        <v>5.0782048541180291E-3</v>
      </c>
      <c r="X92" s="6">
        <f t="shared" si="22"/>
        <v>-5.6748067260680157E-3</v>
      </c>
      <c r="Y92" s="6">
        <f t="shared" si="23"/>
        <v>6.7907762609755729E-3</v>
      </c>
      <c r="Z92" s="6">
        <f t="shared" si="24"/>
        <v>-3.7697277906896254E-3</v>
      </c>
    </row>
    <row r="93" spans="1:26" x14ac:dyDescent="0.45">
      <c r="A93">
        <v>91</v>
      </c>
      <c r="B93" s="1">
        <v>1017.9277748541118</v>
      </c>
      <c r="C93" s="1">
        <v>1017.9277748541118</v>
      </c>
      <c r="D93" s="2">
        <v>46.9020332042288</v>
      </c>
      <c r="E93" s="2">
        <v>79.257673756191551</v>
      </c>
      <c r="F93" s="2">
        <v>23.267588606402509</v>
      </c>
      <c r="G93" s="2">
        <v>14.912924042020139</v>
      </c>
      <c r="H93" s="2">
        <v>78.004614897125464</v>
      </c>
      <c r="I93" s="2">
        <v>49.162529432014765</v>
      </c>
      <c r="J93" s="2">
        <v>148.03869137285656</v>
      </c>
      <c r="K93" s="2">
        <v>59.796108926082134</v>
      </c>
      <c r="L93" s="2">
        <v>7.8818172187005544</v>
      </c>
      <c r="M93" s="2">
        <v>19.736020140190448</v>
      </c>
      <c r="O93" s="6">
        <f t="shared" si="13"/>
        <v>-2.6259005821873682E-3</v>
      </c>
      <c r="P93" s="6">
        <f t="shared" si="14"/>
        <v>-2.6259005821873682E-3</v>
      </c>
      <c r="Q93" s="6">
        <f t="shared" si="15"/>
        <v>2.7454571020690821E-4</v>
      </c>
      <c r="R93" s="6">
        <f t="shared" si="16"/>
        <v>-4.9662111702168943E-3</v>
      </c>
      <c r="S93" s="6">
        <f t="shared" si="17"/>
        <v>-3.2785295474981879E-3</v>
      </c>
      <c r="T93" s="6">
        <f t="shared" si="18"/>
        <v>-2.0100870766200929E-3</v>
      </c>
      <c r="U93" s="6">
        <f t="shared" si="19"/>
        <v>7.6265431347866119E-4</v>
      </c>
      <c r="V93" s="6">
        <f t="shared" si="20"/>
        <v>4.8335034386104425E-4</v>
      </c>
      <c r="W93" s="6">
        <f t="shared" si="21"/>
        <v>3.6091887747096152E-3</v>
      </c>
      <c r="X93" s="6">
        <f t="shared" si="22"/>
        <v>-7.8298371414590173E-3</v>
      </c>
      <c r="Y93" s="6">
        <f t="shared" si="23"/>
        <v>1.5039470876814232E-3</v>
      </c>
      <c r="Z93" s="6">
        <f t="shared" si="24"/>
        <v>-4.7853634495140795E-3</v>
      </c>
    </row>
    <row r="94" spans="1:26" x14ac:dyDescent="0.45">
      <c r="A94">
        <v>92</v>
      </c>
      <c r="B94" s="1">
        <v>1015.2547977174977</v>
      </c>
      <c r="C94" s="1">
        <v>1015.2547977174977</v>
      </c>
      <c r="D94" s="2">
        <v>46.914909956245005</v>
      </c>
      <c r="E94" s="2">
        <v>78.864063411458147</v>
      </c>
      <c r="F94" s="2">
        <v>23.191305129657387</v>
      </c>
      <c r="G94" s="2">
        <v>14.882947766128657</v>
      </c>
      <c r="H94" s="2">
        <v>78.064105453148002</v>
      </c>
      <c r="I94" s="2">
        <v>49.186292157520811</v>
      </c>
      <c r="J94" s="2">
        <v>148.57299095598216</v>
      </c>
      <c r="K94" s="2">
        <v>59.327915131497967</v>
      </c>
      <c r="L94" s="2">
        <v>7.8936710547522564</v>
      </c>
      <c r="M94" s="2">
        <v>19.641576110772707</v>
      </c>
      <c r="O94" s="6">
        <f t="shared" si="13"/>
        <v>-2.0105757237017796E-3</v>
      </c>
      <c r="P94" s="6">
        <f t="shared" si="14"/>
        <v>-2.0105757237017796E-3</v>
      </c>
      <c r="Q94" s="6">
        <f t="shared" si="15"/>
        <v>-2.1040595193559941E-3</v>
      </c>
      <c r="R94" s="6">
        <f t="shared" si="16"/>
        <v>6.3639811949278702E-3</v>
      </c>
      <c r="S94" s="6">
        <f t="shared" si="17"/>
        <v>-7.186465672376352E-4</v>
      </c>
      <c r="T94" s="6">
        <f t="shared" si="18"/>
        <v>-8.4438725922975078E-4</v>
      </c>
      <c r="U94" s="6">
        <f t="shared" si="19"/>
        <v>5.4347800398164559E-3</v>
      </c>
      <c r="V94" s="6">
        <f t="shared" si="20"/>
        <v>-1.2240841241894285E-2</v>
      </c>
      <c r="W94" s="6">
        <f t="shared" si="21"/>
        <v>-6.5167719457186468E-3</v>
      </c>
      <c r="X94" s="6">
        <f t="shared" si="22"/>
        <v>-4.3612299958932788E-3</v>
      </c>
      <c r="Y94" s="6">
        <f t="shared" si="23"/>
        <v>-4.9555136499042085E-3</v>
      </c>
      <c r="Z94" s="6">
        <f t="shared" si="24"/>
        <v>-1.5206837014047903E-3</v>
      </c>
    </row>
    <row r="95" spans="1:26" x14ac:dyDescent="0.45">
      <c r="A95">
        <v>93</v>
      </c>
      <c r="B95" s="1">
        <v>1013.2135510678352</v>
      </c>
      <c r="C95" s="1">
        <v>1013.2135510678352</v>
      </c>
      <c r="D95" s="2">
        <v>46.816198193351838</v>
      </c>
      <c r="E95" s="2">
        <v>79.365952827964264</v>
      </c>
      <c r="F95" s="2">
        <v>23.174638777836197</v>
      </c>
      <c r="G95" s="2">
        <v>14.870380794655157</v>
      </c>
      <c r="H95" s="2">
        <v>78.488366695290892</v>
      </c>
      <c r="I95" s="2">
        <v>48.584210563943167</v>
      </c>
      <c r="J95" s="2">
        <v>147.60477465662871</v>
      </c>
      <c r="K95" s="2">
        <v>59.069172448432667</v>
      </c>
      <c r="L95" s="2">
        <v>7.8545538600925777</v>
      </c>
      <c r="M95" s="2">
        <v>19.611707486111154</v>
      </c>
      <c r="O95" s="6">
        <f t="shared" si="13"/>
        <v>1.3590172394870592E-3</v>
      </c>
      <c r="P95" s="6">
        <f t="shared" si="14"/>
        <v>1.3590172394870592E-3</v>
      </c>
      <c r="Q95" s="6">
        <f t="shared" si="15"/>
        <v>2.6800800431669991E-4</v>
      </c>
      <c r="R95" s="6">
        <f t="shared" si="16"/>
        <v>-4.3064572737050444E-4</v>
      </c>
      <c r="S95" s="6">
        <f t="shared" si="17"/>
        <v>2.000400530153934E-3</v>
      </c>
      <c r="T95" s="6">
        <f t="shared" si="18"/>
        <v>2.5489174476895915E-3</v>
      </c>
      <c r="U95" s="6">
        <f t="shared" si="19"/>
        <v>3.1177177171319848E-3</v>
      </c>
      <c r="V95" s="6">
        <f t="shared" si="20"/>
        <v>-9.4442609485101414E-6</v>
      </c>
      <c r="W95" s="6">
        <f t="shared" si="21"/>
        <v>1.4447788667985018E-2</v>
      </c>
      <c r="X95" s="6">
        <f t="shared" si="22"/>
        <v>9.8394193944795205E-3</v>
      </c>
      <c r="Y95" s="6">
        <f t="shared" si="23"/>
        <v>1.7000662775632502E-3</v>
      </c>
      <c r="Z95" s="6">
        <f t="shared" si="24"/>
        <v>-2.0366856955099655E-3</v>
      </c>
    </row>
    <row r="96" spans="1:26" x14ac:dyDescent="0.45">
      <c r="A96">
        <v>94</v>
      </c>
      <c r="B96" s="1">
        <v>1014.5905257510183</v>
      </c>
      <c r="C96" s="1">
        <v>1014.5905257510183</v>
      </c>
      <c r="D96" s="2">
        <v>46.828745309199334</v>
      </c>
      <c r="E96" s="2">
        <v>79.331774219480209</v>
      </c>
      <c r="F96" s="2">
        <v>23.220997337533507</v>
      </c>
      <c r="G96" s="2">
        <v>14.908284167716442</v>
      </c>
      <c r="H96" s="2">
        <v>78.73307126672556</v>
      </c>
      <c r="I96" s="2">
        <v>48.583751721980626</v>
      </c>
      <c r="J96" s="2">
        <v>149.73733724725324</v>
      </c>
      <c r="K96" s="2">
        <v>59.650378809437633</v>
      </c>
      <c r="L96" s="2">
        <v>7.8679071222354251</v>
      </c>
      <c r="M96" s="2">
        <v>19.571764602009665</v>
      </c>
      <c r="O96" s="6">
        <f t="shared" si="13"/>
        <v>-2.5412019454003065E-3</v>
      </c>
      <c r="P96" s="6">
        <f t="shared" si="14"/>
        <v>-2.5412019454003065E-3</v>
      </c>
      <c r="Q96" s="6">
        <f t="shared" si="15"/>
        <v>-5.9691094172866777E-3</v>
      </c>
      <c r="R96" s="6">
        <f t="shared" si="16"/>
        <v>-6.4441641740914379E-3</v>
      </c>
      <c r="S96" s="6">
        <f t="shared" si="17"/>
        <v>4.4136840797337484E-4</v>
      </c>
      <c r="T96" s="6">
        <f t="shared" si="18"/>
        <v>-2.9741246355277084E-3</v>
      </c>
      <c r="U96" s="6">
        <f t="shared" si="19"/>
        <v>6.1494802900123879E-3</v>
      </c>
      <c r="V96" s="6">
        <f t="shared" si="20"/>
        <v>1.1015922734243233E-3</v>
      </c>
      <c r="W96" s="6">
        <f t="shared" si="21"/>
        <v>1.2794230394055361E-3</v>
      </c>
      <c r="X96" s="6">
        <f t="shared" si="22"/>
        <v>-5.2950501316176846E-3</v>
      </c>
      <c r="Y96" s="6">
        <f t="shared" si="23"/>
        <v>-1.3076967240610915E-2</v>
      </c>
      <c r="Z96" s="6">
        <f t="shared" si="24"/>
        <v>-3.4435194485791243E-3</v>
      </c>
    </row>
    <row r="97" spans="1:26" x14ac:dyDescent="0.45">
      <c r="A97">
        <v>95</v>
      </c>
      <c r="B97" s="1">
        <v>1012.0122463331951</v>
      </c>
      <c r="C97" s="1">
        <v>1012.0122463331951</v>
      </c>
      <c r="D97" s="2">
        <v>46.549219404574472</v>
      </c>
      <c r="E97" s="2">
        <v>78.820547242187928</v>
      </c>
      <c r="F97" s="2">
        <v>23.231246352159928</v>
      </c>
      <c r="G97" s="2">
        <v>14.863945072499789</v>
      </c>
      <c r="H97" s="2">
        <v>79.217238736652433</v>
      </c>
      <c r="I97" s="2">
        <v>48.637271207491523</v>
      </c>
      <c r="J97" s="2">
        <v>149.9289146463866</v>
      </c>
      <c r="K97" s="2">
        <v>59.334527063271679</v>
      </c>
      <c r="L97" s="2">
        <v>7.7650187585457831</v>
      </c>
      <c r="M97" s="2">
        <v>19.504368849959633</v>
      </c>
      <c r="O97" s="6">
        <f t="shared" si="13"/>
        <v>9.0552576525571027E-4</v>
      </c>
      <c r="P97" s="6">
        <f t="shared" si="14"/>
        <v>9.0552576525571027E-4</v>
      </c>
      <c r="Q97" s="6">
        <f t="shared" si="15"/>
        <v>4.0651395410251645E-4</v>
      </c>
      <c r="R97" s="6">
        <f t="shared" si="16"/>
        <v>3.6724909081677914E-3</v>
      </c>
      <c r="S97" s="6">
        <f t="shared" si="17"/>
        <v>1.1146203430083546E-3</v>
      </c>
      <c r="T97" s="6">
        <f t="shared" si="18"/>
        <v>1.4981539964420421E-4</v>
      </c>
      <c r="U97" s="6">
        <f t="shared" si="19"/>
        <v>8.0887608135404854E-3</v>
      </c>
      <c r="V97" s="6">
        <f t="shared" si="20"/>
        <v>8.5521617174166842E-4</v>
      </c>
      <c r="W97" s="6">
        <f t="shared" si="21"/>
        <v>1.2918650745847859E-3</v>
      </c>
      <c r="X97" s="6">
        <f t="shared" si="22"/>
        <v>1.9103859368849729E-3</v>
      </c>
      <c r="Y97" s="6">
        <f t="shared" si="23"/>
        <v>-1.2146236971398716E-3</v>
      </c>
      <c r="Z97" s="6">
        <f t="shared" si="24"/>
        <v>4.9213540109116494E-5</v>
      </c>
    </row>
    <row r="98" spans="1:26" x14ac:dyDescent="0.45">
      <c r="A98">
        <v>96</v>
      </c>
      <c r="B98" s="1">
        <v>1012.9286494970041</v>
      </c>
      <c r="C98" s="1">
        <v>1012.9286494970041</v>
      </c>
      <c r="D98" s="2">
        <v>46.568142311815009</v>
      </c>
      <c r="E98" s="2">
        <v>79.110014985311679</v>
      </c>
      <c r="F98" s="2">
        <v>23.257140371937485</v>
      </c>
      <c r="G98" s="2">
        <v>14.866171920371114</v>
      </c>
      <c r="H98" s="2">
        <v>79.858008033102351</v>
      </c>
      <c r="I98" s="2">
        <v>48.678866588377552</v>
      </c>
      <c r="J98" s="2">
        <v>150.12260257488867</v>
      </c>
      <c r="K98" s="2">
        <v>59.447878909345071</v>
      </c>
      <c r="L98" s="2">
        <v>7.7555871827529179</v>
      </c>
      <c r="M98" s="2">
        <v>19.505328728998332</v>
      </c>
      <c r="O98" s="6">
        <f t="shared" si="13"/>
        <v>7.2871602068191876E-4</v>
      </c>
      <c r="P98" s="6">
        <f t="shared" si="14"/>
        <v>7.2871602068191876E-4</v>
      </c>
      <c r="Q98" s="6">
        <f t="shared" si="15"/>
        <v>6.6809157961442711E-3</v>
      </c>
      <c r="R98" s="6">
        <f t="shared" si="16"/>
        <v>4.2190183782326862E-3</v>
      </c>
      <c r="S98" s="6">
        <f t="shared" si="17"/>
        <v>-1.5146473306408836E-3</v>
      </c>
      <c r="T98" s="6">
        <f t="shared" si="18"/>
        <v>-1.2862072176322847E-5</v>
      </c>
      <c r="U98" s="6">
        <f t="shared" si="19"/>
        <v>-5.6534160124268595E-3</v>
      </c>
      <c r="V98" s="6">
        <f t="shared" si="20"/>
        <v>9.2151689919162116E-4</v>
      </c>
      <c r="W98" s="6">
        <f t="shared" si="21"/>
        <v>4.1843608971481316E-4</v>
      </c>
      <c r="X98" s="6">
        <f t="shared" si="22"/>
        <v>-3.2031286309360807E-3</v>
      </c>
      <c r="Y98" s="6">
        <f t="shared" si="23"/>
        <v>-3.542598585904555E-3</v>
      </c>
      <c r="Z98" s="6">
        <f t="shared" si="24"/>
        <v>2.9705175463425881E-3</v>
      </c>
    </row>
    <row r="99" spans="1:26" x14ac:dyDescent="0.45">
      <c r="A99">
        <v>97</v>
      </c>
      <c r="B99" s="1">
        <v>1013.6667868317003</v>
      </c>
      <c r="C99" s="1">
        <v>1013.6667868317003</v>
      </c>
      <c r="D99" s="2">
        <v>46.879260149383107</v>
      </c>
      <c r="E99" s="2">
        <v>79.443781592436977</v>
      </c>
      <c r="F99" s="2">
        <v>23.22191400635479</v>
      </c>
      <c r="G99" s="2">
        <v>14.865980710594888</v>
      </c>
      <c r="H99" s="2">
        <v>79.406537491767494</v>
      </c>
      <c r="I99" s="2">
        <v>48.723724986572236</v>
      </c>
      <c r="J99" s="2">
        <v>150.18541928968793</v>
      </c>
      <c r="K99" s="2">
        <v>59.257459706362127</v>
      </c>
      <c r="L99" s="2">
        <v>7.7281122505664381</v>
      </c>
      <c r="M99" s="2">
        <v>19.563269650235004</v>
      </c>
      <c r="O99" s="6">
        <f t="shared" si="13"/>
        <v>2.3129925818992092E-3</v>
      </c>
      <c r="P99" s="6">
        <f t="shared" si="14"/>
        <v>2.3129925818992092E-3</v>
      </c>
      <c r="Q99" s="6">
        <f t="shared" si="15"/>
        <v>-7.1135942963929111E-5</v>
      </c>
      <c r="R99" s="6">
        <f t="shared" si="16"/>
        <v>-2.9164055287781432E-3</v>
      </c>
      <c r="S99" s="6">
        <f t="shared" si="17"/>
        <v>2.1713875037268071E-3</v>
      </c>
      <c r="T99" s="6">
        <f t="shared" si="18"/>
        <v>3.5272429413282236E-3</v>
      </c>
      <c r="U99" s="6">
        <f t="shared" si="19"/>
        <v>1.0785527257088035E-2</v>
      </c>
      <c r="V99" s="6">
        <f t="shared" si="20"/>
        <v>3.6699850819437163E-3</v>
      </c>
      <c r="W99" s="6">
        <f t="shared" si="21"/>
        <v>1.0109865397822659E-2</v>
      </c>
      <c r="X99" s="6">
        <f t="shared" si="22"/>
        <v>6.8258721246949872E-3</v>
      </c>
      <c r="Y99" s="6">
        <f t="shared" si="23"/>
        <v>1.1441928962683257E-3</v>
      </c>
      <c r="Z99" s="6">
        <f t="shared" si="24"/>
        <v>4.4334442898730231E-4</v>
      </c>
    </row>
    <row r="100" spans="1:26" x14ac:dyDescent="0.45">
      <c r="A100">
        <v>98</v>
      </c>
      <c r="B100" s="1">
        <v>1016.0113905901596</v>
      </c>
      <c r="C100" s="1">
        <v>1016.0113905901596</v>
      </c>
      <c r="D100" s="2">
        <v>46.875925349006927</v>
      </c>
      <c r="E100" s="2">
        <v>79.212091308573747</v>
      </c>
      <c r="F100" s="2">
        <v>23.272337780240807</v>
      </c>
      <c r="G100" s="2">
        <v>14.918416636122256</v>
      </c>
      <c r="H100" s="2">
        <v>80.26297886627593</v>
      </c>
      <c r="I100" s="2">
        <v>48.902540330409686</v>
      </c>
      <c r="J100" s="2">
        <v>151.70377366342223</v>
      </c>
      <c r="K100" s="2">
        <v>59.661943548752021</v>
      </c>
      <c r="L100" s="2">
        <v>7.7369547017051001</v>
      </c>
      <c r="M100" s="2">
        <v>19.571942916847213</v>
      </c>
      <c r="O100" s="6">
        <f t="shared" si="13"/>
        <v>-1.7616101762639724E-3</v>
      </c>
      <c r="P100" s="6">
        <f t="shared" si="14"/>
        <v>-1.7616101762639724E-3</v>
      </c>
      <c r="Q100" s="6">
        <f t="shared" si="15"/>
        <v>2.4191193993461368E-4</v>
      </c>
      <c r="R100" s="6">
        <f t="shared" si="16"/>
        <v>-3.8451758220697796E-3</v>
      </c>
      <c r="S100" s="6">
        <f t="shared" si="17"/>
        <v>-1.8600925433964743E-3</v>
      </c>
      <c r="T100" s="6">
        <f t="shared" si="18"/>
        <v>-5.2537213425164486E-3</v>
      </c>
      <c r="U100" s="6">
        <f t="shared" si="19"/>
        <v>-6.0288428677839345E-3</v>
      </c>
      <c r="V100" s="6">
        <f t="shared" si="20"/>
        <v>-2.1359490383954238E-4</v>
      </c>
      <c r="W100" s="6">
        <f t="shared" si="21"/>
        <v>1.8866058295383681E-3</v>
      </c>
      <c r="X100" s="6">
        <f t="shared" si="22"/>
        <v>-1.3387556140331824E-6</v>
      </c>
      <c r="Y100" s="6">
        <f t="shared" si="23"/>
        <v>5.2731139897299606E-4</v>
      </c>
      <c r="Z100" s="6">
        <f t="shared" si="24"/>
        <v>-1.1240533346255077E-3</v>
      </c>
    </row>
    <row r="101" spans="1:26" x14ac:dyDescent="0.45">
      <c r="A101">
        <v>99</v>
      </c>
      <c r="B101" s="1">
        <v>1014.2215745852959</v>
      </c>
      <c r="C101" s="1">
        <v>1014.2215745852959</v>
      </c>
      <c r="D101" s="2">
        <v>46.887265195044336</v>
      </c>
      <c r="E101" s="2">
        <v>78.907506890258432</v>
      </c>
      <c r="F101" s="2">
        <v>23.229049078268378</v>
      </c>
      <c r="G101" s="2">
        <v>14.840039432244508</v>
      </c>
      <c r="H101" s="2">
        <v>79.779085978590885</v>
      </c>
      <c r="I101" s="2">
        <v>48.892094997010304</v>
      </c>
      <c r="J101" s="2">
        <v>151.98997888717861</v>
      </c>
      <c r="K101" s="2">
        <v>59.661863675990148</v>
      </c>
      <c r="L101" s="2">
        <v>7.741034486112647</v>
      </c>
      <c r="M101" s="2">
        <v>19.549943009146432</v>
      </c>
      <c r="O101" s="6">
        <f t="shared" si="13"/>
        <v>-2.6257430864738973E-3</v>
      </c>
      <c r="P101" s="6">
        <f t="shared" si="14"/>
        <v>-2.6257430864738973E-3</v>
      </c>
      <c r="Q101" s="6">
        <f t="shared" si="15"/>
        <v>1.6525337505481907E-3</v>
      </c>
      <c r="R101" s="6">
        <f t="shared" si="16"/>
        <v>-1.4246410205895899E-3</v>
      </c>
      <c r="S101" s="6">
        <f t="shared" si="17"/>
        <v>-2.9044037533944023E-3</v>
      </c>
      <c r="T101" s="6">
        <f t="shared" si="18"/>
        <v>-5.9738965096667318E-3</v>
      </c>
      <c r="U101" s="6">
        <f t="shared" si="19"/>
        <v>-8.6687578463454651E-3</v>
      </c>
      <c r="V101" s="6">
        <f t="shared" si="20"/>
        <v>1.2064906504971606E-3</v>
      </c>
      <c r="W101" s="6">
        <f t="shared" si="21"/>
        <v>-5.6978605898712065E-3</v>
      </c>
      <c r="X101" s="6">
        <f t="shared" si="22"/>
        <v>-1.8835189677014474E-3</v>
      </c>
      <c r="Y101" s="6">
        <f t="shared" si="23"/>
        <v>-1.2083381549259364E-3</v>
      </c>
      <c r="Z101" s="6">
        <f t="shared" si="24"/>
        <v>-7.9491278390872999E-3</v>
      </c>
    </row>
    <row r="102" spans="1:26" x14ac:dyDescent="0.45">
      <c r="A102">
        <v>100</v>
      </c>
      <c r="B102" s="1">
        <v>1011.5584892976759</v>
      </c>
      <c r="C102" s="1">
        <v>1011.5584892976759</v>
      </c>
      <c r="D102" s="2">
        <v>46.964747983250049</v>
      </c>
      <c r="E102" s="2">
        <v>78.795092019110115</v>
      </c>
      <c r="F102" s="2">
        <v>23.161582540937673</v>
      </c>
      <c r="G102" s="2">
        <v>14.751386572476905</v>
      </c>
      <c r="H102" s="2">
        <v>79.087500401039705</v>
      </c>
      <c r="I102" s="2">
        <v>48.951082852507419</v>
      </c>
      <c r="J102" s="2">
        <v>151.123961176422</v>
      </c>
      <c r="K102" s="2">
        <v>59.549489424108003</v>
      </c>
      <c r="L102" s="2">
        <v>7.7316806987844799</v>
      </c>
      <c r="M102" s="2">
        <v>19.394538012919856</v>
      </c>
      <c r="O102" s="6">
        <f t="shared" si="13"/>
        <v>2.0052066183722239E-3</v>
      </c>
      <c r="P102" s="6">
        <f t="shared" si="14"/>
        <v>2.0052066183722239E-3</v>
      </c>
      <c r="Q102" s="6">
        <f t="shared" si="15"/>
        <v>-1.3950806672093918E-3</v>
      </c>
      <c r="R102" s="6">
        <f t="shared" si="16"/>
        <v>6.759365990778754E-3</v>
      </c>
      <c r="S102" s="6">
        <f t="shared" si="17"/>
        <v>1.074633698016525E-3</v>
      </c>
      <c r="T102" s="6">
        <f t="shared" si="18"/>
        <v>1.4020455283803024E-4</v>
      </c>
      <c r="U102" s="6">
        <f t="shared" si="19"/>
        <v>3.0520293075702032E-3</v>
      </c>
      <c r="V102" s="6">
        <f t="shared" si="20"/>
        <v>5.433067010779169E-3</v>
      </c>
      <c r="W102" s="6">
        <f t="shared" si="21"/>
        <v>3.7317321801304537E-3</v>
      </c>
      <c r="X102" s="6">
        <f t="shared" si="22"/>
        <v>-2.9428967346656343E-4</v>
      </c>
      <c r="Y102" s="6">
        <f t="shared" si="23"/>
        <v>2.6560978971028604E-3</v>
      </c>
      <c r="Z102" s="6">
        <f t="shared" si="24"/>
        <v>9.0718134337663958E-3</v>
      </c>
    </row>
    <row r="103" spans="1:26" x14ac:dyDescent="0.45">
      <c r="A103">
        <v>101</v>
      </c>
      <c r="B103" s="1">
        <v>1013.5868730752862</v>
      </c>
      <c r="C103" s="1">
        <v>1013.5868730752862</v>
      </c>
      <c r="D103" s="2">
        <v>46.899228371298257</v>
      </c>
      <c r="E103" s="2">
        <v>79.327696884344377</v>
      </c>
      <c r="F103" s="2">
        <v>23.186472758035556</v>
      </c>
      <c r="G103" s="2">
        <v>14.753454784035041</v>
      </c>
      <c r="H103" s="2">
        <v>79.328877770126155</v>
      </c>
      <c r="I103" s="2">
        <v>49.217037365895294</v>
      </c>
      <c r="J103" s="2">
        <v>151.68791532553283</v>
      </c>
      <c r="K103" s="2">
        <v>59.531964624310284</v>
      </c>
      <c r="L103" s="2">
        <v>7.7522167996295925</v>
      </c>
      <c r="M103" s="2">
        <v>19.570481643407156</v>
      </c>
      <c r="O103" s="6">
        <f t="shared" si="13"/>
        <v>5.8607397982135545E-4</v>
      </c>
      <c r="P103" s="6">
        <f t="shared" si="14"/>
        <v>5.8607397982135545E-4</v>
      </c>
      <c r="Q103" s="6">
        <f t="shared" si="15"/>
        <v>6.6913436819748817E-3</v>
      </c>
      <c r="R103" s="6">
        <f t="shared" si="16"/>
        <v>8.0279159699490066E-3</v>
      </c>
      <c r="S103" s="6">
        <f t="shared" si="17"/>
        <v>2.9659008207847393E-3</v>
      </c>
      <c r="T103" s="6">
        <f t="shared" si="18"/>
        <v>-2.5412903562274103E-3</v>
      </c>
      <c r="U103" s="6">
        <f t="shared" si="19"/>
        <v>-1.9791354972233943E-3</v>
      </c>
      <c r="V103" s="6">
        <f t="shared" si="20"/>
        <v>6.0082964576397835E-3</v>
      </c>
      <c r="W103" s="6">
        <f t="shared" si="21"/>
        <v>-4.495493029009423E-3</v>
      </c>
      <c r="X103" s="6">
        <f t="shared" si="22"/>
        <v>5.540922032473139E-3</v>
      </c>
      <c r="Y103" s="6">
        <f t="shared" si="23"/>
        <v>-1.9397760653696583E-3</v>
      </c>
      <c r="Z103" s="6">
        <f t="shared" si="24"/>
        <v>1.7937947066246629E-3</v>
      </c>
    </row>
    <row r="104" spans="1:26" x14ac:dyDescent="0.45">
      <c r="A104">
        <v>102</v>
      </c>
      <c r="B104" s="1">
        <v>1014.1809099678842</v>
      </c>
      <c r="C104" s="1">
        <v>1014.1809099678842</v>
      </c>
      <c r="D104" s="2">
        <v>47.213047226750042</v>
      </c>
      <c r="E104" s="2">
        <v>79.964532969021477</v>
      </c>
      <c r="F104" s="2">
        <v>23.255241536619717</v>
      </c>
      <c r="G104" s="2">
        <v>14.715961971671335</v>
      </c>
      <c r="H104" s="2">
        <v>79.171875172176399</v>
      </c>
      <c r="I104" s="2">
        <v>49.512747917156325</v>
      </c>
      <c r="J104" s="2">
        <v>151.00600335960192</v>
      </c>
      <c r="K104" s="2">
        <v>59.861826598733536</v>
      </c>
      <c r="L104" s="2">
        <v>7.7371792350281146</v>
      </c>
      <c r="M104" s="2">
        <v>19.605587069785194</v>
      </c>
      <c r="O104" s="6">
        <f t="shared" si="13"/>
        <v>5.2441973136274633E-4</v>
      </c>
      <c r="P104" s="6">
        <f t="shared" si="14"/>
        <v>5.2441973136274633E-4</v>
      </c>
      <c r="Q104" s="6">
        <f t="shared" si="15"/>
        <v>5.3556514009689415E-4</v>
      </c>
      <c r="R104" s="6">
        <f t="shared" si="16"/>
        <v>3.0439326995694849E-3</v>
      </c>
      <c r="S104" s="6">
        <f t="shared" si="17"/>
        <v>2.2825806008996974E-3</v>
      </c>
      <c r="T104" s="6">
        <f t="shared" si="18"/>
        <v>6.0484016045680988E-4</v>
      </c>
      <c r="U104" s="6">
        <f t="shared" si="19"/>
        <v>4.5613217934532546E-3</v>
      </c>
      <c r="V104" s="6">
        <f t="shared" si="20"/>
        <v>1.7250542490614418E-3</v>
      </c>
      <c r="W104" s="6">
        <f t="shared" si="21"/>
        <v>4.1875674677567254E-3</v>
      </c>
      <c r="X104" s="6">
        <f t="shared" si="22"/>
        <v>-1.0307726455772936E-2</v>
      </c>
      <c r="Y104" s="6">
        <f t="shared" si="23"/>
        <v>-4.7714715740255764E-3</v>
      </c>
      <c r="Z104" s="6">
        <f t="shared" si="24"/>
        <v>2.1587158977507404E-3</v>
      </c>
    </row>
    <row r="105" spans="1:26" x14ac:dyDescent="0.45">
      <c r="A105">
        <v>103</v>
      </c>
      <c r="B105" s="1">
        <v>1014.7127664482427</v>
      </c>
      <c r="C105" s="1">
        <v>1014.7127664482427</v>
      </c>
      <c r="D105" s="2">
        <v>47.238332889002436</v>
      </c>
      <c r="E105" s="2">
        <v>80.207939625731683</v>
      </c>
      <c r="F105" s="2">
        <v>23.308323499820442</v>
      </c>
      <c r="G105" s="2">
        <v>14.724862776471557</v>
      </c>
      <c r="H105" s="2">
        <v>79.533003571827805</v>
      </c>
      <c r="I105" s="2">
        <v>49.598160093333526</v>
      </c>
      <c r="J105" s="2">
        <v>151.63835118670656</v>
      </c>
      <c r="K105" s="2">
        <v>59.244787265010878</v>
      </c>
      <c r="L105" s="2">
        <v>7.7002615042450371</v>
      </c>
      <c r="M105" s="2">
        <v>19.647909962277478</v>
      </c>
      <c r="O105" s="6">
        <f t="shared" si="13"/>
        <v>-2.0716392643328474E-3</v>
      </c>
      <c r="P105" s="6">
        <f t="shared" si="14"/>
        <v>-2.0716392643328474E-3</v>
      </c>
      <c r="Q105" s="6">
        <f t="shared" si="15"/>
        <v>1.1534558342665147E-3</v>
      </c>
      <c r="R105" s="6">
        <f t="shared" si="16"/>
        <v>-5.9889802428186867E-3</v>
      </c>
      <c r="S105" s="6">
        <f t="shared" si="17"/>
        <v>2.7158900660051444E-4</v>
      </c>
      <c r="T105" s="6">
        <f t="shared" si="18"/>
        <v>2.4753641624575273E-4</v>
      </c>
      <c r="U105" s="6">
        <f t="shared" si="19"/>
        <v>-1.0221192107834121E-2</v>
      </c>
      <c r="V105" s="6">
        <f t="shared" si="20"/>
        <v>-2.3347087305167769E-3</v>
      </c>
      <c r="W105" s="6">
        <f t="shared" si="21"/>
        <v>-1.0991271778884371E-2</v>
      </c>
      <c r="X105" s="6">
        <f t="shared" si="22"/>
        <v>5.635861636979822E-3</v>
      </c>
      <c r="Y105" s="6">
        <f t="shared" si="23"/>
        <v>-3.8948248264066843E-3</v>
      </c>
      <c r="Z105" s="6">
        <f t="shared" si="24"/>
        <v>1.1097234241910225E-3</v>
      </c>
    </row>
    <row r="106" spans="1:26" x14ac:dyDescent="0.45">
      <c r="A106">
        <v>104</v>
      </c>
      <c r="B106" s="1">
        <v>1012.6106476392488</v>
      </c>
      <c r="C106" s="1">
        <v>1012.6106476392488</v>
      </c>
      <c r="D106" s="2">
        <v>47.292820219674283</v>
      </c>
      <c r="E106" s="2">
        <v>79.72757585999598</v>
      </c>
      <c r="F106" s="2">
        <v>23.314653784245284</v>
      </c>
      <c r="G106" s="2">
        <v>14.728507716232956</v>
      </c>
      <c r="H106" s="2">
        <v>78.720081463407098</v>
      </c>
      <c r="I106" s="2">
        <v>49.482362835946049</v>
      </c>
      <c r="J106" s="2">
        <v>149.97165285671156</v>
      </c>
      <c r="K106" s="2">
        <v>59.578682688748785</v>
      </c>
      <c r="L106" s="2">
        <v>7.67027033456848</v>
      </c>
      <c r="M106" s="2">
        <v>19.669713708199012</v>
      </c>
      <c r="O106" s="6">
        <f t="shared" si="13"/>
        <v>-1.4059860617876563E-3</v>
      </c>
      <c r="P106" s="6">
        <f t="shared" si="14"/>
        <v>-1.4059860617876563E-3</v>
      </c>
      <c r="Q106" s="6">
        <f t="shared" si="15"/>
        <v>-3.3640340906132549E-3</v>
      </c>
      <c r="R106" s="6">
        <f t="shared" si="16"/>
        <v>-2.3536718656756994E-3</v>
      </c>
      <c r="S106" s="6">
        <f t="shared" si="17"/>
        <v>-2.4117102968479465E-4</v>
      </c>
      <c r="T106" s="6">
        <f t="shared" si="18"/>
        <v>2.0334811220161786E-3</v>
      </c>
      <c r="U106" s="6">
        <f t="shared" si="19"/>
        <v>1.3373463701937816E-4</v>
      </c>
      <c r="V106" s="6">
        <f t="shared" si="20"/>
        <v>2.5494349635057922E-4</v>
      </c>
      <c r="W106" s="6">
        <f t="shared" si="21"/>
        <v>3.3008822620261835E-3</v>
      </c>
      <c r="X106" s="6">
        <f t="shared" si="22"/>
        <v>2.4216963062517749E-4</v>
      </c>
      <c r="Y106" s="6">
        <f t="shared" si="23"/>
        <v>-8.8115434667668247E-4</v>
      </c>
      <c r="Z106" s="6">
        <f t="shared" si="24"/>
        <v>-1.2969212825166831E-3</v>
      </c>
    </row>
    <row r="107" spans="1:26" x14ac:dyDescent="0.45">
      <c r="A107">
        <v>105</v>
      </c>
      <c r="B107" s="1">
        <v>1011.1869311826503</v>
      </c>
      <c r="C107" s="1">
        <v>1011.1869311826503</v>
      </c>
      <c r="D107" s="2">
        <v>47.133725560214053</v>
      </c>
      <c r="E107" s="2">
        <v>79.53992330777578</v>
      </c>
      <c r="F107" s="2">
        <v>23.309030965185393</v>
      </c>
      <c r="G107" s="2">
        <v>14.758457858629386</v>
      </c>
      <c r="H107" s="2">
        <v>78.730609064927748</v>
      </c>
      <c r="I107" s="2">
        <v>49.494978042535131</v>
      </c>
      <c r="J107" s="2">
        <v>150.46669162543301</v>
      </c>
      <c r="K107" s="2">
        <v>59.593110836328655</v>
      </c>
      <c r="L107" s="2">
        <v>7.6635116425229901</v>
      </c>
      <c r="M107" s="2">
        <v>19.64420363786984</v>
      </c>
      <c r="O107" s="6">
        <f t="shared" si="13"/>
        <v>-2.6300303321109553E-3</v>
      </c>
      <c r="P107" s="6">
        <f t="shared" si="14"/>
        <v>-2.6300303321109553E-3</v>
      </c>
      <c r="Q107" s="6">
        <f t="shared" si="15"/>
        <v>-1.0902623162329927E-3</v>
      </c>
      <c r="R107" s="6">
        <f t="shared" si="16"/>
        <v>2.8678590170221341E-3</v>
      </c>
      <c r="S107" s="6">
        <f t="shared" si="17"/>
        <v>-3.2302809797961629E-3</v>
      </c>
      <c r="T107" s="6">
        <f t="shared" si="18"/>
        <v>-3.1499549404380156E-3</v>
      </c>
      <c r="U107" s="6">
        <f t="shared" si="19"/>
        <v>-1.472395963696238E-2</v>
      </c>
      <c r="V107" s="6">
        <f t="shared" si="20"/>
        <v>2.5571921721079249E-3</v>
      </c>
      <c r="W107" s="6">
        <f t="shared" si="21"/>
        <v>-4.2164843813313757E-3</v>
      </c>
      <c r="X107" s="6">
        <f t="shared" si="22"/>
        <v>-7.6900421038939015E-3</v>
      </c>
      <c r="Y107" s="6">
        <f t="shared" si="23"/>
        <v>4.4557157606568421E-3</v>
      </c>
      <c r="Z107" s="6">
        <f t="shared" si="24"/>
        <v>-2.7112187809484878E-3</v>
      </c>
    </row>
    <row r="108" spans="1:26" x14ac:dyDescent="0.45">
      <c r="A108">
        <v>106</v>
      </c>
      <c r="B108" s="1">
        <v>1008.5274788822057</v>
      </c>
      <c r="C108" s="1">
        <v>1008.5274788822057</v>
      </c>
      <c r="D108" s="2">
        <v>47.082337435412086</v>
      </c>
      <c r="E108" s="2">
        <v>79.768032594047227</v>
      </c>
      <c r="F108" s="2">
        <v>23.233736245801076</v>
      </c>
      <c r="G108" s="2">
        <v>14.71196938138435</v>
      </c>
      <c r="H108" s="2">
        <v>77.571382754862285</v>
      </c>
      <c r="I108" s="2">
        <v>49.621546212944153</v>
      </c>
      <c r="J108" s="2">
        <v>149.83225117028377</v>
      </c>
      <c r="K108" s="2">
        <v>59.134837304895271</v>
      </c>
      <c r="L108" s="2">
        <v>7.6976580721305572</v>
      </c>
      <c r="M108" s="2">
        <v>19.59094390403007</v>
      </c>
      <c r="O108" s="6">
        <f t="shared" si="13"/>
        <v>3.3321564560979677E-3</v>
      </c>
      <c r="P108" s="6">
        <f t="shared" si="14"/>
        <v>3.3321564560979677E-3</v>
      </c>
      <c r="Q108" s="6">
        <f t="shared" si="15"/>
        <v>3.2827599089584325E-3</v>
      </c>
      <c r="R108" s="6">
        <f t="shared" si="16"/>
        <v>5.9975284340849644E-3</v>
      </c>
      <c r="S108" s="6">
        <f t="shared" si="17"/>
        <v>-1.3938622827911473E-3</v>
      </c>
      <c r="T108" s="6">
        <f t="shared" si="18"/>
        <v>6.0053734887535182E-3</v>
      </c>
      <c r="U108" s="6">
        <f t="shared" si="19"/>
        <v>7.8044380846926664E-3</v>
      </c>
      <c r="V108" s="6">
        <f t="shared" si="20"/>
        <v>2.934922623749614E-3</v>
      </c>
      <c r="W108" s="6">
        <f t="shared" si="21"/>
        <v>5.1930715994659149E-3</v>
      </c>
      <c r="X108" s="6">
        <f t="shared" si="22"/>
        <v>8.725764634386346E-3</v>
      </c>
      <c r="Y108" s="6">
        <f t="shared" si="23"/>
        <v>-4.0121101785728364E-4</v>
      </c>
      <c r="Z108" s="6">
        <f t="shared" si="24"/>
        <v>7.2404551326556987E-3</v>
      </c>
    </row>
    <row r="109" spans="1:26" x14ac:dyDescent="0.45">
      <c r="A109">
        <v>107</v>
      </c>
      <c r="B109" s="1">
        <v>1011.8880502321153</v>
      </c>
      <c r="C109" s="1">
        <v>1011.8880502321153</v>
      </c>
      <c r="D109" s="2">
        <v>47.236897445165113</v>
      </c>
      <c r="E109" s="2">
        <v>80.246443637661045</v>
      </c>
      <c r="F109" s="2">
        <v>23.201351617159737</v>
      </c>
      <c r="G109" s="2">
        <v>14.800320252274668</v>
      </c>
      <c r="H109" s="2">
        <v>78.176783808716607</v>
      </c>
      <c r="I109" s="2">
        <v>49.767181611549958</v>
      </c>
      <c r="J109" s="2">
        <v>150.61034077852023</v>
      </c>
      <c r="K109" s="2">
        <v>59.650833976910519</v>
      </c>
      <c r="L109" s="2">
        <v>7.6945696869003202</v>
      </c>
      <c r="M109" s="2">
        <v>19.732791254373574</v>
      </c>
      <c r="O109" s="6">
        <f t="shared" si="13"/>
        <v>-2.1823866619515853E-3</v>
      </c>
      <c r="P109" s="6">
        <f t="shared" si="14"/>
        <v>-2.1823866619515853E-3</v>
      </c>
      <c r="Q109" s="6">
        <f t="shared" si="15"/>
        <v>-1.8182501489778513E-3</v>
      </c>
      <c r="R109" s="6">
        <f t="shared" si="16"/>
        <v>1.2014084564586636E-3</v>
      </c>
      <c r="S109" s="6">
        <f t="shared" si="17"/>
        <v>1.0448909965354858E-4</v>
      </c>
      <c r="T109" s="6">
        <f t="shared" si="18"/>
        <v>-1.9031708446811679E-3</v>
      </c>
      <c r="U109" s="6">
        <f t="shared" si="19"/>
        <v>5.9706747386756298E-4</v>
      </c>
      <c r="V109" s="6">
        <f t="shared" si="20"/>
        <v>-4.3105417710518346E-3</v>
      </c>
      <c r="W109" s="6">
        <f t="shared" si="21"/>
        <v>-1.6280944778777062E-3</v>
      </c>
      <c r="X109" s="6">
        <f t="shared" si="22"/>
        <v>2.5815982995809339E-3</v>
      </c>
      <c r="Y109" s="6">
        <f t="shared" si="23"/>
        <v>-9.61124780573408E-3</v>
      </c>
      <c r="Z109" s="6">
        <f t="shared" si="24"/>
        <v>-1.2989196840857975E-3</v>
      </c>
    </row>
    <row r="110" spans="1:26" x14ac:dyDescent="0.45">
      <c r="A110">
        <v>108</v>
      </c>
      <c r="B110" s="1">
        <v>1009.6797192479006</v>
      </c>
      <c r="C110" s="1">
        <v>1009.6797192479006</v>
      </c>
      <c r="D110" s="2">
        <v>47.151008949348189</v>
      </c>
      <c r="E110" s="2">
        <v>80.342852393648059</v>
      </c>
      <c r="F110" s="2">
        <v>23.203775905500958</v>
      </c>
      <c r="G110" s="2">
        <v>14.772152714278594</v>
      </c>
      <c r="H110" s="2">
        <v>78.223460623540362</v>
      </c>
      <c r="I110" s="2">
        <v>49.552658096385848</v>
      </c>
      <c r="J110" s="2">
        <v>150.36513291438743</v>
      </c>
      <c r="K110" s="2">
        <v>59.804828468473893</v>
      </c>
      <c r="L110" s="2">
        <v>7.6206152708810313</v>
      </c>
      <c r="M110" s="2">
        <v>19.707159943391311</v>
      </c>
      <c r="O110" s="6">
        <f t="shared" si="13"/>
        <v>-1.8432523673681533E-3</v>
      </c>
      <c r="P110" s="6">
        <f t="shared" si="14"/>
        <v>-1.8432523673681533E-3</v>
      </c>
      <c r="Q110" s="6">
        <f t="shared" si="15"/>
        <v>-1.3084330233432695E-3</v>
      </c>
      <c r="R110" s="6">
        <f t="shared" si="16"/>
        <v>-5.2328281850755332E-4</v>
      </c>
      <c r="S110" s="6">
        <f t="shared" si="17"/>
        <v>-6.8354911734506141E-3</v>
      </c>
      <c r="T110" s="6">
        <f t="shared" si="18"/>
        <v>-7.3721434745391834E-3</v>
      </c>
      <c r="U110" s="6">
        <f t="shared" si="19"/>
        <v>-4.4262208055305674E-3</v>
      </c>
      <c r="V110" s="6">
        <f t="shared" si="20"/>
        <v>-8.1176432574040502E-3</v>
      </c>
      <c r="W110" s="6">
        <f t="shared" si="21"/>
        <v>-5.7154788303886983E-3</v>
      </c>
      <c r="X110" s="6">
        <f t="shared" si="22"/>
        <v>-5.372121545796249E-3</v>
      </c>
      <c r="Y110" s="6">
        <f t="shared" si="23"/>
        <v>2.1889414928524253E-3</v>
      </c>
      <c r="Z110" s="6">
        <f t="shared" si="24"/>
        <v>1.2638848110100298E-3</v>
      </c>
    </row>
    <row r="111" spans="1:26" x14ac:dyDescent="0.45">
      <c r="A111">
        <v>109</v>
      </c>
      <c r="B111" s="1">
        <v>1007.8186247151133</v>
      </c>
      <c r="C111" s="1">
        <v>1007.8186247151133</v>
      </c>
      <c r="D111" s="2">
        <v>47.089315012154906</v>
      </c>
      <c r="E111" s="2">
        <v>80.300810359400572</v>
      </c>
      <c r="F111" s="2">
        <v>23.045166700108179</v>
      </c>
      <c r="G111" s="2">
        <v>14.663250285041128</v>
      </c>
      <c r="H111" s="2">
        <v>77.877226314647842</v>
      </c>
      <c r="I111" s="2">
        <v>49.150407295503271</v>
      </c>
      <c r="J111" s="2">
        <v>149.50572418038666</v>
      </c>
      <c r="K111" s="2">
        <v>59.483549660915756</v>
      </c>
      <c r="L111" s="2">
        <v>7.6372963518485273</v>
      </c>
      <c r="M111" s="2">
        <v>19.732067523511908</v>
      </c>
      <c r="O111" s="6">
        <f t="shared" si="13"/>
        <v>-5.1387870180800155E-3</v>
      </c>
      <c r="P111" s="6">
        <f t="shared" si="14"/>
        <v>-5.1387870180800155E-3</v>
      </c>
      <c r="Q111" s="6">
        <f t="shared" si="15"/>
        <v>-4.0778370975236289E-3</v>
      </c>
      <c r="R111" s="6">
        <f t="shared" si="16"/>
        <v>-5.0153497929681379E-3</v>
      </c>
      <c r="S111" s="6">
        <f t="shared" si="17"/>
        <v>-1.0167709554924631E-3</v>
      </c>
      <c r="T111" s="6">
        <f t="shared" si="18"/>
        <v>-6.5418407189576921E-3</v>
      </c>
      <c r="U111" s="6">
        <f t="shared" si="19"/>
        <v>-5.1588451081530096E-3</v>
      </c>
      <c r="V111" s="6">
        <f t="shared" si="20"/>
        <v>-7.0406381947609731E-3</v>
      </c>
      <c r="W111" s="6">
        <f t="shared" si="21"/>
        <v>-1.0878836960114269E-2</v>
      </c>
      <c r="X111" s="6">
        <f t="shared" si="22"/>
        <v>-2.25125185735775E-3</v>
      </c>
      <c r="Y111" s="6">
        <f t="shared" si="23"/>
        <v>-3.8506996594989129E-3</v>
      </c>
      <c r="Z111" s="6">
        <f t="shared" si="24"/>
        <v>-1.0434279267222291E-2</v>
      </c>
    </row>
    <row r="112" spans="1:26" x14ac:dyDescent="0.45">
      <c r="A112">
        <v>110</v>
      </c>
      <c r="B112" s="1">
        <v>1002.639659449848</v>
      </c>
      <c r="C112" s="1">
        <v>1002.639659449848</v>
      </c>
      <c r="D112" s="2">
        <v>46.897292456501361</v>
      </c>
      <c r="E112" s="2">
        <v>79.898073706789376</v>
      </c>
      <c r="F112" s="2">
        <v>23.021735043943028</v>
      </c>
      <c r="G112" s="2">
        <v>14.567325637254179</v>
      </c>
      <c r="H112" s="2">
        <v>77.475469766638</v>
      </c>
      <c r="I112" s="2">
        <v>48.804357060610492</v>
      </c>
      <c r="J112" s="2">
        <v>147.87927578242443</v>
      </c>
      <c r="K112" s="2">
        <v>59.349637209259384</v>
      </c>
      <c r="L112" s="2">
        <v>7.6078874173869719</v>
      </c>
      <c r="M112" s="2">
        <v>19.526177620451897</v>
      </c>
      <c r="O112" s="6">
        <f t="shared" si="13"/>
        <v>1.4358560908498408E-3</v>
      </c>
      <c r="P112" s="6">
        <f t="shared" si="14"/>
        <v>1.4358560908498408E-3</v>
      </c>
      <c r="Q112" s="6">
        <f t="shared" si="15"/>
        <v>4.6048891320362717E-3</v>
      </c>
      <c r="R112" s="6">
        <f t="shared" si="16"/>
        <v>6.5881800954403769E-3</v>
      </c>
      <c r="S112" s="6">
        <f t="shared" si="17"/>
        <v>-1.3183537567001968E-3</v>
      </c>
      <c r="T112" s="6">
        <f t="shared" si="18"/>
        <v>-9.1453302792188218E-4</v>
      </c>
      <c r="U112" s="6">
        <f t="shared" si="19"/>
        <v>4.2560102126940613E-3</v>
      </c>
      <c r="V112" s="6">
        <f t="shared" si="20"/>
        <v>7.8612820052064158E-3</v>
      </c>
      <c r="W112" s="6">
        <f t="shared" si="21"/>
        <v>-2.5920504487981777E-3</v>
      </c>
      <c r="X112" s="6">
        <f t="shared" si="22"/>
        <v>7.6318149167255989E-3</v>
      </c>
      <c r="Y112" s="6">
        <f t="shared" si="23"/>
        <v>4.4078834533185507E-3</v>
      </c>
      <c r="Z112" s="6">
        <f t="shared" si="24"/>
        <v>3.0774396697526019E-3</v>
      </c>
    </row>
    <row r="113" spans="1:26" x14ac:dyDescent="0.45">
      <c r="A113">
        <v>111</v>
      </c>
      <c r="B113" s="1">
        <v>1004.0793057117967</v>
      </c>
      <c r="C113" s="1">
        <v>1004.0793057117967</v>
      </c>
      <c r="D113" s="2">
        <v>47.113249288856231</v>
      </c>
      <c r="E113" s="2">
        <v>80.424456605648473</v>
      </c>
      <c r="F113" s="2">
        <v>22.99138425306209</v>
      </c>
      <c r="G113" s="2">
        <v>14.554003336830416</v>
      </c>
      <c r="H113" s="2">
        <v>77.805206157198086</v>
      </c>
      <c r="I113" s="2">
        <v>49.188021874546735</v>
      </c>
      <c r="J113" s="2">
        <v>147.49596523926465</v>
      </c>
      <c r="K113" s="2">
        <v>59.802582655815264</v>
      </c>
      <c r="L113" s="2">
        <v>7.641422098448782</v>
      </c>
      <c r="M113" s="2">
        <v>19.586268254059711</v>
      </c>
      <c r="O113" s="6">
        <f t="shared" si="13"/>
        <v>-2.044085174652821E-4</v>
      </c>
      <c r="P113" s="6">
        <f t="shared" si="14"/>
        <v>-2.044085174652821E-4</v>
      </c>
      <c r="Q113" s="6">
        <f t="shared" si="15"/>
        <v>-1.4223001398194768E-4</v>
      </c>
      <c r="R113" s="6">
        <f t="shared" si="16"/>
        <v>9.0460053424590292E-4</v>
      </c>
      <c r="S113" s="6">
        <f t="shared" si="17"/>
        <v>2.8175459085244547E-4</v>
      </c>
      <c r="T113" s="6">
        <f t="shared" si="18"/>
        <v>2.5781568767779817E-3</v>
      </c>
      <c r="U113" s="6">
        <f t="shared" si="19"/>
        <v>-6.0057957283403685E-3</v>
      </c>
      <c r="V113" s="6">
        <f t="shared" si="20"/>
        <v>-6.3431351164624505E-3</v>
      </c>
      <c r="W113" s="6">
        <f t="shared" si="21"/>
        <v>-4.5348214878231374E-3</v>
      </c>
      <c r="X113" s="6">
        <f t="shared" si="22"/>
        <v>1.4586413940618215E-3</v>
      </c>
      <c r="Y113" s="6">
        <f t="shared" si="23"/>
        <v>4.3054664413231247E-3</v>
      </c>
      <c r="Z113" s="6">
        <f t="shared" si="24"/>
        <v>7.4149682586301946E-3</v>
      </c>
    </row>
    <row r="114" spans="1:26" x14ac:dyDescent="0.45">
      <c r="A114">
        <v>112</v>
      </c>
      <c r="B114" s="1">
        <v>1003.8740633494986</v>
      </c>
      <c r="C114" s="1">
        <v>1003.8740633494986</v>
      </c>
      <c r="D114" s="2">
        <v>47.106548370751142</v>
      </c>
      <c r="E114" s="2">
        <v>80.497208612060376</v>
      </c>
      <c r="F114" s="2">
        <v>22.997862181125445</v>
      </c>
      <c r="G114" s="2">
        <v>14.591525840617916</v>
      </c>
      <c r="H114" s="2">
        <v>77.337923982416541</v>
      </c>
      <c r="I114" s="2">
        <v>48.876015605684977</v>
      </c>
      <c r="J114" s="2">
        <v>146.82709736673041</v>
      </c>
      <c r="K114" s="2">
        <v>59.889813178348838</v>
      </c>
      <c r="L114" s="2">
        <v>7.6743219848576381</v>
      </c>
      <c r="M114" s="2">
        <v>19.731499811468581</v>
      </c>
      <c r="O114" s="6">
        <f t="shared" si="13"/>
        <v>-3.7872009461727973E-3</v>
      </c>
      <c r="P114" s="6">
        <f t="shared" si="14"/>
        <v>-3.7872009461727973E-3</v>
      </c>
      <c r="Q114" s="6">
        <f t="shared" si="15"/>
        <v>-1.9523664325635792E-3</v>
      </c>
      <c r="R114" s="6">
        <f t="shared" si="16"/>
        <v>-4.4193003304914269E-3</v>
      </c>
      <c r="S114" s="6">
        <f t="shared" si="17"/>
        <v>-5.2837090396200548E-3</v>
      </c>
      <c r="T114" s="6">
        <f t="shared" si="18"/>
        <v>-2.9269652887683462E-3</v>
      </c>
      <c r="U114" s="6">
        <f t="shared" si="19"/>
        <v>-6.8687183065403445E-3</v>
      </c>
      <c r="V114" s="6">
        <f t="shared" si="20"/>
        <v>-4.3712793483927648E-3</v>
      </c>
      <c r="W114" s="6">
        <f t="shared" si="21"/>
        <v>-9.2249595504496629E-3</v>
      </c>
      <c r="X114" s="6">
        <f t="shared" si="22"/>
        <v>-7.9585735962083293E-3</v>
      </c>
      <c r="Y114" s="6">
        <f t="shared" si="23"/>
        <v>-2.1570918255450211E-3</v>
      </c>
      <c r="Z114" s="6">
        <f t="shared" si="24"/>
        <v>-4.7397178664455586E-3</v>
      </c>
    </row>
    <row r="115" spans="1:26" x14ac:dyDescent="0.45">
      <c r="A115">
        <v>113</v>
      </c>
      <c r="B115" s="1">
        <v>1000.072190546943</v>
      </c>
      <c r="C115" s="1">
        <v>1000.072190546943</v>
      </c>
      <c r="D115" s="2">
        <v>47.014579126958154</v>
      </c>
      <c r="E115" s="2">
        <v>80.141467271437463</v>
      </c>
      <c r="F115" s="2">
        <v>22.876348168827096</v>
      </c>
      <c r="G115" s="2">
        <v>14.548816950972261</v>
      </c>
      <c r="H115" s="2">
        <v>76.806711568168694</v>
      </c>
      <c r="I115" s="2">
        <v>48.662364888036123</v>
      </c>
      <c r="J115" s="2">
        <v>145.47262333261239</v>
      </c>
      <c r="K115" s="2">
        <v>59.413175692505781</v>
      </c>
      <c r="L115" s="2">
        <v>7.6577677676375009</v>
      </c>
      <c r="M115" s="2">
        <v>19.637978069280397</v>
      </c>
      <c r="O115" s="6">
        <f t="shared" si="13"/>
        <v>2.5573611410512065E-4</v>
      </c>
      <c r="P115" s="6">
        <f t="shared" si="14"/>
        <v>2.5573611410512065E-4</v>
      </c>
      <c r="Q115" s="6">
        <f t="shared" si="15"/>
        <v>3.4222079957768603E-3</v>
      </c>
      <c r="R115" s="6">
        <f t="shared" si="16"/>
        <v>-7.8028759118814461E-3</v>
      </c>
      <c r="S115" s="6">
        <f t="shared" si="17"/>
        <v>1.7800076554690403E-3</v>
      </c>
      <c r="T115" s="6">
        <f t="shared" si="18"/>
        <v>-2.9417252243799652E-3</v>
      </c>
      <c r="U115" s="6">
        <f t="shared" si="19"/>
        <v>-3.0968280881340515E-3</v>
      </c>
      <c r="V115" s="6">
        <f t="shared" si="20"/>
        <v>3.0915030774680829E-3</v>
      </c>
      <c r="W115" s="6">
        <f t="shared" si="21"/>
        <v>3.6006019339511752E-3</v>
      </c>
      <c r="X115" s="6">
        <f t="shared" si="22"/>
        <v>2.0628943711069603E-3</v>
      </c>
      <c r="Y115" s="6">
        <f t="shared" si="23"/>
        <v>1.1192065348308855E-3</v>
      </c>
      <c r="Z115" s="6">
        <f t="shared" si="24"/>
        <v>1.7010678005746627E-4</v>
      </c>
    </row>
    <row r="116" spans="1:26" x14ac:dyDescent="0.45">
      <c r="A116">
        <v>114</v>
      </c>
      <c r="B116" s="1">
        <v>1000.3279451227781</v>
      </c>
      <c r="C116" s="1">
        <v>1000.3279451227781</v>
      </c>
      <c r="D116" s="2">
        <v>47.175472795564517</v>
      </c>
      <c r="E116" s="2">
        <v>79.516133346922331</v>
      </c>
      <c r="F116" s="2">
        <v>22.917068243696782</v>
      </c>
      <c r="G116" s="2">
        <v>14.5060183291627</v>
      </c>
      <c r="H116" s="2">
        <v>76.568854386427176</v>
      </c>
      <c r="I116" s="2">
        <v>48.812804738844363</v>
      </c>
      <c r="J116" s="2">
        <v>145.99641234152074</v>
      </c>
      <c r="K116" s="2">
        <v>59.53573879821144</v>
      </c>
      <c r="L116" s="2">
        <v>7.6663383913652581</v>
      </c>
      <c r="M116" s="2">
        <v>19.641318622496602</v>
      </c>
      <c r="O116" s="6">
        <f t="shared" si="13"/>
        <v>-1.5062004160240061E-3</v>
      </c>
      <c r="P116" s="6">
        <f t="shared" si="14"/>
        <v>-1.5062004160240061E-3</v>
      </c>
      <c r="Q116" s="6">
        <f t="shared" si="15"/>
        <v>-8.9357041303828044E-4</v>
      </c>
      <c r="R116" s="6">
        <f t="shared" si="16"/>
        <v>-4.0824546133112483E-3</v>
      </c>
      <c r="S116" s="6">
        <f t="shared" si="17"/>
        <v>-2.5368192775968579E-3</v>
      </c>
      <c r="T116" s="6">
        <f t="shared" si="18"/>
        <v>2.2654645545994168E-3</v>
      </c>
      <c r="U116" s="6">
        <f t="shared" si="19"/>
        <v>1.6751838165798283E-3</v>
      </c>
      <c r="V116" s="6">
        <f t="shared" si="20"/>
        <v>-8.7139317879888489E-3</v>
      </c>
      <c r="W116" s="6">
        <f t="shared" si="21"/>
        <v>-1.007140465651879E-2</v>
      </c>
      <c r="X116" s="6">
        <f t="shared" si="22"/>
        <v>-4.7399933713846432E-3</v>
      </c>
      <c r="Y116" s="6">
        <f t="shared" si="23"/>
        <v>-3.2594771824981938E-3</v>
      </c>
      <c r="Z116" s="6">
        <f t="shared" si="24"/>
        <v>-4.5151293089017441E-3</v>
      </c>
    </row>
    <row r="117" spans="1:26" x14ac:dyDescent="0.45">
      <c r="A117">
        <v>115</v>
      </c>
      <c r="B117" s="1">
        <v>998.82125075567376</v>
      </c>
      <c r="C117" s="1">
        <v>998.82125075567376</v>
      </c>
      <c r="D117" s="2">
        <v>47.133318188853309</v>
      </c>
      <c r="E117" s="2">
        <v>79.191512341507519</v>
      </c>
      <c r="F117" s="2">
        <v>22.858931783190169</v>
      </c>
      <c r="G117" s="2">
        <v>14.538881199515787</v>
      </c>
      <c r="H117" s="2">
        <v>76.697121292149376</v>
      </c>
      <c r="I117" s="2">
        <v>48.387453287969656</v>
      </c>
      <c r="J117" s="2">
        <v>144.5260233944293</v>
      </c>
      <c r="K117" s="2">
        <v>59.253539790947428</v>
      </c>
      <c r="L117" s="2">
        <v>7.6413501363052934</v>
      </c>
      <c r="M117" s="2">
        <v>19.552635529118689</v>
      </c>
      <c r="O117" s="6">
        <f t="shared" si="13"/>
        <v>-1.1334725968527026E-3</v>
      </c>
      <c r="P117" s="6">
        <f t="shared" si="14"/>
        <v>-1.1334725968527026E-3</v>
      </c>
      <c r="Q117" s="6">
        <f t="shared" si="15"/>
        <v>6.3252271460356724E-4</v>
      </c>
      <c r="R117" s="6">
        <f t="shared" si="16"/>
        <v>2.2662072954500179E-3</v>
      </c>
      <c r="S117" s="6">
        <f t="shared" si="17"/>
        <v>-2.9537418149300221E-3</v>
      </c>
      <c r="T117" s="6">
        <f t="shared" si="18"/>
        <v>-1.3690364415236411E-3</v>
      </c>
      <c r="U117" s="6">
        <f t="shared" si="19"/>
        <v>-7.6862797982670816E-3</v>
      </c>
      <c r="V117" s="6">
        <f t="shared" si="20"/>
        <v>-3.0141269800429971E-3</v>
      </c>
      <c r="W117" s="6">
        <f t="shared" si="21"/>
        <v>-8.7882578921063548E-3</v>
      </c>
      <c r="X117" s="6">
        <f t="shared" si="22"/>
        <v>1.0530795524037462E-3</v>
      </c>
      <c r="Y117" s="6">
        <f t="shared" si="23"/>
        <v>-4.8367166942768769E-3</v>
      </c>
      <c r="Z117" s="6">
        <f t="shared" si="24"/>
        <v>-1.2977099942989012E-3</v>
      </c>
    </row>
    <row r="118" spans="1:26" x14ac:dyDescent="0.45">
      <c r="A118">
        <v>116</v>
      </c>
      <c r="B118" s="1">
        <v>997.68911423878808</v>
      </c>
      <c r="C118" s="1">
        <v>997.68911423878808</v>
      </c>
      <c r="D118" s="2">
        <v>47.163131083222396</v>
      </c>
      <c r="E118" s="2">
        <v>79.370976724513568</v>
      </c>
      <c r="F118" s="2">
        <v>22.791412400537528</v>
      </c>
      <c r="G118" s="2">
        <v>14.518976941334667</v>
      </c>
      <c r="H118" s="2">
        <v>76.107605758176291</v>
      </c>
      <c r="I118" s="2">
        <v>48.241607359518817</v>
      </c>
      <c r="J118" s="2">
        <v>143.25589142871846</v>
      </c>
      <c r="K118" s="2">
        <v>59.31593848210882</v>
      </c>
      <c r="L118" s="2">
        <v>7.6043910905342109</v>
      </c>
      <c r="M118" s="2">
        <v>19.527261878577669</v>
      </c>
      <c r="O118" s="6">
        <f t="shared" si="13"/>
        <v>-6.4968588268765615E-4</v>
      </c>
      <c r="P118" s="6">
        <f t="shared" si="14"/>
        <v>-6.4968588268765615E-4</v>
      </c>
      <c r="Q118" s="6">
        <f t="shared" si="15"/>
        <v>-3.7047569455104234E-3</v>
      </c>
      <c r="R118" s="6">
        <f t="shared" si="16"/>
        <v>3.8653267962034388E-3</v>
      </c>
      <c r="S118" s="6">
        <f t="shared" si="17"/>
        <v>-2.1750888345367647E-3</v>
      </c>
      <c r="T118" s="6">
        <f t="shared" si="18"/>
        <v>-4.1961957359948343E-5</v>
      </c>
      <c r="U118" s="6">
        <f t="shared" si="19"/>
        <v>6.1184140975396595E-3</v>
      </c>
      <c r="V118" s="6">
        <f t="shared" si="20"/>
        <v>-1.7773985968916328E-4</v>
      </c>
      <c r="W118" s="6">
        <f t="shared" si="21"/>
        <v>-4.2209465491857001E-3</v>
      </c>
      <c r="X118" s="6">
        <f t="shared" si="22"/>
        <v>-8.4070457680895938E-3</v>
      </c>
      <c r="Y118" s="6">
        <f t="shared" si="23"/>
        <v>8.6540275541602263E-4</v>
      </c>
      <c r="Z118" s="6">
        <f t="shared" si="24"/>
        <v>1.2579291686121152E-4</v>
      </c>
    </row>
    <row r="119" spans="1:26" x14ac:dyDescent="0.45">
      <c r="A119">
        <v>117</v>
      </c>
      <c r="B119" s="1">
        <v>997.04092970595593</v>
      </c>
      <c r="C119" s="1">
        <v>997.04092970595593</v>
      </c>
      <c r="D119" s="2">
        <v>46.988403145769809</v>
      </c>
      <c r="E119" s="2">
        <v>79.677771487687664</v>
      </c>
      <c r="F119" s="2">
        <v>22.741839053901796</v>
      </c>
      <c r="G119" s="2">
        <v>14.518367696643345</v>
      </c>
      <c r="H119" s="2">
        <v>76.573263606177107</v>
      </c>
      <c r="I119" s="2">
        <v>48.233032902995554</v>
      </c>
      <c r="J119" s="2">
        <v>142.65121596814188</v>
      </c>
      <c r="K119" s="2">
        <v>58.817266672512545</v>
      </c>
      <c r="L119" s="2">
        <v>7.6109719515372198</v>
      </c>
      <c r="M119" s="2">
        <v>19.529718269807688</v>
      </c>
      <c r="O119" s="6">
        <f t="shared" si="13"/>
        <v>1.1622201131005205E-3</v>
      </c>
      <c r="P119" s="6">
        <f t="shared" si="14"/>
        <v>1.1622201131005205E-3</v>
      </c>
      <c r="Q119" s="6">
        <f t="shared" si="15"/>
        <v>2.597959489566648E-3</v>
      </c>
      <c r="R119" s="6">
        <f t="shared" si="16"/>
        <v>3.6858655974569832E-3</v>
      </c>
      <c r="S119" s="6">
        <f t="shared" si="17"/>
        <v>5.9607159797774312E-3</v>
      </c>
      <c r="T119" s="6">
        <f t="shared" si="18"/>
        <v>2.3610534144447026E-3</v>
      </c>
      <c r="U119" s="6">
        <f t="shared" si="19"/>
        <v>-6.7646852391689549E-5</v>
      </c>
      <c r="V119" s="6">
        <f t="shared" si="20"/>
        <v>-6.3239802009058543E-3</v>
      </c>
      <c r="W119" s="6">
        <f t="shared" si="21"/>
        <v>1.9091095367131938E-3</v>
      </c>
      <c r="X119" s="6">
        <f t="shared" si="22"/>
        <v>1.6008321554579874E-2</v>
      </c>
      <c r="Y119" s="6">
        <f t="shared" si="23"/>
        <v>7.932568203022905E-3</v>
      </c>
      <c r="Z119" s="6">
        <f t="shared" si="24"/>
        <v>1.6447751430410662E-3</v>
      </c>
    </row>
    <row r="120" spans="1:26" x14ac:dyDescent="0.45">
      <c r="A120">
        <v>118</v>
      </c>
      <c r="B120" s="1">
        <v>998.19971072804469</v>
      </c>
      <c r="C120" s="1">
        <v>998.19971072804469</v>
      </c>
      <c r="D120" s="2">
        <v>47.110477113621947</v>
      </c>
      <c r="E120" s="2">
        <v>79.971453044496172</v>
      </c>
      <c r="F120" s="2">
        <v>22.877396697359913</v>
      </c>
      <c r="G120" s="2">
        <v>14.552646338265669</v>
      </c>
      <c r="H120" s="2">
        <v>76.568083665916788</v>
      </c>
      <c r="I120" s="2">
        <v>47.928008157887369</v>
      </c>
      <c r="J120" s="2">
        <v>142.9235527649704</v>
      </c>
      <c r="K120" s="2">
        <v>59.758832390367601</v>
      </c>
      <c r="L120" s="2">
        <v>7.6713465056340828</v>
      </c>
      <c r="M120" s="2">
        <v>19.561840264968463</v>
      </c>
      <c r="O120" s="6">
        <f t="shared" si="13"/>
        <v>1.4253354639035543E-3</v>
      </c>
      <c r="P120" s="6">
        <f t="shared" si="14"/>
        <v>1.4253354639035543E-3</v>
      </c>
      <c r="Q120" s="6">
        <f t="shared" si="15"/>
        <v>-8.4026278089599504E-4</v>
      </c>
      <c r="R120" s="6">
        <f t="shared" si="16"/>
        <v>-2.6983807710403429E-3</v>
      </c>
      <c r="S120" s="6">
        <f t="shared" si="17"/>
        <v>1.5746306938189125E-3</v>
      </c>
      <c r="T120" s="6">
        <f t="shared" si="18"/>
        <v>2.7741527660358756E-3</v>
      </c>
      <c r="U120" s="6">
        <f t="shared" si="19"/>
        <v>3.238963962949537E-3</v>
      </c>
      <c r="V120" s="6">
        <f t="shared" si="20"/>
        <v>1.8026067312335581E-3</v>
      </c>
      <c r="W120" s="6">
        <f t="shared" si="21"/>
        <v>5.8188136220553854E-3</v>
      </c>
      <c r="X120" s="6">
        <f t="shared" si="22"/>
        <v>3.4493255470600115E-3</v>
      </c>
      <c r="Y120" s="6">
        <f t="shared" si="23"/>
        <v>-9.3809840894157892E-3</v>
      </c>
      <c r="Z120" s="6">
        <f t="shared" si="24"/>
        <v>2.835740013931165E-3</v>
      </c>
    </row>
    <row r="121" spans="1:26" x14ac:dyDescent="0.45">
      <c r="A121">
        <v>119</v>
      </c>
      <c r="B121" s="1">
        <v>999.62248017580362</v>
      </c>
      <c r="C121" s="1">
        <v>999.62248017580362</v>
      </c>
      <c r="D121" s="2">
        <v>47.070891933113117</v>
      </c>
      <c r="E121" s="2">
        <v>79.755659613368749</v>
      </c>
      <c r="F121" s="2">
        <v>22.913420148394248</v>
      </c>
      <c r="G121" s="2">
        <v>14.59301760235811</v>
      </c>
      <c r="H121" s="2">
        <v>76.816084929622804</v>
      </c>
      <c r="I121" s="2">
        <v>48.014403508007391</v>
      </c>
      <c r="J121" s="2">
        <v>143.75519828071177</v>
      </c>
      <c r="K121" s="2">
        <v>59.964960057594176</v>
      </c>
      <c r="L121" s="2">
        <v>7.5993817261203338</v>
      </c>
      <c r="M121" s="2">
        <v>19.617312558153966</v>
      </c>
      <c r="O121" s="6">
        <f t="shared" si="13"/>
        <v>3.1274608198759157E-3</v>
      </c>
      <c r="P121" s="6">
        <f t="shared" si="14"/>
        <v>3.1274608198759157E-3</v>
      </c>
      <c r="Q121" s="6">
        <f t="shared" si="15"/>
        <v>-4.8652116090674991E-4</v>
      </c>
      <c r="R121" s="6">
        <f t="shared" si="16"/>
        <v>2.2861200148203142E-3</v>
      </c>
      <c r="S121" s="6">
        <f t="shared" si="17"/>
        <v>2.3897931763483538E-3</v>
      </c>
      <c r="T121" s="6">
        <f t="shared" si="18"/>
        <v>6.1203243489840187E-3</v>
      </c>
      <c r="U121" s="6">
        <f t="shared" si="19"/>
        <v>3.2982803722250154E-3</v>
      </c>
      <c r="V121" s="6">
        <f t="shared" si="20"/>
        <v>3.223297878204967E-3</v>
      </c>
      <c r="W121" s="6">
        <f t="shared" si="21"/>
        <v>5.3116842463074576E-4</v>
      </c>
      <c r="X121" s="6">
        <f t="shared" si="22"/>
        <v>7.9423730417871319E-4</v>
      </c>
      <c r="Y121" s="6">
        <f t="shared" si="23"/>
        <v>9.4833441554307285E-3</v>
      </c>
      <c r="Z121" s="6">
        <f t="shared" si="24"/>
        <v>3.929476147325639E-3</v>
      </c>
    </row>
    <row r="122" spans="1:26" x14ac:dyDescent="0.45">
      <c r="A122">
        <v>120</v>
      </c>
      <c r="B122" s="1">
        <v>1002.7487603172207</v>
      </c>
      <c r="C122" s="1">
        <v>1002.7487603172207</v>
      </c>
      <c r="D122" s="2">
        <v>47.047990948124905</v>
      </c>
      <c r="E122" s="2">
        <v>79.937990623106074</v>
      </c>
      <c r="F122" s="2">
        <v>22.968178483511682</v>
      </c>
      <c r="G122" s="2">
        <v>14.682331603314974</v>
      </c>
      <c r="H122" s="2">
        <v>77.069445914817351</v>
      </c>
      <c r="I122" s="2">
        <v>48.169168232958029</v>
      </c>
      <c r="J122" s="2">
        <v>143.83155650291502</v>
      </c>
      <c r="K122" s="2">
        <v>60.012586465815502</v>
      </c>
      <c r="L122" s="2">
        <v>7.671449278397624</v>
      </c>
      <c r="M122" s="2">
        <v>19.694398319925863</v>
      </c>
      <c r="O122" s="6">
        <f t="shared" si="13"/>
        <v>2.5939405948036676E-3</v>
      </c>
      <c r="P122" s="6">
        <f t="shared" si="14"/>
        <v>2.5939405948036676E-3</v>
      </c>
      <c r="Q122" s="6">
        <f t="shared" si="15"/>
        <v>1.8921577625494734E-3</v>
      </c>
      <c r="R122" s="6">
        <f t="shared" si="16"/>
        <v>6.2721509742984516E-3</v>
      </c>
      <c r="S122" s="6">
        <f t="shared" si="17"/>
        <v>9.0366288132166517E-3</v>
      </c>
      <c r="T122" s="6">
        <f t="shared" si="18"/>
        <v>3.9729356877442612E-3</v>
      </c>
      <c r="U122" s="6">
        <f t="shared" si="19"/>
        <v>-8.4344133219479422E-3</v>
      </c>
      <c r="V122" s="6">
        <f t="shared" si="20"/>
        <v>1.6383552670320434E-3</v>
      </c>
      <c r="W122" s="6">
        <f t="shared" si="21"/>
        <v>-1.9232921397435154E-3</v>
      </c>
      <c r="X122" s="6">
        <f t="shared" si="22"/>
        <v>1.9386640982295145E-3</v>
      </c>
      <c r="Y122" s="6">
        <f t="shared" si="23"/>
        <v>-8.8877245053660126E-3</v>
      </c>
      <c r="Z122" s="6">
        <f t="shared" si="24"/>
        <v>-8.0817254412679507E-4</v>
      </c>
    </row>
    <row r="123" spans="1:26" x14ac:dyDescent="0.45">
      <c r="A123">
        <v>121</v>
      </c>
      <c r="B123" s="1">
        <v>1005.3498310329966</v>
      </c>
      <c r="C123" s="1">
        <v>1005.3498310329966</v>
      </c>
      <c r="D123" s="2">
        <v>47.137013169409755</v>
      </c>
      <c r="E123" s="2">
        <v>80.439373768876251</v>
      </c>
      <c r="F123" s="2">
        <v>23.175733386982888</v>
      </c>
      <c r="G123" s="2">
        <v>14.74066356252108</v>
      </c>
      <c r="H123" s="2">
        <v>76.41941035347827</v>
      </c>
      <c r="I123" s="2">
        <v>48.248086443441046</v>
      </c>
      <c r="J123" s="2">
        <v>143.55492640084589</v>
      </c>
      <c r="K123" s="2">
        <v>60.12893071263867</v>
      </c>
      <c r="L123" s="2">
        <v>7.603267550654337</v>
      </c>
      <c r="M123" s="2">
        <v>19.678481847930602</v>
      </c>
      <c r="O123" s="6">
        <f t="shared" si="13"/>
        <v>-1.3547782138256803E-3</v>
      </c>
      <c r="P123" s="6">
        <f t="shared" si="14"/>
        <v>-1.3547782138256803E-3</v>
      </c>
      <c r="Q123" s="6">
        <f t="shared" si="15"/>
        <v>-3.0470647427545128E-3</v>
      </c>
      <c r="R123" s="6">
        <f t="shared" si="16"/>
        <v>2.0283678703105767E-3</v>
      </c>
      <c r="S123" s="6">
        <f t="shared" si="17"/>
        <v>-6.6530506260532585E-3</v>
      </c>
      <c r="T123" s="6">
        <f t="shared" si="18"/>
        <v>-1.809831456853761E-4</v>
      </c>
      <c r="U123" s="6">
        <f t="shared" si="19"/>
        <v>-2.4804523382858656E-3</v>
      </c>
      <c r="V123" s="6">
        <f t="shared" si="20"/>
        <v>8.5065598032103562E-3</v>
      </c>
      <c r="W123" s="6">
        <f t="shared" si="21"/>
        <v>4.5897800232794772E-3</v>
      </c>
      <c r="X123" s="6">
        <f t="shared" si="22"/>
        <v>-6.0293678499027115E-3</v>
      </c>
      <c r="Y123" s="6">
        <f t="shared" si="23"/>
        <v>-5.5554103624929629E-3</v>
      </c>
      <c r="Z123" s="6">
        <f t="shared" si="24"/>
        <v>-2.8958285392153282E-3</v>
      </c>
    </row>
    <row r="124" spans="1:26" x14ac:dyDescent="0.45">
      <c r="A124">
        <v>122</v>
      </c>
      <c r="B124" s="1">
        <v>1003.9878049846398</v>
      </c>
      <c r="C124" s="1">
        <v>1003.9878049846398</v>
      </c>
      <c r="D124" s="2">
        <v>46.993383638502493</v>
      </c>
      <c r="E124" s="2">
        <v>80.60253441013694</v>
      </c>
      <c r="F124" s="2">
        <v>23.021544059463377</v>
      </c>
      <c r="G124" s="2">
        <v>14.737995750860046</v>
      </c>
      <c r="H124" s="2">
        <v>76.229855648376557</v>
      </c>
      <c r="I124" s="2">
        <v>48.65851167616264</v>
      </c>
      <c r="J124" s="2">
        <v>144.21381193428385</v>
      </c>
      <c r="K124" s="2">
        <v>59.766391270950862</v>
      </c>
      <c r="L124" s="2">
        <v>7.5610282793146251</v>
      </c>
      <c r="M124" s="2">
        <v>19.621496338586933</v>
      </c>
      <c r="O124" s="6">
        <f t="shared" si="13"/>
        <v>6.4042884056281224E-4</v>
      </c>
      <c r="P124" s="6">
        <f t="shared" si="14"/>
        <v>6.4042884056281224E-4</v>
      </c>
      <c r="Q124" s="6">
        <f t="shared" si="15"/>
        <v>2.5863212713930217E-3</v>
      </c>
      <c r="R124" s="6">
        <f t="shared" si="16"/>
        <v>-2.1283727695616816E-3</v>
      </c>
      <c r="S124" s="6">
        <f t="shared" si="17"/>
        <v>-2.5804077431645922E-3</v>
      </c>
      <c r="T124" s="6">
        <f t="shared" si="18"/>
        <v>3.4851379970639584E-3</v>
      </c>
      <c r="U124" s="6">
        <f t="shared" si="19"/>
        <v>2.3845009664691386E-3</v>
      </c>
      <c r="V124" s="6">
        <f t="shared" si="20"/>
        <v>8.0952026677039157E-4</v>
      </c>
      <c r="W124" s="6">
        <f t="shared" si="21"/>
        <v>-5.194192833472E-4</v>
      </c>
      <c r="X124" s="6">
        <f t="shared" si="22"/>
        <v>4.5125468474307429E-3</v>
      </c>
      <c r="Y124" s="6">
        <f t="shared" si="23"/>
        <v>-2.9410347313076901E-3</v>
      </c>
      <c r="Z124" s="6">
        <f t="shared" si="24"/>
        <v>-1.606064277994701E-3</v>
      </c>
    </row>
    <row r="125" spans="1:26" x14ac:dyDescent="0.45">
      <c r="A125">
        <v>123</v>
      </c>
      <c r="B125" s="1">
        <v>1004.6307877305253</v>
      </c>
      <c r="C125" s="1">
        <v>1004.6307877305253</v>
      </c>
      <c r="D125" s="2">
        <v>47.114923626221483</v>
      </c>
      <c r="E125" s="2">
        <v>80.430982170740748</v>
      </c>
      <c r="F125" s="2">
        <v>22.962139088912732</v>
      </c>
      <c r="G125" s="2">
        <v>14.789359699851936</v>
      </c>
      <c r="H125" s="2">
        <v>76.411625812843909</v>
      </c>
      <c r="I125" s="2">
        <v>48.697901727515379</v>
      </c>
      <c r="J125" s="2">
        <v>144.13890449944017</v>
      </c>
      <c r="K125" s="2">
        <v>60.036089911462902</v>
      </c>
      <c r="L125" s="2">
        <v>7.538791032540761</v>
      </c>
      <c r="M125" s="2">
        <v>19.589982954236724</v>
      </c>
      <c r="O125" s="6">
        <f t="shared" si="13"/>
        <v>-1.6361781735316772E-3</v>
      </c>
      <c r="P125" s="6">
        <f t="shared" si="14"/>
        <v>-1.6361781735316772E-3</v>
      </c>
      <c r="Q125" s="6">
        <f t="shared" si="15"/>
        <v>-6.165785476042851E-3</v>
      </c>
      <c r="R125" s="6">
        <f t="shared" si="16"/>
        <v>-2.3384918826416801E-3</v>
      </c>
      <c r="S125" s="6">
        <f t="shared" si="17"/>
        <v>-1.8829174725000231E-3</v>
      </c>
      <c r="T125" s="6">
        <f t="shared" si="18"/>
        <v>7.2028083539388277E-4</v>
      </c>
      <c r="U125" s="6">
        <f t="shared" si="19"/>
        <v>-3.4445964983130795E-3</v>
      </c>
      <c r="V125" s="6">
        <f t="shared" si="20"/>
        <v>-1.4188063412042484E-2</v>
      </c>
      <c r="W125" s="6">
        <f t="shared" si="21"/>
        <v>-1.437782557382361E-3</v>
      </c>
      <c r="X125" s="6">
        <f t="shared" si="22"/>
        <v>2.2826681852297082E-3</v>
      </c>
      <c r="Y125" s="6">
        <f t="shared" si="23"/>
        <v>-5.8367231589232516E-3</v>
      </c>
      <c r="Z125" s="6">
        <f t="shared" si="24"/>
        <v>-5.8848259437195294E-3</v>
      </c>
    </row>
    <row r="126" spans="1:26" x14ac:dyDescent="0.45">
      <c r="A126">
        <v>124</v>
      </c>
      <c r="B126" s="1">
        <v>1002.9870327631827</v>
      </c>
      <c r="C126" s="1">
        <v>1002.9870327631827</v>
      </c>
      <c r="D126" s="2">
        <v>46.824423114422061</v>
      </c>
      <c r="E126" s="2">
        <v>80.24289497182157</v>
      </c>
      <c r="F126" s="2">
        <v>22.918903276016241</v>
      </c>
      <c r="G126" s="2">
        <v>14.800012192211486</v>
      </c>
      <c r="H126" s="2">
        <v>76.148418594138576</v>
      </c>
      <c r="I126" s="2">
        <v>48.00697280977198</v>
      </c>
      <c r="J126" s="2">
        <v>143.93166409671068</v>
      </c>
      <c r="K126" s="2">
        <v>60.173132383869387</v>
      </c>
      <c r="L126" s="2">
        <v>7.4947891963308475</v>
      </c>
      <c r="M126" s="2">
        <v>19.474699314310609</v>
      </c>
      <c r="O126" s="6">
        <f t="shared" si="13"/>
        <v>4.5282309283423139E-4</v>
      </c>
      <c r="P126" s="6">
        <f t="shared" si="14"/>
        <v>4.5282309283423139E-4</v>
      </c>
      <c r="Q126" s="6">
        <f t="shared" si="15"/>
        <v>-3.2954147495182218E-3</v>
      </c>
      <c r="R126" s="6">
        <f t="shared" si="16"/>
        <v>-2.0413317479950344E-4</v>
      </c>
      <c r="S126" s="6">
        <f t="shared" si="17"/>
        <v>3.7338162703295374E-3</v>
      </c>
      <c r="T126" s="6">
        <f t="shared" si="18"/>
        <v>1.5482694136441655E-3</v>
      </c>
      <c r="U126" s="6">
        <f t="shared" si="19"/>
        <v>3.6968492110072138E-3</v>
      </c>
      <c r="V126" s="6">
        <f t="shared" si="20"/>
        <v>9.247941854756192E-3</v>
      </c>
      <c r="W126" s="6">
        <f t="shared" si="21"/>
        <v>-4.2967982003614402E-3</v>
      </c>
      <c r="X126" s="6">
        <f t="shared" si="22"/>
        <v>-1.8209513604864336E-3</v>
      </c>
      <c r="Y126" s="6">
        <f t="shared" si="23"/>
        <v>-3.7247016755473927E-3</v>
      </c>
      <c r="Z126" s="6">
        <f t="shared" si="24"/>
        <v>-1.8889060946106762E-3</v>
      </c>
    </row>
    <row r="127" spans="1:26" x14ac:dyDescent="0.45">
      <c r="A127">
        <v>125</v>
      </c>
      <c r="B127" s="1">
        <v>1003.4412084534312</v>
      </c>
      <c r="C127" s="1">
        <v>1003.4412084534312</v>
      </c>
      <c r="D127" s="2">
        <v>46.670117219853111</v>
      </c>
      <c r="E127" s="2">
        <v>80.226514734915867</v>
      </c>
      <c r="F127" s="2">
        <v>23.00447824996634</v>
      </c>
      <c r="G127" s="2">
        <v>14.822926598410248</v>
      </c>
      <c r="H127" s="2">
        <v>76.429927815337763</v>
      </c>
      <c r="I127" s="2">
        <v>48.450938502939614</v>
      </c>
      <c r="J127" s="2">
        <v>143.3132187814449</v>
      </c>
      <c r="K127" s="2">
        <v>60.063560036590246</v>
      </c>
      <c r="L127" s="2">
        <v>7.4668733424533995</v>
      </c>
      <c r="M127" s="2">
        <v>19.437913436085097</v>
      </c>
      <c r="O127" s="6">
        <f t="shared" si="13"/>
        <v>-4.5992865259308902E-3</v>
      </c>
      <c r="P127" s="6">
        <f t="shared" si="14"/>
        <v>-4.5992865259308902E-3</v>
      </c>
      <c r="Q127" s="6">
        <f t="shared" si="15"/>
        <v>-4.0452075788621755E-3</v>
      </c>
      <c r="R127" s="6">
        <f t="shared" si="16"/>
        <v>-5.1492508830340844E-3</v>
      </c>
      <c r="S127" s="6">
        <f t="shared" si="17"/>
        <v>-4.5380666091361377E-3</v>
      </c>
      <c r="T127" s="6">
        <f t="shared" si="18"/>
        <v>-6.1196208726488344E-4</v>
      </c>
      <c r="U127" s="6">
        <f t="shared" si="19"/>
        <v>-7.0793943697374795E-3</v>
      </c>
      <c r="V127" s="6">
        <f t="shared" si="20"/>
        <v>-8.9309494814409085E-3</v>
      </c>
      <c r="W127" s="6">
        <f t="shared" si="21"/>
        <v>-4.2786969197043945E-3</v>
      </c>
      <c r="X127" s="6">
        <f t="shared" si="22"/>
        <v>-7.3674617473877824E-3</v>
      </c>
      <c r="Y127" s="6">
        <f t="shared" si="23"/>
        <v>2.181734995253537E-3</v>
      </c>
      <c r="Z127" s="6">
        <f t="shared" si="24"/>
        <v>-8.31256090985244E-3</v>
      </c>
    </row>
    <row r="128" spans="1:26" x14ac:dyDescent="0.45">
      <c r="A128">
        <v>126</v>
      </c>
      <c r="B128" s="1">
        <v>998.82609482382748</v>
      </c>
      <c r="C128" s="1">
        <v>998.82609482382748</v>
      </c>
      <c r="D128" s="2">
        <v>46.481326907968977</v>
      </c>
      <c r="E128" s="2">
        <v>79.813408283074352</v>
      </c>
      <c r="F128" s="2">
        <v>22.900082395359568</v>
      </c>
      <c r="G128" s="2">
        <v>14.813855529309711</v>
      </c>
      <c r="H128" s="2">
        <v>75.888850214682421</v>
      </c>
      <c r="I128" s="2">
        <v>48.018225618841463</v>
      </c>
      <c r="J128" s="2">
        <v>142.70002495369181</v>
      </c>
      <c r="K128" s="2">
        <v>59.621044055608735</v>
      </c>
      <c r="L128" s="2">
        <v>7.4831640813297557</v>
      </c>
      <c r="M128" s="2">
        <v>19.2763345966872</v>
      </c>
      <c r="O128" s="6">
        <f t="shared" si="13"/>
        <v>1.9936054660620872E-3</v>
      </c>
      <c r="P128" s="6">
        <f t="shared" si="14"/>
        <v>1.9936054660620872E-3</v>
      </c>
      <c r="Q128" s="6">
        <f t="shared" si="15"/>
        <v>4.4322784045462971E-3</v>
      </c>
      <c r="R128" s="6">
        <f t="shared" si="16"/>
        <v>-4.6916413411963731E-3</v>
      </c>
      <c r="S128" s="6">
        <f t="shared" si="17"/>
        <v>2.6207633101205108E-3</v>
      </c>
      <c r="T128" s="6">
        <f t="shared" si="18"/>
        <v>4.4813971712975853E-3</v>
      </c>
      <c r="U128" s="6">
        <f t="shared" si="19"/>
        <v>6.6933905659949389E-4</v>
      </c>
      <c r="V128" s="6">
        <f t="shared" si="20"/>
        <v>3.1864282363036622E-4</v>
      </c>
      <c r="W128" s="6">
        <f t="shared" si="21"/>
        <v>8.4194196879388006E-3</v>
      </c>
      <c r="X128" s="6">
        <f t="shared" si="22"/>
        <v>-7.7214975319932488E-3</v>
      </c>
      <c r="Y128" s="6">
        <f t="shared" si="23"/>
        <v>-1.0022607195884214E-3</v>
      </c>
      <c r="Z128" s="6">
        <f t="shared" si="24"/>
        <v>2.0416177371382904E-3</v>
      </c>
    </row>
    <row r="129" spans="1:26" x14ac:dyDescent="0.45">
      <c r="A129">
        <v>127</v>
      </c>
      <c r="B129" s="1">
        <v>1000.8173599861137</v>
      </c>
      <c r="C129" s="1">
        <v>1000.8173599861137</v>
      </c>
      <c r="D129" s="2">
        <v>46.687345089437827</v>
      </c>
      <c r="E129" s="2">
        <v>79.438952397191699</v>
      </c>
      <c r="F129" s="2">
        <v>22.960098091100065</v>
      </c>
      <c r="G129" s="2">
        <v>14.880242299574771</v>
      </c>
      <c r="H129" s="2">
        <v>75.93964558609153</v>
      </c>
      <c r="I129" s="2">
        <v>48.03352628183837</v>
      </c>
      <c r="J129" s="2">
        <v>143.90147635325627</v>
      </c>
      <c r="K129" s="2">
        <v>59.160680311078494</v>
      </c>
      <c r="L129" s="2">
        <v>7.4756639999128041</v>
      </c>
      <c r="M129" s="2">
        <v>19.31568950330681</v>
      </c>
      <c r="O129" s="6">
        <f t="shared" si="13"/>
        <v>-1.2739531736657428E-3</v>
      </c>
      <c r="P129" s="6">
        <f t="shared" si="14"/>
        <v>-1.2739531736657428E-3</v>
      </c>
      <c r="Q129" s="6">
        <f t="shared" si="15"/>
        <v>2.6237658802998887E-3</v>
      </c>
      <c r="R129" s="6">
        <f t="shared" si="16"/>
        <v>4.4215949649861752E-3</v>
      </c>
      <c r="S129" s="6">
        <f t="shared" si="17"/>
        <v>-4.0918087977298567E-3</v>
      </c>
      <c r="T129" s="6">
        <f t="shared" si="18"/>
        <v>1.7224078101016893E-3</v>
      </c>
      <c r="U129" s="6">
        <f t="shared" si="19"/>
        <v>4.5909294565418257E-3</v>
      </c>
      <c r="V129" s="6">
        <f t="shared" si="20"/>
        <v>6.3485254176165462E-4</v>
      </c>
      <c r="W129" s="6">
        <f t="shared" si="21"/>
        <v>-8.5190277062198172E-3</v>
      </c>
      <c r="X129" s="6">
        <f t="shared" si="22"/>
        <v>-4.1406623742468174E-3</v>
      </c>
      <c r="Y129" s="6">
        <f t="shared" si="23"/>
        <v>-1.0501589575929726E-3</v>
      </c>
      <c r="Z129" s="6">
        <f t="shared" si="24"/>
        <v>6.3857733282723927E-4</v>
      </c>
    </row>
    <row r="130" spans="1:26" x14ac:dyDescent="0.45">
      <c r="A130">
        <v>128</v>
      </c>
      <c r="B130" s="1">
        <v>999.54236553409964</v>
      </c>
      <c r="C130" s="1">
        <v>999.54236553409964</v>
      </c>
      <c r="D130" s="2">
        <v>46.80984175252528</v>
      </c>
      <c r="E130" s="2">
        <v>79.790199269134902</v>
      </c>
      <c r="F130" s="2">
        <v>22.86614975973416</v>
      </c>
      <c r="G130" s="2">
        <v>14.905872145127764</v>
      </c>
      <c r="H130" s="2">
        <v>76.288279141932065</v>
      </c>
      <c r="I130" s="2">
        <v>48.064020488088168</v>
      </c>
      <c r="J130" s="2">
        <v>142.67557568923695</v>
      </c>
      <c r="K130" s="2">
        <v>58.915715908079569</v>
      </c>
      <c r="L130" s="2">
        <v>7.4678133643993405</v>
      </c>
      <c r="M130" s="2">
        <v>19.328024064791553</v>
      </c>
      <c r="O130" s="6">
        <f t="shared" si="13"/>
        <v>-4.1881636895302332E-4</v>
      </c>
      <c r="P130" s="6">
        <f t="shared" si="14"/>
        <v>-4.1881636895302332E-4</v>
      </c>
      <c r="Q130" s="6">
        <f t="shared" si="15"/>
        <v>2.7891252767984209E-3</v>
      </c>
      <c r="R130" s="6">
        <f t="shared" si="16"/>
        <v>2.1754924358603489E-3</v>
      </c>
      <c r="S130" s="6">
        <f t="shared" si="17"/>
        <v>1.4180337963871636E-3</v>
      </c>
      <c r="T130" s="6">
        <f t="shared" si="18"/>
        <v>2.3449480738690909E-3</v>
      </c>
      <c r="U130" s="6">
        <f t="shared" si="19"/>
        <v>6.5148740031319985E-3</v>
      </c>
      <c r="V130" s="6">
        <f t="shared" si="20"/>
        <v>-2.4665659360010306E-3</v>
      </c>
      <c r="W130" s="6">
        <f t="shared" si="21"/>
        <v>1.5147650351159392E-3</v>
      </c>
      <c r="X130" s="6">
        <f t="shared" si="22"/>
        <v>2.8044296444813543E-3</v>
      </c>
      <c r="Y130" s="6">
        <f t="shared" si="23"/>
        <v>3.6714760241141065E-4</v>
      </c>
      <c r="Z130" s="6">
        <f t="shared" si="24"/>
        <v>-4.6816660157364964E-3</v>
      </c>
    </row>
    <row r="131" spans="1:26" x14ac:dyDescent="0.45">
      <c r="A131">
        <v>129</v>
      </c>
      <c r="B131" s="1">
        <v>999.12374082995188</v>
      </c>
      <c r="C131" s="1">
        <v>999.12374082995188</v>
      </c>
      <c r="D131" s="2">
        <v>46.940400265360182</v>
      </c>
      <c r="E131" s="2">
        <v>79.963782244100699</v>
      </c>
      <c r="F131" s="2">
        <v>22.898574732886715</v>
      </c>
      <c r="G131" s="2">
        <v>14.940825641303821</v>
      </c>
      <c r="H131" s="2">
        <v>76.785287668457514</v>
      </c>
      <c r="I131" s="2">
        <v>47.945467412404994</v>
      </c>
      <c r="J131" s="2">
        <v>142.89169566265605</v>
      </c>
      <c r="K131" s="2">
        <v>59.080940888298031</v>
      </c>
      <c r="L131" s="2">
        <v>7.4705551541713353</v>
      </c>
      <c r="M131" s="2">
        <v>19.23753671137608</v>
      </c>
      <c r="O131" s="6">
        <f t="shared" si="13"/>
        <v>1.3125586210058771E-3</v>
      </c>
      <c r="P131" s="6">
        <f t="shared" si="14"/>
        <v>1.3125586210058771E-3</v>
      </c>
      <c r="Q131" s="6">
        <f t="shared" si="15"/>
        <v>1.5714186387780771E-3</v>
      </c>
      <c r="R131" s="6">
        <f t="shared" si="16"/>
        <v>5.0316254936522142E-4</v>
      </c>
      <c r="S131" s="6">
        <f t="shared" si="17"/>
        <v>7.4511222292805712E-4</v>
      </c>
      <c r="T131" s="6">
        <f t="shared" si="18"/>
        <v>3.8987043136524679E-3</v>
      </c>
      <c r="U131" s="6">
        <f t="shared" si="19"/>
        <v>-2.9692632863582702E-3</v>
      </c>
      <c r="V131" s="6">
        <f t="shared" si="20"/>
        <v>4.8530719525288202E-3</v>
      </c>
      <c r="W131" s="6">
        <f t="shared" si="21"/>
        <v>-1.3282893230496251E-3</v>
      </c>
      <c r="X131" s="6">
        <f t="shared" si="22"/>
        <v>-7.610492048760964E-3</v>
      </c>
      <c r="Y131" s="6">
        <f t="shared" si="23"/>
        <v>-2.571944290297723E-3</v>
      </c>
      <c r="Z131" s="6">
        <f t="shared" si="24"/>
        <v>3.0463322026399453E-3</v>
      </c>
    </row>
    <row r="132" spans="1:26" x14ac:dyDescent="0.45">
      <c r="A132">
        <v>130</v>
      </c>
      <c r="B132" s="1">
        <v>1000.4351493094299</v>
      </c>
      <c r="C132" s="1">
        <v>1000.4351493094299</v>
      </c>
      <c r="D132" s="2">
        <v>47.01416328524887</v>
      </c>
      <c r="E132" s="2">
        <v>80.004017024631523</v>
      </c>
      <c r="F132" s="2">
        <v>22.91563674080782</v>
      </c>
      <c r="G132" s="2">
        <v>14.999075502681102</v>
      </c>
      <c r="H132" s="2">
        <v>76.557291932851101</v>
      </c>
      <c r="I132" s="2">
        <v>48.178150215555021</v>
      </c>
      <c r="J132" s="2">
        <v>142.70189414895489</v>
      </c>
      <c r="K132" s="2">
        <v>58.63130585743432</v>
      </c>
      <c r="L132" s="2">
        <v>7.4513413024972097</v>
      </c>
      <c r="M132" s="2">
        <v>19.296140638959415</v>
      </c>
      <c r="O132" s="6">
        <f t="shared" ref="O132:O195" si="25">B133/B132-1</f>
        <v>-2.9269509514927572E-3</v>
      </c>
      <c r="P132" s="6">
        <f t="shared" si="14"/>
        <v>-2.9269509514927572E-3</v>
      </c>
      <c r="Q132" s="6">
        <f t="shared" si="15"/>
        <v>-1.7374440892244936E-3</v>
      </c>
      <c r="R132" s="6">
        <f t="shared" si="16"/>
        <v>4.0708842196586215E-3</v>
      </c>
      <c r="S132" s="6">
        <f t="shared" si="17"/>
        <v>-4.9319612070113372E-3</v>
      </c>
      <c r="T132" s="6">
        <f t="shared" si="18"/>
        <v>-2.4349968638941455E-3</v>
      </c>
      <c r="U132" s="6">
        <f t="shared" si="19"/>
        <v>-6.0071401378436473E-4</v>
      </c>
      <c r="V132" s="6">
        <f t="shared" si="20"/>
        <v>-8.0415441649027697E-3</v>
      </c>
      <c r="W132" s="6">
        <f t="shared" si="21"/>
        <v>-1.4961170920234745E-2</v>
      </c>
      <c r="X132" s="6">
        <f t="shared" si="22"/>
        <v>-4.6500570602026059E-3</v>
      </c>
      <c r="Y132" s="6">
        <f t="shared" si="23"/>
        <v>-2.2440848972782312E-4</v>
      </c>
      <c r="Z132" s="6">
        <f t="shared" si="24"/>
        <v>-3.2239252666894647E-3</v>
      </c>
    </row>
    <row r="133" spans="1:26" x14ac:dyDescent="0.45">
      <c r="A133">
        <v>131</v>
      </c>
      <c r="B133" s="1">
        <v>997.50692469725186</v>
      </c>
      <c r="C133" s="1">
        <v>997.50692469725186</v>
      </c>
      <c r="D133" s="2">
        <v>46.932478805139077</v>
      </c>
      <c r="E133" s="2">
        <v>80.329704115046397</v>
      </c>
      <c r="F133" s="2">
        <v>22.802617709368192</v>
      </c>
      <c r="G133" s="2">
        <v>14.962552800870762</v>
      </c>
      <c r="H133" s="2">
        <v>76.511302894729653</v>
      </c>
      <c r="I133" s="2">
        <v>47.790723492813314</v>
      </c>
      <c r="J133" s="2">
        <v>140.56690671995113</v>
      </c>
      <c r="K133" s="2">
        <v>58.358666939683062</v>
      </c>
      <c r="L133" s="2">
        <v>7.4496691582490699</v>
      </c>
      <c r="M133" s="2">
        <v>19.23393132360388</v>
      </c>
      <c r="O133" s="6">
        <f t="shared" si="25"/>
        <v>5.385824498258529E-4</v>
      </c>
      <c r="P133" s="6">
        <f t="shared" si="14"/>
        <v>5.385824498258529E-4</v>
      </c>
      <c r="Q133" s="6">
        <f t="shared" si="15"/>
        <v>3.0260041041922925E-3</v>
      </c>
      <c r="R133" s="6">
        <f t="shared" si="16"/>
        <v>2.9937443941374653E-4</v>
      </c>
      <c r="S133" s="6">
        <f t="shared" si="17"/>
        <v>-3.4678765942949275E-3</v>
      </c>
      <c r="T133" s="6">
        <f t="shared" si="18"/>
        <v>1.7805936118837629E-3</v>
      </c>
      <c r="U133" s="6">
        <f t="shared" si="19"/>
        <v>-2.6228998539994386E-3</v>
      </c>
      <c r="V133" s="6">
        <f t="shared" si="20"/>
        <v>1.1750055401407389E-2</v>
      </c>
      <c r="W133" s="6">
        <f t="shared" si="21"/>
        <v>3.828428835560338E-3</v>
      </c>
      <c r="X133" s="6">
        <f t="shared" si="22"/>
        <v>8.3396580481320814E-3</v>
      </c>
      <c r="Y133" s="6">
        <f t="shared" si="23"/>
        <v>-5.9381199145366326E-3</v>
      </c>
      <c r="Z133" s="6">
        <f t="shared" si="24"/>
        <v>-5.7200250575578648E-3</v>
      </c>
    </row>
    <row r="134" spans="1:26" x14ac:dyDescent="0.45">
      <c r="A134">
        <v>132</v>
      </c>
      <c r="B134" s="1">
        <v>998.04416442047352</v>
      </c>
      <c r="C134" s="1">
        <v>998.04416442047352</v>
      </c>
      <c r="D134" s="2">
        <v>47.074496678623348</v>
      </c>
      <c r="E134" s="2">
        <v>80.353752775184105</v>
      </c>
      <c r="F134" s="2">
        <v>22.72354104512522</v>
      </c>
      <c r="G134" s="2">
        <v>14.989195026805467</v>
      </c>
      <c r="H134" s="2">
        <v>76.31062140953776</v>
      </c>
      <c r="I134" s="2">
        <v>48.352267141527214</v>
      </c>
      <c r="J134" s="2">
        <v>141.10505711896332</v>
      </c>
      <c r="K134" s="2">
        <v>58.845358266104846</v>
      </c>
      <c r="L134" s="2">
        <v>7.4054321294637617</v>
      </c>
      <c r="M134" s="2">
        <v>19.123912754477519</v>
      </c>
      <c r="O134" s="6">
        <f t="shared" si="25"/>
        <v>1.0702021228325975E-4</v>
      </c>
      <c r="P134" s="6">
        <f t="shared" si="14"/>
        <v>1.0702021228325975E-4</v>
      </c>
      <c r="Q134" s="6">
        <f t="shared" si="15"/>
        <v>5.7802678145502107E-4</v>
      </c>
      <c r="R134" s="6">
        <f t="shared" si="16"/>
        <v>7.2817700633003302E-3</v>
      </c>
      <c r="S134" s="6">
        <f t="shared" si="17"/>
        <v>4.2278522199907798E-3</v>
      </c>
      <c r="T134" s="6">
        <f t="shared" si="18"/>
        <v>-2.3300572830406985E-3</v>
      </c>
      <c r="U134" s="6">
        <f t="shared" si="19"/>
        <v>5.1119324517807652E-3</v>
      </c>
      <c r="V134" s="6">
        <f t="shared" si="20"/>
        <v>5.553158512002998E-3</v>
      </c>
      <c r="W134" s="6">
        <f t="shared" si="21"/>
        <v>-5.791954729823745E-3</v>
      </c>
      <c r="X134" s="6">
        <f t="shared" si="22"/>
        <v>2.748314910780314E-3</v>
      </c>
      <c r="Y134" s="6">
        <f t="shared" si="23"/>
        <v>1.2206683257272033E-2</v>
      </c>
      <c r="Z134" s="6">
        <f t="shared" si="24"/>
        <v>1.453581320958186E-3</v>
      </c>
    </row>
    <row r="135" spans="1:26" x14ac:dyDescent="0.45">
      <c r="A135">
        <v>133</v>
      </c>
      <c r="B135" s="1">
        <v>998.15097531881781</v>
      </c>
      <c r="C135" s="1">
        <v>998.15097531881781</v>
      </c>
      <c r="D135" s="2">
        <v>47.101706998427105</v>
      </c>
      <c r="E135" s="2">
        <v>80.938870326616282</v>
      </c>
      <c r="F135" s="2">
        <v>22.819612818578904</v>
      </c>
      <c r="G135" s="2">
        <v>14.954269343766342</v>
      </c>
      <c r="H135" s="2">
        <v>76.700716151536739</v>
      </c>
      <c r="I135" s="2">
        <v>48.620774945378827</v>
      </c>
      <c r="J135" s="2">
        <v>140.28778301598109</v>
      </c>
      <c r="K135" s="2">
        <v>59.007083841657789</v>
      </c>
      <c r="L135" s="2">
        <v>7.4958278938513514</v>
      </c>
      <c r="M135" s="2">
        <v>19.151710916841061</v>
      </c>
      <c r="O135" s="6">
        <f t="shared" si="25"/>
        <v>-4.1682404375542603E-4</v>
      </c>
      <c r="P135" s="6">
        <f t="shared" si="14"/>
        <v>-4.1682404375542603E-4</v>
      </c>
      <c r="Q135" s="6">
        <f t="shared" si="15"/>
        <v>-2.5028705877072621E-3</v>
      </c>
      <c r="R135" s="6">
        <f t="shared" si="16"/>
        <v>-4.7113108308727281E-4</v>
      </c>
      <c r="S135" s="6">
        <f t="shared" si="17"/>
        <v>4.00029872793084E-3</v>
      </c>
      <c r="T135" s="6">
        <f t="shared" si="18"/>
        <v>1.8239528368784175E-3</v>
      </c>
      <c r="U135" s="6">
        <f t="shared" si="19"/>
        <v>-9.3525558003337839E-4</v>
      </c>
      <c r="V135" s="6">
        <f t="shared" si="20"/>
        <v>-1.5840630288946889E-3</v>
      </c>
      <c r="W135" s="6">
        <f t="shared" si="21"/>
        <v>1.2193104928368559E-3</v>
      </c>
      <c r="X135" s="6">
        <f t="shared" si="22"/>
        <v>-4.3231125967883033E-3</v>
      </c>
      <c r="Y135" s="6">
        <f t="shared" si="23"/>
        <v>-7.1368547897054935E-3</v>
      </c>
      <c r="Z135" s="6">
        <f t="shared" si="24"/>
        <v>4.4783344877927789E-3</v>
      </c>
    </row>
    <row r="136" spans="1:26" x14ac:dyDescent="0.45">
      <c r="A136">
        <v>134</v>
      </c>
      <c r="B136" s="1">
        <v>997.73492199300699</v>
      </c>
      <c r="C136" s="1">
        <v>997.73492199300699</v>
      </c>
      <c r="D136" s="2">
        <v>46.983817521349934</v>
      </c>
      <c r="E136" s="2">
        <v>80.900737508975439</v>
      </c>
      <c r="F136" s="2">
        <v>22.91089808670894</v>
      </c>
      <c r="G136" s="2">
        <v>14.981545225759348</v>
      </c>
      <c r="H136" s="2">
        <v>76.628981378763456</v>
      </c>
      <c r="I136" s="2">
        <v>48.543756573351644</v>
      </c>
      <c r="J136" s="2">
        <v>140.45883738182928</v>
      </c>
      <c r="K136" s="2">
        <v>58.751989574202177</v>
      </c>
      <c r="L136" s="2">
        <v>7.4423312586443107</v>
      </c>
      <c r="M136" s="2">
        <v>19.237478684340189</v>
      </c>
      <c r="O136" s="6">
        <f t="shared" si="25"/>
        <v>-2.4350621172807285E-3</v>
      </c>
      <c r="P136" s="6">
        <f t="shared" si="14"/>
        <v>-2.4350621172807285E-3</v>
      </c>
      <c r="Q136" s="6">
        <f t="shared" si="15"/>
        <v>1.2529084033885418E-3</v>
      </c>
      <c r="R136" s="6">
        <f t="shared" si="16"/>
        <v>-3.4448307767886988E-3</v>
      </c>
      <c r="S136" s="6">
        <f t="shared" si="17"/>
        <v>6.2260209970665947E-4</v>
      </c>
      <c r="T136" s="6">
        <f t="shared" si="18"/>
        <v>-4.4846105046070228E-4</v>
      </c>
      <c r="U136" s="6">
        <f t="shared" si="19"/>
        <v>-4.5974581284764504E-3</v>
      </c>
      <c r="V136" s="6">
        <f t="shared" si="20"/>
        <v>-1.4192760307086827E-3</v>
      </c>
      <c r="W136" s="6">
        <f t="shared" si="21"/>
        <v>-2.8862218756109392E-4</v>
      </c>
      <c r="X136" s="6">
        <f t="shared" si="22"/>
        <v>4.3614966564242685E-4</v>
      </c>
      <c r="Y136" s="6">
        <f t="shared" si="23"/>
        <v>5.8503442239201675E-3</v>
      </c>
      <c r="Z136" s="6">
        <f t="shared" si="24"/>
        <v>-2.1274229853760485E-3</v>
      </c>
    </row>
    <row r="137" spans="1:26" x14ac:dyDescent="0.45">
      <c r="A137">
        <v>135</v>
      </c>
      <c r="B137" s="1">
        <v>995.30537548137374</v>
      </c>
      <c r="C137" s="1">
        <v>995.30537548137374</v>
      </c>
      <c r="D137" s="2">
        <v>47.042683941145704</v>
      </c>
      <c r="E137" s="2">
        <v>80.622048158539613</v>
      </c>
      <c r="F137" s="2">
        <v>22.925162459963889</v>
      </c>
      <c r="G137" s="2">
        <v>14.974826586249879</v>
      </c>
      <c r="H137" s="2">
        <v>76.276682845446786</v>
      </c>
      <c r="I137" s="2">
        <v>48.474859583206531</v>
      </c>
      <c r="J137" s="2">
        <v>140.41829784492185</v>
      </c>
      <c r="K137" s="2">
        <v>58.777614234810791</v>
      </c>
      <c r="L137" s="2">
        <v>7.4858714583358212</v>
      </c>
      <c r="M137" s="2">
        <v>19.196552430006442</v>
      </c>
      <c r="O137" s="6">
        <f t="shared" si="25"/>
        <v>-4.2443992713603329E-3</v>
      </c>
      <c r="P137" s="6">
        <f t="shared" si="14"/>
        <v>-4.2443992713603329E-3</v>
      </c>
      <c r="Q137" s="6">
        <f t="shared" si="15"/>
        <v>-6.377350889825717E-3</v>
      </c>
      <c r="R137" s="6">
        <f t="shared" si="16"/>
        <v>3.2086682261245336E-4</v>
      </c>
      <c r="S137" s="6">
        <f t="shared" si="17"/>
        <v>-2.7357223638347916E-3</v>
      </c>
      <c r="T137" s="6">
        <f t="shared" si="18"/>
        <v>-6.042908219521248E-3</v>
      </c>
      <c r="U137" s="6">
        <f t="shared" si="19"/>
        <v>-1.2034841748639336E-3</v>
      </c>
      <c r="V137" s="6">
        <f t="shared" si="20"/>
        <v>1.2335662397837677E-3</v>
      </c>
      <c r="W137" s="6">
        <f t="shared" si="21"/>
        <v>-5.3866916193381353E-3</v>
      </c>
      <c r="X137" s="6">
        <f t="shared" si="22"/>
        <v>-2.4839242258053451E-3</v>
      </c>
      <c r="Y137" s="6">
        <f t="shared" si="23"/>
        <v>-5.5818513518635093E-3</v>
      </c>
      <c r="Z137" s="6">
        <f t="shared" si="24"/>
        <v>-9.7376712306593838E-3</v>
      </c>
    </row>
    <row r="138" spans="1:26" x14ac:dyDescent="0.45">
      <c r="A138">
        <v>136</v>
      </c>
      <c r="B138" s="1">
        <v>991.08090207089958</v>
      </c>
      <c r="C138" s="1">
        <v>991.08090207089958</v>
      </c>
      <c r="D138" s="2">
        <v>46.742676238853846</v>
      </c>
      <c r="E138" s="2">
        <v>80.647917098964754</v>
      </c>
      <c r="F138" s="2">
        <v>22.86244558032762</v>
      </c>
      <c r="G138" s="2">
        <v>14.884335083585924</v>
      </c>
      <c r="H138" s="2">
        <v>76.184885064731176</v>
      </c>
      <c r="I138" s="2">
        <v>48.534656533466631</v>
      </c>
      <c r="J138" s="2">
        <v>139.66190777671889</v>
      </c>
      <c r="K138" s="2">
        <v>58.631615094877901</v>
      </c>
      <c r="L138" s="2">
        <v>7.4440864366162334</v>
      </c>
      <c r="M138" s="2">
        <v>19.009622713680923</v>
      </c>
      <c r="O138" s="6">
        <f t="shared" si="25"/>
        <v>-5.6886863571681268E-4</v>
      </c>
      <c r="P138" s="6">
        <f t="shared" si="14"/>
        <v>-5.6886863571681268E-4</v>
      </c>
      <c r="Q138" s="6">
        <f t="shared" si="15"/>
        <v>-2.285043029875089E-3</v>
      </c>
      <c r="R138" s="6">
        <f t="shared" si="16"/>
        <v>-2.2205265590382606E-3</v>
      </c>
      <c r="S138" s="6">
        <f t="shared" si="17"/>
        <v>4.9534441869081292E-4</v>
      </c>
      <c r="T138" s="6">
        <f t="shared" si="18"/>
        <v>-3.5409896674979402E-3</v>
      </c>
      <c r="U138" s="6">
        <f t="shared" si="19"/>
        <v>2.6877808014320603E-3</v>
      </c>
      <c r="V138" s="6">
        <f t="shared" si="20"/>
        <v>-6.1902136400359131E-3</v>
      </c>
      <c r="W138" s="6">
        <f t="shared" si="21"/>
        <v>1.2212477012228939E-2</v>
      </c>
      <c r="X138" s="6">
        <f t="shared" si="22"/>
        <v>3.651720524311175E-3</v>
      </c>
      <c r="Y138" s="6">
        <f t="shared" si="23"/>
        <v>-3.1820857964430793E-3</v>
      </c>
      <c r="Z138" s="6">
        <f t="shared" si="24"/>
        <v>5.8682086056482952E-4</v>
      </c>
    </row>
    <row r="139" spans="1:26" x14ac:dyDescent="0.45">
      <c r="A139">
        <v>137</v>
      </c>
      <c r="B139" s="1">
        <v>990.51710723025349</v>
      </c>
      <c r="C139" s="1">
        <v>990.51710723025349</v>
      </c>
      <c r="D139" s="2">
        <v>46.635867212316548</v>
      </c>
      <c r="E139" s="2">
        <v>80.468836257115385</v>
      </c>
      <c r="F139" s="2">
        <v>22.873770365143457</v>
      </c>
      <c r="G139" s="2">
        <v>14.831629806847369</v>
      </c>
      <c r="H139" s="2">
        <v>76.38965333616747</v>
      </c>
      <c r="I139" s="2">
        <v>48.234216640578708</v>
      </c>
      <c r="J139" s="2">
        <v>141.36752561492611</v>
      </c>
      <c r="K139" s="2">
        <v>58.845721367093383</v>
      </c>
      <c r="L139" s="2">
        <v>7.4203987148987824</v>
      </c>
      <c r="M139" s="2">
        <v>19.020777956840778</v>
      </c>
      <c r="O139" s="6">
        <f t="shared" si="25"/>
        <v>-2.2894110040020399E-3</v>
      </c>
      <c r="P139" s="6">
        <f t="shared" si="14"/>
        <v>-2.2894110040020399E-3</v>
      </c>
      <c r="Q139" s="6">
        <f t="shared" si="15"/>
        <v>-6.0876553774572573E-3</v>
      </c>
      <c r="R139" s="6">
        <f t="shared" si="16"/>
        <v>3.7736069252702897E-4</v>
      </c>
      <c r="S139" s="6">
        <f t="shared" si="17"/>
        <v>-3.1034681253041541E-3</v>
      </c>
      <c r="T139" s="6">
        <f t="shared" si="18"/>
        <v>-5.6248334111130838E-4</v>
      </c>
      <c r="U139" s="6">
        <f t="shared" si="19"/>
        <v>4.4711323563353389E-3</v>
      </c>
      <c r="V139" s="6">
        <f t="shared" si="20"/>
        <v>1.0175104024212622E-4</v>
      </c>
      <c r="W139" s="6">
        <f t="shared" si="21"/>
        <v>-3.3756903435755437E-4</v>
      </c>
      <c r="X139" s="6">
        <f t="shared" si="22"/>
        <v>5.0929294703982997E-4</v>
      </c>
      <c r="Y139" s="6">
        <f t="shared" si="23"/>
        <v>-1.1881338070581782E-3</v>
      </c>
      <c r="Z139" s="6">
        <f t="shared" si="24"/>
        <v>5.9439095115343399E-4</v>
      </c>
    </row>
    <row r="140" spans="1:26" x14ac:dyDescent="0.45">
      <c r="A140">
        <v>138</v>
      </c>
      <c r="B140" s="1">
        <v>988.24940646530831</v>
      </c>
      <c r="C140" s="1">
        <v>988.24940646530831</v>
      </c>
      <c r="D140" s="2">
        <v>46.351964124499105</v>
      </c>
      <c r="E140" s="2">
        <v>80.499202032892214</v>
      </c>
      <c r="F140" s="2">
        <v>22.802782347909709</v>
      </c>
      <c r="G140" s="2">
        <v>14.823287262159488</v>
      </c>
      <c r="H140" s="2">
        <v>76.731201586888048</v>
      </c>
      <c r="I140" s="2">
        <v>48.239124522297153</v>
      </c>
      <c r="J140" s="2">
        <v>141.31980431581476</v>
      </c>
      <c r="K140" s="2">
        <v>58.875691077949114</v>
      </c>
      <c r="L140" s="2">
        <v>7.4115822883237605</v>
      </c>
      <c r="M140" s="2">
        <v>19.032083735142223</v>
      </c>
      <c r="O140" s="6">
        <f t="shared" si="25"/>
        <v>-2.2843110740056183E-3</v>
      </c>
      <c r="P140" s="6">
        <f t="shared" si="14"/>
        <v>-2.2843110740056183E-3</v>
      </c>
      <c r="Q140" s="6">
        <f t="shared" si="15"/>
        <v>-1.9351782900075554E-3</v>
      </c>
      <c r="R140" s="6">
        <f t="shared" si="16"/>
        <v>-3.4058921275199605E-3</v>
      </c>
      <c r="S140" s="6">
        <f t="shared" si="17"/>
        <v>6.0772240501494323E-4</v>
      </c>
      <c r="T140" s="6">
        <f t="shared" si="18"/>
        <v>-2.4587476622894844E-4</v>
      </c>
      <c r="U140" s="6">
        <f t="shared" si="19"/>
        <v>2.4137472044438724E-4</v>
      </c>
      <c r="V140" s="6">
        <f t="shared" si="20"/>
        <v>-5.1460869987834945E-3</v>
      </c>
      <c r="W140" s="6">
        <f t="shared" si="21"/>
        <v>2.1315450207688436E-3</v>
      </c>
      <c r="X140" s="6">
        <f t="shared" si="22"/>
        <v>-3.0932093472195721E-3</v>
      </c>
      <c r="Y140" s="6">
        <f t="shared" si="23"/>
        <v>1.8553418726068305E-3</v>
      </c>
      <c r="Z140" s="6">
        <f t="shared" si="24"/>
        <v>6.2923039866258357E-4</v>
      </c>
    </row>
    <row r="141" spans="1:26" x14ac:dyDescent="0.45">
      <c r="A141">
        <v>139</v>
      </c>
      <c r="B141" s="1">
        <v>985.99193740224018</v>
      </c>
      <c r="C141" s="1">
        <v>985.99193740224018</v>
      </c>
      <c r="D141" s="2">
        <v>46.262264809826164</v>
      </c>
      <c r="E141" s="2">
        <v>80.225030434416752</v>
      </c>
      <c r="F141" s="2">
        <v>22.816640109639213</v>
      </c>
      <c r="G141" s="2">
        <v>14.81964258986916</v>
      </c>
      <c r="H141" s="2">
        <v>76.749722559220444</v>
      </c>
      <c r="I141" s="2">
        <v>47.990881790760263</v>
      </c>
      <c r="J141" s="2">
        <v>141.62103384104017</v>
      </c>
      <c r="K141" s="2">
        <v>58.693576239982789</v>
      </c>
      <c r="L141" s="2">
        <v>7.425333307285559</v>
      </c>
      <c r="M141" s="2">
        <v>19.044059300778265</v>
      </c>
      <c r="O141" s="6">
        <f t="shared" si="25"/>
        <v>1.7316946533536548E-3</v>
      </c>
      <c r="P141" s="6">
        <f t="shared" si="14"/>
        <v>1.7316946533536548E-3</v>
      </c>
      <c r="Q141" s="6">
        <f t="shared" si="15"/>
        <v>4.7764927788573885E-6</v>
      </c>
      <c r="R141" s="6">
        <f t="shared" si="16"/>
        <v>1.2059757524747194E-3</v>
      </c>
      <c r="S141" s="6">
        <f t="shared" si="17"/>
        <v>5.8100291341629529E-3</v>
      </c>
      <c r="T141" s="6">
        <f t="shared" si="18"/>
        <v>1.8086466459215078E-3</v>
      </c>
      <c r="U141" s="6">
        <f t="shared" si="19"/>
        <v>5.2321249650681967E-3</v>
      </c>
      <c r="V141" s="6">
        <f t="shared" si="20"/>
        <v>-3.582832116578949E-3</v>
      </c>
      <c r="W141" s="6">
        <f t="shared" si="21"/>
        <v>2.9135282097509929E-3</v>
      </c>
      <c r="X141" s="6">
        <f t="shared" si="22"/>
        <v>8.8232125959528673E-3</v>
      </c>
      <c r="Y141" s="6">
        <f t="shared" si="23"/>
        <v>6.5725309815063415E-3</v>
      </c>
      <c r="Z141" s="6">
        <f t="shared" si="24"/>
        <v>1.8595761837760794E-3</v>
      </c>
    </row>
    <row r="142" spans="1:26" x14ac:dyDescent="0.45">
      <c r="A142">
        <v>140</v>
      </c>
      <c r="B142" s="1">
        <v>987.69937436848943</v>
      </c>
      <c r="C142" s="1">
        <v>987.69937436848943</v>
      </c>
      <c r="D142" s="2">
        <v>46.262485781199963</v>
      </c>
      <c r="E142" s="2">
        <v>80.321779875862205</v>
      </c>
      <c r="F142" s="2">
        <v>22.949205453419928</v>
      </c>
      <c r="G142" s="2">
        <v>14.846446086733081</v>
      </c>
      <c r="H142" s="2">
        <v>77.151286698684601</v>
      </c>
      <c r="I142" s="2">
        <v>47.818938518177383</v>
      </c>
      <c r="J142" s="2">
        <v>142.03365071823015</v>
      </c>
      <c r="K142" s="2">
        <v>59.211442141164923</v>
      </c>
      <c r="L142" s="2">
        <v>7.4741365404957039</v>
      </c>
      <c r="M142" s="2">
        <v>19.079473179896411</v>
      </c>
      <c r="O142" s="6">
        <f t="shared" si="25"/>
        <v>-1.2316415656357105E-3</v>
      </c>
      <c r="P142" s="6">
        <f t="shared" si="14"/>
        <v>-1.2316415656357105E-3</v>
      </c>
      <c r="Q142" s="6">
        <f t="shared" si="15"/>
        <v>-5.199835470662828E-4</v>
      </c>
      <c r="R142" s="6">
        <f t="shared" si="16"/>
        <v>-8.7700725471951957E-3</v>
      </c>
      <c r="S142" s="6">
        <f t="shared" si="17"/>
        <v>-1.7576738042341944E-3</v>
      </c>
      <c r="T142" s="6">
        <f t="shared" si="18"/>
        <v>-4.8711646525820829E-3</v>
      </c>
      <c r="U142" s="6">
        <f t="shared" si="19"/>
        <v>9.5662478550373464E-4</v>
      </c>
      <c r="V142" s="6">
        <f t="shared" si="20"/>
        <v>-4.1535223806457022E-3</v>
      </c>
      <c r="W142" s="6">
        <f t="shared" si="21"/>
        <v>-6.0890691489332571E-3</v>
      </c>
      <c r="X142" s="6">
        <f t="shared" si="22"/>
        <v>-1.2047743040693337E-2</v>
      </c>
      <c r="Y142" s="6">
        <f t="shared" si="23"/>
        <v>1.0438015899185693E-2</v>
      </c>
      <c r="Z142" s="6">
        <f t="shared" si="24"/>
        <v>-9.8075701622857281E-4</v>
      </c>
    </row>
    <row r="143" spans="1:26" x14ac:dyDescent="0.45">
      <c r="A143">
        <v>141</v>
      </c>
      <c r="B143" s="1">
        <v>986.48288276466485</v>
      </c>
      <c r="C143" s="1">
        <v>986.48288276466485</v>
      </c>
      <c r="D143" s="2">
        <v>46.23843004974735</v>
      </c>
      <c r="E143" s="2">
        <v>79.617352039231051</v>
      </c>
      <c r="F143" s="2">
        <v>22.908868236166462</v>
      </c>
      <c r="G143" s="2">
        <v>14.774126603338921</v>
      </c>
      <c r="H143" s="2">
        <v>77.225091531774069</v>
      </c>
      <c r="I143" s="2">
        <v>47.620321486823414</v>
      </c>
      <c r="J143" s="2">
        <v>141.16879799753141</v>
      </c>
      <c r="K143" s="2">
        <v>58.498077901179286</v>
      </c>
      <c r="L143" s="2">
        <v>7.5521516965380826</v>
      </c>
      <c r="M143" s="2">
        <v>19.060760852709283</v>
      </c>
      <c r="O143" s="6">
        <f t="shared" si="25"/>
        <v>2.0037841590181404E-3</v>
      </c>
      <c r="P143" s="6">
        <f t="shared" si="14"/>
        <v>2.0037841590181404E-3</v>
      </c>
      <c r="Q143" s="6">
        <f t="shared" si="15"/>
        <v>-4.7133411970445849E-4</v>
      </c>
      <c r="R143" s="6">
        <f t="shared" si="16"/>
        <v>2.6971063994596367E-3</v>
      </c>
      <c r="S143" s="6">
        <f t="shared" si="17"/>
        <v>2.0209207239272331E-3</v>
      </c>
      <c r="T143" s="6">
        <f t="shared" si="18"/>
        <v>3.5252657736848381E-3</v>
      </c>
      <c r="U143" s="6">
        <f t="shared" si="19"/>
        <v>2.1692041837688691E-3</v>
      </c>
      <c r="V143" s="6">
        <f t="shared" si="20"/>
        <v>-2.4178649495063542E-3</v>
      </c>
      <c r="W143" s="6">
        <f t="shared" si="21"/>
        <v>2.1219609860723132E-4</v>
      </c>
      <c r="X143" s="6">
        <f t="shared" si="22"/>
        <v>2.2305635437926963E-3</v>
      </c>
      <c r="Y143" s="6">
        <f t="shared" si="23"/>
        <v>9.2653452532331926E-4</v>
      </c>
      <c r="Z143" s="6">
        <f t="shared" si="24"/>
        <v>5.7707935887745254E-3</v>
      </c>
    </row>
    <row r="144" spans="1:26" x14ac:dyDescent="0.45">
      <c r="A144">
        <v>142</v>
      </c>
      <c r="B144" s="1">
        <v>988.45958153829122</v>
      </c>
      <c r="C144" s="1">
        <v>988.45958153829122</v>
      </c>
      <c r="D144" s="2">
        <v>46.216636300023339</v>
      </c>
      <c r="E144" s="2">
        <v>79.832088508924087</v>
      </c>
      <c r="F144" s="2">
        <v>22.955165242746649</v>
      </c>
      <c r="G144" s="2">
        <v>14.826209326189758</v>
      </c>
      <c r="H144" s="2">
        <v>77.392608523416726</v>
      </c>
      <c r="I144" s="2">
        <v>47.5051819806162</v>
      </c>
      <c r="J144" s="2">
        <v>141.19875346571158</v>
      </c>
      <c r="K144" s="2">
        <v>58.628561581127599</v>
      </c>
      <c r="L144" s="2">
        <v>7.5591490258254046</v>
      </c>
      <c r="M144" s="2">
        <v>19.170756569235262</v>
      </c>
      <c r="O144" s="6">
        <f t="shared" si="25"/>
        <v>2.7839227760617646E-3</v>
      </c>
      <c r="P144" s="6">
        <f t="shared" si="14"/>
        <v>2.7839227760617646E-3</v>
      </c>
      <c r="Q144" s="6">
        <f t="shared" si="15"/>
        <v>4.7469090661378388E-4</v>
      </c>
      <c r="R144" s="6">
        <f t="shared" si="16"/>
        <v>2.3442101655892778E-3</v>
      </c>
      <c r="S144" s="6">
        <f t="shared" si="17"/>
        <v>-1.7104265220335702E-3</v>
      </c>
      <c r="T144" s="6">
        <f t="shared" si="18"/>
        <v>4.406386436924592E-3</v>
      </c>
      <c r="U144" s="6">
        <f t="shared" si="19"/>
        <v>-4.2448534047265785E-3</v>
      </c>
      <c r="V144" s="6">
        <f t="shared" si="20"/>
        <v>5.1611273304221772E-3</v>
      </c>
      <c r="W144" s="6">
        <f t="shared" si="21"/>
        <v>4.0790959556802342E-3</v>
      </c>
      <c r="X144" s="6">
        <f t="shared" si="22"/>
        <v>1.9871374939692821E-3</v>
      </c>
      <c r="Y144" s="6">
        <f t="shared" si="23"/>
        <v>4.0845452954434425E-3</v>
      </c>
      <c r="Z144" s="6">
        <f t="shared" si="24"/>
        <v>1.6206657418387227E-3</v>
      </c>
    </row>
    <row r="145" spans="1:26" x14ac:dyDescent="0.45">
      <c r="A145">
        <v>143</v>
      </c>
      <c r="B145" s="1">
        <v>991.21137668055212</v>
      </c>
      <c r="C145" s="1">
        <v>991.21137668055212</v>
      </c>
      <c r="D145" s="2">
        <v>46.238574917009238</v>
      </c>
      <c r="E145" s="2">
        <v>80.019231702346929</v>
      </c>
      <c r="F145" s="2">
        <v>22.91590211929779</v>
      </c>
      <c r="G145" s="2">
        <v>14.891539333875686</v>
      </c>
      <c r="H145" s="2">
        <v>77.064088245625427</v>
      </c>
      <c r="I145" s="2">
        <v>47.750362273673041</v>
      </c>
      <c r="J145" s="2">
        <v>141.77471672992064</v>
      </c>
      <c r="K145" s="2">
        <v>58.745064594062946</v>
      </c>
      <c r="L145" s="2">
        <v>7.5900247124163958</v>
      </c>
      <c r="M145" s="2">
        <v>19.201825957652151</v>
      </c>
      <c r="O145" s="6">
        <f t="shared" si="25"/>
        <v>3.3081332522975071E-3</v>
      </c>
      <c r="P145" s="6">
        <f t="shared" si="14"/>
        <v>3.3081332522975071E-3</v>
      </c>
      <c r="Q145" s="6">
        <f t="shared" si="15"/>
        <v>5.4478097671251113E-4</v>
      </c>
      <c r="R145" s="6">
        <f t="shared" si="16"/>
        <v>3.0303626615710844E-3</v>
      </c>
      <c r="S145" s="6">
        <f t="shared" si="17"/>
        <v>1.8057974321761261E-3</v>
      </c>
      <c r="T145" s="6">
        <f t="shared" si="18"/>
        <v>1.1893911459105899E-2</v>
      </c>
      <c r="U145" s="6">
        <f t="shared" si="19"/>
        <v>4.0650808592934684E-3</v>
      </c>
      <c r="V145" s="6">
        <f t="shared" si="20"/>
        <v>-4.3419035227595382E-3</v>
      </c>
      <c r="W145" s="6">
        <f t="shared" si="21"/>
        <v>2.7131562230877648E-3</v>
      </c>
      <c r="X145" s="6">
        <f t="shared" si="22"/>
        <v>-1.9705072696953874E-3</v>
      </c>
      <c r="Y145" s="6">
        <f t="shared" si="23"/>
        <v>2.909473648031291E-3</v>
      </c>
      <c r="Z145" s="6">
        <f t="shared" si="24"/>
        <v>7.8025918432156338E-3</v>
      </c>
    </row>
    <row r="146" spans="1:26" x14ac:dyDescent="0.45">
      <c r="A146">
        <v>144</v>
      </c>
      <c r="B146" s="1">
        <v>994.49043599580466</v>
      </c>
      <c r="C146" s="1">
        <v>994.49043599580466</v>
      </c>
      <c r="D146" s="2">
        <v>46.263764813014319</v>
      </c>
      <c r="E146" s="2">
        <v>80.261718994305326</v>
      </c>
      <c r="F146" s="2">
        <v>22.957283596500819</v>
      </c>
      <c r="G146" s="2">
        <v>15.068657984202597</v>
      </c>
      <c r="H146" s="2">
        <v>77.37735999569162</v>
      </c>
      <c r="I146" s="2">
        <v>47.543034807503936</v>
      </c>
      <c r="J146" s="2">
        <v>142.15937368489293</v>
      </c>
      <c r="K146" s="2">
        <v>58.62930701722162</v>
      </c>
      <c r="L146" s="2">
        <v>7.6121076893050779</v>
      </c>
      <c r="M146" s="2">
        <v>19.351649968244175</v>
      </c>
      <c r="O146" s="6">
        <f t="shared" si="25"/>
        <v>2.8075167894661135E-3</v>
      </c>
      <c r="P146" s="6">
        <f t="shared" si="14"/>
        <v>2.8075167894661135E-3</v>
      </c>
      <c r="Q146" s="6">
        <f t="shared" si="15"/>
        <v>8.2406663183440809E-3</v>
      </c>
      <c r="R146" s="6">
        <f t="shared" si="16"/>
        <v>3.4417809042277536E-3</v>
      </c>
      <c r="S146" s="6">
        <f t="shared" si="17"/>
        <v>8.5490461111279448E-3</v>
      </c>
      <c r="T146" s="6">
        <f t="shared" si="18"/>
        <v>7.7312566421157136E-3</v>
      </c>
      <c r="U146" s="6">
        <f t="shared" si="19"/>
        <v>6.6546713092414667E-3</v>
      </c>
      <c r="V146" s="6">
        <f t="shared" si="20"/>
        <v>2.9332165645803432E-3</v>
      </c>
      <c r="W146" s="6">
        <f t="shared" si="21"/>
        <v>-5.2888214405910627E-3</v>
      </c>
      <c r="X146" s="6">
        <f t="shared" si="22"/>
        <v>-7.0768296884425874E-3</v>
      </c>
      <c r="Y146" s="6">
        <f t="shared" si="23"/>
        <v>3.8963152237541099E-3</v>
      </c>
      <c r="Z146" s="6">
        <f t="shared" si="24"/>
        <v>3.8454418292654946E-3</v>
      </c>
    </row>
    <row r="147" spans="1:26" x14ac:dyDescent="0.45">
      <c r="A147">
        <v>145</v>
      </c>
      <c r="B147" s="1">
        <v>997.28248459182635</v>
      </c>
      <c r="C147" s="1">
        <v>997.28248459182635</v>
      </c>
      <c r="D147" s="2">
        <v>46.64500906146872</v>
      </c>
      <c r="E147" s="2">
        <v>80.537962246080426</v>
      </c>
      <c r="F147" s="2">
        <v>23.153546472553547</v>
      </c>
      <c r="G147" s="2">
        <v>15.185157646330733</v>
      </c>
      <c r="H147" s="2">
        <v>77.8922808932398</v>
      </c>
      <c r="I147" s="2">
        <v>47.682488824731728</v>
      </c>
      <c r="J147" s="2">
        <v>141.40751814136726</v>
      </c>
      <c r="K147" s="2">
        <v>58.21439739670933</v>
      </c>
      <c r="L147" s="2">
        <v>7.6417668603797733</v>
      </c>
      <c r="M147" s="2">
        <v>19.426065612497364</v>
      </c>
      <c r="O147" s="6">
        <f t="shared" si="25"/>
        <v>1.9403562851223466E-3</v>
      </c>
      <c r="P147" s="6">
        <f t="shared" ref="P147:P210" si="26">C148/C147-1</f>
        <v>1.9403562851223466E-3</v>
      </c>
      <c r="Q147" s="6">
        <f t="shared" ref="Q147:Q210" si="27">D148/D147-1</f>
        <v>1.1855026598195373E-3</v>
      </c>
      <c r="R147" s="6">
        <f t="shared" ref="R147:R210" si="28">E148/E147-1</f>
        <v>-8.8657022418792142E-4</v>
      </c>
      <c r="S147" s="6">
        <f t="shared" ref="S147:S210" si="29">F148/F147-1</f>
        <v>-1.6310080157022622E-4</v>
      </c>
      <c r="T147" s="6">
        <f t="shared" ref="T147:T210" si="30">G148/G147-1</f>
        <v>2.8483452801393305E-3</v>
      </c>
      <c r="U147" s="6">
        <f t="shared" ref="U147:U210" si="31">H148/H147-1</f>
        <v>-3.9288502939323067E-3</v>
      </c>
      <c r="V147" s="6">
        <f t="shared" ref="V147:V210" si="32">I148/I147-1</f>
        <v>7.906766868417181E-3</v>
      </c>
      <c r="W147" s="6">
        <f t="shared" ref="W147:W210" si="33">J148/J147-1</f>
        <v>8.7927858568193074E-4</v>
      </c>
      <c r="X147" s="6">
        <f t="shared" ref="X147:X210" si="34">K148/K147-1</f>
        <v>1.8559230913162139E-4</v>
      </c>
      <c r="Y147" s="6">
        <f t="shared" ref="Y147:Y210" si="35">L148/L147-1</f>
        <v>8.0251127026853553E-3</v>
      </c>
      <c r="Z147" s="6">
        <f t="shared" ref="Z147:Z210" si="36">M148/M147-1</f>
        <v>1.5488088787063425E-3</v>
      </c>
    </row>
    <row r="148" spans="1:26" x14ac:dyDescent="0.45">
      <c r="A148">
        <v>146</v>
      </c>
      <c r="B148" s="1">
        <v>999.21756792884651</v>
      </c>
      <c r="C148" s="1">
        <v>999.21756792884651</v>
      </c>
      <c r="D148" s="2">
        <v>46.700306843778399</v>
      </c>
      <c r="E148" s="2">
        <v>80.466559686836277</v>
      </c>
      <c r="F148" s="2">
        <v>23.149770110564681</v>
      </c>
      <c r="G148" s="2">
        <v>15.228410218440832</v>
      </c>
      <c r="H148" s="2">
        <v>77.586253782557336</v>
      </c>
      <c r="I148" s="2">
        <v>48.059503147574787</v>
      </c>
      <c r="J148" s="2">
        <v>141.53185474392339</v>
      </c>
      <c r="K148" s="2">
        <v>58.225201541146895</v>
      </c>
      <c r="L148" s="2">
        <v>7.7030929006819671</v>
      </c>
      <c r="M148" s="2">
        <v>19.456152875396331</v>
      </c>
      <c r="O148" s="6">
        <f t="shared" si="25"/>
        <v>1.292561184347063E-3</v>
      </c>
      <c r="P148" s="6">
        <f t="shared" si="26"/>
        <v>1.292561184347063E-3</v>
      </c>
      <c r="Q148" s="6">
        <f t="shared" si="27"/>
        <v>5.4147289608048599E-3</v>
      </c>
      <c r="R148" s="6">
        <f t="shared" si="28"/>
        <v>-1.7597921429793884E-3</v>
      </c>
      <c r="S148" s="6">
        <f t="shared" si="29"/>
        <v>-4.2431073611828296E-3</v>
      </c>
      <c r="T148" s="6">
        <f t="shared" si="30"/>
        <v>1.4527392869665423E-3</v>
      </c>
      <c r="U148" s="6">
        <f t="shared" si="31"/>
        <v>5.8398493235611859E-3</v>
      </c>
      <c r="V148" s="6">
        <f t="shared" si="32"/>
        <v>-1.8626956505318759E-4</v>
      </c>
      <c r="W148" s="6">
        <f t="shared" si="33"/>
        <v>4.098091867611009E-3</v>
      </c>
      <c r="X148" s="6">
        <f t="shared" si="34"/>
        <v>-6.018439328666747E-3</v>
      </c>
      <c r="Y148" s="6">
        <f t="shared" si="35"/>
        <v>3.4773085218178235E-3</v>
      </c>
      <c r="Z148" s="6">
        <f t="shared" si="36"/>
        <v>-8.0817886912426529E-3</v>
      </c>
    </row>
    <row r="149" spans="1:26" x14ac:dyDescent="0.45">
      <c r="A149">
        <v>147</v>
      </c>
      <c r="B149" s="1">
        <v>1000.509117771869</v>
      </c>
      <c r="C149" s="1">
        <v>1000.509117771869</v>
      </c>
      <c r="D149" s="2">
        <v>46.953176347723883</v>
      </c>
      <c r="E149" s="2">
        <v>80.3249552673268</v>
      </c>
      <c r="F149" s="2">
        <v>23.051543150598853</v>
      </c>
      <c r="G149" s="2">
        <v>15.250533128243204</v>
      </c>
      <c r="H149" s="2">
        <v>78.039345814227048</v>
      </c>
      <c r="I149" s="2">
        <v>48.050551124826818</v>
      </c>
      <c r="J149" s="2">
        <v>142.11186528685735</v>
      </c>
      <c r="K149" s="2">
        <v>57.874776698272107</v>
      </c>
      <c r="L149" s="2">
        <v>7.7298789312698633</v>
      </c>
      <c r="M149" s="2">
        <v>19.298912359112865</v>
      </c>
      <c r="O149" s="6">
        <f t="shared" si="25"/>
        <v>-4.9812057929254916E-4</v>
      </c>
      <c r="P149" s="6">
        <f t="shared" si="26"/>
        <v>-4.9812057929254916E-4</v>
      </c>
      <c r="Q149" s="6">
        <f t="shared" si="27"/>
        <v>-1.0677456983452238E-3</v>
      </c>
      <c r="R149" s="6">
        <f t="shared" si="28"/>
        <v>2.6969982552704774E-3</v>
      </c>
      <c r="S149" s="6">
        <f t="shared" si="29"/>
        <v>-1.5996926863550698E-3</v>
      </c>
      <c r="T149" s="6">
        <f t="shared" si="30"/>
        <v>1.9300167326796736E-3</v>
      </c>
      <c r="U149" s="6">
        <f t="shared" si="31"/>
        <v>8.7710289621623083E-4</v>
      </c>
      <c r="V149" s="6">
        <f t="shared" si="32"/>
        <v>3.9786926258678079E-4</v>
      </c>
      <c r="W149" s="6">
        <f t="shared" si="33"/>
        <v>-2.9902156444473471E-3</v>
      </c>
      <c r="X149" s="6">
        <f t="shared" si="34"/>
        <v>2.6122729032926895E-3</v>
      </c>
      <c r="Y149" s="6">
        <f t="shared" si="35"/>
        <v>6.969716921392255E-4</v>
      </c>
      <c r="Z149" s="6">
        <f t="shared" si="36"/>
        <v>-8.83452067296564E-4</v>
      </c>
    </row>
    <row r="150" spans="1:26" x14ac:dyDescent="0.45">
      <c r="A150">
        <v>148</v>
      </c>
      <c r="B150" s="1">
        <v>1000.010743590537</v>
      </c>
      <c r="C150" s="1">
        <v>1000.010743590537</v>
      </c>
      <c r="D150" s="2">
        <v>46.903042295654956</v>
      </c>
      <c r="E150" s="2">
        <v>80.541591531537463</v>
      </c>
      <c r="F150" s="2">
        <v>23.014667765611641</v>
      </c>
      <c r="G150" s="2">
        <v>15.279966912362999</v>
      </c>
      <c r="H150" s="2">
        <v>78.107794350459528</v>
      </c>
      <c r="I150" s="2">
        <v>48.069668962169743</v>
      </c>
      <c r="J150" s="2">
        <v>141.68692016401499</v>
      </c>
      <c r="K150" s="2">
        <v>58.025961409225118</v>
      </c>
      <c r="L150" s="2">
        <v>7.7352664380686216</v>
      </c>
      <c r="M150" s="2">
        <v>19.281862695092631</v>
      </c>
      <c r="O150" s="6">
        <f t="shared" si="25"/>
        <v>-1.8502462299625488E-3</v>
      </c>
      <c r="P150" s="6">
        <f t="shared" si="26"/>
        <v>-1.8502462299625488E-3</v>
      </c>
      <c r="Q150" s="6">
        <f t="shared" si="27"/>
        <v>1.1407692315816842E-3</v>
      </c>
      <c r="R150" s="6">
        <f t="shared" si="28"/>
        <v>-5.3470444933392258E-3</v>
      </c>
      <c r="S150" s="6">
        <f t="shared" si="29"/>
        <v>-2.4012062721087135E-3</v>
      </c>
      <c r="T150" s="6">
        <f t="shared" si="30"/>
        <v>-1.386859677668828E-3</v>
      </c>
      <c r="U150" s="6">
        <f t="shared" si="31"/>
        <v>-1.9117059436141171E-3</v>
      </c>
      <c r="V150" s="6">
        <f t="shared" si="32"/>
        <v>-2.3573365519462541E-3</v>
      </c>
      <c r="W150" s="6">
        <f t="shared" si="33"/>
        <v>-1.6438902355608853E-4</v>
      </c>
      <c r="X150" s="6">
        <f t="shared" si="34"/>
        <v>-5.4149854068935577E-3</v>
      </c>
      <c r="Y150" s="6">
        <f t="shared" si="35"/>
        <v>3.1125363194306477E-3</v>
      </c>
      <c r="Z150" s="6">
        <f t="shared" si="36"/>
        <v>-4.724333241223122E-3</v>
      </c>
    </row>
    <row r="151" spans="1:26" x14ac:dyDescent="0.45">
      <c r="A151">
        <v>149</v>
      </c>
      <c r="B151" s="1">
        <v>998.16047748228652</v>
      </c>
      <c r="C151" s="1">
        <v>998.16047748228652</v>
      </c>
      <c r="D151" s="2">
        <v>46.956547843173411</v>
      </c>
      <c r="E151" s="2">
        <v>80.110932058053976</v>
      </c>
      <c r="F151" s="2">
        <v>22.959404801022355</v>
      </c>
      <c r="G151" s="2">
        <v>15.258775742376129</v>
      </c>
      <c r="H151" s="2">
        <v>77.958475215757161</v>
      </c>
      <c r="I151" s="2">
        <v>47.956352574485265</v>
      </c>
      <c r="J151" s="2">
        <v>141.66362838955857</v>
      </c>
      <c r="K151" s="2">
        <v>57.711751674973193</v>
      </c>
      <c r="L151" s="2">
        <v>7.759342735797583</v>
      </c>
      <c r="M151" s="2">
        <v>19.190768750209504</v>
      </c>
      <c r="O151" s="6">
        <f t="shared" si="25"/>
        <v>-3.7938702626446608E-3</v>
      </c>
      <c r="P151" s="6">
        <f t="shared" si="26"/>
        <v>-3.7938702626446608E-3</v>
      </c>
      <c r="Q151" s="6">
        <f t="shared" si="27"/>
        <v>-3.5676284564533089E-3</v>
      </c>
      <c r="R151" s="6">
        <f t="shared" si="28"/>
        <v>-8.7693587995633093E-3</v>
      </c>
      <c r="S151" s="6">
        <f t="shared" si="29"/>
        <v>-3.8215124343800033E-3</v>
      </c>
      <c r="T151" s="6">
        <f t="shared" si="30"/>
        <v>-2.9373951393739661E-3</v>
      </c>
      <c r="U151" s="6">
        <f t="shared" si="31"/>
        <v>-1.712472733749304E-3</v>
      </c>
      <c r="V151" s="6">
        <f t="shared" si="32"/>
        <v>4.0947759328870958E-3</v>
      </c>
      <c r="W151" s="6">
        <f t="shared" si="33"/>
        <v>-9.6981483016436165E-3</v>
      </c>
      <c r="X151" s="6">
        <f t="shared" si="34"/>
        <v>-9.7861983983489331E-3</v>
      </c>
      <c r="Y151" s="6">
        <f t="shared" si="35"/>
        <v>-3.4264971052290205E-3</v>
      </c>
      <c r="Z151" s="6">
        <f t="shared" si="36"/>
        <v>-1.6751552793664581E-3</v>
      </c>
    </row>
    <row r="152" spans="1:26" x14ac:dyDescent="0.45">
      <c r="A152">
        <v>150</v>
      </c>
      <c r="B152" s="1">
        <v>994.37358612941932</v>
      </c>
      <c r="C152" s="1">
        <v>994.37358612941932</v>
      </c>
      <c r="D152" s="2">
        <v>46.789024326871292</v>
      </c>
      <c r="E152" s="2">
        <v>79.408410551069466</v>
      </c>
      <c r="F152" s="2">
        <v>22.871665150089285</v>
      </c>
      <c r="G152" s="2">
        <v>15.213954688677676</v>
      </c>
      <c r="H152" s="2">
        <v>77.82497345258551</v>
      </c>
      <c r="I152" s="2">
        <v>48.152723092836318</v>
      </c>
      <c r="J152" s="2">
        <v>140.28975351248769</v>
      </c>
      <c r="K152" s="2">
        <v>57.146973023165657</v>
      </c>
      <c r="L152" s="2">
        <v>7.7327553703748926</v>
      </c>
      <c r="M152" s="2">
        <v>19.15862123262249</v>
      </c>
      <c r="O152" s="6">
        <f t="shared" si="25"/>
        <v>-1.1586332196041882E-3</v>
      </c>
      <c r="P152" s="6">
        <f t="shared" si="26"/>
        <v>-1.1586332196041882E-3</v>
      </c>
      <c r="Q152" s="6">
        <f t="shared" si="27"/>
        <v>-1.0231195536645199E-3</v>
      </c>
      <c r="R152" s="6">
        <f t="shared" si="28"/>
        <v>6.4438797129962033E-3</v>
      </c>
      <c r="S152" s="6">
        <f t="shared" si="29"/>
        <v>3.2475732844876593E-3</v>
      </c>
      <c r="T152" s="6">
        <f t="shared" si="30"/>
        <v>-9.3021201020115907E-4</v>
      </c>
      <c r="U152" s="6">
        <f t="shared" si="31"/>
        <v>-3.0070784514746318E-3</v>
      </c>
      <c r="V152" s="6">
        <f t="shared" si="32"/>
        <v>-1.8414297248202649E-3</v>
      </c>
      <c r="W152" s="6">
        <f t="shared" si="33"/>
        <v>2.1742367277064467E-3</v>
      </c>
      <c r="X152" s="6">
        <f t="shared" si="34"/>
        <v>-3.9105236237881869E-3</v>
      </c>
      <c r="Y152" s="6">
        <f t="shared" si="35"/>
        <v>2.1887931831465757E-4</v>
      </c>
      <c r="Z152" s="6">
        <f t="shared" si="36"/>
        <v>-1.4845093202118242E-3</v>
      </c>
    </row>
    <row r="153" spans="1:26" x14ac:dyDescent="0.45">
      <c r="A153">
        <v>151</v>
      </c>
      <c r="B153" s="1">
        <v>993.22147185983283</v>
      </c>
      <c r="C153" s="1">
        <v>993.22147185983283</v>
      </c>
      <c r="D153" s="2">
        <v>46.741153561185584</v>
      </c>
      <c r="E153" s="2">
        <v>79.920108796860774</v>
      </c>
      <c r="F153" s="2">
        <v>22.945942558802461</v>
      </c>
      <c r="G153" s="2">
        <v>15.199802485303612</v>
      </c>
      <c r="H153" s="2">
        <v>77.590947651929653</v>
      </c>
      <c r="I153" s="2">
        <v>48.064053237202131</v>
      </c>
      <c r="J153" s="2">
        <v>140.59477664709542</v>
      </c>
      <c r="K153" s="2">
        <v>56.923498435130583</v>
      </c>
      <c r="L153" s="2">
        <v>7.7344479105990542</v>
      </c>
      <c r="M153" s="2">
        <v>19.130180080840255</v>
      </c>
      <c r="O153" s="6">
        <f t="shared" si="25"/>
        <v>1.0397288056278597E-3</v>
      </c>
      <c r="P153" s="6">
        <f t="shared" si="26"/>
        <v>1.0397288056278597E-3</v>
      </c>
      <c r="Q153" s="6">
        <f t="shared" si="27"/>
        <v>1.0395238629221648E-3</v>
      </c>
      <c r="R153" s="6">
        <f t="shared" si="28"/>
        <v>1.4638310370591601E-3</v>
      </c>
      <c r="S153" s="6">
        <f t="shared" si="29"/>
        <v>2.7673861232808683E-3</v>
      </c>
      <c r="T153" s="6">
        <f t="shared" si="30"/>
        <v>1.8892010035036488E-3</v>
      </c>
      <c r="U153" s="6">
        <f t="shared" si="31"/>
        <v>-3.3496717900086681E-3</v>
      </c>
      <c r="V153" s="6">
        <f t="shared" si="32"/>
        <v>5.7240224017518493E-3</v>
      </c>
      <c r="W153" s="6">
        <f t="shared" si="33"/>
        <v>3.2562504186062213E-4</v>
      </c>
      <c r="X153" s="6">
        <f t="shared" si="34"/>
        <v>-1.8673883519377821E-3</v>
      </c>
      <c r="Y153" s="6">
        <f t="shared" si="35"/>
        <v>7.9041985071155452E-3</v>
      </c>
      <c r="Z153" s="6">
        <f t="shared" si="36"/>
        <v>-2.1601175503449532E-4</v>
      </c>
    </row>
    <row r="154" spans="1:26" x14ac:dyDescent="0.45">
      <c r="A154">
        <v>152</v>
      </c>
      <c r="B154" s="1">
        <v>994.25415283449365</v>
      </c>
      <c r="C154" s="1">
        <v>994.25415283449365</v>
      </c>
      <c r="D154" s="2">
        <v>46.789742105692945</v>
      </c>
      <c r="E154" s="2">
        <v>80.037098332602767</v>
      </c>
      <c r="F154" s="2">
        <v>23.00944284182529</v>
      </c>
      <c r="G154" s="2">
        <v>15.228517967411905</v>
      </c>
      <c r="H154" s="2">
        <v>77.331043443419944</v>
      </c>
      <c r="I154" s="2">
        <v>48.33917295465087</v>
      </c>
      <c r="J154" s="2">
        <v>140.64055782712651</v>
      </c>
      <c r="K154" s="2">
        <v>56.81720015720127</v>
      </c>
      <c r="L154" s="2">
        <v>7.7955825222273738</v>
      </c>
      <c r="M154" s="2">
        <v>19.126047737066866</v>
      </c>
      <c r="O154" s="6">
        <f t="shared" si="25"/>
        <v>1.9565386347730751E-3</v>
      </c>
      <c r="P154" s="6">
        <f t="shared" si="26"/>
        <v>1.9565386347730751E-3</v>
      </c>
      <c r="Q154" s="6">
        <f t="shared" si="27"/>
        <v>-1.2562215794112985E-3</v>
      </c>
      <c r="R154" s="6">
        <f t="shared" si="28"/>
        <v>9.1213727759158481E-3</v>
      </c>
      <c r="S154" s="6">
        <f t="shared" si="29"/>
        <v>-1.4955706324742968E-3</v>
      </c>
      <c r="T154" s="6">
        <f t="shared" si="30"/>
        <v>-2.690835895295951E-3</v>
      </c>
      <c r="U154" s="6">
        <f t="shared" si="31"/>
        <v>4.970876446345418E-3</v>
      </c>
      <c r="V154" s="6">
        <f t="shared" si="32"/>
        <v>6.2043394421591458E-3</v>
      </c>
      <c r="W154" s="6">
        <f t="shared" si="33"/>
        <v>-4.7834722734918511E-3</v>
      </c>
      <c r="X154" s="6">
        <f t="shared" si="34"/>
        <v>-8.056580401653024E-4</v>
      </c>
      <c r="Y154" s="6">
        <f t="shared" si="35"/>
        <v>-3.1723771309100091E-4</v>
      </c>
      <c r="Z154" s="6">
        <f t="shared" si="36"/>
        <v>-1.9548263754948225E-3</v>
      </c>
    </row>
    <row r="155" spans="1:26" x14ac:dyDescent="0.45">
      <c r="A155">
        <v>153</v>
      </c>
      <c r="B155" s="1">
        <v>996.19944949729791</v>
      </c>
      <c r="C155" s="1">
        <v>996.19944949729791</v>
      </c>
      <c r="D155" s="2">
        <v>46.730963821964686</v>
      </c>
      <c r="E155" s="2">
        <v>80.767146542397072</v>
      </c>
      <c r="F155" s="2">
        <v>22.97503059484146</v>
      </c>
      <c r="G155" s="2">
        <v>15.187540524633034</v>
      </c>
      <c r="H155" s="2">
        <v>77.715446505844156</v>
      </c>
      <c r="I155" s="2">
        <v>48.639085592014766</v>
      </c>
      <c r="J155" s="2">
        <v>139.96780761823203</v>
      </c>
      <c r="K155" s="2">
        <v>56.771424923074939</v>
      </c>
      <c r="L155" s="2">
        <v>7.7931094694558105</v>
      </c>
      <c r="M155" s="2">
        <v>19.088659634491474</v>
      </c>
      <c r="O155" s="6">
        <f t="shared" si="25"/>
        <v>4.0842564422913785E-3</v>
      </c>
      <c r="P155" s="6">
        <f t="shared" si="26"/>
        <v>4.0842564422913785E-3</v>
      </c>
      <c r="Q155" s="6">
        <f t="shared" si="27"/>
        <v>1.4818748745333288E-3</v>
      </c>
      <c r="R155" s="6">
        <f t="shared" si="28"/>
        <v>4.1918684968615949E-3</v>
      </c>
      <c r="S155" s="6">
        <f t="shared" si="29"/>
        <v>5.0499357153863667E-3</v>
      </c>
      <c r="T155" s="6">
        <f t="shared" si="30"/>
        <v>5.9142315589986172E-3</v>
      </c>
      <c r="U155" s="6">
        <f t="shared" si="31"/>
        <v>9.7421638214791884E-3</v>
      </c>
      <c r="V155" s="6">
        <f t="shared" si="32"/>
        <v>-3.599426631153313E-3</v>
      </c>
      <c r="W155" s="6">
        <f t="shared" si="33"/>
        <v>7.5595097278191581E-3</v>
      </c>
      <c r="X155" s="6">
        <f t="shared" si="34"/>
        <v>6.886036221827041E-4</v>
      </c>
      <c r="Y155" s="6">
        <f t="shared" si="35"/>
        <v>3.6516317922914432E-3</v>
      </c>
      <c r="Z155" s="6">
        <f t="shared" si="36"/>
        <v>4.2434277912701823E-3</v>
      </c>
    </row>
    <row r="156" spans="1:26" x14ac:dyDescent="0.45">
      <c r="A156">
        <v>154</v>
      </c>
      <c r="B156" s="1">
        <v>1000.2681835167143</v>
      </c>
      <c r="C156" s="1">
        <v>1000.2681835167143</v>
      </c>
      <c r="D156" s="2">
        <v>46.800213263115182</v>
      </c>
      <c r="E156" s="2">
        <v>81.105711799569548</v>
      </c>
      <c r="F156" s="2">
        <v>23.091053022404445</v>
      </c>
      <c r="G156" s="2">
        <v>15.277363156107389</v>
      </c>
      <c r="H156" s="2">
        <v>78.472563117163489</v>
      </c>
      <c r="I156" s="2">
        <v>48.46401277201992</v>
      </c>
      <c r="J156" s="2">
        <v>141.02589562150357</v>
      </c>
      <c r="K156" s="2">
        <v>56.810517931913445</v>
      </c>
      <c r="L156" s="2">
        <v>7.8215670357552831</v>
      </c>
      <c r="M156" s="2">
        <v>19.169660983282572</v>
      </c>
      <c r="O156" s="6">
        <f t="shared" si="25"/>
        <v>-9.3478189887330476E-4</v>
      </c>
      <c r="P156" s="6">
        <f t="shared" si="26"/>
        <v>-9.3478189887330476E-4</v>
      </c>
      <c r="Q156" s="6">
        <f t="shared" si="27"/>
        <v>-3.8468037627553686E-3</v>
      </c>
      <c r="R156" s="6">
        <f t="shared" si="28"/>
        <v>-1.3747836196067453E-3</v>
      </c>
      <c r="S156" s="6">
        <f t="shared" si="29"/>
        <v>-1.1845343287666399E-3</v>
      </c>
      <c r="T156" s="6">
        <f t="shared" si="30"/>
        <v>-1.0767794667434494E-3</v>
      </c>
      <c r="U156" s="6">
        <f t="shared" si="31"/>
        <v>-3.7521132876022767E-3</v>
      </c>
      <c r="V156" s="6">
        <f t="shared" si="32"/>
        <v>-3.9593643912257948E-3</v>
      </c>
      <c r="W156" s="6">
        <f t="shared" si="33"/>
        <v>-6.67475968246245E-3</v>
      </c>
      <c r="X156" s="6">
        <f t="shared" si="34"/>
        <v>-7.428727280829106E-3</v>
      </c>
      <c r="Y156" s="6">
        <f t="shared" si="35"/>
        <v>-1.1909696326972696E-3</v>
      </c>
      <c r="Z156" s="6">
        <f t="shared" si="36"/>
        <v>-6.3866818599802588E-3</v>
      </c>
    </row>
    <row r="157" spans="1:26" x14ac:dyDescent="0.45">
      <c r="A157">
        <v>155</v>
      </c>
      <c r="B157" s="1">
        <v>999.33315092474402</v>
      </c>
      <c r="C157" s="1">
        <v>999.33315092474402</v>
      </c>
      <c r="D157" s="2">
        <v>46.620182026636876</v>
      </c>
      <c r="E157" s="2">
        <v>80.994208995530954</v>
      </c>
      <c r="F157" s="2">
        <v>23.063700877412035</v>
      </c>
      <c r="G157" s="2">
        <v>15.260912805154911</v>
      </c>
      <c r="H157" s="2">
        <v>78.178125170379374</v>
      </c>
      <c r="I157" s="2">
        <v>48.272126085594472</v>
      </c>
      <c r="J157" s="2">
        <v>140.08458165922599</v>
      </c>
      <c r="K157" s="2">
        <v>56.38848808751461</v>
      </c>
      <c r="L157" s="2">
        <v>7.812251786935593</v>
      </c>
      <c r="M157" s="2">
        <v>19.047230457218671</v>
      </c>
      <c r="O157" s="6">
        <f t="shared" si="25"/>
        <v>9.7006535572119468E-4</v>
      </c>
      <c r="P157" s="6">
        <f t="shared" si="26"/>
        <v>9.7006535572119468E-4</v>
      </c>
      <c r="Q157" s="6">
        <f t="shared" si="27"/>
        <v>-2.4244955308028171E-4</v>
      </c>
      <c r="R157" s="6">
        <f t="shared" si="28"/>
        <v>2.4125775655490234E-3</v>
      </c>
      <c r="S157" s="6">
        <f t="shared" si="29"/>
        <v>-5.0910845594387411E-5</v>
      </c>
      <c r="T157" s="6">
        <f t="shared" si="30"/>
        <v>-2.6812085225235149E-3</v>
      </c>
      <c r="U157" s="6">
        <f t="shared" si="31"/>
        <v>2.1979183719251782E-3</v>
      </c>
      <c r="V157" s="6">
        <f t="shared" si="32"/>
        <v>-2.7161475797815582E-3</v>
      </c>
      <c r="W157" s="6">
        <f t="shared" si="33"/>
        <v>-1.3023842417920761E-3</v>
      </c>
      <c r="X157" s="6">
        <f t="shared" si="34"/>
        <v>-1.9184887047133392E-3</v>
      </c>
      <c r="Y157" s="6">
        <f t="shared" si="35"/>
        <v>-5.8015366779257116E-3</v>
      </c>
      <c r="Z157" s="6">
        <f t="shared" si="36"/>
        <v>6.068277768289887E-3</v>
      </c>
    </row>
    <row r="158" spans="1:26" x14ac:dyDescent="0.45">
      <c r="A158">
        <v>156</v>
      </c>
      <c r="B158" s="1">
        <v>1000.3025693932798</v>
      </c>
      <c r="C158" s="1">
        <v>1000.3025693932798</v>
      </c>
      <c r="D158" s="2">
        <v>46.608878984339995</v>
      </c>
      <c r="E158" s="2">
        <v>81.189613807092968</v>
      </c>
      <c r="F158" s="2">
        <v>23.062526684897829</v>
      </c>
      <c r="G158" s="2">
        <v>15.219995115680241</v>
      </c>
      <c r="H158" s="2">
        <v>78.349954307974016</v>
      </c>
      <c r="I158" s="2">
        <v>48.141011867156173</v>
      </c>
      <c r="J158" s="2">
        <v>139.90213770755497</v>
      </c>
      <c r="K158" s="2">
        <v>56.280307410042852</v>
      </c>
      <c r="L158" s="2">
        <v>7.7669287216564955</v>
      </c>
      <c r="M158" s="2">
        <v>19.162814342349705</v>
      </c>
      <c r="O158" s="6">
        <f t="shared" si="25"/>
        <v>2.0041617672219569E-3</v>
      </c>
      <c r="P158" s="6">
        <f t="shared" si="26"/>
        <v>2.0041617672219569E-3</v>
      </c>
      <c r="Q158" s="6">
        <f t="shared" si="27"/>
        <v>5.1842619522028954E-3</v>
      </c>
      <c r="R158" s="6">
        <f t="shared" si="28"/>
        <v>4.6285434690753746E-3</v>
      </c>
      <c r="S158" s="6">
        <f t="shared" si="29"/>
        <v>-1.6903242114540973E-4</v>
      </c>
      <c r="T158" s="6">
        <f t="shared" si="30"/>
        <v>-1.9119313027177176E-3</v>
      </c>
      <c r="U158" s="6">
        <f t="shared" si="31"/>
        <v>5.7312415702943653E-3</v>
      </c>
      <c r="V158" s="6">
        <f t="shared" si="32"/>
        <v>7.0709635198260568E-3</v>
      </c>
      <c r="W158" s="6">
        <f t="shared" si="33"/>
        <v>3.2650340609525763E-3</v>
      </c>
      <c r="X158" s="6">
        <f t="shared" si="34"/>
        <v>2.229548483251298E-3</v>
      </c>
      <c r="Y158" s="6">
        <f t="shared" si="35"/>
        <v>-9.0962526239080077E-6</v>
      </c>
      <c r="Z158" s="6">
        <f t="shared" si="36"/>
        <v>5.562030879803892E-3</v>
      </c>
    </row>
    <row r="159" spans="1:26" x14ac:dyDescent="0.45">
      <c r="A159">
        <v>157</v>
      </c>
      <c r="B159" s="1">
        <v>1002.3073375585117</v>
      </c>
      <c r="C159" s="1">
        <v>1002.3073375585117</v>
      </c>
      <c r="D159" s="2">
        <v>46.85051162229334</v>
      </c>
      <c r="E159" s="2">
        <v>81.565403463836546</v>
      </c>
      <c r="F159" s="2">
        <v>23.058628370174549</v>
      </c>
      <c r="G159" s="2">
        <v>15.190895530591362</v>
      </c>
      <c r="H159" s="2">
        <v>78.798996823134544</v>
      </c>
      <c r="I159" s="2">
        <v>48.481415205876345</v>
      </c>
      <c r="J159" s="2">
        <v>140.35892295237022</v>
      </c>
      <c r="K159" s="2">
        <v>56.405787084065828</v>
      </c>
      <c r="L159" s="2">
        <v>7.7668580717107316</v>
      </c>
      <c r="M159" s="2">
        <v>19.269398507465802</v>
      </c>
      <c r="O159" s="6">
        <f t="shared" si="25"/>
        <v>-2.8410034731117806E-3</v>
      </c>
      <c r="P159" s="6">
        <f t="shared" si="26"/>
        <v>-2.8410034731117806E-3</v>
      </c>
      <c r="Q159" s="6">
        <f t="shared" si="27"/>
        <v>-1.9018911337103095E-3</v>
      </c>
      <c r="R159" s="6">
        <f t="shared" si="28"/>
        <v>2.7707010214379491E-3</v>
      </c>
      <c r="S159" s="6">
        <f t="shared" si="29"/>
        <v>1.2528390138102363E-3</v>
      </c>
      <c r="T159" s="6">
        <f t="shared" si="30"/>
        <v>-6.7751283452200939E-3</v>
      </c>
      <c r="U159" s="6">
        <f t="shared" si="31"/>
        <v>-2.3033753081502795E-4</v>
      </c>
      <c r="V159" s="6">
        <f t="shared" si="32"/>
        <v>-7.6677901201933629E-3</v>
      </c>
      <c r="W159" s="6">
        <f t="shared" si="33"/>
        <v>-1.1659937009689703E-2</v>
      </c>
      <c r="X159" s="6">
        <f t="shared" si="34"/>
        <v>-2.5764949982511887E-3</v>
      </c>
      <c r="Y159" s="6">
        <f t="shared" si="35"/>
        <v>-7.5455567086490927E-4</v>
      </c>
      <c r="Z159" s="6">
        <f t="shared" si="36"/>
        <v>-4.6255404387138821E-3</v>
      </c>
    </row>
    <row r="160" spans="1:26" x14ac:dyDescent="0.45">
      <c r="A160">
        <v>158</v>
      </c>
      <c r="B160" s="1">
        <v>999.45977893138252</v>
      </c>
      <c r="C160" s="1">
        <v>999.45977893138252</v>
      </c>
      <c r="D160" s="2">
        <v>46.761407049629106</v>
      </c>
      <c r="E160" s="2">
        <v>81.7913968105278</v>
      </c>
      <c r="F160" s="2">
        <v>23.087517119401657</v>
      </c>
      <c r="G160" s="2">
        <v>15.087975263692776</v>
      </c>
      <c r="H160" s="2">
        <v>78.780846456775606</v>
      </c>
      <c r="I160" s="2">
        <v>48.109669889347735</v>
      </c>
      <c r="J160" s="2">
        <v>138.72234675199769</v>
      </c>
      <c r="K160" s="2">
        <v>56.260457855771314</v>
      </c>
      <c r="L160" s="2">
        <v>7.7609975449079194</v>
      </c>
      <c r="M160" s="2">
        <v>19.180267125439826</v>
      </c>
      <c r="O160" s="6">
        <f t="shared" si="25"/>
        <v>2.1898535776763151E-3</v>
      </c>
      <c r="P160" s="6">
        <f t="shared" si="26"/>
        <v>2.1898535776763151E-3</v>
      </c>
      <c r="Q160" s="6">
        <f t="shared" si="27"/>
        <v>7.5274392946167445E-4</v>
      </c>
      <c r="R160" s="6">
        <f t="shared" si="28"/>
        <v>-3.1564140390077933E-3</v>
      </c>
      <c r="S160" s="6">
        <f t="shared" si="29"/>
        <v>3.5677202728383595E-3</v>
      </c>
      <c r="T160" s="6">
        <f t="shared" si="30"/>
        <v>3.5264552557445761E-3</v>
      </c>
      <c r="U160" s="6">
        <f t="shared" si="31"/>
        <v>3.711692220627727E-3</v>
      </c>
      <c r="V160" s="6">
        <f t="shared" si="32"/>
        <v>-5.1600398983595586E-3</v>
      </c>
      <c r="W160" s="6">
        <f t="shared" si="33"/>
        <v>3.1744885326561167E-3</v>
      </c>
      <c r="X160" s="6">
        <f t="shared" si="34"/>
        <v>6.4940374017148361E-3</v>
      </c>
      <c r="Y160" s="6">
        <f t="shared" si="35"/>
        <v>2.4722996008150755E-3</v>
      </c>
      <c r="Z160" s="6">
        <f t="shared" si="36"/>
        <v>-6.5988498741331725E-4</v>
      </c>
    </row>
    <row r="161" spans="1:26" x14ac:dyDescent="0.45">
      <c r="A161">
        <v>159</v>
      </c>
      <c r="B161" s="1">
        <v>1001.648449504019</v>
      </c>
      <c r="C161" s="1">
        <v>1001.648449504019</v>
      </c>
      <c r="D161" s="2">
        <v>46.796606414918799</v>
      </c>
      <c r="E161" s="2">
        <v>81.533229297364997</v>
      </c>
      <c r="F161" s="2">
        <v>23.169886922278049</v>
      </c>
      <c r="G161" s="2">
        <v>15.14118233335997</v>
      </c>
      <c r="H161" s="2">
        <v>79.073256711703692</v>
      </c>
      <c r="I161" s="2">
        <v>47.861422073221796</v>
      </c>
      <c r="J161" s="2">
        <v>139.16271925098505</v>
      </c>
      <c r="K161" s="2">
        <v>56.625815373324293</v>
      </c>
      <c r="L161" s="2">
        <v>7.7801850560401222</v>
      </c>
      <c r="M161" s="2">
        <v>19.167610355109172</v>
      </c>
      <c r="O161" s="6">
        <f t="shared" si="25"/>
        <v>-4.5769665713755181E-3</v>
      </c>
      <c r="P161" s="6">
        <f t="shared" si="26"/>
        <v>-4.5769665713755181E-3</v>
      </c>
      <c r="Q161" s="6">
        <f t="shared" si="27"/>
        <v>-5.0695997771532664E-3</v>
      </c>
      <c r="R161" s="6">
        <f t="shared" si="28"/>
        <v>-4.1000644703692579E-3</v>
      </c>
      <c r="S161" s="6">
        <f t="shared" si="29"/>
        <v>-4.5421070657154505E-3</v>
      </c>
      <c r="T161" s="6">
        <f t="shared" si="30"/>
        <v>-8.4610983428901054E-3</v>
      </c>
      <c r="U161" s="6">
        <f t="shared" si="31"/>
        <v>-9.1866788707900549E-3</v>
      </c>
      <c r="V161" s="6">
        <f t="shared" si="32"/>
        <v>-8.0690350990664239E-3</v>
      </c>
      <c r="W161" s="6">
        <f t="shared" si="33"/>
        <v>-5.4969256962146273E-3</v>
      </c>
      <c r="X161" s="6">
        <f t="shared" si="34"/>
        <v>-1.1055081876162443E-2</v>
      </c>
      <c r="Y161" s="6">
        <f t="shared" si="35"/>
        <v>-1.4457462296952328E-2</v>
      </c>
      <c r="Z161" s="6">
        <f t="shared" si="36"/>
        <v>-8.2271249393044421E-3</v>
      </c>
    </row>
    <row r="162" spans="1:26" x14ac:dyDescent="0.45">
      <c r="A162">
        <v>160</v>
      </c>
      <c r="B162" s="1">
        <v>997.06393803436902</v>
      </c>
      <c r="C162" s="1">
        <v>997.06393803436902</v>
      </c>
      <c r="D162" s="2">
        <v>46.559366349466195</v>
      </c>
      <c r="E162" s="2">
        <v>81.198937800768405</v>
      </c>
      <c r="F162" s="2">
        <v>23.064646815176541</v>
      </c>
      <c r="G162" s="2">
        <v>15.013071300609781</v>
      </c>
      <c r="H162" s="2">
        <v>78.346836095025722</v>
      </c>
      <c r="I162" s="2">
        <v>47.475226578621736</v>
      </c>
      <c r="J162" s="2">
        <v>138.39775212357921</v>
      </c>
      <c r="K162" s="2">
        <v>55.999812348067735</v>
      </c>
      <c r="L162" s="2">
        <v>7.6677033239291106</v>
      </c>
      <c r="M162" s="2">
        <v>19.009916029929784</v>
      </c>
      <c r="O162" s="6">
        <f t="shared" si="25"/>
        <v>4.9822794423226568E-5</v>
      </c>
      <c r="P162" s="6">
        <f t="shared" si="26"/>
        <v>4.9822794423226568E-5</v>
      </c>
      <c r="Q162" s="6">
        <f t="shared" si="27"/>
        <v>6.4936524336824952E-3</v>
      </c>
      <c r="R162" s="6">
        <f t="shared" si="28"/>
        <v>-5.4638035515869321E-3</v>
      </c>
      <c r="S162" s="6">
        <f t="shared" si="29"/>
        <v>1.3304825991091729E-3</v>
      </c>
      <c r="T162" s="6">
        <f t="shared" si="30"/>
        <v>3.7403554526966865E-3</v>
      </c>
      <c r="U162" s="6">
        <f t="shared" si="31"/>
        <v>9.1186847091198064E-3</v>
      </c>
      <c r="V162" s="6">
        <f t="shared" si="32"/>
        <v>2.8458078859183722E-4</v>
      </c>
      <c r="W162" s="6">
        <f t="shared" si="33"/>
        <v>-1.9524143097287006E-3</v>
      </c>
      <c r="X162" s="6">
        <f t="shared" si="34"/>
        <v>4.3335359084588632E-3</v>
      </c>
      <c r="Y162" s="6">
        <f t="shared" si="35"/>
        <v>8.6854758771988116E-3</v>
      </c>
      <c r="Z162" s="6">
        <f t="shared" si="36"/>
        <v>5.7899418359015353E-3</v>
      </c>
    </row>
    <row r="163" spans="1:26" x14ac:dyDescent="0.45">
      <c r="A163">
        <v>161</v>
      </c>
      <c r="B163" s="1">
        <v>997.11361454598057</v>
      </c>
      <c r="C163" s="1">
        <v>997.11361454598057</v>
      </c>
      <c r="D163" s="2">
        <v>46.861706692072119</v>
      </c>
      <c r="E163" s="2">
        <v>80.755282756027484</v>
      </c>
      <c r="F163" s="2">
        <v>23.095333926418732</v>
      </c>
      <c r="G163" s="2">
        <v>15.06922552371074</v>
      </c>
      <c r="H163" s="2">
        <v>79.061256191333342</v>
      </c>
      <c r="I163" s="2">
        <v>47.488737116040056</v>
      </c>
      <c r="J163" s="2">
        <v>138.12754237189884</v>
      </c>
      <c r="K163" s="2">
        <v>56.242489545745045</v>
      </c>
      <c r="L163" s="2">
        <v>7.734300976182614</v>
      </c>
      <c r="M163" s="2">
        <v>19.119982338048448</v>
      </c>
      <c r="O163" s="6">
        <f t="shared" si="25"/>
        <v>-4.5436547973033425E-3</v>
      </c>
      <c r="P163" s="6">
        <f t="shared" si="26"/>
        <v>-4.5436547973033425E-3</v>
      </c>
      <c r="Q163" s="6">
        <f t="shared" si="27"/>
        <v>-5.9531448839814649E-3</v>
      </c>
      <c r="R163" s="6">
        <f t="shared" si="28"/>
        <v>-5.6917911731642068E-3</v>
      </c>
      <c r="S163" s="6">
        <f t="shared" si="29"/>
        <v>5.4232629338812899E-4</v>
      </c>
      <c r="T163" s="6">
        <f t="shared" si="30"/>
        <v>-8.7196871265682319E-3</v>
      </c>
      <c r="U163" s="6">
        <f t="shared" si="31"/>
        <v>1.5312416127744033E-3</v>
      </c>
      <c r="V163" s="6">
        <f t="shared" si="32"/>
        <v>-9.8254259589340975E-3</v>
      </c>
      <c r="W163" s="6">
        <f t="shared" si="33"/>
        <v>-9.8570436180609455E-3</v>
      </c>
      <c r="X163" s="6">
        <f t="shared" si="34"/>
        <v>-3.6245223670872129E-3</v>
      </c>
      <c r="Y163" s="6">
        <f t="shared" si="35"/>
        <v>-3.6931086315097339E-3</v>
      </c>
      <c r="Z163" s="6">
        <f t="shared" si="36"/>
        <v>-2.7754721493128409E-3</v>
      </c>
    </row>
    <row r="164" spans="1:26" x14ac:dyDescent="0.45">
      <c r="A164">
        <v>162</v>
      </c>
      <c r="B164" s="1">
        <v>992.58307448779226</v>
      </c>
      <c r="C164" s="1">
        <v>992.58307448779226</v>
      </c>
      <c r="D164" s="2">
        <v>46.582732162623572</v>
      </c>
      <c r="E164" s="2">
        <v>80.295640550450344</v>
      </c>
      <c r="F164" s="2">
        <v>23.107859133261609</v>
      </c>
      <c r="G164" s="2">
        <v>14.937826591904287</v>
      </c>
      <c r="H164" s="2">
        <v>79.182318076771736</v>
      </c>
      <c r="I164" s="2">
        <v>47.022140045623118</v>
      </c>
      <c r="J164" s="2">
        <v>136.76601316188348</v>
      </c>
      <c r="K164" s="2">
        <v>56.038637384405824</v>
      </c>
      <c r="L164" s="2">
        <v>7.7057373624887795</v>
      </c>
      <c r="M164" s="2">
        <v>19.066915359573841</v>
      </c>
      <c r="O164" s="6">
        <f t="shared" si="25"/>
        <v>-2.3167981229494927E-3</v>
      </c>
      <c r="P164" s="6">
        <f t="shared" si="26"/>
        <v>-2.3167981229494927E-3</v>
      </c>
      <c r="Q164" s="6">
        <f t="shared" si="27"/>
        <v>-5.6226183972669652E-3</v>
      </c>
      <c r="R164" s="6">
        <f t="shared" si="28"/>
        <v>-3.6425474054178064E-3</v>
      </c>
      <c r="S164" s="6">
        <f t="shared" si="29"/>
        <v>8.5819246073093325E-5</v>
      </c>
      <c r="T164" s="6">
        <f t="shared" si="30"/>
        <v>-5.7686845122756347E-3</v>
      </c>
      <c r="U164" s="6">
        <f t="shared" si="31"/>
        <v>-2.1794030912403173E-5</v>
      </c>
      <c r="V164" s="6">
        <f t="shared" si="32"/>
        <v>-3.347235572389029E-3</v>
      </c>
      <c r="W164" s="6">
        <f t="shared" si="33"/>
        <v>3.4068825734259178E-3</v>
      </c>
      <c r="X164" s="6">
        <f t="shared" si="34"/>
        <v>4.4099454332187094E-3</v>
      </c>
      <c r="Y164" s="6">
        <f t="shared" si="35"/>
        <v>4.1642454109358518E-4</v>
      </c>
      <c r="Z164" s="6">
        <f t="shared" si="36"/>
        <v>-8.0514697329880924E-4</v>
      </c>
    </row>
    <row r="165" spans="1:26" x14ac:dyDescent="0.45">
      <c r="A165">
        <v>163</v>
      </c>
      <c r="B165" s="1">
        <v>990.28345988394756</v>
      </c>
      <c r="C165" s="1">
        <v>990.28345988394756</v>
      </c>
      <c r="D165" s="2">
        <v>46.320815235771043</v>
      </c>
      <c r="E165" s="2">
        <v>80.003159873296937</v>
      </c>
      <c r="F165" s="2">
        <v>23.10984223231079</v>
      </c>
      <c r="G165" s="2">
        <v>14.851654982996509</v>
      </c>
      <c r="H165" s="2">
        <v>79.180592374883858</v>
      </c>
      <c r="I165" s="2">
        <v>46.864745865772548</v>
      </c>
      <c r="J165" s="2">
        <v>137.23195890876164</v>
      </c>
      <c r="K165" s="2">
        <v>56.285764717422985</v>
      </c>
      <c r="L165" s="2">
        <v>7.7089462206337416</v>
      </c>
      <c r="M165" s="2">
        <v>19.051563690381936</v>
      </c>
      <c r="O165" s="6">
        <f t="shared" si="25"/>
        <v>-1.7801596415401022E-4</v>
      </c>
      <c r="P165" s="6">
        <f t="shared" si="26"/>
        <v>-1.7801596415401022E-4</v>
      </c>
      <c r="Q165" s="6">
        <f t="shared" si="27"/>
        <v>-4.7642657614374029E-3</v>
      </c>
      <c r="R165" s="6">
        <f t="shared" si="28"/>
        <v>-4.1898617708345798E-3</v>
      </c>
      <c r="S165" s="6">
        <f t="shared" si="29"/>
        <v>-9.8792808167746937E-4</v>
      </c>
      <c r="T165" s="6">
        <f t="shared" si="30"/>
        <v>-4.3182903239293857E-3</v>
      </c>
      <c r="U165" s="6">
        <f t="shared" si="31"/>
        <v>6.478890550391414E-3</v>
      </c>
      <c r="V165" s="6">
        <f t="shared" si="32"/>
        <v>3.9055944422785593E-3</v>
      </c>
      <c r="W165" s="6">
        <f t="shared" si="33"/>
        <v>5.63030132376241E-4</v>
      </c>
      <c r="X165" s="6">
        <f t="shared" si="34"/>
        <v>2.0349797573970818E-4</v>
      </c>
      <c r="Y165" s="6">
        <f t="shared" si="35"/>
        <v>1.7944824069255905E-3</v>
      </c>
      <c r="Z165" s="6">
        <f t="shared" si="36"/>
        <v>1.6428051425039225E-3</v>
      </c>
    </row>
    <row r="166" spans="1:26" x14ac:dyDescent="0.45">
      <c r="A166">
        <v>164</v>
      </c>
      <c r="B166" s="1">
        <v>990.10717361905051</v>
      </c>
      <c r="C166" s="1">
        <v>990.10717361905051</v>
      </c>
      <c r="D166" s="2">
        <v>46.100130561701391</v>
      </c>
      <c r="E166" s="2">
        <v>79.667957692197845</v>
      </c>
      <c r="F166" s="2">
        <v>23.087011370206355</v>
      </c>
      <c r="G166" s="2">
        <v>14.787521224989097</v>
      </c>
      <c r="H166" s="2">
        <v>79.693594766595893</v>
      </c>
      <c r="I166" s="2">
        <v>47.047780556764707</v>
      </c>
      <c r="J166" s="2">
        <v>137.3092246367523</v>
      </c>
      <c r="K166" s="2">
        <v>56.297218756605943</v>
      </c>
      <c r="L166" s="2">
        <v>7.7227797890026046</v>
      </c>
      <c r="M166" s="2">
        <v>19.082861697185237</v>
      </c>
      <c r="O166" s="6">
        <f t="shared" si="25"/>
        <v>3.5526030879777792E-3</v>
      </c>
      <c r="P166" s="6">
        <f t="shared" si="26"/>
        <v>3.5526030879777792E-3</v>
      </c>
      <c r="Q166" s="6">
        <f t="shared" si="27"/>
        <v>2.0637211953427048E-3</v>
      </c>
      <c r="R166" s="6">
        <f t="shared" si="28"/>
        <v>6.3176630730292782E-3</v>
      </c>
      <c r="S166" s="6">
        <f t="shared" si="29"/>
        <v>5.0756369466324891E-3</v>
      </c>
      <c r="T166" s="6">
        <f t="shared" si="30"/>
        <v>8.4861476128823554E-3</v>
      </c>
      <c r="U166" s="6">
        <f t="shared" si="31"/>
        <v>8.818681761128877E-3</v>
      </c>
      <c r="V166" s="6">
        <f t="shared" si="32"/>
        <v>1.1546699138547112E-3</v>
      </c>
      <c r="W166" s="6">
        <f t="shared" si="33"/>
        <v>2.8601876582734498E-4</v>
      </c>
      <c r="X166" s="6">
        <f t="shared" si="34"/>
        <v>8.6487954502687536E-3</v>
      </c>
      <c r="Y166" s="6">
        <f t="shared" si="35"/>
        <v>6.1904533531262906E-3</v>
      </c>
      <c r="Z166" s="6">
        <f t="shared" si="36"/>
        <v>4.058856301292435E-3</v>
      </c>
    </row>
    <row r="167" spans="1:26" x14ac:dyDescent="0.45">
      <c r="A167">
        <v>165</v>
      </c>
      <c r="B167" s="1">
        <v>993.62463142147851</v>
      </c>
      <c r="C167" s="1">
        <v>993.62463142147851</v>
      </c>
      <c r="D167" s="2">
        <v>46.195268378249644</v>
      </c>
      <c r="E167" s="2">
        <v>80.171273006613504</v>
      </c>
      <c r="F167" s="2">
        <v>23.204192658104297</v>
      </c>
      <c r="G167" s="2">
        <v>14.913010312932986</v>
      </c>
      <c r="H167" s="2">
        <v>80.396387217242875</v>
      </c>
      <c r="I167" s="2">
        <v>47.102105213487242</v>
      </c>
      <c r="J167" s="2">
        <v>137.34849765171961</v>
      </c>
      <c r="K167" s="2">
        <v>56.784121886050862</v>
      </c>
      <c r="L167" s="2">
        <v>7.7705872970428915</v>
      </c>
      <c r="M167" s="2">
        <v>19.160316290631549</v>
      </c>
      <c r="O167" s="6">
        <f t="shared" si="25"/>
        <v>-4.118397000262064E-3</v>
      </c>
      <c r="P167" s="6">
        <f t="shared" si="26"/>
        <v>-4.118397000262064E-3</v>
      </c>
      <c r="Q167" s="6">
        <f t="shared" si="27"/>
        <v>-5.255407129288403E-3</v>
      </c>
      <c r="R167" s="6">
        <f t="shared" si="28"/>
        <v>-3.7718194339199096E-3</v>
      </c>
      <c r="S167" s="6">
        <f t="shared" si="29"/>
        <v>7.0316646597801125E-4</v>
      </c>
      <c r="T167" s="6">
        <f t="shared" si="30"/>
        <v>-4.7510678289287567E-3</v>
      </c>
      <c r="U167" s="6">
        <f t="shared" si="31"/>
        <v>-3.3221274997696781E-3</v>
      </c>
      <c r="V167" s="6">
        <f t="shared" si="32"/>
        <v>-5.1430156420901874E-3</v>
      </c>
      <c r="W167" s="6">
        <f t="shared" si="33"/>
        <v>-3.4186586291966581E-3</v>
      </c>
      <c r="X167" s="6">
        <f t="shared" si="34"/>
        <v>-2.7758146318717092E-3</v>
      </c>
      <c r="Y167" s="6">
        <f t="shared" si="35"/>
        <v>-4.7311804756213771E-3</v>
      </c>
      <c r="Z167" s="6">
        <f t="shared" si="36"/>
        <v>-2.3816645588227159E-3</v>
      </c>
    </row>
    <row r="168" spans="1:26" x14ac:dyDescent="0.45">
      <c r="A168">
        <v>166</v>
      </c>
      <c r="B168" s="1">
        <v>989.53249072004576</v>
      </c>
      <c r="C168" s="1">
        <v>989.53249072004576</v>
      </c>
      <c r="D168" s="2">
        <v>45.952493435475198</v>
      </c>
      <c r="E168" s="2">
        <v>79.868881441045062</v>
      </c>
      <c r="F168" s="2">
        <v>23.22050906825157</v>
      </c>
      <c r="G168" s="2">
        <v>14.842157589402728</v>
      </c>
      <c r="H168" s="2">
        <v>80.129300168386337</v>
      </c>
      <c r="I168" s="2">
        <v>46.859858349598902</v>
      </c>
      <c r="J168" s="2">
        <v>136.87895002501537</v>
      </c>
      <c r="K168" s="2">
        <v>56.626499689661578</v>
      </c>
      <c r="L168" s="2">
        <v>7.7338232461390106</v>
      </c>
      <c r="M168" s="2">
        <v>19.114682844386319</v>
      </c>
      <c r="O168" s="6">
        <f t="shared" si="25"/>
        <v>-2.3787597471492949E-3</v>
      </c>
      <c r="P168" s="6">
        <f t="shared" si="26"/>
        <v>-2.3787597471492949E-3</v>
      </c>
      <c r="Q168" s="6">
        <f t="shared" si="27"/>
        <v>-6.6565596719618814E-3</v>
      </c>
      <c r="R168" s="6">
        <f t="shared" si="28"/>
        <v>-5.5414619033453683E-3</v>
      </c>
      <c r="S168" s="6">
        <f t="shared" si="29"/>
        <v>-2.5215289230275939E-3</v>
      </c>
      <c r="T168" s="6">
        <f t="shared" si="30"/>
        <v>9.3533475299278912E-4</v>
      </c>
      <c r="U168" s="6">
        <f t="shared" si="31"/>
        <v>-9.3139531415487031E-4</v>
      </c>
      <c r="V168" s="6">
        <f t="shared" si="32"/>
        <v>2.9891832681514519E-3</v>
      </c>
      <c r="W168" s="6">
        <f t="shared" si="33"/>
        <v>5.9052452911301234E-3</v>
      </c>
      <c r="X168" s="6">
        <f t="shared" si="34"/>
        <v>-3.5523075123021775E-3</v>
      </c>
      <c r="Y168" s="6">
        <f t="shared" si="35"/>
        <v>-3.7288910095117922E-3</v>
      </c>
      <c r="Z168" s="6">
        <f t="shared" si="36"/>
        <v>-7.7627191691098663E-4</v>
      </c>
    </row>
    <row r="169" spans="1:26" x14ac:dyDescent="0.45">
      <c r="A169">
        <v>167</v>
      </c>
      <c r="B169" s="1">
        <v>987.17863066262453</v>
      </c>
      <c r="C169" s="1">
        <v>987.17863066262453</v>
      </c>
      <c r="D169" s="2">
        <v>45.64660792084652</v>
      </c>
      <c r="E169" s="2">
        <v>79.426291077276701</v>
      </c>
      <c r="F169" s="2">
        <v>23.161957883028549</v>
      </c>
      <c r="G169" s="2">
        <v>14.856039975205492</v>
      </c>
      <c r="H169" s="2">
        <v>80.054668113682993</v>
      </c>
      <c r="I169" s="2">
        <v>46.999931054125469</v>
      </c>
      <c r="J169" s="2">
        <v>137.68725380010542</v>
      </c>
      <c r="K169" s="2">
        <v>56.425344949418616</v>
      </c>
      <c r="L169" s="2">
        <v>7.7049846621673295</v>
      </c>
      <c r="M169" s="2">
        <v>19.099844652893562</v>
      </c>
      <c r="O169" s="6">
        <f t="shared" si="25"/>
        <v>5.3224398401874318E-4</v>
      </c>
      <c r="P169" s="6">
        <f t="shared" si="26"/>
        <v>5.3224398401874318E-4</v>
      </c>
      <c r="Q169" s="6">
        <f t="shared" si="27"/>
        <v>1.6405569871085213E-3</v>
      </c>
      <c r="R169" s="6">
        <f t="shared" si="28"/>
        <v>-3.4795069038018323E-4</v>
      </c>
      <c r="S169" s="6">
        <f t="shared" si="29"/>
        <v>-1.7581266839717946E-3</v>
      </c>
      <c r="T169" s="6">
        <f t="shared" si="30"/>
        <v>1.4188945774931128E-3</v>
      </c>
      <c r="U169" s="6">
        <f t="shared" si="31"/>
        <v>1.3665627463530505E-3</v>
      </c>
      <c r="V169" s="6">
        <f t="shared" si="32"/>
        <v>1.5227118417511232E-3</v>
      </c>
      <c r="W169" s="6">
        <f t="shared" si="33"/>
        <v>1.4329158922894436E-3</v>
      </c>
      <c r="X169" s="6">
        <f t="shared" si="34"/>
        <v>-1.5822772927961415E-3</v>
      </c>
      <c r="Y169" s="6">
        <f t="shared" si="35"/>
        <v>-3.7122068280945886E-3</v>
      </c>
      <c r="Z169" s="6">
        <f t="shared" si="36"/>
        <v>-1.9932137340429312E-3</v>
      </c>
    </row>
    <row r="170" spans="1:26" x14ac:dyDescent="0.45">
      <c r="A170">
        <v>168</v>
      </c>
      <c r="B170" s="1">
        <v>987.7040505499466</v>
      </c>
      <c r="C170" s="1">
        <v>987.7040505499466</v>
      </c>
      <c r="D170" s="2">
        <v>45.721493782408871</v>
      </c>
      <c r="E170" s="2">
        <v>79.398654644462027</v>
      </c>
      <c r="F170" s="2">
        <v>23.121236226821367</v>
      </c>
      <c r="G170" s="2">
        <v>14.877119129769332</v>
      </c>
      <c r="H170" s="2">
        <v>80.164067840798808</v>
      </c>
      <c r="I170" s="2">
        <v>47.071498405703075</v>
      </c>
      <c r="J170" s="2">
        <v>137.88454805424129</v>
      </c>
      <c r="K170" s="2">
        <v>56.336064407366962</v>
      </c>
      <c r="L170" s="2">
        <v>7.6763821654940676</v>
      </c>
      <c r="M170" s="2">
        <v>19.061774580213328</v>
      </c>
      <c r="O170" s="6">
        <f t="shared" si="25"/>
        <v>3.075878220977879E-3</v>
      </c>
      <c r="P170" s="6">
        <f t="shared" si="26"/>
        <v>3.075878220977879E-3</v>
      </c>
      <c r="Q170" s="6">
        <f t="shared" si="27"/>
        <v>3.2263049556100487E-3</v>
      </c>
      <c r="R170" s="6">
        <f t="shared" si="28"/>
        <v>7.6948088961659167E-4</v>
      </c>
      <c r="S170" s="6">
        <f t="shared" si="29"/>
        <v>4.430359394320238E-3</v>
      </c>
      <c r="T170" s="6">
        <f t="shared" si="30"/>
        <v>2.829401323538594E-3</v>
      </c>
      <c r="U170" s="6">
        <f t="shared" si="31"/>
        <v>-7.0218824842253058E-3</v>
      </c>
      <c r="V170" s="6">
        <f t="shared" si="32"/>
        <v>5.2113387344303597E-3</v>
      </c>
      <c r="W170" s="6">
        <f t="shared" si="33"/>
        <v>-1.0980797529018815E-3</v>
      </c>
      <c r="X170" s="6">
        <f t="shared" si="34"/>
        <v>3.2655651513533446E-3</v>
      </c>
      <c r="Y170" s="6">
        <f t="shared" si="35"/>
        <v>1.4835955813172763E-3</v>
      </c>
      <c r="Z170" s="6">
        <f t="shared" si="36"/>
        <v>-2.2216223940063617E-4</v>
      </c>
    </row>
    <row r="171" spans="1:26" x14ac:dyDescent="0.45">
      <c r="A171">
        <v>169</v>
      </c>
      <c r="B171" s="1">
        <v>990.7421079278048</v>
      </c>
      <c r="C171" s="1">
        <v>990.7421079278048</v>
      </c>
      <c r="D171" s="2">
        <v>45.869005264376952</v>
      </c>
      <c r="E171" s="2">
        <v>79.459750391872205</v>
      </c>
      <c r="F171" s="2">
        <v>23.223671612947161</v>
      </c>
      <c r="G171" s="2">
        <v>14.919212470325542</v>
      </c>
      <c r="H171" s="2">
        <v>79.601165176963249</v>
      </c>
      <c r="I171" s="2">
        <v>47.316803928632389</v>
      </c>
      <c r="J171" s="2">
        <v>137.73313982378491</v>
      </c>
      <c r="K171" s="2">
        <v>56.520033496060059</v>
      </c>
      <c r="L171" s="2">
        <v>7.6877708121552972</v>
      </c>
      <c r="M171" s="2">
        <v>19.057539773685637</v>
      </c>
      <c r="O171" s="6">
        <f t="shared" si="25"/>
        <v>-1.596223952758824E-3</v>
      </c>
      <c r="P171" s="6">
        <f t="shared" si="26"/>
        <v>-1.596223952758824E-3</v>
      </c>
      <c r="Q171" s="6">
        <f t="shared" si="27"/>
        <v>-3.8250822529808381E-3</v>
      </c>
      <c r="R171" s="6">
        <f t="shared" si="28"/>
        <v>3.5769677643029407E-3</v>
      </c>
      <c r="S171" s="6">
        <f t="shared" si="29"/>
        <v>3.4833067538098117E-3</v>
      </c>
      <c r="T171" s="6">
        <f t="shared" si="30"/>
        <v>-4.3561207232853949E-3</v>
      </c>
      <c r="U171" s="6">
        <f t="shared" si="31"/>
        <v>1.4828330159617487E-3</v>
      </c>
      <c r="V171" s="6">
        <f t="shared" si="32"/>
        <v>-1.1287059911324615E-4</v>
      </c>
      <c r="W171" s="6">
        <f t="shared" si="33"/>
        <v>-4.0594449719023595E-3</v>
      </c>
      <c r="X171" s="6">
        <f t="shared" si="34"/>
        <v>-6.3049350854482711E-3</v>
      </c>
      <c r="Y171" s="6">
        <f t="shared" si="35"/>
        <v>2.7298182306134677E-4</v>
      </c>
      <c r="Z171" s="6">
        <f t="shared" si="36"/>
        <v>5.4883362571729322E-3</v>
      </c>
    </row>
    <row r="172" spans="1:26" x14ac:dyDescent="0.45">
      <c r="A172">
        <v>170</v>
      </c>
      <c r="B172" s="1">
        <v>989.16066164412371</v>
      </c>
      <c r="C172" s="1">
        <v>989.16066164412371</v>
      </c>
      <c r="D172" s="2">
        <v>45.693552546378299</v>
      </c>
      <c r="E172" s="2">
        <v>79.743975357583494</v>
      </c>
      <c r="F172" s="2">
        <v>23.304566785124802</v>
      </c>
      <c r="G172" s="2">
        <v>14.854222579708459</v>
      </c>
      <c r="H172" s="2">
        <v>79.719200412796681</v>
      </c>
      <c r="I172" s="2">
        <v>47.31146325262484</v>
      </c>
      <c r="J172" s="2">
        <v>137.17401972186292</v>
      </c>
      <c r="K172" s="2">
        <v>56.163678353840041</v>
      </c>
      <c r="L172" s="2">
        <v>7.6898694338468774</v>
      </c>
      <c r="M172" s="2">
        <v>19.162133960198069</v>
      </c>
      <c r="O172" s="6">
        <f t="shared" si="25"/>
        <v>-2.028012805338153E-3</v>
      </c>
      <c r="P172" s="6">
        <f t="shared" si="26"/>
        <v>-2.028012805338153E-3</v>
      </c>
      <c r="Q172" s="6">
        <f t="shared" si="27"/>
        <v>-1.9857579946104265E-3</v>
      </c>
      <c r="R172" s="6">
        <f t="shared" si="28"/>
        <v>-6.8286284512522055E-3</v>
      </c>
      <c r="S172" s="6">
        <f t="shared" si="29"/>
        <v>2.8419746110686095E-3</v>
      </c>
      <c r="T172" s="6">
        <f t="shared" si="30"/>
        <v>-2.1823830737711658E-3</v>
      </c>
      <c r="U172" s="6">
        <f t="shared" si="31"/>
        <v>6.8171349754464483E-3</v>
      </c>
      <c r="V172" s="6">
        <f t="shared" si="32"/>
        <v>-1.0536972404934231E-3</v>
      </c>
      <c r="W172" s="6">
        <f t="shared" si="33"/>
        <v>-3.0253306822187742E-3</v>
      </c>
      <c r="X172" s="6">
        <f t="shared" si="34"/>
        <v>-3.3508568906928105E-3</v>
      </c>
      <c r="Y172" s="6">
        <f t="shared" si="35"/>
        <v>6.1923657808409249E-3</v>
      </c>
      <c r="Z172" s="6">
        <f t="shared" si="36"/>
        <v>-1.1621833808556081E-3</v>
      </c>
    </row>
    <row r="173" spans="1:26" x14ac:dyDescent="0.45">
      <c r="A173">
        <v>171</v>
      </c>
      <c r="B173" s="1">
        <v>987.15463115577268</v>
      </c>
      <c r="C173" s="1">
        <v>987.15463115577268</v>
      </c>
      <c r="D173" s="2">
        <v>45.602816209107175</v>
      </c>
      <c r="E173" s="2">
        <v>79.199433378640748</v>
      </c>
      <c r="F173" s="2">
        <v>23.370797772250079</v>
      </c>
      <c r="G173" s="2">
        <v>14.821804975776473</v>
      </c>
      <c r="H173" s="2">
        <v>80.262656962145385</v>
      </c>
      <c r="I173" s="2">
        <v>47.261611294351844</v>
      </c>
      <c r="J173" s="2">
        <v>136.75902295119508</v>
      </c>
      <c r="K173" s="2">
        <v>55.975481905221422</v>
      </c>
      <c r="L173" s="2">
        <v>7.7374879181881653</v>
      </c>
      <c r="M173" s="2">
        <v>19.139864046567798</v>
      </c>
      <c r="O173" s="6">
        <f t="shared" si="25"/>
        <v>1.1299259723807076E-4</v>
      </c>
      <c r="P173" s="6">
        <f t="shared" si="26"/>
        <v>1.1299259723807076E-4</v>
      </c>
      <c r="Q173" s="6">
        <f t="shared" si="27"/>
        <v>-1.8945943866260917E-3</v>
      </c>
      <c r="R173" s="6">
        <f t="shared" si="28"/>
        <v>8.1890994636957259E-4</v>
      </c>
      <c r="S173" s="6">
        <f t="shared" si="29"/>
        <v>1.7569985707241997E-3</v>
      </c>
      <c r="T173" s="6">
        <f t="shared" si="30"/>
        <v>1.5483761772268068E-3</v>
      </c>
      <c r="U173" s="6">
        <f t="shared" si="31"/>
        <v>7.8668113828417319E-4</v>
      </c>
      <c r="V173" s="6">
        <f t="shared" si="32"/>
        <v>7.429533243044073E-4</v>
      </c>
      <c r="W173" s="6">
        <f t="shared" si="33"/>
        <v>2.7025233788560143E-3</v>
      </c>
      <c r="X173" s="6">
        <f t="shared" si="34"/>
        <v>1.2896743319339432E-3</v>
      </c>
      <c r="Y173" s="6">
        <f t="shared" si="35"/>
        <v>3.1627319194076353E-3</v>
      </c>
      <c r="Z173" s="6">
        <f t="shared" si="36"/>
        <v>-3.2682668037824492E-3</v>
      </c>
    </row>
    <row r="174" spans="1:26" x14ac:dyDescent="0.45">
      <c r="A174">
        <v>172</v>
      </c>
      <c r="B174" s="1">
        <v>987.26617232142257</v>
      </c>
      <c r="C174" s="1">
        <v>987.26617232142257</v>
      </c>
      <c r="D174" s="2">
        <v>45.51641736950306</v>
      </c>
      <c r="E174" s="2">
        <v>79.264290582381349</v>
      </c>
      <c r="F174" s="2">
        <v>23.411860230532607</v>
      </c>
      <c r="G174" s="2">
        <v>14.844754705504467</v>
      </c>
      <c r="H174" s="2">
        <v>80.325798080486081</v>
      </c>
      <c r="I174" s="2">
        <v>47.296724465574968</v>
      </c>
      <c r="J174" s="2">
        <v>137.12861740799019</v>
      </c>
      <c r="K174" s="2">
        <v>56.047672047452217</v>
      </c>
      <c r="L174" s="2">
        <v>7.7619595182030503</v>
      </c>
      <c r="M174" s="2">
        <v>19.077309864275492</v>
      </c>
      <c r="O174" s="6">
        <f t="shared" si="25"/>
        <v>2.9205943692354186E-3</v>
      </c>
      <c r="P174" s="6">
        <f t="shared" si="26"/>
        <v>2.9205943692354186E-3</v>
      </c>
      <c r="Q174" s="6">
        <f t="shared" si="27"/>
        <v>4.1819830809166625E-3</v>
      </c>
      <c r="R174" s="6">
        <f t="shared" si="28"/>
        <v>-3.5149973350718788E-3</v>
      </c>
      <c r="S174" s="6">
        <f t="shared" si="29"/>
        <v>1.0068012696526907E-3</v>
      </c>
      <c r="T174" s="6">
        <f t="shared" si="30"/>
        <v>2.9819147264908974E-3</v>
      </c>
      <c r="U174" s="6">
        <f t="shared" si="31"/>
        <v>5.0076788951252116E-3</v>
      </c>
      <c r="V174" s="6">
        <f t="shared" si="32"/>
        <v>-3.5290147187394538E-5</v>
      </c>
      <c r="W174" s="6">
        <f t="shared" si="33"/>
        <v>5.7340447694247398E-3</v>
      </c>
      <c r="X174" s="6">
        <f t="shared" si="34"/>
        <v>2.7647833391533094E-3</v>
      </c>
      <c r="Y174" s="6">
        <f t="shared" si="35"/>
        <v>6.6613236802741671E-3</v>
      </c>
      <c r="Z174" s="6">
        <f t="shared" si="36"/>
        <v>4.4748442002799926E-3</v>
      </c>
    </row>
    <row r="175" spans="1:26" x14ac:dyDescent="0.45">
      <c r="A175">
        <v>173</v>
      </c>
      <c r="B175" s="1">
        <v>990.14957634524114</v>
      </c>
      <c r="C175" s="1">
        <v>990.14957634524114</v>
      </c>
      <c r="D175" s="2">
        <v>45.706766256846265</v>
      </c>
      <c r="E175" s="2">
        <v>78.985676812217918</v>
      </c>
      <c r="F175" s="2">
        <v>23.435431321137639</v>
      </c>
      <c r="G175" s="2">
        <v>14.889020498171956</v>
      </c>
      <c r="H175" s="2">
        <v>80.728043884267819</v>
      </c>
      <c r="I175" s="2">
        <v>47.295055357207097</v>
      </c>
      <c r="J175" s="2">
        <v>137.91491903937691</v>
      </c>
      <c r="K175" s="2">
        <v>56.202631717327343</v>
      </c>
      <c r="L175" s="2">
        <v>7.8136644429469859</v>
      </c>
      <c r="M175" s="2">
        <v>19.162677853678588</v>
      </c>
      <c r="O175" s="6">
        <f t="shared" si="25"/>
        <v>-1.554368389014682E-3</v>
      </c>
      <c r="P175" s="6">
        <f t="shared" si="26"/>
        <v>-1.554368389014682E-3</v>
      </c>
      <c r="Q175" s="6">
        <f t="shared" si="27"/>
        <v>1.2064244580332062E-3</v>
      </c>
      <c r="R175" s="6">
        <f t="shared" si="28"/>
        <v>1.5158964693080534E-3</v>
      </c>
      <c r="S175" s="6">
        <f t="shared" si="29"/>
        <v>-6.5478832794596542E-4</v>
      </c>
      <c r="T175" s="6">
        <f t="shared" si="30"/>
        <v>-2.4033071620862545E-3</v>
      </c>
      <c r="U175" s="6">
        <f t="shared" si="31"/>
        <v>-4.2081048873080507E-3</v>
      </c>
      <c r="V175" s="6">
        <f t="shared" si="32"/>
        <v>-1.2311307765753288E-3</v>
      </c>
      <c r="W175" s="6">
        <f t="shared" si="33"/>
        <v>-2.6215651686831709E-3</v>
      </c>
      <c r="X175" s="6">
        <f t="shared" si="34"/>
        <v>1.9381911438698385E-3</v>
      </c>
      <c r="Y175" s="6">
        <f t="shared" si="35"/>
        <v>-1.0987928201791064E-3</v>
      </c>
      <c r="Z175" s="6">
        <f t="shared" si="36"/>
        <v>-1.2901993662270961E-3</v>
      </c>
    </row>
    <row r="176" spans="1:26" x14ac:dyDescent="0.45">
      <c r="A176">
        <v>174</v>
      </c>
      <c r="B176" s="1">
        <v>988.61051914337384</v>
      </c>
      <c r="C176" s="1">
        <v>988.61051914337384</v>
      </c>
      <c r="D176" s="2">
        <v>45.761908017556131</v>
      </c>
      <c r="E176" s="2">
        <v>79.105410920823459</v>
      </c>
      <c r="F176" s="2">
        <v>23.420086074248179</v>
      </c>
      <c r="G176" s="2">
        <v>14.85323760857225</v>
      </c>
      <c r="H176" s="2">
        <v>80.388331808255614</v>
      </c>
      <c r="I176" s="2">
        <v>47.236828958977007</v>
      </c>
      <c r="J176" s="2">
        <v>137.55336609138152</v>
      </c>
      <c r="K176" s="2">
        <v>56.311563160384047</v>
      </c>
      <c r="L176" s="2">
        <v>7.8050788445577872</v>
      </c>
      <c r="M176" s="2">
        <v>19.137954178856557</v>
      </c>
      <c r="O176" s="6">
        <f t="shared" si="25"/>
        <v>-1.7219608531731101E-3</v>
      </c>
      <c r="P176" s="6">
        <f t="shared" si="26"/>
        <v>-1.7219608531731101E-3</v>
      </c>
      <c r="Q176" s="6">
        <f t="shared" si="27"/>
        <v>1.2988409951786295E-4</v>
      </c>
      <c r="R176" s="6">
        <f t="shared" si="28"/>
        <v>6.6670302650395641E-3</v>
      </c>
      <c r="S176" s="6">
        <f t="shared" si="29"/>
        <v>-4.9545195831814937E-3</v>
      </c>
      <c r="T176" s="6">
        <f t="shared" si="30"/>
        <v>-1.809532647549128E-3</v>
      </c>
      <c r="U176" s="6">
        <f t="shared" si="31"/>
        <v>8.2958643664985399E-3</v>
      </c>
      <c r="V176" s="6">
        <f t="shared" si="32"/>
        <v>5.9650238883564022E-3</v>
      </c>
      <c r="W176" s="6">
        <f t="shared" si="33"/>
        <v>-2.3308286665401079E-3</v>
      </c>
      <c r="X176" s="6">
        <f t="shared" si="34"/>
        <v>-1.1884265808808081E-3</v>
      </c>
      <c r="Y176" s="6">
        <f t="shared" si="35"/>
        <v>3.2444796326334124E-3</v>
      </c>
      <c r="Z176" s="6">
        <f t="shared" si="36"/>
        <v>5.1614621730526888E-3</v>
      </c>
    </row>
    <row r="177" spans="1:26" x14ac:dyDescent="0.45">
      <c r="A177">
        <v>175</v>
      </c>
      <c r="B177" s="1">
        <v>986.90817053037381</v>
      </c>
      <c r="C177" s="1">
        <v>986.90817053037381</v>
      </c>
      <c r="D177" s="2">
        <v>45.767851761771212</v>
      </c>
      <c r="E177" s="2">
        <v>79.632809089560979</v>
      </c>
      <c r="F177" s="2">
        <v>23.304050799153519</v>
      </c>
      <c r="G177" s="2">
        <v>14.826360190197734</v>
      </c>
      <c r="H177" s="2">
        <v>81.055222505585988</v>
      </c>
      <c r="I177" s="2">
        <v>47.518597772127514</v>
      </c>
      <c r="J177" s="2">
        <v>137.23275276251664</v>
      </c>
      <c r="K177" s="2">
        <v>56.244641001913301</v>
      </c>
      <c r="L177" s="2">
        <v>7.8304022639000532</v>
      </c>
      <c r="M177" s="2">
        <v>19.236734005420342</v>
      </c>
      <c r="O177" s="6">
        <f t="shared" si="25"/>
        <v>-4.1483264607543591E-3</v>
      </c>
      <c r="P177" s="6">
        <f t="shared" si="26"/>
        <v>-4.1483264607543591E-3</v>
      </c>
      <c r="Q177" s="6">
        <f t="shared" si="27"/>
        <v>-5.9800204217435038E-3</v>
      </c>
      <c r="R177" s="6">
        <f t="shared" si="28"/>
        <v>-5.1759362199849113E-3</v>
      </c>
      <c r="S177" s="6">
        <f t="shared" si="29"/>
        <v>-5.1625697035699858E-3</v>
      </c>
      <c r="T177" s="6">
        <f t="shared" si="30"/>
        <v>-7.4246231225222337E-3</v>
      </c>
      <c r="U177" s="6">
        <f t="shared" si="31"/>
        <v>-8.5383307878860171E-3</v>
      </c>
      <c r="V177" s="6">
        <f t="shared" si="32"/>
        <v>-1.1487081531201038E-2</v>
      </c>
      <c r="W177" s="6">
        <f t="shared" si="33"/>
        <v>-4.6082741593790333E-3</v>
      </c>
      <c r="X177" s="6">
        <f t="shared" si="34"/>
        <v>-4.2787191340135644E-3</v>
      </c>
      <c r="Y177" s="6">
        <f t="shared" si="35"/>
        <v>-4.3901103566363897E-3</v>
      </c>
      <c r="Z177" s="6">
        <f t="shared" si="36"/>
        <v>1.5680419219443742E-4</v>
      </c>
    </row>
    <row r="178" spans="1:26" x14ac:dyDescent="0.45">
      <c r="A178">
        <v>176</v>
      </c>
      <c r="B178" s="1">
        <v>982.81415325222804</v>
      </c>
      <c r="C178" s="1">
        <v>982.81415325222804</v>
      </c>
      <c r="D178" s="2">
        <v>45.49415907357649</v>
      </c>
      <c r="E178" s="2">
        <v>79.220634748695176</v>
      </c>
      <c r="F178" s="2">
        <v>23.183742012527354</v>
      </c>
      <c r="G178" s="2">
        <v>14.716280053506749</v>
      </c>
      <c r="H178" s="2">
        <v>80.36314620374759</v>
      </c>
      <c r="I178" s="2">
        <v>46.972747765270739</v>
      </c>
      <c r="J178" s="2">
        <v>136.60034661414068</v>
      </c>
      <c r="K178" s="2">
        <v>56.003985980272688</v>
      </c>
      <c r="L178" s="2">
        <v>7.7960259338246765</v>
      </c>
      <c r="M178" s="2">
        <v>19.239750405956521</v>
      </c>
      <c r="O178" s="6">
        <f t="shared" si="25"/>
        <v>5.1524431526739356E-4</v>
      </c>
      <c r="P178" s="6">
        <f t="shared" si="26"/>
        <v>5.1524431526739356E-4</v>
      </c>
      <c r="Q178" s="6">
        <f t="shared" si="27"/>
        <v>3.0688731792607449E-3</v>
      </c>
      <c r="R178" s="6">
        <f t="shared" si="28"/>
        <v>1.76264713981511E-3</v>
      </c>
      <c r="S178" s="6">
        <f t="shared" si="29"/>
        <v>-3.3852697084956196E-3</v>
      </c>
      <c r="T178" s="6">
        <f t="shared" si="30"/>
        <v>1.4331691576474626E-3</v>
      </c>
      <c r="U178" s="6">
        <f t="shared" si="31"/>
        <v>-3.7635794648055443E-3</v>
      </c>
      <c r="V178" s="6">
        <f t="shared" si="32"/>
        <v>2.6826197768115012E-3</v>
      </c>
      <c r="W178" s="6">
        <f t="shared" si="33"/>
        <v>-8.0020325368679313E-4</v>
      </c>
      <c r="X178" s="6">
        <f t="shared" si="34"/>
        <v>-3.3058240464108879E-3</v>
      </c>
      <c r="Y178" s="6">
        <f t="shared" si="35"/>
        <v>-4.0560545469102705E-3</v>
      </c>
      <c r="Z178" s="6">
        <f t="shared" si="36"/>
        <v>-6.56799401725916E-5</v>
      </c>
    </row>
    <row r="179" spans="1:26" x14ac:dyDescent="0.45">
      <c r="A179">
        <v>177</v>
      </c>
      <c r="B179" s="1">
        <v>983.32054265765555</v>
      </c>
      <c r="C179" s="1">
        <v>983.32054265765555</v>
      </c>
      <c r="D179" s="2">
        <v>45.633774878170414</v>
      </c>
      <c r="E179" s="2">
        <v>79.360272773949305</v>
      </c>
      <c r="F179" s="2">
        <v>23.105258792962768</v>
      </c>
      <c r="G179" s="2">
        <v>14.737370972194737</v>
      </c>
      <c r="H179" s="2">
        <v>80.060693116967997</v>
      </c>
      <c r="I179" s="2">
        <v>47.098757787397034</v>
      </c>
      <c r="J179" s="2">
        <v>136.49103857232529</v>
      </c>
      <c r="K179" s="2">
        <v>55.818846656724247</v>
      </c>
      <c r="L179" s="2">
        <v>7.7644048273879562</v>
      </c>
      <c r="M179" s="2">
        <v>19.238486740300921</v>
      </c>
      <c r="O179" s="6">
        <f t="shared" si="25"/>
        <v>-1.1290861870658642E-3</v>
      </c>
      <c r="P179" s="6">
        <f t="shared" si="26"/>
        <v>-1.1290861870658642E-3</v>
      </c>
      <c r="Q179" s="6">
        <f t="shared" si="27"/>
        <v>2.4234602712567277E-3</v>
      </c>
      <c r="R179" s="6">
        <f t="shared" si="28"/>
        <v>2.5822866490186058E-3</v>
      </c>
      <c r="S179" s="6">
        <f t="shared" si="29"/>
        <v>-7.4809775676287771E-4</v>
      </c>
      <c r="T179" s="6">
        <f t="shared" si="30"/>
        <v>-2.7896604721791007E-3</v>
      </c>
      <c r="U179" s="6">
        <f t="shared" si="31"/>
        <v>7.2026039535044717E-4</v>
      </c>
      <c r="V179" s="6">
        <f t="shared" si="32"/>
        <v>2.6579116967500038E-3</v>
      </c>
      <c r="W179" s="6">
        <f t="shared" si="33"/>
        <v>-5.2126049907005312E-3</v>
      </c>
      <c r="X179" s="6">
        <f t="shared" si="34"/>
        <v>-4.1221648207484529E-3</v>
      </c>
      <c r="Y179" s="6">
        <f t="shared" si="35"/>
        <v>-6.932580586217818E-3</v>
      </c>
      <c r="Z179" s="6">
        <f t="shared" si="36"/>
        <v>-8.1941082181207214E-3</v>
      </c>
    </row>
    <row r="180" spans="1:26" x14ac:dyDescent="0.45">
      <c r="A180">
        <v>178</v>
      </c>
      <c r="B180" s="1">
        <v>982.21028901548266</v>
      </c>
      <c r="C180" s="1">
        <v>982.21028901548266</v>
      </c>
      <c r="D180" s="2">
        <v>45.744366518615131</v>
      </c>
      <c r="E180" s="2">
        <v>79.565203746795945</v>
      </c>
      <c r="F180" s="2">
        <v>23.087973800690328</v>
      </c>
      <c r="G180" s="2">
        <v>14.696258710929767</v>
      </c>
      <c r="H180" s="2">
        <v>80.118357663444456</v>
      </c>
      <c r="I180" s="2">
        <v>47.223942126622553</v>
      </c>
      <c r="J180" s="2">
        <v>135.77956470347729</v>
      </c>
      <c r="K180" s="2">
        <v>55.588752170701149</v>
      </c>
      <c r="L180" s="2">
        <v>7.710577465218071</v>
      </c>
      <c r="M180" s="2">
        <v>19.080844497998015</v>
      </c>
      <c r="O180" s="6">
        <f t="shared" si="25"/>
        <v>1.470927308959924E-3</v>
      </c>
      <c r="P180" s="6">
        <f t="shared" si="26"/>
        <v>1.470927308959924E-3</v>
      </c>
      <c r="Q180" s="6">
        <f t="shared" si="27"/>
        <v>-3.0140878259630188E-3</v>
      </c>
      <c r="R180" s="6">
        <f t="shared" si="28"/>
        <v>3.640733417646036E-3</v>
      </c>
      <c r="S180" s="6">
        <f t="shared" si="29"/>
        <v>6.6101620719742904E-3</v>
      </c>
      <c r="T180" s="6">
        <f t="shared" si="30"/>
        <v>1.3728056773776309E-4</v>
      </c>
      <c r="U180" s="6">
        <f t="shared" si="31"/>
        <v>-2.8065325634610838E-3</v>
      </c>
      <c r="V180" s="6">
        <f t="shared" si="32"/>
        <v>1.9731417420205677E-3</v>
      </c>
      <c r="W180" s="6">
        <f t="shared" si="33"/>
        <v>-4.4997002922575469E-3</v>
      </c>
      <c r="X180" s="6">
        <f t="shared" si="34"/>
        <v>1.8372481279655961E-3</v>
      </c>
      <c r="Y180" s="6">
        <f t="shared" si="35"/>
        <v>5.9957369985246256E-3</v>
      </c>
      <c r="Z180" s="6">
        <f t="shared" si="36"/>
        <v>3.1333205967154498E-3</v>
      </c>
    </row>
    <row r="181" spans="1:26" x14ac:dyDescent="0.45">
      <c r="A181">
        <v>179</v>
      </c>
      <c r="B181" s="1">
        <v>983.65504895273693</v>
      </c>
      <c r="C181" s="1">
        <v>983.65504895273693</v>
      </c>
      <c r="D181" s="2">
        <v>45.606488980384981</v>
      </c>
      <c r="E181" s="2">
        <v>79.854879442958719</v>
      </c>
      <c r="F181" s="2">
        <v>23.240589049426386</v>
      </c>
      <c r="G181" s="2">
        <v>14.698276221669225</v>
      </c>
      <c r="H181" s="2">
        <v>79.893502883730974</v>
      </c>
      <c r="I181" s="2">
        <v>47.317121658055356</v>
      </c>
      <c r="J181" s="2">
        <v>135.16859735649845</v>
      </c>
      <c r="K181" s="2">
        <v>55.690882501562712</v>
      </c>
      <c r="L181" s="2">
        <v>7.7568080598062688</v>
      </c>
      <c r="M181" s="2">
        <v>19.140630901066316</v>
      </c>
      <c r="O181" s="6">
        <f t="shared" si="25"/>
        <v>1.982758707985699E-4</v>
      </c>
      <c r="P181" s="6">
        <f t="shared" si="26"/>
        <v>1.982758707985699E-4</v>
      </c>
      <c r="Q181" s="6">
        <f t="shared" si="27"/>
        <v>-3.0973691852042018E-3</v>
      </c>
      <c r="R181" s="6">
        <f t="shared" si="28"/>
        <v>2.4881090604871314E-3</v>
      </c>
      <c r="S181" s="6">
        <f t="shared" si="29"/>
        <v>3.1423140727442345E-3</v>
      </c>
      <c r="T181" s="6">
        <f t="shared" si="30"/>
        <v>1.0688946649335396E-3</v>
      </c>
      <c r="U181" s="6">
        <f t="shared" si="31"/>
        <v>-3.6709083262939091E-3</v>
      </c>
      <c r="V181" s="6">
        <f t="shared" si="32"/>
        <v>2.5512443860298273E-3</v>
      </c>
      <c r="W181" s="6">
        <f t="shared" si="33"/>
        <v>-4.1636037409662485E-3</v>
      </c>
      <c r="X181" s="6">
        <f t="shared" si="34"/>
        <v>1.2267955970337585E-3</v>
      </c>
      <c r="Y181" s="6">
        <f t="shared" si="35"/>
        <v>-6.2086216890968604E-3</v>
      </c>
      <c r="Z181" s="6">
        <f t="shared" si="36"/>
        <v>-2.2776731008851137E-3</v>
      </c>
    </row>
    <row r="182" spans="1:26" x14ac:dyDescent="0.45">
      <c r="A182">
        <v>180</v>
      </c>
      <c r="B182" s="1">
        <v>983.85008401413347</v>
      </c>
      <c r="C182" s="1">
        <v>983.85008401413347</v>
      </c>
      <c r="D182" s="2">
        <v>45.46522884677178</v>
      </c>
      <c r="E182" s="2">
        <v>80.053567092024849</v>
      </c>
      <c r="F182" s="2">
        <v>23.313618279455266</v>
      </c>
      <c r="G182" s="2">
        <v>14.713987130706286</v>
      </c>
      <c r="H182" s="2">
        <v>79.600221158778297</v>
      </c>
      <c r="I182" s="2">
        <v>47.437839199048561</v>
      </c>
      <c r="J182" s="2">
        <v>134.60580887888378</v>
      </c>
      <c r="K182" s="2">
        <v>55.759203831010552</v>
      </c>
      <c r="L182" s="2">
        <v>7.7086489730479943</v>
      </c>
      <c r="M182" s="2">
        <v>19.097034800928988</v>
      </c>
      <c r="O182" s="6">
        <f t="shared" si="25"/>
        <v>2.2675274181633842E-3</v>
      </c>
      <c r="P182" s="6">
        <f t="shared" si="26"/>
        <v>2.2675274181633842E-3</v>
      </c>
      <c r="Q182" s="6">
        <f t="shared" si="27"/>
        <v>5.8087818079926024E-3</v>
      </c>
      <c r="R182" s="6">
        <f t="shared" si="28"/>
        <v>2.450426631365632E-3</v>
      </c>
      <c r="S182" s="6">
        <f t="shared" si="29"/>
        <v>-1.210395096463146E-3</v>
      </c>
      <c r="T182" s="6">
        <f t="shared" si="30"/>
        <v>3.7671164203232355E-3</v>
      </c>
      <c r="U182" s="6">
        <f t="shared" si="31"/>
        <v>7.1983886447066769E-3</v>
      </c>
      <c r="V182" s="6">
        <f t="shared" si="32"/>
        <v>1.1694738430763518E-2</v>
      </c>
      <c r="W182" s="6">
        <f t="shared" si="33"/>
        <v>5.495524427872045E-3</v>
      </c>
      <c r="X182" s="6">
        <f t="shared" si="34"/>
        <v>2.3198818904361929E-3</v>
      </c>
      <c r="Y182" s="6">
        <f t="shared" si="35"/>
        <v>4.7589063805852927E-3</v>
      </c>
      <c r="Z182" s="6">
        <f t="shared" si="36"/>
        <v>4.4782097892379635E-3</v>
      </c>
    </row>
    <row r="183" spans="1:26" x14ac:dyDescent="0.45">
      <c r="A183">
        <v>181</v>
      </c>
      <c r="B183" s="1">
        <v>986.08099105499787</v>
      </c>
      <c r="C183" s="1">
        <v>986.08099105499787</v>
      </c>
      <c r="D183" s="2">
        <v>45.729326440993127</v>
      </c>
      <c r="E183" s="2">
        <v>80.249732484762959</v>
      </c>
      <c r="F183" s="2">
        <v>23.285399590209</v>
      </c>
      <c r="G183" s="2">
        <v>14.769416433234795</v>
      </c>
      <c r="H183" s="2">
        <v>80.173214486883793</v>
      </c>
      <c r="I183" s="2">
        <v>47.992612320202056</v>
      </c>
      <c r="J183" s="2">
        <v>135.34553838971115</v>
      </c>
      <c r="K183" s="2">
        <v>55.888558598203254</v>
      </c>
      <c r="L183" s="2">
        <v>7.7453337118315249</v>
      </c>
      <c r="M183" s="2">
        <v>19.182555329119925</v>
      </c>
      <c r="O183" s="6">
        <f t="shared" si="25"/>
        <v>-2.7574829995735683E-4</v>
      </c>
      <c r="P183" s="6">
        <f t="shared" si="26"/>
        <v>-2.7574829995735683E-4</v>
      </c>
      <c r="Q183" s="6">
        <f t="shared" si="27"/>
        <v>3.0354175201185996E-3</v>
      </c>
      <c r="R183" s="6">
        <f t="shared" si="28"/>
        <v>1.5617938845031709E-3</v>
      </c>
      <c r="S183" s="6">
        <f t="shared" si="29"/>
        <v>-8.6646382836486069E-4</v>
      </c>
      <c r="T183" s="6">
        <f t="shared" si="30"/>
        <v>3.2291842630116641E-4</v>
      </c>
      <c r="U183" s="6">
        <f t="shared" si="31"/>
        <v>7.1482812057521716E-3</v>
      </c>
      <c r="V183" s="6">
        <f t="shared" si="32"/>
        <v>-3.1748304745926603E-4</v>
      </c>
      <c r="W183" s="6">
        <f t="shared" si="33"/>
        <v>-5.977975492562515E-3</v>
      </c>
      <c r="X183" s="6">
        <f t="shared" si="34"/>
        <v>7.7609438576486944E-4</v>
      </c>
      <c r="Y183" s="6">
        <f t="shared" si="35"/>
        <v>-1.0242380720503208E-3</v>
      </c>
      <c r="Z183" s="6">
        <f t="shared" si="36"/>
        <v>-2.160682363747668E-3</v>
      </c>
    </row>
    <row r="184" spans="1:26" x14ac:dyDescent="0.45">
      <c r="A184">
        <v>182</v>
      </c>
      <c r="B184" s="1">
        <v>985.80908089809418</v>
      </c>
      <c r="C184" s="1">
        <v>985.80908089809418</v>
      </c>
      <c r="D184" s="2">
        <v>45.868134039655338</v>
      </c>
      <c r="E184" s="2">
        <v>80.37506602619068</v>
      </c>
      <c r="F184" s="2">
        <v>23.265223633735062</v>
      </c>
      <c r="G184" s="2">
        <v>14.774185749946803</v>
      </c>
      <c r="H184" s="2">
        <v>80.746315169205118</v>
      </c>
      <c r="I184" s="2">
        <v>47.977375479387106</v>
      </c>
      <c r="J184" s="2">
        <v>134.53644607818978</v>
      </c>
      <c r="K184" s="2">
        <v>55.93193339475981</v>
      </c>
      <c r="L184" s="2">
        <v>7.7374006461631319</v>
      </c>
      <c r="M184" s="2">
        <v>19.141107920128682</v>
      </c>
      <c r="O184" s="6">
        <f t="shared" si="25"/>
        <v>8.4575129782726854E-4</v>
      </c>
      <c r="P184" s="6">
        <f t="shared" si="26"/>
        <v>8.4575129782726854E-4</v>
      </c>
      <c r="Q184" s="6">
        <f t="shared" si="27"/>
        <v>2.3657463648303345E-3</v>
      </c>
      <c r="R184" s="6">
        <f t="shared" si="28"/>
        <v>-3.6131284760169136E-3</v>
      </c>
      <c r="S184" s="6">
        <f t="shared" si="29"/>
        <v>-7.7331168350494028E-3</v>
      </c>
      <c r="T184" s="6">
        <f t="shared" si="30"/>
        <v>3.8366761301023011E-3</v>
      </c>
      <c r="U184" s="6">
        <f t="shared" si="31"/>
        <v>4.5231470215802982E-3</v>
      </c>
      <c r="V184" s="6">
        <f t="shared" si="32"/>
        <v>6.5568213045232859E-3</v>
      </c>
      <c r="W184" s="6">
        <f t="shared" si="33"/>
        <v>5.3420187882957659E-3</v>
      </c>
      <c r="X184" s="6">
        <f t="shared" si="34"/>
        <v>-5.2306967700254114E-3</v>
      </c>
      <c r="Y184" s="6">
        <f t="shared" si="35"/>
        <v>1.837518874393318E-3</v>
      </c>
      <c r="Z184" s="6">
        <f t="shared" si="36"/>
        <v>1.3445533521145858E-3</v>
      </c>
    </row>
    <row r="185" spans="1:26" x14ac:dyDescent="0.45">
      <c r="A185">
        <v>183</v>
      </c>
      <c r="B185" s="1">
        <v>986.64283020767368</v>
      </c>
      <c r="C185" s="1">
        <v>986.64283020767368</v>
      </c>
      <c r="D185" s="2">
        <v>45.9766464110212</v>
      </c>
      <c r="E185" s="2">
        <v>80.084660586369708</v>
      </c>
      <c r="F185" s="2">
        <v>23.085310941181834</v>
      </c>
      <c r="G185" s="2">
        <v>14.830869515755321</v>
      </c>
      <c r="H185" s="2">
        <v>81.11154262416629</v>
      </c>
      <c r="I185" s="2">
        <v>48.291954557065466</v>
      </c>
      <c r="J185" s="2">
        <v>135.25514230085003</v>
      </c>
      <c r="K185" s="2">
        <v>55.63937041141056</v>
      </c>
      <c r="L185" s="2">
        <v>7.7516182658892001</v>
      </c>
      <c r="M185" s="2">
        <v>19.166844160945878</v>
      </c>
      <c r="O185" s="6">
        <f t="shared" si="25"/>
        <v>4.0620082422382353E-3</v>
      </c>
      <c r="P185" s="6">
        <f t="shared" si="26"/>
        <v>4.0620082422382353E-3</v>
      </c>
      <c r="Q185" s="6">
        <f t="shared" si="27"/>
        <v>2.899258177264441E-3</v>
      </c>
      <c r="R185" s="6">
        <f t="shared" si="28"/>
        <v>1.6792747319192891E-2</v>
      </c>
      <c r="S185" s="6">
        <f t="shared" si="29"/>
        <v>3.073049214912249E-4</v>
      </c>
      <c r="T185" s="6">
        <f t="shared" si="30"/>
        <v>5.5462731879865057E-3</v>
      </c>
      <c r="U185" s="6">
        <f t="shared" si="31"/>
        <v>9.0477078931279209E-3</v>
      </c>
      <c r="V185" s="6">
        <f t="shared" si="32"/>
        <v>8.1650822077048435E-3</v>
      </c>
      <c r="W185" s="6">
        <f t="shared" si="33"/>
        <v>8.1114373800879047E-3</v>
      </c>
      <c r="X185" s="6">
        <f t="shared" si="34"/>
        <v>5.7022878611545647E-3</v>
      </c>
      <c r="Y185" s="6">
        <f t="shared" si="35"/>
        <v>7.8660088203408307E-4</v>
      </c>
      <c r="Z185" s="6">
        <f t="shared" si="36"/>
        <v>1.1691031917724359E-2</v>
      </c>
    </row>
    <row r="186" spans="1:26" x14ac:dyDescent="0.45">
      <c r="A186">
        <v>184</v>
      </c>
      <c r="B186" s="1">
        <v>990.65058151612254</v>
      </c>
      <c r="C186" s="1">
        <v>990.65058151612254</v>
      </c>
      <c r="D186" s="2">
        <v>46.109944579091547</v>
      </c>
      <c r="E186" s="2">
        <v>81.429502055739945</v>
      </c>
      <c r="F186" s="2">
        <v>23.092405170848213</v>
      </c>
      <c r="G186" s="2">
        <v>14.91312556970508</v>
      </c>
      <c r="H186" s="2">
        <v>81.845416168590745</v>
      </c>
      <c r="I186" s="2">
        <v>48.686262335994655</v>
      </c>
      <c r="J186" s="2">
        <v>136.35225591795825</v>
      </c>
      <c r="K186" s="2">
        <v>55.95664211790983</v>
      </c>
      <c r="L186" s="2">
        <v>7.7577156956543405</v>
      </c>
      <c r="M186" s="2">
        <v>19.390924347793547</v>
      </c>
      <c r="O186" s="6">
        <f t="shared" si="25"/>
        <v>3.4070079685870613E-3</v>
      </c>
      <c r="P186" s="6">
        <f t="shared" si="26"/>
        <v>3.4070079685870613E-3</v>
      </c>
      <c r="Q186" s="6">
        <f t="shared" si="27"/>
        <v>7.1281253843611392E-3</v>
      </c>
      <c r="R186" s="6">
        <f t="shared" si="28"/>
        <v>1.5659252899205445E-2</v>
      </c>
      <c r="S186" s="6">
        <f t="shared" si="29"/>
        <v>-1.0687870051965254E-3</v>
      </c>
      <c r="T186" s="6">
        <f t="shared" si="30"/>
        <v>8.9973185234681896E-3</v>
      </c>
      <c r="U186" s="6">
        <f t="shared" si="31"/>
        <v>5.7594638082365535E-3</v>
      </c>
      <c r="V186" s="6">
        <f t="shared" si="32"/>
        <v>9.8459331403641936E-3</v>
      </c>
      <c r="W186" s="6">
        <f t="shared" si="33"/>
        <v>-4.6526921151613942E-3</v>
      </c>
      <c r="X186" s="6">
        <f t="shared" si="34"/>
        <v>3.759995576844144E-4</v>
      </c>
      <c r="Y186" s="6">
        <f t="shared" si="35"/>
        <v>1.8099944584990091E-2</v>
      </c>
      <c r="Z186" s="6">
        <f t="shared" si="36"/>
        <v>3.9778820621456656E-3</v>
      </c>
    </row>
    <row r="187" spans="1:26" x14ac:dyDescent="0.45">
      <c r="A187">
        <v>185</v>
      </c>
      <c r="B187" s="1">
        <v>994.02573594143337</v>
      </c>
      <c r="C187" s="1">
        <v>994.02573594143337</v>
      </c>
      <c r="D187" s="2">
        <v>46.438622045517256</v>
      </c>
      <c r="E187" s="2">
        <v>82.704627221887151</v>
      </c>
      <c r="F187" s="2">
        <v>23.067724308282877</v>
      </c>
      <c r="G187" s="2">
        <v>15.047303710636195</v>
      </c>
      <c r="H187" s="2">
        <v>82.316801880883801</v>
      </c>
      <c r="I187" s="2">
        <v>49.165624019809087</v>
      </c>
      <c r="J187" s="2">
        <v>135.7178508519643</v>
      </c>
      <c r="K187" s="2">
        <v>55.977681790595668</v>
      </c>
      <c r="L187" s="2">
        <v>7.898129919851792</v>
      </c>
      <c r="M187" s="2">
        <v>19.468059157925058</v>
      </c>
      <c r="O187" s="6">
        <f t="shared" si="25"/>
        <v>1.6831714737393089E-3</v>
      </c>
      <c r="P187" s="6">
        <f t="shared" si="26"/>
        <v>1.6831714737393089E-3</v>
      </c>
      <c r="Q187" s="6">
        <f t="shared" si="27"/>
        <v>6.0325913431518163E-3</v>
      </c>
      <c r="R187" s="6">
        <f t="shared" si="28"/>
        <v>3.6068359194356692E-3</v>
      </c>
      <c r="S187" s="6">
        <f t="shared" si="29"/>
        <v>4.2522235787556539E-3</v>
      </c>
      <c r="T187" s="6">
        <f t="shared" si="30"/>
        <v>3.4101947019089529E-3</v>
      </c>
      <c r="U187" s="6">
        <f t="shared" si="31"/>
        <v>-1.1097436021705542E-2</v>
      </c>
      <c r="V187" s="6">
        <f t="shared" si="32"/>
        <v>4.4479027115875702E-3</v>
      </c>
      <c r="W187" s="6">
        <f t="shared" si="33"/>
        <v>4.5189165520047592E-3</v>
      </c>
      <c r="X187" s="6">
        <f t="shared" si="34"/>
        <v>7.8389887342804609E-3</v>
      </c>
      <c r="Y187" s="6">
        <f t="shared" si="35"/>
        <v>8.2757451679036365E-3</v>
      </c>
      <c r="Z187" s="6">
        <f t="shared" si="36"/>
        <v>-5.5701281051467877E-4</v>
      </c>
    </row>
    <row r="188" spans="1:26" x14ac:dyDescent="0.45">
      <c r="A188">
        <v>186</v>
      </c>
      <c r="B188" s="1">
        <v>995.6988517043327</v>
      </c>
      <c r="C188" s="1">
        <v>995.6988517043327</v>
      </c>
      <c r="D188" s="2">
        <v>46.718767274856944</v>
      </c>
      <c r="E188" s="2">
        <v>83.002929242054591</v>
      </c>
      <c r="F188" s="2">
        <v>23.165813429494793</v>
      </c>
      <c r="G188" s="2">
        <v>15.098617946028222</v>
      </c>
      <c r="H188" s="2">
        <v>81.403296438499282</v>
      </c>
      <c r="I188" s="2">
        <v>49.38430793220369</v>
      </c>
      <c r="J188" s="2">
        <v>136.33114849458175</v>
      </c>
      <c r="K188" s="2">
        <v>56.416490207523282</v>
      </c>
      <c r="L188" s="2">
        <v>7.9634928303714805</v>
      </c>
      <c r="M188" s="2">
        <v>19.457215199578236</v>
      </c>
      <c r="O188" s="6">
        <f t="shared" si="25"/>
        <v>-4.4456168154360931E-3</v>
      </c>
      <c r="P188" s="6">
        <f t="shared" si="26"/>
        <v>-4.4456168154360931E-3</v>
      </c>
      <c r="Q188" s="6">
        <f t="shared" si="27"/>
        <v>-7.4813917178289113E-3</v>
      </c>
      <c r="R188" s="6">
        <f t="shared" si="28"/>
        <v>-6.0272179936824433E-3</v>
      </c>
      <c r="S188" s="6">
        <f t="shared" si="29"/>
        <v>-3.3322131674138333E-3</v>
      </c>
      <c r="T188" s="6">
        <f t="shared" si="30"/>
        <v>-5.4365541325650524E-3</v>
      </c>
      <c r="U188" s="6">
        <f t="shared" si="31"/>
        <v>-1.0645212099886447E-2</v>
      </c>
      <c r="V188" s="6">
        <f t="shared" si="32"/>
        <v>-1.0244323293641333E-2</v>
      </c>
      <c r="W188" s="6">
        <f t="shared" si="33"/>
        <v>-8.5161529198827246E-3</v>
      </c>
      <c r="X188" s="6">
        <f t="shared" si="34"/>
        <v>-1.2787931628986615E-2</v>
      </c>
      <c r="Y188" s="6">
        <f t="shared" si="35"/>
        <v>-1.3876858588199759E-2</v>
      </c>
      <c r="Z188" s="6">
        <f t="shared" si="36"/>
        <v>4.2510445494532423E-3</v>
      </c>
    </row>
    <row r="189" spans="1:26" x14ac:dyDescent="0.45">
      <c r="A189">
        <v>187</v>
      </c>
      <c r="B189" s="1">
        <v>991.27235614608549</v>
      </c>
      <c r="C189" s="1">
        <v>991.27235614608549</v>
      </c>
      <c r="D189" s="2">
        <v>46.369245876299651</v>
      </c>
      <c r="E189" s="2">
        <v>82.502652493398529</v>
      </c>
      <c r="F189" s="2">
        <v>23.088620000951178</v>
      </c>
      <c r="G189" s="2">
        <v>15.016533492237722</v>
      </c>
      <c r="H189" s="2">
        <v>80.536741082281523</v>
      </c>
      <c r="I189" s="2">
        <v>48.878399116113457</v>
      </c>
      <c r="J189" s="2">
        <v>135.17013158625866</v>
      </c>
      <c r="K189" s="2">
        <v>55.69503998800208</v>
      </c>
      <c r="L189" s="2">
        <v>7.8529845664962732</v>
      </c>
      <c r="M189" s="2">
        <v>19.539928688199943</v>
      </c>
      <c r="O189" s="6">
        <f t="shared" si="25"/>
        <v>-5.9884855056990816E-4</v>
      </c>
      <c r="P189" s="6">
        <f t="shared" si="26"/>
        <v>-5.9884855056990816E-4</v>
      </c>
      <c r="Q189" s="6">
        <f t="shared" si="27"/>
        <v>1.5669320566722433E-3</v>
      </c>
      <c r="R189" s="6">
        <f t="shared" si="28"/>
        <v>-2.3235324280499459E-3</v>
      </c>
      <c r="S189" s="6">
        <f t="shared" si="29"/>
        <v>-2.5785859133974354E-3</v>
      </c>
      <c r="T189" s="6">
        <f t="shared" si="30"/>
        <v>4.3502455434025755E-3</v>
      </c>
      <c r="U189" s="6">
        <f t="shared" si="31"/>
        <v>-1.3775634949377946E-2</v>
      </c>
      <c r="V189" s="6">
        <f t="shared" si="32"/>
        <v>7.2493692734476589E-4</v>
      </c>
      <c r="W189" s="6">
        <f t="shared" si="33"/>
        <v>-5.6101214593092807E-3</v>
      </c>
      <c r="X189" s="6">
        <f t="shared" si="34"/>
        <v>2.4600459231425287E-3</v>
      </c>
      <c r="Y189" s="6">
        <f t="shared" si="35"/>
        <v>-4.9707879340536998E-3</v>
      </c>
      <c r="Z189" s="6">
        <f t="shared" si="36"/>
        <v>-5.0794256019293105E-4</v>
      </c>
    </row>
    <row r="190" spans="1:26" x14ac:dyDescent="0.45">
      <c r="A190">
        <v>188</v>
      </c>
      <c r="B190" s="1">
        <v>990.67873413238738</v>
      </c>
      <c r="C190" s="1">
        <v>990.67873413238738</v>
      </c>
      <c r="D190" s="2">
        <v>46.441903334106939</v>
      </c>
      <c r="E190" s="2">
        <v>82.310954904929986</v>
      </c>
      <c r="F190" s="2">
        <v>23.029084010656938</v>
      </c>
      <c r="G190" s="2">
        <v>15.081859100139685</v>
      </c>
      <c r="H190" s="2">
        <v>79.427296337119444</v>
      </c>
      <c r="I190" s="2">
        <v>48.913832872582226</v>
      </c>
      <c r="J190" s="2">
        <v>134.41181073038894</v>
      </c>
      <c r="K190" s="2">
        <v>55.832052344063825</v>
      </c>
      <c r="L190" s="2">
        <v>7.8139490455668232</v>
      </c>
      <c r="M190" s="2">
        <v>19.530003526796072</v>
      </c>
      <c r="O190" s="6">
        <f t="shared" si="25"/>
        <v>7.4741447018800145E-4</v>
      </c>
      <c r="P190" s="6">
        <f t="shared" si="26"/>
        <v>7.4741447018800145E-4</v>
      </c>
      <c r="Q190" s="6">
        <f t="shared" si="27"/>
        <v>3.9363302818202772E-3</v>
      </c>
      <c r="R190" s="6">
        <f t="shared" si="28"/>
        <v>1.9937382820098826E-3</v>
      </c>
      <c r="S190" s="6">
        <f t="shared" si="29"/>
        <v>2.6149821461827205E-3</v>
      </c>
      <c r="T190" s="6">
        <f t="shared" si="30"/>
        <v>3.1914501220997593E-3</v>
      </c>
      <c r="U190" s="6">
        <f t="shared" si="31"/>
        <v>-1.0723080086559089E-2</v>
      </c>
      <c r="V190" s="6">
        <f t="shared" si="32"/>
        <v>2.3791878719663373E-3</v>
      </c>
      <c r="W190" s="6">
        <f t="shared" si="33"/>
        <v>6.4131911254872165E-6</v>
      </c>
      <c r="X190" s="6">
        <f t="shared" si="34"/>
        <v>6.156856905146002E-3</v>
      </c>
      <c r="Y190" s="6">
        <f t="shared" si="35"/>
        <v>3.987550485951008E-4</v>
      </c>
      <c r="Z190" s="6">
        <f t="shared" si="36"/>
        <v>1.5825834838940622E-3</v>
      </c>
    </row>
    <row r="191" spans="1:26" x14ac:dyDescent="0.45">
      <c r="A191">
        <v>189</v>
      </c>
      <c r="B191" s="1">
        <v>991.41918175358546</v>
      </c>
      <c r="C191" s="1">
        <v>991.41918175358546</v>
      </c>
      <c r="D191" s="2">
        <v>46.624714004546355</v>
      </c>
      <c r="E191" s="2">
        <v>82.475061406752729</v>
      </c>
      <c r="F191" s="2">
        <v>23.089304654187746</v>
      </c>
      <c r="G191" s="2">
        <v>15.129992101206318</v>
      </c>
      <c r="H191" s="2">
        <v>78.57559107743765</v>
      </c>
      <c r="I191" s="2">
        <v>49.030208070524061</v>
      </c>
      <c r="J191" s="2">
        <v>134.41267273902068</v>
      </c>
      <c r="K191" s="2">
        <v>56.175802301066845</v>
      </c>
      <c r="L191" s="2">
        <v>7.8170648971982075</v>
      </c>
      <c r="M191" s="2">
        <v>19.560911387817974</v>
      </c>
      <c r="O191" s="6">
        <f t="shared" si="25"/>
        <v>3.682554336638999E-3</v>
      </c>
      <c r="P191" s="6">
        <f t="shared" si="26"/>
        <v>3.682554336638999E-3</v>
      </c>
      <c r="Q191" s="6">
        <f t="shared" si="27"/>
        <v>1.5461784836661163E-3</v>
      </c>
      <c r="R191" s="6">
        <f t="shared" si="28"/>
        <v>3.3972351249391686E-3</v>
      </c>
      <c r="S191" s="6">
        <f t="shared" si="29"/>
        <v>2.9320647784707443E-3</v>
      </c>
      <c r="T191" s="6">
        <f t="shared" si="30"/>
        <v>6.3356624706427667E-3</v>
      </c>
      <c r="U191" s="6">
        <f t="shared" si="31"/>
        <v>-1.5651893601807965E-3</v>
      </c>
      <c r="V191" s="6">
        <f t="shared" si="32"/>
        <v>5.8542388120508271E-4</v>
      </c>
      <c r="W191" s="6">
        <f t="shared" si="33"/>
        <v>4.2394244803920511E-3</v>
      </c>
      <c r="X191" s="6">
        <f t="shared" si="34"/>
        <v>1.1663954490067185E-2</v>
      </c>
      <c r="Y191" s="6">
        <f t="shared" si="35"/>
        <v>5.5983540777551077E-3</v>
      </c>
      <c r="Z191" s="6">
        <f t="shared" si="36"/>
        <v>1.1562517236525238E-2</v>
      </c>
    </row>
    <row r="192" spans="1:26" x14ac:dyDescent="0.45">
      <c r="A192">
        <v>190</v>
      </c>
      <c r="B192" s="1">
        <v>995.07013676077918</v>
      </c>
      <c r="C192" s="1">
        <v>995.07013676077918</v>
      </c>
      <c r="D192" s="2">
        <v>46.696804134147271</v>
      </c>
      <c r="E192" s="2">
        <v>82.755248582295266</v>
      </c>
      <c r="F192" s="2">
        <v>23.15700399112367</v>
      </c>
      <c r="G192" s="2">
        <v>15.225850624343051</v>
      </c>
      <c r="H192" s="2">
        <v>78.452605398313324</v>
      </c>
      <c r="I192" s="2">
        <v>49.058911525229</v>
      </c>
      <c r="J192" s="2">
        <v>134.98250511430541</v>
      </c>
      <c r="K192" s="2">
        <v>56.831034302549497</v>
      </c>
      <c r="L192" s="2">
        <v>7.8608275943415133</v>
      </c>
      <c r="M192" s="2">
        <v>19.787084762901763</v>
      </c>
      <c r="O192" s="6">
        <f t="shared" si="25"/>
        <v>-1.5255530662761085E-4</v>
      </c>
      <c r="P192" s="6">
        <f t="shared" si="26"/>
        <v>-1.5255530662761085E-4</v>
      </c>
      <c r="Q192" s="6">
        <f t="shared" si="27"/>
        <v>-2.0317800006539599E-3</v>
      </c>
      <c r="R192" s="6">
        <f t="shared" si="28"/>
        <v>4.2162215236434264E-3</v>
      </c>
      <c r="S192" s="6">
        <f t="shared" si="29"/>
        <v>-2.2143917627034382E-3</v>
      </c>
      <c r="T192" s="6">
        <f t="shared" si="30"/>
        <v>3.3936111546171155E-3</v>
      </c>
      <c r="U192" s="6">
        <f t="shared" si="31"/>
        <v>8.7509853964791162E-3</v>
      </c>
      <c r="V192" s="6">
        <f t="shared" si="32"/>
        <v>-4.5656758906229555E-3</v>
      </c>
      <c r="W192" s="6">
        <f t="shared" si="33"/>
        <v>-5.1249661174724848E-3</v>
      </c>
      <c r="X192" s="6">
        <f t="shared" si="34"/>
        <v>4.9669206240787744E-4</v>
      </c>
      <c r="Y192" s="6">
        <f t="shared" si="35"/>
        <v>-1.7134703894096104E-3</v>
      </c>
      <c r="Z192" s="6">
        <f t="shared" si="36"/>
        <v>-3.3347279899695881E-3</v>
      </c>
    </row>
    <row r="193" spans="1:26" x14ac:dyDescent="0.45">
      <c r="A193">
        <v>191</v>
      </c>
      <c r="B193" s="1">
        <v>994.91833353094967</v>
      </c>
      <c r="C193" s="1">
        <v>994.91833353094967</v>
      </c>
      <c r="D193" s="2">
        <v>46.601926501413054</v>
      </c>
      <c r="E193" s="2">
        <v>83.104163042562405</v>
      </c>
      <c r="F193" s="2">
        <v>23.105725312236835</v>
      </c>
      <c r="G193" s="2">
        <v>15.277521240860356</v>
      </c>
      <c r="H193" s="2">
        <v>79.139143002469709</v>
      </c>
      <c r="I193" s="2">
        <v>48.83492443565806</v>
      </c>
      <c r="J193" s="2">
        <v>134.29072434914303</v>
      </c>
      <c r="K193" s="2">
        <v>56.859261826186007</v>
      </c>
      <c r="L193" s="2">
        <v>7.8473582990223552</v>
      </c>
      <c r="M193" s="2">
        <v>19.721100217503015</v>
      </c>
      <c r="O193" s="6">
        <f t="shared" si="25"/>
        <v>9.8658768801906938E-4</v>
      </c>
      <c r="P193" s="6">
        <f t="shared" si="26"/>
        <v>9.8658768801906938E-4</v>
      </c>
      <c r="Q193" s="6">
        <f t="shared" si="27"/>
        <v>5.7656051049403967E-3</v>
      </c>
      <c r="R193" s="6">
        <f t="shared" si="28"/>
        <v>3.0202527382623412E-3</v>
      </c>
      <c r="S193" s="6">
        <f t="shared" si="29"/>
        <v>-4.0050308449594008E-3</v>
      </c>
      <c r="T193" s="6">
        <f t="shared" si="30"/>
        <v>-7.7681941534124554E-5</v>
      </c>
      <c r="U193" s="6">
        <f t="shared" si="31"/>
        <v>5.5880586540772992E-3</v>
      </c>
      <c r="V193" s="6">
        <f t="shared" si="32"/>
        <v>9.2922314703460795E-3</v>
      </c>
      <c r="W193" s="6">
        <f t="shared" si="33"/>
        <v>-2.1844344922476999E-3</v>
      </c>
      <c r="X193" s="6">
        <f t="shared" si="34"/>
        <v>1.6318656337437343E-3</v>
      </c>
      <c r="Y193" s="6">
        <f t="shared" si="35"/>
        <v>-1.6228189626851242E-3</v>
      </c>
      <c r="Z193" s="6">
        <f t="shared" si="36"/>
        <v>3.7271996521943684E-3</v>
      </c>
    </row>
    <row r="194" spans="1:26" x14ac:dyDescent="0.45">
      <c r="A194">
        <v>192</v>
      </c>
      <c r="B194" s="1">
        <v>995.89990770939573</v>
      </c>
      <c r="C194" s="1">
        <v>995.89990770939573</v>
      </c>
      <c r="D194" s="2">
        <v>46.870614806749657</v>
      </c>
      <c r="E194" s="2">
        <v>83.355158618552707</v>
      </c>
      <c r="F194" s="2">
        <v>23.013186169666167</v>
      </c>
      <c r="G194" s="2">
        <v>15.276334453348538</v>
      </c>
      <c r="H194" s="2">
        <v>79.581377175400917</v>
      </c>
      <c r="I194" s="2">
        <v>49.288709857351051</v>
      </c>
      <c r="J194" s="2">
        <v>133.99737505888584</v>
      </c>
      <c r="K194" s="2">
        <v>56.952048501520196</v>
      </c>
      <c r="L194" s="2">
        <v>7.8346234571677176</v>
      </c>
      <c r="M194" s="2">
        <v>19.794604695374581</v>
      </c>
      <c r="O194" s="6">
        <f t="shared" si="25"/>
        <v>2.2769591276803336E-3</v>
      </c>
      <c r="P194" s="6">
        <f t="shared" si="26"/>
        <v>2.2769591276803336E-3</v>
      </c>
      <c r="Q194" s="6">
        <f t="shared" si="27"/>
        <v>2.1206809019720385E-3</v>
      </c>
      <c r="R194" s="6">
        <f t="shared" si="28"/>
        <v>1.7547825068817691E-3</v>
      </c>
      <c r="S194" s="6">
        <f t="shared" si="29"/>
        <v>1.0362689999343644E-3</v>
      </c>
      <c r="T194" s="6">
        <f t="shared" si="30"/>
        <v>-2.0022137229275261E-3</v>
      </c>
      <c r="U194" s="6">
        <f t="shared" si="31"/>
        <v>-1.4009009163995501E-4</v>
      </c>
      <c r="V194" s="6">
        <f t="shared" si="32"/>
        <v>3.6431121757836138E-3</v>
      </c>
      <c r="W194" s="6">
        <f t="shared" si="33"/>
        <v>-2.0309137703073965E-3</v>
      </c>
      <c r="X194" s="6">
        <f t="shared" si="34"/>
        <v>-1.0253439755353311E-3</v>
      </c>
      <c r="Y194" s="6">
        <f t="shared" si="35"/>
        <v>3.079219944021272E-3</v>
      </c>
      <c r="Z194" s="6">
        <f t="shared" si="36"/>
        <v>-1.0412931068268794E-3</v>
      </c>
    </row>
    <row r="195" spans="1:26" x14ac:dyDescent="0.45">
      <c r="A195">
        <v>193</v>
      </c>
      <c r="B195" s="1">
        <v>998.16753109451065</v>
      </c>
      <c r="C195" s="1">
        <v>998.16753109451065</v>
      </c>
      <c r="D195" s="2">
        <v>46.970012424434017</v>
      </c>
      <c r="E195" s="2">
        <v>83.501428792754893</v>
      </c>
      <c r="F195" s="2">
        <v>23.03703402108351</v>
      </c>
      <c r="G195" s="2">
        <v>15.245747966870013</v>
      </c>
      <c r="H195" s="2">
        <v>79.570228612979577</v>
      </c>
      <c r="I195" s="2">
        <v>49.468274156361034</v>
      </c>
      <c r="J195" s="2">
        <v>133.7252379446937</v>
      </c>
      <c r="K195" s="2">
        <v>56.893653061694764</v>
      </c>
      <c r="L195" s="2">
        <v>7.8587479859709255</v>
      </c>
      <c r="M195" s="2">
        <v>19.773992709952925</v>
      </c>
      <c r="O195" s="6">
        <f t="shared" si="25"/>
        <v>1.2251316449292116E-3</v>
      </c>
      <c r="P195" s="6">
        <f t="shared" si="26"/>
        <v>1.2251316449292116E-3</v>
      </c>
      <c r="Q195" s="6">
        <f t="shared" si="27"/>
        <v>-2.8007006638993692E-3</v>
      </c>
      <c r="R195" s="6">
        <f t="shared" si="28"/>
        <v>8.4254963547443218E-3</v>
      </c>
      <c r="S195" s="6">
        <f t="shared" si="29"/>
        <v>1.8642054657413976E-3</v>
      </c>
      <c r="T195" s="6">
        <f t="shared" si="30"/>
        <v>2.5680380593442464E-3</v>
      </c>
      <c r="U195" s="6">
        <f t="shared" si="31"/>
        <v>2.0339285583628186E-3</v>
      </c>
      <c r="V195" s="6">
        <f t="shared" si="32"/>
        <v>4.8741179615041652E-4</v>
      </c>
      <c r="W195" s="6">
        <f t="shared" si="33"/>
        <v>4.1825193533151506E-3</v>
      </c>
      <c r="X195" s="6">
        <f t="shared" si="34"/>
        <v>1.9810677658773646E-3</v>
      </c>
      <c r="Y195" s="6">
        <f t="shared" si="35"/>
        <v>1.0429763947903403E-3</v>
      </c>
      <c r="Z195" s="6">
        <f t="shared" si="36"/>
        <v>2.6835817169075238E-3</v>
      </c>
    </row>
    <row r="196" spans="1:26" x14ac:dyDescent="0.45">
      <c r="A196">
        <v>194</v>
      </c>
      <c r="B196" s="1">
        <v>999.39041772379539</v>
      </c>
      <c r="C196" s="1">
        <v>999.39041772379539</v>
      </c>
      <c r="D196" s="2">
        <v>46.838463479453544</v>
      </c>
      <c r="E196" s="2">
        <v>84.204969776664186</v>
      </c>
      <c r="F196" s="2">
        <v>23.079979785820086</v>
      </c>
      <c r="G196" s="2">
        <v>15.284899627892106</v>
      </c>
      <c r="H196" s="2">
        <v>79.732068773350974</v>
      </c>
      <c r="I196" s="2">
        <v>49.492385576720046</v>
      </c>
      <c r="J196" s="2">
        <v>134.28454634042407</v>
      </c>
      <c r="K196" s="2">
        <v>57.006363243858296</v>
      </c>
      <c r="L196" s="2">
        <v>7.8669444746128994</v>
      </c>
      <c r="M196" s="2">
        <v>19.827057835259616</v>
      </c>
      <c r="O196" s="6">
        <f t="shared" ref="O196:O259" si="37">B197/B196-1</f>
        <v>-1.4440798294782509E-3</v>
      </c>
      <c r="P196" s="6">
        <f t="shared" si="26"/>
        <v>-1.4440798294782509E-3</v>
      </c>
      <c r="Q196" s="6">
        <f t="shared" si="27"/>
        <v>1.6182636047998855E-3</v>
      </c>
      <c r="R196" s="6">
        <f t="shared" si="28"/>
        <v>-4.213212192253124E-3</v>
      </c>
      <c r="S196" s="6">
        <f t="shared" si="29"/>
        <v>-4.3653962408543023E-3</v>
      </c>
      <c r="T196" s="6">
        <f t="shared" si="30"/>
        <v>-2.6838891828105949E-3</v>
      </c>
      <c r="U196" s="6">
        <f t="shared" si="31"/>
        <v>-3.7453003888021641E-3</v>
      </c>
      <c r="V196" s="6">
        <f t="shared" si="32"/>
        <v>3.3020585461944751E-3</v>
      </c>
      <c r="W196" s="6">
        <f t="shared" si="33"/>
        <v>-4.2685550536191164E-3</v>
      </c>
      <c r="X196" s="6">
        <f t="shared" si="34"/>
        <v>9.3907881804122795E-4</v>
      </c>
      <c r="Y196" s="6">
        <f t="shared" si="35"/>
        <v>-8.3234616364926683E-3</v>
      </c>
      <c r="Z196" s="6">
        <f t="shared" si="36"/>
        <v>-1.6417500381707972E-3</v>
      </c>
    </row>
    <row r="197" spans="1:26" x14ac:dyDescent="0.45">
      <c r="A197">
        <v>195</v>
      </c>
      <c r="B197" s="1">
        <v>997.94721817978666</v>
      </c>
      <c r="C197" s="1">
        <v>997.94721817978666</v>
      </c>
      <c r="D197" s="2">
        <v>46.914260460207096</v>
      </c>
      <c r="E197" s="2">
        <v>83.850196371352837</v>
      </c>
      <c r="F197" s="2">
        <v>22.979226528824075</v>
      </c>
      <c r="G197" s="2">
        <v>15.243876651120461</v>
      </c>
      <c r="H197" s="2">
        <v>79.433448225174146</v>
      </c>
      <c r="I197" s="2">
        <v>49.655812331485208</v>
      </c>
      <c r="J197" s="2">
        <v>133.7113453615197</v>
      </c>
      <c r="K197" s="2">
        <v>57.05989671207417</v>
      </c>
      <c r="L197" s="2">
        <v>7.8014642640820409</v>
      </c>
      <c r="M197" s="2">
        <v>19.794506762301765</v>
      </c>
      <c r="O197" s="6">
        <f t="shared" si="37"/>
        <v>1.3751322917714415E-3</v>
      </c>
      <c r="P197" s="6">
        <f t="shared" si="26"/>
        <v>1.3751322917714415E-3</v>
      </c>
      <c r="Q197" s="6">
        <f t="shared" si="27"/>
        <v>1.2163721461997401E-3</v>
      </c>
      <c r="R197" s="6">
        <f t="shared" si="28"/>
        <v>-4.1185514845180071E-3</v>
      </c>
      <c r="S197" s="6">
        <f t="shared" si="29"/>
        <v>8.6078291522184713E-4</v>
      </c>
      <c r="T197" s="6">
        <f t="shared" si="30"/>
        <v>3.6111972726142749E-3</v>
      </c>
      <c r="U197" s="6">
        <f t="shared" si="31"/>
        <v>-4.9213500444102998E-3</v>
      </c>
      <c r="V197" s="6">
        <f t="shared" si="32"/>
        <v>3.8931032611166927E-4</v>
      </c>
      <c r="W197" s="6">
        <f t="shared" si="33"/>
        <v>1.9074044980624816E-3</v>
      </c>
      <c r="X197" s="6">
        <f t="shared" si="34"/>
        <v>2.0361524995002878E-3</v>
      </c>
      <c r="Y197" s="6">
        <f t="shared" si="35"/>
        <v>2.6214607910390875E-4</v>
      </c>
      <c r="Z197" s="6">
        <f t="shared" si="36"/>
        <v>5.9401641149419149E-3</v>
      </c>
    </row>
    <row r="198" spans="1:26" x14ac:dyDescent="0.45">
      <c r="A198">
        <v>196</v>
      </c>
      <c r="B198" s="1">
        <v>999.31952762498918</v>
      </c>
      <c r="C198" s="1">
        <v>999.31952762498918</v>
      </c>
      <c r="D198" s="2">
        <v>46.971325659890454</v>
      </c>
      <c r="E198" s="2">
        <v>83.504855020610478</v>
      </c>
      <c r="F198" s="2">
        <v>22.999006654425099</v>
      </c>
      <c r="G198" s="2">
        <v>15.298925296907056</v>
      </c>
      <c r="H198" s="2">
        <v>79.042528421223523</v>
      </c>
      <c r="I198" s="2">
        <v>49.675143851977317</v>
      </c>
      <c r="J198" s="2">
        <v>133.96638698310426</v>
      </c>
      <c r="K198" s="2">
        <v>57.176079363385689</v>
      </c>
      <c r="L198" s="2">
        <v>7.8035093873501395</v>
      </c>
      <c r="M198" s="2">
        <v>19.912089381044165</v>
      </c>
      <c r="O198" s="6">
        <f t="shared" si="37"/>
        <v>-2.1054375230579181E-3</v>
      </c>
      <c r="P198" s="6">
        <f t="shared" si="26"/>
        <v>-2.1054375230579181E-3</v>
      </c>
      <c r="Q198" s="6">
        <f t="shared" si="27"/>
        <v>-1.4637808566106969E-3</v>
      </c>
      <c r="R198" s="6">
        <f t="shared" si="28"/>
        <v>-2.2067881352892948E-3</v>
      </c>
      <c r="S198" s="6">
        <f t="shared" si="29"/>
        <v>8.9944619564885642E-4</v>
      </c>
      <c r="T198" s="6">
        <f t="shared" si="30"/>
        <v>-1.981097885333738E-3</v>
      </c>
      <c r="U198" s="6">
        <f t="shared" si="31"/>
        <v>-6.5205726027561806E-3</v>
      </c>
      <c r="V198" s="6">
        <f t="shared" si="32"/>
        <v>3.5597098859452281E-3</v>
      </c>
      <c r="W198" s="6">
        <f t="shared" si="33"/>
        <v>-3.7676401768507173E-3</v>
      </c>
      <c r="X198" s="6">
        <f t="shared" si="34"/>
        <v>-9.5567432868682856E-3</v>
      </c>
      <c r="Y198" s="6">
        <f t="shared" si="35"/>
        <v>4.9799011904878565E-3</v>
      </c>
      <c r="Z198" s="6">
        <f t="shared" si="36"/>
        <v>-3.1388941281127458E-3</v>
      </c>
    </row>
    <row r="199" spans="1:26" x14ac:dyDescent="0.45">
      <c r="A199">
        <v>197</v>
      </c>
      <c r="B199" s="1">
        <v>997.21552279400305</v>
      </c>
      <c r="C199" s="1">
        <v>997.21552279400305</v>
      </c>
      <c r="D199" s="2">
        <v>46.90256993257988</v>
      </c>
      <c r="E199" s="2">
        <v>83.320577497311945</v>
      </c>
      <c r="F199" s="2">
        <v>23.019693023464125</v>
      </c>
      <c r="G199" s="2">
        <v>15.268616628353474</v>
      </c>
      <c r="H199" s="2">
        <v>78.527125875947519</v>
      </c>
      <c r="I199" s="2">
        <v>49.851972952632956</v>
      </c>
      <c r="J199" s="2">
        <v>133.46164984115919</v>
      </c>
      <c r="K199" s="2">
        <v>56.629662250760205</v>
      </c>
      <c r="L199" s="2">
        <v>7.8423700930381877</v>
      </c>
      <c r="M199" s="2">
        <v>19.84958744060755</v>
      </c>
      <c r="O199" s="6">
        <f t="shared" si="37"/>
        <v>3.3620603731421284E-4</v>
      </c>
      <c r="P199" s="6">
        <f t="shared" si="26"/>
        <v>3.3620603731421284E-4</v>
      </c>
      <c r="Q199" s="6">
        <f t="shared" si="27"/>
        <v>-1.4208820226297991E-3</v>
      </c>
      <c r="R199" s="6">
        <f t="shared" si="28"/>
        <v>-9.1599771832203691E-3</v>
      </c>
      <c r="S199" s="6">
        <f t="shared" si="29"/>
        <v>5.4389533828524961E-5</v>
      </c>
      <c r="T199" s="6">
        <f t="shared" si="30"/>
        <v>2.054968264244339E-3</v>
      </c>
      <c r="U199" s="6">
        <f t="shared" si="31"/>
        <v>-1.5101700517753391E-3</v>
      </c>
      <c r="V199" s="6">
        <f t="shared" si="32"/>
        <v>-3.1305738772133829E-3</v>
      </c>
      <c r="W199" s="6">
        <f t="shared" si="33"/>
        <v>5.3773872332163464E-4</v>
      </c>
      <c r="X199" s="6">
        <f t="shared" si="34"/>
        <v>7.9031489095560126E-3</v>
      </c>
      <c r="Y199" s="6">
        <f t="shared" si="35"/>
        <v>5.1025016601102813E-3</v>
      </c>
      <c r="Z199" s="6">
        <f t="shared" si="36"/>
        <v>-2.160841042081918E-3</v>
      </c>
    </row>
    <row r="200" spans="1:26" x14ac:dyDescent="0.45">
      <c r="A200">
        <v>198</v>
      </c>
      <c r="B200" s="1">
        <v>997.55079267326983</v>
      </c>
      <c r="C200" s="1">
        <v>997.55079267326983</v>
      </c>
      <c r="D200" s="2">
        <v>46.835926914147542</v>
      </c>
      <c r="E200" s="2">
        <v>82.557362908543823</v>
      </c>
      <c r="F200" s="2">
        <v>23.020945053836549</v>
      </c>
      <c r="G200" s="2">
        <v>15.299993150963653</v>
      </c>
      <c r="H200" s="2">
        <v>78.408536562197668</v>
      </c>
      <c r="I200" s="2">
        <v>49.695907668379895</v>
      </c>
      <c r="J200" s="2">
        <v>133.53341733835717</v>
      </c>
      <c r="K200" s="2">
        <v>57.077214904225826</v>
      </c>
      <c r="L200" s="2">
        <v>7.882385799457114</v>
      </c>
      <c r="M200" s="2">
        <v>19.806695637397493</v>
      </c>
      <c r="O200" s="6">
        <f t="shared" si="37"/>
        <v>-2.2918733497119259E-3</v>
      </c>
      <c r="P200" s="6">
        <f t="shared" si="26"/>
        <v>-2.2918733497119259E-3</v>
      </c>
      <c r="Q200" s="6">
        <f t="shared" si="27"/>
        <v>1.5270253078569773E-4</v>
      </c>
      <c r="R200" s="6">
        <f t="shared" si="28"/>
        <v>-2.5493609048947707E-3</v>
      </c>
      <c r="S200" s="6">
        <f t="shared" si="29"/>
        <v>-3.5759319766855979E-3</v>
      </c>
      <c r="T200" s="6">
        <f t="shared" si="30"/>
        <v>-1.9475620703381935E-3</v>
      </c>
      <c r="U200" s="6">
        <f t="shared" si="31"/>
        <v>3.0290359107219E-3</v>
      </c>
      <c r="V200" s="6">
        <f t="shared" si="32"/>
        <v>-3.5233062130526349E-3</v>
      </c>
      <c r="W200" s="6">
        <f t="shared" si="33"/>
        <v>-2.7605294177661666E-3</v>
      </c>
      <c r="X200" s="6">
        <f t="shared" si="34"/>
        <v>-2.4750720266167869E-3</v>
      </c>
      <c r="Y200" s="6">
        <f t="shared" si="35"/>
        <v>-3.1863203130054751E-3</v>
      </c>
      <c r="Z200" s="6">
        <f t="shared" si="36"/>
        <v>-2.3108636244928427E-3</v>
      </c>
    </row>
    <row r="201" spans="1:26" x14ac:dyDescent="0.45">
      <c r="A201">
        <v>199</v>
      </c>
      <c r="B201" s="1">
        <v>995.26453259655796</v>
      </c>
      <c r="C201" s="1">
        <v>995.26453259655796</v>
      </c>
      <c r="D201" s="2">
        <v>46.843078878719027</v>
      </c>
      <c r="E201" s="2">
        <v>82.346894395133575</v>
      </c>
      <c r="F201" s="2">
        <v>22.938623720285012</v>
      </c>
      <c r="G201" s="2">
        <v>15.270195464626402</v>
      </c>
      <c r="H201" s="2">
        <v>78.646038835151714</v>
      </c>
      <c r="I201" s="2">
        <v>49.520813768128605</v>
      </c>
      <c r="J201" s="2">
        <v>133.16479441153979</v>
      </c>
      <c r="K201" s="2">
        <v>56.935944686259184</v>
      </c>
      <c r="L201" s="2">
        <v>7.8572699934693579</v>
      </c>
      <c r="M201" s="2">
        <v>19.76092506492763</v>
      </c>
      <c r="O201" s="6">
        <f t="shared" si="37"/>
        <v>1.8461186866076673E-3</v>
      </c>
      <c r="P201" s="6">
        <f t="shared" si="26"/>
        <v>1.8461186866076673E-3</v>
      </c>
      <c r="Q201" s="6">
        <f t="shared" si="27"/>
        <v>-1.6273834374297413E-3</v>
      </c>
      <c r="R201" s="6">
        <f t="shared" si="28"/>
        <v>6.9190541585828491E-4</v>
      </c>
      <c r="S201" s="6">
        <f t="shared" si="29"/>
        <v>-1.0645682152282676E-3</v>
      </c>
      <c r="T201" s="6">
        <f t="shared" si="30"/>
        <v>1.351423901101878E-3</v>
      </c>
      <c r="U201" s="6">
        <f t="shared" si="31"/>
        <v>3.0183380329080745E-3</v>
      </c>
      <c r="V201" s="6">
        <f t="shared" si="32"/>
        <v>5.0932770125695637E-3</v>
      </c>
      <c r="W201" s="6">
        <f t="shared" si="33"/>
        <v>6.6450984165504767E-3</v>
      </c>
      <c r="X201" s="6">
        <f t="shared" si="34"/>
        <v>3.2750675769857018E-3</v>
      </c>
      <c r="Y201" s="6">
        <f t="shared" si="35"/>
        <v>-7.1351845774327849E-3</v>
      </c>
      <c r="Z201" s="6">
        <f t="shared" si="36"/>
        <v>-3.4450317962888555E-3</v>
      </c>
    </row>
    <row r="202" spans="1:26" x14ac:dyDescent="0.45">
      <c r="A202">
        <v>200</v>
      </c>
      <c r="B202" s="1">
        <v>997.10190904830233</v>
      </c>
      <c r="C202" s="1">
        <v>997.10190904830233</v>
      </c>
      <c r="D202" s="2">
        <v>46.766847227993587</v>
      </c>
      <c r="E202" s="2">
        <v>82.403870657344683</v>
      </c>
      <c r="F202" s="2">
        <v>22.914203990571316</v>
      </c>
      <c r="G202" s="2">
        <v>15.290831971751796</v>
      </c>
      <c r="H202" s="2">
        <v>78.883419165305412</v>
      </c>
      <c r="I202" s="2">
        <v>49.773036990537555</v>
      </c>
      <c r="J202" s="2">
        <v>134.04968757602418</v>
      </c>
      <c r="K202" s="2">
        <v>57.122413752666205</v>
      </c>
      <c r="L202" s="2">
        <v>7.8012069217912297</v>
      </c>
      <c r="M202" s="2">
        <v>19.692848049754872</v>
      </c>
      <c r="O202" s="6">
        <f t="shared" si="37"/>
        <v>-1.7976543034494696E-3</v>
      </c>
      <c r="P202" s="6">
        <f t="shared" si="26"/>
        <v>-1.7976543034494696E-3</v>
      </c>
      <c r="Q202" s="6">
        <f t="shared" si="27"/>
        <v>-1.8795210491588943E-3</v>
      </c>
      <c r="R202" s="6">
        <f t="shared" si="28"/>
        <v>1.6629066327711328E-4</v>
      </c>
      <c r="S202" s="6">
        <f t="shared" si="29"/>
        <v>-7.9173886340029309E-3</v>
      </c>
      <c r="T202" s="6">
        <f t="shared" si="30"/>
        <v>2.7524735827544333E-4</v>
      </c>
      <c r="U202" s="6">
        <f t="shared" si="31"/>
        <v>2.1292690693743843E-3</v>
      </c>
      <c r="V202" s="6">
        <f t="shared" si="32"/>
        <v>-5.6105715481012952E-3</v>
      </c>
      <c r="W202" s="6">
        <f t="shared" si="33"/>
        <v>-3.5437463003651359E-3</v>
      </c>
      <c r="X202" s="6">
        <f t="shared" si="34"/>
        <v>1.6183875281472471E-3</v>
      </c>
      <c r="Y202" s="6">
        <f t="shared" si="35"/>
        <v>-1.9823864889609855E-3</v>
      </c>
      <c r="Z202" s="6">
        <f t="shared" si="36"/>
        <v>-1.7564412821483577E-3</v>
      </c>
    </row>
    <row r="203" spans="1:26" x14ac:dyDescent="0.45">
      <c r="A203">
        <v>201</v>
      </c>
      <c r="B203" s="1">
        <v>995.30946451052398</v>
      </c>
      <c r="C203" s="1">
        <v>995.30946451052398</v>
      </c>
      <c r="D203" s="2">
        <v>46.678947954225777</v>
      </c>
      <c r="E203" s="2">
        <v>82.417573651652901</v>
      </c>
      <c r="F203" s="2">
        <v>22.732783332339142</v>
      </c>
      <c r="G203" s="2">
        <v>15.295040732857855</v>
      </c>
      <c r="H203" s="2">
        <v>79.051383189820598</v>
      </c>
      <c r="I203" s="2">
        <v>49.49378180533585</v>
      </c>
      <c r="J203" s="2">
        <v>133.57464949161155</v>
      </c>
      <c r="K203" s="2">
        <v>57.214859954661186</v>
      </c>
      <c r="L203" s="2">
        <v>7.785741914591882</v>
      </c>
      <c r="M203" s="2">
        <v>19.658258718477207</v>
      </c>
      <c r="O203" s="6">
        <f t="shared" si="37"/>
        <v>2.917249307156311E-3</v>
      </c>
      <c r="P203" s="6">
        <f t="shared" si="26"/>
        <v>2.917249307156311E-3</v>
      </c>
      <c r="Q203" s="6">
        <f t="shared" si="27"/>
        <v>2.2103220541229707E-3</v>
      </c>
      <c r="R203" s="6">
        <f t="shared" si="28"/>
        <v>4.8979829297037814E-3</v>
      </c>
      <c r="S203" s="6">
        <f t="shared" si="29"/>
        <v>2.7360653477024321E-3</v>
      </c>
      <c r="T203" s="6">
        <f t="shared" si="30"/>
        <v>2.727675982287403E-3</v>
      </c>
      <c r="U203" s="6">
        <f t="shared" si="31"/>
        <v>3.5416420704557083E-3</v>
      </c>
      <c r="V203" s="6">
        <f t="shared" si="32"/>
        <v>5.3661884112956582E-3</v>
      </c>
      <c r="W203" s="6">
        <f t="shared" si="33"/>
        <v>1.4725670597792728E-3</v>
      </c>
      <c r="X203" s="6">
        <f t="shared" si="34"/>
        <v>9.1533089390678501E-3</v>
      </c>
      <c r="Y203" s="6">
        <f t="shared" si="35"/>
        <v>3.2950434419356522E-3</v>
      </c>
      <c r="Z203" s="6">
        <f t="shared" si="36"/>
        <v>3.9458903531834899E-3</v>
      </c>
    </row>
    <row r="204" spans="1:26" x14ac:dyDescent="0.45">
      <c r="A204">
        <v>202</v>
      </c>
      <c r="B204" s="1">
        <v>998.21303035627341</v>
      </c>
      <c r="C204" s="1">
        <v>998.21303035627341</v>
      </c>
      <c r="D204" s="2">
        <v>46.78212346235226</v>
      </c>
      <c r="E204" s="2">
        <v>82.821253520506303</v>
      </c>
      <c r="F204" s="2">
        <v>22.794981713071582</v>
      </c>
      <c r="G204" s="2">
        <v>15.336760648112978</v>
      </c>
      <c r="H204" s="2">
        <v>79.33135489425338</v>
      </c>
      <c r="I204" s="2">
        <v>49.759374763690836</v>
      </c>
      <c r="J204" s="2">
        <v>133.77134712047447</v>
      </c>
      <c r="K204" s="2">
        <v>57.738565243731699</v>
      </c>
      <c r="L204" s="2">
        <v>7.8113962724281611</v>
      </c>
      <c r="M204" s="2">
        <v>19.735828051914829</v>
      </c>
      <c r="O204" s="6">
        <f t="shared" si="37"/>
        <v>-4.8403216648595926E-4</v>
      </c>
      <c r="P204" s="6">
        <f t="shared" si="26"/>
        <v>-4.8403216648595926E-4</v>
      </c>
      <c r="Q204" s="6">
        <f t="shared" si="27"/>
        <v>2.8609022960033315E-3</v>
      </c>
      <c r="R204" s="6">
        <f t="shared" si="28"/>
        <v>7.5110914756382208E-4</v>
      </c>
      <c r="S204" s="6">
        <f t="shared" si="29"/>
        <v>2.5143765568054199E-3</v>
      </c>
      <c r="T204" s="6">
        <f t="shared" si="30"/>
        <v>-1.5280095765447532E-3</v>
      </c>
      <c r="U204" s="6">
        <f t="shared" si="31"/>
        <v>-3.2574710785238103E-3</v>
      </c>
      <c r="V204" s="6">
        <f t="shared" si="32"/>
        <v>-6.8106167876176293E-3</v>
      </c>
      <c r="W204" s="6">
        <f t="shared" si="33"/>
        <v>1.005612115193788E-3</v>
      </c>
      <c r="X204" s="6">
        <f t="shared" si="34"/>
        <v>-6.5130410791941484E-3</v>
      </c>
      <c r="Y204" s="6">
        <f t="shared" si="35"/>
        <v>8.269133777876192E-4</v>
      </c>
      <c r="Z204" s="6">
        <f t="shared" si="36"/>
        <v>8.2048616130547813E-4</v>
      </c>
    </row>
    <row r="205" spans="1:26" x14ac:dyDescent="0.45">
      <c r="A205">
        <v>203</v>
      </c>
      <c r="B205" s="1">
        <v>997.7298631405755</v>
      </c>
      <c r="C205" s="1">
        <v>997.7298631405755</v>
      </c>
      <c r="D205" s="2">
        <v>46.915962546777614</v>
      </c>
      <c r="E205" s="2">
        <v>82.883461321638265</v>
      </c>
      <c r="F205" s="2">
        <v>22.852296880703737</v>
      </c>
      <c r="G205" s="2">
        <v>15.313325930969487</v>
      </c>
      <c r="H205" s="2">
        <v>79.07293530006524</v>
      </c>
      <c r="I205" s="2">
        <v>49.420482730583885</v>
      </c>
      <c r="J205" s="2">
        <v>133.90586920780461</v>
      </c>
      <c r="K205" s="2">
        <v>57.362511596445543</v>
      </c>
      <c r="L205" s="2">
        <v>7.817855620505032</v>
      </c>
      <c r="M205" s="2">
        <v>19.752021025713329</v>
      </c>
      <c r="O205" s="6">
        <f t="shared" si="37"/>
        <v>2.2885878646228264E-3</v>
      </c>
      <c r="P205" s="6">
        <f t="shared" si="26"/>
        <v>2.2885878646228264E-3</v>
      </c>
      <c r="Q205" s="6">
        <f t="shared" si="27"/>
        <v>-5.1083367429549664E-4</v>
      </c>
      <c r="R205" s="6">
        <f t="shared" si="28"/>
        <v>2.9430181428626856E-3</v>
      </c>
      <c r="S205" s="6">
        <f t="shared" si="29"/>
        <v>2.06345638028127E-3</v>
      </c>
      <c r="T205" s="6">
        <f t="shared" si="30"/>
        <v>-6.5566404849404236E-4</v>
      </c>
      <c r="U205" s="6">
        <f t="shared" si="31"/>
        <v>5.6856895126538021E-3</v>
      </c>
      <c r="V205" s="6">
        <f t="shared" si="32"/>
        <v>-5.4862852779590243E-3</v>
      </c>
      <c r="W205" s="6">
        <f t="shared" si="33"/>
        <v>1.0859387701951384E-3</v>
      </c>
      <c r="X205" s="6">
        <f t="shared" si="34"/>
        <v>3.2483843768416065E-3</v>
      </c>
      <c r="Y205" s="6">
        <f t="shared" si="35"/>
        <v>5.671907332676307E-3</v>
      </c>
      <c r="Z205" s="6">
        <f t="shared" si="36"/>
        <v>7.8070354390504804E-3</v>
      </c>
    </row>
    <row r="206" spans="1:26" x14ac:dyDescent="0.45">
      <c r="A206">
        <v>204</v>
      </c>
      <c r="B206" s="1">
        <v>1000.0132555975308</v>
      </c>
      <c r="C206" s="1">
        <v>1000.0132555975308</v>
      </c>
      <c r="D206" s="2">
        <v>46.891996293246734</v>
      </c>
      <c r="E206" s="2">
        <v>83.127388852051098</v>
      </c>
      <c r="F206" s="2">
        <v>22.899451598506307</v>
      </c>
      <c r="G206" s="2">
        <v>15.303285533693678</v>
      </c>
      <c r="H206" s="2">
        <v>79.522519459035578</v>
      </c>
      <c r="I206" s="2">
        <v>49.149347863749455</v>
      </c>
      <c r="J206" s="2">
        <v>134.05128278273403</v>
      </c>
      <c r="K206" s="2">
        <v>57.548847082931836</v>
      </c>
      <c r="L206" s="2">
        <v>7.8621977731247794</v>
      </c>
      <c r="M206" s="2">
        <v>19.906225753853942</v>
      </c>
      <c r="O206" s="6">
        <f t="shared" si="37"/>
        <v>-7.9043213613483321E-4</v>
      </c>
      <c r="P206" s="6">
        <f t="shared" si="26"/>
        <v>-7.9043213613483321E-4</v>
      </c>
      <c r="Q206" s="6">
        <f t="shared" si="27"/>
        <v>3.1574970331815777E-4</v>
      </c>
      <c r="R206" s="6">
        <f t="shared" si="28"/>
        <v>-5.7401047721524767E-3</v>
      </c>
      <c r="S206" s="6">
        <f t="shared" si="29"/>
        <v>3.4761461813717087E-3</v>
      </c>
      <c r="T206" s="6">
        <f t="shared" si="30"/>
        <v>-2.0056813480062718E-3</v>
      </c>
      <c r="U206" s="6">
        <f t="shared" si="31"/>
        <v>3.7346397125985753E-3</v>
      </c>
      <c r="V206" s="6">
        <f t="shared" si="32"/>
        <v>-6.5232477548226031E-3</v>
      </c>
      <c r="W206" s="6">
        <f t="shared" si="33"/>
        <v>-8.6457458304558532E-3</v>
      </c>
      <c r="X206" s="6">
        <f t="shared" si="34"/>
        <v>-4.6712641579368386E-3</v>
      </c>
      <c r="Y206" s="6">
        <f t="shared" si="35"/>
        <v>-1.0497674989253136E-2</v>
      </c>
      <c r="Z206" s="6">
        <f t="shared" si="36"/>
        <v>1.6749685003847326E-4</v>
      </c>
    </row>
    <row r="207" spans="1:26" x14ac:dyDescent="0.45">
      <c r="A207">
        <v>205</v>
      </c>
      <c r="B207" s="1">
        <v>999.22281298374571</v>
      </c>
      <c r="C207" s="1">
        <v>999.22281298374571</v>
      </c>
      <c r="D207" s="2">
        <v>46.906802427164322</v>
      </c>
      <c r="E207" s="2">
        <v>82.650228930604868</v>
      </c>
      <c r="F207" s="2">
        <v>22.97905343973596</v>
      </c>
      <c r="G207" s="2">
        <v>15.272592019335535</v>
      </c>
      <c r="H207" s="2">
        <v>79.819507418253181</v>
      </c>
      <c r="I207" s="2">
        <v>48.828734490646255</v>
      </c>
      <c r="J207" s="2">
        <v>132.89230946354795</v>
      </c>
      <c r="K207" s="2">
        <v>57.28002121622275</v>
      </c>
      <c r="L207" s="2">
        <v>7.7796629762012861</v>
      </c>
      <c r="M207" s="2">
        <v>19.909559983963867</v>
      </c>
      <c r="O207" s="6">
        <f t="shared" si="37"/>
        <v>-3.2231611034220231E-3</v>
      </c>
      <c r="P207" s="6">
        <f t="shared" si="26"/>
        <v>-3.2231611034220231E-3</v>
      </c>
      <c r="Q207" s="6">
        <f t="shared" si="27"/>
        <v>9.7483972690071141E-4</v>
      </c>
      <c r="R207" s="6">
        <f t="shared" si="28"/>
        <v>-2.5604327397855675E-3</v>
      </c>
      <c r="S207" s="6">
        <f t="shared" si="29"/>
        <v>-4.4349342545988435E-3</v>
      </c>
      <c r="T207" s="6">
        <f t="shared" si="30"/>
        <v>-2.3694536709537584E-3</v>
      </c>
      <c r="U207" s="6">
        <f t="shared" si="31"/>
        <v>-8.139948808563835E-3</v>
      </c>
      <c r="V207" s="6">
        <f t="shared" si="32"/>
        <v>-5.3672722458346644E-3</v>
      </c>
      <c r="W207" s="6">
        <f t="shared" si="33"/>
        <v>-3.6895763345244914E-3</v>
      </c>
      <c r="X207" s="6">
        <f t="shared" si="34"/>
        <v>-1.0383100607969098E-4</v>
      </c>
      <c r="Y207" s="6">
        <f t="shared" si="35"/>
        <v>-6.6450232919992303E-3</v>
      </c>
      <c r="Z207" s="6">
        <f t="shared" si="36"/>
        <v>-2.1417897934723484E-3</v>
      </c>
    </row>
    <row r="208" spans="1:26" x14ac:dyDescent="0.45">
      <c r="A208">
        <v>206</v>
      </c>
      <c r="B208" s="1">
        <v>996.0021568792846</v>
      </c>
      <c r="C208" s="1">
        <v>996.0021568792846</v>
      </c>
      <c r="D208" s="2">
        <v>46.952529041632204</v>
      </c>
      <c r="E208" s="2">
        <v>82.43860857850018</v>
      </c>
      <c r="F208" s="2">
        <v>22.877142848497819</v>
      </c>
      <c r="G208" s="2">
        <v>15.236404320110342</v>
      </c>
      <c r="H208" s="2">
        <v>79.169780713943823</v>
      </c>
      <c r="I208" s="2">
        <v>48.566657379215378</v>
      </c>
      <c r="J208" s="2">
        <v>132.40199314351094</v>
      </c>
      <c r="K208" s="2">
        <v>57.274073773991603</v>
      </c>
      <c r="L208" s="2">
        <v>7.7279669345205244</v>
      </c>
      <c r="M208" s="2">
        <v>19.866917891597687</v>
      </c>
      <c r="O208" s="6">
        <f t="shared" si="37"/>
        <v>2.703171070390642E-4</v>
      </c>
      <c r="P208" s="6">
        <f t="shared" si="26"/>
        <v>2.703171070390642E-4</v>
      </c>
      <c r="Q208" s="6">
        <f t="shared" si="27"/>
        <v>-1.5153102189917611E-3</v>
      </c>
      <c r="R208" s="6">
        <f t="shared" si="28"/>
        <v>-6.0484989189767413E-3</v>
      </c>
      <c r="S208" s="6">
        <f t="shared" si="29"/>
        <v>6.5282059241000834E-3</v>
      </c>
      <c r="T208" s="6">
        <f t="shared" si="30"/>
        <v>-5.3679688752639176E-4</v>
      </c>
      <c r="U208" s="6">
        <f t="shared" si="31"/>
        <v>-5.9496709247131019E-4</v>
      </c>
      <c r="V208" s="6">
        <f t="shared" si="32"/>
        <v>-1.8366162601777258E-3</v>
      </c>
      <c r="W208" s="6">
        <f t="shared" si="33"/>
        <v>-4.6851589284635509E-4</v>
      </c>
      <c r="X208" s="6">
        <f t="shared" si="34"/>
        <v>1.4453497579669516E-5</v>
      </c>
      <c r="Y208" s="6">
        <f t="shared" si="35"/>
        <v>4.2516788447437559E-3</v>
      </c>
      <c r="Z208" s="6">
        <f t="shared" si="36"/>
        <v>-5.4437500889314983E-4</v>
      </c>
    </row>
    <row r="209" spans="1:26" x14ac:dyDescent="0.45">
      <c r="A209">
        <v>207</v>
      </c>
      <c r="B209" s="1">
        <v>996.27139330093689</v>
      </c>
      <c r="C209" s="1">
        <v>996.27139330093689</v>
      </c>
      <c r="D209" s="2">
        <v>46.88138139456791</v>
      </c>
      <c r="E209" s="2">
        <v>81.939978743631173</v>
      </c>
      <c r="F209" s="2">
        <v>23.026489547967866</v>
      </c>
      <c r="G209" s="2">
        <v>15.228225465694214</v>
      </c>
      <c r="H209" s="2">
        <v>79.122677299700854</v>
      </c>
      <c r="I209" s="2">
        <v>48.477459066570233</v>
      </c>
      <c r="J209" s="2">
        <v>132.33996070547866</v>
      </c>
      <c r="K209" s="2">
        <v>57.274901584678275</v>
      </c>
      <c r="L209" s="2">
        <v>7.7608237680489047</v>
      </c>
      <c r="M209" s="2">
        <v>19.85610283799377</v>
      </c>
      <c r="O209" s="6">
        <f t="shared" si="37"/>
        <v>-2.1195907483010368E-3</v>
      </c>
      <c r="P209" s="6">
        <f t="shared" si="26"/>
        <v>-2.1195907483010368E-3</v>
      </c>
      <c r="Q209" s="6">
        <f t="shared" si="27"/>
        <v>-5.6683003970234846E-3</v>
      </c>
      <c r="R209" s="6">
        <f t="shared" si="28"/>
        <v>6.3350255332170757E-3</v>
      </c>
      <c r="S209" s="6">
        <f t="shared" si="29"/>
        <v>-5.7058310104146637E-3</v>
      </c>
      <c r="T209" s="6">
        <f t="shared" si="30"/>
        <v>-8.8009310961290055E-4</v>
      </c>
      <c r="U209" s="6">
        <f t="shared" si="31"/>
        <v>-2.208450992985389E-3</v>
      </c>
      <c r="V209" s="6">
        <f t="shared" si="32"/>
        <v>-4.7982872621024075E-3</v>
      </c>
      <c r="W209" s="6">
        <f t="shared" si="33"/>
        <v>1.5090272068738475E-3</v>
      </c>
      <c r="X209" s="6">
        <f t="shared" si="34"/>
        <v>9.1300758897228107E-4</v>
      </c>
      <c r="Y209" s="6">
        <f t="shared" si="35"/>
        <v>-7.0798335435061643E-3</v>
      </c>
      <c r="Z209" s="6">
        <f t="shared" si="36"/>
        <v>-2.3387015624909413E-3</v>
      </c>
    </row>
    <row r="210" spans="1:26" x14ac:dyDescent="0.45">
      <c r="A210">
        <v>208</v>
      </c>
      <c r="B210" s="1">
        <v>994.15970567289924</v>
      </c>
      <c r="C210" s="1">
        <v>994.15970567289924</v>
      </c>
      <c r="D210" s="2">
        <v>46.615643641796069</v>
      </c>
      <c r="E210" s="2">
        <v>82.459070601163347</v>
      </c>
      <c r="F210" s="2">
        <v>22.895104289844081</v>
      </c>
      <c r="G210" s="2">
        <v>15.214823209390225</v>
      </c>
      <c r="H210" s="2">
        <v>78.947938744450667</v>
      </c>
      <c r="I210" s="2">
        <v>48.244850292232016</v>
      </c>
      <c r="J210" s="2">
        <v>132.53966530673983</v>
      </c>
      <c r="K210" s="2">
        <v>57.327194004482728</v>
      </c>
      <c r="L210" s="2">
        <v>7.7058784276106325</v>
      </c>
      <c r="M210" s="2">
        <v>19.809665339261574</v>
      </c>
      <c r="O210" s="6">
        <f t="shared" si="37"/>
        <v>-1.0031363165918794E-4</v>
      </c>
      <c r="P210" s="6">
        <f t="shared" si="26"/>
        <v>-1.0031363165918794E-4</v>
      </c>
      <c r="Q210" s="6">
        <f t="shared" si="27"/>
        <v>1.3618906954413479E-3</v>
      </c>
      <c r="R210" s="6">
        <f t="shared" si="28"/>
        <v>-4.7442062799630813E-3</v>
      </c>
      <c r="S210" s="6">
        <f t="shared" si="29"/>
        <v>-4.4697705212393135E-4</v>
      </c>
      <c r="T210" s="6">
        <f t="shared" si="30"/>
        <v>1.2118282277515657E-3</v>
      </c>
      <c r="U210" s="6">
        <f t="shared" si="31"/>
        <v>3.1119928651628381E-3</v>
      </c>
      <c r="V210" s="6">
        <f t="shared" si="32"/>
        <v>-2.7265942720074987E-3</v>
      </c>
      <c r="W210" s="6">
        <f t="shared" si="33"/>
        <v>-6.7220908814913383E-3</v>
      </c>
      <c r="X210" s="6">
        <f t="shared" si="34"/>
        <v>-2.6518682916613079E-3</v>
      </c>
      <c r="Y210" s="6">
        <f t="shared" si="35"/>
        <v>-1.8273689951331384E-5</v>
      </c>
      <c r="Z210" s="6">
        <f t="shared" si="36"/>
        <v>-7.2794640434680202E-3</v>
      </c>
    </row>
    <row r="211" spans="1:26" x14ac:dyDescent="0.45">
      <c r="A211">
        <v>209</v>
      </c>
      <c r="B211" s="1">
        <v>994.05997790237393</v>
      </c>
      <c r="C211" s="1">
        <v>994.05997790237393</v>
      </c>
      <c r="D211" s="2">
        <v>46.679129053133842</v>
      </c>
      <c r="E211" s="2">
        <v>82.067867760577386</v>
      </c>
      <c r="F211" s="2">
        <v>22.884870703620535</v>
      </c>
      <c r="G211" s="2">
        <v>15.233260961635613</v>
      </c>
      <c r="H211" s="2">
        <v>79.193624166542705</v>
      </c>
      <c r="I211" s="2">
        <v>48.113306159771355</v>
      </c>
      <c r="J211" s="2">
        <v>131.64872163114549</v>
      </c>
      <c r="K211" s="2">
        <v>57.175169836452326</v>
      </c>
      <c r="L211" s="2">
        <v>7.705737612777444</v>
      </c>
      <c r="M211" s="2">
        <v>19.665461592711285</v>
      </c>
      <c r="O211" s="6">
        <f t="shared" si="37"/>
        <v>3.7066431169858749E-3</v>
      </c>
      <c r="P211" s="6">
        <f t="shared" ref="P211:P274" si="38">C212/C211-1</f>
        <v>3.7066431169858749E-3</v>
      </c>
      <c r="Q211" s="6">
        <f t="shared" ref="Q211:Q274" si="39">D212/D211-1</f>
        <v>2.8213807442163397E-3</v>
      </c>
      <c r="R211" s="6">
        <f t="shared" ref="R211:R274" si="40">E212/E211-1</f>
        <v>1.1108342784734271E-2</v>
      </c>
      <c r="S211" s="6">
        <f t="shared" ref="S211:S274" si="41">F212/F211-1</f>
        <v>6.6377753067374812E-3</v>
      </c>
      <c r="T211" s="6">
        <f t="shared" ref="T211:T274" si="42">G212/G211-1</f>
        <v>6.4241295461595627E-3</v>
      </c>
      <c r="U211" s="6">
        <f t="shared" ref="U211:U274" si="43">H212/H211-1</f>
        <v>-3.3863552989399359E-4</v>
      </c>
      <c r="V211" s="6">
        <f t="shared" ref="V211:V274" si="44">I212/I211-1</f>
        <v>1.6855831101523222E-3</v>
      </c>
      <c r="W211" s="6">
        <f t="shared" ref="W211:W274" si="45">J212/J211-1</f>
        <v>1.0692361324422972E-2</v>
      </c>
      <c r="X211" s="6">
        <f t="shared" ref="X211:X274" si="46">K212/K211-1</f>
        <v>5.7566367793595585E-3</v>
      </c>
      <c r="Y211" s="6">
        <f t="shared" ref="Y211:Y274" si="47">L212/L211-1</f>
        <v>1.9033912716586165E-3</v>
      </c>
      <c r="Z211" s="6">
        <f t="shared" ref="Z211:Z274" si="48">M212/M211-1</f>
        <v>1.1485955871972653E-3</v>
      </c>
    </row>
    <row r="212" spans="1:26" x14ac:dyDescent="0.45">
      <c r="A212">
        <v>210</v>
      </c>
      <c r="B212" s="1">
        <v>997.74460347733691</v>
      </c>
      <c r="C212" s="1">
        <v>997.74460347733691</v>
      </c>
      <c r="D212" s="2">
        <v>46.810828649001145</v>
      </c>
      <c r="E212" s="2">
        <v>82.979505767274119</v>
      </c>
      <c r="F212" s="2">
        <v>23.036775333274907</v>
      </c>
      <c r="G212" s="2">
        <v>15.331121403463616</v>
      </c>
      <c r="H212" s="2">
        <v>79.166806391658838</v>
      </c>
      <c r="I212" s="2">
        <v>48.194405136007852</v>
      </c>
      <c r="J212" s="2">
        <v>133.05635733072407</v>
      </c>
      <c r="K212" s="2">
        <v>57.504306521998977</v>
      </c>
      <c r="L212" s="2">
        <v>7.7204046464912963</v>
      </c>
      <c r="M212" s="2">
        <v>19.688049255116869</v>
      </c>
      <c r="O212" s="6">
        <f t="shared" si="37"/>
        <v>-7.0484629958034173E-4</v>
      </c>
      <c r="P212" s="6">
        <f t="shared" si="38"/>
        <v>-7.0484629958034173E-4</v>
      </c>
      <c r="Q212" s="6">
        <f t="shared" si="39"/>
        <v>-1.7727565892037278E-3</v>
      </c>
      <c r="R212" s="6">
        <f t="shared" si="40"/>
        <v>-2.0084153250191639E-3</v>
      </c>
      <c r="S212" s="6">
        <f t="shared" si="41"/>
        <v>-1.2824361398148243E-3</v>
      </c>
      <c r="T212" s="6">
        <f t="shared" si="42"/>
        <v>1.6115661319382468E-4</v>
      </c>
      <c r="U212" s="6">
        <f t="shared" si="43"/>
        <v>-5.0653079959217528E-4</v>
      </c>
      <c r="V212" s="6">
        <f t="shared" si="44"/>
        <v>1.2970496183821734E-3</v>
      </c>
      <c r="W212" s="6">
        <f t="shared" si="45"/>
        <v>-3.2904433228373442E-3</v>
      </c>
      <c r="X212" s="6">
        <f t="shared" si="46"/>
        <v>1.1639927853569265E-2</v>
      </c>
      <c r="Y212" s="6">
        <f t="shared" si="47"/>
        <v>3.1789431513358224E-3</v>
      </c>
      <c r="Z212" s="6">
        <f t="shared" si="48"/>
        <v>1.7494828780437732E-3</v>
      </c>
    </row>
    <row r="213" spans="1:26" x14ac:dyDescent="0.45">
      <c r="A213">
        <v>211</v>
      </c>
      <c r="B213" s="1">
        <v>997.04134688564966</v>
      </c>
      <c r="C213" s="1">
        <v>997.04134688564966</v>
      </c>
      <c r="D213" s="2">
        <v>46.727844444067543</v>
      </c>
      <c r="E213" s="2">
        <v>82.812848456228608</v>
      </c>
      <c r="F213" s="2">
        <v>23.007232140042721</v>
      </c>
      <c r="G213" s="2">
        <v>15.333592115065461</v>
      </c>
      <c r="H213" s="2">
        <v>79.126705965916116</v>
      </c>
      <c r="I213" s="2">
        <v>48.256915670797667</v>
      </c>
      <c r="J213" s="2">
        <v>132.61854292818413</v>
      </c>
      <c r="K213" s="2">
        <v>58.173652501184577</v>
      </c>
      <c r="L213" s="2">
        <v>7.7449473739678014</v>
      </c>
      <c r="M213" s="2">
        <v>19.72249316019078</v>
      </c>
      <c r="O213" s="6">
        <f t="shared" si="37"/>
        <v>1.563281675013517E-3</v>
      </c>
      <c r="P213" s="6">
        <f t="shared" si="38"/>
        <v>1.563281675013517E-3</v>
      </c>
      <c r="Q213" s="6">
        <f t="shared" si="39"/>
        <v>3.2968967761670687E-3</v>
      </c>
      <c r="R213" s="6">
        <f t="shared" si="40"/>
        <v>-2.4072504368352066E-3</v>
      </c>
      <c r="S213" s="6">
        <f t="shared" si="41"/>
        <v>-7.7493501374714668E-4</v>
      </c>
      <c r="T213" s="6">
        <f t="shared" si="42"/>
        <v>3.4873274845148572E-3</v>
      </c>
      <c r="U213" s="6">
        <f t="shared" si="43"/>
        <v>4.3455374948502268E-3</v>
      </c>
      <c r="V213" s="6">
        <f t="shared" si="44"/>
        <v>1.6295616942989533E-3</v>
      </c>
      <c r="W213" s="6">
        <f t="shared" si="45"/>
        <v>7.4318091539273823E-3</v>
      </c>
      <c r="X213" s="6">
        <f t="shared" si="46"/>
        <v>2.4365160550088305E-3</v>
      </c>
      <c r="Y213" s="6">
        <f t="shared" si="47"/>
        <v>6.5740708812358495E-3</v>
      </c>
      <c r="Z213" s="6">
        <f t="shared" si="48"/>
        <v>1.7198696178062356E-3</v>
      </c>
    </row>
    <row r="214" spans="1:26" x14ac:dyDescent="0.45">
      <c r="A214">
        <v>212</v>
      </c>
      <c r="B214" s="1">
        <v>998.60000335246684</v>
      </c>
      <c r="C214" s="1">
        <v>998.60000335246684</v>
      </c>
      <c r="D214" s="2">
        <v>46.881901323772425</v>
      </c>
      <c r="E214" s="2">
        <v>82.613497190606779</v>
      </c>
      <c r="F214" s="2">
        <v>22.989403030287992</v>
      </c>
      <c r="G214" s="2">
        <v>15.387065372284669</v>
      </c>
      <c r="H214" s="2">
        <v>79.470554033534995</v>
      </c>
      <c r="I214" s="2">
        <v>48.335553292059814</v>
      </c>
      <c r="J214" s="2">
        <v>133.60413862949832</v>
      </c>
      <c r="K214" s="2">
        <v>58.315393539482216</v>
      </c>
      <c r="L214" s="2">
        <v>7.7958632069757074</v>
      </c>
      <c r="M214" s="2">
        <v>19.756413276964384</v>
      </c>
      <c r="O214" s="6">
        <f t="shared" si="37"/>
        <v>-1.2581691055044697E-3</v>
      </c>
      <c r="P214" s="6">
        <f t="shared" si="38"/>
        <v>-1.2581691055044697E-3</v>
      </c>
      <c r="Q214" s="6">
        <f t="shared" si="39"/>
        <v>-6.1442529149047242E-4</v>
      </c>
      <c r="R214" s="6">
        <f t="shared" si="40"/>
        <v>-7.8591228698912108E-3</v>
      </c>
      <c r="S214" s="6">
        <f t="shared" si="41"/>
        <v>1.3403809967647007E-3</v>
      </c>
      <c r="T214" s="6">
        <f t="shared" si="42"/>
        <v>-3.2880318526293806E-3</v>
      </c>
      <c r="U214" s="6">
        <f t="shared" si="43"/>
        <v>-2.5427016039250017E-3</v>
      </c>
      <c r="V214" s="6">
        <f t="shared" si="44"/>
        <v>-3.1084766502386119E-3</v>
      </c>
      <c r="W214" s="6">
        <f t="shared" si="45"/>
        <v>-2.7265470590817076E-3</v>
      </c>
      <c r="X214" s="6">
        <f t="shared" si="46"/>
        <v>-7.88415984153501E-3</v>
      </c>
      <c r="Y214" s="6">
        <f t="shared" si="47"/>
        <v>-2.4375560873616253E-3</v>
      </c>
      <c r="Z214" s="6">
        <f t="shared" si="48"/>
        <v>-4.9962733770566592E-3</v>
      </c>
    </row>
    <row r="215" spans="1:26" x14ac:dyDescent="0.45">
      <c r="A215">
        <v>213</v>
      </c>
      <c r="B215" s="1">
        <v>997.34359567949207</v>
      </c>
      <c r="C215" s="1">
        <v>997.34359567949207</v>
      </c>
      <c r="D215" s="2">
        <v>46.853095897885936</v>
      </c>
      <c r="E215" s="2">
        <v>81.964227565474388</v>
      </c>
      <c r="F215" s="2">
        <v>23.020217589236754</v>
      </c>
      <c r="G215" s="2">
        <v>15.336472211222105</v>
      </c>
      <c r="H215" s="2">
        <v>79.268484128329121</v>
      </c>
      <c r="I215" s="2">
        <v>48.185303353275081</v>
      </c>
      <c r="J215" s="2">
        <v>133.23986065823692</v>
      </c>
      <c r="K215" s="2">
        <v>57.85562565559492</v>
      </c>
      <c r="L215" s="2">
        <v>7.7768603531593055</v>
      </c>
      <c r="M215" s="2">
        <v>19.657704835282559</v>
      </c>
      <c r="O215" s="6">
        <f t="shared" si="37"/>
        <v>-1.1662068764539679E-4</v>
      </c>
      <c r="P215" s="6">
        <f t="shared" si="38"/>
        <v>-1.1662068764539679E-4</v>
      </c>
      <c r="Q215" s="6">
        <f t="shared" si="39"/>
        <v>1.3623816810823808E-3</v>
      </c>
      <c r="R215" s="6">
        <f t="shared" si="40"/>
        <v>-5.8053237331912033E-3</v>
      </c>
      <c r="S215" s="6">
        <f t="shared" si="41"/>
        <v>-4.1425343858869645E-5</v>
      </c>
      <c r="T215" s="6">
        <f t="shared" si="42"/>
        <v>1.5350704315371111E-3</v>
      </c>
      <c r="U215" s="6">
        <f t="shared" si="43"/>
        <v>-2.5232180956450412E-3</v>
      </c>
      <c r="V215" s="6">
        <f t="shared" si="44"/>
        <v>4.2433867623421495E-3</v>
      </c>
      <c r="W215" s="6">
        <f t="shared" si="45"/>
        <v>4.2155986084762009E-3</v>
      </c>
      <c r="X215" s="6">
        <f t="shared" si="46"/>
        <v>-1.5961478066894852E-3</v>
      </c>
      <c r="Y215" s="6">
        <f t="shared" si="47"/>
        <v>-4.204719871653273E-4</v>
      </c>
      <c r="Z215" s="6">
        <f t="shared" si="48"/>
        <v>-3.4104571823911911E-3</v>
      </c>
    </row>
    <row r="216" spans="1:26" x14ac:dyDescent="0.45">
      <c r="A216">
        <v>214</v>
      </c>
      <c r="B216" s="1">
        <v>997.2272847835452</v>
      </c>
      <c r="C216" s="1">
        <v>997.2272847835452</v>
      </c>
      <c r="D216" s="2">
        <v>46.916927697439213</v>
      </c>
      <c r="E216" s="2">
        <v>81.488398689915854</v>
      </c>
      <c r="F216" s="2">
        <v>23.019263968807415</v>
      </c>
      <c r="G216" s="2">
        <v>15.360014776237643</v>
      </c>
      <c r="H216" s="2">
        <v>79.068472454762173</v>
      </c>
      <c r="I216" s="2">
        <v>48.389772231663812</v>
      </c>
      <c r="J216" s="2">
        <v>133.80154642942134</v>
      </c>
      <c r="K216" s="2">
        <v>57.763279525600097</v>
      </c>
      <c r="L216" s="2">
        <v>7.7735904012327053</v>
      </c>
      <c r="M216" s="2">
        <v>19.590663074637742</v>
      </c>
      <c r="O216" s="6">
        <f t="shared" si="37"/>
        <v>5.6234566126045493E-4</v>
      </c>
      <c r="P216" s="6">
        <f t="shared" si="38"/>
        <v>5.6234566126045493E-4</v>
      </c>
      <c r="Q216" s="6">
        <f t="shared" si="39"/>
        <v>-1.1742625848022437E-3</v>
      </c>
      <c r="R216" s="6">
        <f t="shared" si="40"/>
        <v>8.6618035408443372E-3</v>
      </c>
      <c r="S216" s="6">
        <f t="shared" si="41"/>
        <v>2.4161270763241038E-3</v>
      </c>
      <c r="T216" s="6">
        <f t="shared" si="42"/>
        <v>3.7554077320844925E-4</v>
      </c>
      <c r="U216" s="6">
        <f t="shared" si="43"/>
        <v>2.4311473089748681E-3</v>
      </c>
      <c r="V216" s="6">
        <f t="shared" si="44"/>
        <v>5.0603942651363809E-3</v>
      </c>
      <c r="W216" s="6">
        <f t="shared" si="45"/>
        <v>-5.7829053412481457E-3</v>
      </c>
      <c r="X216" s="6">
        <f t="shared" si="46"/>
        <v>1.6998004762200924E-3</v>
      </c>
      <c r="Y216" s="6">
        <f t="shared" si="47"/>
        <v>7.3194036791490724E-4</v>
      </c>
      <c r="Z216" s="6">
        <f t="shared" si="48"/>
        <v>9.7894131069731216E-4</v>
      </c>
    </row>
    <row r="217" spans="1:26" x14ac:dyDescent="0.45">
      <c r="A217">
        <v>215</v>
      </c>
      <c r="B217" s="1">
        <v>997.78807122043372</v>
      </c>
      <c r="C217" s="1">
        <v>997.78807122043372</v>
      </c>
      <c r="D217" s="2">
        <v>46.861834904650237</v>
      </c>
      <c r="E217" s="2">
        <v>82.194235190225896</v>
      </c>
      <c r="F217" s="2">
        <v>23.074881435759501</v>
      </c>
      <c r="G217" s="2">
        <v>15.365783088063203</v>
      </c>
      <c r="H217" s="2">
        <v>79.260699558795324</v>
      </c>
      <c r="I217" s="2">
        <v>48.634643557556181</v>
      </c>
      <c r="J217" s="2">
        <v>133.02778475190738</v>
      </c>
      <c r="K217" s="2">
        <v>57.861465575645745</v>
      </c>
      <c r="L217" s="2">
        <v>7.7792802058510038</v>
      </c>
      <c r="M217" s="2">
        <v>19.609841184025459</v>
      </c>
      <c r="O217" s="6">
        <f t="shared" si="37"/>
        <v>-2.8626216659091153E-3</v>
      </c>
      <c r="P217" s="6">
        <f t="shared" si="38"/>
        <v>-2.8626216659091153E-3</v>
      </c>
      <c r="Q217" s="6">
        <f t="shared" si="39"/>
        <v>-9.9586485864811003E-4</v>
      </c>
      <c r="R217" s="6">
        <f t="shared" si="40"/>
        <v>-2.7127804318050064E-3</v>
      </c>
      <c r="S217" s="6">
        <f t="shared" si="41"/>
        <v>4.663457523990111E-4</v>
      </c>
      <c r="T217" s="6">
        <f t="shared" si="42"/>
        <v>-5.8905372283021284E-3</v>
      </c>
      <c r="U217" s="6">
        <f t="shared" si="43"/>
        <v>-1.2384392413268275E-3</v>
      </c>
      <c r="V217" s="6">
        <f t="shared" si="44"/>
        <v>-6.3992334293138109E-3</v>
      </c>
      <c r="W217" s="6">
        <f t="shared" si="45"/>
        <v>-7.2067757320651848E-3</v>
      </c>
      <c r="X217" s="6">
        <f t="shared" si="46"/>
        <v>3.471736056990915E-3</v>
      </c>
      <c r="Y217" s="6">
        <f t="shared" si="47"/>
        <v>-9.4808531210588409E-4</v>
      </c>
      <c r="Z217" s="6">
        <f t="shared" si="48"/>
        <v>-7.2915083965020555E-3</v>
      </c>
    </row>
    <row r="218" spans="1:26" x14ac:dyDescent="0.45">
      <c r="A218">
        <v>216</v>
      </c>
      <c r="B218" s="1">
        <v>994.93178146977243</v>
      </c>
      <c r="C218" s="1">
        <v>994.93178146977243</v>
      </c>
      <c r="D218" s="2">
        <v>46.815166850056926</v>
      </c>
      <c r="E218" s="2">
        <v>81.971260277394677</v>
      </c>
      <c r="F218" s="2">
        <v>23.085642308704177</v>
      </c>
      <c r="G218" s="2">
        <v>15.275270370740952</v>
      </c>
      <c r="H218" s="2">
        <v>79.162539998166693</v>
      </c>
      <c r="I218" s="2">
        <v>48.323419120679908</v>
      </c>
      <c r="J218" s="2">
        <v>132.06908334106694</v>
      </c>
      <c r="K218" s="2">
        <v>58.062345311995053</v>
      </c>
      <c r="L218" s="2">
        <v>7.7719047845490801</v>
      </c>
      <c r="M218" s="2">
        <v>19.466855862378065</v>
      </c>
      <c r="O218" s="6">
        <f t="shared" si="37"/>
        <v>-1.0193795523628646E-3</v>
      </c>
      <c r="P218" s="6">
        <f t="shared" si="38"/>
        <v>-1.0193795523628646E-3</v>
      </c>
      <c r="Q218" s="6">
        <f t="shared" si="39"/>
        <v>-1.2461719999106169E-3</v>
      </c>
      <c r="R218" s="6">
        <f t="shared" si="40"/>
        <v>4.6652784502927425E-3</v>
      </c>
      <c r="S218" s="6">
        <f t="shared" si="41"/>
        <v>-5.0363643077633302E-4</v>
      </c>
      <c r="T218" s="6">
        <f t="shared" si="42"/>
        <v>-3.6500582806873183E-3</v>
      </c>
      <c r="U218" s="6">
        <f t="shared" si="43"/>
        <v>-6.9381849027598808E-3</v>
      </c>
      <c r="V218" s="6">
        <f t="shared" si="44"/>
        <v>2.2773918672573945E-3</v>
      </c>
      <c r="W218" s="6">
        <f t="shared" si="45"/>
        <v>-2.9256284362115803E-3</v>
      </c>
      <c r="X218" s="6">
        <f t="shared" si="46"/>
        <v>2.8359189772957372E-3</v>
      </c>
      <c r="Y218" s="6">
        <f t="shared" si="47"/>
        <v>-7.1288939910212346E-3</v>
      </c>
      <c r="Z218" s="6">
        <f t="shared" si="48"/>
        <v>-3.0497493014424171E-3</v>
      </c>
    </row>
    <row r="219" spans="1:26" x14ac:dyDescent="0.45">
      <c r="A219">
        <v>217</v>
      </c>
      <c r="B219" s="1">
        <v>993.9175683557462</v>
      </c>
      <c r="C219" s="1">
        <v>993.9175683557462</v>
      </c>
      <c r="D219" s="2">
        <v>46.756827099957242</v>
      </c>
      <c r="E219" s="2">
        <v>82.35367903151014</v>
      </c>
      <c r="F219" s="2">
        <v>23.074015538209643</v>
      </c>
      <c r="G219" s="2">
        <v>15.219514743634491</v>
      </c>
      <c r="H219" s="2">
        <v>78.613295658287285</v>
      </c>
      <c r="I219" s="2">
        <v>48.433470482383413</v>
      </c>
      <c r="J219" s="2">
        <v>131.68269827529991</v>
      </c>
      <c r="K219" s="2">
        <v>58.22700541893164</v>
      </c>
      <c r="L219" s="2">
        <v>7.7164996992317185</v>
      </c>
      <c r="M219" s="2">
        <v>19.407486832310497</v>
      </c>
      <c r="O219" s="6">
        <f t="shared" si="37"/>
        <v>-1.9872625410544131E-4</v>
      </c>
      <c r="P219" s="6">
        <f t="shared" si="38"/>
        <v>-1.9872625410544131E-4</v>
      </c>
      <c r="Q219" s="6">
        <f t="shared" si="39"/>
        <v>-1.2094080860887146E-3</v>
      </c>
      <c r="R219" s="6">
        <f t="shared" si="40"/>
        <v>2.2746709561345391E-3</v>
      </c>
      <c r="S219" s="6">
        <f t="shared" si="41"/>
        <v>2.2326298336563521E-3</v>
      </c>
      <c r="T219" s="6">
        <f t="shared" si="42"/>
        <v>-5.148652599064274E-3</v>
      </c>
      <c r="U219" s="6">
        <f t="shared" si="43"/>
        <v>2.7262770208356102E-3</v>
      </c>
      <c r="V219" s="6">
        <f t="shared" si="44"/>
        <v>-2.3080308181470111E-3</v>
      </c>
      <c r="W219" s="6">
        <f t="shared" si="45"/>
        <v>-9.0198160492312995E-3</v>
      </c>
      <c r="X219" s="6">
        <f t="shared" si="46"/>
        <v>-9.606589831611112E-4</v>
      </c>
      <c r="Y219" s="6">
        <f t="shared" si="47"/>
        <v>5.4482229473424848E-3</v>
      </c>
      <c r="Z219" s="6">
        <f t="shared" si="48"/>
        <v>-1.9862956738163629E-3</v>
      </c>
    </row>
    <row r="220" spans="1:26" x14ac:dyDescent="0.45">
      <c r="A220">
        <v>218</v>
      </c>
      <c r="B220" s="1">
        <v>993.72005084049727</v>
      </c>
      <c r="C220" s="1">
        <v>993.72005084049727</v>
      </c>
      <c r="D220" s="2">
        <v>46.700279015182701</v>
      </c>
      <c r="E220" s="2">
        <v>82.541006553333943</v>
      </c>
      <c r="F220" s="2">
        <v>23.125531273682501</v>
      </c>
      <c r="G220" s="2">
        <v>15.141154749493181</v>
      </c>
      <c r="H220" s="2">
        <v>78.827617279772625</v>
      </c>
      <c r="I220" s="2">
        <v>48.321684539880259</v>
      </c>
      <c r="J220" s="2">
        <v>130.49494455999027</v>
      </c>
      <c r="K220" s="2">
        <v>58.171069123113369</v>
      </c>
      <c r="L220" s="2">
        <v>7.7585409099662339</v>
      </c>
      <c r="M220" s="2">
        <v>19.368937825175831</v>
      </c>
      <c r="O220" s="6">
        <f t="shared" si="37"/>
        <v>8.0680876435712534E-4</v>
      </c>
      <c r="P220" s="6">
        <f t="shared" si="38"/>
        <v>8.0680876435712534E-4</v>
      </c>
      <c r="Q220" s="6">
        <f t="shared" si="39"/>
        <v>5.5131344854086883E-4</v>
      </c>
      <c r="R220" s="6">
        <f t="shared" si="40"/>
        <v>-3.470926557946008E-3</v>
      </c>
      <c r="S220" s="6">
        <f t="shared" si="41"/>
        <v>-2.8284389176489455E-3</v>
      </c>
      <c r="T220" s="6">
        <f t="shared" si="42"/>
        <v>-3.1238357405231065E-3</v>
      </c>
      <c r="U220" s="6">
        <f t="shared" si="43"/>
        <v>1.7750452651095205E-3</v>
      </c>
      <c r="V220" s="6">
        <f t="shared" si="44"/>
        <v>-1.1564924062480442E-3</v>
      </c>
      <c r="W220" s="6">
        <f t="shared" si="45"/>
        <v>1.4535292421110846E-2</v>
      </c>
      <c r="X220" s="6">
        <f t="shared" si="46"/>
        <v>3.0092775838947983E-3</v>
      </c>
      <c r="Y220" s="6">
        <f t="shared" si="47"/>
        <v>1.3891448501999193E-3</v>
      </c>
      <c r="Z220" s="6">
        <f t="shared" si="48"/>
        <v>-5.0449230294480341E-4</v>
      </c>
    </row>
    <row r="221" spans="1:26" x14ac:dyDescent="0.45">
      <c r="A221">
        <v>219</v>
      </c>
      <c r="B221" s="1">
        <v>994.52179288683283</v>
      </c>
      <c r="C221" s="1">
        <v>994.52179288683283</v>
      </c>
      <c r="D221" s="2">
        <v>46.726025507054381</v>
      </c>
      <c r="E221" s="2">
        <v>82.25451278156838</v>
      </c>
      <c r="F221" s="2">
        <v>23.060122121036709</v>
      </c>
      <c r="G221" s="2">
        <v>15.093856269133923</v>
      </c>
      <c r="H221" s="2">
        <v>78.96753986858495</v>
      </c>
      <c r="I221" s="2">
        <v>48.265800878652776</v>
      </c>
      <c r="J221" s="2">
        <v>132.39172673864638</v>
      </c>
      <c r="K221" s="2">
        <v>58.34612201745675</v>
      </c>
      <c r="L221" s="2">
        <v>7.7693186471163793</v>
      </c>
      <c r="M221" s="2">
        <v>19.359166345126813</v>
      </c>
      <c r="O221" s="6">
        <f t="shared" si="37"/>
        <v>-2.0576794459614689E-4</v>
      </c>
      <c r="P221" s="6">
        <f t="shared" si="38"/>
        <v>-2.0576794459614689E-4</v>
      </c>
      <c r="Q221" s="6">
        <f t="shared" si="39"/>
        <v>-3.3155773424339285E-3</v>
      </c>
      <c r="R221" s="6">
        <f t="shared" si="40"/>
        <v>-5.2896866576221946E-3</v>
      </c>
      <c r="S221" s="6">
        <f t="shared" si="41"/>
        <v>-3.1599061690645858E-4</v>
      </c>
      <c r="T221" s="6">
        <f t="shared" si="42"/>
        <v>-8.5717189923584236E-4</v>
      </c>
      <c r="U221" s="6">
        <f t="shared" si="43"/>
        <v>-6.8719798468258597E-3</v>
      </c>
      <c r="V221" s="6">
        <f t="shared" si="44"/>
        <v>-3.2986495864656407E-3</v>
      </c>
      <c r="W221" s="6">
        <f t="shared" si="45"/>
        <v>-3.6793867858442297E-4</v>
      </c>
      <c r="X221" s="6">
        <f t="shared" si="46"/>
        <v>6.9053666416962756E-5</v>
      </c>
      <c r="Y221" s="6">
        <f t="shared" si="47"/>
        <v>-6.2492152151115699E-3</v>
      </c>
      <c r="Z221" s="6">
        <f t="shared" si="48"/>
        <v>4.7577436311259103E-3</v>
      </c>
    </row>
    <row r="222" spans="1:26" x14ac:dyDescent="0.45">
      <c r="A222">
        <v>220</v>
      </c>
      <c r="B222" s="1">
        <v>994.31715218165448</v>
      </c>
      <c r="C222" s="1">
        <v>994.31715218165448</v>
      </c>
      <c r="D222" s="2">
        <v>46.571101755581203</v>
      </c>
      <c r="E222" s="2">
        <v>81.819412182778507</v>
      </c>
      <c r="F222" s="2">
        <v>23.052835338821744</v>
      </c>
      <c r="G222" s="2">
        <v>15.080918239688916</v>
      </c>
      <c r="H222" s="2">
        <v>78.424876526054618</v>
      </c>
      <c r="I222" s="2">
        <v>48.106588914543977</v>
      </c>
      <c r="J222" s="2">
        <v>132.34301470165465</v>
      </c>
      <c r="K222" s="2">
        <v>58.350151031103266</v>
      </c>
      <c r="L222" s="2">
        <v>7.7207665028157697</v>
      </c>
      <c r="M222" s="2">
        <v>19.451272295509245</v>
      </c>
      <c r="O222" s="6">
        <f t="shared" si="37"/>
        <v>-2.5628025102163443E-3</v>
      </c>
      <c r="P222" s="6">
        <f t="shared" si="38"/>
        <v>-2.5628025102163443E-3</v>
      </c>
      <c r="Q222" s="6">
        <f t="shared" si="39"/>
        <v>-3.4608308666900234E-3</v>
      </c>
      <c r="R222" s="6">
        <f t="shared" si="40"/>
        <v>-4.7048619747329656E-3</v>
      </c>
      <c r="S222" s="6">
        <f t="shared" si="41"/>
        <v>1.171005165032879E-3</v>
      </c>
      <c r="T222" s="6">
        <f t="shared" si="42"/>
        <v>-5.8700130557621799E-3</v>
      </c>
      <c r="U222" s="6">
        <f t="shared" si="43"/>
        <v>-6.9615850474763485E-3</v>
      </c>
      <c r="V222" s="6">
        <f t="shared" si="44"/>
        <v>2.7029550743513653E-3</v>
      </c>
      <c r="W222" s="6">
        <f t="shared" si="45"/>
        <v>4.1504714089339867E-3</v>
      </c>
      <c r="X222" s="6">
        <f t="shared" si="46"/>
        <v>-5.8174887605922931E-3</v>
      </c>
      <c r="Y222" s="6">
        <f t="shared" si="47"/>
        <v>-9.8221445914280503E-3</v>
      </c>
      <c r="Z222" s="6">
        <f t="shared" si="48"/>
        <v>-7.5770395521090883E-5</v>
      </c>
    </row>
    <row r="223" spans="1:26" x14ac:dyDescent="0.45">
      <c r="A223">
        <v>221</v>
      </c>
      <c r="B223" s="1">
        <v>991.7689136880922</v>
      </c>
      <c r="C223" s="1">
        <v>991.7689136880922</v>
      </c>
      <c r="D223" s="2">
        <v>46.409927049129728</v>
      </c>
      <c r="E223" s="2">
        <v>81.434463141604752</v>
      </c>
      <c r="F223" s="2">
        <v>23.079830328072156</v>
      </c>
      <c r="G223" s="2">
        <v>14.99239305272906</v>
      </c>
      <c r="H223" s="2">
        <v>77.878915078280656</v>
      </c>
      <c r="I223" s="2">
        <v>48.236618863160281</v>
      </c>
      <c r="J223" s="2">
        <v>132.892300600346</v>
      </c>
      <c r="K223" s="2">
        <v>58.010699683300963</v>
      </c>
      <c r="L223" s="2">
        <v>7.6449320178684586</v>
      </c>
      <c r="M223" s="2">
        <v>19.449798464914025</v>
      </c>
      <c r="O223" s="6">
        <f t="shared" si="37"/>
        <v>9.4477067006848436E-4</v>
      </c>
      <c r="P223" s="6">
        <f t="shared" si="38"/>
        <v>9.4477067006848436E-4</v>
      </c>
      <c r="Q223" s="6">
        <f t="shared" si="39"/>
        <v>4.7478103530196325E-3</v>
      </c>
      <c r="R223" s="6">
        <f t="shared" si="40"/>
        <v>-2.8968572103889034E-3</v>
      </c>
      <c r="S223" s="6">
        <f t="shared" si="41"/>
        <v>3.1642908186202412E-4</v>
      </c>
      <c r="T223" s="6">
        <f t="shared" si="42"/>
        <v>-3.6996414493910557E-3</v>
      </c>
      <c r="U223" s="6">
        <f t="shared" si="43"/>
        <v>-5.4699963975827215E-3</v>
      </c>
      <c r="V223" s="6">
        <f t="shared" si="44"/>
        <v>-3.5440349529423099E-3</v>
      </c>
      <c r="W223" s="6">
        <f t="shared" si="45"/>
        <v>3.730816929564007E-3</v>
      </c>
      <c r="X223" s="6">
        <f t="shared" si="46"/>
        <v>3.8086009306268487E-3</v>
      </c>
      <c r="Y223" s="6">
        <f t="shared" si="47"/>
        <v>9.2946888530476279E-4</v>
      </c>
      <c r="Z223" s="6">
        <f t="shared" si="48"/>
        <v>1.3589325786831363E-3</v>
      </c>
    </row>
    <row r="224" spans="1:26" x14ac:dyDescent="0.45">
      <c r="A224">
        <v>222</v>
      </c>
      <c r="B224" s="1">
        <v>992.70590786923037</v>
      </c>
      <c r="C224" s="1">
        <v>992.70590786923037</v>
      </c>
      <c r="D224" s="2">
        <v>46.63027258125647</v>
      </c>
      <c r="E224" s="2">
        <v>81.198559129878845</v>
      </c>
      <c r="F224" s="2">
        <v>23.087133457592397</v>
      </c>
      <c r="G224" s="2">
        <v>14.936926573965621</v>
      </c>
      <c r="H224" s="2">
        <v>77.452917693354806</v>
      </c>
      <c r="I224" s="2">
        <v>48.065666599897483</v>
      </c>
      <c r="J224" s="2">
        <v>133.38809744523448</v>
      </c>
      <c r="K224" s="2">
        <v>58.2316392881011</v>
      </c>
      <c r="L224" s="2">
        <v>7.6520377443093377</v>
      </c>
      <c r="M224" s="2">
        <v>19.476229429696819</v>
      </c>
      <c r="O224" s="6">
        <f t="shared" si="37"/>
        <v>-2.3053857787102006E-3</v>
      </c>
      <c r="P224" s="6">
        <f t="shared" si="38"/>
        <v>-2.3053857787102006E-3</v>
      </c>
      <c r="Q224" s="6">
        <f t="shared" si="39"/>
        <v>-9.6316186986800112E-4</v>
      </c>
      <c r="R224" s="6">
        <f t="shared" si="40"/>
        <v>-4.6309150921506337E-3</v>
      </c>
      <c r="S224" s="6">
        <f t="shared" si="41"/>
        <v>-2.0092496937058613E-3</v>
      </c>
      <c r="T224" s="6">
        <f t="shared" si="42"/>
        <v>-2.0494940205023626E-3</v>
      </c>
      <c r="U224" s="6">
        <f t="shared" si="43"/>
        <v>-7.3248742282058243E-3</v>
      </c>
      <c r="V224" s="6">
        <f t="shared" si="44"/>
        <v>5.4891940930310579E-3</v>
      </c>
      <c r="W224" s="6">
        <f t="shared" si="45"/>
        <v>-4.4934710188304638E-3</v>
      </c>
      <c r="X224" s="6">
        <f t="shared" si="46"/>
        <v>-4.2918436088191791E-3</v>
      </c>
      <c r="Y224" s="6">
        <f t="shared" si="47"/>
        <v>-1.5413382172771994E-3</v>
      </c>
      <c r="Z224" s="6">
        <f t="shared" si="48"/>
        <v>-6.0191904937861862E-3</v>
      </c>
    </row>
    <row r="225" spans="1:26" x14ac:dyDescent="0.45">
      <c r="A225">
        <v>223</v>
      </c>
      <c r="B225" s="1">
        <v>990.41733778678702</v>
      </c>
      <c r="C225" s="1">
        <v>990.41733778678702</v>
      </c>
      <c r="D225" s="2">
        <v>46.585360080724655</v>
      </c>
      <c r="E225" s="2">
        <v>80.822535496943402</v>
      </c>
      <c r="F225" s="2">
        <v>23.040745641764182</v>
      </c>
      <c r="G225" s="2">
        <v>14.906313432267597</v>
      </c>
      <c r="H225" s="2">
        <v>76.885584812643401</v>
      </c>
      <c r="I225" s="2">
        <v>48.329508373075242</v>
      </c>
      <c r="J225" s="2">
        <v>132.78872189510739</v>
      </c>
      <c r="K225" s="2">
        <v>57.981718199191398</v>
      </c>
      <c r="L225" s="2">
        <v>7.6402433660939861</v>
      </c>
      <c r="M225" s="2">
        <v>19.35899829465879</v>
      </c>
      <c r="O225" s="6">
        <f t="shared" si="37"/>
        <v>4.0940506312072689E-3</v>
      </c>
      <c r="P225" s="6">
        <f t="shared" si="38"/>
        <v>4.0940506312072689E-3</v>
      </c>
      <c r="Q225" s="6">
        <f t="shared" si="39"/>
        <v>2.6051514862346359E-3</v>
      </c>
      <c r="R225" s="6">
        <f t="shared" si="40"/>
        <v>8.7903450631932056E-3</v>
      </c>
      <c r="S225" s="6">
        <f t="shared" si="41"/>
        <v>8.0874449981416241E-4</v>
      </c>
      <c r="T225" s="6">
        <f t="shared" si="42"/>
        <v>4.4029138612760033E-3</v>
      </c>
      <c r="U225" s="6">
        <f t="shared" si="43"/>
        <v>5.0502338823075199E-3</v>
      </c>
      <c r="V225" s="6">
        <f t="shared" si="44"/>
        <v>8.0914159958032084E-3</v>
      </c>
      <c r="W225" s="6">
        <f t="shared" si="45"/>
        <v>-1.9907160412797609E-3</v>
      </c>
      <c r="X225" s="6">
        <f t="shared" si="46"/>
        <v>9.9920288769805854E-3</v>
      </c>
      <c r="Y225" s="6">
        <f t="shared" si="47"/>
        <v>6.9650551099589286E-3</v>
      </c>
      <c r="Z225" s="6">
        <f t="shared" si="48"/>
        <v>3.5487745567159834E-3</v>
      </c>
    </row>
    <row r="226" spans="1:26" x14ac:dyDescent="0.45">
      <c r="A226">
        <v>224</v>
      </c>
      <c r="B226" s="1">
        <v>994.47215651371164</v>
      </c>
      <c r="C226" s="1">
        <v>994.47215651371164</v>
      </c>
      <c r="D226" s="2">
        <v>46.706722000775727</v>
      </c>
      <c r="E226" s="2">
        <v>81.532993472843714</v>
      </c>
      <c r="F226" s="2">
        <v>23.059379718073576</v>
      </c>
      <c r="G226" s="2">
        <v>14.971944646299052</v>
      </c>
      <c r="H226" s="2">
        <v>77.273874998125237</v>
      </c>
      <c r="I226" s="2">
        <v>48.720562530194449</v>
      </c>
      <c r="J226" s="2">
        <v>132.52437725632976</v>
      </c>
      <c r="K226" s="2">
        <v>58.561073201774668</v>
      </c>
      <c r="L226" s="2">
        <v>7.6934580821923291</v>
      </c>
      <c r="M226" s="2">
        <v>19.427699015250383</v>
      </c>
      <c r="O226" s="6">
        <f t="shared" si="37"/>
        <v>2.8593393101705722E-4</v>
      </c>
      <c r="P226" s="6">
        <f t="shared" si="38"/>
        <v>2.8593393101705722E-4</v>
      </c>
      <c r="Q226" s="6">
        <f t="shared" si="39"/>
        <v>2.0619176833491792E-4</v>
      </c>
      <c r="R226" s="6">
        <f t="shared" si="40"/>
        <v>1.1874703854131141E-4</v>
      </c>
      <c r="S226" s="6">
        <f t="shared" si="41"/>
        <v>9.1009556180754458E-4</v>
      </c>
      <c r="T226" s="6">
        <f t="shared" si="42"/>
        <v>-9.4361289152478101E-4</v>
      </c>
      <c r="U226" s="6">
        <f t="shared" si="43"/>
        <v>1.4801444325429625E-3</v>
      </c>
      <c r="V226" s="6">
        <f t="shared" si="44"/>
        <v>1.3778736400658076E-3</v>
      </c>
      <c r="W226" s="6">
        <f t="shared" si="45"/>
        <v>-6.5691026332332925E-3</v>
      </c>
      <c r="X226" s="6">
        <f t="shared" si="46"/>
        <v>3.8762570976780264E-3</v>
      </c>
      <c r="Y226" s="6">
        <f t="shared" si="47"/>
        <v>-2.0694659306345065E-3</v>
      </c>
      <c r="Z226" s="6">
        <f t="shared" si="48"/>
        <v>7.8131032691275415E-4</v>
      </c>
    </row>
    <row r="227" spans="1:26" x14ac:dyDescent="0.45">
      <c r="A227">
        <v>225</v>
      </c>
      <c r="B227" s="1">
        <v>994.75650984671063</v>
      </c>
      <c r="C227" s="1">
        <v>994.75650984671063</v>
      </c>
      <c r="D227" s="2">
        <v>46.716352542378196</v>
      </c>
      <c r="E227" s="2">
        <v>81.542675274362026</v>
      </c>
      <c r="F227" s="2">
        <v>23.080365957213029</v>
      </c>
      <c r="G227" s="2">
        <v>14.957816926319609</v>
      </c>
      <c r="H227" s="2">
        <v>77.38825149398474</v>
      </c>
      <c r="I227" s="2">
        <v>48.787693309033983</v>
      </c>
      <c r="J227" s="2">
        <v>131.6538110207276</v>
      </c>
      <c r="K227" s="2">
        <v>58.788070977420688</v>
      </c>
      <c r="L227" s="2">
        <v>7.6775367328024675</v>
      </c>
      <c r="M227" s="2">
        <v>19.442878077119151</v>
      </c>
      <c r="O227" s="6">
        <f t="shared" si="37"/>
        <v>-3.825605286011946E-3</v>
      </c>
      <c r="P227" s="6">
        <f t="shared" si="38"/>
        <v>-3.825605286011946E-3</v>
      </c>
      <c r="Q227" s="6">
        <f t="shared" si="39"/>
        <v>-3.1575409800420617E-3</v>
      </c>
      <c r="R227" s="6">
        <f t="shared" si="40"/>
        <v>-9.2113455235344199E-3</v>
      </c>
      <c r="S227" s="6">
        <f t="shared" si="41"/>
        <v>5.8278857744054058E-4</v>
      </c>
      <c r="T227" s="6">
        <f t="shared" si="42"/>
        <v>-5.1122583201054228E-3</v>
      </c>
      <c r="U227" s="6">
        <f t="shared" si="43"/>
        <v>-8.5902388783914985E-3</v>
      </c>
      <c r="V227" s="6">
        <f t="shared" si="44"/>
        <v>-4.9191959023912046E-3</v>
      </c>
      <c r="W227" s="6">
        <f t="shared" si="45"/>
        <v>-7.2789786926742428E-3</v>
      </c>
      <c r="X227" s="6">
        <f t="shared" si="46"/>
        <v>-7.5665206587837153E-3</v>
      </c>
      <c r="Y227" s="6">
        <f t="shared" si="47"/>
        <v>-8.7598776867602313E-3</v>
      </c>
      <c r="Z227" s="6">
        <f t="shared" si="48"/>
        <v>-6.4211769003470476E-3</v>
      </c>
    </row>
    <row r="228" spans="1:26" x14ac:dyDescent="0.45">
      <c r="A228">
        <v>226</v>
      </c>
      <c r="B228" s="1">
        <v>990.95096408434631</v>
      </c>
      <c r="C228" s="1">
        <v>990.95096408434631</v>
      </c>
      <c r="D228" s="2">
        <v>46.568843744787543</v>
      </c>
      <c r="E228" s="2">
        <v>80.791557517496514</v>
      </c>
      <c r="F228" s="2">
        <v>23.09381693085604</v>
      </c>
      <c r="G228" s="2">
        <v>14.881348702287418</v>
      </c>
      <c r="H228" s="2">
        <v>76.723467927270377</v>
      </c>
      <c r="I228" s="2">
        <v>48.547697088021067</v>
      </c>
      <c r="J228" s="2">
        <v>130.69550573549836</v>
      </c>
      <c r="K228" s="2">
        <v>58.343249823879994</v>
      </c>
      <c r="L228" s="2">
        <v>7.6102824500875093</v>
      </c>
      <c r="M228" s="2">
        <v>19.318031917534089</v>
      </c>
      <c r="O228" s="6">
        <f t="shared" si="37"/>
        <v>-8.9789618780089508E-4</v>
      </c>
      <c r="P228" s="6">
        <f t="shared" si="38"/>
        <v>-8.9789618780089508E-4</v>
      </c>
      <c r="Q228" s="6">
        <f t="shared" si="39"/>
        <v>-3.5445915987410981E-3</v>
      </c>
      <c r="R228" s="6">
        <f t="shared" si="40"/>
        <v>2.0932253671241963E-3</v>
      </c>
      <c r="S228" s="6">
        <f t="shared" si="41"/>
        <v>-4.2430956414120091E-3</v>
      </c>
      <c r="T228" s="6">
        <f t="shared" si="42"/>
        <v>-6.522049139577546E-3</v>
      </c>
      <c r="U228" s="6">
        <f t="shared" si="43"/>
        <v>2.5060193391723828E-4</v>
      </c>
      <c r="V228" s="6">
        <f t="shared" si="44"/>
        <v>-3.2936904893321461E-4</v>
      </c>
      <c r="W228" s="6">
        <f t="shared" si="45"/>
        <v>-4.2973257918881291E-3</v>
      </c>
      <c r="X228" s="6">
        <f t="shared" si="46"/>
        <v>7.4479236503171009E-3</v>
      </c>
      <c r="Y228" s="6">
        <f t="shared" si="47"/>
        <v>-9.5760115984430128E-3</v>
      </c>
      <c r="Z228" s="6">
        <f t="shared" si="48"/>
        <v>1.7491173043726604E-4</v>
      </c>
    </row>
    <row r="229" spans="1:26" x14ac:dyDescent="0.45">
      <c r="A229">
        <v>227</v>
      </c>
      <c r="B229" s="1">
        <v>990.06119299139732</v>
      </c>
      <c r="C229" s="1">
        <v>990.06119299139732</v>
      </c>
      <c r="D229" s="2">
        <v>46.403776212486683</v>
      </c>
      <c r="E229" s="2">
        <v>80.960672455141605</v>
      </c>
      <c r="F229" s="2">
        <v>22.995827656893159</v>
      </c>
      <c r="G229" s="2">
        <v>14.784291814787911</v>
      </c>
      <c r="H229" s="2">
        <v>76.742694976709785</v>
      </c>
      <c r="I229" s="2">
        <v>48.531706979203285</v>
      </c>
      <c r="J229" s="2">
        <v>130.13386456781734</v>
      </c>
      <c r="K229" s="2">
        <v>58.777785894079628</v>
      </c>
      <c r="L229" s="2">
        <v>7.5374062970780438</v>
      </c>
      <c r="M229" s="2">
        <v>19.321410867925426</v>
      </c>
      <c r="O229" s="6">
        <f t="shared" si="37"/>
        <v>1.4664114336415679E-3</v>
      </c>
      <c r="P229" s="6">
        <f t="shared" si="38"/>
        <v>1.4664114336415679E-3</v>
      </c>
      <c r="Q229" s="6">
        <f t="shared" si="39"/>
        <v>5.4718089454075525E-3</v>
      </c>
      <c r="R229" s="6">
        <f t="shared" si="40"/>
        <v>3.5770612777501487E-3</v>
      </c>
      <c r="S229" s="6">
        <f t="shared" si="41"/>
        <v>3.0759349524942525E-3</v>
      </c>
      <c r="T229" s="6">
        <f t="shared" si="42"/>
        <v>1.5199895906503613E-3</v>
      </c>
      <c r="U229" s="6">
        <f t="shared" si="43"/>
        <v>-5.5684310578441032E-3</v>
      </c>
      <c r="V229" s="6">
        <f t="shared" si="44"/>
        <v>3.9388136626028469E-4</v>
      </c>
      <c r="W229" s="6">
        <f t="shared" si="45"/>
        <v>5.1269721248872191E-3</v>
      </c>
      <c r="X229" s="6">
        <f t="shared" si="46"/>
        <v>1.0566027749216556E-2</v>
      </c>
      <c r="Y229" s="6">
        <f t="shared" si="47"/>
        <v>3.8967507338221186E-3</v>
      </c>
      <c r="Z229" s="6">
        <f t="shared" si="48"/>
        <v>-2.3438479418691482E-4</v>
      </c>
    </row>
    <row r="230" spans="1:26" x14ac:dyDescent="0.45">
      <c r="A230">
        <v>228</v>
      </c>
      <c r="B230" s="1">
        <v>991.51303004480474</v>
      </c>
      <c r="C230" s="1">
        <v>991.51303004480474</v>
      </c>
      <c r="D230" s="2">
        <v>46.657688810266855</v>
      </c>
      <c r="E230" s="2">
        <v>81.250273741601504</v>
      </c>
      <c r="F230" s="2">
        <v>23.06656132694453</v>
      </c>
      <c r="G230" s="2">
        <v>14.806763784451526</v>
      </c>
      <c r="H230" s="2">
        <v>76.31535857053882</v>
      </c>
      <c r="I230" s="2">
        <v>48.550822714255197</v>
      </c>
      <c r="J230" s="2">
        <v>130.80105726396039</v>
      </c>
      <c r="K230" s="2">
        <v>59.398833610873986</v>
      </c>
      <c r="L230" s="2">
        <v>7.5667776905972977</v>
      </c>
      <c r="M230" s="2">
        <v>19.316882223015746</v>
      </c>
      <c r="O230" s="6">
        <f t="shared" si="37"/>
        <v>-4.0558663444544285E-3</v>
      </c>
      <c r="P230" s="6">
        <f t="shared" si="38"/>
        <v>-4.0558663444544285E-3</v>
      </c>
      <c r="Q230" s="6">
        <f t="shared" si="39"/>
        <v>-4.3065159357219551E-3</v>
      </c>
      <c r="R230" s="6">
        <f t="shared" si="40"/>
        <v>5.7240856811429097E-3</v>
      </c>
      <c r="S230" s="6">
        <f t="shared" si="41"/>
        <v>-6.101521444532354E-3</v>
      </c>
      <c r="T230" s="6">
        <f t="shared" si="42"/>
        <v>-5.3921838562868141E-3</v>
      </c>
      <c r="U230" s="6">
        <f t="shared" si="43"/>
        <v>-1.5897680850903373E-2</v>
      </c>
      <c r="V230" s="6">
        <f t="shared" si="44"/>
        <v>-7.3634377217697278E-3</v>
      </c>
      <c r="W230" s="6">
        <f t="shared" si="45"/>
        <v>-2.4720981082529958E-3</v>
      </c>
      <c r="X230" s="6">
        <f t="shared" si="46"/>
        <v>-1.5414104685209762E-2</v>
      </c>
      <c r="Y230" s="6">
        <f t="shared" si="47"/>
        <v>-1.2113665348759683E-3</v>
      </c>
      <c r="Z230" s="6">
        <f t="shared" si="48"/>
        <v>-2.2254321159927981E-3</v>
      </c>
    </row>
    <row r="231" spans="1:26" x14ac:dyDescent="0.45">
      <c r="A231">
        <v>229</v>
      </c>
      <c r="B231" s="1">
        <v>987.49158571615794</v>
      </c>
      <c r="C231" s="1">
        <v>987.49158571615794</v>
      </c>
      <c r="D231" s="2">
        <v>46.456756729881484</v>
      </c>
      <c r="E231" s="2">
        <v>81.715357270114751</v>
      </c>
      <c r="F231" s="2">
        <v>22.925820208356559</v>
      </c>
      <c r="G231" s="2">
        <v>14.726922991809154</v>
      </c>
      <c r="H231" s="2">
        <v>75.10212135596214</v>
      </c>
      <c r="I231" s="2">
        <v>48.193321754858097</v>
      </c>
      <c r="J231" s="2">
        <v>130.47770421774067</v>
      </c>
      <c r="K231" s="2">
        <v>58.483253771416621</v>
      </c>
      <c r="L231" s="2">
        <v>7.5576115493260616</v>
      </c>
      <c r="M231" s="2">
        <v>19.273893812935796</v>
      </c>
      <c r="O231" s="6">
        <f t="shared" si="37"/>
        <v>-6.3903651625540903E-4</v>
      </c>
      <c r="P231" s="6">
        <f t="shared" si="38"/>
        <v>-6.3903651625540903E-4</v>
      </c>
      <c r="Q231" s="6">
        <f t="shared" si="39"/>
        <v>-6.8099246421612358E-3</v>
      </c>
      <c r="R231" s="6">
        <f t="shared" si="40"/>
        <v>4.8016871089364699E-3</v>
      </c>
      <c r="S231" s="6">
        <f t="shared" si="41"/>
        <v>-8.296217741829981E-4</v>
      </c>
      <c r="T231" s="6">
        <f t="shared" si="42"/>
        <v>-1.4627125683053244E-3</v>
      </c>
      <c r="U231" s="6">
        <f t="shared" si="43"/>
        <v>6.3554431564101233E-3</v>
      </c>
      <c r="V231" s="6">
        <f t="shared" si="44"/>
        <v>8.0334620285160696E-3</v>
      </c>
      <c r="W231" s="6">
        <f t="shared" si="45"/>
        <v>-6.6012497498946221E-3</v>
      </c>
      <c r="X231" s="6">
        <f t="shared" si="46"/>
        <v>6.2346494933596119E-4</v>
      </c>
      <c r="Y231" s="6">
        <f t="shared" si="47"/>
        <v>-3.0864291416188294E-3</v>
      </c>
      <c r="Z231" s="6">
        <f t="shared" si="48"/>
        <v>-1.8174639584211949E-4</v>
      </c>
    </row>
    <row r="232" spans="1:26" x14ac:dyDescent="0.45">
      <c r="A232">
        <v>230</v>
      </c>
      <c r="B232" s="1">
        <v>986.86054253339034</v>
      </c>
      <c r="C232" s="1">
        <v>986.86054253339034</v>
      </c>
      <c r="D232" s="2">
        <v>46.140389717431773</v>
      </c>
      <c r="E232" s="2">
        <v>82.107728847720793</v>
      </c>
      <c r="F232" s="2">
        <v>22.906800448720702</v>
      </c>
      <c r="G232" s="2">
        <v>14.70538173645657</v>
      </c>
      <c r="H232" s="2">
        <v>75.579428619165768</v>
      </c>
      <c r="I232" s="2">
        <v>48.580480975203805</v>
      </c>
      <c r="J232" s="2">
        <v>129.61638830540647</v>
      </c>
      <c r="K232" s="2">
        <v>58.519716030266217</v>
      </c>
      <c r="L232" s="2">
        <v>7.5342855167991862</v>
      </c>
      <c r="M232" s="2">
        <v>19.270390852201452</v>
      </c>
      <c r="O232" s="6">
        <f t="shared" si="37"/>
        <v>1.6161732830550779E-3</v>
      </c>
      <c r="P232" s="6">
        <f t="shared" si="38"/>
        <v>1.6161732830550779E-3</v>
      </c>
      <c r="Q232" s="6">
        <f t="shared" si="39"/>
        <v>-2.3750061490601659E-3</v>
      </c>
      <c r="R232" s="6">
        <f t="shared" si="40"/>
        <v>8.5384883375720921E-3</v>
      </c>
      <c r="S232" s="6">
        <f t="shared" si="41"/>
        <v>1.6341686375032083E-3</v>
      </c>
      <c r="T232" s="6">
        <f t="shared" si="42"/>
        <v>4.0924335796206357E-3</v>
      </c>
      <c r="U232" s="6">
        <f t="shared" si="43"/>
        <v>-7.8506779750298072E-5</v>
      </c>
      <c r="V232" s="6">
        <f t="shared" si="44"/>
        <v>4.5173603924173467E-3</v>
      </c>
      <c r="W232" s="6">
        <f t="shared" si="45"/>
        <v>6.0056843440468022E-3</v>
      </c>
      <c r="X232" s="6">
        <f t="shared" si="46"/>
        <v>6.5657263553555723E-3</v>
      </c>
      <c r="Y232" s="6">
        <f t="shared" si="47"/>
        <v>-4.3188778464438027E-3</v>
      </c>
      <c r="Z232" s="6">
        <f t="shared" si="48"/>
        <v>-1.1600137373040109E-3</v>
      </c>
    </row>
    <row r="233" spans="1:26" x14ac:dyDescent="0.45">
      <c r="A233">
        <v>231</v>
      </c>
      <c r="B233" s="1">
        <v>988.45548017633405</v>
      </c>
      <c r="C233" s="1">
        <v>988.45548017633405</v>
      </c>
      <c r="D233" s="2">
        <v>46.030806008132842</v>
      </c>
      <c r="E233" s="2">
        <v>82.808804732911582</v>
      </c>
      <c r="F233" s="2">
        <v>22.944234023599545</v>
      </c>
      <c r="G233" s="2">
        <v>14.765562534475984</v>
      </c>
      <c r="H233" s="2">
        <v>75.573495121609511</v>
      </c>
      <c r="I233" s="2">
        <v>48.799936515805776</v>
      </c>
      <c r="J233" s="2">
        <v>130.39482341938415</v>
      </c>
      <c r="K233" s="2">
        <v>58.903940472114058</v>
      </c>
      <c r="L233" s="2">
        <v>7.5017458579918994</v>
      </c>
      <c r="M233" s="2">
        <v>19.248036934089679</v>
      </c>
      <c r="O233" s="6">
        <f t="shared" si="37"/>
        <v>-6.330549501381344E-3</v>
      </c>
      <c r="P233" s="6">
        <f t="shared" si="38"/>
        <v>-6.330549501381344E-3</v>
      </c>
      <c r="Q233" s="6">
        <f t="shared" si="39"/>
        <v>-3.6057052663074352E-3</v>
      </c>
      <c r="R233" s="6">
        <f t="shared" si="40"/>
        <v>-3.9947077191351266E-3</v>
      </c>
      <c r="S233" s="6">
        <f t="shared" si="41"/>
        <v>-5.7479907437457678E-3</v>
      </c>
      <c r="T233" s="6">
        <f t="shared" si="42"/>
        <v>-9.7966454813839254E-3</v>
      </c>
      <c r="U233" s="6">
        <f t="shared" si="43"/>
        <v>-1.3825445139594716E-2</v>
      </c>
      <c r="V233" s="6">
        <f t="shared" si="44"/>
        <v>-1.0688897463876468E-2</v>
      </c>
      <c r="W233" s="6">
        <f t="shared" si="45"/>
        <v>-8.7887665633226142E-3</v>
      </c>
      <c r="X233" s="6">
        <f t="shared" si="46"/>
        <v>-5.5145694056679684E-3</v>
      </c>
      <c r="Y233" s="6">
        <f t="shared" si="47"/>
        <v>-4.5512326828393013E-3</v>
      </c>
      <c r="Z233" s="6">
        <f t="shared" si="48"/>
        <v>-9.0069332301730975E-3</v>
      </c>
    </row>
    <row r="234" spans="1:26" x14ac:dyDescent="0.45">
      <c r="A234">
        <v>232</v>
      </c>
      <c r="B234" s="1">
        <v>982.19801382916614</v>
      </c>
      <c r="C234" s="1">
        <v>982.19801382916614</v>
      </c>
      <c r="D234" s="2">
        <v>45.864832488496944</v>
      </c>
      <c r="E234" s="2">
        <v>82.478007761432664</v>
      </c>
      <c r="F234" s="2">
        <v>22.812350778809559</v>
      </c>
      <c r="G234" s="2">
        <v>14.620909552992519</v>
      </c>
      <c r="H234" s="2">
        <v>74.528657910798273</v>
      </c>
      <c r="I234" s="2">
        <v>48.278318998144648</v>
      </c>
      <c r="J234" s="2">
        <v>129.24881375528551</v>
      </c>
      <c r="K234" s="2">
        <v>58.579110604113254</v>
      </c>
      <c r="L234" s="2">
        <v>7.467603667064652</v>
      </c>
      <c r="M234" s="2">
        <v>19.074671150612428</v>
      </c>
      <c r="O234" s="6">
        <f t="shared" si="37"/>
        <v>3.3103496205317828E-3</v>
      </c>
      <c r="P234" s="6">
        <f t="shared" si="38"/>
        <v>3.3103496205317828E-3</v>
      </c>
      <c r="Q234" s="6">
        <f t="shared" si="39"/>
        <v>4.7319618401153729E-3</v>
      </c>
      <c r="R234" s="6">
        <f t="shared" si="40"/>
        <v>5.808859960923618E-3</v>
      </c>
      <c r="S234" s="6">
        <f t="shared" si="41"/>
        <v>1.8191281200330423E-3</v>
      </c>
      <c r="T234" s="6">
        <f t="shared" si="42"/>
        <v>6.3208847066782425E-3</v>
      </c>
      <c r="U234" s="6">
        <f t="shared" si="43"/>
        <v>-1.6217604540930131E-3</v>
      </c>
      <c r="V234" s="6">
        <f t="shared" si="44"/>
        <v>5.9465839654808672E-3</v>
      </c>
      <c r="W234" s="6">
        <f t="shared" si="45"/>
        <v>2.8032683757743815E-3</v>
      </c>
      <c r="X234" s="6">
        <f t="shared" si="46"/>
        <v>4.0609584907922436E-3</v>
      </c>
      <c r="Y234" s="6">
        <f t="shared" si="47"/>
        <v>3.6902953427757623E-3</v>
      </c>
      <c r="Z234" s="6">
        <f t="shared" si="48"/>
        <v>7.7621627058683806E-3</v>
      </c>
    </row>
    <row r="235" spans="1:26" x14ac:dyDescent="0.45">
      <c r="A235">
        <v>233</v>
      </c>
      <c r="B235" s="1">
        <v>985.44943265153256</v>
      </c>
      <c r="C235" s="1">
        <v>985.44943265153256</v>
      </c>
      <c r="D235" s="2">
        <v>46.081863125635799</v>
      </c>
      <c r="E235" s="2">
        <v>82.957110958374798</v>
      </c>
      <c r="F235" s="2">
        <v>22.853849367595348</v>
      </c>
      <c r="G235" s="2">
        <v>14.713326636583755</v>
      </c>
      <c r="H235" s="2">
        <v>74.407790280701917</v>
      </c>
      <c r="I235" s="2">
        <v>48.565410075779383</v>
      </c>
      <c r="J235" s="2">
        <v>129.61113286749205</v>
      </c>
      <c r="K235" s="2">
        <v>58.816997940704084</v>
      </c>
      <c r="L235" s="2">
        <v>7.4951613300989157</v>
      </c>
      <c r="M235" s="2">
        <v>19.222731851644415</v>
      </c>
      <c r="O235" s="6">
        <f t="shared" si="37"/>
        <v>1.3884535178256829E-3</v>
      </c>
      <c r="P235" s="6">
        <f t="shared" si="38"/>
        <v>1.3884535178256829E-3</v>
      </c>
      <c r="Q235" s="6">
        <f t="shared" si="39"/>
        <v>-1.3517852147381104E-3</v>
      </c>
      <c r="R235" s="6">
        <f t="shared" si="40"/>
        <v>5.9392284883894586E-3</v>
      </c>
      <c r="S235" s="6">
        <f t="shared" si="41"/>
        <v>-1.3105833877475881E-3</v>
      </c>
      <c r="T235" s="6">
        <f t="shared" si="42"/>
        <v>5.8732765840066037E-3</v>
      </c>
      <c r="U235" s="6">
        <f t="shared" si="43"/>
        <v>1.9104595772794219E-3</v>
      </c>
      <c r="V235" s="6">
        <f t="shared" si="44"/>
        <v>-1.2695319512127101E-3</v>
      </c>
      <c r="W235" s="6">
        <f t="shared" si="45"/>
        <v>7.7057150667052543E-3</v>
      </c>
      <c r="X235" s="6">
        <f t="shared" si="46"/>
        <v>6.4274053106694318E-4</v>
      </c>
      <c r="Y235" s="6">
        <f t="shared" si="47"/>
        <v>1.6354648815550821E-3</v>
      </c>
      <c r="Z235" s="6">
        <f t="shared" si="48"/>
        <v>3.8765362129555836E-3</v>
      </c>
    </row>
    <row r="236" spans="1:26" x14ac:dyDescent="0.45">
      <c r="A236">
        <v>234</v>
      </c>
      <c r="B236" s="1">
        <v>986.81768338293693</v>
      </c>
      <c r="C236" s="1">
        <v>986.81768338293693</v>
      </c>
      <c r="D236" s="2">
        <v>46.019570344394978</v>
      </c>
      <c r="E236" s="2">
        <v>83.449812195093259</v>
      </c>
      <c r="F236" s="2">
        <v>22.823897492268092</v>
      </c>
      <c r="G236" s="2">
        <v>14.799742073391243</v>
      </c>
      <c r="H236" s="2">
        <v>74.549943356267889</v>
      </c>
      <c r="I236" s="2">
        <v>48.503754735964435</v>
      </c>
      <c r="J236" s="2">
        <v>130.60987932684182</v>
      </c>
      <c r="K236" s="2">
        <v>58.854802009196256</v>
      </c>
      <c r="L236" s="2">
        <v>7.5074194032358825</v>
      </c>
      <c r="M236" s="2">
        <v>19.297249467779249</v>
      </c>
      <c r="O236" s="6">
        <f t="shared" si="37"/>
        <v>4.0695354670117201E-3</v>
      </c>
      <c r="P236" s="6">
        <f t="shared" si="38"/>
        <v>4.0695354670117201E-3</v>
      </c>
      <c r="Q236" s="6">
        <f t="shared" si="39"/>
        <v>9.9538363372175809E-5</v>
      </c>
      <c r="R236" s="6">
        <f t="shared" si="40"/>
        <v>7.6660095538816364E-3</v>
      </c>
      <c r="S236" s="6">
        <f t="shared" si="41"/>
        <v>-1.8886649521339116E-3</v>
      </c>
      <c r="T236" s="6">
        <f t="shared" si="42"/>
        <v>8.4369268520787521E-3</v>
      </c>
      <c r="U236" s="6">
        <f t="shared" si="43"/>
        <v>-1.0260192269160306E-3</v>
      </c>
      <c r="V236" s="6">
        <f t="shared" si="44"/>
        <v>-1.8757514611256187E-4</v>
      </c>
      <c r="W236" s="6">
        <f t="shared" si="45"/>
        <v>3.1439162168991341E-3</v>
      </c>
      <c r="X236" s="6">
        <f t="shared" si="46"/>
        <v>1.2157935272083087E-2</v>
      </c>
      <c r="Y236" s="6">
        <f t="shared" si="47"/>
        <v>7.279446465076056E-4</v>
      </c>
      <c r="Z236" s="6">
        <f t="shared" si="48"/>
        <v>7.9435526922266853E-4</v>
      </c>
    </row>
    <row r="237" spans="1:26" x14ac:dyDescent="0.45">
      <c r="A237">
        <v>235</v>
      </c>
      <c r="B237" s="1">
        <v>990.83357294493817</v>
      </c>
      <c r="C237" s="1">
        <v>990.83357294493817</v>
      </c>
      <c r="D237" s="2">
        <v>46.024151057110153</v>
      </c>
      <c r="E237" s="2">
        <v>84.089539252650468</v>
      </c>
      <c r="F237" s="2">
        <v>22.780790797003348</v>
      </c>
      <c r="G237" s="2">
        <v>14.924606414694077</v>
      </c>
      <c r="H237" s="2">
        <v>74.473453681018853</v>
      </c>
      <c r="I237" s="2">
        <v>48.494656637082826</v>
      </c>
      <c r="J237" s="2">
        <v>131.02050584454472</v>
      </c>
      <c r="K237" s="2">
        <v>59.570354882475328</v>
      </c>
      <c r="L237" s="2">
        <v>7.5128843889995558</v>
      </c>
      <c r="M237" s="2">
        <v>19.312578339575484</v>
      </c>
      <c r="O237" s="6">
        <f t="shared" si="37"/>
        <v>2.3140934130112534E-3</v>
      </c>
      <c r="P237" s="6">
        <f t="shared" si="38"/>
        <v>2.3140934130112534E-3</v>
      </c>
      <c r="Q237" s="6">
        <f t="shared" si="39"/>
        <v>1.0834006447741906E-3</v>
      </c>
      <c r="R237" s="6">
        <f t="shared" si="40"/>
        <v>8.9053406755887909E-3</v>
      </c>
      <c r="S237" s="6">
        <f t="shared" si="41"/>
        <v>1.5634842528586823E-3</v>
      </c>
      <c r="T237" s="6">
        <f t="shared" si="42"/>
        <v>2.895789748327271E-3</v>
      </c>
      <c r="U237" s="6">
        <f t="shared" si="43"/>
        <v>8.6351627158123279E-3</v>
      </c>
      <c r="V237" s="6">
        <f t="shared" si="44"/>
        <v>6.7687636291446918E-3</v>
      </c>
      <c r="W237" s="6">
        <f t="shared" si="45"/>
        <v>9.4582993638869794E-3</v>
      </c>
      <c r="X237" s="6">
        <f t="shared" si="46"/>
        <v>8.7422344776293404E-3</v>
      </c>
      <c r="Y237" s="6">
        <f t="shared" si="47"/>
        <v>7.9703371290584801E-3</v>
      </c>
      <c r="Z237" s="6">
        <f t="shared" si="48"/>
        <v>-1.5702602415076372E-3</v>
      </c>
    </row>
    <row r="238" spans="1:26" x14ac:dyDescent="0.45">
      <c r="A238">
        <v>236</v>
      </c>
      <c r="B238" s="1">
        <v>993.1264543894805</v>
      </c>
      <c r="C238" s="1">
        <v>993.1264543894805</v>
      </c>
      <c r="D238" s="2">
        <v>46.074013652040612</v>
      </c>
      <c r="E238" s="2">
        <v>84.838385246948619</v>
      </c>
      <c r="F238" s="2">
        <v>22.81640820468213</v>
      </c>
      <c r="G238" s="2">
        <v>14.967824936947567</v>
      </c>
      <c r="H238" s="2">
        <v>75.11654407156297</v>
      </c>
      <c r="I238" s="2">
        <v>48.822905505135772</v>
      </c>
      <c r="J238" s="2">
        <v>132.25973701163034</v>
      </c>
      <c r="K238" s="2">
        <v>60.091132892773523</v>
      </c>
      <c r="L238" s="2">
        <v>7.5727646103915225</v>
      </c>
      <c r="M238" s="2">
        <v>19.282252565647848</v>
      </c>
      <c r="O238" s="6">
        <f t="shared" si="37"/>
        <v>-5.7851196145608519E-4</v>
      </c>
      <c r="P238" s="6">
        <f t="shared" si="38"/>
        <v>-5.7851196145608519E-4</v>
      </c>
      <c r="Q238" s="6">
        <f t="shared" si="39"/>
        <v>-7.0049461593690854E-4</v>
      </c>
      <c r="R238" s="6">
        <f t="shared" si="40"/>
        <v>1.3084138530325973E-3</v>
      </c>
      <c r="S238" s="6">
        <f t="shared" si="41"/>
        <v>2.8471077876675022E-3</v>
      </c>
      <c r="T238" s="6">
        <f t="shared" si="42"/>
        <v>4.4909480338284347E-4</v>
      </c>
      <c r="U238" s="6">
        <f t="shared" si="43"/>
        <v>2.8513024196048509E-3</v>
      </c>
      <c r="V238" s="6">
        <f t="shared" si="44"/>
        <v>-2.3546408171266631E-3</v>
      </c>
      <c r="W238" s="6">
        <f t="shared" si="45"/>
        <v>-6.4071413604338545E-4</v>
      </c>
      <c r="X238" s="6">
        <f t="shared" si="46"/>
        <v>-2.8063190472743527E-3</v>
      </c>
      <c r="Y238" s="6">
        <f t="shared" si="47"/>
        <v>2.490296809161352E-3</v>
      </c>
      <c r="Z238" s="6">
        <f t="shared" si="48"/>
        <v>-2.398091303430383E-3</v>
      </c>
    </row>
    <row r="239" spans="1:26" x14ac:dyDescent="0.45">
      <c r="A239">
        <v>237</v>
      </c>
      <c r="B239" s="1">
        <v>992.55191885637771</v>
      </c>
      <c r="C239" s="1">
        <v>992.55191885637771</v>
      </c>
      <c r="D239" s="2">
        <v>46.041739053542756</v>
      </c>
      <c r="E239" s="2">
        <v>84.94938896547464</v>
      </c>
      <c r="F239" s="2">
        <v>22.881368978168283</v>
      </c>
      <c r="G239" s="2">
        <v>14.974546909344694</v>
      </c>
      <c r="H239" s="2">
        <v>75.330724055426572</v>
      </c>
      <c r="I239" s="2">
        <v>48.707945099022659</v>
      </c>
      <c r="J239" s="2">
        <v>132.1749963284976</v>
      </c>
      <c r="K239" s="2">
        <v>59.922498001964236</v>
      </c>
      <c r="L239" s="2">
        <v>7.5916230419373107</v>
      </c>
      <c r="M239" s="2">
        <v>19.236011963459621</v>
      </c>
      <c r="O239" s="6">
        <f t="shared" si="37"/>
        <v>-1.5406920001200808E-3</v>
      </c>
      <c r="P239" s="6">
        <f t="shared" si="38"/>
        <v>-1.5406920001200808E-3</v>
      </c>
      <c r="Q239" s="6">
        <f t="shared" si="39"/>
        <v>5.7553478650373968E-4</v>
      </c>
      <c r="R239" s="6">
        <f t="shared" si="40"/>
        <v>-6.6170161598547717E-3</v>
      </c>
      <c r="S239" s="6">
        <f t="shared" si="41"/>
        <v>2.0291395289864234E-3</v>
      </c>
      <c r="T239" s="6">
        <f t="shared" si="42"/>
        <v>1.4092640147789215E-3</v>
      </c>
      <c r="U239" s="6">
        <f t="shared" si="43"/>
        <v>3.0374971954099106E-3</v>
      </c>
      <c r="V239" s="6">
        <f t="shared" si="44"/>
        <v>-2.409181790165249E-3</v>
      </c>
      <c r="W239" s="6">
        <f t="shared" si="45"/>
        <v>3.3661818816224098E-3</v>
      </c>
      <c r="X239" s="6">
        <f t="shared" si="46"/>
        <v>3.4036859703414635E-3</v>
      </c>
      <c r="Y239" s="6">
        <f t="shared" si="47"/>
        <v>-7.7858343386713047E-3</v>
      </c>
      <c r="Z239" s="6">
        <f t="shared" si="48"/>
        <v>-5.9400718695077348E-3</v>
      </c>
    </row>
    <row r="240" spans="1:26" x14ac:dyDescent="0.45">
      <c r="A240">
        <v>238</v>
      </c>
      <c r="B240" s="1">
        <v>991.0227020552918</v>
      </c>
      <c r="C240" s="1">
        <v>991.0227020552918</v>
      </c>
      <c r="D240" s="2">
        <v>46.0682376759992</v>
      </c>
      <c r="E240" s="2">
        <v>84.387277485920308</v>
      </c>
      <c r="F240" s="2">
        <v>22.927798468439207</v>
      </c>
      <c r="G240" s="2">
        <v>14.995649999441651</v>
      </c>
      <c r="H240" s="2">
        <v>75.559540918473132</v>
      </c>
      <c r="I240" s="2">
        <v>48.590598804653723</v>
      </c>
      <c r="J240" s="2">
        <v>132.61992140634209</v>
      </c>
      <c r="K240" s="2">
        <v>60.126455367721334</v>
      </c>
      <c r="L240" s="2">
        <v>7.5325159225711467</v>
      </c>
      <c r="M240" s="2">
        <v>19.121748669913959</v>
      </c>
      <c r="O240" s="6">
        <f t="shared" si="37"/>
        <v>2.1791127419770184E-3</v>
      </c>
      <c r="P240" s="6">
        <f t="shared" si="38"/>
        <v>2.1791127419770184E-3</v>
      </c>
      <c r="Q240" s="6">
        <f t="shared" si="39"/>
        <v>6.5531296222982593E-3</v>
      </c>
      <c r="R240" s="6">
        <f t="shared" si="40"/>
        <v>-2.596469203326679E-3</v>
      </c>
      <c r="S240" s="6">
        <f t="shared" si="41"/>
        <v>3.9432470096947281E-3</v>
      </c>
      <c r="T240" s="6">
        <f t="shared" si="42"/>
        <v>5.6645802812806956E-3</v>
      </c>
      <c r="U240" s="6">
        <f t="shared" si="43"/>
        <v>1.3956848049715642E-2</v>
      </c>
      <c r="V240" s="6">
        <f t="shared" si="44"/>
        <v>7.5521566891867398E-3</v>
      </c>
      <c r="W240" s="6">
        <f t="shared" si="45"/>
        <v>2.172499976923481E-3</v>
      </c>
      <c r="X240" s="6">
        <f t="shared" si="46"/>
        <v>4.2410658218223762E-3</v>
      </c>
      <c r="Y240" s="6">
        <f t="shared" si="47"/>
        <v>7.4936459861740801E-4</v>
      </c>
      <c r="Z240" s="6">
        <f t="shared" si="48"/>
        <v>9.2769469059406084E-4</v>
      </c>
    </row>
    <row r="241" spans="1:26" x14ac:dyDescent="0.45">
      <c r="A241">
        <v>239</v>
      </c>
      <c r="B241" s="1">
        <v>993.18225225292895</v>
      </c>
      <c r="C241" s="1">
        <v>993.18225225292895</v>
      </c>
      <c r="D241" s="2">
        <v>46.370128808960864</v>
      </c>
      <c r="E241" s="2">
        <v>84.168168518775531</v>
      </c>
      <c r="F241" s="2">
        <v>23.018208441188762</v>
      </c>
      <c r="G241" s="2">
        <v>15.080594062733475</v>
      </c>
      <c r="H241" s="2">
        <v>76.614113949778528</v>
      </c>
      <c r="I241" s="2">
        <v>48.957562620447881</v>
      </c>
      <c r="J241" s="2">
        <v>132.90803818253696</v>
      </c>
      <c r="K241" s="2">
        <v>60.381455622568708</v>
      </c>
      <c r="L241" s="2">
        <v>7.538160523342043</v>
      </c>
      <c r="M241" s="2">
        <v>19.139487814629913</v>
      </c>
      <c r="O241" s="6">
        <f t="shared" si="37"/>
        <v>7.3269657084051865E-4</v>
      </c>
      <c r="P241" s="6">
        <f t="shared" si="38"/>
        <v>7.3269657084051865E-4</v>
      </c>
      <c r="Q241" s="6">
        <f t="shared" si="39"/>
        <v>-1.1144323654599386E-3</v>
      </c>
      <c r="R241" s="6">
        <f t="shared" si="40"/>
        <v>8.4187759150644581E-5</v>
      </c>
      <c r="S241" s="6">
        <f t="shared" si="41"/>
        <v>-2.4886848526174399E-3</v>
      </c>
      <c r="T241" s="6">
        <f t="shared" si="42"/>
        <v>2.9941022183255228E-3</v>
      </c>
      <c r="U241" s="6">
        <f t="shared" si="43"/>
        <v>7.1214744588932177E-4</v>
      </c>
      <c r="V241" s="6">
        <f t="shared" si="44"/>
        <v>-4.0420097102884522E-3</v>
      </c>
      <c r="W241" s="6">
        <f t="shared" si="45"/>
        <v>-3.2926064271122657E-3</v>
      </c>
      <c r="X241" s="6">
        <f t="shared" si="46"/>
        <v>-8.9343055293713558E-3</v>
      </c>
      <c r="Y241" s="6">
        <f t="shared" si="47"/>
        <v>-6.0309471363975131E-3</v>
      </c>
      <c r="Z241" s="6">
        <f t="shared" si="48"/>
        <v>3.5378072532017413E-3</v>
      </c>
    </row>
    <row r="242" spans="1:26" x14ac:dyDescent="0.45">
      <c r="A242">
        <v>240</v>
      </c>
      <c r="B242" s="1">
        <v>993.90995348337435</v>
      </c>
      <c r="C242" s="1">
        <v>993.90995348337435</v>
      </c>
      <c r="D242" s="2">
        <v>46.318452436625613</v>
      </c>
      <c r="E242" s="2">
        <v>84.175254448274941</v>
      </c>
      <c r="F242" s="2">
        <v>22.960923374506784</v>
      </c>
      <c r="G242" s="2">
        <v>15.125746902870372</v>
      </c>
      <c r="H242" s="2">
        <v>76.668674495346934</v>
      </c>
      <c r="I242" s="2">
        <v>48.759675676943978</v>
      </c>
      <c r="J242" s="2">
        <v>132.47042432180226</v>
      </c>
      <c r="K242" s="2">
        <v>59.841989249728499</v>
      </c>
      <c r="L242" s="2">
        <v>7.4926982757200884</v>
      </c>
      <c r="M242" s="2">
        <v>19.207199633443079</v>
      </c>
      <c r="O242" s="6">
        <f t="shared" si="37"/>
        <v>1.814597286065478E-3</v>
      </c>
      <c r="P242" s="6">
        <f t="shared" si="38"/>
        <v>1.814597286065478E-3</v>
      </c>
      <c r="Q242" s="6">
        <f t="shared" si="39"/>
        <v>-2.5913288896508568E-3</v>
      </c>
      <c r="R242" s="6">
        <f t="shared" si="40"/>
        <v>3.3266770336524143E-3</v>
      </c>
      <c r="S242" s="6">
        <f t="shared" si="41"/>
        <v>1.2754945557849062E-3</v>
      </c>
      <c r="T242" s="6">
        <f t="shared" si="42"/>
        <v>-1.5507476706282386E-3</v>
      </c>
      <c r="U242" s="6">
        <f t="shared" si="43"/>
        <v>8.2420194247920797E-3</v>
      </c>
      <c r="V242" s="6">
        <f t="shared" si="44"/>
        <v>-6.5046978240945741E-3</v>
      </c>
      <c r="W242" s="6">
        <f t="shared" si="45"/>
        <v>-1.287669832021443E-3</v>
      </c>
      <c r="X242" s="6">
        <f t="shared" si="46"/>
        <v>-4.8061941417731902E-4</v>
      </c>
      <c r="Y242" s="6">
        <f t="shared" si="47"/>
        <v>1.9685343971240776E-3</v>
      </c>
      <c r="Z242" s="6">
        <f t="shared" si="48"/>
        <v>-1.4129666745887892E-4</v>
      </c>
    </row>
    <row r="243" spans="1:26" x14ac:dyDescent="0.45">
      <c r="A243">
        <v>241</v>
      </c>
      <c r="B243" s="1">
        <v>995.7134997875587</v>
      </c>
      <c r="C243" s="1">
        <v>995.7134997875587</v>
      </c>
      <c r="D243" s="2">
        <v>46.198426092702668</v>
      </c>
      <c r="E243" s="2">
        <v>84.455278334049865</v>
      </c>
      <c r="F243" s="2">
        <v>22.990209907266763</v>
      </c>
      <c r="G243" s="2">
        <v>15.102290686094234</v>
      </c>
      <c r="H243" s="2">
        <v>77.300579199810642</v>
      </c>
      <c r="I243" s="2">
        <v>48.442508720664605</v>
      </c>
      <c r="J243" s="2">
        <v>132.299846152768</v>
      </c>
      <c r="K243" s="2">
        <v>59.813228027912089</v>
      </c>
      <c r="L243" s="2">
        <v>7.5074479100031155</v>
      </c>
      <c r="M243" s="2">
        <v>19.204485720143655</v>
      </c>
      <c r="O243" s="6">
        <f t="shared" si="37"/>
        <v>-1.1733389214685364E-2</v>
      </c>
      <c r="P243" s="6">
        <f t="shared" si="38"/>
        <v>-1.1733389214685364E-2</v>
      </c>
      <c r="Q243" s="6">
        <f t="shared" si="39"/>
        <v>-8.7527825074046328E-3</v>
      </c>
      <c r="R243" s="6">
        <f t="shared" si="40"/>
        <v>-1.6680606017195565E-2</v>
      </c>
      <c r="S243" s="6">
        <f t="shared" si="41"/>
        <v>-9.078739054896201E-3</v>
      </c>
      <c r="T243" s="6">
        <f t="shared" si="42"/>
        <v>-1.7919219214991067E-2</v>
      </c>
      <c r="U243" s="6">
        <f t="shared" si="43"/>
        <v>-9.7996460251565942E-3</v>
      </c>
      <c r="V243" s="6">
        <f t="shared" si="44"/>
        <v>-1.4072025376405173E-2</v>
      </c>
      <c r="W243" s="6">
        <f t="shared" si="45"/>
        <v>-1.6092746368185362E-2</v>
      </c>
      <c r="X243" s="6">
        <f t="shared" si="46"/>
        <v>-1.6661885653691089E-2</v>
      </c>
      <c r="Y243" s="6">
        <f t="shared" si="47"/>
        <v>-9.3838777709295274E-3</v>
      </c>
      <c r="Z243" s="6">
        <f t="shared" si="48"/>
        <v>-1.320864317738657E-2</v>
      </c>
    </row>
    <row r="244" spans="1:26" x14ac:dyDescent="0.45">
      <c r="A244">
        <v>242</v>
      </c>
      <c r="B244" s="1">
        <v>984.03040574823478</v>
      </c>
      <c r="C244" s="1">
        <v>984.03040574823478</v>
      </c>
      <c r="D244" s="2">
        <v>45.794061316928833</v>
      </c>
      <c r="E244" s="2">
        <v>83.046513110086991</v>
      </c>
      <c r="F244" s="2">
        <v>22.781487790701398</v>
      </c>
      <c r="G244" s="2">
        <v>14.831669428641593</v>
      </c>
      <c r="H244" s="2">
        <v>76.543060886112912</v>
      </c>
      <c r="I244" s="2">
        <v>47.760824508650686</v>
      </c>
      <c r="J244" s="2">
        <v>130.17077828408156</v>
      </c>
      <c r="K244" s="2">
        <v>58.816626861932868</v>
      </c>
      <c r="L244" s="2">
        <v>7.4369989364440263</v>
      </c>
      <c r="M244" s="2">
        <v>18.950820520861061</v>
      </c>
      <c r="O244" s="6">
        <f t="shared" si="37"/>
        <v>1.4160575867405711E-4</v>
      </c>
      <c r="P244" s="6">
        <f t="shared" si="38"/>
        <v>1.4160575867405711E-4</v>
      </c>
      <c r="Q244" s="6">
        <f t="shared" si="39"/>
        <v>-5.1012251732396319E-3</v>
      </c>
      <c r="R244" s="6">
        <f t="shared" si="40"/>
        <v>-5.1902136142603084E-3</v>
      </c>
      <c r="S244" s="6">
        <f t="shared" si="41"/>
        <v>-2.8524376282352826E-3</v>
      </c>
      <c r="T244" s="6">
        <f t="shared" si="42"/>
        <v>5.4760079670201911E-4</v>
      </c>
      <c r="U244" s="6">
        <f t="shared" si="43"/>
        <v>-3.5402628600300634E-4</v>
      </c>
      <c r="V244" s="6">
        <f t="shared" si="44"/>
        <v>1.7536723039894841E-3</v>
      </c>
      <c r="W244" s="6">
        <f t="shared" si="45"/>
        <v>-3.7205287384957098E-3</v>
      </c>
      <c r="X244" s="6">
        <f t="shared" si="46"/>
        <v>5.2152943643017924E-3</v>
      </c>
      <c r="Y244" s="6">
        <f t="shared" si="47"/>
        <v>-2.6604392137845601E-3</v>
      </c>
      <c r="Z244" s="6">
        <f t="shared" si="48"/>
        <v>-1.4606546434666745E-3</v>
      </c>
    </row>
    <row r="245" spans="1:26" x14ac:dyDescent="0.45">
      <c r="A245">
        <v>243</v>
      </c>
      <c r="B245" s="1">
        <v>984.16975012039916</v>
      </c>
      <c r="C245" s="1">
        <v>984.16975012039916</v>
      </c>
      <c r="D245" s="2">
        <v>45.560455498554035</v>
      </c>
      <c r="E245" s="2">
        <v>82.615483967126167</v>
      </c>
      <c r="F245" s="2">
        <v>22.716505017700019</v>
      </c>
      <c r="G245" s="2">
        <v>14.839791262637139</v>
      </c>
      <c r="H245" s="2">
        <v>76.515962630548103</v>
      </c>
      <c r="I245" s="2">
        <v>47.844581343807207</v>
      </c>
      <c r="J245" s="2">
        <v>129.68647416256329</v>
      </c>
      <c r="K245" s="2">
        <v>59.123372884533147</v>
      </c>
      <c r="L245" s="2">
        <v>7.4172132528406367</v>
      </c>
      <c r="M245" s="2">
        <v>18.923139916869761</v>
      </c>
      <c r="O245" s="6">
        <f t="shared" si="37"/>
        <v>-2.3599326364255324E-3</v>
      </c>
      <c r="P245" s="6">
        <f t="shared" si="38"/>
        <v>-2.3599326364255324E-3</v>
      </c>
      <c r="Q245" s="6">
        <f t="shared" si="39"/>
        <v>-4.4951656678393626E-5</v>
      </c>
      <c r="R245" s="6">
        <f t="shared" si="40"/>
        <v>-1.1341860831187711E-3</v>
      </c>
      <c r="S245" s="6">
        <f t="shared" si="41"/>
        <v>-2.0464885220505824E-3</v>
      </c>
      <c r="T245" s="6">
        <f t="shared" si="42"/>
        <v>-5.7875029926762744E-3</v>
      </c>
      <c r="U245" s="6">
        <f t="shared" si="43"/>
        <v>-7.7201970184772595E-3</v>
      </c>
      <c r="V245" s="6">
        <f t="shared" si="44"/>
        <v>-4.1493375992300852E-3</v>
      </c>
      <c r="W245" s="6">
        <f t="shared" si="45"/>
        <v>-8.3893732008044619E-3</v>
      </c>
      <c r="X245" s="6">
        <f t="shared" si="46"/>
        <v>-1.2830701934423816E-2</v>
      </c>
      <c r="Y245" s="6">
        <f t="shared" si="47"/>
        <v>3.846446290354244E-3</v>
      </c>
      <c r="Z245" s="6">
        <f t="shared" si="48"/>
        <v>-4.5052365806450556E-3</v>
      </c>
    </row>
    <row r="246" spans="1:26" x14ac:dyDescent="0.45">
      <c r="A246">
        <v>244</v>
      </c>
      <c r="B246" s="1">
        <v>981.84717580730728</v>
      </c>
      <c r="C246" s="1">
        <v>981.84717580730728</v>
      </c>
      <c r="D246" s="2">
        <v>45.558407480600351</v>
      </c>
      <c r="E246" s="2">
        <v>82.52178263496053</v>
      </c>
      <c r="F246" s="2">
        <v>22.670015950920192</v>
      </c>
      <c r="G246" s="2">
        <v>14.753905926293935</v>
      </c>
      <c r="H246" s="2">
        <v>75.925244323981829</v>
      </c>
      <c r="I246" s="2">
        <v>47.646058023517924</v>
      </c>
      <c r="J246" s="2">
        <v>128.59848593171705</v>
      </c>
      <c r="K246" s="2">
        <v>58.364778509693906</v>
      </c>
      <c r="L246" s="2">
        <v>7.445743165241792</v>
      </c>
      <c r="M246" s="2">
        <v>18.837886694695616</v>
      </c>
      <c r="O246" s="6">
        <f t="shared" si="37"/>
        <v>-1.2475466884308561E-3</v>
      </c>
      <c r="P246" s="6">
        <f t="shared" si="38"/>
        <v>-1.2475466884308561E-3</v>
      </c>
      <c r="Q246" s="6">
        <f t="shared" si="39"/>
        <v>3.5720448800402593E-5</v>
      </c>
      <c r="R246" s="6">
        <f t="shared" si="40"/>
        <v>1.7899522740243423E-3</v>
      </c>
      <c r="S246" s="6">
        <f t="shared" si="41"/>
        <v>-7.1090121903386594E-3</v>
      </c>
      <c r="T246" s="6">
        <f t="shared" si="42"/>
        <v>-7.424251009235161E-3</v>
      </c>
      <c r="U246" s="6">
        <f t="shared" si="43"/>
        <v>-9.9008810496470367E-4</v>
      </c>
      <c r="V246" s="6">
        <f t="shared" si="44"/>
        <v>-7.342247024141102E-3</v>
      </c>
      <c r="W246" s="6">
        <f t="shared" si="45"/>
        <v>8.7449086596103065E-3</v>
      </c>
      <c r="X246" s="6">
        <f t="shared" si="46"/>
        <v>-1.5675746341123897E-3</v>
      </c>
      <c r="Y246" s="6">
        <f t="shared" si="47"/>
        <v>-9.8480667846745362E-3</v>
      </c>
      <c r="Z246" s="6">
        <f t="shared" si="48"/>
        <v>-1.9952493630578383E-3</v>
      </c>
    </row>
    <row r="247" spans="1:26" x14ac:dyDescent="0.45">
      <c r="A247">
        <v>245</v>
      </c>
      <c r="B247" s="1">
        <v>980.62227561458371</v>
      </c>
      <c r="C247" s="1">
        <v>980.62227561458371</v>
      </c>
      <c r="D247" s="2">
        <v>45.560034847362189</v>
      </c>
      <c r="E247" s="2">
        <v>82.669492687444517</v>
      </c>
      <c r="F247" s="2">
        <v>22.508854531169927</v>
      </c>
      <c r="G247" s="2">
        <v>14.644369225330488</v>
      </c>
      <c r="H247" s="2">
        <v>75.85007164271012</v>
      </c>
      <c r="I247" s="2">
        <v>47.296228895782697</v>
      </c>
      <c r="J247" s="2">
        <v>129.7230679449541</v>
      </c>
      <c r="K247" s="2">
        <v>58.273287363376525</v>
      </c>
      <c r="L247" s="2">
        <v>7.3724169892889568</v>
      </c>
      <c r="M247" s="2">
        <v>18.800300413266669</v>
      </c>
      <c r="O247" s="6">
        <f t="shared" si="37"/>
        <v>5.6642976583365368E-4</v>
      </c>
      <c r="P247" s="6">
        <f t="shared" si="38"/>
        <v>5.6642976583365368E-4</v>
      </c>
      <c r="Q247" s="6">
        <f t="shared" si="39"/>
        <v>-5.1865670595560021E-3</v>
      </c>
      <c r="R247" s="6">
        <f t="shared" si="40"/>
        <v>-2.1479062116762648E-3</v>
      </c>
      <c r="S247" s="6">
        <f t="shared" si="41"/>
        <v>5.3038052707876648E-3</v>
      </c>
      <c r="T247" s="6">
        <f t="shared" si="42"/>
        <v>-1.9104016278880254E-3</v>
      </c>
      <c r="U247" s="6">
        <f t="shared" si="43"/>
        <v>1.0117323966429614E-2</v>
      </c>
      <c r="V247" s="6">
        <f t="shared" si="44"/>
        <v>2.3445877128900339E-3</v>
      </c>
      <c r="W247" s="6">
        <f t="shared" si="45"/>
        <v>-3.6716290460092615E-4</v>
      </c>
      <c r="X247" s="6">
        <f t="shared" si="46"/>
        <v>5.2989829704963576E-4</v>
      </c>
      <c r="Y247" s="6">
        <f t="shared" si="47"/>
        <v>6.2314174193280891E-3</v>
      </c>
      <c r="Z247" s="6">
        <f t="shared" si="48"/>
        <v>6.7160106498334038E-3</v>
      </c>
    </row>
    <row r="248" spans="1:26" x14ac:dyDescent="0.45">
      <c r="A248">
        <v>246</v>
      </c>
      <c r="B248" s="1">
        <v>981.17772926053135</v>
      </c>
      <c r="C248" s="1">
        <v>981.17772926053135</v>
      </c>
      <c r="D248" s="2">
        <v>45.323734671390639</v>
      </c>
      <c r="E248" s="2">
        <v>82.491926370585034</v>
      </c>
      <c r="F248" s="2">
        <v>22.628237112471737</v>
      </c>
      <c r="G248" s="2">
        <v>14.616392598523023</v>
      </c>
      <c r="H248" s="2">
        <v>76.617471390396318</v>
      </c>
      <c r="I248" s="2">
        <v>47.407119052917785</v>
      </c>
      <c r="J248" s="2">
        <v>129.67543844653369</v>
      </c>
      <c r="K248" s="2">
        <v>58.304166279113865</v>
      </c>
      <c r="L248" s="2">
        <v>7.418357596938562</v>
      </c>
      <c r="M248" s="2">
        <v>18.926563431062235</v>
      </c>
      <c r="O248" s="6">
        <f t="shared" si="37"/>
        <v>-3.345792124671787E-3</v>
      </c>
      <c r="P248" s="6">
        <f t="shared" si="38"/>
        <v>-3.345792124671787E-3</v>
      </c>
      <c r="Q248" s="6">
        <f t="shared" si="39"/>
        <v>-4.5672240225572702E-3</v>
      </c>
      <c r="R248" s="6">
        <f t="shared" si="40"/>
        <v>-2.089503496560674E-6</v>
      </c>
      <c r="S248" s="6">
        <f t="shared" si="41"/>
        <v>-3.7219571105147065E-3</v>
      </c>
      <c r="T248" s="6">
        <f t="shared" si="42"/>
        <v>-8.1272878293537909E-3</v>
      </c>
      <c r="U248" s="6">
        <f t="shared" si="43"/>
        <v>-5.3840359042672814E-3</v>
      </c>
      <c r="V248" s="6">
        <f t="shared" si="44"/>
        <v>4.6718225000379476E-3</v>
      </c>
      <c r="W248" s="6">
        <f t="shared" si="45"/>
        <v>-8.1873726639408728E-3</v>
      </c>
      <c r="X248" s="6">
        <f t="shared" si="46"/>
        <v>-1.3620937242089237E-2</v>
      </c>
      <c r="Y248" s="6">
        <f t="shared" si="47"/>
        <v>3.761676667859648E-3</v>
      </c>
      <c r="Z248" s="6">
        <f t="shared" si="48"/>
        <v>-4.2051127140925182E-3</v>
      </c>
    </row>
    <row r="249" spans="1:26" x14ac:dyDescent="0.45">
      <c r="A249">
        <v>247</v>
      </c>
      <c r="B249" s="1">
        <v>977.89491254106815</v>
      </c>
      <c r="C249" s="1">
        <v>977.89491254106815</v>
      </c>
      <c r="D249" s="2">
        <v>45.11673102160745</v>
      </c>
      <c r="E249" s="2">
        <v>82.491754003416446</v>
      </c>
      <c r="F249" s="2">
        <v>22.544015784452561</v>
      </c>
      <c r="G249" s="2">
        <v>14.497600968847989</v>
      </c>
      <c r="H249" s="2">
        <v>76.20496017353625</v>
      </c>
      <c r="I249" s="2">
        <v>47.628596698371183</v>
      </c>
      <c r="J249" s="2">
        <v>128.61373730661199</v>
      </c>
      <c r="K249" s="2">
        <v>57.51000888927372</v>
      </c>
      <c r="L249" s="2">
        <v>7.4462630596248047</v>
      </c>
      <c r="M249" s="2">
        <v>18.846975098544196</v>
      </c>
      <c r="O249" s="6">
        <f t="shared" si="37"/>
        <v>1.1890619816896653E-3</v>
      </c>
      <c r="P249" s="6">
        <f t="shared" si="38"/>
        <v>1.1890619816896653E-3</v>
      </c>
      <c r="Q249" s="6">
        <f t="shared" si="39"/>
        <v>2.4333989733527073E-3</v>
      </c>
      <c r="R249" s="6">
        <f t="shared" si="40"/>
        <v>-7.8751966792467432E-4</v>
      </c>
      <c r="S249" s="6">
        <f t="shared" si="41"/>
        <v>-2.5545838243327124E-3</v>
      </c>
      <c r="T249" s="6">
        <f t="shared" si="42"/>
        <v>3.9471750148789564E-3</v>
      </c>
      <c r="U249" s="6">
        <f t="shared" si="43"/>
        <v>-2.2588632739755088E-3</v>
      </c>
      <c r="V249" s="6">
        <f t="shared" si="44"/>
        <v>-3.0938923623603509E-3</v>
      </c>
      <c r="W249" s="6">
        <f t="shared" si="45"/>
        <v>6.0592664348235736E-4</v>
      </c>
      <c r="X249" s="6">
        <f t="shared" si="46"/>
        <v>-2.5618716188190449E-3</v>
      </c>
      <c r="Y249" s="6">
        <f t="shared" si="47"/>
        <v>-1.0272576494707586E-4</v>
      </c>
      <c r="Z249" s="6">
        <f t="shared" si="48"/>
        <v>2.8574991546617134E-3</v>
      </c>
    </row>
    <row r="250" spans="1:26" x14ac:dyDescent="0.45">
      <c r="A250">
        <v>248</v>
      </c>
      <c r="B250" s="1">
        <v>979.05769020365847</v>
      </c>
      <c r="C250" s="1">
        <v>979.05769020365847</v>
      </c>
      <c r="D250" s="2">
        <v>45.226518028556463</v>
      </c>
      <c r="E250" s="2">
        <v>82.426790124697149</v>
      </c>
      <c r="F250" s="2">
        <v>22.486425206394099</v>
      </c>
      <c r="G250" s="2">
        <v>14.554825537167911</v>
      </c>
      <c r="H250" s="2">
        <v>76.032823587705479</v>
      </c>
      <c r="I250" s="2">
        <v>47.481238946816148</v>
      </c>
      <c r="J250" s="2">
        <v>128.69166779676391</v>
      </c>
      <c r="K250" s="2">
        <v>57.36267562970226</v>
      </c>
      <c r="L250" s="2">
        <v>7.445498136556008</v>
      </c>
      <c r="M250" s="2">
        <v>18.900830313956217</v>
      </c>
      <c r="O250" s="6">
        <f t="shared" si="37"/>
        <v>4.5302627033572129E-4</v>
      </c>
      <c r="P250" s="6">
        <f t="shared" si="38"/>
        <v>4.5302627033572129E-4</v>
      </c>
      <c r="Q250" s="6">
        <f t="shared" si="39"/>
        <v>5.8663245851635626E-3</v>
      </c>
      <c r="R250" s="6">
        <f t="shared" si="40"/>
        <v>-2.6702018002434658E-3</v>
      </c>
      <c r="S250" s="6">
        <f t="shared" si="41"/>
        <v>-4.0827671449628067E-4</v>
      </c>
      <c r="T250" s="6">
        <f t="shared" si="42"/>
        <v>-3.3527229785157431E-3</v>
      </c>
      <c r="U250" s="6">
        <f t="shared" si="43"/>
        <v>1.6724358039224008E-3</v>
      </c>
      <c r="V250" s="6">
        <f t="shared" si="44"/>
        <v>4.1822305199541443E-3</v>
      </c>
      <c r="W250" s="6">
        <f t="shared" si="45"/>
        <v>-4.8292358677715086E-4</v>
      </c>
      <c r="X250" s="6">
        <f t="shared" si="46"/>
        <v>-2.5937662854520482E-3</v>
      </c>
      <c r="Y250" s="6">
        <f t="shared" si="47"/>
        <v>1.4455815680420869E-3</v>
      </c>
      <c r="Z250" s="6">
        <f t="shared" si="48"/>
        <v>1.10636394896102E-3</v>
      </c>
    </row>
    <row r="251" spans="1:26" x14ac:dyDescent="0.45">
      <c r="A251">
        <v>249</v>
      </c>
      <c r="B251" s="1">
        <v>979.50122905749492</v>
      </c>
      <c r="C251" s="1">
        <v>979.50122905749492</v>
      </c>
      <c r="D251" s="2">
        <v>45.491831463168729</v>
      </c>
      <c r="E251" s="2">
        <v>82.206693961317896</v>
      </c>
      <c r="F251" s="2">
        <v>22.477244522590066</v>
      </c>
      <c r="G251" s="2">
        <v>14.50602723914116</v>
      </c>
      <c r="H251" s="2">
        <v>76.159983604146873</v>
      </c>
      <c r="I251" s="2">
        <v>47.679816433464758</v>
      </c>
      <c r="J251" s="2">
        <v>128.62951955496317</v>
      </c>
      <c r="K251" s="2">
        <v>57.213890255610615</v>
      </c>
      <c r="L251" s="2">
        <v>7.4562612114271047</v>
      </c>
      <c r="M251" s="2">
        <v>18.921741511221008</v>
      </c>
      <c r="O251" s="6">
        <f t="shared" si="37"/>
        <v>-3.3366521794431225E-4</v>
      </c>
      <c r="P251" s="6">
        <f t="shared" si="38"/>
        <v>-3.3366521794431225E-4</v>
      </c>
      <c r="Q251" s="6">
        <f t="shared" si="39"/>
        <v>7.4505166885296958E-4</v>
      </c>
      <c r="R251" s="6">
        <f t="shared" si="40"/>
        <v>3.3200459137503469E-3</v>
      </c>
      <c r="S251" s="6">
        <f t="shared" si="41"/>
        <v>4.9548723066175082E-3</v>
      </c>
      <c r="T251" s="6">
        <f t="shared" si="42"/>
        <v>8.7568603549637025E-4</v>
      </c>
      <c r="U251" s="6">
        <f t="shared" si="43"/>
        <v>-8.0607855092118541E-4</v>
      </c>
      <c r="V251" s="6">
        <f t="shared" si="44"/>
        <v>4.9221334784312898E-3</v>
      </c>
      <c r="W251" s="6">
        <f t="shared" si="45"/>
        <v>-4.8813769180642286E-3</v>
      </c>
      <c r="X251" s="6">
        <f t="shared" si="46"/>
        <v>-2.942042035440684E-3</v>
      </c>
      <c r="Y251" s="6">
        <f t="shared" si="47"/>
        <v>6.1744271877841594E-3</v>
      </c>
      <c r="Z251" s="6">
        <f t="shared" si="48"/>
        <v>1.7694034421580351E-3</v>
      </c>
    </row>
    <row r="252" spans="1:26" x14ac:dyDescent="0.45">
      <c r="A252">
        <v>250</v>
      </c>
      <c r="B252" s="1">
        <v>979.17440356642476</v>
      </c>
      <c r="C252" s="1">
        <v>979.17440356642476</v>
      </c>
      <c r="D252" s="2">
        <v>45.525725228119541</v>
      </c>
      <c r="E252" s="2">
        <v>82.479623959687089</v>
      </c>
      <c r="F252" s="2">
        <v>22.588616399004117</v>
      </c>
      <c r="G252" s="2">
        <v>14.518729964625006</v>
      </c>
      <c r="H252" s="2">
        <v>76.098592674925058</v>
      </c>
      <c r="I252" s="2">
        <v>47.914502854177371</v>
      </c>
      <c r="J252" s="2">
        <v>128.00163038722587</v>
      </c>
      <c r="K252" s="2">
        <v>57.045564585467517</v>
      </c>
      <c r="L252" s="2">
        <v>7.5022993533701605</v>
      </c>
      <c r="M252" s="2">
        <v>18.955221705782588</v>
      </c>
      <c r="O252" s="6">
        <f t="shared" si="37"/>
        <v>7.3148871430417373E-4</v>
      </c>
      <c r="P252" s="6">
        <f t="shared" si="38"/>
        <v>7.3148871430417373E-4</v>
      </c>
      <c r="Q252" s="6">
        <f t="shared" si="39"/>
        <v>4.6025033222980571E-3</v>
      </c>
      <c r="R252" s="6">
        <f t="shared" si="40"/>
        <v>1.6648603285911445E-3</v>
      </c>
      <c r="S252" s="6">
        <f t="shared" si="41"/>
        <v>5.630976475540006E-3</v>
      </c>
      <c r="T252" s="6">
        <f t="shared" si="42"/>
        <v>1.7243041759769095E-3</v>
      </c>
      <c r="U252" s="6">
        <f t="shared" si="43"/>
        <v>3.5293738154571486E-3</v>
      </c>
      <c r="V252" s="6">
        <f t="shared" si="44"/>
        <v>3.9797172711872886E-3</v>
      </c>
      <c r="W252" s="6">
        <f t="shared" si="45"/>
        <v>-4.0565073661846807E-3</v>
      </c>
      <c r="X252" s="6">
        <f t="shared" si="46"/>
        <v>9.7862429724890898E-3</v>
      </c>
      <c r="Y252" s="6">
        <f t="shared" si="47"/>
        <v>-1.2076957524640441E-3</v>
      </c>
      <c r="Z252" s="6">
        <f t="shared" si="48"/>
        <v>7.9269646365460744E-3</v>
      </c>
    </row>
    <row r="253" spans="1:26" x14ac:dyDescent="0.45">
      <c r="A253">
        <v>251</v>
      </c>
      <c r="B253" s="1">
        <v>979.8906585919691</v>
      </c>
      <c r="C253" s="1">
        <v>979.8906585919691</v>
      </c>
      <c r="D253" s="2">
        <v>45.735257529731989</v>
      </c>
      <c r="E253" s="2">
        <v>82.616941013534685</v>
      </c>
      <c r="F253" s="2">
        <v>22.715812366561906</v>
      </c>
      <c r="G253" s="2">
        <v>14.543764671332889</v>
      </c>
      <c r="H253" s="2">
        <v>76.367173055305074</v>
      </c>
      <c r="I253" s="2">
        <v>48.105189028726492</v>
      </c>
      <c r="J253" s="2">
        <v>127.48239083067644</v>
      </c>
      <c r="K253" s="2">
        <v>57.603826341003717</v>
      </c>
      <c r="L253" s="2">
        <v>7.4932388583073815</v>
      </c>
      <c r="M253" s="2">
        <v>19.105479077922215</v>
      </c>
      <c r="O253" s="6">
        <f t="shared" si="37"/>
        <v>-4.2296241599415474E-4</v>
      </c>
      <c r="P253" s="6">
        <f t="shared" si="38"/>
        <v>-4.2296241599415474E-4</v>
      </c>
      <c r="Q253" s="6">
        <f t="shared" si="39"/>
        <v>-4.8094860294312092E-4</v>
      </c>
      <c r="R253" s="6">
        <f t="shared" si="40"/>
        <v>1.8554456810091491E-3</v>
      </c>
      <c r="S253" s="6">
        <f t="shared" si="41"/>
        <v>-4.0665507508600429E-3</v>
      </c>
      <c r="T253" s="6">
        <f t="shared" si="42"/>
        <v>-2.3010773622409442E-3</v>
      </c>
      <c r="U253" s="6">
        <f t="shared" si="43"/>
        <v>9.1136173215078387E-4</v>
      </c>
      <c r="V253" s="6">
        <f t="shared" si="44"/>
        <v>-2.0114923643793636E-3</v>
      </c>
      <c r="W253" s="6">
        <f t="shared" si="45"/>
        <v>-6.6331122589549096E-3</v>
      </c>
      <c r="X253" s="6">
        <f t="shared" si="46"/>
        <v>1.5592675377473775E-3</v>
      </c>
      <c r="Y253" s="6">
        <f t="shared" si="47"/>
        <v>6.2691332667532684E-3</v>
      </c>
      <c r="Z253" s="6">
        <f t="shared" si="48"/>
        <v>3.4151850805286266E-4</v>
      </c>
    </row>
    <row r="254" spans="1:26" x14ac:dyDescent="0.45">
      <c r="A254">
        <v>252</v>
      </c>
      <c r="B254" s="1">
        <v>979.47620167160096</v>
      </c>
      <c r="C254" s="1">
        <v>979.47620167160096</v>
      </c>
      <c r="D254" s="2">
        <v>45.713261221517818</v>
      </c>
      <c r="E254" s="2">
        <v>82.77023225991644</v>
      </c>
      <c r="F254" s="2">
        <v>22.623437362726268</v>
      </c>
      <c r="G254" s="2">
        <v>14.510298343685925</v>
      </c>
      <c r="H254" s="2">
        <v>76.436771174420215</v>
      </c>
      <c r="I254" s="2">
        <v>48.008425808308182</v>
      </c>
      <c r="J254" s="2">
        <v>126.63678582125659</v>
      </c>
      <c r="K254" s="2">
        <v>57.693646117467281</v>
      </c>
      <c r="L254" s="2">
        <v>7.5402149713097248</v>
      </c>
      <c r="M254" s="2">
        <v>19.112003952632541</v>
      </c>
      <c r="O254" s="6">
        <f t="shared" si="37"/>
        <v>2.6217706243201189E-3</v>
      </c>
      <c r="P254" s="6">
        <f t="shared" si="38"/>
        <v>2.6217706243201189E-3</v>
      </c>
      <c r="Q254" s="6">
        <f t="shared" si="39"/>
        <v>2.1723341114432415E-4</v>
      </c>
      <c r="R254" s="6">
        <f t="shared" si="40"/>
        <v>8.5870456517762594E-3</v>
      </c>
      <c r="S254" s="6">
        <f t="shared" si="41"/>
        <v>5.7790107630892873E-3</v>
      </c>
      <c r="T254" s="6">
        <f t="shared" si="42"/>
        <v>3.6371986555043812E-3</v>
      </c>
      <c r="U254" s="6">
        <f t="shared" si="43"/>
        <v>6.903448652207933E-3</v>
      </c>
      <c r="V254" s="6">
        <f t="shared" si="44"/>
        <v>8.7048334906412173E-3</v>
      </c>
      <c r="W254" s="6">
        <f t="shared" si="45"/>
        <v>5.7641673116639591E-3</v>
      </c>
      <c r="X254" s="6">
        <f t="shared" si="46"/>
        <v>3.5706634313339425E-3</v>
      </c>
      <c r="Y254" s="6">
        <f t="shared" si="47"/>
        <v>-1.6252156952768493E-3</v>
      </c>
      <c r="Z254" s="6">
        <f t="shared" si="48"/>
        <v>4.9856451522845013E-4</v>
      </c>
    </row>
    <row r="255" spans="1:26" x14ac:dyDescent="0.45">
      <c r="A255">
        <v>253</v>
      </c>
      <c r="B255" s="1">
        <v>982.04416360436426</v>
      </c>
      <c r="C255" s="1">
        <v>982.04416360436426</v>
      </c>
      <c r="D255" s="2">
        <v>45.7231916691875</v>
      </c>
      <c r="E255" s="2">
        <v>83.480984022940461</v>
      </c>
      <c r="F255" s="2">
        <v>22.754178450743538</v>
      </c>
      <c r="G255" s="2">
        <v>14.563075181312547</v>
      </c>
      <c r="H255" s="2">
        <v>76.964448499363399</v>
      </c>
      <c r="I255" s="2">
        <v>48.426331161117304</v>
      </c>
      <c r="J255" s="2">
        <v>127.36674144254167</v>
      </c>
      <c r="K255" s="2">
        <v>57.899650709879246</v>
      </c>
      <c r="L255" s="2">
        <v>7.5279604955925912</v>
      </c>
      <c r="M255" s="2">
        <v>19.121532519618231</v>
      </c>
      <c r="O255" s="6">
        <f t="shared" si="37"/>
        <v>3.7371015665634832E-3</v>
      </c>
      <c r="P255" s="6">
        <f t="shared" si="38"/>
        <v>3.7371015665634832E-3</v>
      </c>
      <c r="Q255" s="6">
        <f t="shared" si="39"/>
        <v>7.4145326207910589E-3</v>
      </c>
      <c r="R255" s="6">
        <f t="shared" si="40"/>
        <v>1.0229078202066866E-2</v>
      </c>
      <c r="S255" s="6">
        <f t="shared" si="41"/>
        <v>-1.6947995175684571E-3</v>
      </c>
      <c r="T255" s="6">
        <f t="shared" si="42"/>
        <v>5.6782223842000157E-3</v>
      </c>
      <c r="U255" s="6">
        <f t="shared" si="43"/>
        <v>3.3575704691757302E-3</v>
      </c>
      <c r="V255" s="6">
        <f t="shared" si="44"/>
        <v>3.412018888027113E-3</v>
      </c>
      <c r="W255" s="6">
        <f t="shared" si="45"/>
        <v>7.5675080919352933E-3</v>
      </c>
      <c r="X255" s="6">
        <f t="shared" si="46"/>
        <v>9.9392508866169571E-4</v>
      </c>
      <c r="Y255" s="6">
        <f t="shared" si="47"/>
        <v>3.378035199487206E-3</v>
      </c>
      <c r="Z255" s="6">
        <f t="shared" si="48"/>
        <v>3.9899229618629573E-3</v>
      </c>
    </row>
    <row r="256" spans="1:26" x14ac:dyDescent="0.45">
      <c r="A256">
        <v>254</v>
      </c>
      <c r="B256" s="1">
        <v>985.7141623866047</v>
      </c>
      <c r="C256" s="1">
        <v>985.7141623866047</v>
      </c>
      <c r="D256" s="2">
        <v>46.06220776534537</v>
      </c>
      <c r="E256" s="2">
        <v>84.334917536896612</v>
      </c>
      <c r="F256" s="2">
        <v>22.715614680082552</v>
      </c>
      <c r="G256" s="2">
        <v>14.645767560789864</v>
      </c>
      <c r="H256" s="2">
        <v>77.222862058821264</v>
      </c>
      <c r="I256" s="2">
        <v>48.59156271771689</v>
      </c>
      <c r="J256" s="2">
        <v>128.33059028905154</v>
      </c>
      <c r="K256" s="2">
        <v>57.957198625344546</v>
      </c>
      <c r="L256" s="2">
        <v>7.5533902111270521</v>
      </c>
      <c r="M256" s="2">
        <v>19.197825961284266</v>
      </c>
      <c r="O256" s="6">
        <f t="shared" si="37"/>
        <v>-9.4528541868532656E-4</v>
      </c>
      <c r="P256" s="6">
        <f t="shared" si="38"/>
        <v>-9.4528541868532656E-4</v>
      </c>
      <c r="Q256" s="6">
        <f t="shared" si="39"/>
        <v>1.3721640976738225E-3</v>
      </c>
      <c r="R256" s="6">
        <f t="shared" si="40"/>
        <v>-1.0914638252964681E-2</v>
      </c>
      <c r="S256" s="6">
        <f t="shared" si="41"/>
        <v>-2.28232242788029E-3</v>
      </c>
      <c r="T256" s="6">
        <f t="shared" si="42"/>
        <v>4.8297212796630795E-3</v>
      </c>
      <c r="U256" s="6">
        <f t="shared" si="43"/>
        <v>-4.7314362466810422E-4</v>
      </c>
      <c r="V256" s="6">
        <f t="shared" si="44"/>
        <v>-3.3409991379892423E-3</v>
      </c>
      <c r="W256" s="6">
        <f t="shared" si="45"/>
        <v>-2.1316727414711911E-3</v>
      </c>
      <c r="X256" s="6">
        <f t="shared" si="46"/>
        <v>-5.4436043857145622E-3</v>
      </c>
      <c r="Y256" s="6">
        <f t="shared" si="47"/>
        <v>-4.8299276881980102E-3</v>
      </c>
      <c r="Z256" s="6">
        <f t="shared" si="48"/>
        <v>-2.886969044794796E-3</v>
      </c>
    </row>
    <row r="257" spans="1:26" x14ac:dyDescent="0.45">
      <c r="A257">
        <v>255</v>
      </c>
      <c r="B257" s="1">
        <v>984.78238116190903</v>
      </c>
      <c r="C257" s="1">
        <v>984.78238116190903</v>
      </c>
      <c r="D257" s="2">
        <v>46.12541267310057</v>
      </c>
      <c r="E257" s="2">
        <v>83.414432419887774</v>
      </c>
      <c r="F257" s="2">
        <v>22.663770323235113</v>
      </c>
      <c r="G257" s="2">
        <v>14.716502536035209</v>
      </c>
      <c r="H257" s="2">
        <v>77.186324553959508</v>
      </c>
      <c r="I257" s="2">
        <v>48.429218348563445</v>
      </c>
      <c r="J257" s="2">
        <v>128.05703146783546</v>
      </c>
      <c r="K257" s="2">
        <v>57.641702564723893</v>
      </c>
      <c r="L257" s="2">
        <v>7.5169078826065654</v>
      </c>
      <c r="M257" s="2">
        <v>19.14240243200668</v>
      </c>
      <c r="O257" s="6">
        <f t="shared" si="37"/>
        <v>-2.6241627509993037E-4</v>
      </c>
      <c r="P257" s="6">
        <f t="shared" si="38"/>
        <v>-2.6241627509993037E-4</v>
      </c>
      <c r="Q257" s="6">
        <f t="shared" si="39"/>
        <v>3.5488527776805778E-3</v>
      </c>
      <c r="R257" s="6">
        <f t="shared" si="40"/>
        <v>3.3100540514763299E-3</v>
      </c>
      <c r="S257" s="6">
        <f t="shared" si="41"/>
        <v>-1.1562752939412446E-3</v>
      </c>
      <c r="T257" s="6">
        <f t="shared" si="42"/>
        <v>8.5035289834300976E-4</v>
      </c>
      <c r="U257" s="6">
        <f t="shared" si="43"/>
        <v>-6.0842302300937456E-3</v>
      </c>
      <c r="V257" s="6">
        <f t="shared" si="44"/>
        <v>1.9018469831084683E-3</v>
      </c>
      <c r="W257" s="6">
        <f t="shared" si="45"/>
        <v>-2.6659097328857184E-3</v>
      </c>
      <c r="X257" s="6">
        <f t="shared" si="46"/>
        <v>3.0124155664177366E-3</v>
      </c>
      <c r="Y257" s="6">
        <f t="shared" si="47"/>
        <v>5.389189180583509E-3</v>
      </c>
      <c r="Z257" s="6">
        <f t="shared" si="48"/>
        <v>5.5832231537282784E-3</v>
      </c>
    </row>
    <row r="258" spans="1:26" x14ac:dyDescent="0.45">
      <c r="A258">
        <v>256</v>
      </c>
      <c r="B258" s="1">
        <v>984.52395823766051</v>
      </c>
      <c r="C258" s="1">
        <v>984.52395823766051</v>
      </c>
      <c r="D258" s="2">
        <v>46.289104971987165</v>
      </c>
      <c r="E258" s="2">
        <v>83.690538699870828</v>
      </c>
      <c r="F258" s="2">
        <v>22.637564765542798</v>
      </c>
      <c r="G258" s="2">
        <v>14.729016756620199</v>
      </c>
      <c r="H258" s="2">
        <v>76.716705184758482</v>
      </c>
      <c r="I258" s="2">
        <v>48.521323311373962</v>
      </c>
      <c r="J258" s="2">
        <v>127.71564298128091</v>
      </c>
      <c r="K258" s="2">
        <v>57.815343326804687</v>
      </c>
      <c r="L258" s="2">
        <v>7.5574179212389518</v>
      </c>
      <c r="M258" s="2">
        <v>19.249278736483046</v>
      </c>
      <c r="O258" s="6">
        <f t="shared" si="37"/>
        <v>3.9093729266179711E-3</v>
      </c>
      <c r="P258" s="6">
        <f t="shared" si="38"/>
        <v>3.9093729266179711E-3</v>
      </c>
      <c r="Q258" s="6">
        <f t="shared" si="39"/>
        <v>7.4129248743688425E-3</v>
      </c>
      <c r="R258" s="6">
        <f t="shared" si="40"/>
        <v>4.3282195518585809E-3</v>
      </c>
      <c r="S258" s="6">
        <f t="shared" si="41"/>
        <v>6.8631870600714961E-3</v>
      </c>
      <c r="T258" s="6">
        <f t="shared" si="42"/>
        <v>9.0699534624039124E-3</v>
      </c>
      <c r="U258" s="6">
        <f t="shared" si="43"/>
        <v>2.396925609941869E-3</v>
      </c>
      <c r="V258" s="6">
        <f t="shared" si="44"/>
        <v>7.770853670087341E-3</v>
      </c>
      <c r="W258" s="6">
        <f t="shared" si="45"/>
        <v>6.5861876619099924E-3</v>
      </c>
      <c r="X258" s="6">
        <f t="shared" si="46"/>
        <v>7.707364515141979E-3</v>
      </c>
      <c r="Y258" s="6">
        <f t="shared" si="47"/>
        <v>7.869092745238504E-4</v>
      </c>
      <c r="Z258" s="6">
        <f t="shared" si="48"/>
        <v>-2.0088534629029153E-3</v>
      </c>
    </row>
    <row r="259" spans="1:26" x14ac:dyDescent="0.45">
      <c r="A259">
        <v>257</v>
      </c>
      <c r="B259" s="1">
        <v>988.37282954560158</v>
      </c>
      <c r="C259" s="1">
        <v>988.37282954560158</v>
      </c>
      <c r="D259" s="2">
        <v>46.632242629646278</v>
      </c>
      <c r="E259" s="2">
        <v>84.052769725777182</v>
      </c>
      <c r="F259" s="2">
        <v>22.792930607113203</v>
      </c>
      <c r="G259" s="2">
        <v>14.862608253149711</v>
      </c>
      <c r="H259" s="2">
        <v>76.900589420126195</v>
      </c>
      <c r="I259" s="2">
        <v>48.898375414705647</v>
      </c>
      <c r="J259" s="2">
        <v>128.55680217331712</v>
      </c>
      <c r="K259" s="2">
        <v>58.260947252392455</v>
      </c>
      <c r="L259" s="2">
        <v>7.5633649234926272</v>
      </c>
      <c r="M259" s="2">
        <v>19.210609756234877</v>
      </c>
      <c r="O259" s="6">
        <f t="shared" si="37"/>
        <v>-2.8351256756816712E-3</v>
      </c>
      <c r="P259" s="6">
        <f t="shared" si="38"/>
        <v>-2.8351256756816712E-3</v>
      </c>
      <c r="Q259" s="6">
        <f t="shared" si="39"/>
        <v>-3.8823157076089965E-3</v>
      </c>
      <c r="R259" s="6">
        <f t="shared" si="40"/>
        <v>-4.0961150203894237E-3</v>
      </c>
      <c r="S259" s="6">
        <f t="shared" si="41"/>
        <v>-2.3477017241565479E-3</v>
      </c>
      <c r="T259" s="6">
        <f t="shared" si="42"/>
        <v>-4.8734801819348972E-3</v>
      </c>
      <c r="U259" s="6">
        <f t="shared" si="43"/>
        <v>-6.5627540684088936E-3</v>
      </c>
      <c r="V259" s="6">
        <f t="shared" si="44"/>
        <v>-8.4609377618808379E-3</v>
      </c>
      <c r="W259" s="6">
        <f t="shared" si="45"/>
        <v>4.5295701599967764E-4</v>
      </c>
      <c r="X259" s="6">
        <f t="shared" si="46"/>
        <v>-6.3703083915906955E-3</v>
      </c>
      <c r="Y259" s="6">
        <f t="shared" si="47"/>
        <v>-2.6542357731519362E-3</v>
      </c>
      <c r="Z259" s="6">
        <f t="shared" si="48"/>
        <v>-9.6292960642624381E-3</v>
      </c>
    </row>
    <row r="260" spans="1:26" x14ac:dyDescent="0.45">
      <c r="A260">
        <v>258</v>
      </c>
      <c r="B260" s="1">
        <v>985.57066835941066</v>
      </c>
      <c r="C260" s="1">
        <v>985.57066835941066</v>
      </c>
      <c r="D260" s="2">
        <v>46.451201541604171</v>
      </c>
      <c r="E260" s="2">
        <v>83.70847991319809</v>
      </c>
      <c r="F260" s="2">
        <v>22.739419604628303</v>
      </c>
      <c r="G260" s="2">
        <v>14.790175626376124</v>
      </c>
      <c r="H260" s="2">
        <v>76.395909764046223</v>
      </c>
      <c r="I260" s="2">
        <v>48.484649303664739</v>
      </c>
      <c r="J260" s="2">
        <v>128.61503287881601</v>
      </c>
      <c r="K260" s="2">
        <v>57.889807051208514</v>
      </c>
      <c r="L260" s="2">
        <v>7.5432899697472902</v>
      </c>
      <c r="M260" s="2">
        <v>19.025625107317083</v>
      </c>
      <c r="O260" s="6">
        <f t="shared" ref="O260:O301" si="49">B261/B260-1</f>
        <v>6.4595605970962922E-4</v>
      </c>
      <c r="P260" s="6">
        <f t="shared" si="38"/>
        <v>6.4595605970962922E-4</v>
      </c>
      <c r="Q260" s="6">
        <f t="shared" si="39"/>
        <v>-5.821804017636989E-3</v>
      </c>
      <c r="R260" s="6">
        <f t="shared" si="40"/>
        <v>-5.4624631081930941E-3</v>
      </c>
      <c r="S260" s="6">
        <f t="shared" si="41"/>
        <v>-2.2283801511258083E-3</v>
      </c>
      <c r="T260" s="6">
        <f t="shared" si="42"/>
        <v>-2.9199673127049408E-3</v>
      </c>
      <c r="U260" s="6">
        <f t="shared" si="43"/>
        <v>5.2335093729296567E-3</v>
      </c>
      <c r="V260" s="6">
        <f t="shared" si="44"/>
        <v>7.6705827108300983E-3</v>
      </c>
      <c r="W260" s="6">
        <f t="shared" si="45"/>
        <v>-1.3797753991517947E-3</v>
      </c>
      <c r="X260" s="6">
        <f t="shared" si="46"/>
        <v>3.3225347017453721E-3</v>
      </c>
      <c r="Y260" s="6">
        <f t="shared" si="47"/>
        <v>5.9967840942465322E-3</v>
      </c>
      <c r="Z260" s="6">
        <f t="shared" si="48"/>
        <v>9.8250093447309617E-3</v>
      </c>
    </row>
    <row r="261" spans="1:26" x14ac:dyDescent="0.45">
      <c r="A261">
        <v>259</v>
      </c>
      <c r="B261" s="1">
        <v>986.20730370490946</v>
      </c>
      <c r="C261" s="1">
        <v>986.20730370490946</v>
      </c>
      <c r="D261" s="2">
        <v>46.180771749845192</v>
      </c>
      <c r="E261" s="2">
        <v>83.251225429829319</v>
      </c>
      <c r="F261" s="2">
        <v>22.688747533333228</v>
      </c>
      <c r="G261" s="2">
        <v>14.74698879699794</v>
      </c>
      <c r="H261" s="2">
        <v>76.795728473849849</v>
      </c>
      <c r="I261" s="2">
        <v>48.856554816354091</v>
      </c>
      <c r="J261" s="2">
        <v>128.43757302048871</v>
      </c>
      <c r="K261" s="2">
        <v>58.082147944013499</v>
      </c>
      <c r="L261" s="2">
        <v>7.5885254510561602</v>
      </c>
      <c r="M261" s="2">
        <v>19.212552051785821</v>
      </c>
      <c r="O261" s="6">
        <f t="shared" si="49"/>
        <v>-7.0891094829050871E-5</v>
      </c>
      <c r="P261" s="6">
        <f t="shared" si="38"/>
        <v>-7.0891094829050871E-5</v>
      </c>
      <c r="Q261" s="6">
        <f t="shared" si="39"/>
        <v>2.4148094734355308E-3</v>
      </c>
      <c r="R261" s="6">
        <f t="shared" si="40"/>
        <v>-6.2345417654018354E-3</v>
      </c>
      <c r="S261" s="6">
        <f t="shared" si="41"/>
        <v>3.2415405109653683E-4</v>
      </c>
      <c r="T261" s="6">
        <f t="shared" si="42"/>
        <v>-8.1675918843004958E-5</v>
      </c>
      <c r="U261" s="6">
        <f t="shared" si="43"/>
        <v>-3.9519086729736808E-3</v>
      </c>
      <c r="V261" s="6">
        <f t="shared" si="44"/>
        <v>-2.591974084811266E-4</v>
      </c>
      <c r="W261" s="6">
        <f t="shared" si="45"/>
        <v>-7.1251601688087085E-3</v>
      </c>
      <c r="X261" s="6">
        <f t="shared" si="46"/>
        <v>-4.0511008560497608E-3</v>
      </c>
      <c r="Y261" s="6">
        <f t="shared" si="47"/>
        <v>-4.3424453471313518E-3</v>
      </c>
      <c r="Z261" s="6">
        <f t="shared" si="48"/>
        <v>1.7604420016088529E-3</v>
      </c>
    </row>
    <row r="262" spans="1:26" x14ac:dyDescent="0.45">
      <c r="A262">
        <v>260</v>
      </c>
      <c r="B262" s="1">
        <v>986.1373903894214</v>
      </c>
      <c r="C262" s="1">
        <v>986.1373903894214</v>
      </c>
      <c r="D262" s="2">
        <v>46.292289514957282</v>
      </c>
      <c r="E262" s="2">
        <v>82.732192187866161</v>
      </c>
      <c r="F262" s="2">
        <v>22.696102182760463</v>
      </c>
      <c r="G262" s="2">
        <v>14.745784323137777</v>
      </c>
      <c r="H262" s="2">
        <v>76.492238768446711</v>
      </c>
      <c r="I262" s="2">
        <v>48.843891323958374</v>
      </c>
      <c r="J262" s="2">
        <v>127.52243474102467</v>
      </c>
      <c r="K262" s="2">
        <v>57.846851304756299</v>
      </c>
      <c r="L262" s="2">
        <v>7.5555726940196335</v>
      </c>
      <c r="M262" s="2">
        <v>19.246374635375879</v>
      </c>
      <c r="O262" s="6">
        <f t="shared" si="49"/>
        <v>-1.9193397929416767E-3</v>
      </c>
      <c r="P262" s="6">
        <f t="shared" si="38"/>
        <v>-1.9193397929416767E-3</v>
      </c>
      <c r="Q262" s="6">
        <f t="shared" si="39"/>
        <v>-6.3500802382692179E-3</v>
      </c>
      <c r="R262" s="6">
        <f t="shared" si="40"/>
        <v>-6.3187975206412395E-3</v>
      </c>
      <c r="S262" s="6">
        <f t="shared" si="41"/>
        <v>-2.093931731216081E-3</v>
      </c>
      <c r="T262" s="6">
        <f t="shared" si="42"/>
        <v>-4.6694377646612217E-3</v>
      </c>
      <c r="U262" s="6">
        <f t="shared" si="43"/>
        <v>-8.1576785930314033E-3</v>
      </c>
      <c r="V262" s="6">
        <f t="shared" si="44"/>
        <v>-6.1584100144590481E-3</v>
      </c>
      <c r="W262" s="6">
        <f t="shared" si="45"/>
        <v>1.9526920983425899E-3</v>
      </c>
      <c r="X262" s="6">
        <f t="shared" si="46"/>
        <v>4.5725311389466228E-4</v>
      </c>
      <c r="Y262" s="6">
        <f t="shared" si="47"/>
        <v>3.6975700068051509E-3</v>
      </c>
      <c r="Z262" s="6">
        <f t="shared" si="48"/>
        <v>-1.7088955211572721E-3</v>
      </c>
    </row>
    <row r="263" spans="1:26" x14ac:dyDescent="0.45">
      <c r="A263">
        <v>261</v>
      </c>
      <c r="B263" s="1">
        <v>984.24465765473929</v>
      </c>
      <c r="C263" s="1">
        <v>984.24465765473929</v>
      </c>
      <c r="D263" s="2">
        <v>45.998329762124115</v>
      </c>
      <c r="E263" s="2">
        <v>82.209424216992261</v>
      </c>
      <c r="F263" s="2">
        <v>22.648578094225059</v>
      </c>
      <c r="G263" s="2">
        <v>14.676929800949768</v>
      </c>
      <c r="H263" s="2">
        <v>75.86823966971231</v>
      </c>
      <c r="I263" s="2">
        <v>48.543090614483759</v>
      </c>
      <c r="J263" s="2">
        <v>127.77144679170488</v>
      </c>
      <c r="K263" s="2">
        <v>57.873301957644401</v>
      </c>
      <c r="L263" s="2">
        <v>7.5835099529972769</v>
      </c>
      <c r="M263" s="2">
        <v>19.21348459196297</v>
      </c>
      <c r="O263" s="6">
        <f t="shared" si="49"/>
        <v>-9.160993662542527E-4</v>
      </c>
      <c r="P263" s="6">
        <f t="shared" si="38"/>
        <v>-9.160993662542527E-4</v>
      </c>
      <c r="Q263" s="6">
        <f t="shared" si="39"/>
        <v>-5.4993731527095413E-3</v>
      </c>
      <c r="R263" s="6">
        <f t="shared" si="40"/>
        <v>-6.6516145859797371E-3</v>
      </c>
      <c r="S263" s="6">
        <f t="shared" si="41"/>
        <v>5.1950181619377922E-3</v>
      </c>
      <c r="T263" s="6">
        <f t="shared" si="42"/>
        <v>-1.0080959808304035E-3</v>
      </c>
      <c r="U263" s="6">
        <f t="shared" si="43"/>
        <v>-4.6109873834303539E-3</v>
      </c>
      <c r="V263" s="6">
        <f t="shared" si="44"/>
        <v>-4.9169307668373019E-3</v>
      </c>
      <c r="W263" s="6">
        <f t="shared" si="45"/>
        <v>3.3729268914981514E-3</v>
      </c>
      <c r="X263" s="6">
        <f t="shared" si="46"/>
        <v>-2.1292865772657432E-3</v>
      </c>
      <c r="Y263" s="6">
        <f t="shared" si="47"/>
        <v>1.6270780301241849E-4</v>
      </c>
      <c r="Z263" s="6">
        <f t="shared" si="48"/>
        <v>-1.5987972491028346E-3</v>
      </c>
    </row>
    <row r="264" spans="1:26" x14ac:dyDescent="0.45">
      <c r="A264">
        <v>262</v>
      </c>
      <c r="B264" s="1">
        <v>983.34299174762259</v>
      </c>
      <c r="C264" s="1">
        <v>983.34299174762259</v>
      </c>
      <c r="D264" s="2">
        <v>45.745367782360809</v>
      </c>
      <c r="E264" s="2">
        <v>81.66259881176552</v>
      </c>
      <c r="F264" s="2">
        <v>22.766237868766623</v>
      </c>
      <c r="G264" s="2">
        <v>14.6621340470065</v>
      </c>
      <c r="H264" s="2">
        <v>75.5184121737922</v>
      </c>
      <c r="I264" s="2">
        <v>48.304407598724033</v>
      </c>
      <c r="J264" s="2">
        <v>128.20241054055424</v>
      </c>
      <c r="K264" s="2">
        <v>57.750073112603943</v>
      </c>
      <c r="L264" s="2">
        <v>7.5847438492408523</v>
      </c>
      <c r="M264" s="2">
        <v>19.182766125651661</v>
      </c>
      <c r="O264" s="6">
        <f t="shared" si="49"/>
        <v>3.9278522748120714E-4</v>
      </c>
      <c r="P264" s="6">
        <f t="shared" si="38"/>
        <v>3.9278522748120714E-4</v>
      </c>
      <c r="Q264" s="6">
        <f t="shared" si="39"/>
        <v>1.9971058695498201E-3</v>
      </c>
      <c r="R264" s="6">
        <f t="shared" si="40"/>
        <v>2.8870436144681211E-3</v>
      </c>
      <c r="S264" s="6">
        <f t="shared" si="41"/>
        <v>-1.1085363464733433E-3</v>
      </c>
      <c r="T264" s="6">
        <f t="shared" si="42"/>
        <v>-1.3840302949184036E-3</v>
      </c>
      <c r="U264" s="6">
        <f t="shared" si="43"/>
        <v>5.4167043894377542E-3</v>
      </c>
      <c r="V264" s="6">
        <f t="shared" si="44"/>
        <v>3.5646239280473502E-3</v>
      </c>
      <c r="W264" s="6">
        <f t="shared" si="45"/>
        <v>5.0484226679057276E-3</v>
      </c>
      <c r="X264" s="6">
        <f t="shared" si="46"/>
        <v>3.6232751617941705E-3</v>
      </c>
      <c r="Y264" s="6">
        <f t="shared" si="47"/>
        <v>-4.3893305097661983E-3</v>
      </c>
      <c r="Z264" s="6">
        <f t="shared" si="48"/>
        <v>-5.5078125262599809E-3</v>
      </c>
    </row>
    <row r="265" spans="1:26" x14ac:dyDescent="0.45">
      <c r="A265">
        <v>263</v>
      </c>
      <c r="B265" s="1">
        <v>983.72923434832819</v>
      </c>
      <c r="C265" s="1">
        <v>983.72923434832819</v>
      </c>
      <c r="D265" s="2">
        <v>45.836726124863674</v>
      </c>
      <c r="E265" s="2">
        <v>81.898362296205903</v>
      </c>
      <c r="F265" s="2">
        <v>22.741000666616639</v>
      </c>
      <c r="G265" s="2">
        <v>14.641841209297288</v>
      </c>
      <c r="H265" s="2">
        <v>75.927473088497351</v>
      </c>
      <c r="I265" s="2">
        <v>48.476594645880596</v>
      </c>
      <c r="J265" s="2">
        <v>128.84963049600734</v>
      </c>
      <c r="K265" s="2">
        <v>57.95931751810464</v>
      </c>
      <c r="L265" s="2">
        <v>7.5514519016546178</v>
      </c>
      <c r="M265" s="2">
        <v>19.07711104609648</v>
      </c>
      <c r="O265" s="6">
        <f t="shared" si="49"/>
        <v>-1.0769902938108089E-3</v>
      </c>
      <c r="P265" s="6">
        <f t="shared" si="38"/>
        <v>-1.0769902938108089E-3</v>
      </c>
      <c r="Q265" s="6">
        <f t="shared" si="39"/>
        <v>-1.7438019297759677E-3</v>
      </c>
      <c r="R265" s="6">
        <f t="shared" si="40"/>
        <v>-5.6602167446005991E-3</v>
      </c>
      <c r="S265" s="6">
        <f t="shared" si="41"/>
        <v>-2.0300927475525032E-3</v>
      </c>
      <c r="T265" s="6">
        <f t="shared" si="42"/>
        <v>-2.3834239043968308E-3</v>
      </c>
      <c r="U265" s="6">
        <f t="shared" si="43"/>
        <v>2.928357117516045E-3</v>
      </c>
      <c r="V265" s="6">
        <f t="shared" si="44"/>
        <v>3.2208173629999504E-3</v>
      </c>
      <c r="W265" s="6">
        <f t="shared" si="45"/>
        <v>-2.3574062307045729E-3</v>
      </c>
      <c r="X265" s="6">
        <f t="shared" si="46"/>
        <v>-3.3739595862121163E-3</v>
      </c>
      <c r="Y265" s="6">
        <f t="shared" si="47"/>
        <v>-4.483393370000921E-3</v>
      </c>
      <c r="Z265" s="6">
        <f t="shared" si="48"/>
        <v>-2.5857112077641853E-3</v>
      </c>
    </row>
    <row r="266" spans="1:26" x14ac:dyDescent="0.45">
      <c r="A266">
        <v>264</v>
      </c>
      <c r="B266" s="1">
        <v>982.66976751119705</v>
      </c>
      <c r="C266" s="1">
        <v>982.66976751119705</v>
      </c>
      <c r="D266" s="2">
        <v>45.756795953392526</v>
      </c>
      <c r="E266" s="2">
        <v>81.434799814581552</v>
      </c>
      <c r="F266" s="2">
        <v>22.694834326091254</v>
      </c>
      <c r="G266" s="2">
        <v>14.606943494954667</v>
      </c>
      <c r="H266" s="2">
        <v>76.149815844731066</v>
      </c>
      <c r="I266" s="2">
        <v>48.63272890361516</v>
      </c>
      <c r="J266" s="2">
        <v>128.54587957425207</v>
      </c>
      <c r="K266" s="2">
        <v>57.763765123154123</v>
      </c>
      <c r="L266" s="2">
        <v>7.5175957722648583</v>
      </c>
      <c r="M266" s="2">
        <v>19.027783146252826</v>
      </c>
      <c r="O266" s="6">
        <f t="shared" si="49"/>
        <v>-2.316428724917996E-3</v>
      </c>
      <c r="P266" s="6">
        <f t="shared" si="38"/>
        <v>-2.316428724917996E-3</v>
      </c>
      <c r="Q266" s="6">
        <f t="shared" si="39"/>
        <v>-2.5294902543824271E-3</v>
      </c>
      <c r="R266" s="6">
        <f t="shared" si="40"/>
        <v>-6.8797140913287036E-3</v>
      </c>
      <c r="S266" s="6">
        <f t="shared" si="41"/>
        <v>-5.1860228853073398E-3</v>
      </c>
      <c r="T266" s="6">
        <f t="shared" si="42"/>
        <v>-3.1027049219618519E-3</v>
      </c>
      <c r="U266" s="6">
        <f t="shared" si="43"/>
        <v>3.531113085544213E-3</v>
      </c>
      <c r="V266" s="6">
        <f t="shared" si="44"/>
        <v>1.3107799023632793E-3</v>
      </c>
      <c r="W266" s="6">
        <f t="shared" si="45"/>
        <v>-3.5171126770709993E-3</v>
      </c>
      <c r="X266" s="6">
        <f t="shared" si="46"/>
        <v>-1.0994183314801176E-2</v>
      </c>
      <c r="Y266" s="6">
        <f t="shared" si="47"/>
        <v>-4.6636071955159508E-3</v>
      </c>
      <c r="Z266" s="6">
        <f t="shared" si="48"/>
        <v>-1.7965512322958288E-3</v>
      </c>
    </row>
    <row r="267" spans="1:26" x14ac:dyDescent="0.45">
      <c r="A267">
        <v>265</v>
      </c>
      <c r="B267" s="1">
        <v>980.39348303462566</v>
      </c>
      <c r="C267" s="1">
        <v>980.39348303462566</v>
      </c>
      <c r="D267" s="2">
        <v>45.641054583956652</v>
      </c>
      <c r="E267" s="2">
        <v>80.874551674772647</v>
      </c>
      <c r="F267" s="2">
        <v>22.577138395897887</v>
      </c>
      <c r="G267" s="2">
        <v>14.561622459478052</v>
      </c>
      <c r="H267" s="2">
        <v>76.418709455922183</v>
      </c>
      <c r="I267" s="2">
        <v>48.696475707259097</v>
      </c>
      <c r="J267" s="2">
        <v>128.09376923161622</v>
      </c>
      <c r="K267" s="2">
        <v>57.128699700437046</v>
      </c>
      <c r="L267" s="2">
        <v>7.4825366585283435</v>
      </c>
      <c r="M267" s="2">
        <v>18.993598758993567</v>
      </c>
      <c r="O267" s="6">
        <f t="shared" si="49"/>
        <v>-2.0356826179680487E-3</v>
      </c>
      <c r="P267" s="6">
        <f t="shared" si="38"/>
        <v>-2.0356826179680487E-3</v>
      </c>
      <c r="Q267" s="6">
        <f t="shared" si="39"/>
        <v>-6.5948049901359829E-3</v>
      </c>
      <c r="R267" s="6">
        <f t="shared" si="40"/>
        <v>-3.642769255738032E-3</v>
      </c>
      <c r="S267" s="6">
        <f t="shared" si="41"/>
        <v>-2.844095766649235E-3</v>
      </c>
      <c r="T267" s="6">
        <f t="shared" si="42"/>
        <v>3.1017416080358906E-3</v>
      </c>
      <c r="U267" s="6">
        <f t="shared" si="43"/>
        <v>-4.9920024816081376E-3</v>
      </c>
      <c r="V267" s="6">
        <f t="shared" si="44"/>
        <v>-3.6492818513902403E-3</v>
      </c>
      <c r="W267" s="6">
        <f t="shared" si="45"/>
        <v>-4.1420946044654627E-3</v>
      </c>
      <c r="X267" s="6">
        <f t="shared" si="46"/>
        <v>2.4225366151104932E-3</v>
      </c>
      <c r="Y267" s="6">
        <f t="shared" si="47"/>
        <v>5.7649719542669509E-3</v>
      </c>
      <c r="Z267" s="6">
        <f t="shared" si="48"/>
        <v>-5.7462187197111492E-3</v>
      </c>
    </row>
    <row r="268" spans="1:26" x14ac:dyDescent="0.45">
      <c r="A268">
        <v>266</v>
      </c>
      <c r="B268" s="1">
        <v>978.3977130624429</v>
      </c>
      <c r="C268" s="1">
        <v>978.3977130624429</v>
      </c>
      <c r="D268" s="2">
        <v>45.340060729431308</v>
      </c>
      <c r="E268" s="2">
        <v>80.579944344360186</v>
      </c>
      <c r="F268" s="2">
        <v>22.512926852163059</v>
      </c>
      <c r="G268" s="2">
        <v>14.606788849741125</v>
      </c>
      <c r="H268" s="2">
        <v>76.037227068676927</v>
      </c>
      <c r="I268" s="2">
        <v>48.518768542233929</v>
      </c>
      <c r="J268" s="2">
        <v>127.5631927212163</v>
      </c>
      <c r="K268" s="2">
        <v>57.267096067235009</v>
      </c>
      <c r="L268" s="2">
        <v>7.5256732725115336</v>
      </c>
      <c r="M268" s="2">
        <v>18.884457386249956</v>
      </c>
      <c r="O268" s="6">
        <f t="shared" si="49"/>
        <v>-4.8166018635795727E-3</v>
      </c>
      <c r="P268" s="6">
        <f t="shared" si="38"/>
        <v>-4.8166018635795727E-3</v>
      </c>
      <c r="Q268" s="6">
        <f t="shared" si="39"/>
        <v>-2.3376304831079775E-4</v>
      </c>
      <c r="R268" s="6">
        <f t="shared" si="40"/>
        <v>-1.1181332313619397E-2</v>
      </c>
      <c r="S268" s="6">
        <f t="shared" si="41"/>
        <v>-4.6921366541674558E-3</v>
      </c>
      <c r="T268" s="6">
        <f t="shared" si="42"/>
        <v>-6.2243782065228848E-3</v>
      </c>
      <c r="U268" s="6">
        <f t="shared" si="43"/>
        <v>-8.217922405484912E-3</v>
      </c>
      <c r="V268" s="6">
        <f t="shared" si="44"/>
        <v>-4.2869171630278702E-3</v>
      </c>
      <c r="W268" s="6">
        <f t="shared" si="45"/>
        <v>-3.6653742618263374E-3</v>
      </c>
      <c r="X268" s="6">
        <f t="shared" si="46"/>
        <v>-3.0503641406141035E-3</v>
      </c>
      <c r="Y268" s="6">
        <f t="shared" si="47"/>
        <v>-8.7490895646772371E-3</v>
      </c>
      <c r="Z268" s="6">
        <f t="shared" si="48"/>
        <v>-8.3359796412526554E-3</v>
      </c>
    </row>
    <row r="269" spans="1:26" x14ac:dyDescent="0.45">
      <c r="A269">
        <v>267</v>
      </c>
      <c r="B269" s="1">
        <v>973.6851608143844</v>
      </c>
      <c r="C269" s="1">
        <v>973.6851608143844</v>
      </c>
      <c r="D269" s="2">
        <v>45.329461898624601</v>
      </c>
      <c r="E269" s="2">
        <v>79.678953208832937</v>
      </c>
      <c r="F269" s="2">
        <v>22.407293122887435</v>
      </c>
      <c r="G269" s="2">
        <v>14.515870671557515</v>
      </c>
      <c r="H269" s="2">
        <v>75.412359036698305</v>
      </c>
      <c r="I269" s="2">
        <v>48.310772600641251</v>
      </c>
      <c r="J269" s="2">
        <v>127.09562587785956</v>
      </c>
      <c r="K269" s="2">
        <v>57.092410570954414</v>
      </c>
      <c r="L269" s="2">
        <v>7.4598304830158328</v>
      </c>
      <c r="M269" s="2">
        <v>18.727036933942074</v>
      </c>
      <c r="O269" s="6">
        <f t="shared" si="49"/>
        <v>1.6885721181567614E-3</v>
      </c>
      <c r="P269" s="6">
        <f t="shared" si="38"/>
        <v>1.6885721181567614E-3</v>
      </c>
      <c r="Q269" s="6">
        <f t="shared" si="39"/>
        <v>-9.9579085491885433E-4</v>
      </c>
      <c r="R269" s="6">
        <f t="shared" si="40"/>
        <v>6.8530915674012149E-3</v>
      </c>
      <c r="S269" s="6">
        <f t="shared" si="41"/>
        <v>-9.2116904966188518E-4</v>
      </c>
      <c r="T269" s="6">
        <f t="shared" si="42"/>
        <v>4.498589002054576E-3</v>
      </c>
      <c r="U269" s="6">
        <f t="shared" si="43"/>
        <v>-4.3495294724716915E-3</v>
      </c>
      <c r="V269" s="6">
        <f t="shared" si="44"/>
        <v>2.9172899162541732E-3</v>
      </c>
      <c r="W269" s="6">
        <f t="shared" si="45"/>
        <v>8.347690123531315E-3</v>
      </c>
      <c r="X269" s="6">
        <f t="shared" si="46"/>
        <v>1.1234219960187808E-4</v>
      </c>
      <c r="Y269" s="6">
        <f t="shared" si="47"/>
        <v>-2.7175499557854366E-3</v>
      </c>
      <c r="Z269" s="6">
        <f t="shared" si="48"/>
        <v>5.707489054048942E-3</v>
      </c>
    </row>
    <row r="270" spans="1:26" x14ac:dyDescent="0.45">
      <c r="A270">
        <v>268</v>
      </c>
      <c r="B270" s="1">
        <v>975.32929842879855</v>
      </c>
      <c r="C270" s="1">
        <v>975.32929842879855</v>
      </c>
      <c r="D270" s="2">
        <v>45.284323235007555</v>
      </c>
      <c r="E270" s="2">
        <v>80.225000371167752</v>
      </c>
      <c r="F270" s="2">
        <v>22.386652217975929</v>
      </c>
      <c r="G270" s="2">
        <v>14.581171607715831</v>
      </c>
      <c r="H270" s="2">
        <v>75.084350758479573</v>
      </c>
      <c r="I270" s="2">
        <v>48.45170913039555</v>
      </c>
      <c r="J270" s="2">
        <v>128.1565807787442</v>
      </c>
      <c r="K270" s="2">
        <v>57.098824457938527</v>
      </c>
      <c r="L270" s="2">
        <v>7.4395580210165466</v>
      </c>
      <c r="M270" s="2">
        <v>18.833921292257319</v>
      </c>
      <c r="O270" s="6">
        <f t="shared" si="49"/>
        <v>2.1420778627017079E-3</v>
      </c>
      <c r="P270" s="6">
        <f t="shared" si="38"/>
        <v>2.1420778627017079E-3</v>
      </c>
      <c r="Q270" s="6">
        <f t="shared" si="39"/>
        <v>1.1834293146414598E-2</v>
      </c>
      <c r="R270" s="6">
        <f t="shared" si="40"/>
        <v>-7.8842108532639621E-4</v>
      </c>
      <c r="S270" s="6">
        <f t="shared" si="41"/>
        <v>5.4823960912830927E-4</v>
      </c>
      <c r="T270" s="6">
        <f t="shared" si="42"/>
        <v>2.1743261603588415E-3</v>
      </c>
      <c r="U270" s="6">
        <f t="shared" si="43"/>
        <v>2.7235349995586855E-3</v>
      </c>
      <c r="V270" s="6">
        <f t="shared" si="44"/>
        <v>4.679238818039444E-4</v>
      </c>
      <c r="W270" s="6">
        <f t="shared" si="45"/>
        <v>-2.0866099680402206E-3</v>
      </c>
      <c r="X270" s="6">
        <f t="shared" si="46"/>
        <v>6.3923008370199152E-3</v>
      </c>
      <c r="Y270" s="6">
        <f t="shared" si="47"/>
        <v>9.1707988338085578E-4</v>
      </c>
      <c r="Z270" s="6">
        <f t="shared" si="48"/>
        <v>1.8076618403641831E-3</v>
      </c>
    </row>
    <row r="271" spans="1:26" x14ac:dyDescent="0.45">
      <c r="A271">
        <v>269</v>
      </c>
      <c r="B271" s="1">
        <v>977.41852972780725</v>
      </c>
      <c r="C271" s="1">
        <v>977.41852972780725</v>
      </c>
      <c r="D271" s="2">
        <v>45.820231191107631</v>
      </c>
      <c r="E271" s="2">
        <v>80.161749289304808</v>
      </c>
      <c r="F271" s="2">
        <v>22.398925467437603</v>
      </c>
      <c r="G271" s="2">
        <v>14.612875830591168</v>
      </c>
      <c r="H271" s="2">
        <v>75.288845615689439</v>
      </c>
      <c r="I271" s="2">
        <v>48.474380842211879</v>
      </c>
      <c r="J271" s="2">
        <v>127.88916797982132</v>
      </c>
      <c r="K271" s="2">
        <v>57.463817321313861</v>
      </c>
      <c r="L271" s="2">
        <v>7.4463806900188656</v>
      </c>
      <c r="M271" s="2">
        <v>18.867966653081755</v>
      </c>
      <c r="O271" s="6">
        <f t="shared" si="49"/>
        <v>2.564628190851348E-3</v>
      </c>
      <c r="P271" s="6">
        <f t="shared" si="38"/>
        <v>2.564628190851348E-3</v>
      </c>
      <c r="Q271" s="6">
        <f t="shared" si="39"/>
        <v>5.1389025443115965E-3</v>
      </c>
      <c r="R271" s="6">
        <f t="shared" si="40"/>
        <v>1.0814902159208328E-2</v>
      </c>
      <c r="S271" s="6">
        <f t="shared" si="41"/>
        <v>2.6104917971743191E-3</v>
      </c>
      <c r="T271" s="6">
        <f t="shared" si="42"/>
        <v>3.8537777315050814E-3</v>
      </c>
      <c r="U271" s="6">
        <f t="shared" si="43"/>
        <v>4.255769204799531E-4</v>
      </c>
      <c r="V271" s="6">
        <f t="shared" si="44"/>
        <v>1.6104441128350633E-3</v>
      </c>
      <c r="W271" s="6">
        <f t="shared" si="45"/>
        <v>2.5427713430659082E-4</v>
      </c>
      <c r="X271" s="6">
        <f t="shared" si="46"/>
        <v>1.0064990475695756E-2</v>
      </c>
      <c r="Y271" s="6">
        <f t="shared" si="47"/>
        <v>4.0247020916441834E-3</v>
      </c>
      <c r="Z271" s="6">
        <f t="shared" si="48"/>
        <v>1.2630203514074623E-4</v>
      </c>
    </row>
    <row r="272" spans="1:26" x14ac:dyDescent="0.45">
      <c r="A272">
        <v>270</v>
      </c>
      <c r="B272" s="1">
        <v>979.92524484340765</v>
      </c>
      <c r="C272" s="1">
        <v>979.92524484340765</v>
      </c>
      <c r="D272" s="2">
        <v>46.055696893756561</v>
      </c>
      <c r="E272" s="2">
        <v>81.028690764779626</v>
      </c>
      <c r="F272" s="2">
        <v>22.457397678635868</v>
      </c>
      <c r="G272" s="2">
        <v>14.669190606060349</v>
      </c>
      <c r="H272" s="2">
        <v>75.320886810753052</v>
      </c>
      <c r="I272" s="2">
        <v>48.552446123462545</v>
      </c>
      <c r="J272" s="2">
        <v>127.92168727096409</v>
      </c>
      <c r="K272" s="2">
        <v>58.042190095350009</v>
      </c>
      <c r="L272" s="2">
        <v>7.4763501539571635</v>
      </c>
      <c r="M272" s="2">
        <v>18.870349715669008</v>
      </c>
      <c r="O272" s="6">
        <f t="shared" si="49"/>
        <v>2.27403068380716E-3</v>
      </c>
      <c r="P272" s="6">
        <f t="shared" si="38"/>
        <v>2.27403068380716E-3</v>
      </c>
      <c r="Q272" s="6">
        <f t="shared" si="39"/>
        <v>-2.238535764981342E-3</v>
      </c>
      <c r="R272" s="6">
        <f t="shared" si="40"/>
        <v>4.3873398795739593E-3</v>
      </c>
      <c r="S272" s="6">
        <f t="shared" si="41"/>
        <v>1.3585917339746789E-3</v>
      </c>
      <c r="T272" s="6">
        <f t="shared" si="42"/>
        <v>4.9723984358309714E-3</v>
      </c>
      <c r="U272" s="6">
        <f t="shared" si="43"/>
        <v>1.1814357371183082E-2</v>
      </c>
      <c r="V272" s="6">
        <f t="shared" si="44"/>
        <v>4.5372698277439394E-3</v>
      </c>
      <c r="W272" s="6">
        <f t="shared" si="45"/>
        <v>3.8599294590901945E-3</v>
      </c>
      <c r="X272" s="6">
        <f t="shared" si="46"/>
        <v>1.0035700064412456E-2</v>
      </c>
      <c r="Y272" s="6">
        <f t="shared" si="47"/>
        <v>1.1416878975747391E-3</v>
      </c>
      <c r="Z272" s="6">
        <f t="shared" si="48"/>
        <v>4.5514849073591268E-3</v>
      </c>
    </row>
    <row r="273" spans="1:26" x14ac:dyDescent="0.45">
      <c r="A273">
        <v>271</v>
      </c>
      <c r="B273" s="1">
        <v>982.15362491801886</v>
      </c>
      <c r="C273" s="1">
        <v>982.15362491801886</v>
      </c>
      <c r="D273" s="2">
        <v>45.95259956907875</v>
      </c>
      <c r="E273" s="2">
        <v>81.384191171161604</v>
      </c>
      <c r="F273" s="2">
        <v>22.487908113488643</v>
      </c>
      <c r="G273" s="2">
        <v>14.742131666484831</v>
      </c>
      <c r="H273" s="2">
        <v>76.210754685049722</v>
      </c>
      <c r="I273" s="2">
        <v>48.772741672321693</v>
      </c>
      <c r="J273" s="2">
        <v>128.41545596011781</v>
      </c>
      <c r="K273" s="2">
        <v>58.62468410622855</v>
      </c>
      <c r="L273" s="2">
        <v>7.4848858124459676</v>
      </c>
      <c r="M273" s="2">
        <v>18.956237827596464</v>
      </c>
      <c r="O273" s="6">
        <f t="shared" si="49"/>
        <v>2.2070536715219635E-3</v>
      </c>
      <c r="P273" s="6">
        <f t="shared" si="38"/>
        <v>2.2070536715219635E-3</v>
      </c>
      <c r="Q273" s="6">
        <f t="shared" si="39"/>
        <v>4.8684423979843405E-3</v>
      </c>
      <c r="R273" s="6">
        <f t="shared" si="40"/>
        <v>4.4429424039009735E-3</v>
      </c>
      <c r="S273" s="6">
        <f t="shared" si="41"/>
        <v>5.1897402814859994E-4</v>
      </c>
      <c r="T273" s="6">
        <f t="shared" si="42"/>
        <v>2.6583813400453682E-3</v>
      </c>
      <c r="U273" s="6">
        <f t="shared" si="43"/>
        <v>8.794534499251716E-3</v>
      </c>
      <c r="V273" s="6">
        <f t="shared" si="44"/>
        <v>8.6281103932488445E-3</v>
      </c>
      <c r="W273" s="6">
        <f t="shared" si="45"/>
        <v>2.4480334787555513E-3</v>
      </c>
      <c r="X273" s="6">
        <f t="shared" si="46"/>
        <v>5.1732908973278757E-3</v>
      </c>
      <c r="Y273" s="6">
        <f t="shared" si="47"/>
        <v>1.1456756694374626E-3</v>
      </c>
      <c r="Z273" s="6">
        <f t="shared" si="48"/>
        <v>5.4424995200337278E-3</v>
      </c>
    </row>
    <row r="274" spans="1:26" x14ac:dyDescent="0.45">
      <c r="A274">
        <v>272</v>
      </c>
      <c r="B274" s="1">
        <v>984.32129068189283</v>
      </c>
      <c r="C274" s="1">
        <v>984.32129068189283</v>
      </c>
      <c r="D274" s="2">
        <v>46.176317153118447</v>
      </c>
      <c r="E274" s="2">
        <v>81.745776445123141</v>
      </c>
      <c r="F274" s="2">
        <v>22.499578753746935</v>
      </c>
      <c r="G274" s="2">
        <v>14.781321874219506</v>
      </c>
      <c r="H274" s="2">
        <v>76.880992796341403</v>
      </c>
      <c r="I274" s="2">
        <v>49.193558271651895</v>
      </c>
      <c r="J274" s="2">
        <v>128.72982129549783</v>
      </c>
      <c r="K274" s="2">
        <v>58.927966650874026</v>
      </c>
      <c r="L274" s="2">
        <v>7.4934610640098045</v>
      </c>
      <c r="M274" s="2">
        <v>19.059407142874804</v>
      </c>
      <c r="O274" s="6">
        <f t="shared" si="49"/>
        <v>3.8788018619535514E-3</v>
      </c>
      <c r="P274" s="6">
        <f t="shared" si="38"/>
        <v>3.8788018619535514E-3</v>
      </c>
      <c r="Q274" s="6">
        <f t="shared" si="39"/>
        <v>5.5401726373884852E-3</v>
      </c>
      <c r="R274" s="6">
        <f t="shared" si="40"/>
        <v>8.2424920365269383E-3</v>
      </c>
      <c r="S274" s="6">
        <f t="shared" si="41"/>
        <v>2.5610539871221416E-3</v>
      </c>
      <c r="T274" s="6">
        <f t="shared" si="42"/>
        <v>7.4436823339831815E-3</v>
      </c>
      <c r="U274" s="6">
        <f t="shared" si="43"/>
        <v>-1.0277056084643243E-3</v>
      </c>
      <c r="V274" s="6">
        <f t="shared" si="44"/>
        <v>1.0830229698308269E-2</v>
      </c>
      <c r="W274" s="6">
        <f t="shared" si="45"/>
        <v>8.5751477845965596E-3</v>
      </c>
      <c r="X274" s="6">
        <f t="shared" si="46"/>
        <v>5.1295260414945254E-3</v>
      </c>
      <c r="Y274" s="6">
        <f t="shared" si="47"/>
        <v>3.6139867617916988E-3</v>
      </c>
      <c r="Z274" s="6">
        <f t="shared" si="48"/>
        <v>1.4019653962236145E-3</v>
      </c>
    </row>
    <row r="275" spans="1:26" x14ac:dyDescent="0.45">
      <c r="A275">
        <v>273</v>
      </c>
      <c r="B275" s="1">
        <v>988.13927793695029</v>
      </c>
      <c r="C275" s="1">
        <v>988.13927793695029</v>
      </c>
      <c r="D275" s="2">
        <v>46.432141921905526</v>
      </c>
      <c r="E275" s="2">
        <v>82.419565356491773</v>
      </c>
      <c r="F275" s="2">
        <v>22.557201389622787</v>
      </c>
      <c r="G275" s="2">
        <v>14.891349338727553</v>
      </c>
      <c r="H275" s="2">
        <v>76.801981768860301</v>
      </c>
      <c r="I275" s="2">
        <v>49.726335807410997</v>
      </c>
      <c r="J275" s="2">
        <v>129.83369853739143</v>
      </c>
      <c r="K275" s="2">
        <v>59.230239190382008</v>
      </c>
      <c r="L275" s="2">
        <v>7.5205423330951371</v>
      </c>
      <c r="M275" s="2">
        <v>19.086127772161653</v>
      </c>
      <c r="O275" s="6">
        <f t="shared" si="49"/>
        <v>-2.512431915521196E-3</v>
      </c>
      <c r="P275" s="6">
        <f t="shared" ref="P275:P301" si="50">C276/C275-1</f>
        <v>-2.512431915521196E-3</v>
      </c>
      <c r="Q275" s="6">
        <f t="shared" ref="Q275:Q301" si="51">D276/D275-1</f>
        <v>-4.1618661925344469E-3</v>
      </c>
      <c r="R275" s="6">
        <f t="shared" ref="R275:R301" si="52">E276/E275-1</f>
        <v>1.3977367004582852E-3</v>
      </c>
      <c r="S275" s="6">
        <f t="shared" ref="S275:S301" si="53">F276/F275-1</f>
        <v>-2.5459165979099252E-3</v>
      </c>
      <c r="T275" s="6">
        <f t="shared" ref="T275:T301" si="54">G276/G275-1</f>
        <v>6.0473340846112222E-4</v>
      </c>
      <c r="U275" s="6">
        <f t="shared" ref="U275:U301" si="55">H276/H275-1</f>
        <v>3.212681195663869E-3</v>
      </c>
      <c r="V275" s="6">
        <f t="shared" ref="V275:V301" si="56">I276/I275-1</f>
        <v>2.0879367213679778E-3</v>
      </c>
      <c r="W275" s="6">
        <f t="shared" ref="W275:W301" si="57">J276/J275-1</f>
        <v>-1.3702415494254438E-5</v>
      </c>
      <c r="X275" s="6">
        <f t="shared" ref="X275:X301" si="58">K276/K275-1</f>
        <v>-1.1484808776394795E-2</v>
      </c>
      <c r="Y275" s="6">
        <f t="shared" ref="Y275:Y301" si="59">L276/L275-1</f>
        <v>6.7827564544211683E-3</v>
      </c>
      <c r="Z275" s="6">
        <f t="shared" ref="Z275:Z301" si="60">M276/M275-1</f>
        <v>-5.6849485918027964E-3</v>
      </c>
    </row>
    <row r="276" spans="1:26" x14ac:dyDescent="0.45">
      <c r="A276">
        <v>274</v>
      </c>
      <c r="B276" s="1">
        <v>985.65664527808144</v>
      </c>
      <c r="C276" s="1">
        <v>985.65664527808144</v>
      </c>
      <c r="D276" s="2">
        <v>46.238897560193784</v>
      </c>
      <c r="E276" s="2">
        <v>82.534766207826365</v>
      </c>
      <c r="F276" s="2">
        <v>22.49977263620255</v>
      </c>
      <c r="G276" s="2">
        <v>14.900354635169746</v>
      </c>
      <c r="H276" s="2">
        <v>77.048722051478833</v>
      </c>
      <c r="I276" s="2">
        <v>49.830161249962366</v>
      </c>
      <c r="J276" s="2">
        <v>129.83191950210892</v>
      </c>
      <c r="K276" s="2">
        <v>58.549991219500349</v>
      </c>
      <c r="L276" s="2">
        <v>7.5715523401456855</v>
      </c>
      <c r="M276" s="2">
        <v>18.977624116960335</v>
      </c>
      <c r="O276" s="6">
        <f t="shared" si="49"/>
        <v>-6.4805990108124378E-3</v>
      </c>
      <c r="P276" s="6">
        <f t="shared" si="50"/>
        <v>-6.4805990108124378E-3</v>
      </c>
      <c r="Q276" s="6">
        <f t="shared" si="51"/>
        <v>-4.1320501941785048E-3</v>
      </c>
      <c r="R276" s="6">
        <f t="shared" si="52"/>
        <v>-1.0758775013182564E-2</v>
      </c>
      <c r="S276" s="6">
        <f t="shared" si="53"/>
        <v>-8.5594945998705985E-3</v>
      </c>
      <c r="T276" s="6">
        <f t="shared" si="54"/>
        <v>-9.3516415961755195E-3</v>
      </c>
      <c r="U276" s="6">
        <f t="shared" si="55"/>
        <v>-3.6736672200389231E-3</v>
      </c>
      <c r="V276" s="6">
        <f t="shared" si="56"/>
        <v>-2.1424626704847904E-3</v>
      </c>
      <c r="W276" s="6">
        <f t="shared" si="57"/>
        <v>-1.3237393755842874E-2</v>
      </c>
      <c r="X276" s="6">
        <f t="shared" si="58"/>
        <v>-7.0746226572422355E-3</v>
      </c>
      <c r="Y276" s="6">
        <f t="shared" si="59"/>
        <v>-4.6012304179348096E-3</v>
      </c>
      <c r="Z276" s="6">
        <f t="shared" si="60"/>
        <v>-9.2473161682837812E-4</v>
      </c>
    </row>
    <row r="277" spans="1:26" x14ac:dyDescent="0.45">
      <c r="A277">
        <v>275</v>
      </c>
      <c r="B277" s="1">
        <v>979.26899979769155</v>
      </c>
      <c r="C277" s="1">
        <v>979.26899979769155</v>
      </c>
      <c r="D277" s="2">
        <v>46.047836114551586</v>
      </c>
      <c r="E277" s="2">
        <v>81.646793227430734</v>
      </c>
      <c r="F277" s="2">
        <v>22.307185953824657</v>
      </c>
      <c r="G277" s="2">
        <v>14.761011858965727</v>
      </c>
      <c r="H277" s="2">
        <v>76.765670686932424</v>
      </c>
      <c r="I277" s="2">
        <v>49.723401989620086</v>
      </c>
      <c r="J277" s="2">
        <v>128.11328326158261</v>
      </c>
      <c r="K277" s="2">
        <v>58.135772125037541</v>
      </c>
      <c r="L277" s="2">
        <v>7.5367138832072218</v>
      </c>
      <c r="M277" s="2">
        <v>18.960074907927098</v>
      </c>
      <c r="O277" s="6">
        <f t="shared" si="49"/>
        <v>-1.6691774212307386E-3</v>
      </c>
      <c r="P277" s="6">
        <f t="shared" si="50"/>
        <v>-1.6691774212307386E-3</v>
      </c>
      <c r="Q277" s="6">
        <f t="shared" si="51"/>
        <v>-5.6775044785505324E-3</v>
      </c>
      <c r="R277" s="6">
        <f t="shared" si="52"/>
        <v>1.9532420392351924E-3</v>
      </c>
      <c r="S277" s="6">
        <f t="shared" si="53"/>
        <v>2.1715093557435061E-3</v>
      </c>
      <c r="T277" s="6">
        <f t="shared" si="54"/>
        <v>-2.7540347606659354E-3</v>
      </c>
      <c r="U277" s="6">
        <f t="shared" si="55"/>
        <v>-2.5078183176686641E-3</v>
      </c>
      <c r="V277" s="6">
        <f t="shared" si="56"/>
        <v>-2.5007247261871202E-3</v>
      </c>
      <c r="W277" s="6">
        <f t="shared" si="57"/>
        <v>-6.0091238964335991E-3</v>
      </c>
      <c r="X277" s="6">
        <f t="shared" si="58"/>
        <v>2.2344475308755385E-4</v>
      </c>
      <c r="Y277" s="6">
        <f t="shared" si="59"/>
        <v>-4.5652487686731469E-3</v>
      </c>
      <c r="Z277" s="6">
        <f t="shared" si="60"/>
        <v>1.3984069386847597E-3</v>
      </c>
    </row>
    <row r="278" spans="1:26" x14ac:dyDescent="0.45">
      <c r="A278">
        <v>276</v>
      </c>
      <c r="B278" s="1">
        <v>977.63442609391802</v>
      </c>
      <c r="C278" s="1">
        <v>977.63442609391802</v>
      </c>
      <c r="D278" s="2">
        <v>45.786399318783658</v>
      </c>
      <c r="E278" s="2">
        <v>81.806269176331298</v>
      </c>
      <c r="F278" s="2">
        <v>22.355626216823698</v>
      </c>
      <c r="G278" s="2">
        <v>14.720359519203534</v>
      </c>
      <c r="H278" s="2">
        <v>76.573156331815611</v>
      </c>
      <c r="I278" s="2">
        <v>49.599057448794504</v>
      </c>
      <c r="J278" s="2">
        <v>127.34343466968487</v>
      </c>
      <c r="K278" s="2">
        <v>58.148762258285572</v>
      </c>
      <c r="L278" s="2">
        <v>7.5023069094320682</v>
      </c>
      <c r="M278" s="2">
        <v>18.986588808236327</v>
      </c>
      <c r="O278" s="6">
        <f t="shared" si="49"/>
        <v>-4.3629654193655387E-4</v>
      </c>
      <c r="P278" s="6">
        <f t="shared" si="50"/>
        <v>-4.3629654193655387E-4</v>
      </c>
      <c r="Q278" s="6">
        <f t="shared" si="51"/>
        <v>8.9110313446250089E-4</v>
      </c>
      <c r="R278" s="6">
        <f t="shared" si="52"/>
        <v>-8.3777802752738051E-4</v>
      </c>
      <c r="S278" s="6">
        <f t="shared" si="53"/>
        <v>2.6981804421342126E-3</v>
      </c>
      <c r="T278" s="6">
        <f t="shared" si="54"/>
        <v>-4.8107586873907815E-3</v>
      </c>
      <c r="U278" s="6">
        <f t="shared" si="55"/>
        <v>-9.8844300865141843E-4</v>
      </c>
      <c r="V278" s="6">
        <f t="shared" si="56"/>
        <v>-3.1404152276082176E-4</v>
      </c>
      <c r="W278" s="6">
        <f t="shared" si="57"/>
        <v>-7.8353452956716474E-3</v>
      </c>
      <c r="X278" s="6">
        <f t="shared" si="58"/>
        <v>-1.0348820310346341E-3</v>
      </c>
      <c r="Y278" s="6">
        <f t="shared" si="59"/>
        <v>6.0209372427566521E-4</v>
      </c>
      <c r="Z278" s="6">
        <f t="shared" si="60"/>
        <v>9.8450809683825469E-4</v>
      </c>
    </row>
    <row r="279" spans="1:26" x14ac:dyDescent="0.45">
      <c r="A279">
        <v>277</v>
      </c>
      <c r="B279" s="1">
        <v>977.20788757453511</v>
      </c>
      <c r="C279" s="1">
        <v>977.20788757453511</v>
      </c>
      <c r="D279" s="2">
        <v>45.827199722732381</v>
      </c>
      <c r="E279" s="2">
        <v>81.737733681501382</v>
      </c>
      <c r="F279" s="2">
        <v>22.415945730253593</v>
      </c>
      <c r="G279" s="2">
        <v>14.64954342176501</v>
      </c>
      <c r="H279" s="2">
        <v>76.497468130789059</v>
      </c>
      <c r="I279" s="2">
        <v>49.583481285265783</v>
      </c>
      <c r="J279" s="2">
        <v>126.34565488791108</v>
      </c>
      <c r="K279" s="2">
        <v>58.088585149097568</v>
      </c>
      <c r="L279" s="2">
        <v>7.5068240013398269</v>
      </c>
      <c r="M279" s="2">
        <v>19.005281258649376</v>
      </c>
      <c r="O279" s="6">
        <f t="shared" si="49"/>
        <v>-5.6533701598771025E-4</v>
      </c>
      <c r="P279" s="6">
        <f t="shared" si="50"/>
        <v>-5.6533701598771025E-4</v>
      </c>
      <c r="Q279" s="6">
        <f t="shared" si="51"/>
        <v>2.1261186590044723E-3</v>
      </c>
      <c r="R279" s="6">
        <f t="shared" si="52"/>
        <v>3.0019252444370981E-3</v>
      </c>
      <c r="S279" s="6">
        <f t="shared" si="53"/>
        <v>-1.6928442722509152E-3</v>
      </c>
      <c r="T279" s="6">
        <f t="shared" si="54"/>
        <v>1.7904803450696782E-4</v>
      </c>
      <c r="U279" s="6">
        <f t="shared" si="55"/>
        <v>-2.8249265831329362E-3</v>
      </c>
      <c r="V279" s="6">
        <f t="shared" si="56"/>
        <v>-4.6674142978845312E-3</v>
      </c>
      <c r="W279" s="6">
        <f t="shared" si="57"/>
        <v>3.7100425838434425E-3</v>
      </c>
      <c r="X279" s="6">
        <f t="shared" si="58"/>
        <v>4.0955677425609238E-3</v>
      </c>
      <c r="Y279" s="6">
        <f t="shared" si="59"/>
        <v>3.0822386568576388E-3</v>
      </c>
      <c r="Z279" s="6">
        <f t="shared" si="60"/>
        <v>-3.492071051482859E-3</v>
      </c>
    </row>
    <row r="280" spans="1:26" x14ac:dyDescent="0.45">
      <c r="A280">
        <v>278</v>
      </c>
      <c r="B280" s="1">
        <v>976.65543578337406</v>
      </c>
      <c r="C280" s="1">
        <v>976.65543578337406</v>
      </c>
      <c r="D280" s="2">
        <v>45.924633787152807</v>
      </c>
      <c r="E280" s="2">
        <v>81.983104247662951</v>
      </c>
      <c r="F280" s="2">
        <v>22.377999024917045</v>
      </c>
      <c r="G280" s="2">
        <v>14.652166393721101</v>
      </c>
      <c r="H280" s="2">
        <v>76.281368399524027</v>
      </c>
      <c r="I280" s="2">
        <v>49.352054635776042</v>
      </c>
      <c r="J280" s="2">
        <v>126.81440264782881</v>
      </c>
      <c r="K280" s="2">
        <v>58.326490884645217</v>
      </c>
      <c r="L280" s="2">
        <v>7.5299618244669828</v>
      </c>
      <c r="M280" s="2">
        <v>18.938913466140757</v>
      </c>
      <c r="O280" s="6">
        <f t="shared" si="49"/>
        <v>-1.0205142194275041E-3</v>
      </c>
      <c r="P280" s="6">
        <f t="shared" si="50"/>
        <v>-1.0205142194275041E-3</v>
      </c>
      <c r="Q280" s="6">
        <f t="shared" si="51"/>
        <v>4.4420010563295254E-3</v>
      </c>
      <c r="R280" s="6">
        <f t="shared" si="52"/>
        <v>-2.7776068453178038E-4</v>
      </c>
      <c r="S280" s="6">
        <f t="shared" si="53"/>
        <v>-3.2178432125713474E-3</v>
      </c>
      <c r="T280" s="6">
        <f t="shared" si="54"/>
        <v>-1.0337460585027047E-3</v>
      </c>
      <c r="U280" s="6">
        <f t="shared" si="55"/>
        <v>-2.4257857984911757E-3</v>
      </c>
      <c r="V280" s="6">
        <f t="shared" si="56"/>
        <v>-6.0967372757260163E-3</v>
      </c>
      <c r="W280" s="6">
        <f t="shared" si="57"/>
        <v>-7.4295100035975947E-3</v>
      </c>
      <c r="X280" s="6">
        <f t="shared" si="58"/>
        <v>7.043851628464326E-3</v>
      </c>
      <c r="Y280" s="6">
        <f t="shared" si="59"/>
        <v>-4.526611270599723E-3</v>
      </c>
      <c r="Z280" s="6">
        <f t="shared" si="60"/>
        <v>-4.7514938810409024E-3</v>
      </c>
    </row>
    <row r="281" spans="1:26" x14ac:dyDescent="0.45">
      <c r="A281">
        <v>279</v>
      </c>
      <c r="B281" s="1">
        <v>975.65874502367592</v>
      </c>
      <c r="C281" s="1">
        <v>975.65874502367592</v>
      </c>
      <c r="D281" s="2">
        <v>46.128631058946887</v>
      </c>
      <c r="E281" s="2">
        <v>81.960332564507084</v>
      </c>
      <c r="F281" s="2">
        <v>22.305990132643789</v>
      </c>
      <c r="G281" s="2">
        <v>14.637019774463067</v>
      </c>
      <c r="H281" s="2">
        <v>76.096326139370987</v>
      </c>
      <c r="I281" s="2">
        <v>49.051168124644441</v>
      </c>
      <c r="J281" s="2">
        <v>125.87223377475652</v>
      </c>
      <c r="K281" s="2">
        <v>58.737334032445638</v>
      </c>
      <c r="L281" s="2">
        <v>7.495876614405165</v>
      </c>
      <c r="M281" s="2">
        <v>18.848925334692826</v>
      </c>
      <c r="O281" s="6">
        <f t="shared" si="49"/>
        <v>-4.078841375897202E-3</v>
      </c>
      <c r="P281" s="6">
        <f t="shared" si="50"/>
        <v>-4.078841375897202E-3</v>
      </c>
      <c r="Q281" s="6">
        <f t="shared" si="51"/>
        <v>-4.1558194246335001E-3</v>
      </c>
      <c r="R281" s="6">
        <f t="shared" si="52"/>
        <v>-5.4640540505467294E-3</v>
      </c>
      <c r="S281" s="6">
        <f t="shared" si="53"/>
        <v>-5.5045162256811553E-3</v>
      </c>
      <c r="T281" s="6">
        <f t="shared" si="54"/>
        <v>-7.3692255289001807E-3</v>
      </c>
      <c r="U281" s="6">
        <f t="shared" si="55"/>
        <v>-6.7499674264213105E-3</v>
      </c>
      <c r="V281" s="6">
        <f t="shared" si="56"/>
        <v>-9.3832977002815676E-3</v>
      </c>
      <c r="W281" s="6">
        <f t="shared" si="57"/>
        <v>-5.949280535686885E-3</v>
      </c>
      <c r="X281" s="6">
        <f t="shared" si="58"/>
        <v>-4.6997280492711013E-4</v>
      </c>
      <c r="Y281" s="6">
        <f t="shared" si="59"/>
        <v>3.9967083862617603E-3</v>
      </c>
      <c r="Z281" s="6">
        <f t="shared" si="60"/>
        <v>-2.3040410751921092E-3</v>
      </c>
    </row>
    <row r="282" spans="1:26" x14ac:dyDescent="0.45">
      <c r="A282">
        <v>280</v>
      </c>
      <c r="B282" s="1">
        <v>971.67918776571742</v>
      </c>
      <c r="C282" s="1">
        <v>971.67918776571742</v>
      </c>
      <c r="D282" s="2">
        <v>45.936928797960363</v>
      </c>
      <c r="E282" s="2">
        <v>81.512496877373835</v>
      </c>
      <c r="F282" s="2">
        <v>22.183206448028766</v>
      </c>
      <c r="G282" s="2">
        <v>14.529156274674076</v>
      </c>
      <c r="H282" s="2">
        <v>75.582678416659903</v>
      </c>
      <c r="I282" s="2">
        <v>48.590906411584342</v>
      </c>
      <c r="J282" s="2">
        <v>125.12338454437693</v>
      </c>
      <c r="K282" s="2">
        <v>58.709729082816466</v>
      </c>
      <c r="L282" s="2">
        <v>7.5258354473323417</v>
      </c>
      <c r="M282" s="2">
        <v>18.805496636498464</v>
      </c>
      <c r="O282" s="6">
        <f t="shared" si="49"/>
        <v>5.4012353406025504E-3</v>
      </c>
      <c r="P282" s="6">
        <f t="shared" si="50"/>
        <v>5.4012353406025504E-3</v>
      </c>
      <c r="Q282" s="6">
        <f t="shared" si="51"/>
        <v>4.8940641536889817E-3</v>
      </c>
      <c r="R282" s="6">
        <f t="shared" si="52"/>
        <v>1.0813904121949047E-2</v>
      </c>
      <c r="S282" s="6">
        <f t="shared" si="53"/>
        <v>7.7676442519885036E-3</v>
      </c>
      <c r="T282" s="6">
        <f t="shared" si="54"/>
        <v>6.01839230190504E-3</v>
      </c>
      <c r="U282" s="6">
        <f t="shared" si="55"/>
        <v>3.4389405154389152E-3</v>
      </c>
      <c r="V282" s="6">
        <f t="shared" si="56"/>
        <v>1.3165125102245101E-2</v>
      </c>
      <c r="W282" s="6">
        <f t="shared" si="57"/>
        <v>1.9356768519971368E-3</v>
      </c>
      <c r="X282" s="6">
        <f t="shared" si="58"/>
        <v>4.5245778411182602E-3</v>
      </c>
      <c r="Y282" s="6">
        <f t="shared" si="59"/>
        <v>4.3884076773539338E-3</v>
      </c>
      <c r="Z282" s="6">
        <f t="shared" si="60"/>
        <v>4.9769483107764412E-3</v>
      </c>
    </row>
    <row r="283" spans="1:26" x14ac:dyDescent="0.45">
      <c r="A283">
        <v>281</v>
      </c>
      <c r="B283" s="1">
        <v>976.92745573440561</v>
      </c>
      <c r="C283" s="1">
        <v>976.92745573440561</v>
      </c>
      <c r="D283" s="2">
        <v>46.161747074521024</v>
      </c>
      <c r="E283" s="2">
        <v>82.393965203346426</v>
      </c>
      <c r="F283" s="2">
        <v>22.355517704085472</v>
      </c>
      <c r="G283" s="2">
        <v>14.616598436950749</v>
      </c>
      <c r="H283" s="2">
        <v>75.842602751732343</v>
      </c>
      <c r="I283" s="2">
        <v>49.230611773324334</v>
      </c>
      <c r="J283" s="2">
        <v>125.36558298348302</v>
      </c>
      <c r="K283" s="2">
        <v>58.975365822082637</v>
      </c>
      <c r="L283" s="2">
        <v>7.5588618813879176</v>
      </c>
      <c r="M283" s="2">
        <v>18.899090621216796</v>
      </c>
      <c r="O283" s="6">
        <f t="shared" si="49"/>
        <v>-1.0296197572435828E-3</v>
      </c>
      <c r="P283" s="6">
        <f t="shared" si="50"/>
        <v>-1.0296197572435828E-3</v>
      </c>
      <c r="Q283" s="6">
        <f t="shared" si="51"/>
        <v>6.3060639978262945E-3</v>
      </c>
      <c r="R283" s="6">
        <f t="shared" si="52"/>
        <v>-3.0277991583965713E-3</v>
      </c>
      <c r="S283" s="6">
        <f t="shared" si="53"/>
        <v>-3.0970759946579163E-3</v>
      </c>
      <c r="T283" s="6">
        <f t="shared" si="54"/>
        <v>-2.7723912720932775E-3</v>
      </c>
      <c r="U283" s="6">
        <f t="shared" si="55"/>
        <v>-4.2814325505011741E-3</v>
      </c>
      <c r="V283" s="6">
        <f t="shared" si="56"/>
        <v>-1.8377704544617623E-3</v>
      </c>
      <c r="W283" s="6">
        <f t="shared" si="57"/>
        <v>2.983269353994622E-3</v>
      </c>
      <c r="X283" s="6">
        <f t="shared" si="58"/>
        <v>1.2250522022703159E-3</v>
      </c>
      <c r="Y283" s="6">
        <f t="shared" si="59"/>
        <v>7.9384418858374772E-4</v>
      </c>
      <c r="Z283" s="6">
        <f t="shared" si="60"/>
        <v>3.4380592950205013E-3</v>
      </c>
    </row>
    <row r="284" spans="1:26" x14ac:dyDescent="0.45">
      <c r="A284">
        <v>282</v>
      </c>
      <c r="B284" s="1">
        <v>975.9215919245878</v>
      </c>
      <c r="C284" s="1">
        <v>975.9215919245878</v>
      </c>
      <c r="D284" s="2">
        <v>46.452846005824426</v>
      </c>
      <c r="E284" s="2">
        <v>82.144492824846779</v>
      </c>
      <c r="F284" s="2">
        <v>22.286280966855998</v>
      </c>
      <c r="G284" s="2">
        <v>14.576075507016455</v>
      </c>
      <c r="H284" s="2">
        <v>75.517887763596349</v>
      </c>
      <c r="I284" s="2">
        <v>49.140137209552243</v>
      </c>
      <c r="J284" s="2">
        <v>125.73958228524332</v>
      </c>
      <c r="K284" s="2">
        <v>59.047613723862675</v>
      </c>
      <c r="L284" s="2">
        <v>7.5648624399647648</v>
      </c>
      <c r="M284" s="2">
        <v>18.964066815394506</v>
      </c>
      <c r="O284" s="6">
        <f t="shared" si="49"/>
        <v>2.5432756965373393E-3</v>
      </c>
      <c r="P284" s="6">
        <f t="shared" si="50"/>
        <v>2.5432756965373393E-3</v>
      </c>
      <c r="Q284" s="6">
        <f t="shared" si="51"/>
        <v>1.5376015681400901E-3</v>
      </c>
      <c r="R284" s="6">
        <f t="shared" si="52"/>
        <v>1.1792214700785397E-3</v>
      </c>
      <c r="S284" s="6">
        <f t="shared" si="53"/>
        <v>-8.5088072574646123E-4</v>
      </c>
      <c r="T284" s="6">
        <f t="shared" si="54"/>
        <v>9.11726886686548E-3</v>
      </c>
      <c r="U284" s="6">
        <f t="shared" si="55"/>
        <v>9.8554900247678212E-3</v>
      </c>
      <c r="V284" s="6">
        <f t="shared" si="56"/>
        <v>-3.1393385447753275E-4</v>
      </c>
      <c r="W284" s="6">
        <f t="shared" si="57"/>
        <v>6.0908808796171776E-3</v>
      </c>
      <c r="X284" s="6">
        <f t="shared" si="58"/>
        <v>7.0911043084966874E-3</v>
      </c>
      <c r="Y284" s="6">
        <f t="shared" si="59"/>
        <v>-8.4261547374181456E-3</v>
      </c>
      <c r="Z284" s="6">
        <f t="shared" si="60"/>
        <v>7.7446945338799367E-4</v>
      </c>
    </row>
    <row r="285" spans="1:26" x14ac:dyDescent="0.45">
      <c r="A285">
        <v>283</v>
      </c>
      <c r="B285" s="1">
        <v>978.40362959105562</v>
      </c>
      <c r="C285" s="1">
        <v>978.40362959105562</v>
      </c>
      <c r="D285" s="2">
        <v>46.524271974687551</v>
      </c>
      <c r="E285" s="2">
        <v>82.241359374434552</v>
      </c>
      <c r="F285" s="2">
        <v>22.267317999932729</v>
      </c>
      <c r="G285" s="2">
        <v>14.708969506437656</v>
      </c>
      <c r="H285" s="2">
        <v>76.262153553142014</v>
      </c>
      <c r="I285" s="2">
        <v>49.124710456868492</v>
      </c>
      <c r="J285" s="2">
        <v>126.50544710279556</v>
      </c>
      <c r="K285" s="2">
        <v>59.466326511946406</v>
      </c>
      <c r="L285" s="2">
        <v>7.501119738478339</v>
      </c>
      <c r="M285" s="2">
        <v>18.97875390585504</v>
      </c>
      <c r="O285" s="6">
        <f t="shared" si="49"/>
        <v>1.0258365713082807E-3</v>
      </c>
      <c r="P285" s="6">
        <f t="shared" si="50"/>
        <v>1.0258365713082807E-3</v>
      </c>
      <c r="Q285" s="6">
        <f t="shared" si="51"/>
        <v>4.0370598104464417E-3</v>
      </c>
      <c r="R285" s="6">
        <f t="shared" si="52"/>
        <v>3.0347247602198202E-3</v>
      </c>
      <c r="S285" s="6">
        <f t="shared" si="53"/>
        <v>-1.201712196662319E-3</v>
      </c>
      <c r="T285" s="6">
        <f t="shared" si="54"/>
        <v>1.5444951732228596E-3</v>
      </c>
      <c r="U285" s="6">
        <f t="shared" si="55"/>
        <v>-1.0054930819101138E-3</v>
      </c>
      <c r="V285" s="6">
        <f t="shared" si="56"/>
        <v>3.1328706948432483E-3</v>
      </c>
      <c r="W285" s="6">
        <f t="shared" si="57"/>
        <v>3.3050959911931077E-3</v>
      </c>
      <c r="X285" s="6">
        <f t="shared" si="58"/>
        <v>1.0539983400463804E-3</v>
      </c>
      <c r="Y285" s="6">
        <f t="shared" si="59"/>
        <v>1.0473495413891865E-3</v>
      </c>
      <c r="Z285" s="6">
        <f t="shared" si="60"/>
        <v>-3.438800734592129E-3</v>
      </c>
    </row>
    <row r="286" spans="1:26" x14ac:dyDescent="0.45">
      <c r="A286">
        <v>284</v>
      </c>
      <c r="B286" s="1">
        <v>979.40731181579088</v>
      </c>
      <c r="C286" s="1">
        <v>979.40731181579088</v>
      </c>
      <c r="D286" s="2">
        <v>46.712093243286844</v>
      </c>
      <c r="E286" s="2">
        <v>82.490939264042282</v>
      </c>
      <c r="F286" s="2">
        <v>22.240559092305251</v>
      </c>
      <c r="G286" s="2">
        <v>14.731687438843432</v>
      </c>
      <c r="H286" s="2">
        <v>76.185472485332767</v>
      </c>
      <c r="I286" s="2">
        <v>49.278611822651477</v>
      </c>
      <c r="J286" s="2">
        <v>126.9235597488791</v>
      </c>
      <c r="K286" s="2">
        <v>59.529003921378653</v>
      </c>
      <c r="L286" s="2">
        <v>7.5089760327963395</v>
      </c>
      <c r="M286" s="2">
        <v>18.913489752981942</v>
      </c>
      <c r="O286" s="6">
        <f t="shared" si="49"/>
        <v>-8.9119691238492837E-4</v>
      </c>
      <c r="P286" s="6">
        <f t="shared" si="50"/>
        <v>-8.9119691238492837E-4</v>
      </c>
      <c r="Q286" s="6">
        <f t="shared" si="51"/>
        <v>-1.5167974227592307E-3</v>
      </c>
      <c r="R286" s="6">
        <f t="shared" si="52"/>
        <v>-1.8885038602600712E-3</v>
      </c>
      <c r="S286" s="6">
        <f t="shared" si="53"/>
        <v>2.7846463663827592E-4</v>
      </c>
      <c r="T286" s="6">
        <f t="shared" si="54"/>
        <v>8.62018690022337E-4</v>
      </c>
      <c r="U286" s="6">
        <f t="shared" si="55"/>
        <v>1.2234404888831207E-3</v>
      </c>
      <c r="V286" s="6">
        <f t="shared" si="56"/>
        <v>2.3154050436096085E-3</v>
      </c>
      <c r="W286" s="6">
        <f t="shared" si="57"/>
        <v>-4.816255056734442E-3</v>
      </c>
      <c r="X286" s="6">
        <f t="shared" si="58"/>
        <v>2.5561471759631971E-3</v>
      </c>
      <c r="Y286" s="6">
        <f t="shared" si="59"/>
        <v>6.0727799041528918E-3</v>
      </c>
      <c r="Z286" s="6">
        <f t="shared" si="60"/>
        <v>-5.9581308320547643E-3</v>
      </c>
    </row>
    <row r="287" spans="1:26" x14ac:dyDescent="0.45">
      <c r="A287">
        <v>285</v>
      </c>
      <c r="B287" s="1">
        <v>978.53446704353337</v>
      </c>
      <c r="C287" s="1">
        <v>978.53446704353337</v>
      </c>
      <c r="D287" s="2">
        <v>46.641240460643736</v>
      </c>
      <c r="E287" s="2">
        <v>82.335154806805662</v>
      </c>
      <c r="F287" s="2">
        <v>22.24675230151152</v>
      </c>
      <c r="G287" s="2">
        <v>14.744386428751282</v>
      </c>
      <c r="H287" s="2">
        <v>76.27868087703601</v>
      </c>
      <c r="I287" s="2">
        <v>49.392711769007725</v>
      </c>
      <c r="J287" s="2">
        <v>126.31226351241982</v>
      </c>
      <c r="K287" s="2">
        <v>59.681168816640188</v>
      </c>
      <c r="L287" s="2">
        <v>7.5545763915490705</v>
      </c>
      <c r="M287" s="2">
        <v>18.800800706542947</v>
      </c>
      <c r="O287" s="6">
        <f t="shared" si="49"/>
        <v>4.56775824571376E-3</v>
      </c>
      <c r="P287" s="6">
        <f t="shared" si="50"/>
        <v>4.56775824571376E-3</v>
      </c>
      <c r="Q287" s="6">
        <f t="shared" si="51"/>
        <v>1.3957505330752795E-3</v>
      </c>
      <c r="R287" s="6">
        <f t="shared" si="52"/>
        <v>3.8155914869704155E-3</v>
      </c>
      <c r="S287" s="6">
        <f t="shared" si="53"/>
        <v>1.5565362488021428E-3</v>
      </c>
      <c r="T287" s="6">
        <f t="shared" si="54"/>
        <v>2.9243412641162259E-3</v>
      </c>
      <c r="U287" s="6">
        <f t="shared" si="55"/>
        <v>3.5680508919675447E-3</v>
      </c>
      <c r="V287" s="6">
        <f t="shared" si="56"/>
        <v>4.0023310216048547E-3</v>
      </c>
      <c r="W287" s="6">
        <f t="shared" si="57"/>
        <v>5.4655439107189618E-3</v>
      </c>
      <c r="X287" s="6">
        <f t="shared" si="58"/>
        <v>8.5979696542533013E-3</v>
      </c>
      <c r="Y287" s="6">
        <f t="shared" si="59"/>
        <v>1.1649768214639256E-2</v>
      </c>
      <c r="Z287" s="6">
        <f t="shared" si="60"/>
        <v>2.6475911582886091E-3</v>
      </c>
    </row>
    <row r="288" spans="1:26" x14ac:dyDescent="0.45">
      <c r="A288">
        <v>286</v>
      </c>
      <c r="B288" s="1">
        <v>983.00417592408655</v>
      </c>
      <c r="C288" s="1">
        <v>983.00417592408655</v>
      </c>
      <c r="D288" s="2">
        <v>46.706339996879969</v>
      </c>
      <c r="E288" s="2">
        <v>82.649312122564893</v>
      </c>
      <c r="F288" s="2">
        <v>22.281380177886945</v>
      </c>
      <c r="G288" s="2">
        <v>14.787504046398954</v>
      </c>
      <c r="H288" s="2">
        <v>76.550847092377424</v>
      </c>
      <c r="I288" s="2">
        <v>49.590397751562016</v>
      </c>
      <c r="J288" s="2">
        <v>127.00262873510925</v>
      </c>
      <c r="K288" s="2">
        <v>60.19430569505603</v>
      </c>
      <c r="L288" s="2">
        <v>7.6425854554704031</v>
      </c>
      <c r="M288" s="2">
        <v>18.850577540262336</v>
      </c>
      <c r="O288" s="6">
        <f t="shared" si="49"/>
        <v>2.7247604500539868E-3</v>
      </c>
      <c r="P288" s="6">
        <f t="shared" si="50"/>
        <v>2.7247604500539868E-3</v>
      </c>
      <c r="Q288" s="6">
        <f t="shared" si="51"/>
        <v>8.4028475718118667E-3</v>
      </c>
      <c r="R288" s="6">
        <f t="shared" si="52"/>
        <v>3.9146865716852552E-3</v>
      </c>
      <c r="S288" s="6">
        <f t="shared" si="53"/>
        <v>1.7555910523945339E-3</v>
      </c>
      <c r="T288" s="6">
        <f t="shared" si="54"/>
        <v>7.3849567680970285E-3</v>
      </c>
      <c r="U288" s="6">
        <f t="shared" si="55"/>
        <v>4.853215925257448E-3</v>
      </c>
      <c r="V288" s="6">
        <f t="shared" si="56"/>
        <v>1.1758355890447936E-2</v>
      </c>
      <c r="W288" s="6">
        <f t="shared" si="57"/>
        <v>9.4394167413687224E-3</v>
      </c>
      <c r="X288" s="6">
        <f t="shared" si="58"/>
        <v>9.02971433391353E-3</v>
      </c>
      <c r="Y288" s="6">
        <f t="shared" si="59"/>
        <v>4.9319478437517272E-3</v>
      </c>
      <c r="Z288" s="6">
        <f t="shared" si="60"/>
        <v>-1.1933559623725776E-3</v>
      </c>
    </row>
    <row r="289" spans="1:26" x14ac:dyDescent="0.45">
      <c r="A289">
        <v>287</v>
      </c>
      <c r="B289" s="1">
        <v>985.68262682488239</v>
      </c>
      <c r="C289" s="1">
        <v>985.68262682488239</v>
      </c>
      <c r="D289" s="2">
        <v>47.098806252510968</v>
      </c>
      <c r="E289" s="2">
        <v>82.972858274890115</v>
      </c>
      <c r="F289" s="2">
        <v>22.320497169562245</v>
      </c>
      <c r="G289" s="2">
        <v>14.89670912448967</v>
      </c>
      <c r="H289" s="2">
        <v>76.922364882578094</v>
      </c>
      <c r="I289" s="2">
        <v>50.173499297073754</v>
      </c>
      <c r="J289" s="2">
        <v>128.20145947498929</v>
      </c>
      <c r="K289" s="2">
        <v>60.737843080010649</v>
      </c>
      <c r="L289" s="2">
        <v>7.680278288328199</v>
      </c>
      <c r="M289" s="2">
        <v>18.828082091160496</v>
      </c>
      <c r="O289" s="6">
        <f t="shared" si="49"/>
        <v>-2.0359510971381667E-3</v>
      </c>
      <c r="P289" s="6">
        <f t="shared" si="50"/>
        <v>-2.0359510971381667E-3</v>
      </c>
      <c r="Q289" s="6">
        <f t="shared" si="51"/>
        <v>-1.4798883911523175E-3</v>
      </c>
      <c r="R289" s="6">
        <f t="shared" si="52"/>
        <v>-2.6665942226998807E-3</v>
      </c>
      <c r="S289" s="6">
        <f t="shared" si="53"/>
        <v>1.5423495839244072E-3</v>
      </c>
      <c r="T289" s="6">
        <f t="shared" si="54"/>
        <v>-1.8951180593750339E-3</v>
      </c>
      <c r="U289" s="6">
        <f t="shared" si="55"/>
        <v>2.1934460764976293E-3</v>
      </c>
      <c r="V289" s="6">
        <f t="shared" si="56"/>
        <v>6.4887827908566287E-4</v>
      </c>
      <c r="W289" s="6">
        <f t="shared" si="57"/>
        <v>5.2070722783204015E-3</v>
      </c>
      <c r="X289" s="6">
        <f t="shared" si="58"/>
        <v>-4.7528827130584039E-3</v>
      </c>
      <c r="Y289" s="6">
        <f t="shared" si="59"/>
        <v>-2.8910582572324595E-3</v>
      </c>
      <c r="Z289" s="6">
        <f t="shared" si="60"/>
        <v>-1.797701403375096E-3</v>
      </c>
    </row>
    <row r="290" spans="1:26" x14ac:dyDescent="0.45">
      <c r="A290">
        <v>288</v>
      </c>
      <c r="B290" s="1">
        <v>983.67582519936821</v>
      </c>
      <c r="C290" s="1">
        <v>983.67582519936821</v>
      </c>
      <c r="D290" s="2">
        <v>47.029105275900747</v>
      </c>
      <c r="E290" s="2">
        <v>82.751603330373399</v>
      </c>
      <c r="F290" s="2">
        <v>22.354923179084704</v>
      </c>
      <c r="G290" s="2">
        <v>14.868478102002593</v>
      </c>
      <c r="H290" s="2">
        <v>77.091089942024709</v>
      </c>
      <c r="I290" s="2">
        <v>50.206055790953343</v>
      </c>
      <c r="J290" s="2">
        <v>128.86901374066173</v>
      </c>
      <c r="K290" s="2">
        <v>60.449163235607209</v>
      </c>
      <c r="L290" s="2">
        <v>7.6580741563648846</v>
      </c>
      <c r="M290" s="2">
        <v>18.794234821562355</v>
      </c>
      <c r="O290" s="6">
        <f t="shared" si="49"/>
        <v>1.9813017275744915E-3</v>
      </c>
      <c r="P290" s="6">
        <f t="shared" si="50"/>
        <v>1.9813017275744915E-3</v>
      </c>
      <c r="Q290" s="6">
        <f t="shared" si="51"/>
        <v>-9.1379875194697036E-5</v>
      </c>
      <c r="R290" s="6">
        <f t="shared" si="52"/>
        <v>5.1315169535297578E-3</v>
      </c>
      <c r="S290" s="6">
        <f t="shared" si="53"/>
        <v>3.3183999783463758E-3</v>
      </c>
      <c r="T290" s="6">
        <f t="shared" si="54"/>
        <v>3.6444902192489526E-3</v>
      </c>
      <c r="U290" s="6">
        <f t="shared" si="55"/>
        <v>-9.3471120321827472E-3</v>
      </c>
      <c r="V290" s="6">
        <f t="shared" si="56"/>
        <v>1.930076002611969E-3</v>
      </c>
      <c r="W290" s="6">
        <f t="shared" si="57"/>
        <v>4.6778193980077099E-3</v>
      </c>
      <c r="X290" s="6">
        <f t="shared" si="58"/>
        <v>-4.0852443353384116E-3</v>
      </c>
      <c r="Y290" s="6">
        <f t="shared" si="59"/>
        <v>4.3666608196564205E-3</v>
      </c>
      <c r="Z290" s="6">
        <f t="shared" si="60"/>
        <v>2.0426602895633472E-3</v>
      </c>
    </row>
    <row r="291" spans="1:26" x14ac:dyDescent="0.45">
      <c r="A291">
        <v>289</v>
      </c>
      <c r="B291" s="1">
        <v>985.624783811209</v>
      </c>
      <c r="C291" s="1">
        <v>985.624783811209</v>
      </c>
      <c r="D291" s="2">
        <v>47.024807762130116</v>
      </c>
      <c r="E291" s="2">
        <v>83.176244585794976</v>
      </c>
      <c r="F291" s="2">
        <v>22.429105755678112</v>
      </c>
      <c r="G291" s="2">
        <v>14.922666125020458</v>
      </c>
      <c r="H291" s="2">
        <v>76.370510887653523</v>
      </c>
      <c r="I291" s="2">
        <v>50.302957294421262</v>
      </c>
      <c r="J291" s="2">
        <v>129.47183971293992</v>
      </c>
      <c r="K291" s="2">
        <v>60.202213633922995</v>
      </c>
      <c r="L291" s="2">
        <v>7.6915143687375069</v>
      </c>
      <c r="M291" s="2">
        <v>18.832625058705091</v>
      </c>
      <c r="O291" s="6">
        <f t="shared" si="49"/>
        <v>-1.5178696576580997E-3</v>
      </c>
      <c r="P291" s="6">
        <f t="shared" si="50"/>
        <v>-1.5178696576580997E-3</v>
      </c>
      <c r="Q291" s="6">
        <f t="shared" si="51"/>
        <v>4.3958297997677143E-3</v>
      </c>
      <c r="R291" s="6">
        <f t="shared" si="52"/>
        <v>-8.4846960479167954E-3</v>
      </c>
      <c r="S291" s="6">
        <f t="shared" si="53"/>
        <v>-5.3764774858686692E-3</v>
      </c>
      <c r="T291" s="6">
        <f t="shared" si="54"/>
        <v>-4.9937356852861603E-3</v>
      </c>
      <c r="U291" s="6">
        <f t="shared" si="55"/>
        <v>1.7655872050212906E-3</v>
      </c>
      <c r="V291" s="6">
        <f t="shared" si="56"/>
        <v>-3.5403424068866096E-3</v>
      </c>
      <c r="W291" s="6">
        <f t="shared" si="57"/>
        <v>-1.9038602643223212E-3</v>
      </c>
      <c r="X291" s="6">
        <f t="shared" si="58"/>
        <v>4.033804578047917E-3</v>
      </c>
      <c r="Y291" s="6">
        <f t="shared" si="59"/>
        <v>-3.7753269742077933E-3</v>
      </c>
      <c r="Z291" s="6">
        <f t="shared" si="60"/>
        <v>3.7934123434690825E-3</v>
      </c>
    </row>
    <row r="292" spans="1:26" x14ac:dyDescent="0.45">
      <c r="A292">
        <v>290</v>
      </c>
      <c r="B292" s="1">
        <v>984.12873385802618</v>
      </c>
      <c r="C292" s="1">
        <v>984.12873385802618</v>
      </c>
      <c r="D292" s="2">
        <v>47.231520813419237</v>
      </c>
      <c r="E292" s="2">
        <v>82.470519432077324</v>
      </c>
      <c r="F292" s="2">
        <v>22.308516173554541</v>
      </c>
      <c r="G292" s="2">
        <v>14.848146274672333</v>
      </c>
      <c r="H292" s="2">
        <v>76.505349684517711</v>
      </c>
      <c r="I292" s="2">
        <v>50.124867601520016</v>
      </c>
      <c r="J292" s="2">
        <v>129.22534342196175</v>
      </c>
      <c r="K292" s="2">
        <v>60.445057598888134</v>
      </c>
      <c r="L292" s="2">
        <v>7.6624763870687058</v>
      </c>
      <c r="M292" s="2">
        <v>18.904064971062709</v>
      </c>
      <c r="O292" s="6">
        <f t="shared" si="49"/>
        <v>7.4925731248631777E-4</v>
      </c>
      <c r="P292" s="6">
        <f t="shared" si="50"/>
        <v>7.4925731248631777E-4</v>
      </c>
      <c r="Q292" s="6">
        <f t="shared" si="51"/>
        <v>3.9619652584412801E-3</v>
      </c>
      <c r="R292" s="6">
        <f t="shared" si="52"/>
        <v>2.1706836660195794E-3</v>
      </c>
      <c r="S292" s="6">
        <f t="shared" si="53"/>
        <v>1.4547283782631037E-3</v>
      </c>
      <c r="T292" s="6">
        <f t="shared" si="54"/>
        <v>-1.4945580023217886E-3</v>
      </c>
      <c r="U292" s="6">
        <f t="shared" si="55"/>
        <v>-2.7956577663736937E-3</v>
      </c>
      <c r="V292" s="6">
        <f t="shared" si="56"/>
        <v>-3.3194031929474344E-3</v>
      </c>
      <c r="W292" s="6">
        <f t="shared" si="57"/>
        <v>1.5276750327799515E-3</v>
      </c>
      <c r="X292" s="6">
        <f t="shared" si="58"/>
        <v>4.6409323203016051E-3</v>
      </c>
      <c r="Y292" s="6">
        <f t="shared" si="59"/>
        <v>2.1318716727407594E-3</v>
      </c>
      <c r="Z292" s="6">
        <f t="shared" si="60"/>
        <v>9.7562464285605444E-5</v>
      </c>
    </row>
    <row r="293" spans="1:26" x14ac:dyDescent="0.45">
      <c r="A293">
        <v>291</v>
      </c>
      <c r="B293" s="1">
        <v>984.86609950829722</v>
      </c>
      <c r="C293" s="1">
        <v>984.86609950829722</v>
      </c>
      <c r="D293" s="2">
        <v>47.41865045798535</v>
      </c>
      <c r="E293" s="2">
        <v>82.649536841536687</v>
      </c>
      <c r="F293" s="2">
        <v>22.340969005109152</v>
      </c>
      <c r="G293" s="2">
        <v>14.825954858837877</v>
      </c>
      <c r="H293" s="2">
        <v>76.291466909503058</v>
      </c>
      <c r="I293" s="2">
        <v>49.958482955957464</v>
      </c>
      <c r="J293" s="2">
        <v>129.42275775270991</v>
      </c>
      <c r="K293" s="2">
        <v>60.725579020301304</v>
      </c>
      <c r="L293" s="2">
        <v>7.6788118034213424</v>
      </c>
      <c r="M293" s="2">
        <v>18.905909298226302</v>
      </c>
      <c r="O293" s="6">
        <f t="shared" si="49"/>
        <v>4.6587189960796138E-3</v>
      </c>
      <c r="P293" s="6">
        <f t="shared" si="50"/>
        <v>4.6587189960796138E-3</v>
      </c>
      <c r="Q293" s="6">
        <f t="shared" si="51"/>
        <v>1.5785555486118596E-3</v>
      </c>
      <c r="R293" s="6">
        <f t="shared" si="52"/>
        <v>3.0758817534921601E-3</v>
      </c>
      <c r="S293" s="6">
        <f t="shared" si="53"/>
        <v>4.5526395938602082E-3</v>
      </c>
      <c r="T293" s="6">
        <f t="shared" si="54"/>
        <v>7.0298164751509962E-3</v>
      </c>
      <c r="U293" s="6">
        <f t="shared" si="55"/>
        <v>7.2187171027047192E-3</v>
      </c>
      <c r="V293" s="6">
        <f t="shared" si="56"/>
        <v>6.8201981473703377E-3</v>
      </c>
      <c r="W293" s="6">
        <f t="shared" si="57"/>
        <v>1.0154866451501654E-3</v>
      </c>
      <c r="X293" s="6">
        <f t="shared" si="58"/>
        <v>6.8077005273425861E-4</v>
      </c>
      <c r="Y293" s="6">
        <f t="shared" si="59"/>
        <v>1.2840711207194211E-2</v>
      </c>
      <c r="Z293" s="6">
        <f t="shared" si="60"/>
        <v>1.6413306652207638E-4</v>
      </c>
    </row>
    <row r="294" spans="1:26" x14ac:dyDescent="0.45">
      <c r="A294">
        <v>292</v>
      </c>
      <c r="B294" s="1">
        <v>989.45431391467139</v>
      </c>
      <c r="C294" s="1">
        <v>989.45431391467139</v>
      </c>
      <c r="D294" s="2">
        <v>47.49350343177349</v>
      </c>
      <c r="E294" s="2">
        <v>82.903757043842148</v>
      </c>
      <c r="F294" s="2">
        <v>22.442679385167015</v>
      </c>
      <c r="G294" s="2">
        <v>14.93017860056438</v>
      </c>
      <c r="H294" s="2">
        <v>76.842193426473116</v>
      </c>
      <c r="I294" s="2">
        <v>50.299209708859117</v>
      </c>
      <c r="J294" s="2">
        <v>129.5541848347863</v>
      </c>
      <c r="K294" s="2">
        <v>60.766919175933275</v>
      </c>
      <c r="L294" s="2">
        <v>7.7774132082034697</v>
      </c>
      <c r="M294" s="2">
        <v>18.909012383094808</v>
      </c>
      <c r="O294" s="6">
        <f t="shared" si="49"/>
        <v>2.1083121805198779E-4</v>
      </c>
      <c r="P294" s="6">
        <f t="shared" si="50"/>
        <v>2.1083121805198779E-4</v>
      </c>
      <c r="Q294" s="6">
        <f t="shared" si="51"/>
        <v>-1.7797972902299231E-3</v>
      </c>
      <c r="R294" s="6">
        <f t="shared" si="52"/>
        <v>1.9288139177171537E-3</v>
      </c>
      <c r="S294" s="6">
        <f t="shared" si="53"/>
        <v>3.7052299739281924E-3</v>
      </c>
      <c r="T294" s="6">
        <f t="shared" si="54"/>
        <v>-7.1278357964721373E-4</v>
      </c>
      <c r="U294" s="6">
        <f t="shared" si="55"/>
        <v>-2.3247325185423717E-3</v>
      </c>
      <c r="V294" s="6">
        <f t="shared" si="56"/>
        <v>4.4821062976585502E-4</v>
      </c>
      <c r="W294" s="6">
        <f t="shared" si="57"/>
        <v>9.7949599752022998E-4</v>
      </c>
      <c r="X294" s="6">
        <f t="shared" si="58"/>
        <v>-1.9372663357847264E-3</v>
      </c>
      <c r="Y294" s="6">
        <f t="shared" si="59"/>
        <v>3.0201386664274743E-4</v>
      </c>
      <c r="Z294" s="6">
        <f t="shared" si="60"/>
        <v>3.1579501699556811E-3</v>
      </c>
    </row>
    <row r="295" spans="1:26" x14ac:dyDescent="0.45">
      <c r="A295">
        <v>293</v>
      </c>
      <c r="B295" s="1">
        <v>989.66292177288085</v>
      </c>
      <c r="C295" s="1">
        <v>989.66292177288085</v>
      </c>
      <c r="D295" s="2">
        <v>47.408974623062093</v>
      </c>
      <c r="E295" s="2">
        <v>83.06366296425935</v>
      </c>
      <c r="F295" s="2">
        <v>22.525834673520198</v>
      </c>
      <c r="G295" s="2">
        <v>14.919536614416698</v>
      </c>
      <c r="H295" s="2">
        <v>76.663555880618475</v>
      </c>
      <c r="I295" s="2">
        <v>50.321754349319448</v>
      </c>
      <c r="J295" s="2">
        <v>129.68108264029397</v>
      </c>
      <c r="K295" s="2">
        <v>60.649197469084385</v>
      </c>
      <c r="L295" s="2">
        <v>7.7797620948389579</v>
      </c>
      <c r="M295" s="2">
        <v>18.968726101963696</v>
      </c>
      <c r="O295" s="6">
        <f t="shared" si="49"/>
        <v>-1.9542842416897521E-4</v>
      </c>
      <c r="P295" s="6">
        <f t="shared" si="50"/>
        <v>-1.9542842416897521E-4</v>
      </c>
      <c r="Q295" s="6">
        <f t="shared" si="51"/>
        <v>-3.3361888775363946E-3</v>
      </c>
      <c r="R295" s="6">
        <f t="shared" si="52"/>
        <v>4.4947872300973302E-3</v>
      </c>
      <c r="S295" s="6">
        <f t="shared" si="53"/>
        <v>4.8345895624044566E-3</v>
      </c>
      <c r="T295" s="6">
        <f t="shared" si="54"/>
        <v>-3.0231100487364548E-3</v>
      </c>
      <c r="U295" s="6">
        <f t="shared" si="55"/>
        <v>6.9987568792488908E-3</v>
      </c>
      <c r="V295" s="6">
        <f t="shared" si="56"/>
        <v>-4.7573258356292669E-4</v>
      </c>
      <c r="W295" s="6">
        <f t="shared" si="57"/>
        <v>6.9313909625989822E-4</v>
      </c>
      <c r="X295" s="6">
        <f t="shared" si="58"/>
        <v>-3.4311833493759769E-3</v>
      </c>
      <c r="Y295" s="6">
        <f t="shared" si="59"/>
        <v>-3.8659024740240744E-3</v>
      </c>
      <c r="Z295" s="6">
        <f t="shared" si="60"/>
        <v>-5.2530357036162378E-4</v>
      </c>
    </row>
    <row r="296" spans="1:26" x14ac:dyDescent="0.45">
      <c r="A296">
        <v>294</v>
      </c>
      <c r="B296" s="1">
        <v>989.46951350762026</v>
      </c>
      <c r="C296" s="1">
        <v>989.46951350762026</v>
      </c>
      <c r="D296" s="2">
        <v>47.250809329229227</v>
      </c>
      <c r="E296" s="2">
        <v>83.437016455836215</v>
      </c>
      <c r="F296" s="2">
        <v>22.634737838717246</v>
      </c>
      <c r="G296" s="2">
        <v>14.874433213355163</v>
      </c>
      <c r="H296" s="2">
        <v>77.200105469725628</v>
      </c>
      <c r="I296" s="2">
        <v>50.297814651113427</v>
      </c>
      <c r="J296" s="2">
        <v>129.77096966871727</v>
      </c>
      <c r="K296" s="2">
        <v>60.441098952575445</v>
      </c>
      <c r="L296" s="2">
        <v>7.7496862933092014</v>
      </c>
      <c r="M296" s="2">
        <v>18.958761762417122</v>
      </c>
      <c r="O296" s="6">
        <f t="shared" si="49"/>
        <v>-2.1268213076742759E-3</v>
      </c>
      <c r="P296" s="6">
        <f t="shared" si="50"/>
        <v>-2.1268213076742759E-3</v>
      </c>
      <c r="Q296" s="6">
        <f t="shared" si="51"/>
        <v>-4.462559519524012E-3</v>
      </c>
      <c r="R296" s="6">
        <f t="shared" si="52"/>
        <v>-1.8810669628513965E-3</v>
      </c>
      <c r="S296" s="6">
        <f t="shared" si="53"/>
        <v>-4.4419253697254302E-3</v>
      </c>
      <c r="T296" s="6">
        <f t="shared" si="54"/>
        <v>-2.8562593931769076E-3</v>
      </c>
      <c r="U296" s="6">
        <f t="shared" si="55"/>
        <v>-1.4677892159447037E-3</v>
      </c>
      <c r="V296" s="6">
        <f t="shared" si="56"/>
        <v>-8.1553937694645029E-4</v>
      </c>
      <c r="W296" s="6">
        <f t="shared" si="57"/>
        <v>-4.4697528804179543E-3</v>
      </c>
      <c r="X296" s="6">
        <f t="shared" si="58"/>
        <v>5.412286481885964E-3</v>
      </c>
      <c r="Y296" s="6">
        <f t="shared" si="59"/>
        <v>-2.9387771176612176E-3</v>
      </c>
      <c r="Z296" s="6">
        <f t="shared" si="60"/>
        <v>-1.6232464891826615E-3</v>
      </c>
    </row>
    <row r="297" spans="1:26" x14ac:dyDescent="0.45">
      <c r="A297">
        <v>295</v>
      </c>
      <c r="B297" s="1">
        <v>987.36508866299812</v>
      </c>
      <c r="C297" s="1">
        <v>987.36508866299812</v>
      </c>
      <c r="D297" s="2">
        <v>47.03994978025186</v>
      </c>
      <c r="E297" s="2">
        <v>83.28006584070225</v>
      </c>
      <c r="F297" s="2">
        <v>22.534196022474365</v>
      </c>
      <c r="G297" s="2">
        <v>14.831947973771335</v>
      </c>
      <c r="H297" s="2">
        <v>77.08679198744737</v>
      </c>
      <c r="I297" s="2">
        <v>50.25679480269109</v>
      </c>
      <c r="J297" s="2">
        <v>129.19092550324589</v>
      </c>
      <c r="K297" s="2">
        <v>60.768223495386799</v>
      </c>
      <c r="L297" s="2">
        <v>7.7269116925613712</v>
      </c>
      <c r="M297" s="2">
        <v>18.927987018947029</v>
      </c>
      <c r="O297" s="6">
        <f t="shared" si="49"/>
        <v>-5.3689794858369222E-4</v>
      </c>
      <c r="P297" s="6">
        <f t="shared" si="50"/>
        <v>-5.3689794858369222E-4</v>
      </c>
      <c r="Q297" s="6">
        <f t="shared" si="51"/>
        <v>1.1733669314268891E-3</v>
      </c>
      <c r="R297" s="6">
        <f t="shared" si="52"/>
        <v>-2.9006794844969042E-3</v>
      </c>
      <c r="S297" s="6">
        <f t="shared" si="53"/>
        <v>-9.8158850692520172E-4</v>
      </c>
      <c r="T297" s="6">
        <f t="shared" si="54"/>
        <v>-5.5518263979670301E-4</v>
      </c>
      <c r="U297" s="6">
        <f t="shared" si="55"/>
        <v>-9.1794273374037338E-3</v>
      </c>
      <c r="V297" s="6">
        <f t="shared" si="56"/>
        <v>-1.1009613737088531E-3</v>
      </c>
      <c r="W297" s="6">
        <f t="shared" si="57"/>
        <v>-3.0362289679142229E-3</v>
      </c>
      <c r="X297" s="6">
        <f t="shared" si="58"/>
        <v>8.6099911372161664E-4</v>
      </c>
      <c r="Y297" s="6">
        <f t="shared" si="59"/>
        <v>2.9128665944779808E-3</v>
      </c>
      <c r="Z297" s="6">
        <f t="shared" si="60"/>
        <v>-4.1103101288808563E-3</v>
      </c>
    </row>
    <row r="298" spans="1:26" x14ac:dyDescent="0.45">
      <c r="A298">
        <v>296</v>
      </c>
      <c r="B298" s="1">
        <v>986.8349743723918</v>
      </c>
      <c r="C298" s="1">
        <v>986.8349743723918</v>
      </c>
      <c r="D298" s="2">
        <v>47.095144901779989</v>
      </c>
      <c r="E298" s="2">
        <v>83.03849706225057</v>
      </c>
      <c r="F298" s="2">
        <v>22.512076714645904</v>
      </c>
      <c r="G298" s="2">
        <v>14.823713533741929</v>
      </c>
      <c r="H298" s="2">
        <v>76.379179381725038</v>
      </c>
      <c r="I298" s="2">
        <v>50.201464012846913</v>
      </c>
      <c r="J298" s="2">
        <v>128.79867227284129</v>
      </c>
      <c r="K298" s="2">
        <v>60.820544881958767</v>
      </c>
      <c r="L298" s="2">
        <v>7.7494191555091145</v>
      </c>
      <c r="M298" s="2">
        <v>18.850187122183726</v>
      </c>
      <c r="O298" s="6">
        <f t="shared" si="49"/>
        <v>2.9156720685796778E-3</v>
      </c>
      <c r="P298" s="6">
        <f t="shared" si="50"/>
        <v>2.9156720685796778E-3</v>
      </c>
      <c r="Q298" s="6">
        <f t="shared" si="51"/>
        <v>1.4668371621358034E-3</v>
      </c>
      <c r="R298" s="6">
        <f t="shared" si="52"/>
        <v>3.6605102949440749E-3</v>
      </c>
      <c r="S298" s="6">
        <f t="shared" si="53"/>
        <v>4.9724510358739593E-3</v>
      </c>
      <c r="T298" s="6">
        <f t="shared" si="54"/>
        <v>4.3442928855215168E-3</v>
      </c>
      <c r="U298" s="6">
        <f t="shared" si="55"/>
        <v>-9.8205423729158525E-4</v>
      </c>
      <c r="V298" s="6">
        <f t="shared" si="56"/>
        <v>4.9387415197732487E-3</v>
      </c>
      <c r="W298" s="6">
        <f t="shared" si="57"/>
        <v>2.7230168509535524E-3</v>
      </c>
      <c r="X298" s="6">
        <f t="shared" si="58"/>
        <v>1.0625987011412263E-3</v>
      </c>
      <c r="Y298" s="6">
        <f t="shared" si="59"/>
        <v>2.9232486867891705E-3</v>
      </c>
      <c r="Z298" s="6">
        <f t="shared" si="60"/>
        <v>7.5863751551863423E-4</v>
      </c>
    </row>
    <row r="299" spans="1:26" x14ac:dyDescent="0.45">
      <c r="A299">
        <v>297</v>
      </c>
      <c r="B299" s="1">
        <v>989.71226154346698</v>
      </c>
      <c r="C299" s="1">
        <v>989.71226154346698</v>
      </c>
      <c r="D299" s="2">
        <v>47.164225810478094</v>
      </c>
      <c r="E299" s="2">
        <v>83.342460335623628</v>
      </c>
      <c r="F299" s="2">
        <v>22.624016913825319</v>
      </c>
      <c r="G299" s="2">
        <v>14.888112086983572</v>
      </c>
      <c r="H299" s="2">
        <v>76.304170884972365</v>
      </c>
      <c r="I299" s="2">
        <v>50.44939606752056</v>
      </c>
      <c r="J299" s="2">
        <v>129.14939322782067</v>
      </c>
      <c r="K299" s="2">
        <v>60.88517271395304</v>
      </c>
      <c r="L299" s="2">
        <v>7.7720726348788354</v>
      </c>
      <c r="M299" s="2">
        <v>18.864487581309159</v>
      </c>
      <c r="O299" s="6">
        <f t="shared" si="49"/>
        <v>2.4871512407109719E-3</v>
      </c>
      <c r="P299" s="6">
        <f t="shared" si="50"/>
        <v>2.4871512407109719E-3</v>
      </c>
      <c r="Q299" s="6">
        <f t="shared" si="51"/>
        <v>3.1650270249730106E-3</v>
      </c>
      <c r="R299" s="6">
        <f t="shared" si="52"/>
        <v>-5.5142691966547641E-4</v>
      </c>
      <c r="S299" s="6">
        <f t="shared" si="53"/>
        <v>4.2069905163015786E-3</v>
      </c>
      <c r="T299" s="6">
        <f t="shared" si="54"/>
        <v>2.7281845025248774E-3</v>
      </c>
      <c r="U299" s="6">
        <f t="shared" si="55"/>
        <v>1.1435004137667848E-2</v>
      </c>
      <c r="V299" s="6">
        <f t="shared" si="56"/>
        <v>6.201616721137837E-3</v>
      </c>
      <c r="W299" s="6">
        <f t="shared" si="57"/>
        <v>5.3890725174732257E-3</v>
      </c>
      <c r="X299" s="6">
        <f t="shared" si="58"/>
        <v>2.4848686668177411E-3</v>
      </c>
      <c r="Y299" s="6">
        <f t="shared" si="59"/>
        <v>3.0810640261933475E-3</v>
      </c>
      <c r="Z299" s="6">
        <f t="shared" si="60"/>
        <v>1.1784684297643233E-2</v>
      </c>
    </row>
    <row r="300" spans="1:26" x14ac:dyDescent="0.45">
      <c r="A300">
        <v>298</v>
      </c>
      <c r="B300" s="1">
        <v>992.17382562271166</v>
      </c>
      <c r="C300" s="1">
        <v>992.17382562271166</v>
      </c>
      <c r="D300" s="2">
        <v>47.313501859780189</v>
      </c>
      <c r="E300" s="2">
        <v>83.29650305944341</v>
      </c>
      <c r="F300" s="2">
        <v>22.719195938422427</v>
      </c>
      <c r="G300" s="2">
        <v>14.928729603651133</v>
      </c>
      <c r="H300" s="2">
        <v>77.176709394763336</v>
      </c>
      <c r="I300" s="2">
        <v>50.762263885744204</v>
      </c>
      <c r="J300" s="2">
        <v>129.84538867351307</v>
      </c>
      <c r="K300" s="2">
        <v>61.036464371903726</v>
      </c>
      <c r="L300" s="2">
        <v>7.7960188882831227</v>
      </c>
      <c r="M300" s="2">
        <v>19.086799611891699</v>
      </c>
      <c r="O300" s="6">
        <f t="shared" si="49"/>
        <v>1.9857791236703726E-3</v>
      </c>
      <c r="P300" s="6">
        <f t="shared" si="50"/>
        <v>1.9857791236703726E-3</v>
      </c>
      <c r="Q300" s="6">
        <f t="shared" si="51"/>
        <v>4.0604297992146154E-3</v>
      </c>
      <c r="R300" s="6">
        <f t="shared" si="52"/>
        <v>5.8541085181325059E-3</v>
      </c>
      <c r="S300" s="6">
        <f t="shared" si="53"/>
        <v>3.8236657220414028E-3</v>
      </c>
      <c r="T300" s="6">
        <f t="shared" si="54"/>
        <v>3.0819955368373009E-3</v>
      </c>
      <c r="U300" s="6">
        <f t="shared" si="55"/>
        <v>-8.3432876161082525E-4</v>
      </c>
      <c r="V300" s="6">
        <f t="shared" si="56"/>
        <v>3.2477389197411721E-3</v>
      </c>
      <c r="W300" s="6">
        <f t="shared" si="57"/>
        <v>2.8032981167878113E-3</v>
      </c>
      <c r="X300" s="6">
        <f t="shared" si="58"/>
        <v>6.6606856177966467E-3</v>
      </c>
      <c r="Y300" s="6">
        <f t="shared" si="59"/>
        <v>-5.5888410150448653E-3</v>
      </c>
      <c r="Z300" s="6">
        <f t="shared" si="60"/>
        <v>8.1702883945293792E-3</v>
      </c>
    </row>
    <row r="301" spans="1:26" x14ac:dyDescent="0.45">
      <c r="A301">
        <v>299</v>
      </c>
      <c r="B301" s="1">
        <v>994.14406369268545</v>
      </c>
      <c r="C301" s="1">
        <v>994.14406369268545</v>
      </c>
      <c r="D301" s="2">
        <v>47.505615012636838</v>
      </c>
      <c r="E301" s="2">
        <v>83.784129827534343</v>
      </c>
      <c r="F301" s="2">
        <v>22.806066549164516</v>
      </c>
      <c r="G301" s="2">
        <v>14.974739881660238</v>
      </c>
      <c r="H301" s="2">
        <v>77.1123186463888</v>
      </c>
      <c r="I301" s="2">
        <v>50.927126465820109</v>
      </c>
      <c r="J301" s="2">
        <v>130.20938400705512</v>
      </c>
      <c r="K301" s="2">
        <v>61.443009072306822</v>
      </c>
      <c r="L301" s="2">
        <v>7.7524481781662216</v>
      </c>
      <c r="M301" s="2">
        <v>19.242744269249446</v>
      </c>
      <c r="O301" s="6">
        <f t="shared" si="49"/>
        <v>-7.8832689988495019E-4</v>
      </c>
      <c r="P301" s="6">
        <f t="shared" si="50"/>
        <v>-7.8832689988495019E-4</v>
      </c>
      <c r="Q301" s="6">
        <f t="shared" si="51"/>
        <v>-1.8920909398345565E-3</v>
      </c>
      <c r="R301" s="6">
        <f t="shared" si="52"/>
        <v>3.5315251787504387E-4</v>
      </c>
      <c r="S301" s="6">
        <f t="shared" si="53"/>
        <v>-1.2530215617162499E-3</v>
      </c>
      <c r="T301" s="6">
        <f t="shared" si="54"/>
        <v>-2.249296939220824E-3</v>
      </c>
      <c r="U301" s="6">
        <f t="shared" si="55"/>
        <v>4.9354257277780533E-3</v>
      </c>
      <c r="V301" s="6">
        <f t="shared" si="56"/>
        <v>-3.4733927505053996E-3</v>
      </c>
      <c r="W301" s="6">
        <f t="shared" si="57"/>
        <v>-2.3345243711614394E-3</v>
      </c>
      <c r="X301" s="6">
        <f t="shared" si="58"/>
        <v>-7.6467619621977123E-3</v>
      </c>
      <c r="Y301" s="6">
        <f t="shared" si="59"/>
        <v>-7.045717346650382E-3</v>
      </c>
      <c r="Z301" s="6">
        <f t="shared" si="60"/>
        <v>-8.7609870954352687E-4</v>
      </c>
    </row>
    <row r="302" spans="1:26" x14ac:dyDescent="0.45">
      <c r="A302">
        <v>300</v>
      </c>
      <c r="B302" s="1">
        <v>993.36035318491554</v>
      </c>
      <c r="C302" s="1">
        <v>993.36035318491554</v>
      </c>
      <c r="D302" s="2">
        <v>47.415730068880158</v>
      </c>
      <c r="E302" s="2">
        <v>83.813718403940911</v>
      </c>
      <c r="F302" s="2">
        <v>22.777490056040477</v>
      </c>
      <c r="G302" s="2">
        <v>14.941057245078792</v>
      </c>
      <c r="H302" s="2">
        <v>77.492900767764809</v>
      </c>
      <c r="I302" s="2">
        <v>50.750236553949655</v>
      </c>
      <c r="J302" s="2">
        <v>129.90540702673673</v>
      </c>
      <c r="K302" s="2">
        <v>60.973169007689734</v>
      </c>
      <c r="L302" s="2">
        <v>7.6978266195583078</v>
      </c>
      <c r="M302" s="2">
        <v>19.22588572582708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D380B8B337FCC4BB69A0CA0F2CF6C58" ma:contentTypeVersion="12" ma:contentTypeDescription="Create a new document." ma:contentTypeScope="" ma:versionID="20d49404249c649523cc0bc27af4ca88">
  <xsd:schema xmlns:xsd="http://www.w3.org/2001/XMLSchema" xmlns:xs="http://www.w3.org/2001/XMLSchema" xmlns:p="http://schemas.microsoft.com/office/2006/metadata/properties" xmlns:ns2="328a0837-456d-483e-87f2-2d63866936b4" xmlns:ns3="48044145-bfd1-4649-85cb-c0de0d49c5f7" targetNamespace="http://schemas.microsoft.com/office/2006/metadata/properties" ma:root="true" ma:fieldsID="cc3a27bd38f0455fc0e96b1e09095698" ns2:_="" ns3:_="">
    <xsd:import namespace="328a0837-456d-483e-87f2-2d63866936b4"/>
    <xsd:import namespace="48044145-bfd1-4649-85cb-c0de0d49c5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8a0837-456d-483e-87f2-2d63866936b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044145-bfd1-4649-85cb-c0de0d49c5f7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526CD04-473C-4166-BFD5-67F6D0E854CA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A43BAD91-11C3-4677-AA91-D4AC54507AB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4E4E17E-476C-4134-8BC9-596730D2907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28a0837-456d-483e-87f2-2d63866936b4"/>
    <ds:schemaRef ds:uri="48044145-bfd1-4649-85cb-c0de0d49c5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Hedging 1 Data Supplement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Theodor Hogan</cp:lastModifiedBy>
  <dcterms:created xsi:type="dcterms:W3CDTF">2012-07-31T10:29:48Z</dcterms:created>
  <dcterms:modified xsi:type="dcterms:W3CDTF">2024-12-04T02:57:22Z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0x0101003D380B8B337FCC4BB69A0CA0F2CF6C58</vt:lpwstr>
  </property>
</Properties>
</file>