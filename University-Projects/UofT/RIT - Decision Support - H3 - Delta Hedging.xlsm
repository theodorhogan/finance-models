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msuni-my.sharepoint.com/personal/theodor_hogan_student_uva_nl/Documents/Courses/Exchange/Futures and Options Markets/RIT/"/>
    </mc:Choice>
  </mc:AlternateContent>
  <xr:revisionPtr revIDLastSave="545" documentId="13_ncr:1_{09CE6291-30D0-4EE2-AE4B-B566130F91FF}" xr6:coauthVersionLast="47" xr6:coauthVersionMax="47" xr10:uidLastSave="{C1E27919-003F-4C52-8D89-74D694867F16}"/>
  <bookViews>
    <workbookView xWindow="-98" yWindow="-98" windowWidth="21795" windowHeight="12975" xr2:uid="{00000000-000D-0000-FFFF-FFFF00000000}"/>
  </bookViews>
  <sheets>
    <sheet name="Summary" sheetId="1" r:id="rId1"/>
    <sheet name="Chart Data" sheetId="2" r:id="rId2"/>
  </sheets>
  <functionGroups builtInGroupCount="19"/>
  <definedNames>
    <definedName name="Beginning_of_case">'Chart Data'!$I$5</definedName>
    <definedName name="chart_check">'Chart Data'!$I$3</definedName>
    <definedName name="chart_reset">'Chart Data'!$I$2</definedName>
    <definedName name="chartdata">'Chart Data'!$B$2:$B$301</definedName>
    <definedName name="currenttick">'Chart Data'!$K$3</definedName>
    <definedName name="IQ_ADDIN" hidden="1">"AUTO"</definedName>
    <definedName name="IQ_CH" hidden="1">110000</definedName>
    <definedName name="IQ_CQ" hidden="1">5000</definedName>
    <definedName name="IQ_CY" hidden="1">10000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NAMES_REVISION_DATE_" hidden="1">40410.6428819444</definedName>
    <definedName name="IQ_NTM" hidden="1">6000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Portfolio_Delta">Summary!$C$27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1" i="2" l="1"/>
  <c r="D301" i="2"/>
  <c r="E300" i="2"/>
  <c r="D300" i="2"/>
  <c r="E299" i="2"/>
  <c r="D299" i="2"/>
  <c r="E298" i="2"/>
  <c r="D298" i="2"/>
  <c r="E297" i="2"/>
  <c r="D297" i="2"/>
  <c r="E296" i="2"/>
  <c r="D296" i="2"/>
  <c r="E295" i="2"/>
  <c r="D295" i="2"/>
  <c r="E294" i="2"/>
  <c r="D294" i="2"/>
  <c r="E293" i="2"/>
  <c r="D293" i="2"/>
  <c r="E292" i="2"/>
  <c r="D292" i="2"/>
  <c r="E291" i="2"/>
  <c r="D291" i="2"/>
  <c r="E290" i="2"/>
  <c r="D290" i="2"/>
  <c r="E289" i="2"/>
  <c r="D289" i="2"/>
  <c r="E288" i="2"/>
  <c r="D288" i="2"/>
  <c r="E287" i="2"/>
  <c r="D287" i="2"/>
  <c r="E286" i="2"/>
  <c r="D286" i="2"/>
  <c r="E285" i="2"/>
  <c r="D285" i="2"/>
  <c r="E284" i="2"/>
  <c r="D284" i="2"/>
  <c r="E283" i="2"/>
  <c r="D283" i="2"/>
  <c r="E282" i="2"/>
  <c r="D282" i="2"/>
  <c r="E281" i="2"/>
  <c r="D281" i="2"/>
  <c r="E280" i="2"/>
  <c r="D280" i="2"/>
  <c r="E279" i="2"/>
  <c r="D279" i="2"/>
  <c r="E278" i="2"/>
  <c r="D278" i="2"/>
  <c r="E277" i="2"/>
  <c r="D277" i="2"/>
  <c r="E276" i="2"/>
  <c r="D276" i="2"/>
  <c r="E275" i="2"/>
  <c r="D275" i="2"/>
  <c r="E274" i="2"/>
  <c r="D274" i="2"/>
  <c r="E273" i="2"/>
  <c r="D273" i="2"/>
  <c r="E272" i="2"/>
  <c r="D272" i="2"/>
  <c r="E271" i="2"/>
  <c r="D271" i="2"/>
  <c r="E270" i="2"/>
  <c r="D270" i="2"/>
  <c r="E269" i="2"/>
  <c r="D269" i="2"/>
  <c r="E268" i="2"/>
  <c r="D268" i="2"/>
  <c r="E267" i="2"/>
  <c r="D267" i="2"/>
  <c r="E266" i="2"/>
  <c r="D266" i="2"/>
  <c r="E265" i="2"/>
  <c r="D265" i="2"/>
  <c r="E264" i="2"/>
  <c r="D264" i="2"/>
  <c r="E263" i="2"/>
  <c r="D263" i="2"/>
  <c r="E262" i="2"/>
  <c r="D262" i="2"/>
  <c r="E261" i="2"/>
  <c r="D261" i="2"/>
  <c r="E260" i="2"/>
  <c r="D260" i="2"/>
  <c r="E259" i="2"/>
  <c r="D259" i="2"/>
  <c r="E258" i="2"/>
  <c r="D258" i="2"/>
  <c r="E257" i="2"/>
  <c r="D257" i="2"/>
  <c r="E256" i="2"/>
  <c r="D256" i="2"/>
  <c r="E255" i="2"/>
  <c r="D255" i="2"/>
  <c r="E254" i="2"/>
  <c r="D254" i="2"/>
  <c r="E253" i="2"/>
  <c r="D253" i="2"/>
  <c r="E252" i="2"/>
  <c r="D252" i="2"/>
  <c r="E251" i="2"/>
  <c r="D251" i="2"/>
  <c r="E250" i="2"/>
  <c r="D250" i="2"/>
  <c r="E249" i="2"/>
  <c r="D249" i="2"/>
  <c r="E248" i="2"/>
  <c r="D248" i="2"/>
  <c r="E247" i="2"/>
  <c r="D247" i="2"/>
  <c r="E246" i="2"/>
  <c r="D246" i="2"/>
  <c r="E245" i="2"/>
  <c r="D245" i="2"/>
  <c r="E244" i="2"/>
  <c r="D244" i="2"/>
  <c r="E243" i="2"/>
  <c r="D243" i="2"/>
  <c r="E242" i="2"/>
  <c r="D242" i="2"/>
  <c r="E241" i="2"/>
  <c r="D241" i="2"/>
  <c r="E240" i="2"/>
  <c r="D240" i="2"/>
  <c r="E239" i="2"/>
  <c r="D239" i="2"/>
  <c r="E238" i="2"/>
  <c r="D238" i="2"/>
  <c r="E237" i="2"/>
  <c r="D237" i="2"/>
  <c r="E236" i="2"/>
  <c r="D236" i="2"/>
  <c r="E235" i="2"/>
  <c r="D235" i="2"/>
  <c r="E234" i="2"/>
  <c r="D234" i="2"/>
  <c r="E233" i="2"/>
  <c r="D233" i="2"/>
  <c r="E232" i="2"/>
  <c r="D232" i="2"/>
  <c r="E231" i="2"/>
  <c r="D231" i="2"/>
  <c r="E230" i="2"/>
  <c r="D230" i="2"/>
  <c r="E229" i="2"/>
  <c r="D229" i="2"/>
  <c r="E228" i="2"/>
  <c r="D228" i="2"/>
  <c r="E227" i="2"/>
  <c r="D227" i="2"/>
  <c r="E226" i="2"/>
  <c r="D226" i="2"/>
  <c r="E225" i="2"/>
  <c r="D225" i="2"/>
  <c r="E224" i="2"/>
  <c r="D224" i="2"/>
  <c r="E223" i="2"/>
  <c r="D223" i="2"/>
  <c r="E222" i="2"/>
  <c r="D222" i="2"/>
  <c r="E221" i="2"/>
  <c r="D221" i="2"/>
  <c r="E220" i="2"/>
  <c r="D220" i="2"/>
  <c r="E219" i="2"/>
  <c r="D219" i="2"/>
  <c r="E218" i="2"/>
  <c r="D218" i="2"/>
  <c r="E217" i="2"/>
  <c r="D217" i="2"/>
  <c r="E216" i="2"/>
  <c r="D216" i="2"/>
  <c r="E215" i="2"/>
  <c r="D215" i="2"/>
  <c r="E214" i="2"/>
  <c r="D214" i="2"/>
  <c r="E213" i="2"/>
  <c r="D213" i="2"/>
  <c r="E212" i="2"/>
  <c r="D212" i="2"/>
  <c r="E211" i="2"/>
  <c r="D211" i="2"/>
  <c r="E210" i="2"/>
  <c r="D210" i="2"/>
  <c r="E209" i="2"/>
  <c r="D209" i="2"/>
  <c r="E208" i="2"/>
  <c r="D208" i="2"/>
  <c r="E207" i="2"/>
  <c r="D207" i="2"/>
  <c r="E206" i="2"/>
  <c r="D206" i="2"/>
  <c r="E205" i="2"/>
  <c r="D205" i="2"/>
  <c r="E204" i="2"/>
  <c r="D204" i="2"/>
  <c r="E203" i="2"/>
  <c r="D203" i="2"/>
  <c r="E202" i="2"/>
  <c r="D202" i="2"/>
  <c r="E201" i="2"/>
  <c r="D201" i="2"/>
  <c r="E200" i="2"/>
  <c r="D200" i="2"/>
  <c r="E199" i="2"/>
  <c r="D199" i="2"/>
  <c r="E198" i="2"/>
  <c r="D198" i="2"/>
  <c r="E197" i="2"/>
  <c r="D197" i="2"/>
  <c r="E196" i="2"/>
  <c r="D196" i="2"/>
  <c r="E195" i="2"/>
  <c r="D195" i="2"/>
  <c r="E194" i="2"/>
  <c r="D194" i="2"/>
  <c r="E193" i="2"/>
  <c r="D193" i="2"/>
  <c r="E192" i="2"/>
  <c r="D192" i="2"/>
  <c r="E191" i="2"/>
  <c r="D191" i="2"/>
  <c r="E190" i="2"/>
  <c r="D190" i="2"/>
  <c r="E189" i="2"/>
  <c r="D189" i="2"/>
  <c r="E188" i="2"/>
  <c r="D188" i="2"/>
  <c r="E187" i="2"/>
  <c r="D187" i="2"/>
  <c r="E186" i="2"/>
  <c r="D186" i="2"/>
  <c r="E185" i="2"/>
  <c r="D185" i="2"/>
  <c r="E184" i="2"/>
  <c r="D184" i="2"/>
  <c r="E183" i="2"/>
  <c r="D183" i="2"/>
  <c r="E182" i="2"/>
  <c r="D182" i="2"/>
  <c r="E181" i="2"/>
  <c r="D181" i="2"/>
  <c r="E180" i="2"/>
  <c r="D180" i="2"/>
  <c r="E179" i="2"/>
  <c r="D179" i="2"/>
  <c r="E178" i="2"/>
  <c r="D178" i="2"/>
  <c r="E177" i="2"/>
  <c r="D177" i="2"/>
  <c r="E176" i="2"/>
  <c r="D176" i="2"/>
  <c r="E175" i="2"/>
  <c r="D175" i="2"/>
  <c r="E174" i="2"/>
  <c r="D174" i="2"/>
  <c r="E173" i="2"/>
  <c r="D173" i="2"/>
  <c r="E172" i="2"/>
  <c r="D172" i="2"/>
  <c r="E171" i="2"/>
  <c r="D171" i="2"/>
  <c r="E170" i="2"/>
  <c r="D170" i="2"/>
  <c r="E169" i="2"/>
  <c r="D169" i="2"/>
  <c r="E168" i="2"/>
  <c r="D168" i="2"/>
  <c r="E167" i="2"/>
  <c r="D167" i="2"/>
  <c r="E166" i="2"/>
  <c r="D166" i="2"/>
  <c r="E165" i="2"/>
  <c r="D165" i="2"/>
  <c r="E164" i="2"/>
  <c r="D164" i="2"/>
  <c r="E163" i="2"/>
  <c r="D163" i="2"/>
  <c r="E162" i="2"/>
  <c r="D162" i="2"/>
  <c r="E161" i="2"/>
  <c r="D161" i="2"/>
  <c r="E160" i="2"/>
  <c r="D160" i="2"/>
  <c r="E159" i="2"/>
  <c r="D159" i="2"/>
  <c r="E158" i="2"/>
  <c r="D158" i="2"/>
  <c r="E157" i="2"/>
  <c r="D157" i="2"/>
  <c r="E156" i="2"/>
  <c r="D156" i="2"/>
  <c r="E155" i="2"/>
  <c r="D155" i="2"/>
  <c r="E154" i="2"/>
  <c r="D154" i="2"/>
  <c r="E153" i="2"/>
  <c r="D153" i="2"/>
  <c r="E152" i="2"/>
  <c r="D152" i="2"/>
  <c r="E151" i="2"/>
  <c r="D151" i="2"/>
  <c r="E150" i="2"/>
  <c r="D150" i="2"/>
  <c r="E149" i="2"/>
  <c r="D149" i="2"/>
  <c r="E148" i="2"/>
  <c r="D148" i="2"/>
  <c r="E147" i="2"/>
  <c r="D147" i="2"/>
  <c r="E146" i="2"/>
  <c r="D146" i="2"/>
  <c r="E145" i="2"/>
  <c r="D145" i="2"/>
  <c r="E144" i="2"/>
  <c r="D144" i="2"/>
  <c r="E143" i="2"/>
  <c r="D143" i="2"/>
  <c r="E142" i="2"/>
  <c r="D142" i="2"/>
  <c r="E141" i="2"/>
  <c r="D141" i="2"/>
  <c r="E140" i="2"/>
  <c r="D140" i="2"/>
  <c r="E139" i="2"/>
  <c r="D139" i="2"/>
  <c r="E138" i="2"/>
  <c r="D138" i="2"/>
  <c r="E137" i="2"/>
  <c r="D137" i="2"/>
  <c r="E136" i="2"/>
  <c r="D136" i="2"/>
  <c r="E135" i="2"/>
  <c r="D135" i="2"/>
  <c r="E134" i="2"/>
  <c r="D134" i="2"/>
  <c r="E133" i="2"/>
  <c r="D133" i="2"/>
  <c r="E132" i="2"/>
  <c r="D132" i="2"/>
  <c r="E131" i="2"/>
  <c r="D131" i="2"/>
  <c r="E130" i="2"/>
  <c r="D130" i="2"/>
  <c r="E129" i="2"/>
  <c r="D129" i="2"/>
  <c r="E128" i="2"/>
  <c r="D128" i="2"/>
  <c r="E127" i="2"/>
  <c r="D127" i="2"/>
  <c r="E126" i="2"/>
  <c r="D126" i="2"/>
  <c r="E125" i="2"/>
  <c r="D125" i="2"/>
  <c r="E124" i="2"/>
  <c r="D124" i="2"/>
  <c r="E123" i="2"/>
  <c r="D123" i="2"/>
  <c r="E122" i="2"/>
  <c r="D122" i="2"/>
  <c r="E121" i="2"/>
  <c r="D121" i="2"/>
  <c r="E120" i="2"/>
  <c r="D120" i="2"/>
  <c r="E119" i="2"/>
  <c r="D119" i="2"/>
  <c r="E118" i="2"/>
  <c r="D118" i="2"/>
  <c r="E117" i="2"/>
  <c r="D117" i="2"/>
  <c r="E116" i="2"/>
  <c r="D116" i="2"/>
  <c r="E115" i="2"/>
  <c r="D115" i="2"/>
  <c r="E114" i="2"/>
  <c r="D114" i="2"/>
  <c r="E113" i="2"/>
  <c r="D113" i="2"/>
  <c r="E112" i="2"/>
  <c r="D112" i="2"/>
  <c r="E111" i="2"/>
  <c r="D111" i="2"/>
  <c r="E110" i="2"/>
  <c r="D110" i="2"/>
  <c r="E109" i="2"/>
  <c r="D109" i="2"/>
  <c r="E108" i="2"/>
  <c r="D108" i="2"/>
  <c r="E107" i="2"/>
  <c r="D107" i="2"/>
  <c r="E106" i="2"/>
  <c r="D106" i="2"/>
  <c r="E105" i="2"/>
  <c r="D105" i="2"/>
  <c r="E104" i="2"/>
  <c r="D104" i="2"/>
  <c r="E103" i="2"/>
  <c r="D103" i="2"/>
  <c r="E102" i="2"/>
  <c r="D102" i="2"/>
  <c r="E101" i="2"/>
  <c r="D101" i="2"/>
  <c r="E100" i="2"/>
  <c r="D100" i="2"/>
  <c r="E99" i="2"/>
  <c r="D99" i="2"/>
  <c r="E98" i="2"/>
  <c r="D98" i="2"/>
  <c r="E97" i="2"/>
  <c r="D97" i="2"/>
  <c r="E96" i="2"/>
  <c r="D96" i="2"/>
  <c r="E95" i="2"/>
  <c r="D95" i="2"/>
  <c r="E94" i="2"/>
  <c r="D94" i="2"/>
  <c r="E93" i="2"/>
  <c r="D93" i="2"/>
  <c r="E92" i="2"/>
  <c r="D92" i="2"/>
  <c r="E91" i="2"/>
  <c r="D91" i="2"/>
  <c r="E90" i="2"/>
  <c r="D90" i="2"/>
  <c r="E89" i="2"/>
  <c r="D89" i="2"/>
  <c r="E88" i="2"/>
  <c r="D88" i="2"/>
  <c r="E87" i="2"/>
  <c r="D87" i="2"/>
  <c r="E86" i="2"/>
  <c r="D86" i="2"/>
  <c r="E85" i="2"/>
  <c r="D85" i="2"/>
  <c r="E84" i="2"/>
  <c r="D84" i="2"/>
  <c r="E83" i="2"/>
  <c r="D83" i="2"/>
  <c r="E82" i="2"/>
  <c r="D82" i="2"/>
  <c r="E81" i="2"/>
  <c r="D81" i="2"/>
  <c r="E80" i="2"/>
  <c r="D80" i="2"/>
  <c r="E79" i="2"/>
  <c r="D79" i="2"/>
  <c r="E78" i="2"/>
  <c r="D78" i="2"/>
  <c r="E77" i="2"/>
  <c r="D77" i="2"/>
  <c r="E76" i="2"/>
  <c r="D76" i="2"/>
  <c r="E75" i="2"/>
  <c r="D75" i="2"/>
  <c r="E74" i="2"/>
  <c r="D74" i="2"/>
  <c r="E73" i="2"/>
  <c r="D73" i="2"/>
  <c r="E72" i="2"/>
  <c r="D72" i="2"/>
  <c r="E71" i="2"/>
  <c r="D71" i="2"/>
  <c r="E70" i="2"/>
  <c r="D70" i="2"/>
  <c r="E69" i="2"/>
  <c r="D69" i="2"/>
  <c r="E68" i="2"/>
  <c r="D68" i="2"/>
  <c r="E67" i="2"/>
  <c r="D67" i="2"/>
  <c r="E66" i="2"/>
  <c r="D66" i="2"/>
  <c r="E65" i="2"/>
  <c r="D65" i="2"/>
  <c r="E64" i="2"/>
  <c r="D64" i="2"/>
  <c r="E63" i="2"/>
  <c r="D63" i="2"/>
  <c r="E62" i="2"/>
  <c r="D62" i="2"/>
  <c r="E61" i="2"/>
  <c r="D61" i="2"/>
  <c r="E60" i="2"/>
  <c r="D60" i="2"/>
  <c r="E59" i="2"/>
  <c r="D59" i="2"/>
  <c r="E58" i="2"/>
  <c r="D58" i="2"/>
  <c r="E57" i="2"/>
  <c r="D57" i="2"/>
  <c r="E56" i="2"/>
  <c r="D56" i="2"/>
  <c r="E55" i="2"/>
  <c r="D55" i="2"/>
  <c r="E54" i="2"/>
  <c r="D54" i="2"/>
  <c r="E53" i="2"/>
  <c r="D53" i="2"/>
  <c r="E52" i="2"/>
  <c r="D52" i="2"/>
  <c r="E51" i="2"/>
  <c r="D51" i="2"/>
  <c r="E50" i="2"/>
  <c r="D50" i="2"/>
  <c r="E49" i="2"/>
  <c r="D49" i="2"/>
  <c r="E48" i="2"/>
  <c r="D48" i="2"/>
  <c r="E47" i="2"/>
  <c r="D47" i="2"/>
  <c r="E46" i="2"/>
  <c r="D46" i="2"/>
  <c r="E45" i="2"/>
  <c r="D45" i="2"/>
  <c r="E44" i="2"/>
  <c r="D44" i="2"/>
  <c r="E43" i="2"/>
  <c r="D43" i="2"/>
  <c r="E42" i="2"/>
  <c r="D42" i="2"/>
  <c r="E41" i="2"/>
  <c r="D41" i="2"/>
  <c r="E40" i="2"/>
  <c r="D40" i="2"/>
  <c r="E39" i="2"/>
  <c r="D39" i="2"/>
  <c r="E38" i="2"/>
  <c r="D38" i="2"/>
  <c r="E37" i="2"/>
  <c r="D37" i="2"/>
  <c r="E36" i="2"/>
  <c r="D36" i="2"/>
  <c r="E35" i="2"/>
  <c r="D35" i="2"/>
  <c r="E34" i="2"/>
  <c r="D34" i="2"/>
  <c r="E33" i="2"/>
  <c r="D33" i="2"/>
  <c r="E32" i="2"/>
  <c r="D32" i="2"/>
  <c r="E31" i="2"/>
  <c r="D31" i="2"/>
  <c r="E30" i="2"/>
  <c r="D30" i="2"/>
  <c r="E29" i="2"/>
  <c r="D29" i="2"/>
  <c r="E28" i="2"/>
  <c r="D28" i="2"/>
  <c r="E27" i="2"/>
  <c r="D27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E7" i="2"/>
  <c r="D7" i="2"/>
  <c r="E6" i="2"/>
  <c r="D6" i="2"/>
  <c r="E5" i="2"/>
  <c r="D5" i="2"/>
  <c r="E4" i="2"/>
  <c r="D4" i="2"/>
  <c r="E3" i="2"/>
  <c r="D3" i="2"/>
  <c r="E2" i="2"/>
  <c r="D2" i="2"/>
  <c r="C24" i="1"/>
  <c r="K3" i="2"/>
  <c r="C5" i="1"/>
  <c r="C8" i="1"/>
  <c r="I2" i="2"/>
  <c r="C21" i="1"/>
  <c r="I5" i="2" l="1"/>
  <c r="C9" i="1"/>
  <c r="C10" i="1" s="1"/>
  <c r="C13" i="1" s="1"/>
  <c r="C25" i="1"/>
  <c r="C14" i="1" l="1"/>
  <c r="C17" i="1" s="1"/>
  <c r="C16" i="1"/>
  <c r="C22" i="1" s="1"/>
  <c r="C27" i="1" l="1"/>
  <c r="C19" i="1"/>
</calcChain>
</file>

<file path=xl/sharedStrings.xml><?xml version="1.0" encoding="utf-8"?>
<sst xmlns="http://schemas.openxmlformats.org/spreadsheetml/2006/main" count="41" uniqueCount="41">
  <si>
    <t>d1</t>
  </si>
  <si>
    <t>d2</t>
  </si>
  <si>
    <t>N(d2)</t>
  </si>
  <si>
    <t>Call Price</t>
  </si>
  <si>
    <t>Stock Price</t>
  </si>
  <si>
    <t>Strike Price</t>
  </si>
  <si>
    <t>Risk Free Rate</t>
  </si>
  <si>
    <t>Time to Expiration</t>
  </si>
  <si>
    <t>Sigma (Volatility)</t>
  </si>
  <si>
    <t>Time Remaining</t>
  </si>
  <si>
    <t>Days Remaining</t>
  </si>
  <si>
    <t>N(d1) (Option Delta)</t>
  </si>
  <si>
    <t>Delta from Options</t>
  </si>
  <si>
    <t>SAC Stock Position</t>
  </si>
  <si>
    <t>SAC Option Position</t>
  </si>
  <si>
    <t>Delta from Stocks</t>
  </si>
  <si>
    <t>Portfolio Delta</t>
  </si>
  <si>
    <t>&lt;-- =RTD("rit2.rtd",,"SAC","LAST")</t>
  </si>
  <si>
    <t>&lt;-- =RTD("rit2.rtd",,"TIMEREMAINING")</t>
  </si>
  <si>
    <t>&lt;-- =RTD("rit2.rtd",,"SAC50C","POSITION")</t>
  </si>
  <si>
    <t>&lt;-- =RTD("rit2.rtd",,"SAC","POSITION")</t>
  </si>
  <si>
    <t>version 1.0</t>
  </si>
  <si>
    <t>&lt;-- =NORMSDIST(C13)</t>
  </si>
  <si>
    <t>Tick</t>
  </si>
  <si>
    <t>Time Elapsed</t>
  </si>
  <si>
    <t>1,0,S</t>
  </si>
  <si>
    <t>News</t>
  </si>
  <si>
    <t>Check</t>
  </si>
  <si>
    <t>Beginning of case?</t>
  </si>
  <si>
    <t>Limit for Delta</t>
  </si>
  <si>
    <t>&lt;-- by changing the value in this cell, you will change the level for the two green bars in the chart above</t>
  </si>
  <si>
    <t>&lt;--=C22+C25</t>
  </si>
  <si>
    <t>&lt;-- =C24</t>
  </si>
  <si>
    <t>&lt;-- =C8/15</t>
  </si>
  <si>
    <t>&lt;-- =C9/252</t>
  </si>
  <si>
    <t>&lt;-- =(LN(C5/C6)+(C7+0.5*C11^2)*C10)/(C11*SQRT(C10))</t>
  </si>
  <si>
    <t>&lt;-- =C13-C11*SQRT(C10)</t>
  </si>
  <si>
    <t>&lt;-- =NORMSDIST(C14)</t>
  </si>
  <si>
    <t>&lt;-- =C5*C16-C6*EXP(-C7*C10)*C17</t>
  </si>
  <si>
    <t>&lt;-- =C21*C16*100</t>
  </si>
  <si>
    <t>Decision Support - Hedging 3 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</si>
</sst>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Arial"/>
      <family val="2"/>
    </font>
    <font>
      <sz val="10"/>
      <color theme="1"/>
      <name val="Arial"/>
      <family val="2"/>
    </font>
    <font>
      <b/>
      <sz val="16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9" fontId="0" fillId="2" borderId="0" xfId="0" applyNumberFormat="1" applyFill="1"/>
    <xf numFmtId="0" fontId="0" fillId="2" borderId="3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9" fontId="2" fillId="2" borderId="1" xfId="0" applyNumberFormat="1" applyFont="1" applyFill="1" applyBorder="1" applyAlignment="1">
      <alignment horizontal="left" vertical="center"/>
    </xf>
    <xf numFmtId="9" fontId="3" fillId="2" borderId="0" xfId="0" applyNumberFormat="1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2" borderId="9" xfId="0" applyFont="1" applyFill="1" applyBorder="1"/>
    <xf numFmtId="0" fontId="1" fillId="2" borderId="10" xfId="0" applyFont="1" applyFill="1" applyBorder="1"/>
    <xf numFmtId="0" fontId="1" fillId="2" borderId="5" xfId="0" applyFont="1" applyFill="1" applyBorder="1"/>
    <xf numFmtId="0" fontId="0" fillId="2" borderId="0" xfId="0" applyFill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it2.rtd">
      <tp t="s">
        <v>TIMEREMAINING</v>
        <stp/>
        <stp>TIMEREMAINING</stp>
        <tr r="K3" s="2"/>
        <tr r="C8" s="1"/>
      </tp>
      <tp t="s">
        <v>LATESTNEWS|1</v>
        <stp/>
        <stp>LATESTNEWS</stp>
        <stp>1</stp>
        <tr r="I2" s="2"/>
      </tp>
      <tp t="s">
        <v>SAC|POSITION</v>
        <stp/>
        <stp>SAC</stp>
        <stp>POSITION</stp>
        <tr r="C24" s="1"/>
      </tp>
      <tp t="s">
        <v>SAC|LAST</v>
        <stp/>
        <stp>SAC</stp>
        <stp>LAST</stp>
        <tr r="C5" s="1"/>
      </tp>
      <tp t="s">
        <v>SAC50C|POSITION</v>
        <stp/>
        <stp>SAC50C</stp>
        <stp>POSITION</stp>
        <tr r="C21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volatileDependencies" Target="volatileDependencie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Portfolio's Delta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Data'!$A$2:$A$301</c:f>
              <c:numCache>
                <c:formatCode>General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'Chart Data'!$B$2:$B$301</c:f>
              <c:numCache>
                <c:formatCode>General</c:formatCode>
                <c:ptCount val="300"/>
                <c:pt idx="0">
                  <c:v>-10168.290195216985</c:v>
                </c:pt>
                <c:pt idx="1">
                  <c:v>-10168.008579455416</c:v>
                </c:pt>
                <c:pt idx="2">
                  <c:v>-10167.726490576561</c:v>
                </c:pt>
                <c:pt idx="4">
                  <c:v>-10167.160883882178</c:v>
                </c:pt>
                <c:pt idx="5">
                  <c:v>-10166.877361223476</c:v>
                </c:pt>
                <c:pt idx="6">
                  <c:v>-10166.593355760653</c:v>
                </c:pt>
                <c:pt idx="7">
                  <c:v>-10166.308865020257</c:v>
                </c:pt>
                <c:pt idx="8">
                  <c:v>-10166.023886507637</c:v>
                </c:pt>
                <c:pt idx="9">
                  <c:v>-10165.738417706707</c:v>
                </c:pt>
                <c:pt idx="10">
                  <c:v>-10165.452456079653</c:v>
                </c:pt>
                <c:pt idx="11">
                  <c:v>-10165.165999066698</c:v>
                </c:pt>
                <c:pt idx="12">
                  <c:v>-10164.879044085828</c:v>
                </c:pt>
                <c:pt idx="13">
                  <c:v>-10164.591588532516</c:v>
                </c:pt>
                <c:pt idx="14">
                  <c:v>-10164.303629779452</c:v>
                </c:pt>
                <c:pt idx="15">
                  <c:v>-9814.4210966404407</c:v>
                </c:pt>
                <c:pt idx="16">
                  <c:v>-9385.1786562626239</c:v>
                </c:pt>
                <c:pt idx="17">
                  <c:v>-9461.5044138478697</c:v>
                </c:pt>
                <c:pt idx="18">
                  <c:v>-8603.348004614807</c:v>
                </c:pt>
                <c:pt idx="19">
                  <c:v>-9771.6252820480513</c:v>
                </c:pt>
                <c:pt idx="20">
                  <c:v>-9221.7552534050319</c:v>
                </c:pt>
                <c:pt idx="21">
                  <c:v>-9259.0148170953034</c:v>
                </c:pt>
                <c:pt idx="22">
                  <c:v>-9493.1076732868733</c:v>
                </c:pt>
                <c:pt idx="23">
                  <c:v>-9688.765948116863</c:v>
                </c:pt>
                <c:pt idx="24">
                  <c:v>-9371.6368768731463</c:v>
                </c:pt>
                <c:pt idx="25">
                  <c:v>-9132.7868859888404</c:v>
                </c:pt>
                <c:pt idx="26">
                  <c:v>-9447.4246773561026</c:v>
                </c:pt>
                <c:pt idx="27">
                  <c:v>-9962.1305842977927</c:v>
                </c:pt>
                <c:pt idx="28">
                  <c:v>-10793.611981139471</c:v>
                </c:pt>
                <c:pt idx="29">
                  <c:v>-10517.496600204184</c:v>
                </c:pt>
                <c:pt idx="30">
                  <c:v>-10834.906562433718</c:v>
                </c:pt>
                <c:pt idx="31">
                  <c:v>-10875.450953959493</c:v>
                </c:pt>
                <c:pt idx="32">
                  <c:v>-10757.428815783778</c:v>
                </c:pt>
                <c:pt idx="33">
                  <c:v>-10678.594287359185</c:v>
                </c:pt>
                <c:pt idx="34">
                  <c:v>-9635.5613664702687</c:v>
                </c:pt>
                <c:pt idx="35">
                  <c:v>-9070.4212080335492</c:v>
                </c:pt>
                <c:pt idx="36">
                  <c:v>-8466.3270843086739</c:v>
                </c:pt>
                <c:pt idx="37">
                  <c:v>-9065.7017068879613</c:v>
                </c:pt>
                <c:pt idx="38">
                  <c:v>-8740.5296536411279</c:v>
                </c:pt>
                <c:pt idx="39">
                  <c:v>-8135.8384535233026</c:v>
                </c:pt>
                <c:pt idx="40">
                  <c:v>-7813.7285971451902</c:v>
                </c:pt>
                <c:pt idx="41">
                  <c:v>-8127.5819871189087</c:v>
                </c:pt>
                <c:pt idx="42">
                  <c:v>-8485.5565301275183</c:v>
                </c:pt>
                <c:pt idx="43">
                  <c:v>-8522.5250433699075</c:v>
                </c:pt>
                <c:pt idx="44">
                  <c:v>-9622.4008495093294</c:v>
                </c:pt>
                <c:pt idx="45">
                  <c:v>-10482.884436229569</c:v>
                </c:pt>
                <c:pt idx="46">
                  <c:v>-9990.2658260895878</c:v>
                </c:pt>
                <c:pt idx="47">
                  <c:v>-9329.5963132887282</c:v>
                </c:pt>
                <c:pt idx="48">
                  <c:v>-8627.8283437251375</c:v>
                </c:pt>
                <c:pt idx="49">
                  <c:v>-6102.4970496819542</c:v>
                </c:pt>
                <c:pt idx="50">
                  <c:v>-8827.1787081322436</c:v>
                </c:pt>
                <c:pt idx="51">
                  <c:v>-8248.2097206338731</c:v>
                </c:pt>
                <c:pt idx="52">
                  <c:v>-8614.4334814116482</c:v>
                </c:pt>
                <c:pt idx="53">
                  <c:v>-8901.3253863320242</c:v>
                </c:pt>
                <c:pt idx="54">
                  <c:v>-4426.541285621639</c:v>
                </c:pt>
                <c:pt idx="55">
                  <c:v>-9020.8844013580892</c:v>
                </c:pt>
                <c:pt idx="56">
                  <c:v>-9773.7876372645078</c:v>
                </c:pt>
                <c:pt idx="57">
                  <c:v>-9730.5906058306173</c:v>
                </c:pt>
                <c:pt idx="58">
                  <c:v>-9265.4967037280312</c:v>
                </c:pt>
                <c:pt idx="59">
                  <c:v>-8007.6732789031948</c:v>
                </c:pt>
                <c:pt idx="60">
                  <c:v>-7837.7882759687991</c:v>
                </c:pt>
                <c:pt idx="61">
                  <c:v>-7750.3082849783368</c:v>
                </c:pt>
                <c:pt idx="62">
                  <c:v>-7254.4110926294861</c:v>
                </c:pt>
                <c:pt idx="63">
                  <c:v>-7167.2231922679357</c:v>
                </c:pt>
                <c:pt idx="64">
                  <c:v>-6879.1053666770777</c:v>
                </c:pt>
                <c:pt idx="65">
                  <c:v>-6752.4107105378534</c:v>
                </c:pt>
                <c:pt idx="66">
                  <c:v>-6665.674162695761</c:v>
                </c:pt>
                <c:pt idx="67">
                  <c:v>-6110.3255899883043</c:v>
                </c:pt>
                <c:pt idx="68">
                  <c:v>-5172.1819118876329</c:v>
                </c:pt>
                <c:pt idx="69">
                  <c:v>-5343.115178299684</c:v>
                </c:pt>
                <c:pt idx="70">
                  <c:v>-5893.3635555394367</c:v>
                </c:pt>
                <c:pt idx="71">
                  <c:v>-5179.1385615470099</c:v>
                </c:pt>
                <c:pt idx="72">
                  <c:v>-4990.6505130089345</c:v>
                </c:pt>
                <c:pt idx="73">
                  <c:v>-4330.2345034627506</c:v>
                </c:pt>
                <c:pt idx="74">
                  <c:v>-4419.1081951675887</c:v>
                </c:pt>
                <c:pt idx="75">
                  <c:v>-4049.3077176481443</c:v>
                </c:pt>
                <c:pt idx="76">
                  <c:v>-3666.1508788405245</c:v>
                </c:pt>
                <c:pt idx="77">
                  <c:v>-4188.6529743527735</c:v>
                </c:pt>
                <c:pt idx="78">
                  <c:v>-4177.675801827635</c:v>
                </c:pt>
                <c:pt idx="79">
                  <c:v>-4603.4359319151927</c:v>
                </c:pt>
                <c:pt idx="80">
                  <c:v>-4523.9039858133838</c:v>
                </c:pt>
                <c:pt idx="81">
                  <c:v>-4014.6940883935981</c:v>
                </c:pt>
                <c:pt idx="82">
                  <c:v>-4166.0134555795303</c:v>
                </c:pt>
                <c:pt idx="83">
                  <c:v>-4877.6195765779603</c:v>
                </c:pt>
                <c:pt idx="84">
                  <c:v>-5766.665935347688</c:v>
                </c:pt>
                <c:pt idx="85">
                  <c:v>-5486.9400559421028</c:v>
                </c:pt>
                <c:pt idx="86">
                  <c:v>-5438.8366859182888</c:v>
                </c:pt>
                <c:pt idx="87">
                  <c:v>-6256.6942019475428</c:v>
                </c:pt>
                <c:pt idx="88">
                  <c:v>-5418.6951809138645</c:v>
                </c:pt>
                <c:pt idx="89">
                  <c:v>-4958.6027370594284</c:v>
                </c:pt>
                <c:pt idx="90">
                  <c:v>-5591.5709855339555</c:v>
                </c:pt>
                <c:pt idx="91">
                  <c:v>-5778.2385341171421</c:v>
                </c:pt>
                <c:pt idx="92">
                  <c:v>-5416.1829627138468</c:v>
                </c:pt>
                <c:pt idx="93">
                  <c:v>-5718.9686135336851</c:v>
                </c:pt>
                <c:pt idx="94">
                  <c:v>-6071.2657312718047</c:v>
                </c:pt>
                <c:pt idx="95">
                  <c:v>-5041.6533749257896</c:v>
                </c:pt>
                <c:pt idx="96">
                  <c:v>-5297.0249249370836</c:v>
                </c:pt>
                <c:pt idx="97">
                  <c:v>-5133.0231154362018</c:v>
                </c:pt>
                <c:pt idx="98">
                  <c:v>-5509.7973802185752</c:v>
                </c:pt>
                <c:pt idx="99">
                  <c:v>-5499.2815710478317</c:v>
                </c:pt>
                <c:pt idx="100">
                  <c:v>-4688.3652581688939</c:v>
                </c:pt>
                <c:pt idx="101">
                  <c:v>-5165.3372461297195</c:v>
                </c:pt>
                <c:pt idx="102">
                  <c:v>-5231.6102073649145</c:v>
                </c:pt>
                <c:pt idx="103">
                  <c:v>-5259.4607229379126</c:v>
                </c:pt>
                <c:pt idx="104">
                  <c:v>-5565.7418828443997</c:v>
                </c:pt>
                <c:pt idx="105">
                  <c:v>-4966.3246654292825</c:v>
                </c:pt>
                <c:pt idx="106">
                  <c:v>-5706.6864082787479</c:v>
                </c:pt>
                <c:pt idx="107">
                  <c:v>-6196.784364427851</c:v>
                </c:pt>
                <c:pt idx="108">
                  <c:v>-7104.7402257827189</c:v>
                </c:pt>
                <c:pt idx="109">
                  <c:v>-8010.27265844659</c:v>
                </c:pt>
                <c:pt idx="110">
                  <c:v>-7865.2264063285802</c:v>
                </c:pt>
                <c:pt idx="111">
                  <c:v>-8045.2099078873698</c:v>
                </c:pt>
                <c:pt idx="112">
                  <c:v>-8227.0380800173862</c:v>
                </c:pt>
                <c:pt idx="113">
                  <c:v>-8316.0485770873674</c:v>
                </c:pt>
                <c:pt idx="114">
                  <c:v>-8074.7225248963678</c:v>
                </c:pt>
                <c:pt idx="115">
                  <c:v>-9311.7680169685027</c:v>
                </c:pt>
                <c:pt idx="116">
                  <c:v>-9309.1780441005503</c:v>
                </c:pt>
                <c:pt idx="117">
                  <c:v>-10179.770865629511</c:v>
                </c:pt>
                <c:pt idx="118">
                  <c:v>-11193.679803834802</c:v>
                </c:pt>
                <c:pt idx="119">
                  <c:v>-11339.974704230286</c:v>
                </c:pt>
                <c:pt idx="120">
                  <c:v>-10325.60283044027</c:v>
                </c:pt>
                <c:pt idx="121">
                  <c:v>-11249.685247902267</c:v>
                </c:pt>
                <c:pt idx="122">
                  <c:v>-12252.418536574345</c:v>
                </c:pt>
                <c:pt idx="123">
                  <c:v>-12304.787073666645</c:v>
                </c:pt>
                <c:pt idx="124">
                  <c:v>-11788.877172175129</c:v>
                </c:pt>
                <c:pt idx="125">
                  <c:v>-11406.887825377567</c:v>
                </c:pt>
                <c:pt idx="126">
                  <c:v>-9929.0292217977803</c:v>
                </c:pt>
                <c:pt idx="127">
                  <c:v>-11070.200536573193</c:v>
                </c:pt>
                <c:pt idx="128">
                  <c:v>-10626.314304945099</c:v>
                </c:pt>
                <c:pt idx="129">
                  <c:v>-10876.482608512106</c:v>
                </c:pt>
                <c:pt idx="130">
                  <c:v>-10828.436934521307</c:v>
                </c:pt>
                <c:pt idx="131">
                  <c:v>-9974.7232824993844</c:v>
                </c:pt>
                <c:pt idx="132">
                  <c:v>-10226.956766914918</c:v>
                </c:pt>
                <c:pt idx="133">
                  <c:v>-9668.1958519294403</c:v>
                </c:pt>
                <c:pt idx="134">
                  <c:v>-9768.3726122620192</c:v>
                </c:pt>
                <c:pt idx="135">
                  <c:v>-9613.542103657217</c:v>
                </c:pt>
                <c:pt idx="136">
                  <c:v>-9919.2613944031928</c:v>
                </c:pt>
                <c:pt idx="137">
                  <c:v>-10380.553802309076</c:v>
                </c:pt>
                <c:pt idx="138">
                  <c:v>-9092.4390424228441</c:v>
                </c:pt>
                <c:pt idx="139">
                  <c:v>-9243.704467042151</c:v>
                </c:pt>
                <c:pt idx="140">
                  <c:v>-9240.5686677880021</c:v>
                </c:pt>
                <c:pt idx="141">
                  <c:v>-10070.303178942067</c:v>
                </c:pt>
                <c:pt idx="142">
                  <c:v>-11005.186513805394</c:v>
                </c:pt>
                <c:pt idx="143">
                  <c:v>-10903.962582219507</c:v>
                </c:pt>
                <c:pt idx="144">
                  <c:v>-10906.084615496453</c:v>
                </c:pt>
                <c:pt idx="145">
                  <c:v>-10855.997226620842</c:v>
                </c:pt>
                <c:pt idx="146">
                  <c:v>-10700.514995729387</c:v>
                </c:pt>
                <c:pt idx="147">
                  <c:v>-10807.398763832225</c:v>
                </c:pt>
                <c:pt idx="148">
                  <c:v>-10703.548914302855</c:v>
                </c:pt>
                <c:pt idx="149">
                  <c:v>-10065.796070424898</c:v>
                </c:pt>
                <c:pt idx="150">
                  <c:v>-10439.894311545577</c:v>
                </c:pt>
                <c:pt idx="151">
                  <c:v>-10708.234311986213</c:v>
                </c:pt>
                <c:pt idx="152">
                  <c:v>-11190.343147012056</c:v>
                </c:pt>
                <c:pt idx="153">
                  <c:v>-11775.580885024308</c:v>
                </c:pt>
                <c:pt idx="154">
                  <c:v>-12146.885227663677</c:v>
                </c:pt>
                <c:pt idx="155">
                  <c:v>-12412.544428853396</c:v>
                </c:pt>
                <c:pt idx="156">
                  <c:v>-4934.2559791065778</c:v>
                </c:pt>
                <c:pt idx="157">
                  <c:v>-12685.257462818112</c:v>
                </c:pt>
                <c:pt idx="158">
                  <c:v>-12847.279999443042</c:v>
                </c:pt>
                <c:pt idx="159">
                  <c:v>-13160.708400375859</c:v>
                </c:pt>
                <c:pt idx="160">
                  <c:v>-13861.451499373763</c:v>
                </c:pt>
                <c:pt idx="161">
                  <c:v>-13028.2314553247</c:v>
                </c:pt>
                <c:pt idx="162">
                  <c:v>-13592.008837321771</c:v>
                </c:pt>
                <c:pt idx="163">
                  <c:v>-5046.7380871130663</c:v>
                </c:pt>
                <c:pt idx="164">
                  <c:v>-14527.584828549669</c:v>
                </c:pt>
                <c:pt idx="165">
                  <c:v>-13874.213876130059</c:v>
                </c:pt>
                <c:pt idx="166">
                  <c:v>-14920.786854864951</c:v>
                </c:pt>
                <c:pt idx="167">
                  <c:v>-14709.303812763266</c:v>
                </c:pt>
                <c:pt idx="168">
                  <c:v>-14951.637323843124</c:v>
                </c:pt>
                <c:pt idx="169">
                  <c:v>-15363.410048552478</c:v>
                </c:pt>
                <c:pt idx="170">
                  <c:v>-15161.801834331427</c:v>
                </c:pt>
                <c:pt idx="171">
                  <c:v>-13649.155020288299</c:v>
                </c:pt>
                <c:pt idx="172">
                  <c:v>-13035.005360815356</c:v>
                </c:pt>
                <c:pt idx="173">
                  <c:v>-13257.964970884355</c:v>
                </c:pt>
                <c:pt idx="174">
                  <c:v>-13109.877540034955</c:v>
                </c:pt>
                <c:pt idx="175">
                  <c:v>-12741.644802823297</c:v>
                </c:pt>
                <c:pt idx="176">
                  <c:v>-12969.956026195856</c:v>
                </c:pt>
                <c:pt idx="177">
                  <c:v>-12371.940483056902</c:v>
                </c:pt>
                <c:pt idx="178">
                  <c:v>-14400.220297674068</c:v>
                </c:pt>
                <c:pt idx="179">
                  <c:v>-14993.834436782628</c:v>
                </c:pt>
                <c:pt idx="180">
                  <c:v>-14381.709027582352</c:v>
                </c:pt>
                <c:pt idx="181">
                  <c:v>-13461.550186369806</c:v>
                </c:pt>
                <c:pt idx="182">
                  <c:v>-14513.378168430316</c:v>
                </c:pt>
                <c:pt idx="183">
                  <c:v>-13487.669029452678</c:v>
                </c:pt>
                <c:pt idx="184">
                  <c:v>-12778.110778192429</c:v>
                </c:pt>
                <c:pt idx="185">
                  <c:v>-11018.653367777544</c:v>
                </c:pt>
                <c:pt idx="186">
                  <c:v>-12043.283849741325</c:v>
                </c:pt>
                <c:pt idx="187">
                  <c:v>-11932.296421974517</c:v>
                </c:pt>
                <c:pt idx="188">
                  <c:v>-12296.802647401732</c:v>
                </c:pt>
                <c:pt idx="189">
                  <c:v>-11523.764654953638</c:v>
                </c:pt>
                <c:pt idx="190">
                  <c:v>-12960.906801947351</c:v>
                </c:pt>
                <c:pt idx="191">
                  <c:v>-13654.632943002782</c:v>
                </c:pt>
                <c:pt idx="192">
                  <c:v>-13557.618447871959</c:v>
                </c:pt>
                <c:pt idx="193">
                  <c:v>-13961.72886394293</c:v>
                </c:pt>
                <c:pt idx="194">
                  <c:v>-12110.576477800467</c:v>
                </c:pt>
                <c:pt idx="195">
                  <c:v>-12303.273705730035</c:v>
                </c:pt>
                <c:pt idx="196">
                  <c:v>-11251.575759048406</c:v>
                </c:pt>
                <c:pt idx="197">
                  <c:v>-11192.918707087401</c:v>
                </c:pt>
                <c:pt idx="198">
                  <c:v>-10552.63346717543</c:v>
                </c:pt>
                <c:pt idx="199">
                  <c:v>-10228.088860698592</c:v>
                </c:pt>
                <c:pt idx="200">
                  <c:v>-9307.9270944626533</c:v>
                </c:pt>
                <c:pt idx="201">
                  <c:v>-9699.7598469994755</c:v>
                </c:pt>
                <c:pt idx="202">
                  <c:v>-8638.2778575736611</c:v>
                </c:pt>
                <c:pt idx="203">
                  <c:v>-8039.6443158343063</c:v>
                </c:pt>
                <c:pt idx="204">
                  <c:v>-7000.3430040440544</c:v>
                </c:pt>
                <c:pt idx="205">
                  <c:v>-7431.0940584294412</c:v>
                </c:pt>
                <c:pt idx="206">
                  <c:v>-2026.4142967861108</c:v>
                </c:pt>
                <c:pt idx="207">
                  <c:v>-6141.2517686494457</c:v>
                </c:pt>
                <c:pt idx="208">
                  <c:v>-6998.7579709811425</c:v>
                </c:pt>
                <c:pt idx="209">
                  <c:v>-5737.5503843564029</c:v>
                </c:pt>
                <c:pt idx="210">
                  <c:v>-6265.1902203149702</c:v>
                </c:pt>
                <c:pt idx="211">
                  <c:v>-1432.4976646893142</c:v>
                </c:pt>
                <c:pt idx="212">
                  <c:v>-6350.1584734805519</c:v>
                </c:pt>
                <c:pt idx="213">
                  <c:v>-5347.3010693440083</c:v>
                </c:pt>
                <c:pt idx="214">
                  <c:v>-6762.3429206289511</c:v>
                </c:pt>
                <c:pt idx="215">
                  <c:v>-7278.1818025504253</c:v>
                </c:pt>
                <c:pt idx="216">
                  <c:v>-6591.763624737875</c:v>
                </c:pt>
                <c:pt idx="217">
                  <c:v>-6244.0970769307096</c:v>
                </c:pt>
                <c:pt idx="218">
                  <c:v>-5523.9276276881765</c:v>
                </c:pt>
                <c:pt idx="219">
                  <c:v>-4060.8611002091584</c:v>
                </c:pt>
                <c:pt idx="220">
                  <c:v>-4245.1115346015695</c:v>
                </c:pt>
                <c:pt idx="221">
                  <c:v>-3639.3842133191802</c:v>
                </c:pt>
                <c:pt idx="222">
                  <c:v>-3037.6799790285986</c:v>
                </c:pt>
                <c:pt idx="223">
                  <c:v>-3282.6384750725401</c:v>
                </c:pt>
                <c:pt idx="224">
                  <c:v>-2628.0640657790946</c:v>
                </c:pt>
                <c:pt idx="225">
                  <c:v>-2205.1371731015665</c:v>
                </c:pt>
                <c:pt idx="226">
                  <c:v>-1581.7507247960914</c:v>
                </c:pt>
                <c:pt idx="227">
                  <c:v>-1495.6965146720347</c:v>
                </c:pt>
                <c:pt idx="228">
                  <c:v>-1281.2445415632728</c:v>
                </c:pt>
                <c:pt idx="229">
                  <c:v>-960.84426074403063</c:v>
                </c:pt>
                <c:pt idx="230">
                  <c:v>-1085.2206609050236</c:v>
                </c:pt>
                <c:pt idx="231">
                  <c:v>-1150.9335630824899</c:v>
                </c:pt>
                <c:pt idx="232">
                  <c:v>-1055.3340407234739</c:v>
                </c:pt>
                <c:pt idx="233">
                  <c:v>-1096.6439107311564</c:v>
                </c:pt>
                <c:pt idx="234">
                  <c:v>-1002.5569928544014</c:v>
                </c:pt>
                <c:pt idx="235">
                  <c:v>-797.87798003058526</c:v>
                </c:pt>
                <c:pt idx="236">
                  <c:v>-810.63643768871339</c:v>
                </c:pt>
                <c:pt idx="237">
                  <c:v>-750.33261103784457</c:v>
                </c:pt>
                <c:pt idx="238">
                  <c:v>-959.61664020879937</c:v>
                </c:pt>
                <c:pt idx="239">
                  <c:v>-792.13829966197443</c:v>
                </c:pt>
                <c:pt idx="240">
                  <c:v>-489.27348769373509</c:v>
                </c:pt>
                <c:pt idx="241">
                  <c:v>-358.9548915806763</c:v>
                </c:pt>
                <c:pt idx="242">
                  <c:v>-352.64767892360646</c:v>
                </c:pt>
                <c:pt idx="243">
                  <c:v>-336.54911523682642</c:v>
                </c:pt>
                <c:pt idx="244">
                  <c:v>-527.3437699480379</c:v>
                </c:pt>
                <c:pt idx="245">
                  <c:v>-342.49797560853165</c:v>
                </c:pt>
                <c:pt idx="246">
                  <c:v>-445.75592505349624</c:v>
                </c:pt>
                <c:pt idx="247">
                  <c:v>-318.74731534121702</c:v>
                </c:pt>
                <c:pt idx="248">
                  <c:v>-177.82066239094445</c:v>
                </c:pt>
                <c:pt idx="249">
                  <c:v>-277.45647375564539</c:v>
                </c:pt>
                <c:pt idx="250">
                  <c:v>-377.48540131783648</c:v>
                </c:pt>
                <c:pt idx="251">
                  <c:v>-391.59375186354714</c:v>
                </c:pt>
                <c:pt idx="252">
                  <c:v>-737.68279908235456</c:v>
                </c:pt>
                <c:pt idx="253">
                  <c:v>-396.68931816619664</c:v>
                </c:pt>
                <c:pt idx="254">
                  <c:v>-386.91784146594932</c:v>
                </c:pt>
                <c:pt idx="255">
                  <c:v>-292.16152915890734</c:v>
                </c:pt>
                <c:pt idx="256">
                  <c:v>-366.63205272054074</c:v>
                </c:pt>
                <c:pt idx="257">
                  <c:v>-302.53433233321829</c:v>
                </c:pt>
                <c:pt idx="258">
                  <c:v>-222.52448285962441</c:v>
                </c:pt>
                <c:pt idx="259">
                  <c:v>-77.020114232222596</c:v>
                </c:pt>
                <c:pt idx="260">
                  <c:v>-51.927050997892145</c:v>
                </c:pt>
                <c:pt idx="261">
                  <c:v>-62.477820518611182</c:v>
                </c:pt>
                <c:pt idx="262">
                  <c:v>-35.914589611498485</c:v>
                </c:pt>
                <c:pt idx="263">
                  <c:v>-23.81467086715384</c:v>
                </c:pt>
                <c:pt idx="264">
                  <c:v>-24.996672053333185</c:v>
                </c:pt>
                <c:pt idx="265">
                  <c:v>-50.495701141386661</c:v>
                </c:pt>
                <c:pt idx="266">
                  <c:v>-79.682355718128022</c:v>
                </c:pt>
                <c:pt idx="267">
                  <c:v>-48.746218140185796</c:v>
                </c:pt>
                <c:pt idx="268">
                  <c:v>-61.793925435339162</c:v>
                </c:pt>
                <c:pt idx="269">
                  <c:v>-36.377620552767375</c:v>
                </c:pt>
                <c:pt idx="270">
                  <c:v>-13.949573152188815</c:v>
                </c:pt>
                <c:pt idx="271">
                  <c:v>-3.4846934072432245</c:v>
                </c:pt>
                <c:pt idx="272">
                  <c:v>-3.2736488831693209</c:v>
                </c:pt>
                <c:pt idx="273">
                  <c:v>-1.3735226178856779</c:v>
                </c:pt>
                <c:pt idx="274">
                  <c:v>-1.3350601926937626</c:v>
                </c:pt>
                <c:pt idx="275">
                  <c:v>-1.7074825800914728</c:v>
                </c:pt>
                <c:pt idx="276">
                  <c:v>-1.4230981174995117</c:v>
                </c:pt>
                <c:pt idx="277">
                  <c:v>-1.0029567185655488</c:v>
                </c:pt>
                <c:pt idx="278">
                  <c:v>-1.8485804564139885</c:v>
                </c:pt>
                <c:pt idx="279">
                  <c:v>-0.85982681089992796</c:v>
                </c:pt>
                <c:pt idx="280">
                  <c:v>-0.30877198764022729</c:v>
                </c:pt>
                <c:pt idx="281">
                  <c:v>-0.11737162862124929</c:v>
                </c:pt>
                <c:pt idx="282">
                  <c:v>-7.8895446223901836E-2</c:v>
                </c:pt>
                <c:pt idx="283">
                  <c:v>-3.3377194671011599E-2</c:v>
                </c:pt>
                <c:pt idx="284">
                  <c:v>-7.1664242020211353E-3</c:v>
                </c:pt>
                <c:pt idx="285">
                  <c:v>-1.3720666883475258E-3</c:v>
                </c:pt>
                <c:pt idx="286">
                  <c:v>-3.2064587559522861E-3</c:v>
                </c:pt>
                <c:pt idx="287">
                  <c:v>-5.1918784521057303E-5</c:v>
                </c:pt>
                <c:pt idx="288">
                  <c:v>-5.472885403881089E-6</c:v>
                </c:pt>
                <c:pt idx="289">
                  <c:v>-2.6586593301297956E-6</c:v>
                </c:pt>
                <c:pt idx="290">
                  <c:v>-3.0476327702657478E-9</c:v>
                </c:pt>
                <c:pt idx="291">
                  <c:v>-3.2489886430011161E-12</c:v>
                </c:pt>
                <c:pt idx="292">
                  <c:v>-3.3223821021576196E-15</c:v>
                </c:pt>
                <c:pt idx="293">
                  <c:v>-5.874374486737701E-17</c:v>
                </c:pt>
                <c:pt idx="294">
                  <c:v>-4.52481817008402E-22</c:v>
                </c:pt>
                <c:pt idx="295">
                  <c:v>-4.4302408460008615E-20</c:v>
                </c:pt>
                <c:pt idx="296">
                  <c:v>-4.7013954390225866E-27</c:v>
                </c:pt>
                <c:pt idx="297">
                  <c:v>-1.3255294449258491E-40</c:v>
                </c:pt>
                <c:pt idx="298">
                  <c:v>-3.4946319553825032E-81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7B-4C6A-A361-FE5DC7F2AA3F}"/>
            </c:ext>
          </c:extLst>
        </c:ser>
        <c:ser>
          <c:idx val="1"/>
          <c:order val="1"/>
          <c:tx>
            <c:v>Zero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Data'!$A$2:$A$301</c:f>
              <c:numCache>
                <c:formatCode>General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'Chart Data'!$C$2:$C$301</c:f>
              <c:numCache>
                <c:formatCode>General</c:formatCode>
                <c:ptCount val="3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7B-4C6A-A361-FE5DC7F2AA3F}"/>
            </c:ext>
          </c:extLst>
        </c:ser>
        <c:ser>
          <c:idx val="2"/>
          <c:order val="2"/>
          <c:tx>
            <c:v>Upper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Data'!$A$2:$A$301</c:f>
              <c:numCache>
                <c:formatCode>General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'Chart Data'!$D$2:$D$301</c:f>
              <c:numCache>
                <c:formatCode>General</c:formatCode>
                <c:ptCount val="300"/>
                <c:pt idx="0">
                  <c:v>3000</c:v>
                </c:pt>
                <c:pt idx="1">
                  <c:v>3000</c:v>
                </c:pt>
                <c:pt idx="2">
                  <c:v>3000</c:v>
                </c:pt>
                <c:pt idx="3">
                  <c:v>3000</c:v>
                </c:pt>
                <c:pt idx="4">
                  <c:v>3000</c:v>
                </c:pt>
                <c:pt idx="5">
                  <c:v>3000</c:v>
                </c:pt>
                <c:pt idx="6">
                  <c:v>3000</c:v>
                </c:pt>
                <c:pt idx="7">
                  <c:v>3000</c:v>
                </c:pt>
                <c:pt idx="8">
                  <c:v>3000</c:v>
                </c:pt>
                <c:pt idx="9">
                  <c:v>3000</c:v>
                </c:pt>
                <c:pt idx="10">
                  <c:v>3000</c:v>
                </c:pt>
                <c:pt idx="11">
                  <c:v>3000</c:v>
                </c:pt>
                <c:pt idx="12">
                  <c:v>3000</c:v>
                </c:pt>
                <c:pt idx="13">
                  <c:v>3000</c:v>
                </c:pt>
                <c:pt idx="14">
                  <c:v>3000</c:v>
                </c:pt>
                <c:pt idx="15">
                  <c:v>3000</c:v>
                </c:pt>
                <c:pt idx="16">
                  <c:v>3000</c:v>
                </c:pt>
                <c:pt idx="17">
                  <c:v>3000</c:v>
                </c:pt>
                <c:pt idx="18">
                  <c:v>3000</c:v>
                </c:pt>
                <c:pt idx="19">
                  <c:v>3000</c:v>
                </c:pt>
                <c:pt idx="20">
                  <c:v>3000</c:v>
                </c:pt>
                <c:pt idx="21">
                  <c:v>3000</c:v>
                </c:pt>
                <c:pt idx="22">
                  <c:v>3000</c:v>
                </c:pt>
                <c:pt idx="23">
                  <c:v>3000</c:v>
                </c:pt>
                <c:pt idx="24">
                  <c:v>3000</c:v>
                </c:pt>
                <c:pt idx="25">
                  <c:v>3000</c:v>
                </c:pt>
                <c:pt idx="26">
                  <c:v>3000</c:v>
                </c:pt>
                <c:pt idx="27">
                  <c:v>3000</c:v>
                </c:pt>
                <c:pt idx="28">
                  <c:v>3000</c:v>
                </c:pt>
                <c:pt idx="29">
                  <c:v>3000</c:v>
                </c:pt>
                <c:pt idx="30">
                  <c:v>3000</c:v>
                </c:pt>
                <c:pt idx="31">
                  <c:v>3000</c:v>
                </c:pt>
                <c:pt idx="32">
                  <c:v>3000</c:v>
                </c:pt>
                <c:pt idx="33">
                  <c:v>3000</c:v>
                </c:pt>
                <c:pt idx="34">
                  <c:v>3000</c:v>
                </c:pt>
                <c:pt idx="35">
                  <c:v>3000</c:v>
                </c:pt>
                <c:pt idx="36">
                  <c:v>3000</c:v>
                </c:pt>
                <c:pt idx="37">
                  <c:v>3000</c:v>
                </c:pt>
                <c:pt idx="38">
                  <c:v>3000</c:v>
                </c:pt>
                <c:pt idx="39">
                  <c:v>3000</c:v>
                </c:pt>
                <c:pt idx="40">
                  <c:v>3000</c:v>
                </c:pt>
                <c:pt idx="41">
                  <c:v>3000</c:v>
                </c:pt>
                <c:pt idx="42">
                  <c:v>3000</c:v>
                </c:pt>
                <c:pt idx="43">
                  <c:v>3000</c:v>
                </c:pt>
                <c:pt idx="44">
                  <c:v>3000</c:v>
                </c:pt>
                <c:pt idx="45">
                  <c:v>3000</c:v>
                </c:pt>
                <c:pt idx="46">
                  <c:v>3000</c:v>
                </c:pt>
                <c:pt idx="47">
                  <c:v>3000</c:v>
                </c:pt>
                <c:pt idx="48">
                  <c:v>3000</c:v>
                </c:pt>
                <c:pt idx="49">
                  <c:v>3000</c:v>
                </c:pt>
                <c:pt idx="50">
                  <c:v>3000</c:v>
                </c:pt>
                <c:pt idx="51">
                  <c:v>3000</c:v>
                </c:pt>
                <c:pt idx="52">
                  <c:v>3000</c:v>
                </c:pt>
                <c:pt idx="53">
                  <c:v>3000</c:v>
                </c:pt>
                <c:pt idx="54">
                  <c:v>3000</c:v>
                </c:pt>
                <c:pt idx="55">
                  <c:v>3000</c:v>
                </c:pt>
                <c:pt idx="56">
                  <c:v>3000</c:v>
                </c:pt>
                <c:pt idx="57">
                  <c:v>3000</c:v>
                </c:pt>
                <c:pt idx="58">
                  <c:v>3000</c:v>
                </c:pt>
                <c:pt idx="59">
                  <c:v>3000</c:v>
                </c:pt>
                <c:pt idx="60">
                  <c:v>3000</c:v>
                </c:pt>
                <c:pt idx="61">
                  <c:v>3000</c:v>
                </c:pt>
                <c:pt idx="62">
                  <c:v>3000</c:v>
                </c:pt>
                <c:pt idx="63">
                  <c:v>3000</c:v>
                </c:pt>
                <c:pt idx="64">
                  <c:v>3000</c:v>
                </c:pt>
                <c:pt idx="65">
                  <c:v>3000</c:v>
                </c:pt>
                <c:pt idx="66">
                  <c:v>3000</c:v>
                </c:pt>
                <c:pt idx="67">
                  <c:v>3000</c:v>
                </c:pt>
                <c:pt idx="68">
                  <c:v>3000</c:v>
                </c:pt>
                <c:pt idx="69">
                  <c:v>3000</c:v>
                </c:pt>
                <c:pt idx="70">
                  <c:v>3000</c:v>
                </c:pt>
                <c:pt idx="71">
                  <c:v>3000</c:v>
                </c:pt>
                <c:pt idx="72">
                  <c:v>3000</c:v>
                </c:pt>
                <c:pt idx="73">
                  <c:v>3000</c:v>
                </c:pt>
                <c:pt idx="74">
                  <c:v>3000</c:v>
                </c:pt>
                <c:pt idx="75">
                  <c:v>3000</c:v>
                </c:pt>
                <c:pt idx="76">
                  <c:v>3000</c:v>
                </c:pt>
                <c:pt idx="77">
                  <c:v>3000</c:v>
                </c:pt>
                <c:pt idx="78">
                  <c:v>3000</c:v>
                </c:pt>
                <c:pt idx="79">
                  <c:v>3000</c:v>
                </c:pt>
                <c:pt idx="80">
                  <c:v>3000</c:v>
                </c:pt>
                <c:pt idx="81">
                  <c:v>3000</c:v>
                </c:pt>
                <c:pt idx="82">
                  <c:v>3000</c:v>
                </c:pt>
                <c:pt idx="83">
                  <c:v>3000</c:v>
                </c:pt>
                <c:pt idx="84">
                  <c:v>3000</c:v>
                </c:pt>
                <c:pt idx="85">
                  <c:v>3000</c:v>
                </c:pt>
                <c:pt idx="86">
                  <c:v>3000</c:v>
                </c:pt>
                <c:pt idx="87">
                  <c:v>3000</c:v>
                </c:pt>
                <c:pt idx="88">
                  <c:v>3000</c:v>
                </c:pt>
                <c:pt idx="89">
                  <c:v>3000</c:v>
                </c:pt>
                <c:pt idx="90">
                  <c:v>3000</c:v>
                </c:pt>
                <c:pt idx="91">
                  <c:v>3000</c:v>
                </c:pt>
                <c:pt idx="92">
                  <c:v>3000</c:v>
                </c:pt>
                <c:pt idx="93">
                  <c:v>3000</c:v>
                </c:pt>
                <c:pt idx="94">
                  <c:v>3000</c:v>
                </c:pt>
                <c:pt idx="95">
                  <c:v>3000</c:v>
                </c:pt>
                <c:pt idx="96">
                  <c:v>3000</c:v>
                </c:pt>
                <c:pt idx="97">
                  <c:v>3000</c:v>
                </c:pt>
                <c:pt idx="98">
                  <c:v>3000</c:v>
                </c:pt>
                <c:pt idx="99">
                  <c:v>3000</c:v>
                </c:pt>
                <c:pt idx="100">
                  <c:v>3000</c:v>
                </c:pt>
                <c:pt idx="101">
                  <c:v>3000</c:v>
                </c:pt>
                <c:pt idx="102">
                  <c:v>3000</c:v>
                </c:pt>
                <c:pt idx="103">
                  <c:v>3000</c:v>
                </c:pt>
                <c:pt idx="104">
                  <c:v>3000</c:v>
                </c:pt>
                <c:pt idx="105">
                  <c:v>3000</c:v>
                </c:pt>
                <c:pt idx="106">
                  <c:v>3000</c:v>
                </c:pt>
                <c:pt idx="107">
                  <c:v>3000</c:v>
                </c:pt>
                <c:pt idx="108">
                  <c:v>3000</c:v>
                </c:pt>
                <c:pt idx="109">
                  <c:v>3000</c:v>
                </c:pt>
                <c:pt idx="110">
                  <c:v>3000</c:v>
                </c:pt>
                <c:pt idx="111">
                  <c:v>3000</c:v>
                </c:pt>
                <c:pt idx="112">
                  <c:v>3000</c:v>
                </c:pt>
                <c:pt idx="113">
                  <c:v>3000</c:v>
                </c:pt>
                <c:pt idx="114">
                  <c:v>3000</c:v>
                </c:pt>
                <c:pt idx="115">
                  <c:v>3000</c:v>
                </c:pt>
                <c:pt idx="116">
                  <c:v>3000</c:v>
                </c:pt>
                <c:pt idx="117">
                  <c:v>3000</c:v>
                </c:pt>
                <c:pt idx="118">
                  <c:v>3000</c:v>
                </c:pt>
                <c:pt idx="119">
                  <c:v>3000</c:v>
                </c:pt>
                <c:pt idx="120">
                  <c:v>3000</c:v>
                </c:pt>
                <c:pt idx="121">
                  <c:v>3000</c:v>
                </c:pt>
                <c:pt idx="122">
                  <c:v>3000</c:v>
                </c:pt>
                <c:pt idx="123">
                  <c:v>3000</c:v>
                </c:pt>
                <c:pt idx="124">
                  <c:v>3000</c:v>
                </c:pt>
                <c:pt idx="125">
                  <c:v>3000</c:v>
                </c:pt>
                <c:pt idx="126">
                  <c:v>3000</c:v>
                </c:pt>
                <c:pt idx="127">
                  <c:v>3000</c:v>
                </c:pt>
                <c:pt idx="128">
                  <c:v>3000</c:v>
                </c:pt>
                <c:pt idx="129">
                  <c:v>3000</c:v>
                </c:pt>
                <c:pt idx="130">
                  <c:v>3000</c:v>
                </c:pt>
                <c:pt idx="131">
                  <c:v>3000</c:v>
                </c:pt>
                <c:pt idx="132">
                  <c:v>3000</c:v>
                </c:pt>
                <c:pt idx="133">
                  <c:v>3000</c:v>
                </c:pt>
                <c:pt idx="134">
                  <c:v>3000</c:v>
                </c:pt>
                <c:pt idx="135">
                  <c:v>3000</c:v>
                </c:pt>
                <c:pt idx="136">
                  <c:v>3000</c:v>
                </c:pt>
                <c:pt idx="137">
                  <c:v>3000</c:v>
                </c:pt>
                <c:pt idx="138">
                  <c:v>3000</c:v>
                </c:pt>
                <c:pt idx="139">
                  <c:v>3000</c:v>
                </c:pt>
                <c:pt idx="140">
                  <c:v>3000</c:v>
                </c:pt>
                <c:pt idx="141">
                  <c:v>3000</c:v>
                </c:pt>
                <c:pt idx="142">
                  <c:v>3000</c:v>
                </c:pt>
                <c:pt idx="143">
                  <c:v>3000</c:v>
                </c:pt>
                <c:pt idx="144">
                  <c:v>3000</c:v>
                </c:pt>
                <c:pt idx="145">
                  <c:v>3000</c:v>
                </c:pt>
                <c:pt idx="146">
                  <c:v>3000</c:v>
                </c:pt>
                <c:pt idx="147">
                  <c:v>3000</c:v>
                </c:pt>
                <c:pt idx="148">
                  <c:v>3000</c:v>
                </c:pt>
                <c:pt idx="149">
                  <c:v>3000</c:v>
                </c:pt>
                <c:pt idx="150">
                  <c:v>3000</c:v>
                </c:pt>
                <c:pt idx="151">
                  <c:v>3000</c:v>
                </c:pt>
                <c:pt idx="152">
                  <c:v>3000</c:v>
                </c:pt>
                <c:pt idx="153">
                  <c:v>3000</c:v>
                </c:pt>
                <c:pt idx="154">
                  <c:v>3000</c:v>
                </c:pt>
                <c:pt idx="155">
                  <c:v>3000</c:v>
                </c:pt>
                <c:pt idx="156">
                  <c:v>3000</c:v>
                </c:pt>
                <c:pt idx="157">
                  <c:v>3000</c:v>
                </c:pt>
                <c:pt idx="158">
                  <c:v>3000</c:v>
                </c:pt>
                <c:pt idx="159">
                  <c:v>3000</c:v>
                </c:pt>
                <c:pt idx="160">
                  <c:v>3000</c:v>
                </c:pt>
                <c:pt idx="161">
                  <c:v>3000</c:v>
                </c:pt>
                <c:pt idx="162">
                  <c:v>3000</c:v>
                </c:pt>
                <c:pt idx="163">
                  <c:v>3000</c:v>
                </c:pt>
                <c:pt idx="164">
                  <c:v>3000</c:v>
                </c:pt>
                <c:pt idx="165">
                  <c:v>3000</c:v>
                </c:pt>
                <c:pt idx="166">
                  <c:v>3000</c:v>
                </c:pt>
                <c:pt idx="167">
                  <c:v>3000</c:v>
                </c:pt>
                <c:pt idx="168">
                  <c:v>3000</c:v>
                </c:pt>
                <c:pt idx="169">
                  <c:v>3000</c:v>
                </c:pt>
                <c:pt idx="170">
                  <c:v>3000</c:v>
                </c:pt>
                <c:pt idx="171">
                  <c:v>3000</c:v>
                </c:pt>
                <c:pt idx="172">
                  <c:v>3000</c:v>
                </c:pt>
                <c:pt idx="173">
                  <c:v>3000</c:v>
                </c:pt>
                <c:pt idx="174">
                  <c:v>3000</c:v>
                </c:pt>
                <c:pt idx="175">
                  <c:v>3000</c:v>
                </c:pt>
                <c:pt idx="176">
                  <c:v>3000</c:v>
                </c:pt>
                <c:pt idx="177">
                  <c:v>3000</c:v>
                </c:pt>
                <c:pt idx="178">
                  <c:v>3000</c:v>
                </c:pt>
                <c:pt idx="179">
                  <c:v>3000</c:v>
                </c:pt>
                <c:pt idx="180">
                  <c:v>3000</c:v>
                </c:pt>
                <c:pt idx="181">
                  <c:v>3000</c:v>
                </c:pt>
                <c:pt idx="182">
                  <c:v>3000</c:v>
                </c:pt>
                <c:pt idx="183">
                  <c:v>3000</c:v>
                </c:pt>
                <c:pt idx="184">
                  <c:v>3000</c:v>
                </c:pt>
                <c:pt idx="185">
                  <c:v>3000</c:v>
                </c:pt>
                <c:pt idx="186">
                  <c:v>3000</c:v>
                </c:pt>
                <c:pt idx="187">
                  <c:v>3000</c:v>
                </c:pt>
                <c:pt idx="188">
                  <c:v>3000</c:v>
                </c:pt>
                <c:pt idx="189">
                  <c:v>3000</c:v>
                </c:pt>
                <c:pt idx="190">
                  <c:v>3000</c:v>
                </c:pt>
                <c:pt idx="191">
                  <c:v>3000</c:v>
                </c:pt>
                <c:pt idx="192">
                  <c:v>3000</c:v>
                </c:pt>
                <c:pt idx="193">
                  <c:v>3000</c:v>
                </c:pt>
                <c:pt idx="194">
                  <c:v>3000</c:v>
                </c:pt>
                <c:pt idx="195">
                  <c:v>3000</c:v>
                </c:pt>
                <c:pt idx="196">
                  <c:v>3000</c:v>
                </c:pt>
                <c:pt idx="197">
                  <c:v>3000</c:v>
                </c:pt>
                <c:pt idx="198">
                  <c:v>3000</c:v>
                </c:pt>
                <c:pt idx="199">
                  <c:v>3000</c:v>
                </c:pt>
                <c:pt idx="200">
                  <c:v>3000</c:v>
                </c:pt>
                <c:pt idx="201">
                  <c:v>3000</c:v>
                </c:pt>
                <c:pt idx="202">
                  <c:v>3000</c:v>
                </c:pt>
                <c:pt idx="203">
                  <c:v>3000</c:v>
                </c:pt>
                <c:pt idx="204">
                  <c:v>3000</c:v>
                </c:pt>
                <c:pt idx="205">
                  <c:v>3000</c:v>
                </c:pt>
                <c:pt idx="206">
                  <c:v>3000</c:v>
                </c:pt>
                <c:pt idx="207">
                  <c:v>3000</c:v>
                </c:pt>
                <c:pt idx="208">
                  <c:v>3000</c:v>
                </c:pt>
                <c:pt idx="209">
                  <c:v>3000</c:v>
                </c:pt>
                <c:pt idx="210">
                  <c:v>3000</c:v>
                </c:pt>
                <c:pt idx="211">
                  <c:v>3000</c:v>
                </c:pt>
                <c:pt idx="212">
                  <c:v>3000</c:v>
                </c:pt>
                <c:pt idx="213">
                  <c:v>3000</c:v>
                </c:pt>
                <c:pt idx="214">
                  <c:v>3000</c:v>
                </c:pt>
                <c:pt idx="215">
                  <c:v>3000</c:v>
                </c:pt>
                <c:pt idx="216">
                  <c:v>3000</c:v>
                </c:pt>
                <c:pt idx="217">
                  <c:v>3000</c:v>
                </c:pt>
                <c:pt idx="218">
                  <c:v>3000</c:v>
                </c:pt>
                <c:pt idx="219">
                  <c:v>3000</c:v>
                </c:pt>
                <c:pt idx="220">
                  <c:v>3000</c:v>
                </c:pt>
                <c:pt idx="221">
                  <c:v>3000</c:v>
                </c:pt>
                <c:pt idx="222">
                  <c:v>3000</c:v>
                </c:pt>
                <c:pt idx="223">
                  <c:v>3000</c:v>
                </c:pt>
                <c:pt idx="224">
                  <c:v>3000</c:v>
                </c:pt>
                <c:pt idx="225">
                  <c:v>3000</c:v>
                </c:pt>
                <c:pt idx="226">
                  <c:v>3000</c:v>
                </c:pt>
                <c:pt idx="227">
                  <c:v>3000</c:v>
                </c:pt>
                <c:pt idx="228">
                  <c:v>3000</c:v>
                </c:pt>
                <c:pt idx="229">
                  <c:v>3000</c:v>
                </c:pt>
                <c:pt idx="230">
                  <c:v>3000</c:v>
                </c:pt>
                <c:pt idx="231">
                  <c:v>3000</c:v>
                </c:pt>
                <c:pt idx="232">
                  <c:v>3000</c:v>
                </c:pt>
                <c:pt idx="233">
                  <c:v>3000</c:v>
                </c:pt>
                <c:pt idx="234">
                  <c:v>3000</c:v>
                </c:pt>
                <c:pt idx="235">
                  <c:v>3000</c:v>
                </c:pt>
                <c:pt idx="236">
                  <c:v>3000</c:v>
                </c:pt>
                <c:pt idx="237">
                  <c:v>3000</c:v>
                </c:pt>
                <c:pt idx="238">
                  <c:v>3000</c:v>
                </c:pt>
                <c:pt idx="239">
                  <c:v>3000</c:v>
                </c:pt>
                <c:pt idx="240">
                  <c:v>3000</c:v>
                </c:pt>
                <c:pt idx="241">
                  <c:v>3000</c:v>
                </c:pt>
                <c:pt idx="242">
                  <c:v>3000</c:v>
                </c:pt>
                <c:pt idx="243">
                  <c:v>3000</c:v>
                </c:pt>
                <c:pt idx="244">
                  <c:v>3000</c:v>
                </c:pt>
                <c:pt idx="245">
                  <c:v>3000</c:v>
                </c:pt>
                <c:pt idx="246">
                  <c:v>3000</c:v>
                </c:pt>
                <c:pt idx="247">
                  <c:v>3000</c:v>
                </c:pt>
                <c:pt idx="248">
                  <c:v>3000</c:v>
                </c:pt>
                <c:pt idx="249">
                  <c:v>3000</c:v>
                </c:pt>
                <c:pt idx="250">
                  <c:v>3000</c:v>
                </c:pt>
                <c:pt idx="251">
                  <c:v>3000</c:v>
                </c:pt>
                <c:pt idx="252">
                  <c:v>3000</c:v>
                </c:pt>
                <c:pt idx="253">
                  <c:v>3000</c:v>
                </c:pt>
                <c:pt idx="254">
                  <c:v>3000</c:v>
                </c:pt>
                <c:pt idx="255">
                  <c:v>3000</c:v>
                </c:pt>
                <c:pt idx="256">
                  <c:v>3000</c:v>
                </c:pt>
                <c:pt idx="257">
                  <c:v>3000</c:v>
                </c:pt>
                <c:pt idx="258">
                  <c:v>3000</c:v>
                </c:pt>
                <c:pt idx="259">
                  <c:v>3000</c:v>
                </c:pt>
                <c:pt idx="260">
                  <c:v>3000</c:v>
                </c:pt>
                <c:pt idx="261">
                  <c:v>3000</c:v>
                </c:pt>
                <c:pt idx="262">
                  <c:v>3000</c:v>
                </c:pt>
                <c:pt idx="263">
                  <c:v>3000</c:v>
                </c:pt>
                <c:pt idx="264">
                  <c:v>3000</c:v>
                </c:pt>
                <c:pt idx="265">
                  <c:v>3000</c:v>
                </c:pt>
                <c:pt idx="266">
                  <c:v>3000</c:v>
                </c:pt>
                <c:pt idx="267">
                  <c:v>3000</c:v>
                </c:pt>
                <c:pt idx="268">
                  <c:v>3000</c:v>
                </c:pt>
                <c:pt idx="269">
                  <c:v>3000</c:v>
                </c:pt>
                <c:pt idx="270">
                  <c:v>3000</c:v>
                </c:pt>
                <c:pt idx="271">
                  <c:v>3000</c:v>
                </c:pt>
                <c:pt idx="272">
                  <c:v>3000</c:v>
                </c:pt>
                <c:pt idx="273">
                  <c:v>3000</c:v>
                </c:pt>
                <c:pt idx="274">
                  <c:v>3000</c:v>
                </c:pt>
                <c:pt idx="275">
                  <c:v>3000</c:v>
                </c:pt>
                <c:pt idx="276">
                  <c:v>3000</c:v>
                </c:pt>
                <c:pt idx="277">
                  <c:v>3000</c:v>
                </c:pt>
                <c:pt idx="278">
                  <c:v>3000</c:v>
                </c:pt>
                <c:pt idx="279">
                  <c:v>3000</c:v>
                </c:pt>
                <c:pt idx="280">
                  <c:v>3000</c:v>
                </c:pt>
                <c:pt idx="281">
                  <c:v>3000</c:v>
                </c:pt>
                <c:pt idx="282">
                  <c:v>3000</c:v>
                </c:pt>
                <c:pt idx="283">
                  <c:v>3000</c:v>
                </c:pt>
                <c:pt idx="284">
                  <c:v>3000</c:v>
                </c:pt>
                <c:pt idx="285">
                  <c:v>3000</c:v>
                </c:pt>
                <c:pt idx="286">
                  <c:v>3000</c:v>
                </c:pt>
                <c:pt idx="287">
                  <c:v>3000</c:v>
                </c:pt>
                <c:pt idx="288">
                  <c:v>3000</c:v>
                </c:pt>
                <c:pt idx="289">
                  <c:v>3000</c:v>
                </c:pt>
                <c:pt idx="290">
                  <c:v>3000</c:v>
                </c:pt>
                <c:pt idx="291">
                  <c:v>3000</c:v>
                </c:pt>
                <c:pt idx="292">
                  <c:v>3000</c:v>
                </c:pt>
                <c:pt idx="293">
                  <c:v>3000</c:v>
                </c:pt>
                <c:pt idx="294">
                  <c:v>3000</c:v>
                </c:pt>
                <c:pt idx="295">
                  <c:v>3000</c:v>
                </c:pt>
                <c:pt idx="296">
                  <c:v>3000</c:v>
                </c:pt>
                <c:pt idx="297">
                  <c:v>3000</c:v>
                </c:pt>
                <c:pt idx="298">
                  <c:v>3000</c:v>
                </c:pt>
                <c:pt idx="299">
                  <c:v>3000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7B-4C6A-A361-FE5DC7F2AA3F}"/>
            </c:ext>
          </c:extLst>
        </c:ser>
        <c:ser>
          <c:idx val="3"/>
          <c:order val="3"/>
          <c:tx>
            <c:v>Lower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'Chart Data'!$A$2:$A$301</c:f>
              <c:numCache>
                <c:formatCode>General</c:formatCod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numCache>
            </c:numRef>
          </c:xVal>
          <c:yVal>
            <c:numRef>
              <c:f>'Chart Data'!$E$2:$E$301</c:f>
              <c:numCache>
                <c:formatCode>General</c:formatCode>
                <c:ptCount val="300"/>
                <c:pt idx="0">
                  <c:v>-3000</c:v>
                </c:pt>
                <c:pt idx="1">
                  <c:v>-3000</c:v>
                </c:pt>
                <c:pt idx="2">
                  <c:v>-3000</c:v>
                </c:pt>
                <c:pt idx="3">
                  <c:v>-3000</c:v>
                </c:pt>
                <c:pt idx="4">
                  <c:v>-3000</c:v>
                </c:pt>
                <c:pt idx="5">
                  <c:v>-3000</c:v>
                </c:pt>
                <c:pt idx="6">
                  <c:v>-3000</c:v>
                </c:pt>
                <c:pt idx="7">
                  <c:v>-3000</c:v>
                </c:pt>
                <c:pt idx="8">
                  <c:v>-3000</c:v>
                </c:pt>
                <c:pt idx="9">
                  <c:v>-3000</c:v>
                </c:pt>
                <c:pt idx="10">
                  <c:v>-3000</c:v>
                </c:pt>
                <c:pt idx="11">
                  <c:v>-3000</c:v>
                </c:pt>
                <c:pt idx="12">
                  <c:v>-3000</c:v>
                </c:pt>
                <c:pt idx="13">
                  <c:v>-3000</c:v>
                </c:pt>
                <c:pt idx="14">
                  <c:v>-3000</c:v>
                </c:pt>
                <c:pt idx="15">
                  <c:v>-3000</c:v>
                </c:pt>
                <c:pt idx="16">
                  <c:v>-3000</c:v>
                </c:pt>
                <c:pt idx="17">
                  <c:v>-3000</c:v>
                </c:pt>
                <c:pt idx="18">
                  <c:v>-3000</c:v>
                </c:pt>
                <c:pt idx="19">
                  <c:v>-3000</c:v>
                </c:pt>
                <c:pt idx="20">
                  <c:v>-3000</c:v>
                </c:pt>
                <c:pt idx="21">
                  <c:v>-3000</c:v>
                </c:pt>
                <c:pt idx="22">
                  <c:v>-3000</c:v>
                </c:pt>
                <c:pt idx="23">
                  <c:v>-3000</c:v>
                </c:pt>
                <c:pt idx="24">
                  <c:v>-3000</c:v>
                </c:pt>
                <c:pt idx="25">
                  <c:v>-3000</c:v>
                </c:pt>
                <c:pt idx="26">
                  <c:v>-3000</c:v>
                </c:pt>
                <c:pt idx="27">
                  <c:v>-3000</c:v>
                </c:pt>
                <c:pt idx="28">
                  <c:v>-3000</c:v>
                </c:pt>
                <c:pt idx="29">
                  <c:v>-3000</c:v>
                </c:pt>
                <c:pt idx="30">
                  <c:v>-3000</c:v>
                </c:pt>
                <c:pt idx="31">
                  <c:v>-3000</c:v>
                </c:pt>
                <c:pt idx="32">
                  <c:v>-3000</c:v>
                </c:pt>
                <c:pt idx="33">
                  <c:v>-3000</c:v>
                </c:pt>
                <c:pt idx="34">
                  <c:v>-3000</c:v>
                </c:pt>
                <c:pt idx="35">
                  <c:v>-3000</c:v>
                </c:pt>
                <c:pt idx="36">
                  <c:v>-3000</c:v>
                </c:pt>
                <c:pt idx="37">
                  <c:v>-3000</c:v>
                </c:pt>
                <c:pt idx="38">
                  <c:v>-3000</c:v>
                </c:pt>
                <c:pt idx="39">
                  <c:v>-3000</c:v>
                </c:pt>
                <c:pt idx="40">
                  <c:v>-3000</c:v>
                </c:pt>
                <c:pt idx="41">
                  <c:v>-3000</c:v>
                </c:pt>
                <c:pt idx="42">
                  <c:v>-3000</c:v>
                </c:pt>
                <c:pt idx="43">
                  <c:v>-3000</c:v>
                </c:pt>
                <c:pt idx="44">
                  <c:v>-3000</c:v>
                </c:pt>
                <c:pt idx="45">
                  <c:v>-3000</c:v>
                </c:pt>
                <c:pt idx="46">
                  <c:v>-3000</c:v>
                </c:pt>
                <c:pt idx="47">
                  <c:v>-3000</c:v>
                </c:pt>
                <c:pt idx="48">
                  <c:v>-3000</c:v>
                </c:pt>
                <c:pt idx="49">
                  <c:v>-3000</c:v>
                </c:pt>
                <c:pt idx="50">
                  <c:v>-3000</c:v>
                </c:pt>
                <c:pt idx="51">
                  <c:v>-3000</c:v>
                </c:pt>
                <c:pt idx="52">
                  <c:v>-3000</c:v>
                </c:pt>
                <c:pt idx="53">
                  <c:v>-3000</c:v>
                </c:pt>
                <c:pt idx="54">
                  <c:v>-3000</c:v>
                </c:pt>
                <c:pt idx="55">
                  <c:v>-3000</c:v>
                </c:pt>
                <c:pt idx="56">
                  <c:v>-3000</c:v>
                </c:pt>
                <c:pt idx="57">
                  <c:v>-3000</c:v>
                </c:pt>
                <c:pt idx="58">
                  <c:v>-3000</c:v>
                </c:pt>
                <c:pt idx="59">
                  <c:v>-3000</c:v>
                </c:pt>
                <c:pt idx="60">
                  <c:v>-3000</c:v>
                </c:pt>
                <c:pt idx="61">
                  <c:v>-3000</c:v>
                </c:pt>
                <c:pt idx="62">
                  <c:v>-3000</c:v>
                </c:pt>
                <c:pt idx="63">
                  <c:v>-3000</c:v>
                </c:pt>
                <c:pt idx="64">
                  <c:v>-3000</c:v>
                </c:pt>
                <c:pt idx="65">
                  <c:v>-3000</c:v>
                </c:pt>
                <c:pt idx="66">
                  <c:v>-3000</c:v>
                </c:pt>
                <c:pt idx="67">
                  <c:v>-3000</c:v>
                </c:pt>
                <c:pt idx="68">
                  <c:v>-3000</c:v>
                </c:pt>
                <c:pt idx="69">
                  <c:v>-3000</c:v>
                </c:pt>
                <c:pt idx="70">
                  <c:v>-3000</c:v>
                </c:pt>
                <c:pt idx="71">
                  <c:v>-3000</c:v>
                </c:pt>
                <c:pt idx="72">
                  <c:v>-3000</c:v>
                </c:pt>
                <c:pt idx="73">
                  <c:v>-3000</c:v>
                </c:pt>
                <c:pt idx="74">
                  <c:v>-3000</c:v>
                </c:pt>
                <c:pt idx="75">
                  <c:v>-3000</c:v>
                </c:pt>
                <c:pt idx="76">
                  <c:v>-3000</c:v>
                </c:pt>
                <c:pt idx="77">
                  <c:v>-3000</c:v>
                </c:pt>
                <c:pt idx="78">
                  <c:v>-3000</c:v>
                </c:pt>
                <c:pt idx="79">
                  <c:v>-3000</c:v>
                </c:pt>
                <c:pt idx="80">
                  <c:v>-3000</c:v>
                </c:pt>
                <c:pt idx="81">
                  <c:v>-3000</c:v>
                </c:pt>
                <c:pt idx="82">
                  <c:v>-3000</c:v>
                </c:pt>
                <c:pt idx="83">
                  <c:v>-3000</c:v>
                </c:pt>
                <c:pt idx="84">
                  <c:v>-3000</c:v>
                </c:pt>
                <c:pt idx="85">
                  <c:v>-3000</c:v>
                </c:pt>
                <c:pt idx="86">
                  <c:v>-3000</c:v>
                </c:pt>
                <c:pt idx="87">
                  <c:v>-3000</c:v>
                </c:pt>
                <c:pt idx="88">
                  <c:v>-3000</c:v>
                </c:pt>
                <c:pt idx="89">
                  <c:v>-3000</c:v>
                </c:pt>
                <c:pt idx="90">
                  <c:v>-3000</c:v>
                </c:pt>
                <c:pt idx="91">
                  <c:v>-3000</c:v>
                </c:pt>
                <c:pt idx="92">
                  <c:v>-3000</c:v>
                </c:pt>
                <c:pt idx="93">
                  <c:v>-3000</c:v>
                </c:pt>
                <c:pt idx="94">
                  <c:v>-3000</c:v>
                </c:pt>
                <c:pt idx="95">
                  <c:v>-3000</c:v>
                </c:pt>
                <c:pt idx="96">
                  <c:v>-3000</c:v>
                </c:pt>
                <c:pt idx="97">
                  <c:v>-3000</c:v>
                </c:pt>
                <c:pt idx="98">
                  <c:v>-3000</c:v>
                </c:pt>
                <c:pt idx="99">
                  <c:v>-3000</c:v>
                </c:pt>
                <c:pt idx="100">
                  <c:v>-3000</c:v>
                </c:pt>
                <c:pt idx="101">
                  <c:v>-3000</c:v>
                </c:pt>
                <c:pt idx="102">
                  <c:v>-3000</c:v>
                </c:pt>
                <c:pt idx="103">
                  <c:v>-3000</c:v>
                </c:pt>
                <c:pt idx="104">
                  <c:v>-3000</c:v>
                </c:pt>
                <c:pt idx="105">
                  <c:v>-3000</c:v>
                </c:pt>
                <c:pt idx="106">
                  <c:v>-3000</c:v>
                </c:pt>
                <c:pt idx="107">
                  <c:v>-3000</c:v>
                </c:pt>
                <c:pt idx="108">
                  <c:v>-3000</c:v>
                </c:pt>
                <c:pt idx="109">
                  <c:v>-3000</c:v>
                </c:pt>
                <c:pt idx="110">
                  <c:v>-3000</c:v>
                </c:pt>
                <c:pt idx="111">
                  <c:v>-3000</c:v>
                </c:pt>
                <c:pt idx="112">
                  <c:v>-3000</c:v>
                </c:pt>
                <c:pt idx="113">
                  <c:v>-3000</c:v>
                </c:pt>
                <c:pt idx="114">
                  <c:v>-3000</c:v>
                </c:pt>
                <c:pt idx="115">
                  <c:v>-3000</c:v>
                </c:pt>
                <c:pt idx="116">
                  <c:v>-3000</c:v>
                </c:pt>
                <c:pt idx="117">
                  <c:v>-3000</c:v>
                </c:pt>
                <c:pt idx="118">
                  <c:v>-3000</c:v>
                </c:pt>
                <c:pt idx="119">
                  <c:v>-3000</c:v>
                </c:pt>
                <c:pt idx="120">
                  <c:v>-3000</c:v>
                </c:pt>
                <c:pt idx="121">
                  <c:v>-3000</c:v>
                </c:pt>
                <c:pt idx="122">
                  <c:v>-3000</c:v>
                </c:pt>
                <c:pt idx="123">
                  <c:v>-3000</c:v>
                </c:pt>
                <c:pt idx="124">
                  <c:v>-3000</c:v>
                </c:pt>
                <c:pt idx="125">
                  <c:v>-3000</c:v>
                </c:pt>
                <c:pt idx="126">
                  <c:v>-3000</c:v>
                </c:pt>
                <c:pt idx="127">
                  <c:v>-3000</c:v>
                </c:pt>
                <c:pt idx="128">
                  <c:v>-3000</c:v>
                </c:pt>
                <c:pt idx="129">
                  <c:v>-3000</c:v>
                </c:pt>
                <c:pt idx="130">
                  <c:v>-3000</c:v>
                </c:pt>
                <c:pt idx="131">
                  <c:v>-3000</c:v>
                </c:pt>
                <c:pt idx="132">
                  <c:v>-3000</c:v>
                </c:pt>
                <c:pt idx="133">
                  <c:v>-3000</c:v>
                </c:pt>
                <c:pt idx="134">
                  <c:v>-3000</c:v>
                </c:pt>
                <c:pt idx="135">
                  <c:v>-3000</c:v>
                </c:pt>
                <c:pt idx="136">
                  <c:v>-3000</c:v>
                </c:pt>
                <c:pt idx="137">
                  <c:v>-3000</c:v>
                </c:pt>
                <c:pt idx="138">
                  <c:v>-3000</c:v>
                </c:pt>
                <c:pt idx="139">
                  <c:v>-3000</c:v>
                </c:pt>
                <c:pt idx="140">
                  <c:v>-3000</c:v>
                </c:pt>
                <c:pt idx="141">
                  <c:v>-3000</c:v>
                </c:pt>
                <c:pt idx="142">
                  <c:v>-3000</c:v>
                </c:pt>
                <c:pt idx="143">
                  <c:v>-3000</c:v>
                </c:pt>
                <c:pt idx="144">
                  <c:v>-3000</c:v>
                </c:pt>
                <c:pt idx="145">
                  <c:v>-3000</c:v>
                </c:pt>
                <c:pt idx="146">
                  <c:v>-3000</c:v>
                </c:pt>
                <c:pt idx="147">
                  <c:v>-3000</c:v>
                </c:pt>
                <c:pt idx="148">
                  <c:v>-3000</c:v>
                </c:pt>
                <c:pt idx="149">
                  <c:v>-3000</c:v>
                </c:pt>
                <c:pt idx="150">
                  <c:v>-3000</c:v>
                </c:pt>
                <c:pt idx="151">
                  <c:v>-3000</c:v>
                </c:pt>
                <c:pt idx="152">
                  <c:v>-3000</c:v>
                </c:pt>
                <c:pt idx="153">
                  <c:v>-3000</c:v>
                </c:pt>
                <c:pt idx="154">
                  <c:v>-3000</c:v>
                </c:pt>
                <c:pt idx="155">
                  <c:v>-3000</c:v>
                </c:pt>
                <c:pt idx="156">
                  <c:v>-3000</c:v>
                </c:pt>
                <c:pt idx="157">
                  <c:v>-3000</c:v>
                </c:pt>
                <c:pt idx="158">
                  <c:v>-3000</c:v>
                </c:pt>
                <c:pt idx="159">
                  <c:v>-3000</c:v>
                </c:pt>
                <c:pt idx="160">
                  <c:v>-3000</c:v>
                </c:pt>
                <c:pt idx="161">
                  <c:v>-3000</c:v>
                </c:pt>
                <c:pt idx="162">
                  <c:v>-3000</c:v>
                </c:pt>
                <c:pt idx="163">
                  <c:v>-3000</c:v>
                </c:pt>
                <c:pt idx="164">
                  <c:v>-3000</c:v>
                </c:pt>
                <c:pt idx="165">
                  <c:v>-3000</c:v>
                </c:pt>
                <c:pt idx="166">
                  <c:v>-3000</c:v>
                </c:pt>
                <c:pt idx="167">
                  <c:v>-3000</c:v>
                </c:pt>
                <c:pt idx="168">
                  <c:v>-3000</c:v>
                </c:pt>
                <c:pt idx="169">
                  <c:v>-3000</c:v>
                </c:pt>
                <c:pt idx="170">
                  <c:v>-3000</c:v>
                </c:pt>
                <c:pt idx="171">
                  <c:v>-3000</c:v>
                </c:pt>
                <c:pt idx="172">
                  <c:v>-3000</c:v>
                </c:pt>
                <c:pt idx="173">
                  <c:v>-3000</c:v>
                </c:pt>
                <c:pt idx="174">
                  <c:v>-3000</c:v>
                </c:pt>
                <c:pt idx="175">
                  <c:v>-3000</c:v>
                </c:pt>
                <c:pt idx="176">
                  <c:v>-3000</c:v>
                </c:pt>
                <c:pt idx="177">
                  <c:v>-3000</c:v>
                </c:pt>
                <c:pt idx="178">
                  <c:v>-3000</c:v>
                </c:pt>
                <c:pt idx="179">
                  <c:v>-3000</c:v>
                </c:pt>
                <c:pt idx="180">
                  <c:v>-3000</c:v>
                </c:pt>
                <c:pt idx="181">
                  <c:v>-3000</c:v>
                </c:pt>
                <c:pt idx="182">
                  <c:v>-3000</c:v>
                </c:pt>
                <c:pt idx="183">
                  <c:v>-3000</c:v>
                </c:pt>
                <c:pt idx="184">
                  <c:v>-3000</c:v>
                </c:pt>
                <c:pt idx="185">
                  <c:v>-3000</c:v>
                </c:pt>
                <c:pt idx="186">
                  <c:v>-3000</c:v>
                </c:pt>
                <c:pt idx="187">
                  <c:v>-3000</c:v>
                </c:pt>
                <c:pt idx="188">
                  <c:v>-3000</c:v>
                </c:pt>
                <c:pt idx="189">
                  <c:v>-3000</c:v>
                </c:pt>
                <c:pt idx="190">
                  <c:v>-3000</c:v>
                </c:pt>
                <c:pt idx="191">
                  <c:v>-3000</c:v>
                </c:pt>
                <c:pt idx="192">
                  <c:v>-3000</c:v>
                </c:pt>
                <c:pt idx="193">
                  <c:v>-3000</c:v>
                </c:pt>
                <c:pt idx="194">
                  <c:v>-3000</c:v>
                </c:pt>
                <c:pt idx="195">
                  <c:v>-3000</c:v>
                </c:pt>
                <c:pt idx="196">
                  <c:v>-3000</c:v>
                </c:pt>
                <c:pt idx="197">
                  <c:v>-3000</c:v>
                </c:pt>
                <c:pt idx="198">
                  <c:v>-3000</c:v>
                </c:pt>
                <c:pt idx="199">
                  <c:v>-3000</c:v>
                </c:pt>
                <c:pt idx="200">
                  <c:v>-3000</c:v>
                </c:pt>
                <c:pt idx="201">
                  <c:v>-3000</c:v>
                </c:pt>
                <c:pt idx="202">
                  <c:v>-3000</c:v>
                </c:pt>
                <c:pt idx="203">
                  <c:v>-3000</c:v>
                </c:pt>
                <c:pt idx="204">
                  <c:v>-3000</c:v>
                </c:pt>
                <c:pt idx="205">
                  <c:v>-3000</c:v>
                </c:pt>
                <c:pt idx="206">
                  <c:v>-3000</c:v>
                </c:pt>
                <c:pt idx="207">
                  <c:v>-3000</c:v>
                </c:pt>
                <c:pt idx="208">
                  <c:v>-3000</c:v>
                </c:pt>
                <c:pt idx="209">
                  <c:v>-3000</c:v>
                </c:pt>
                <c:pt idx="210">
                  <c:v>-3000</c:v>
                </c:pt>
                <c:pt idx="211">
                  <c:v>-3000</c:v>
                </c:pt>
                <c:pt idx="212">
                  <c:v>-3000</c:v>
                </c:pt>
                <c:pt idx="213">
                  <c:v>-3000</c:v>
                </c:pt>
                <c:pt idx="214">
                  <c:v>-3000</c:v>
                </c:pt>
                <c:pt idx="215">
                  <c:v>-3000</c:v>
                </c:pt>
                <c:pt idx="216">
                  <c:v>-3000</c:v>
                </c:pt>
                <c:pt idx="217">
                  <c:v>-3000</c:v>
                </c:pt>
                <c:pt idx="218">
                  <c:v>-3000</c:v>
                </c:pt>
                <c:pt idx="219">
                  <c:v>-3000</c:v>
                </c:pt>
                <c:pt idx="220">
                  <c:v>-3000</c:v>
                </c:pt>
                <c:pt idx="221">
                  <c:v>-3000</c:v>
                </c:pt>
                <c:pt idx="222">
                  <c:v>-3000</c:v>
                </c:pt>
                <c:pt idx="223">
                  <c:v>-3000</c:v>
                </c:pt>
                <c:pt idx="224">
                  <c:v>-3000</c:v>
                </c:pt>
                <c:pt idx="225">
                  <c:v>-3000</c:v>
                </c:pt>
                <c:pt idx="226">
                  <c:v>-3000</c:v>
                </c:pt>
                <c:pt idx="227">
                  <c:v>-3000</c:v>
                </c:pt>
                <c:pt idx="228">
                  <c:v>-3000</c:v>
                </c:pt>
                <c:pt idx="229">
                  <c:v>-3000</c:v>
                </c:pt>
                <c:pt idx="230">
                  <c:v>-3000</c:v>
                </c:pt>
                <c:pt idx="231">
                  <c:v>-3000</c:v>
                </c:pt>
                <c:pt idx="232">
                  <c:v>-3000</c:v>
                </c:pt>
                <c:pt idx="233">
                  <c:v>-3000</c:v>
                </c:pt>
                <c:pt idx="234">
                  <c:v>-3000</c:v>
                </c:pt>
                <c:pt idx="235">
                  <c:v>-3000</c:v>
                </c:pt>
                <c:pt idx="236">
                  <c:v>-3000</c:v>
                </c:pt>
                <c:pt idx="237">
                  <c:v>-3000</c:v>
                </c:pt>
                <c:pt idx="238">
                  <c:v>-3000</c:v>
                </c:pt>
                <c:pt idx="239">
                  <c:v>-3000</c:v>
                </c:pt>
                <c:pt idx="240">
                  <c:v>-3000</c:v>
                </c:pt>
                <c:pt idx="241">
                  <c:v>-3000</c:v>
                </c:pt>
                <c:pt idx="242">
                  <c:v>-3000</c:v>
                </c:pt>
                <c:pt idx="243">
                  <c:v>-3000</c:v>
                </c:pt>
                <c:pt idx="244">
                  <c:v>-3000</c:v>
                </c:pt>
                <c:pt idx="245">
                  <c:v>-3000</c:v>
                </c:pt>
                <c:pt idx="246">
                  <c:v>-3000</c:v>
                </c:pt>
                <c:pt idx="247">
                  <c:v>-3000</c:v>
                </c:pt>
                <c:pt idx="248">
                  <c:v>-3000</c:v>
                </c:pt>
                <c:pt idx="249">
                  <c:v>-3000</c:v>
                </c:pt>
                <c:pt idx="250">
                  <c:v>-3000</c:v>
                </c:pt>
                <c:pt idx="251">
                  <c:v>-3000</c:v>
                </c:pt>
                <c:pt idx="252">
                  <c:v>-3000</c:v>
                </c:pt>
                <c:pt idx="253">
                  <c:v>-3000</c:v>
                </c:pt>
                <c:pt idx="254">
                  <c:v>-3000</c:v>
                </c:pt>
                <c:pt idx="255">
                  <c:v>-3000</c:v>
                </c:pt>
                <c:pt idx="256">
                  <c:v>-3000</c:v>
                </c:pt>
                <c:pt idx="257">
                  <c:v>-3000</c:v>
                </c:pt>
                <c:pt idx="258">
                  <c:v>-3000</c:v>
                </c:pt>
                <c:pt idx="259">
                  <c:v>-3000</c:v>
                </c:pt>
                <c:pt idx="260">
                  <c:v>-3000</c:v>
                </c:pt>
                <c:pt idx="261">
                  <c:v>-3000</c:v>
                </c:pt>
                <c:pt idx="262">
                  <c:v>-3000</c:v>
                </c:pt>
                <c:pt idx="263">
                  <c:v>-3000</c:v>
                </c:pt>
                <c:pt idx="264">
                  <c:v>-3000</c:v>
                </c:pt>
                <c:pt idx="265">
                  <c:v>-3000</c:v>
                </c:pt>
                <c:pt idx="266">
                  <c:v>-3000</c:v>
                </c:pt>
                <c:pt idx="267">
                  <c:v>-3000</c:v>
                </c:pt>
                <c:pt idx="268">
                  <c:v>-3000</c:v>
                </c:pt>
                <c:pt idx="269">
                  <c:v>-3000</c:v>
                </c:pt>
                <c:pt idx="270">
                  <c:v>-3000</c:v>
                </c:pt>
                <c:pt idx="271">
                  <c:v>-3000</c:v>
                </c:pt>
                <c:pt idx="272">
                  <c:v>-3000</c:v>
                </c:pt>
                <c:pt idx="273">
                  <c:v>-3000</c:v>
                </c:pt>
                <c:pt idx="274">
                  <c:v>-3000</c:v>
                </c:pt>
                <c:pt idx="275">
                  <c:v>-3000</c:v>
                </c:pt>
                <c:pt idx="276">
                  <c:v>-3000</c:v>
                </c:pt>
                <c:pt idx="277">
                  <c:v>-3000</c:v>
                </c:pt>
                <c:pt idx="278">
                  <c:v>-3000</c:v>
                </c:pt>
                <c:pt idx="279">
                  <c:v>-3000</c:v>
                </c:pt>
                <c:pt idx="280">
                  <c:v>-3000</c:v>
                </c:pt>
                <c:pt idx="281">
                  <c:v>-3000</c:v>
                </c:pt>
                <c:pt idx="282">
                  <c:v>-3000</c:v>
                </c:pt>
                <c:pt idx="283">
                  <c:v>-3000</c:v>
                </c:pt>
                <c:pt idx="284">
                  <c:v>-3000</c:v>
                </c:pt>
                <c:pt idx="285">
                  <c:v>-3000</c:v>
                </c:pt>
                <c:pt idx="286">
                  <c:v>-3000</c:v>
                </c:pt>
                <c:pt idx="287">
                  <c:v>-3000</c:v>
                </c:pt>
                <c:pt idx="288">
                  <c:v>-3000</c:v>
                </c:pt>
                <c:pt idx="289">
                  <c:v>-3000</c:v>
                </c:pt>
                <c:pt idx="290">
                  <c:v>-3000</c:v>
                </c:pt>
                <c:pt idx="291">
                  <c:v>-3000</c:v>
                </c:pt>
                <c:pt idx="292">
                  <c:v>-3000</c:v>
                </c:pt>
                <c:pt idx="293">
                  <c:v>-3000</c:v>
                </c:pt>
                <c:pt idx="294">
                  <c:v>-3000</c:v>
                </c:pt>
                <c:pt idx="295">
                  <c:v>-3000</c:v>
                </c:pt>
                <c:pt idx="296">
                  <c:v>-3000</c:v>
                </c:pt>
                <c:pt idx="297">
                  <c:v>-3000</c:v>
                </c:pt>
                <c:pt idx="298">
                  <c:v>-3000</c:v>
                </c:pt>
                <c:pt idx="299">
                  <c:v>-3000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97B-4C6A-A361-FE5DC7F2A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882064"/>
        <c:axId val="251883240"/>
      </c:scatterChart>
      <c:valAx>
        <c:axId val="251882064"/>
        <c:scaling>
          <c:orientation val="minMax"/>
          <c:max val="300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883240"/>
        <c:crosses val="autoZero"/>
        <c:crossBetween val="midCat"/>
      </c:valAx>
      <c:valAx>
        <c:axId val="251883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88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1</xdr:row>
      <xdr:rowOff>114300</xdr:rowOff>
    </xdr:from>
    <xdr:to>
      <xdr:col>2</xdr:col>
      <xdr:colOff>482468</xdr:colOff>
      <xdr:row>2</xdr:row>
      <xdr:rowOff>161097</xdr:rowOff>
    </xdr:to>
    <xdr:pic>
      <xdr:nvPicPr>
        <xdr:cNvPr id="2" name="Picture 1" descr="logo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114300"/>
          <a:ext cx="1787393" cy="5230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28</xdr:row>
          <xdr:rowOff>142875</xdr:rowOff>
        </xdr:from>
        <xdr:to>
          <xdr:col>13</xdr:col>
          <xdr:colOff>161925</xdr:colOff>
          <xdr:row>32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REAL-TIME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9524</xdr:colOff>
      <xdr:row>1</xdr:row>
      <xdr:rowOff>190500</xdr:rowOff>
    </xdr:from>
    <xdr:to>
      <xdr:col>19</xdr:col>
      <xdr:colOff>76199</xdr:colOff>
      <xdr:row>24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401"/>
  <sheetViews>
    <sheetView tabSelected="1" zoomScale="64" workbookViewId="0">
      <selection activeCell="B5" sqref="B5"/>
    </sheetView>
  </sheetViews>
  <sheetFormatPr defaultRowHeight="14.25" x14ac:dyDescent="0.45"/>
  <cols>
    <col min="1" max="1" width="2.73046875" customWidth="1"/>
    <col min="2" max="2" width="21.73046875" customWidth="1"/>
    <col min="4" max="4" width="10" customWidth="1"/>
    <col min="6" max="6" width="9.1328125" customWidth="1"/>
    <col min="8" max="8" width="13.3984375" customWidth="1"/>
    <col min="10" max="10" width="13.73046875" bestFit="1" customWidth="1"/>
    <col min="20" max="20" width="5.73046875" customWidth="1"/>
    <col min="21" max="21" width="13.73046875" bestFit="1" customWidth="1"/>
  </cols>
  <sheetData>
    <row r="1" spans="1:8" s="1" customFormat="1" x14ac:dyDescent="0.45"/>
    <row r="2" spans="1:8" s="1" customFormat="1" ht="37.5" customHeight="1" x14ac:dyDescent="0.45">
      <c r="A2" s="8"/>
      <c r="B2" s="5"/>
      <c r="C2" s="2"/>
      <c r="D2" s="11" t="s">
        <v>40</v>
      </c>
      <c r="E2" s="2"/>
      <c r="F2" s="2"/>
      <c r="G2" s="2"/>
      <c r="H2" s="6"/>
    </row>
    <row r="3" spans="1:8" s="1" customFormat="1" ht="15.75" customHeight="1" x14ac:dyDescent="0.45">
      <c r="A3" s="8"/>
      <c r="B3" s="8"/>
      <c r="D3" s="12" t="s">
        <v>21</v>
      </c>
      <c r="H3" s="7"/>
    </row>
    <row r="4" spans="1:8" s="1" customFormat="1" x14ac:dyDescent="0.45">
      <c r="A4" s="8"/>
      <c r="B4" s="16"/>
      <c r="H4" s="7"/>
    </row>
    <row r="5" spans="1:8" s="1" customFormat="1" x14ac:dyDescent="0.45">
      <c r="A5" s="8"/>
      <c r="B5" s="16" t="s">
        <v>4</v>
      </c>
      <c r="C5" s="1" t="str">
        <f>RTD("rit2.rtd",,"SAC","LAST")</f>
        <v>SAC|LAST</v>
      </c>
      <c r="D5" s="1" t="s">
        <v>17</v>
      </c>
      <c r="H5" s="7"/>
    </row>
    <row r="6" spans="1:8" s="1" customFormat="1" x14ac:dyDescent="0.45">
      <c r="A6" s="8"/>
      <c r="B6" s="16" t="s">
        <v>5</v>
      </c>
      <c r="C6" s="1">
        <v>50</v>
      </c>
      <c r="H6" s="7"/>
    </row>
    <row r="7" spans="1:8" s="1" customFormat="1" x14ac:dyDescent="0.45">
      <c r="A7" s="8"/>
      <c r="B7" s="16" t="s">
        <v>6</v>
      </c>
      <c r="C7" s="4">
        <v>0</v>
      </c>
      <c r="H7" s="7"/>
    </row>
    <row r="8" spans="1:8" s="1" customFormat="1" x14ac:dyDescent="0.45">
      <c r="A8" s="8"/>
      <c r="B8" s="16" t="s">
        <v>9</v>
      </c>
      <c r="C8" s="1" t="str">
        <f>RTD("rit2.rtd",,"TIMEREMAINING")</f>
        <v>TIMEREMAINING</v>
      </c>
      <c r="D8" s="1" t="s">
        <v>18</v>
      </c>
      <c r="H8" s="7"/>
    </row>
    <row r="9" spans="1:8" s="1" customFormat="1" x14ac:dyDescent="0.45">
      <c r="A9" s="8"/>
      <c r="B9" s="16" t="s">
        <v>10</v>
      </c>
      <c r="C9" s="1" t="e">
        <f>C8/15</f>
        <v>#VALUE!</v>
      </c>
      <c r="D9" s="1" t="s">
        <v>33</v>
      </c>
      <c r="H9" s="7"/>
    </row>
    <row r="10" spans="1:8" s="1" customFormat="1" x14ac:dyDescent="0.45">
      <c r="A10" s="8"/>
      <c r="B10" s="16" t="s">
        <v>7</v>
      </c>
      <c r="C10" s="1" t="e">
        <f>C9/252</f>
        <v>#VALUE!</v>
      </c>
      <c r="D10" s="1" t="s">
        <v>34</v>
      </c>
      <c r="H10" s="7"/>
    </row>
    <row r="11" spans="1:8" s="1" customFormat="1" x14ac:dyDescent="0.45">
      <c r="A11" s="8"/>
      <c r="B11" s="16" t="s">
        <v>8</v>
      </c>
      <c r="C11" s="4">
        <v>0.15</v>
      </c>
      <c r="H11" s="7"/>
    </row>
    <row r="12" spans="1:8" s="1" customFormat="1" x14ac:dyDescent="0.45">
      <c r="A12" s="8"/>
      <c r="B12" s="8"/>
      <c r="H12" s="7"/>
    </row>
    <row r="13" spans="1:8" s="1" customFormat="1" x14ac:dyDescent="0.45">
      <c r="A13" s="8"/>
      <c r="B13" s="16" t="s">
        <v>0</v>
      </c>
      <c r="C13" s="1" t="e">
        <f>(LN(C5/C6)+(C7+0.5*C11^2)*C10)/(C11*SQRT(C10))</f>
        <v>#VALUE!</v>
      </c>
      <c r="D13" s="1" t="s">
        <v>35</v>
      </c>
      <c r="H13" s="7"/>
    </row>
    <row r="14" spans="1:8" s="1" customFormat="1" x14ac:dyDescent="0.45">
      <c r="A14" s="8"/>
      <c r="B14" s="16" t="s">
        <v>1</v>
      </c>
      <c r="C14" s="1" t="e">
        <f>C13-C11*SQRT(C10)</f>
        <v>#VALUE!</v>
      </c>
      <c r="D14" s="1" t="s">
        <v>36</v>
      </c>
      <c r="H14" s="7"/>
    </row>
    <row r="15" spans="1:8" s="1" customFormat="1" x14ac:dyDescent="0.45">
      <c r="A15" s="8"/>
      <c r="B15" s="8"/>
      <c r="H15" s="7"/>
    </row>
    <row r="16" spans="1:8" s="1" customFormat="1" x14ac:dyDescent="0.45">
      <c r="A16" s="8"/>
      <c r="B16" s="16" t="s">
        <v>11</v>
      </c>
      <c r="C16" s="1" t="e">
        <f>NORMSDIST(C13)</f>
        <v>#VALUE!</v>
      </c>
      <c r="D16" s="1" t="s">
        <v>22</v>
      </c>
      <c r="H16" s="7"/>
    </row>
    <row r="17" spans="1:19" s="1" customFormat="1" x14ac:dyDescent="0.45">
      <c r="A17" s="8"/>
      <c r="B17" s="16" t="s">
        <v>2</v>
      </c>
      <c r="C17" s="1" t="e">
        <f>NORMSDIST(C14)</f>
        <v>#VALUE!</v>
      </c>
      <c r="D17" s="1" t="s">
        <v>37</v>
      </c>
      <c r="H17" s="7"/>
    </row>
    <row r="18" spans="1:19" s="1" customFormat="1" x14ac:dyDescent="0.45">
      <c r="A18" s="8"/>
      <c r="B18" s="8"/>
      <c r="H18" s="7"/>
    </row>
    <row r="19" spans="1:19" s="1" customFormat="1" x14ac:dyDescent="0.45">
      <c r="A19" s="8"/>
      <c r="B19" s="16" t="s">
        <v>3</v>
      </c>
      <c r="C19" s="1" t="e">
        <f>C5*C16-C6*EXP(-C7*C10)*C17</f>
        <v>#VALUE!</v>
      </c>
      <c r="D19" s="1" t="s">
        <v>38</v>
      </c>
      <c r="H19" s="7"/>
    </row>
    <row r="20" spans="1:19" s="1" customFormat="1" x14ac:dyDescent="0.45">
      <c r="A20" s="8"/>
      <c r="B20" s="8"/>
      <c r="H20" s="7"/>
    </row>
    <row r="21" spans="1:19" s="1" customFormat="1" x14ac:dyDescent="0.45">
      <c r="A21" s="8"/>
      <c r="B21" s="16" t="s">
        <v>14</v>
      </c>
      <c r="C21" s="1" t="str">
        <f>RTD("rit2.rtd",,"SAC50C","POSITION")</f>
        <v>SAC50C|POSITION</v>
      </c>
      <c r="D21" s="1" t="s">
        <v>19</v>
      </c>
      <c r="H21" s="7"/>
    </row>
    <row r="22" spans="1:19" s="1" customFormat="1" x14ac:dyDescent="0.45">
      <c r="A22" s="8"/>
      <c r="B22" s="16" t="s">
        <v>12</v>
      </c>
      <c r="C22" s="1" t="e">
        <f>C21*C16*100</f>
        <v>#VALUE!</v>
      </c>
      <c r="D22" s="1" t="s">
        <v>39</v>
      </c>
      <c r="H22" s="7"/>
    </row>
    <row r="23" spans="1:19" s="1" customFormat="1" x14ac:dyDescent="0.45">
      <c r="A23" s="8"/>
      <c r="B23" s="8"/>
      <c r="H23" s="7"/>
    </row>
    <row r="24" spans="1:19" s="1" customFormat="1" x14ac:dyDescent="0.45">
      <c r="A24" s="8"/>
      <c r="B24" s="16" t="s">
        <v>13</v>
      </c>
      <c r="C24" s="1" t="str">
        <f>RTD("rit2.rtd",,"SAC","POSITION")</f>
        <v>SAC|POSITION</v>
      </c>
      <c r="D24" s="1" t="s">
        <v>20</v>
      </c>
      <c r="H24" s="7"/>
    </row>
    <row r="25" spans="1:19" s="1" customFormat="1" x14ac:dyDescent="0.45">
      <c r="A25" s="8"/>
      <c r="B25" s="16" t="s">
        <v>15</v>
      </c>
      <c r="C25" s="1" t="str">
        <f>C24</f>
        <v>SAC|POSITION</v>
      </c>
      <c r="D25" s="1" t="s">
        <v>32</v>
      </c>
      <c r="H25" s="7"/>
    </row>
    <row r="26" spans="1:19" s="1" customFormat="1" x14ac:dyDescent="0.45">
      <c r="A26" s="8"/>
      <c r="B26" s="8"/>
      <c r="H26" s="7"/>
    </row>
    <row r="27" spans="1:19" s="1" customFormat="1" x14ac:dyDescent="0.45">
      <c r="A27" s="8"/>
      <c r="B27" s="16" t="s">
        <v>16</v>
      </c>
      <c r="C27" s="1" t="e">
        <f>C22+C25</f>
        <v>#VALUE!</v>
      </c>
      <c r="D27" s="1" t="s">
        <v>31</v>
      </c>
      <c r="H27" s="7"/>
      <c r="J27" s="14" t="s">
        <v>29</v>
      </c>
      <c r="K27" s="15">
        <v>3000</v>
      </c>
      <c r="L27" s="17" t="s">
        <v>30</v>
      </c>
      <c r="M27" s="17"/>
      <c r="N27" s="17"/>
      <c r="O27" s="17"/>
      <c r="P27" s="17"/>
      <c r="Q27" s="17"/>
      <c r="R27" s="17"/>
      <c r="S27" s="17"/>
    </row>
    <row r="28" spans="1:19" s="1" customFormat="1" ht="14.45" customHeight="1" x14ac:dyDescent="0.45">
      <c r="B28" s="9"/>
      <c r="C28" s="3"/>
      <c r="D28" s="3"/>
      <c r="E28" s="3"/>
      <c r="F28" s="3"/>
      <c r="G28" s="3"/>
      <c r="H28" s="10"/>
      <c r="L28" s="17"/>
      <c r="M28" s="17"/>
      <c r="N28" s="17"/>
      <c r="O28" s="17"/>
      <c r="P28" s="17"/>
      <c r="Q28" s="17"/>
      <c r="R28" s="17"/>
      <c r="S28" s="17"/>
    </row>
    <row r="29" spans="1:19" s="1" customFormat="1" x14ac:dyDescent="0.45"/>
    <row r="30" spans="1:19" s="1" customFormat="1" x14ac:dyDescent="0.45"/>
    <row r="31" spans="1:19" s="1" customFormat="1" x14ac:dyDescent="0.45"/>
    <row r="32" spans="1:19" s="1" customFormat="1" x14ac:dyDescent="0.45"/>
    <row r="33" s="1" customFormat="1" x14ac:dyDescent="0.45"/>
    <row r="34" s="1" customFormat="1" x14ac:dyDescent="0.45"/>
    <row r="35" s="1" customFormat="1" x14ac:dyDescent="0.45"/>
    <row r="36" s="1" customFormat="1" x14ac:dyDescent="0.45"/>
    <row r="37" s="1" customFormat="1" x14ac:dyDescent="0.45"/>
    <row r="38" s="1" customFormat="1" x14ac:dyDescent="0.45"/>
    <row r="39" s="1" customFormat="1" x14ac:dyDescent="0.45"/>
    <row r="40" s="1" customFormat="1" x14ac:dyDescent="0.45"/>
    <row r="41" s="1" customFormat="1" x14ac:dyDescent="0.45"/>
    <row r="42" s="1" customFormat="1" x14ac:dyDescent="0.45"/>
    <row r="43" s="1" customFormat="1" x14ac:dyDescent="0.45"/>
    <row r="44" s="1" customFormat="1" x14ac:dyDescent="0.45"/>
    <row r="45" s="1" customFormat="1" x14ac:dyDescent="0.45"/>
    <row r="46" s="1" customFormat="1" x14ac:dyDescent="0.45"/>
    <row r="47" s="1" customFormat="1" x14ac:dyDescent="0.45"/>
    <row r="48" s="1" customFormat="1" x14ac:dyDescent="0.45"/>
    <row r="49" s="1" customFormat="1" x14ac:dyDescent="0.45"/>
    <row r="50" s="1" customFormat="1" x14ac:dyDescent="0.45"/>
    <row r="51" s="1" customFormat="1" x14ac:dyDescent="0.45"/>
    <row r="52" s="1" customFormat="1" x14ac:dyDescent="0.45"/>
    <row r="53" s="1" customFormat="1" x14ac:dyDescent="0.45"/>
    <row r="54" s="1" customFormat="1" x14ac:dyDescent="0.45"/>
    <row r="55" s="1" customFormat="1" x14ac:dyDescent="0.45"/>
    <row r="56" s="1" customFormat="1" x14ac:dyDescent="0.45"/>
    <row r="57" s="1" customFormat="1" x14ac:dyDescent="0.45"/>
    <row r="58" s="1" customFormat="1" x14ac:dyDescent="0.45"/>
    <row r="59" s="1" customFormat="1" x14ac:dyDescent="0.45"/>
    <row r="60" s="1" customFormat="1" x14ac:dyDescent="0.45"/>
    <row r="61" s="1" customFormat="1" x14ac:dyDescent="0.45"/>
    <row r="62" s="1" customFormat="1" x14ac:dyDescent="0.45"/>
    <row r="63" s="1" customFormat="1" x14ac:dyDescent="0.45"/>
    <row r="64" s="1" customFormat="1" x14ac:dyDescent="0.45"/>
    <row r="65" s="1" customFormat="1" x14ac:dyDescent="0.45"/>
    <row r="66" s="1" customFormat="1" x14ac:dyDescent="0.45"/>
    <row r="67" s="1" customFormat="1" x14ac:dyDescent="0.45"/>
    <row r="68" s="1" customFormat="1" x14ac:dyDescent="0.45"/>
    <row r="69" s="1" customFormat="1" x14ac:dyDescent="0.45"/>
    <row r="70" s="1" customFormat="1" x14ac:dyDescent="0.45"/>
    <row r="71" s="1" customFormat="1" x14ac:dyDescent="0.45"/>
    <row r="72" s="1" customFormat="1" x14ac:dyDescent="0.45"/>
    <row r="73" s="1" customFormat="1" x14ac:dyDescent="0.45"/>
    <row r="74" s="1" customFormat="1" x14ac:dyDescent="0.45"/>
    <row r="75" s="1" customFormat="1" x14ac:dyDescent="0.45"/>
    <row r="76" s="1" customFormat="1" x14ac:dyDescent="0.45"/>
    <row r="77" s="1" customFormat="1" x14ac:dyDescent="0.45"/>
    <row r="78" s="1" customFormat="1" x14ac:dyDescent="0.45"/>
    <row r="79" s="1" customFormat="1" x14ac:dyDescent="0.45"/>
    <row r="80" s="1" customFormat="1" x14ac:dyDescent="0.45"/>
    <row r="81" s="1" customFormat="1" x14ac:dyDescent="0.45"/>
    <row r="82" s="1" customFormat="1" x14ac:dyDescent="0.45"/>
    <row r="83" s="1" customFormat="1" x14ac:dyDescent="0.45"/>
    <row r="84" s="1" customFormat="1" x14ac:dyDescent="0.45"/>
    <row r="85" s="1" customFormat="1" x14ac:dyDescent="0.45"/>
    <row r="86" s="1" customFormat="1" x14ac:dyDescent="0.45"/>
    <row r="87" s="1" customFormat="1" x14ac:dyDescent="0.45"/>
    <row r="88" s="1" customFormat="1" x14ac:dyDescent="0.45"/>
    <row r="89" s="1" customFormat="1" x14ac:dyDescent="0.45"/>
    <row r="90" s="1" customFormat="1" x14ac:dyDescent="0.45"/>
    <row r="91" s="1" customFormat="1" x14ac:dyDescent="0.45"/>
    <row r="92" s="1" customFormat="1" x14ac:dyDescent="0.45"/>
    <row r="93" s="1" customFormat="1" x14ac:dyDescent="0.45"/>
    <row r="94" s="1" customFormat="1" x14ac:dyDescent="0.45"/>
    <row r="95" s="1" customFormat="1" x14ac:dyDescent="0.45"/>
    <row r="96" s="1" customFormat="1" x14ac:dyDescent="0.45"/>
    <row r="97" s="1" customFormat="1" x14ac:dyDescent="0.45"/>
    <row r="98" s="1" customFormat="1" x14ac:dyDescent="0.45"/>
    <row r="99" s="1" customFormat="1" x14ac:dyDescent="0.45"/>
    <row r="100" s="1" customFormat="1" x14ac:dyDescent="0.45"/>
    <row r="101" s="1" customFormat="1" x14ac:dyDescent="0.45"/>
    <row r="102" s="1" customFormat="1" x14ac:dyDescent="0.45"/>
    <row r="103" s="1" customFormat="1" x14ac:dyDescent="0.45"/>
    <row r="104" s="1" customFormat="1" x14ac:dyDescent="0.45"/>
    <row r="105" s="1" customFormat="1" x14ac:dyDescent="0.45"/>
    <row r="106" s="1" customFormat="1" x14ac:dyDescent="0.45"/>
    <row r="107" s="1" customFormat="1" x14ac:dyDescent="0.45"/>
    <row r="108" s="1" customFormat="1" x14ac:dyDescent="0.45"/>
    <row r="109" s="1" customFormat="1" x14ac:dyDescent="0.45"/>
    <row r="110" s="1" customFormat="1" x14ac:dyDescent="0.45"/>
    <row r="111" s="1" customFormat="1" x14ac:dyDescent="0.45"/>
    <row r="112" s="1" customFormat="1" x14ac:dyDescent="0.45"/>
    <row r="113" s="1" customFormat="1" x14ac:dyDescent="0.45"/>
    <row r="114" s="1" customFormat="1" x14ac:dyDescent="0.45"/>
    <row r="115" s="1" customFormat="1" x14ac:dyDescent="0.45"/>
    <row r="116" s="1" customFormat="1" x14ac:dyDescent="0.45"/>
    <row r="117" s="1" customFormat="1" x14ac:dyDescent="0.45"/>
    <row r="118" s="1" customFormat="1" x14ac:dyDescent="0.45"/>
    <row r="119" s="1" customFormat="1" x14ac:dyDescent="0.45"/>
    <row r="120" s="1" customFormat="1" x14ac:dyDescent="0.45"/>
    <row r="121" s="1" customFormat="1" x14ac:dyDescent="0.45"/>
    <row r="122" s="1" customFormat="1" x14ac:dyDescent="0.45"/>
    <row r="123" s="1" customFormat="1" x14ac:dyDescent="0.45"/>
    <row r="124" s="1" customFormat="1" x14ac:dyDescent="0.45"/>
    <row r="125" s="1" customFormat="1" x14ac:dyDescent="0.45"/>
    <row r="126" s="1" customFormat="1" x14ac:dyDescent="0.45"/>
    <row r="127" s="1" customFormat="1" x14ac:dyDescent="0.45"/>
    <row r="128" s="1" customFormat="1" x14ac:dyDescent="0.45"/>
    <row r="129" s="1" customFormat="1" x14ac:dyDescent="0.45"/>
    <row r="130" s="1" customFormat="1" x14ac:dyDescent="0.45"/>
    <row r="131" s="1" customFormat="1" x14ac:dyDescent="0.45"/>
    <row r="132" s="1" customFormat="1" x14ac:dyDescent="0.45"/>
    <row r="133" s="1" customFormat="1" x14ac:dyDescent="0.45"/>
    <row r="134" s="1" customFormat="1" x14ac:dyDescent="0.45"/>
    <row r="135" s="1" customFormat="1" x14ac:dyDescent="0.45"/>
    <row r="136" s="1" customFormat="1" x14ac:dyDescent="0.45"/>
    <row r="137" s="1" customFormat="1" x14ac:dyDescent="0.45"/>
    <row r="138" s="1" customFormat="1" x14ac:dyDescent="0.45"/>
    <row r="139" s="1" customFormat="1" x14ac:dyDescent="0.45"/>
    <row r="140" s="1" customFormat="1" x14ac:dyDescent="0.45"/>
    <row r="141" s="1" customFormat="1" x14ac:dyDescent="0.45"/>
    <row r="142" s="1" customFormat="1" x14ac:dyDescent="0.45"/>
    <row r="143" s="1" customFormat="1" x14ac:dyDescent="0.45"/>
    <row r="144" s="1" customFormat="1" x14ac:dyDescent="0.45"/>
    <row r="145" s="1" customFormat="1" x14ac:dyDescent="0.45"/>
    <row r="146" s="1" customFormat="1" x14ac:dyDescent="0.45"/>
    <row r="147" s="1" customFormat="1" x14ac:dyDescent="0.45"/>
    <row r="148" s="1" customFormat="1" x14ac:dyDescent="0.45"/>
    <row r="149" s="1" customFormat="1" x14ac:dyDescent="0.45"/>
    <row r="150" s="1" customFormat="1" x14ac:dyDescent="0.45"/>
    <row r="151" s="1" customFormat="1" x14ac:dyDescent="0.45"/>
    <row r="152" s="1" customFormat="1" x14ac:dyDescent="0.45"/>
    <row r="153" s="1" customFormat="1" x14ac:dyDescent="0.45"/>
    <row r="154" s="1" customFormat="1" x14ac:dyDescent="0.45"/>
    <row r="155" s="1" customFormat="1" x14ac:dyDescent="0.45"/>
    <row r="156" s="1" customFormat="1" x14ac:dyDescent="0.45"/>
    <row r="157" s="1" customFormat="1" x14ac:dyDescent="0.45"/>
    <row r="158" s="1" customFormat="1" x14ac:dyDescent="0.45"/>
    <row r="159" s="1" customFormat="1" x14ac:dyDescent="0.45"/>
    <row r="160" s="1" customFormat="1" x14ac:dyDescent="0.45"/>
    <row r="161" s="1" customFormat="1" x14ac:dyDescent="0.45"/>
    <row r="162" s="1" customFormat="1" x14ac:dyDescent="0.45"/>
    <row r="163" s="1" customFormat="1" x14ac:dyDescent="0.45"/>
    <row r="164" s="1" customFormat="1" x14ac:dyDescent="0.45"/>
    <row r="165" s="1" customFormat="1" x14ac:dyDescent="0.45"/>
    <row r="166" s="1" customFormat="1" x14ac:dyDescent="0.45"/>
    <row r="167" s="1" customFormat="1" x14ac:dyDescent="0.45"/>
    <row r="168" s="1" customFormat="1" x14ac:dyDescent="0.45"/>
    <row r="169" s="1" customFormat="1" x14ac:dyDescent="0.45"/>
    <row r="170" s="1" customFormat="1" x14ac:dyDescent="0.45"/>
    <row r="171" s="1" customFormat="1" x14ac:dyDescent="0.45"/>
    <row r="172" s="1" customFormat="1" x14ac:dyDescent="0.45"/>
    <row r="173" s="1" customFormat="1" x14ac:dyDescent="0.45"/>
    <row r="174" s="1" customFormat="1" x14ac:dyDescent="0.45"/>
    <row r="175" s="1" customFormat="1" x14ac:dyDescent="0.45"/>
    <row r="176" s="1" customFormat="1" x14ac:dyDescent="0.45"/>
    <row r="177" s="1" customFormat="1" x14ac:dyDescent="0.45"/>
    <row r="178" s="1" customFormat="1" x14ac:dyDescent="0.45"/>
    <row r="179" s="1" customFormat="1" x14ac:dyDescent="0.45"/>
    <row r="180" s="1" customFormat="1" x14ac:dyDescent="0.45"/>
    <row r="181" s="1" customFormat="1" x14ac:dyDescent="0.45"/>
    <row r="182" s="1" customFormat="1" x14ac:dyDescent="0.45"/>
    <row r="183" s="1" customFormat="1" x14ac:dyDescent="0.45"/>
    <row r="184" s="1" customFormat="1" x14ac:dyDescent="0.45"/>
    <row r="185" s="1" customFormat="1" x14ac:dyDescent="0.45"/>
    <row r="186" s="1" customFormat="1" x14ac:dyDescent="0.45"/>
    <row r="187" s="1" customFormat="1" x14ac:dyDescent="0.45"/>
    <row r="188" s="1" customFormat="1" x14ac:dyDescent="0.45"/>
    <row r="189" s="1" customFormat="1" x14ac:dyDescent="0.45"/>
    <row r="190" s="1" customFormat="1" x14ac:dyDescent="0.45"/>
    <row r="191" s="1" customFormat="1" x14ac:dyDescent="0.45"/>
    <row r="192" s="1" customFormat="1" x14ac:dyDescent="0.45"/>
    <row r="193" s="1" customFormat="1" x14ac:dyDescent="0.45"/>
    <row r="194" s="1" customFormat="1" x14ac:dyDescent="0.45"/>
    <row r="195" s="1" customFormat="1" x14ac:dyDescent="0.45"/>
    <row r="196" s="1" customFormat="1" x14ac:dyDescent="0.45"/>
    <row r="197" s="1" customFormat="1" x14ac:dyDescent="0.45"/>
    <row r="198" s="1" customFormat="1" x14ac:dyDescent="0.45"/>
    <row r="199" s="1" customFormat="1" x14ac:dyDescent="0.45"/>
    <row r="200" s="1" customFormat="1" x14ac:dyDescent="0.45"/>
    <row r="201" s="1" customFormat="1" x14ac:dyDescent="0.45"/>
    <row r="202" s="1" customFormat="1" x14ac:dyDescent="0.45"/>
    <row r="203" s="1" customFormat="1" x14ac:dyDescent="0.45"/>
    <row r="204" s="1" customFormat="1" x14ac:dyDescent="0.45"/>
    <row r="205" s="1" customFormat="1" x14ac:dyDescent="0.45"/>
    <row r="206" s="1" customFormat="1" x14ac:dyDescent="0.45"/>
    <row r="207" s="1" customFormat="1" x14ac:dyDescent="0.45"/>
    <row r="208" s="1" customFormat="1" x14ac:dyDescent="0.45"/>
    <row r="209" s="1" customFormat="1" x14ac:dyDescent="0.45"/>
    <row r="210" s="1" customFormat="1" x14ac:dyDescent="0.45"/>
    <row r="211" s="1" customFormat="1" x14ac:dyDescent="0.45"/>
    <row r="212" s="1" customFormat="1" x14ac:dyDescent="0.45"/>
    <row r="213" s="1" customFormat="1" x14ac:dyDescent="0.45"/>
    <row r="214" s="1" customFormat="1" x14ac:dyDescent="0.45"/>
    <row r="215" s="1" customFormat="1" x14ac:dyDescent="0.45"/>
    <row r="216" s="1" customFormat="1" x14ac:dyDescent="0.45"/>
    <row r="217" s="1" customFormat="1" x14ac:dyDescent="0.45"/>
    <row r="218" s="1" customFormat="1" x14ac:dyDescent="0.45"/>
    <row r="219" s="1" customFormat="1" x14ac:dyDescent="0.45"/>
    <row r="220" s="1" customFormat="1" x14ac:dyDescent="0.45"/>
    <row r="221" s="1" customFormat="1" x14ac:dyDescent="0.45"/>
    <row r="222" s="1" customFormat="1" x14ac:dyDescent="0.45"/>
    <row r="223" s="1" customFormat="1" x14ac:dyDescent="0.45"/>
    <row r="224" s="1" customFormat="1" x14ac:dyDescent="0.45"/>
    <row r="225" s="1" customFormat="1" x14ac:dyDescent="0.45"/>
    <row r="226" s="1" customFormat="1" x14ac:dyDescent="0.45"/>
    <row r="227" s="1" customFormat="1" x14ac:dyDescent="0.45"/>
    <row r="228" s="1" customFormat="1" x14ac:dyDescent="0.45"/>
    <row r="229" s="1" customFormat="1" x14ac:dyDescent="0.45"/>
    <row r="230" s="1" customFormat="1" x14ac:dyDescent="0.45"/>
    <row r="231" s="1" customFormat="1" x14ac:dyDescent="0.45"/>
    <row r="232" s="1" customFormat="1" x14ac:dyDescent="0.45"/>
    <row r="233" s="1" customFormat="1" x14ac:dyDescent="0.45"/>
    <row r="234" s="1" customFormat="1" x14ac:dyDescent="0.45"/>
    <row r="235" s="1" customFormat="1" x14ac:dyDescent="0.45"/>
    <row r="236" s="1" customFormat="1" x14ac:dyDescent="0.45"/>
    <row r="237" s="1" customFormat="1" x14ac:dyDescent="0.45"/>
    <row r="238" s="1" customFormat="1" x14ac:dyDescent="0.45"/>
    <row r="239" s="1" customFormat="1" x14ac:dyDescent="0.45"/>
    <row r="240" s="1" customFormat="1" x14ac:dyDescent="0.45"/>
    <row r="241" s="1" customFormat="1" x14ac:dyDescent="0.45"/>
    <row r="242" s="1" customFormat="1" x14ac:dyDescent="0.45"/>
    <row r="243" s="1" customFormat="1" x14ac:dyDescent="0.45"/>
    <row r="244" s="1" customFormat="1" x14ac:dyDescent="0.45"/>
    <row r="245" s="1" customFormat="1" x14ac:dyDescent="0.45"/>
    <row r="246" s="1" customFormat="1" x14ac:dyDescent="0.45"/>
    <row r="247" s="1" customFormat="1" x14ac:dyDescent="0.45"/>
    <row r="248" s="1" customFormat="1" x14ac:dyDescent="0.45"/>
    <row r="249" s="1" customFormat="1" x14ac:dyDescent="0.45"/>
    <row r="250" s="1" customFormat="1" x14ac:dyDescent="0.45"/>
    <row r="251" s="1" customFormat="1" x14ac:dyDescent="0.45"/>
    <row r="252" s="1" customFormat="1" x14ac:dyDescent="0.45"/>
    <row r="253" s="1" customFormat="1" x14ac:dyDescent="0.45"/>
    <row r="254" s="1" customFormat="1" x14ac:dyDescent="0.45"/>
    <row r="255" s="1" customFormat="1" x14ac:dyDescent="0.45"/>
    <row r="256" s="1" customFormat="1" x14ac:dyDescent="0.45"/>
    <row r="257" s="1" customFormat="1" x14ac:dyDescent="0.45"/>
    <row r="258" s="1" customFormat="1" x14ac:dyDescent="0.45"/>
    <row r="259" s="1" customFormat="1" x14ac:dyDescent="0.45"/>
    <row r="260" s="1" customFormat="1" x14ac:dyDescent="0.45"/>
    <row r="261" s="1" customFormat="1" x14ac:dyDescent="0.45"/>
    <row r="262" s="1" customFormat="1" x14ac:dyDescent="0.45"/>
    <row r="263" s="1" customFormat="1" x14ac:dyDescent="0.45"/>
    <row r="264" s="1" customFormat="1" x14ac:dyDescent="0.45"/>
    <row r="265" s="1" customFormat="1" x14ac:dyDescent="0.45"/>
    <row r="266" s="1" customFormat="1" x14ac:dyDescent="0.45"/>
    <row r="267" s="1" customFormat="1" x14ac:dyDescent="0.45"/>
    <row r="268" s="1" customFormat="1" x14ac:dyDescent="0.45"/>
    <row r="269" s="1" customFormat="1" x14ac:dyDescent="0.45"/>
    <row r="270" s="1" customFormat="1" x14ac:dyDescent="0.45"/>
    <row r="271" s="1" customFormat="1" x14ac:dyDescent="0.45"/>
    <row r="272" s="1" customFormat="1" x14ac:dyDescent="0.45"/>
    <row r="273" s="1" customFormat="1" x14ac:dyDescent="0.45"/>
    <row r="274" s="1" customFormat="1" x14ac:dyDescent="0.45"/>
    <row r="275" s="1" customFormat="1" x14ac:dyDescent="0.45"/>
    <row r="276" s="1" customFormat="1" x14ac:dyDescent="0.45"/>
    <row r="277" s="1" customFormat="1" x14ac:dyDescent="0.45"/>
    <row r="278" s="1" customFormat="1" x14ac:dyDescent="0.45"/>
    <row r="279" s="1" customFormat="1" x14ac:dyDescent="0.45"/>
    <row r="280" s="1" customFormat="1" x14ac:dyDescent="0.45"/>
    <row r="281" s="1" customFormat="1" x14ac:dyDescent="0.45"/>
    <row r="282" s="1" customFormat="1" x14ac:dyDescent="0.45"/>
    <row r="283" s="1" customFormat="1" x14ac:dyDescent="0.45"/>
    <row r="284" s="1" customFormat="1" x14ac:dyDescent="0.45"/>
    <row r="285" s="1" customFormat="1" x14ac:dyDescent="0.45"/>
    <row r="286" s="1" customFormat="1" x14ac:dyDescent="0.45"/>
    <row r="287" s="1" customFormat="1" x14ac:dyDescent="0.45"/>
    <row r="288" s="1" customFormat="1" x14ac:dyDescent="0.45"/>
    <row r="289" s="1" customFormat="1" x14ac:dyDescent="0.45"/>
    <row r="290" s="1" customFormat="1" x14ac:dyDescent="0.45"/>
    <row r="291" s="1" customFormat="1" x14ac:dyDescent="0.45"/>
    <row r="292" s="1" customFormat="1" x14ac:dyDescent="0.45"/>
    <row r="293" s="1" customFormat="1" x14ac:dyDescent="0.45"/>
    <row r="294" s="1" customFormat="1" x14ac:dyDescent="0.45"/>
    <row r="295" s="1" customFormat="1" x14ac:dyDescent="0.45"/>
    <row r="296" s="1" customFormat="1" x14ac:dyDescent="0.45"/>
    <row r="297" s="1" customFormat="1" x14ac:dyDescent="0.45"/>
    <row r="298" s="1" customFormat="1" x14ac:dyDescent="0.45"/>
    <row r="299" s="1" customFormat="1" x14ac:dyDescent="0.45"/>
    <row r="300" s="1" customFormat="1" x14ac:dyDescent="0.45"/>
    <row r="301" s="1" customFormat="1" x14ac:dyDescent="0.45"/>
    <row r="302" s="1" customFormat="1" x14ac:dyDescent="0.45"/>
    <row r="303" s="1" customFormat="1" x14ac:dyDescent="0.45"/>
    <row r="304" s="1" customFormat="1" x14ac:dyDescent="0.45"/>
    <row r="305" s="1" customFormat="1" x14ac:dyDescent="0.45"/>
    <row r="306" s="1" customFormat="1" x14ac:dyDescent="0.45"/>
    <row r="307" s="1" customFormat="1" x14ac:dyDescent="0.45"/>
    <row r="308" s="1" customFormat="1" x14ac:dyDescent="0.45"/>
    <row r="309" s="1" customFormat="1" x14ac:dyDescent="0.45"/>
    <row r="310" s="1" customFormat="1" x14ac:dyDescent="0.45"/>
    <row r="311" s="1" customFormat="1" x14ac:dyDescent="0.45"/>
    <row r="312" s="1" customFormat="1" x14ac:dyDescent="0.45"/>
    <row r="313" s="1" customFormat="1" x14ac:dyDescent="0.45"/>
    <row r="314" s="1" customFormat="1" x14ac:dyDescent="0.45"/>
    <row r="315" s="1" customFormat="1" x14ac:dyDescent="0.45"/>
    <row r="316" s="1" customFormat="1" x14ac:dyDescent="0.45"/>
    <row r="317" s="1" customFormat="1" x14ac:dyDescent="0.45"/>
    <row r="318" s="1" customFormat="1" x14ac:dyDescent="0.45"/>
    <row r="319" s="1" customFormat="1" x14ac:dyDescent="0.45"/>
    <row r="320" s="1" customFormat="1" x14ac:dyDescent="0.45"/>
    <row r="321" s="1" customFormat="1" x14ac:dyDescent="0.45"/>
    <row r="322" s="1" customFormat="1" x14ac:dyDescent="0.45"/>
    <row r="323" s="1" customFormat="1" x14ac:dyDescent="0.45"/>
    <row r="324" s="1" customFormat="1" x14ac:dyDescent="0.45"/>
    <row r="325" s="1" customFormat="1" x14ac:dyDescent="0.45"/>
    <row r="326" s="1" customFormat="1" x14ac:dyDescent="0.45"/>
    <row r="327" s="1" customFormat="1" x14ac:dyDescent="0.45"/>
    <row r="328" s="1" customFormat="1" x14ac:dyDescent="0.45"/>
    <row r="329" s="1" customFormat="1" x14ac:dyDescent="0.45"/>
    <row r="330" s="1" customFormat="1" x14ac:dyDescent="0.45"/>
    <row r="331" s="1" customFormat="1" x14ac:dyDescent="0.45"/>
    <row r="332" s="1" customFormat="1" x14ac:dyDescent="0.45"/>
    <row r="333" s="1" customFormat="1" x14ac:dyDescent="0.45"/>
    <row r="334" s="1" customFormat="1" x14ac:dyDescent="0.45"/>
    <row r="335" s="1" customFormat="1" x14ac:dyDescent="0.45"/>
    <row r="336" s="1" customFormat="1" x14ac:dyDescent="0.45"/>
    <row r="337" s="1" customFormat="1" x14ac:dyDescent="0.45"/>
    <row r="338" s="1" customFormat="1" x14ac:dyDescent="0.45"/>
    <row r="339" s="1" customFormat="1" x14ac:dyDescent="0.45"/>
    <row r="340" s="1" customFormat="1" x14ac:dyDescent="0.45"/>
    <row r="341" s="1" customFormat="1" x14ac:dyDescent="0.45"/>
    <row r="342" s="1" customFormat="1" x14ac:dyDescent="0.45"/>
    <row r="343" s="1" customFormat="1" x14ac:dyDescent="0.45"/>
    <row r="344" s="1" customFormat="1" x14ac:dyDescent="0.45"/>
    <row r="345" s="1" customFormat="1" x14ac:dyDescent="0.45"/>
    <row r="346" s="1" customFormat="1" x14ac:dyDescent="0.45"/>
    <row r="347" s="1" customFormat="1" x14ac:dyDescent="0.45"/>
    <row r="348" s="1" customFormat="1" x14ac:dyDescent="0.45"/>
    <row r="349" s="1" customFormat="1" x14ac:dyDescent="0.45"/>
    <row r="350" s="1" customFormat="1" x14ac:dyDescent="0.45"/>
    <row r="351" s="1" customFormat="1" x14ac:dyDescent="0.45"/>
    <row r="352" s="1" customFormat="1" x14ac:dyDescent="0.45"/>
    <row r="353" s="1" customFormat="1" x14ac:dyDescent="0.45"/>
    <row r="354" s="1" customFormat="1" x14ac:dyDescent="0.45"/>
    <row r="355" s="1" customFormat="1" x14ac:dyDescent="0.45"/>
    <row r="356" s="1" customFormat="1" x14ac:dyDescent="0.45"/>
    <row r="357" s="1" customFormat="1" x14ac:dyDescent="0.45"/>
    <row r="358" s="1" customFormat="1" x14ac:dyDescent="0.45"/>
    <row r="359" s="1" customFormat="1" x14ac:dyDescent="0.45"/>
    <row r="360" s="1" customFormat="1" x14ac:dyDescent="0.45"/>
    <row r="361" s="1" customFormat="1" x14ac:dyDescent="0.45"/>
    <row r="362" s="1" customFormat="1" x14ac:dyDescent="0.45"/>
    <row r="363" s="1" customFormat="1" x14ac:dyDescent="0.45"/>
    <row r="364" s="1" customFormat="1" x14ac:dyDescent="0.45"/>
    <row r="365" s="1" customFormat="1" x14ac:dyDescent="0.45"/>
    <row r="366" s="1" customFormat="1" x14ac:dyDescent="0.45"/>
    <row r="367" s="1" customFormat="1" x14ac:dyDescent="0.45"/>
    <row r="368" s="1" customFormat="1" x14ac:dyDescent="0.45"/>
    <row r="369" s="1" customFormat="1" x14ac:dyDescent="0.45"/>
    <row r="370" s="1" customFormat="1" x14ac:dyDescent="0.45"/>
    <row r="371" s="1" customFormat="1" x14ac:dyDescent="0.45"/>
    <row r="372" s="1" customFormat="1" x14ac:dyDescent="0.45"/>
    <row r="373" s="1" customFormat="1" x14ac:dyDescent="0.45"/>
    <row r="374" s="1" customFormat="1" x14ac:dyDescent="0.45"/>
    <row r="375" s="1" customFormat="1" x14ac:dyDescent="0.45"/>
    <row r="376" s="1" customFormat="1" x14ac:dyDescent="0.45"/>
    <row r="377" s="1" customFormat="1" x14ac:dyDescent="0.45"/>
    <row r="378" s="1" customFormat="1" x14ac:dyDescent="0.45"/>
    <row r="379" s="1" customFormat="1" x14ac:dyDescent="0.45"/>
    <row r="380" s="1" customFormat="1" x14ac:dyDescent="0.45"/>
    <row r="381" s="1" customFormat="1" x14ac:dyDescent="0.45"/>
    <row r="382" s="1" customFormat="1" x14ac:dyDescent="0.45"/>
    <row r="383" s="1" customFormat="1" x14ac:dyDescent="0.45"/>
    <row r="384" s="1" customFormat="1" x14ac:dyDescent="0.45"/>
    <row r="385" s="1" customFormat="1" x14ac:dyDescent="0.45"/>
    <row r="386" s="1" customFormat="1" x14ac:dyDescent="0.45"/>
    <row r="387" s="1" customFormat="1" x14ac:dyDescent="0.45"/>
    <row r="388" s="1" customFormat="1" x14ac:dyDescent="0.45"/>
    <row r="389" s="1" customFormat="1" x14ac:dyDescent="0.45"/>
    <row r="390" s="1" customFormat="1" x14ac:dyDescent="0.45"/>
    <row r="391" s="1" customFormat="1" x14ac:dyDescent="0.45"/>
    <row r="392" s="1" customFormat="1" x14ac:dyDescent="0.45"/>
    <row r="393" s="1" customFormat="1" x14ac:dyDescent="0.45"/>
    <row r="394" s="1" customFormat="1" x14ac:dyDescent="0.45"/>
    <row r="395" s="1" customFormat="1" x14ac:dyDescent="0.45"/>
    <row r="396" s="1" customFormat="1" x14ac:dyDescent="0.45"/>
    <row r="397" s="1" customFormat="1" x14ac:dyDescent="0.45"/>
    <row r="398" s="1" customFormat="1" x14ac:dyDescent="0.45"/>
    <row r="399" s="1" customFormat="1" x14ac:dyDescent="0.45"/>
    <row r="400" s="1" customFormat="1" x14ac:dyDescent="0.45"/>
    <row r="401" s="1" customFormat="1" x14ac:dyDescent="0.45"/>
  </sheetData>
  <mergeCells count="1">
    <mergeCell ref="L27:S28"/>
  </mergeCells>
  <pageMargins left="0.7" right="0.7" top="0.75" bottom="0.75" header="0.3" footer="0.3"/>
  <pageSetup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Blink">
                <anchor moveWithCells="1" sizeWithCells="1">
                  <from>
                    <xdr:col>8</xdr:col>
                    <xdr:colOff>590550</xdr:colOff>
                    <xdr:row>28</xdr:row>
                    <xdr:rowOff>142875</xdr:rowOff>
                  </from>
                  <to>
                    <xdr:col>13</xdr:col>
                    <xdr:colOff>161925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"/>
  <sheetViews>
    <sheetView workbookViewId="0">
      <selection activeCell="H30" sqref="H30"/>
    </sheetView>
  </sheetViews>
  <sheetFormatPr defaultRowHeight="14.25" x14ac:dyDescent="0.45"/>
  <cols>
    <col min="4" max="4" width="12.73046875" bestFit="1" customWidth="1"/>
    <col min="8" max="8" width="17.73046875" style="13" bestFit="1" customWidth="1"/>
    <col min="9" max="9" width="9.59765625" style="13" customWidth="1"/>
  </cols>
  <sheetData>
    <row r="1" spans="1:11" x14ac:dyDescent="0.45">
      <c r="A1" t="s">
        <v>23</v>
      </c>
      <c r="B1">
        <v>0</v>
      </c>
    </row>
    <row r="2" spans="1:11" x14ac:dyDescent="0.45">
      <c r="A2">
        <v>1</v>
      </c>
      <c r="B2">
        <v>-10168.290195216985</v>
      </c>
      <c r="C2">
        <v>0</v>
      </c>
      <c r="D2">
        <f>C2+Summary!K$27</f>
        <v>3000</v>
      </c>
      <c r="E2">
        <f>C2-Summary!K$27</f>
        <v>-3000</v>
      </c>
      <c r="H2" s="13" t="s">
        <v>26</v>
      </c>
      <c r="I2" s="13" t="str">
        <f>LEFT(RTD("rit2.rtd",,"LATESTNEWS",1),5)</f>
        <v>LATES</v>
      </c>
      <c r="K2" t="s">
        <v>24</v>
      </c>
    </row>
    <row r="3" spans="1:11" x14ac:dyDescent="0.45">
      <c r="A3">
        <v>2</v>
      </c>
      <c r="B3">
        <v>-10168.008579455416</v>
      </c>
      <c r="C3">
        <v>0</v>
      </c>
      <c r="D3">
        <f>C3+Summary!K$27</f>
        <v>3000</v>
      </c>
      <c r="E3">
        <f>C3-Summary!K$27</f>
        <v>-3000</v>
      </c>
      <c r="H3" s="13" t="s">
        <v>27</v>
      </c>
      <c r="I3" s="13" t="s">
        <v>25</v>
      </c>
      <c r="K3" t="e">
        <f>300-RTD("rit2.rtd",,"TIMEREMAINING")</f>
        <v>#VALUE!</v>
      </c>
    </row>
    <row r="4" spans="1:11" x14ac:dyDescent="0.45">
      <c r="A4">
        <v>3</v>
      </c>
      <c r="B4">
        <v>-10167.726490576561</v>
      </c>
      <c r="C4">
        <v>0</v>
      </c>
      <c r="D4">
        <f>C4+Summary!K$27</f>
        <v>3000</v>
      </c>
      <c r="E4">
        <f>C4-Summary!K$27</f>
        <v>-3000</v>
      </c>
    </row>
    <row r="5" spans="1:11" x14ac:dyDescent="0.45">
      <c r="A5">
        <v>4</v>
      </c>
      <c r="C5">
        <v>0</v>
      </c>
      <c r="D5">
        <f>C5+Summary!K$27</f>
        <v>3000</v>
      </c>
      <c r="E5">
        <f>C5-Summary!K$27</f>
        <v>-3000</v>
      </c>
      <c r="H5" s="13" t="s">
        <v>28</v>
      </c>
      <c r="I5" s="13" t="e">
        <f>IF(currenttick=0,0,IF(AND(currenttick&gt;0,currenttick&lt;3),1,0))</f>
        <v>#VALUE!</v>
      </c>
    </row>
    <row r="6" spans="1:11" x14ac:dyDescent="0.45">
      <c r="A6">
        <v>5</v>
      </c>
      <c r="B6">
        <v>-10167.160883882178</v>
      </c>
      <c r="C6">
        <v>0</v>
      </c>
      <c r="D6">
        <f>C6+Summary!K$27</f>
        <v>3000</v>
      </c>
      <c r="E6">
        <f>C6-Summary!K$27</f>
        <v>-3000</v>
      </c>
    </row>
    <row r="7" spans="1:11" x14ac:dyDescent="0.45">
      <c r="A7">
        <v>6</v>
      </c>
      <c r="B7">
        <v>-10166.877361223476</v>
      </c>
      <c r="C7">
        <v>0</v>
      </c>
      <c r="D7">
        <f>C7+Summary!K$27</f>
        <v>3000</v>
      </c>
      <c r="E7">
        <f>C7-Summary!K$27</f>
        <v>-3000</v>
      </c>
    </row>
    <row r="8" spans="1:11" x14ac:dyDescent="0.45">
      <c r="A8">
        <v>7</v>
      </c>
      <c r="B8">
        <v>-10166.593355760653</v>
      </c>
      <c r="C8">
        <v>0</v>
      </c>
      <c r="D8">
        <f>C8+Summary!K$27</f>
        <v>3000</v>
      </c>
      <c r="E8">
        <f>C8-Summary!K$27</f>
        <v>-3000</v>
      </c>
    </row>
    <row r="9" spans="1:11" x14ac:dyDescent="0.45">
      <c r="A9">
        <v>8</v>
      </c>
      <c r="B9">
        <v>-10166.308865020257</v>
      </c>
      <c r="C9">
        <v>0</v>
      </c>
      <c r="D9">
        <f>C9+Summary!K$27</f>
        <v>3000</v>
      </c>
      <c r="E9">
        <f>C9-Summary!K$27</f>
        <v>-3000</v>
      </c>
    </row>
    <row r="10" spans="1:11" x14ac:dyDescent="0.45">
      <c r="A10">
        <v>9</v>
      </c>
      <c r="B10">
        <v>-10166.023886507637</v>
      </c>
      <c r="C10">
        <v>0</v>
      </c>
      <c r="D10">
        <f>C10+Summary!K$27</f>
        <v>3000</v>
      </c>
      <c r="E10">
        <f>C10-Summary!K$27</f>
        <v>-3000</v>
      </c>
    </row>
    <row r="11" spans="1:11" x14ac:dyDescent="0.45">
      <c r="A11">
        <v>10</v>
      </c>
      <c r="B11">
        <v>-10165.738417706707</v>
      </c>
      <c r="C11">
        <v>0</v>
      </c>
      <c r="D11">
        <f>C11+Summary!K$27</f>
        <v>3000</v>
      </c>
      <c r="E11">
        <f>C11-Summary!K$27</f>
        <v>-3000</v>
      </c>
    </row>
    <row r="12" spans="1:11" x14ac:dyDescent="0.45">
      <c r="A12">
        <v>11</v>
      </c>
      <c r="B12">
        <v>-10165.452456079653</v>
      </c>
      <c r="C12">
        <v>0</v>
      </c>
      <c r="D12">
        <f>C12+Summary!K$27</f>
        <v>3000</v>
      </c>
      <c r="E12">
        <f>C12-Summary!K$27</f>
        <v>-3000</v>
      </c>
    </row>
    <row r="13" spans="1:11" x14ac:dyDescent="0.45">
      <c r="A13">
        <v>12</v>
      </c>
      <c r="B13">
        <v>-10165.165999066698</v>
      </c>
      <c r="C13">
        <v>0</v>
      </c>
      <c r="D13">
        <f>C13+Summary!K$27</f>
        <v>3000</v>
      </c>
      <c r="E13">
        <f>C13-Summary!K$27</f>
        <v>-3000</v>
      </c>
    </row>
    <row r="14" spans="1:11" x14ac:dyDescent="0.45">
      <c r="A14">
        <v>13</v>
      </c>
      <c r="B14">
        <v>-10164.879044085828</v>
      </c>
      <c r="C14">
        <v>0</v>
      </c>
      <c r="D14">
        <f>C14+Summary!K$27</f>
        <v>3000</v>
      </c>
      <c r="E14">
        <f>C14-Summary!K$27</f>
        <v>-3000</v>
      </c>
    </row>
    <row r="15" spans="1:11" x14ac:dyDescent="0.45">
      <c r="A15">
        <v>14</v>
      </c>
      <c r="B15">
        <v>-10164.591588532516</v>
      </c>
      <c r="C15">
        <v>0</v>
      </c>
      <c r="D15">
        <f>C15+Summary!K$27</f>
        <v>3000</v>
      </c>
      <c r="E15">
        <f>C15-Summary!K$27</f>
        <v>-3000</v>
      </c>
    </row>
    <row r="16" spans="1:11" x14ac:dyDescent="0.45">
      <c r="A16">
        <v>15</v>
      </c>
      <c r="B16">
        <v>-10164.303629779452</v>
      </c>
      <c r="C16">
        <v>0</v>
      </c>
      <c r="D16">
        <f>C16+Summary!K$27</f>
        <v>3000</v>
      </c>
      <c r="E16">
        <f>C16-Summary!K$27</f>
        <v>-3000</v>
      </c>
    </row>
    <row r="17" spans="1:5" x14ac:dyDescent="0.45">
      <c r="A17">
        <v>16</v>
      </c>
      <c r="B17">
        <v>-9814.4210966404407</v>
      </c>
      <c r="C17">
        <v>0</v>
      </c>
      <c r="D17">
        <f>C17+Summary!K$27</f>
        <v>3000</v>
      </c>
      <c r="E17">
        <f>C17-Summary!K$27</f>
        <v>-3000</v>
      </c>
    </row>
    <row r="18" spans="1:5" x14ac:dyDescent="0.45">
      <c r="A18">
        <v>17</v>
      </c>
      <c r="B18">
        <v>-9385.1786562626239</v>
      </c>
      <c r="C18">
        <v>0</v>
      </c>
      <c r="D18">
        <f>C18+Summary!K$27</f>
        <v>3000</v>
      </c>
      <c r="E18">
        <f>C18-Summary!K$27</f>
        <v>-3000</v>
      </c>
    </row>
    <row r="19" spans="1:5" x14ac:dyDescent="0.45">
      <c r="A19">
        <v>18</v>
      </c>
      <c r="B19">
        <v>-9461.5044138478697</v>
      </c>
      <c r="C19">
        <v>0</v>
      </c>
      <c r="D19">
        <f>C19+Summary!K$27</f>
        <v>3000</v>
      </c>
      <c r="E19">
        <f>C19-Summary!K$27</f>
        <v>-3000</v>
      </c>
    </row>
    <row r="20" spans="1:5" x14ac:dyDescent="0.45">
      <c r="A20">
        <v>19</v>
      </c>
      <c r="B20">
        <v>-8603.348004614807</v>
      </c>
      <c r="C20">
        <v>0</v>
      </c>
      <c r="D20">
        <f>C20+Summary!K$27</f>
        <v>3000</v>
      </c>
      <c r="E20">
        <f>C20-Summary!K$27</f>
        <v>-3000</v>
      </c>
    </row>
    <row r="21" spans="1:5" x14ac:dyDescent="0.45">
      <c r="A21">
        <v>20</v>
      </c>
      <c r="B21">
        <v>-9771.6252820480513</v>
      </c>
      <c r="C21">
        <v>0</v>
      </c>
      <c r="D21">
        <f>C21+Summary!K$27</f>
        <v>3000</v>
      </c>
      <c r="E21">
        <f>C21-Summary!K$27</f>
        <v>-3000</v>
      </c>
    </row>
    <row r="22" spans="1:5" x14ac:dyDescent="0.45">
      <c r="A22">
        <v>21</v>
      </c>
      <c r="B22">
        <v>-9221.7552534050319</v>
      </c>
      <c r="C22">
        <v>0</v>
      </c>
      <c r="D22">
        <f>C22+Summary!K$27</f>
        <v>3000</v>
      </c>
      <c r="E22">
        <f>C22-Summary!K$27</f>
        <v>-3000</v>
      </c>
    </row>
    <row r="23" spans="1:5" x14ac:dyDescent="0.45">
      <c r="A23">
        <v>22</v>
      </c>
      <c r="B23">
        <v>-9259.0148170953034</v>
      </c>
      <c r="C23">
        <v>0</v>
      </c>
      <c r="D23">
        <f>C23+Summary!K$27</f>
        <v>3000</v>
      </c>
      <c r="E23">
        <f>C23-Summary!K$27</f>
        <v>-3000</v>
      </c>
    </row>
    <row r="24" spans="1:5" x14ac:dyDescent="0.45">
      <c r="A24">
        <v>23</v>
      </c>
      <c r="B24">
        <v>-9493.1076732868733</v>
      </c>
      <c r="C24">
        <v>0</v>
      </c>
      <c r="D24">
        <f>C24+Summary!K$27</f>
        <v>3000</v>
      </c>
      <c r="E24">
        <f>C24-Summary!K$27</f>
        <v>-3000</v>
      </c>
    </row>
    <row r="25" spans="1:5" x14ac:dyDescent="0.45">
      <c r="A25">
        <v>24</v>
      </c>
      <c r="B25">
        <v>-9688.765948116863</v>
      </c>
      <c r="C25">
        <v>0</v>
      </c>
      <c r="D25">
        <f>C25+Summary!K$27</f>
        <v>3000</v>
      </c>
      <c r="E25">
        <f>C25-Summary!K$27</f>
        <v>-3000</v>
      </c>
    </row>
    <row r="26" spans="1:5" x14ac:dyDescent="0.45">
      <c r="A26">
        <v>25</v>
      </c>
      <c r="B26">
        <v>-9371.6368768731463</v>
      </c>
      <c r="C26">
        <v>0</v>
      </c>
      <c r="D26">
        <f>C26+Summary!K$27</f>
        <v>3000</v>
      </c>
      <c r="E26">
        <f>C26-Summary!K$27</f>
        <v>-3000</v>
      </c>
    </row>
    <row r="27" spans="1:5" x14ac:dyDescent="0.45">
      <c r="A27">
        <v>26</v>
      </c>
      <c r="B27">
        <v>-9132.7868859888404</v>
      </c>
      <c r="C27">
        <v>0</v>
      </c>
      <c r="D27">
        <f>C27+Summary!K$27</f>
        <v>3000</v>
      </c>
      <c r="E27">
        <f>C27-Summary!K$27</f>
        <v>-3000</v>
      </c>
    </row>
    <row r="28" spans="1:5" x14ac:dyDescent="0.45">
      <c r="A28">
        <v>27</v>
      </c>
      <c r="B28">
        <v>-9447.4246773561026</v>
      </c>
      <c r="C28">
        <v>0</v>
      </c>
      <c r="D28">
        <f>C28+Summary!K$27</f>
        <v>3000</v>
      </c>
      <c r="E28">
        <f>C28-Summary!K$27</f>
        <v>-3000</v>
      </c>
    </row>
    <row r="29" spans="1:5" x14ac:dyDescent="0.45">
      <c r="A29">
        <v>28</v>
      </c>
      <c r="B29">
        <v>-9962.1305842977927</v>
      </c>
      <c r="C29">
        <v>0</v>
      </c>
      <c r="D29">
        <f>C29+Summary!K$27</f>
        <v>3000</v>
      </c>
      <c r="E29">
        <f>C29-Summary!K$27</f>
        <v>-3000</v>
      </c>
    </row>
    <row r="30" spans="1:5" x14ac:dyDescent="0.45">
      <c r="A30">
        <v>29</v>
      </c>
      <c r="B30">
        <v>-10793.611981139471</v>
      </c>
      <c r="C30">
        <v>0</v>
      </c>
      <c r="D30">
        <f>C30+Summary!K$27</f>
        <v>3000</v>
      </c>
      <c r="E30">
        <f>C30-Summary!K$27</f>
        <v>-3000</v>
      </c>
    </row>
    <row r="31" spans="1:5" x14ac:dyDescent="0.45">
      <c r="A31">
        <v>30</v>
      </c>
      <c r="B31">
        <v>-10517.496600204184</v>
      </c>
      <c r="C31">
        <v>0</v>
      </c>
      <c r="D31">
        <f>C31+Summary!K$27</f>
        <v>3000</v>
      </c>
      <c r="E31">
        <f>C31-Summary!K$27</f>
        <v>-3000</v>
      </c>
    </row>
    <row r="32" spans="1:5" x14ac:dyDescent="0.45">
      <c r="A32">
        <v>31</v>
      </c>
      <c r="B32">
        <v>-10834.906562433718</v>
      </c>
      <c r="C32">
        <v>0</v>
      </c>
      <c r="D32">
        <f>C32+Summary!K$27</f>
        <v>3000</v>
      </c>
      <c r="E32">
        <f>C32-Summary!K$27</f>
        <v>-3000</v>
      </c>
    </row>
    <row r="33" spans="1:5" x14ac:dyDescent="0.45">
      <c r="A33">
        <v>32</v>
      </c>
      <c r="B33">
        <v>-10875.450953959493</v>
      </c>
      <c r="C33">
        <v>0</v>
      </c>
      <c r="D33">
        <f>C33+Summary!K$27</f>
        <v>3000</v>
      </c>
      <c r="E33">
        <f>C33-Summary!K$27</f>
        <v>-3000</v>
      </c>
    </row>
    <row r="34" spans="1:5" x14ac:dyDescent="0.45">
      <c r="A34">
        <v>33</v>
      </c>
      <c r="B34">
        <v>-10757.428815783778</v>
      </c>
      <c r="C34">
        <v>0</v>
      </c>
      <c r="D34">
        <f>C34+Summary!K$27</f>
        <v>3000</v>
      </c>
      <c r="E34">
        <f>C34-Summary!K$27</f>
        <v>-3000</v>
      </c>
    </row>
    <row r="35" spans="1:5" x14ac:dyDescent="0.45">
      <c r="A35">
        <v>34</v>
      </c>
      <c r="B35">
        <v>-10678.594287359185</v>
      </c>
      <c r="C35">
        <v>0</v>
      </c>
      <c r="D35">
        <f>C35+Summary!K$27</f>
        <v>3000</v>
      </c>
      <c r="E35">
        <f>C35-Summary!K$27</f>
        <v>-3000</v>
      </c>
    </row>
    <row r="36" spans="1:5" x14ac:dyDescent="0.45">
      <c r="A36">
        <v>35</v>
      </c>
      <c r="B36">
        <v>-9635.5613664702687</v>
      </c>
      <c r="C36">
        <v>0</v>
      </c>
      <c r="D36">
        <f>C36+Summary!K$27</f>
        <v>3000</v>
      </c>
      <c r="E36">
        <f>C36-Summary!K$27</f>
        <v>-3000</v>
      </c>
    </row>
    <row r="37" spans="1:5" x14ac:dyDescent="0.45">
      <c r="A37">
        <v>36</v>
      </c>
      <c r="B37">
        <v>-9070.4212080335492</v>
      </c>
      <c r="C37">
        <v>0</v>
      </c>
      <c r="D37">
        <f>C37+Summary!K$27</f>
        <v>3000</v>
      </c>
      <c r="E37">
        <f>C37-Summary!K$27</f>
        <v>-3000</v>
      </c>
    </row>
    <row r="38" spans="1:5" x14ac:dyDescent="0.45">
      <c r="A38">
        <v>37</v>
      </c>
      <c r="B38">
        <v>-8466.3270843086739</v>
      </c>
      <c r="C38">
        <v>0</v>
      </c>
      <c r="D38">
        <f>C38+Summary!K$27</f>
        <v>3000</v>
      </c>
      <c r="E38">
        <f>C38-Summary!K$27</f>
        <v>-3000</v>
      </c>
    </row>
    <row r="39" spans="1:5" x14ac:dyDescent="0.45">
      <c r="A39">
        <v>38</v>
      </c>
      <c r="B39">
        <v>-9065.7017068879613</v>
      </c>
      <c r="C39">
        <v>0</v>
      </c>
      <c r="D39">
        <f>C39+Summary!K$27</f>
        <v>3000</v>
      </c>
      <c r="E39">
        <f>C39-Summary!K$27</f>
        <v>-3000</v>
      </c>
    </row>
    <row r="40" spans="1:5" x14ac:dyDescent="0.45">
      <c r="A40">
        <v>39</v>
      </c>
      <c r="B40">
        <v>-8740.5296536411279</v>
      </c>
      <c r="C40">
        <v>0</v>
      </c>
      <c r="D40">
        <f>C40+Summary!K$27</f>
        <v>3000</v>
      </c>
      <c r="E40">
        <f>C40-Summary!K$27</f>
        <v>-3000</v>
      </c>
    </row>
    <row r="41" spans="1:5" x14ac:dyDescent="0.45">
      <c r="A41">
        <v>40</v>
      </c>
      <c r="B41">
        <v>-8135.8384535233026</v>
      </c>
      <c r="C41">
        <v>0</v>
      </c>
      <c r="D41">
        <f>C41+Summary!K$27</f>
        <v>3000</v>
      </c>
      <c r="E41">
        <f>C41-Summary!K$27</f>
        <v>-3000</v>
      </c>
    </row>
    <row r="42" spans="1:5" x14ac:dyDescent="0.45">
      <c r="A42">
        <v>41</v>
      </c>
      <c r="B42">
        <v>-7813.7285971451902</v>
      </c>
      <c r="C42">
        <v>0</v>
      </c>
      <c r="D42">
        <f>C42+Summary!K$27</f>
        <v>3000</v>
      </c>
      <c r="E42">
        <f>C42-Summary!K$27</f>
        <v>-3000</v>
      </c>
    </row>
    <row r="43" spans="1:5" x14ac:dyDescent="0.45">
      <c r="A43">
        <v>42</v>
      </c>
      <c r="B43">
        <v>-8127.5819871189087</v>
      </c>
      <c r="C43">
        <v>0</v>
      </c>
      <c r="D43">
        <f>C43+Summary!K$27</f>
        <v>3000</v>
      </c>
      <c r="E43">
        <f>C43-Summary!K$27</f>
        <v>-3000</v>
      </c>
    </row>
    <row r="44" spans="1:5" x14ac:dyDescent="0.45">
      <c r="A44">
        <v>43</v>
      </c>
      <c r="B44">
        <v>-8485.5565301275183</v>
      </c>
      <c r="C44">
        <v>0</v>
      </c>
      <c r="D44">
        <f>C44+Summary!K$27</f>
        <v>3000</v>
      </c>
      <c r="E44">
        <f>C44-Summary!K$27</f>
        <v>-3000</v>
      </c>
    </row>
    <row r="45" spans="1:5" x14ac:dyDescent="0.45">
      <c r="A45">
        <v>44</v>
      </c>
      <c r="B45">
        <v>-8522.5250433699075</v>
      </c>
      <c r="C45">
        <v>0</v>
      </c>
      <c r="D45">
        <f>C45+Summary!K$27</f>
        <v>3000</v>
      </c>
      <c r="E45">
        <f>C45-Summary!K$27</f>
        <v>-3000</v>
      </c>
    </row>
    <row r="46" spans="1:5" x14ac:dyDescent="0.45">
      <c r="A46">
        <v>45</v>
      </c>
      <c r="B46">
        <v>-9622.4008495093294</v>
      </c>
      <c r="C46">
        <v>0</v>
      </c>
      <c r="D46">
        <f>C46+Summary!K$27</f>
        <v>3000</v>
      </c>
      <c r="E46">
        <f>C46-Summary!K$27</f>
        <v>-3000</v>
      </c>
    </row>
    <row r="47" spans="1:5" x14ac:dyDescent="0.45">
      <c r="A47">
        <v>46</v>
      </c>
      <c r="B47">
        <v>-10482.884436229569</v>
      </c>
      <c r="C47">
        <v>0</v>
      </c>
      <c r="D47">
        <f>C47+Summary!K$27</f>
        <v>3000</v>
      </c>
      <c r="E47">
        <f>C47-Summary!K$27</f>
        <v>-3000</v>
      </c>
    </row>
    <row r="48" spans="1:5" x14ac:dyDescent="0.45">
      <c r="A48">
        <v>47</v>
      </c>
      <c r="B48">
        <v>-9990.2658260895878</v>
      </c>
      <c r="C48">
        <v>0</v>
      </c>
      <c r="D48">
        <f>C48+Summary!K$27</f>
        <v>3000</v>
      </c>
      <c r="E48">
        <f>C48-Summary!K$27</f>
        <v>-3000</v>
      </c>
    </row>
    <row r="49" spans="1:5" x14ac:dyDescent="0.45">
      <c r="A49">
        <v>48</v>
      </c>
      <c r="B49">
        <v>-9329.5963132887282</v>
      </c>
      <c r="C49">
        <v>0</v>
      </c>
      <c r="D49">
        <f>C49+Summary!K$27</f>
        <v>3000</v>
      </c>
      <c r="E49">
        <f>C49-Summary!K$27</f>
        <v>-3000</v>
      </c>
    </row>
    <row r="50" spans="1:5" x14ac:dyDescent="0.45">
      <c r="A50">
        <v>49</v>
      </c>
      <c r="B50">
        <v>-8627.8283437251375</v>
      </c>
      <c r="C50">
        <v>0</v>
      </c>
      <c r="D50">
        <f>C50+Summary!K$27</f>
        <v>3000</v>
      </c>
      <c r="E50">
        <f>C50-Summary!K$27</f>
        <v>-3000</v>
      </c>
    </row>
    <row r="51" spans="1:5" x14ac:dyDescent="0.45">
      <c r="A51">
        <v>50</v>
      </c>
      <c r="B51">
        <v>-6102.4970496819542</v>
      </c>
      <c r="C51">
        <v>0</v>
      </c>
      <c r="D51">
        <f>C51+Summary!K$27</f>
        <v>3000</v>
      </c>
      <c r="E51">
        <f>C51-Summary!K$27</f>
        <v>-3000</v>
      </c>
    </row>
    <row r="52" spans="1:5" x14ac:dyDescent="0.45">
      <c r="A52">
        <v>51</v>
      </c>
      <c r="B52">
        <v>-8827.1787081322436</v>
      </c>
      <c r="C52">
        <v>0</v>
      </c>
      <c r="D52">
        <f>C52+Summary!K$27</f>
        <v>3000</v>
      </c>
      <c r="E52">
        <f>C52-Summary!K$27</f>
        <v>-3000</v>
      </c>
    </row>
    <row r="53" spans="1:5" x14ac:dyDescent="0.45">
      <c r="A53">
        <v>52</v>
      </c>
      <c r="B53">
        <v>-8248.2097206338731</v>
      </c>
      <c r="C53">
        <v>0</v>
      </c>
      <c r="D53">
        <f>C53+Summary!K$27</f>
        <v>3000</v>
      </c>
      <c r="E53">
        <f>C53-Summary!K$27</f>
        <v>-3000</v>
      </c>
    </row>
    <row r="54" spans="1:5" x14ac:dyDescent="0.45">
      <c r="A54">
        <v>53</v>
      </c>
      <c r="B54">
        <v>-8614.4334814116482</v>
      </c>
      <c r="C54">
        <v>0</v>
      </c>
      <c r="D54">
        <f>C54+Summary!K$27</f>
        <v>3000</v>
      </c>
      <c r="E54">
        <f>C54-Summary!K$27</f>
        <v>-3000</v>
      </c>
    </row>
    <row r="55" spans="1:5" x14ac:dyDescent="0.45">
      <c r="A55">
        <v>54</v>
      </c>
      <c r="B55">
        <v>-8901.3253863320242</v>
      </c>
      <c r="C55">
        <v>0</v>
      </c>
      <c r="D55">
        <f>C55+Summary!K$27</f>
        <v>3000</v>
      </c>
      <c r="E55">
        <f>C55-Summary!K$27</f>
        <v>-3000</v>
      </c>
    </row>
    <row r="56" spans="1:5" x14ac:dyDescent="0.45">
      <c r="A56">
        <v>55</v>
      </c>
      <c r="B56">
        <v>-4426.541285621639</v>
      </c>
      <c r="C56">
        <v>0</v>
      </c>
      <c r="D56">
        <f>C56+Summary!K$27</f>
        <v>3000</v>
      </c>
      <c r="E56">
        <f>C56-Summary!K$27</f>
        <v>-3000</v>
      </c>
    </row>
    <row r="57" spans="1:5" x14ac:dyDescent="0.45">
      <c r="A57">
        <v>56</v>
      </c>
      <c r="B57">
        <v>-9020.8844013580892</v>
      </c>
      <c r="C57">
        <v>0</v>
      </c>
      <c r="D57">
        <f>C57+Summary!K$27</f>
        <v>3000</v>
      </c>
      <c r="E57">
        <f>C57-Summary!K$27</f>
        <v>-3000</v>
      </c>
    </row>
    <row r="58" spans="1:5" x14ac:dyDescent="0.45">
      <c r="A58">
        <v>57</v>
      </c>
      <c r="B58">
        <v>-9773.7876372645078</v>
      </c>
      <c r="C58">
        <v>0</v>
      </c>
      <c r="D58">
        <f>C58+Summary!K$27</f>
        <v>3000</v>
      </c>
      <c r="E58">
        <f>C58-Summary!K$27</f>
        <v>-3000</v>
      </c>
    </row>
    <row r="59" spans="1:5" x14ac:dyDescent="0.45">
      <c r="A59">
        <v>58</v>
      </c>
      <c r="B59">
        <v>-9730.5906058306173</v>
      </c>
      <c r="C59">
        <v>0</v>
      </c>
      <c r="D59">
        <f>C59+Summary!K$27</f>
        <v>3000</v>
      </c>
      <c r="E59">
        <f>C59-Summary!K$27</f>
        <v>-3000</v>
      </c>
    </row>
    <row r="60" spans="1:5" x14ac:dyDescent="0.45">
      <c r="A60">
        <v>59</v>
      </c>
      <c r="B60">
        <v>-9265.4967037280312</v>
      </c>
      <c r="C60">
        <v>0</v>
      </c>
      <c r="D60">
        <f>C60+Summary!K$27</f>
        <v>3000</v>
      </c>
      <c r="E60">
        <f>C60-Summary!K$27</f>
        <v>-3000</v>
      </c>
    </row>
    <row r="61" spans="1:5" x14ac:dyDescent="0.45">
      <c r="A61">
        <v>60</v>
      </c>
      <c r="B61">
        <v>-8007.6732789031948</v>
      </c>
      <c r="C61">
        <v>0</v>
      </c>
      <c r="D61">
        <f>C61+Summary!K$27</f>
        <v>3000</v>
      </c>
      <c r="E61">
        <f>C61-Summary!K$27</f>
        <v>-3000</v>
      </c>
    </row>
    <row r="62" spans="1:5" x14ac:dyDescent="0.45">
      <c r="A62">
        <v>61</v>
      </c>
      <c r="B62">
        <v>-7837.7882759687991</v>
      </c>
      <c r="C62">
        <v>0</v>
      </c>
      <c r="D62">
        <f>C62+Summary!K$27</f>
        <v>3000</v>
      </c>
      <c r="E62">
        <f>C62-Summary!K$27</f>
        <v>-3000</v>
      </c>
    </row>
    <row r="63" spans="1:5" x14ac:dyDescent="0.45">
      <c r="A63">
        <v>62</v>
      </c>
      <c r="B63">
        <v>-7750.3082849783368</v>
      </c>
      <c r="C63">
        <v>0</v>
      </c>
      <c r="D63">
        <f>C63+Summary!K$27</f>
        <v>3000</v>
      </c>
      <c r="E63">
        <f>C63-Summary!K$27</f>
        <v>-3000</v>
      </c>
    </row>
    <row r="64" spans="1:5" x14ac:dyDescent="0.45">
      <c r="A64">
        <v>63</v>
      </c>
      <c r="B64">
        <v>-7254.4110926294861</v>
      </c>
      <c r="C64">
        <v>0</v>
      </c>
      <c r="D64">
        <f>C64+Summary!K$27</f>
        <v>3000</v>
      </c>
      <c r="E64">
        <f>C64-Summary!K$27</f>
        <v>-3000</v>
      </c>
    </row>
    <row r="65" spans="1:5" x14ac:dyDescent="0.45">
      <c r="A65">
        <v>64</v>
      </c>
      <c r="B65">
        <v>-7167.2231922679357</v>
      </c>
      <c r="C65">
        <v>0</v>
      </c>
      <c r="D65">
        <f>C65+Summary!K$27</f>
        <v>3000</v>
      </c>
      <c r="E65">
        <f>C65-Summary!K$27</f>
        <v>-3000</v>
      </c>
    </row>
    <row r="66" spans="1:5" x14ac:dyDescent="0.45">
      <c r="A66">
        <v>65</v>
      </c>
      <c r="B66">
        <v>-6879.1053666770777</v>
      </c>
      <c r="C66">
        <v>0</v>
      </c>
      <c r="D66">
        <f>C66+Summary!K$27</f>
        <v>3000</v>
      </c>
      <c r="E66">
        <f>C66-Summary!K$27</f>
        <v>-3000</v>
      </c>
    </row>
    <row r="67" spans="1:5" x14ac:dyDescent="0.45">
      <c r="A67">
        <v>66</v>
      </c>
      <c r="B67">
        <v>-6752.4107105378534</v>
      </c>
      <c r="C67">
        <v>0</v>
      </c>
      <c r="D67">
        <f>C67+Summary!K$27</f>
        <v>3000</v>
      </c>
      <c r="E67">
        <f>C67-Summary!K$27</f>
        <v>-3000</v>
      </c>
    </row>
    <row r="68" spans="1:5" x14ac:dyDescent="0.45">
      <c r="A68">
        <v>67</v>
      </c>
      <c r="B68">
        <v>-6665.674162695761</v>
      </c>
      <c r="C68">
        <v>0</v>
      </c>
      <c r="D68">
        <f>C68+Summary!K$27</f>
        <v>3000</v>
      </c>
      <c r="E68">
        <f>C68-Summary!K$27</f>
        <v>-3000</v>
      </c>
    </row>
    <row r="69" spans="1:5" x14ac:dyDescent="0.45">
      <c r="A69">
        <v>68</v>
      </c>
      <c r="B69">
        <v>-6110.3255899883043</v>
      </c>
      <c r="C69">
        <v>0</v>
      </c>
      <c r="D69">
        <f>C69+Summary!K$27</f>
        <v>3000</v>
      </c>
      <c r="E69">
        <f>C69-Summary!K$27</f>
        <v>-3000</v>
      </c>
    </row>
    <row r="70" spans="1:5" x14ac:dyDescent="0.45">
      <c r="A70">
        <v>69</v>
      </c>
      <c r="B70">
        <v>-5172.1819118876329</v>
      </c>
      <c r="C70">
        <v>0</v>
      </c>
      <c r="D70">
        <f>C70+Summary!K$27</f>
        <v>3000</v>
      </c>
      <c r="E70">
        <f>C70-Summary!K$27</f>
        <v>-3000</v>
      </c>
    </row>
    <row r="71" spans="1:5" x14ac:dyDescent="0.45">
      <c r="A71">
        <v>70</v>
      </c>
      <c r="B71">
        <v>-5343.115178299684</v>
      </c>
      <c r="C71">
        <v>0</v>
      </c>
      <c r="D71">
        <f>C71+Summary!K$27</f>
        <v>3000</v>
      </c>
      <c r="E71">
        <f>C71-Summary!K$27</f>
        <v>-3000</v>
      </c>
    </row>
    <row r="72" spans="1:5" x14ac:dyDescent="0.45">
      <c r="A72">
        <v>71</v>
      </c>
      <c r="B72">
        <v>-5893.3635555394367</v>
      </c>
      <c r="C72">
        <v>0</v>
      </c>
      <c r="D72">
        <f>C72+Summary!K$27</f>
        <v>3000</v>
      </c>
      <c r="E72">
        <f>C72-Summary!K$27</f>
        <v>-3000</v>
      </c>
    </row>
    <row r="73" spans="1:5" x14ac:dyDescent="0.45">
      <c r="A73">
        <v>72</v>
      </c>
      <c r="B73">
        <v>-5179.1385615470099</v>
      </c>
      <c r="C73">
        <v>0</v>
      </c>
      <c r="D73">
        <f>C73+Summary!K$27</f>
        <v>3000</v>
      </c>
      <c r="E73">
        <f>C73-Summary!K$27</f>
        <v>-3000</v>
      </c>
    </row>
    <row r="74" spans="1:5" x14ac:dyDescent="0.45">
      <c r="A74">
        <v>73</v>
      </c>
      <c r="B74">
        <v>-4990.6505130089345</v>
      </c>
      <c r="C74">
        <v>0</v>
      </c>
      <c r="D74">
        <f>C74+Summary!K$27</f>
        <v>3000</v>
      </c>
      <c r="E74">
        <f>C74-Summary!K$27</f>
        <v>-3000</v>
      </c>
    </row>
    <row r="75" spans="1:5" x14ac:dyDescent="0.45">
      <c r="A75">
        <v>74</v>
      </c>
      <c r="B75">
        <v>-4330.2345034627506</v>
      </c>
      <c r="C75">
        <v>0</v>
      </c>
      <c r="D75">
        <f>C75+Summary!K$27</f>
        <v>3000</v>
      </c>
      <c r="E75">
        <f>C75-Summary!K$27</f>
        <v>-3000</v>
      </c>
    </row>
    <row r="76" spans="1:5" x14ac:dyDescent="0.45">
      <c r="A76">
        <v>75</v>
      </c>
      <c r="B76">
        <v>-4419.1081951675887</v>
      </c>
      <c r="C76">
        <v>0</v>
      </c>
      <c r="D76">
        <f>C76+Summary!K$27</f>
        <v>3000</v>
      </c>
      <c r="E76">
        <f>C76-Summary!K$27</f>
        <v>-3000</v>
      </c>
    </row>
    <row r="77" spans="1:5" x14ac:dyDescent="0.45">
      <c r="A77">
        <v>76</v>
      </c>
      <c r="B77">
        <v>-4049.3077176481443</v>
      </c>
      <c r="C77">
        <v>0</v>
      </c>
      <c r="D77">
        <f>C77+Summary!K$27</f>
        <v>3000</v>
      </c>
      <c r="E77">
        <f>C77-Summary!K$27</f>
        <v>-3000</v>
      </c>
    </row>
    <row r="78" spans="1:5" x14ac:dyDescent="0.45">
      <c r="A78">
        <v>77</v>
      </c>
      <c r="B78">
        <v>-3666.1508788405245</v>
      </c>
      <c r="C78">
        <v>0</v>
      </c>
      <c r="D78">
        <f>C78+Summary!K$27</f>
        <v>3000</v>
      </c>
      <c r="E78">
        <f>C78-Summary!K$27</f>
        <v>-3000</v>
      </c>
    </row>
    <row r="79" spans="1:5" x14ac:dyDescent="0.45">
      <c r="A79">
        <v>78</v>
      </c>
      <c r="B79">
        <v>-4188.6529743527735</v>
      </c>
      <c r="C79">
        <v>0</v>
      </c>
      <c r="D79">
        <f>C79+Summary!K$27</f>
        <v>3000</v>
      </c>
      <c r="E79">
        <f>C79-Summary!K$27</f>
        <v>-3000</v>
      </c>
    </row>
    <row r="80" spans="1:5" x14ac:dyDescent="0.45">
      <c r="A80">
        <v>79</v>
      </c>
      <c r="B80">
        <v>-4177.675801827635</v>
      </c>
      <c r="C80">
        <v>0</v>
      </c>
      <c r="D80">
        <f>C80+Summary!K$27</f>
        <v>3000</v>
      </c>
      <c r="E80">
        <f>C80-Summary!K$27</f>
        <v>-3000</v>
      </c>
    </row>
    <row r="81" spans="1:5" x14ac:dyDescent="0.45">
      <c r="A81">
        <v>80</v>
      </c>
      <c r="B81">
        <v>-4603.4359319151927</v>
      </c>
      <c r="C81">
        <v>0</v>
      </c>
      <c r="D81">
        <f>C81+Summary!K$27</f>
        <v>3000</v>
      </c>
      <c r="E81">
        <f>C81-Summary!K$27</f>
        <v>-3000</v>
      </c>
    </row>
    <row r="82" spans="1:5" x14ac:dyDescent="0.45">
      <c r="A82">
        <v>81</v>
      </c>
      <c r="B82">
        <v>-4523.9039858133838</v>
      </c>
      <c r="C82">
        <v>0</v>
      </c>
      <c r="D82">
        <f>C82+Summary!K$27</f>
        <v>3000</v>
      </c>
      <c r="E82">
        <f>C82-Summary!K$27</f>
        <v>-3000</v>
      </c>
    </row>
    <row r="83" spans="1:5" x14ac:dyDescent="0.45">
      <c r="A83">
        <v>82</v>
      </c>
      <c r="B83">
        <v>-4014.6940883935981</v>
      </c>
      <c r="C83">
        <v>0</v>
      </c>
      <c r="D83">
        <f>C83+Summary!K$27</f>
        <v>3000</v>
      </c>
      <c r="E83">
        <f>C83-Summary!K$27</f>
        <v>-3000</v>
      </c>
    </row>
    <row r="84" spans="1:5" x14ac:dyDescent="0.45">
      <c r="A84">
        <v>83</v>
      </c>
      <c r="B84">
        <v>-4166.0134555795303</v>
      </c>
      <c r="C84">
        <v>0</v>
      </c>
      <c r="D84">
        <f>C84+Summary!K$27</f>
        <v>3000</v>
      </c>
      <c r="E84">
        <f>C84-Summary!K$27</f>
        <v>-3000</v>
      </c>
    </row>
    <row r="85" spans="1:5" x14ac:dyDescent="0.45">
      <c r="A85">
        <v>84</v>
      </c>
      <c r="B85">
        <v>-4877.6195765779603</v>
      </c>
      <c r="C85">
        <v>0</v>
      </c>
      <c r="D85">
        <f>C85+Summary!K$27</f>
        <v>3000</v>
      </c>
      <c r="E85">
        <f>C85-Summary!K$27</f>
        <v>-3000</v>
      </c>
    </row>
    <row r="86" spans="1:5" x14ac:dyDescent="0.45">
      <c r="A86">
        <v>85</v>
      </c>
      <c r="B86">
        <v>-5766.665935347688</v>
      </c>
      <c r="C86">
        <v>0</v>
      </c>
      <c r="D86">
        <f>C86+Summary!K$27</f>
        <v>3000</v>
      </c>
      <c r="E86">
        <f>C86-Summary!K$27</f>
        <v>-3000</v>
      </c>
    </row>
    <row r="87" spans="1:5" x14ac:dyDescent="0.45">
      <c r="A87">
        <v>86</v>
      </c>
      <c r="B87">
        <v>-5486.9400559421028</v>
      </c>
      <c r="C87">
        <v>0</v>
      </c>
      <c r="D87">
        <f>C87+Summary!K$27</f>
        <v>3000</v>
      </c>
      <c r="E87">
        <f>C87-Summary!K$27</f>
        <v>-3000</v>
      </c>
    </row>
    <row r="88" spans="1:5" x14ac:dyDescent="0.45">
      <c r="A88">
        <v>87</v>
      </c>
      <c r="B88">
        <v>-5438.8366859182888</v>
      </c>
      <c r="C88">
        <v>0</v>
      </c>
      <c r="D88">
        <f>C88+Summary!K$27</f>
        <v>3000</v>
      </c>
      <c r="E88">
        <f>C88-Summary!K$27</f>
        <v>-3000</v>
      </c>
    </row>
    <row r="89" spans="1:5" x14ac:dyDescent="0.45">
      <c r="A89">
        <v>88</v>
      </c>
      <c r="B89">
        <v>-6256.6942019475428</v>
      </c>
      <c r="C89">
        <v>0</v>
      </c>
      <c r="D89">
        <f>C89+Summary!K$27</f>
        <v>3000</v>
      </c>
      <c r="E89">
        <f>C89-Summary!K$27</f>
        <v>-3000</v>
      </c>
    </row>
    <row r="90" spans="1:5" x14ac:dyDescent="0.45">
      <c r="A90">
        <v>89</v>
      </c>
      <c r="B90">
        <v>-5418.6951809138645</v>
      </c>
      <c r="C90">
        <v>0</v>
      </c>
      <c r="D90">
        <f>C90+Summary!K$27</f>
        <v>3000</v>
      </c>
      <c r="E90">
        <f>C90-Summary!K$27</f>
        <v>-3000</v>
      </c>
    </row>
    <row r="91" spans="1:5" x14ac:dyDescent="0.45">
      <c r="A91">
        <v>90</v>
      </c>
      <c r="B91">
        <v>-4958.6027370594284</v>
      </c>
      <c r="C91">
        <v>0</v>
      </c>
      <c r="D91">
        <f>C91+Summary!K$27</f>
        <v>3000</v>
      </c>
      <c r="E91">
        <f>C91-Summary!K$27</f>
        <v>-3000</v>
      </c>
    </row>
    <row r="92" spans="1:5" x14ac:dyDescent="0.45">
      <c r="A92">
        <v>91</v>
      </c>
      <c r="B92">
        <v>-5591.5709855339555</v>
      </c>
      <c r="C92">
        <v>0</v>
      </c>
      <c r="D92">
        <f>C92+Summary!K$27</f>
        <v>3000</v>
      </c>
      <c r="E92">
        <f>C92-Summary!K$27</f>
        <v>-3000</v>
      </c>
    </row>
    <row r="93" spans="1:5" x14ac:dyDescent="0.45">
      <c r="A93">
        <v>92</v>
      </c>
      <c r="B93">
        <v>-5778.2385341171421</v>
      </c>
      <c r="C93">
        <v>0</v>
      </c>
      <c r="D93">
        <f>C93+Summary!K$27</f>
        <v>3000</v>
      </c>
      <c r="E93">
        <f>C93-Summary!K$27</f>
        <v>-3000</v>
      </c>
    </row>
    <row r="94" spans="1:5" x14ac:dyDescent="0.45">
      <c r="A94">
        <v>93</v>
      </c>
      <c r="B94">
        <v>-5416.1829627138468</v>
      </c>
      <c r="C94">
        <v>0</v>
      </c>
      <c r="D94">
        <f>C94+Summary!K$27</f>
        <v>3000</v>
      </c>
      <c r="E94">
        <f>C94-Summary!K$27</f>
        <v>-3000</v>
      </c>
    </row>
    <row r="95" spans="1:5" x14ac:dyDescent="0.45">
      <c r="A95">
        <v>94</v>
      </c>
      <c r="B95">
        <v>-5718.9686135336851</v>
      </c>
      <c r="C95">
        <v>0</v>
      </c>
      <c r="D95">
        <f>C95+Summary!K$27</f>
        <v>3000</v>
      </c>
      <c r="E95">
        <f>C95-Summary!K$27</f>
        <v>-3000</v>
      </c>
    </row>
    <row r="96" spans="1:5" x14ac:dyDescent="0.45">
      <c r="A96">
        <v>95</v>
      </c>
      <c r="B96">
        <v>-6071.2657312718047</v>
      </c>
      <c r="C96">
        <v>0</v>
      </c>
      <c r="D96">
        <f>C96+Summary!K$27</f>
        <v>3000</v>
      </c>
      <c r="E96">
        <f>C96-Summary!K$27</f>
        <v>-3000</v>
      </c>
    </row>
    <row r="97" spans="1:5" x14ac:dyDescent="0.45">
      <c r="A97">
        <v>96</v>
      </c>
      <c r="B97">
        <v>-5041.6533749257896</v>
      </c>
      <c r="C97">
        <v>0</v>
      </c>
      <c r="D97">
        <f>C97+Summary!K$27</f>
        <v>3000</v>
      </c>
      <c r="E97">
        <f>C97-Summary!K$27</f>
        <v>-3000</v>
      </c>
    </row>
    <row r="98" spans="1:5" x14ac:dyDescent="0.45">
      <c r="A98">
        <v>97</v>
      </c>
      <c r="B98">
        <v>-5297.0249249370836</v>
      </c>
      <c r="C98">
        <v>0</v>
      </c>
      <c r="D98">
        <f>C98+Summary!K$27</f>
        <v>3000</v>
      </c>
      <c r="E98">
        <f>C98-Summary!K$27</f>
        <v>-3000</v>
      </c>
    </row>
    <row r="99" spans="1:5" x14ac:dyDescent="0.45">
      <c r="A99">
        <v>98</v>
      </c>
      <c r="B99">
        <v>-5133.0231154362018</v>
      </c>
      <c r="C99">
        <v>0</v>
      </c>
      <c r="D99">
        <f>C99+Summary!K$27</f>
        <v>3000</v>
      </c>
      <c r="E99">
        <f>C99-Summary!K$27</f>
        <v>-3000</v>
      </c>
    </row>
    <row r="100" spans="1:5" x14ac:dyDescent="0.45">
      <c r="A100">
        <v>99</v>
      </c>
      <c r="B100">
        <v>-5509.7973802185752</v>
      </c>
      <c r="C100">
        <v>0</v>
      </c>
      <c r="D100">
        <f>C100+Summary!K$27</f>
        <v>3000</v>
      </c>
      <c r="E100">
        <f>C100-Summary!K$27</f>
        <v>-3000</v>
      </c>
    </row>
    <row r="101" spans="1:5" x14ac:dyDescent="0.45">
      <c r="A101">
        <v>100</v>
      </c>
      <c r="B101">
        <v>-5499.2815710478317</v>
      </c>
      <c r="C101">
        <v>0</v>
      </c>
      <c r="D101">
        <f>C101+Summary!K$27</f>
        <v>3000</v>
      </c>
      <c r="E101">
        <f>C101-Summary!K$27</f>
        <v>-3000</v>
      </c>
    </row>
    <row r="102" spans="1:5" x14ac:dyDescent="0.45">
      <c r="A102">
        <v>101</v>
      </c>
      <c r="B102">
        <v>-4688.3652581688939</v>
      </c>
      <c r="C102">
        <v>0</v>
      </c>
      <c r="D102">
        <f>C102+Summary!K$27</f>
        <v>3000</v>
      </c>
      <c r="E102">
        <f>C102-Summary!K$27</f>
        <v>-3000</v>
      </c>
    </row>
    <row r="103" spans="1:5" x14ac:dyDescent="0.45">
      <c r="A103">
        <v>102</v>
      </c>
      <c r="B103">
        <v>-5165.3372461297195</v>
      </c>
      <c r="C103">
        <v>0</v>
      </c>
      <c r="D103">
        <f>C103+Summary!K$27</f>
        <v>3000</v>
      </c>
      <c r="E103">
        <f>C103-Summary!K$27</f>
        <v>-3000</v>
      </c>
    </row>
    <row r="104" spans="1:5" x14ac:dyDescent="0.45">
      <c r="A104">
        <v>103</v>
      </c>
      <c r="B104">
        <v>-5231.6102073649145</v>
      </c>
      <c r="C104">
        <v>0</v>
      </c>
      <c r="D104">
        <f>C104+Summary!K$27</f>
        <v>3000</v>
      </c>
      <c r="E104">
        <f>C104-Summary!K$27</f>
        <v>-3000</v>
      </c>
    </row>
    <row r="105" spans="1:5" x14ac:dyDescent="0.45">
      <c r="A105">
        <v>104</v>
      </c>
      <c r="B105">
        <v>-5259.4607229379126</v>
      </c>
      <c r="C105">
        <v>0</v>
      </c>
      <c r="D105">
        <f>C105+Summary!K$27</f>
        <v>3000</v>
      </c>
      <c r="E105">
        <f>C105-Summary!K$27</f>
        <v>-3000</v>
      </c>
    </row>
    <row r="106" spans="1:5" x14ac:dyDescent="0.45">
      <c r="A106">
        <v>105</v>
      </c>
      <c r="B106">
        <v>-5565.7418828443997</v>
      </c>
      <c r="C106">
        <v>0</v>
      </c>
      <c r="D106">
        <f>C106+Summary!K$27</f>
        <v>3000</v>
      </c>
      <c r="E106">
        <f>C106-Summary!K$27</f>
        <v>-3000</v>
      </c>
    </row>
    <row r="107" spans="1:5" x14ac:dyDescent="0.45">
      <c r="A107">
        <v>106</v>
      </c>
      <c r="B107">
        <v>-4966.3246654292825</v>
      </c>
      <c r="C107">
        <v>0</v>
      </c>
      <c r="D107">
        <f>C107+Summary!K$27</f>
        <v>3000</v>
      </c>
      <c r="E107">
        <f>C107-Summary!K$27</f>
        <v>-3000</v>
      </c>
    </row>
    <row r="108" spans="1:5" x14ac:dyDescent="0.45">
      <c r="A108">
        <v>107</v>
      </c>
      <c r="B108">
        <v>-5706.6864082787479</v>
      </c>
      <c r="C108">
        <v>0</v>
      </c>
      <c r="D108">
        <f>C108+Summary!K$27</f>
        <v>3000</v>
      </c>
      <c r="E108">
        <f>C108-Summary!K$27</f>
        <v>-3000</v>
      </c>
    </row>
    <row r="109" spans="1:5" x14ac:dyDescent="0.45">
      <c r="A109">
        <v>108</v>
      </c>
      <c r="B109">
        <v>-6196.784364427851</v>
      </c>
      <c r="C109">
        <v>0</v>
      </c>
      <c r="D109">
        <f>C109+Summary!K$27</f>
        <v>3000</v>
      </c>
      <c r="E109">
        <f>C109-Summary!K$27</f>
        <v>-3000</v>
      </c>
    </row>
    <row r="110" spans="1:5" x14ac:dyDescent="0.45">
      <c r="A110">
        <v>109</v>
      </c>
      <c r="B110">
        <v>-7104.7402257827189</v>
      </c>
      <c r="C110">
        <v>0</v>
      </c>
      <c r="D110">
        <f>C110+Summary!K$27</f>
        <v>3000</v>
      </c>
      <c r="E110">
        <f>C110-Summary!K$27</f>
        <v>-3000</v>
      </c>
    </row>
    <row r="111" spans="1:5" x14ac:dyDescent="0.45">
      <c r="A111">
        <v>110</v>
      </c>
      <c r="B111">
        <v>-8010.27265844659</v>
      </c>
      <c r="C111">
        <v>0</v>
      </c>
      <c r="D111">
        <f>C111+Summary!K$27</f>
        <v>3000</v>
      </c>
      <c r="E111">
        <f>C111-Summary!K$27</f>
        <v>-3000</v>
      </c>
    </row>
    <row r="112" spans="1:5" x14ac:dyDescent="0.45">
      <c r="A112">
        <v>111</v>
      </c>
      <c r="B112">
        <v>-7865.2264063285802</v>
      </c>
      <c r="C112">
        <v>0</v>
      </c>
      <c r="D112">
        <f>C112+Summary!K$27</f>
        <v>3000</v>
      </c>
      <c r="E112">
        <f>C112-Summary!K$27</f>
        <v>-3000</v>
      </c>
    </row>
    <row r="113" spans="1:5" x14ac:dyDescent="0.45">
      <c r="A113">
        <v>112</v>
      </c>
      <c r="B113">
        <v>-8045.2099078873698</v>
      </c>
      <c r="C113">
        <v>0</v>
      </c>
      <c r="D113">
        <f>C113+Summary!K$27</f>
        <v>3000</v>
      </c>
      <c r="E113">
        <f>C113-Summary!K$27</f>
        <v>-3000</v>
      </c>
    </row>
    <row r="114" spans="1:5" x14ac:dyDescent="0.45">
      <c r="A114">
        <v>113</v>
      </c>
      <c r="B114">
        <v>-8227.0380800173862</v>
      </c>
      <c r="C114">
        <v>0</v>
      </c>
      <c r="D114">
        <f>C114+Summary!K$27</f>
        <v>3000</v>
      </c>
      <c r="E114">
        <f>C114-Summary!K$27</f>
        <v>-3000</v>
      </c>
    </row>
    <row r="115" spans="1:5" x14ac:dyDescent="0.45">
      <c r="A115">
        <v>114</v>
      </c>
      <c r="B115">
        <v>-8316.0485770873674</v>
      </c>
      <c r="C115">
        <v>0</v>
      </c>
      <c r="D115">
        <f>C115+Summary!K$27</f>
        <v>3000</v>
      </c>
      <c r="E115">
        <f>C115-Summary!K$27</f>
        <v>-3000</v>
      </c>
    </row>
    <row r="116" spans="1:5" x14ac:dyDescent="0.45">
      <c r="A116">
        <v>115</v>
      </c>
      <c r="B116">
        <v>-8074.7225248963678</v>
      </c>
      <c r="C116">
        <v>0</v>
      </c>
      <c r="D116">
        <f>C116+Summary!K$27</f>
        <v>3000</v>
      </c>
      <c r="E116">
        <f>C116-Summary!K$27</f>
        <v>-3000</v>
      </c>
    </row>
    <row r="117" spans="1:5" x14ac:dyDescent="0.45">
      <c r="A117">
        <v>116</v>
      </c>
      <c r="B117">
        <v>-9311.7680169685027</v>
      </c>
      <c r="C117">
        <v>0</v>
      </c>
      <c r="D117">
        <f>C117+Summary!K$27</f>
        <v>3000</v>
      </c>
      <c r="E117">
        <f>C117-Summary!K$27</f>
        <v>-3000</v>
      </c>
    </row>
    <row r="118" spans="1:5" x14ac:dyDescent="0.45">
      <c r="A118">
        <v>117</v>
      </c>
      <c r="B118">
        <v>-9309.1780441005503</v>
      </c>
      <c r="C118">
        <v>0</v>
      </c>
      <c r="D118">
        <f>C118+Summary!K$27</f>
        <v>3000</v>
      </c>
      <c r="E118">
        <f>C118-Summary!K$27</f>
        <v>-3000</v>
      </c>
    </row>
    <row r="119" spans="1:5" x14ac:dyDescent="0.45">
      <c r="A119">
        <v>118</v>
      </c>
      <c r="B119">
        <v>-10179.770865629511</v>
      </c>
      <c r="C119">
        <v>0</v>
      </c>
      <c r="D119">
        <f>C119+Summary!K$27</f>
        <v>3000</v>
      </c>
      <c r="E119">
        <f>C119-Summary!K$27</f>
        <v>-3000</v>
      </c>
    </row>
    <row r="120" spans="1:5" x14ac:dyDescent="0.45">
      <c r="A120">
        <v>119</v>
      </c>
      <c r="B120">
        <v>-11193.679803834802</v>
      </c>
      <c r="C120">
        <v>0</v>
      </c>
      <c r="D120">
        <f>C120+Summary!K$27</f>
        <v>3000</v>
      </c>
      <c r="E120">
        <f>C120-Summary!K$27</f>
        <v>-3000</v>
      </c>
    </row>
    <row r="121" spans="1:5" x14ac:dyDescent="0.45">
      <c r="A121">
        <v>120</v>
      </c>
      <c r="B121">
        <v>-11339.974704230286</v>
      </c>
      <c r="C121">
        <v>0</v>
      </c>
      <c r="D121">
        <f>C121+Summary!K$27</f>
        <v>3000</v>
      </c>
      <c r="E121">
        <f>C121-Summary!K$27</f>
        <v>-3000</v>
      </c>
    </row>
    <row r="122" spans="1:5" x14ac:dyDescent="0.45">
      <c r="A122">
        <v>121</v>
      </c>
      <c r="B122">
        <v>-10325.60283044027</v>
      </c>
      <c r="C122">
        <v>0</v>
      </c>
      <c r="D122">
        <f>C122+Summary!K$27</f>
        <v>3000</v>
      </c>
      <c r="E122">
        <f>C122-Summary!K$27</f>
        <v>-3000</v>
      </c>
    </row>
    <row r="123" spans="1:5" x14ac:dyDescent="0.45">
      <c r="A123">
        <v>122</v>
      </c>
      <c r="B123">
        <v>-11249.685247902267</v>
      </c>
      <c r="C123">
        <v>0</v>
      </c>
      <c r="D123">
        <f>C123+Summary!K$27</f>
        <v>3000</v>
      </c>
      <c r="E123">
        <f>C123-Summary!K$27</f>
        <v>-3000</v>
      </c>
    </row>
    <row r="124" spans="1:5" x14ac:dyDescent="0.45">
      <c r="A124">
        <v>123</v>
      </c>
      <c r="B124">
        <v>-12252.418536574345</v>
      </c>
      <c r="C124">
        <v>0</v>
      </c>
      <c r="D124">
        <f>C124+Summary!K$27</f>
        <v>3000</v>
      </c>
      <c r="E124">
        <f>C124-Summary!K$27</f>
        <v>-3000</v>
      </c>
    </row>
    <row r="125" spans="1:5" x14ac:dyDescent="0.45">
      <c r="A125">
        <v>124</v>
      </c>
      <c r="B125">
        <v>-12304.787073666645</v>
      </c>
      <c r="C125">
        <v>0</v>
      </c>
      <c r="D125">
        <f>C125+Summary!K$27</f>
        <v>3000</v>
      </c>
      <c r="E125">
        <f>C125-Summary!K$27</f>
        <v>-3000</v>
      </c>
    </row>
    <row r="126" spans="1:5" x14ac:dyDescent="0.45">
      <c r="A126">
        <v>125</v>
      </c>
      <c r="B126">
        <v>-11788.877172175129</v>
      </c>
      <c r="C126">
        <v>0</v>
      </c>
      <c r="D126">
        <f>C126+Summary!K$27</f>
        <v>3000</v>
      </c>
      <c r="E126">
        <f>C126-Summary!K$27</f>
        <v>-3000</v>
      </c>
    </row>
    <row r="127" spans="1:5" x14ac:dyDescent="0.45">
      <c r="A127">
        <v>126</v>
      </c>
      <c r="B127">
        <v>-11406.887825377567</v>
      </c>
      <c r="C127">
        <v>0</v>
      </c>
      <c r="D127">
        <f>C127+Summary!K$27</f>
        <v>3000</v>
      </c>
      <c r="E127">
        <f>C127-Summary!K$27</f>
        <v>-3000</v>
      </c>
    </row>
    <row r="128" spans="1:5" x14ac:dyDescent="0.45">
      <c r="A128">
        <v>127</v>
      </c>
      <c r="B128">
        <v>-9929.0292217977803</v>
      </c>
      <c r="C128">
        <v>0</v>
      </c>
      <c r="D128">
        <f>C128+Summary!K$27</f>
        <v>3000</v>
      </c>
      <c r="E128">
        <f>C128-Summary!K$27</f>
        <v>-3000</v>
      </c>
    </row>
    <row r="129" spans="1:5" x14ac:dyDescent="0.45">
      <c r="A129">
        <v>128</v>
      </c>
      <c r="B129">
        <v>-11070.200536573193</v>
      </c>
      <c r="C129">
        <v>0</v>
      </c>
      <c r="D129">
        <f>C129+Summary!K$27</f>
        <v>3000</v>
      </c>
      <c r="E129">
        <f>C129-Summary!K$27</f>
        <v>-3000</v>
      </c>
    </row>
    <row r="130" spans="1:5" x14ac:dyDescent="0.45">
      <c r="A130">
        <v>129</v>
      </c>
      <c r="B130">
        <v>-10626.314304945099</v>
      </c>
      <c r="C130">
        <v>0</v>
      </c>
      <c r="D130">
        <f>C130+Summary!K$27</f>
        <v>3000</v>
      </c>
      <c r="E130">
        <f>C130-Summary!K$27</f>
        <v>-3000</v>
      </c>
    </row>
    <row r="131" spans="1:5" x14ac:dyDescent="0.45">
      <c r="A131">
        <v>130</v>
      </c>
      <c r="B131">
        <v>-10876.482608512106</v>
      </c>
      <c r="C131">
        <v>0</v>
      </c>
      <c r="D131">
        <f>C131+Summary!K$27</f>
        <v>3000</v>
      </c>
      <c r="E131">
        <f>C131-Summary!K$27</f>
        <v>-3000</v>
      </c>
    </row>
    <row r="132" spans="1:5" x14ac:dyDescent="0.45">
      <c r="A132">
        <v>131</v>
      </c>
      <c r="B132">
        <v>-10828.436934521307</v>
      </c>
      <c r="C132">
        <v>0</v>
      </c>
      <c r="D132">
        <f>C132+Summary!K$27</f>
        <v>3000</v>
      </c>
      <c r="E132">
        <f>C132-Summary!K$27</f>
        <v>-3000</v>
      </c>
    </row>
    <row r="133" spans="1:5" x14ac:dyDescent="0.45">
      <c r="A133">
        <v>132</v>
      </c>
      <c r="B133">
        <v>-9974.7232824993844</v>
      </c>
      <c r="C133">
        <v>0</v>
      </c>
      <c r="D133">
        <f>C133+Summary!K$27</f>
        <v>3000</v>
      </c>
      <c r="E133">
        <f>C133-Summary!K$27</f>
        <v>-3000</v>
      </c>
    </row>
    <row r="134" spans="1:5" x14ac:dyDescent="0.45">
      <c r="A134">
        <v>133</v>
      </c>
      <c r="B134">
        <v>-10226.956766914918</v>
      </c>
      <c r="C134">
        <v>0</v>
      </c>
      <c r="D134">
        <f>C134+Summary!K$27</f>
        <v>3000</v>
      </c>
      <c r="E134">
        <f>C134-Summary!K$27</f>
        <v>-3000</v>
      </c>
    </row>
    <row r="135" spans="1:5" x14ac:dyDescent="0.45">
      <c r="A135">
        <v>134</v>
      </c>
      <c r="B135">
        <v>-9668.1958519294403</v>
      </c>
      <c r="C135">
        <v>0</v>
      </c>
      <c r="D135">
        <f>C135+Summary!K$27</f>
        <v>3000</v>
      </c>
      <c r="E135">
        <f>C135-Summary!K$27</f>
        <v>-3000</v>
      </c>
    </row>
    <row r="136" spans="1:5" x14ac:dyDescent="0.45">
      <c r="A136">
        <v>135</v>
      </c>
      <c r="B136">
        <v>-9768.3726122620192</v>
      </c>
      <c r="C136">
        <v>0</v>
      </c>
      <c r="D136">
        <f>C136+Summary!K$27</f>
        <v>3000</v>
      </c>
      <c r="E136">
        <f>C136-Summary!K$27</f>
        <v>-3000</v>
      </c>
    </row>
    <row r="137" spans="1:5" x14ac:dyDescent="0.45">
      <c r="A137">
        <v>136</v>
      </c>
      <c r="B137">
        <v>-9613.542103657217</v>
      </c>
      <c r="C137">
        <v>0</v>
      </c>
      <c r="D137">
        <f>C137+Summary!K$27</f>
        <v>3000</v>
      </c>
      <c r="E137">
        <f>C137-Summary!K$27</f>
        <v>-3000</v>
      </c>
    </row>
    <row r="138" spans="1:5" x14ac:dyDescent="0.45">
      <c r="A138">
        <v>137</v>
      </c>
      <c r="B138">
        <v>-9919.2613944031928</v>
      </c>
      <c r="C138">
        <v>0</v>
      </c>
      <c r="D138">
        <f>C138+Summary!K$27</f>
        <v>3000</v>
      </c>
      <c r="E138">
        <f>C138-Summary!K$27</f>
        <v>-3000</v>
      </c>
    </row>
    <row r="139" spans="1:5" x14ac:dyDescent="0.45">
      <c r="A139">
        <v>138</v>
      </c>
      <c r="B139">
        <v>-10380.553802309076</v>
      </c>
      <c r="C139">
        <v>0</v>
      </c>
      <c r="D139">
        <f>C139+Summary!K$27</f>
        <v>3000</v>
      </c>
      <c r="E139">
        <f>C139-Summary!K$27</f>
        <v>-3000</v>
      </c>
    </row>
    <row r="140" spans="1:5" x14ac:dyDescent="0.45">
      <c r="A140">
        <v>139</v>
      </c>
      <c r="B140">
        <v>-9092.4390424228441</v>
      </c>
      <c r="C140">
        <v>0</v>
      </c>
      <c r="D140">
        <f>C140+Summary!K$27</f>
        <v>3000</v>
      </c>
      <c r="E140">
        <f>C140-Summary!K$27</f>
        <v>-3000</v>
      </c>
    </row>
    <row r="141" spans="1:5" x14ac:dyDescent="0.45">
      <c r="A141">
        <v>140</v>
      </c>
      <c r="B141">
        <v>-9243.704467042151</v>
      </c>
      <c r="C141">
        <v>0</v>
      </c>
      <c r="D141">
        <f>C141+Summary!K$27</f>
        <v>3000</v>
      </c>
      <c r="E141">
        <f>C141-Summary!K$27</f>
        <v>-3000</v>
      </c>
    </row>
    <row r="142" spans="1:5" x14ac:dyDescent="0.45">
      <c r="A142">
        <v>141</v>
      </c>
      <c r="B142">
        <v>-9240.5686677880021</v>
      </c>
      <c r="C142">
        <v>0</v>
      </c>
      <c r="D142">
        <f>C142+Summary!K$27</f>
        <v>3000</v>
      </c>
      <c r="E142">
        <f>C142-Summary!K$27</f>
        <v>-3000</v>
      </c>
    </row>
    <row r="143" spans="1:5" x14ac:dyDescent="0.45">
      <c r="A143">
        <v>142</v>
      </c>
      <c r="B143">
        <v>-10070.303178942067</v>
      </c>
      <c r="C143">
        <v>0</v>
      </c>
      <c r="D143">
        <f>C143+Summary!K$27</f>
        <v>3000</v>
      </c>
      <c r="E143">
        <f>C143-Summary!K$27</f>
        <v>-3000</v>
      </c>
    </row>
    <row r="144" spans="1:5" x14ac:dyDescent="0.45">
      <c r="A144">
        <v>143</v>
      </c>
      <c r="B144">
        <v>-11005.186513805394</v>
      </c>
      <c r="C144">
        <v>0</v>
      </c>
      <c r="D144">
        <f>C144+Summary!K$27</f>
        <v>3000</v>
      </c>
      <c r="E144">
        <f>C144-Summary!K$27</f>
        <v>-3000</v>
      </c>
    </row>
    <row r="145" spans="1:5" x14ac:dyDescent="0.45">
      <c r="A145">
        <v>144</v>
      </c>
      <c r="B145">
        <v>-10903.962582219507</v>
      </c>
      <c r="C145">
        <v>0</v>
      </c>
      <c r="D145">
        <f>C145+Summary!K$27</f>
        <v>3000</v>
      </c>
      <c r="E145">
        <f>C145-Summary!K$27</f>
        <v>-3000</v>
      </c>
    </row>
    <row r="146" spans="1:5" x14ac:dyDescent="0.45">
      <c r="A146">
        <v>145</v>
      </c>
      <c r="B146">
        <v>-10906.084615496453</v>
      </c>
      <c r="C146">
        <v>0</v>
      </c>
      <c r="D146">
        <f>C146+Summary!K$27</f>
        <v>3000</v>
      </c>
      <c r="E146">
        <f>C146-Summary!K$27</f>
        <v>-3000</v>
      </c>
    </row>
    <row r="147" spans="1:5" x14ac:dyDescent="0.45">
      <c r="A147">
        <v>146</v>
      </c>
      <c r="B147">
        <v>-10855.997226620842</v>
      </c>
      <c r="C147">
        <v>0</v>
      </c>
      <c r="D147">
        <f>C147+Summary!K$27</f>
        <v>3000</v>
      </c>
      <c r="E147">
        <f>C147-Summary!K$27</f>
        <v>-3000</v>
      </c>
    </row>
    <row r="148" spans="1:5" x14ac:dyDescent="0.45">
      <c r="A148">
        <v>147</v>
      </c>
      <c r="B148">
        <v>-10700.514995729387</v>
      </c>
      <c r="C148">
        <v>0</v>
      </c>
      <c r="D148">
        <f>C148+Summary!K$27</f>
        <v>3000</v>
      </c>
      <c r="E148">
        <f>C148-Summary!K$27</f>
        <v>-3000</v>
      </c>
    </row>
    <row r="149" spans="1:5" x14ac:dyDescent="0.45">
      <c r="A149">
        <v>148</v>
      </c>
      <c r="B149">
        <v>-10807.398763832225</v>
      </c>
      <c r="C149">
        <v>0</v>
      </c>
      <c r="D149">
        <f>C149+Summary!K$27</f>
        <v>3000</v>
      </c>
      <c r="E149">
        <f>C149-Summary!K$27</f>
        <v>-3000</v>
      </c>
    </row>
    <row r="150" spans="1:5" x14ac:dyDescent="0.45">
      <c r="A150">
        <v>149</v>
      </c>
      <c r="B150">
        <v>-10703.548914302855</v>
      </c>
      <c r="C150">
        <v>0</v>
      </c>
      <c r="D150">
        <f>C150+Summary!K$27</f>
        <v>3000</v>
      </c>
      <c r="E150">
        <f>C150-Summary!K$27</f>
        <v>-3000</v>
      </c>
    </row>
    <row r="151" spans="1:5" x14ac:dyDescent="0.45">
      <c r="A151">
        <v>150</v>
      </c>
      <c r="B151">
        <v>-10065.796070424898</v>
      </c>
      <c r="C151">
        <v>0</v>
      </c>
      <c r="D151">
        <f>C151+Summary!K$27</f>
        <v>3000</v>
      </c>
      <c r="E151">
        <f>C151-Summary!K$27</f>
        <v>-3000</v>
      </c>
    </row>
    <row r="152" spans="1:5" x14ac:dyDescent="0.45">
      <c r="A152">
        <v>151</v>
      </c>
      <c r="B152">
        <v>-10439.894311545577</v>
      </c>
      <c r="C152">
        <v>0</v>
      </c>
      <c r="D152">
        <f>C152+Summary!K$27</f>
        <v>3000</v>
      </c>
      <c r="E152">
        <f>C152-Summary!K$27</f>
        <v>-3000</v>
      </c>
    </row>
    <row r="153" spans="1:5" x14ac:dyDescent="0.45">
      <c r="A153">
        <v>152</v>
      </c>
      <c r="B153">
        <v>-10708.234311986213</v>
      </c>
      <c r="C153">
        <v>0</v>
      </c>
      <c r="D153">
        <f>C153+Summary!K$27</f>
        <v>3000</v>
      </c>
      <c r="E153">
        <f>C153-Summary!K$27</f>
        <v>-3000</v>
      </c>
    </row>
    <row r="154" spans="1:5" x14ac:dyDescent="0.45">
      <c r="A154">
        <v>153</v>
      </c>
      <c r="B154">
        <v>-11190.343147012056</v>
      </c>
      <c r="C154">
        <v>0</v>
      </c>
      <c r="D154">
        <f>C154+Summary!K$27</f>
        <v>3000</v>
      </c>
      <c r="E154">
        <f>C154-Summary!K$27</f>
        <v>-3000</v>
      </c>
    </row>
    <row r="155" spans="1:5" x14ac:dyDescent="0.45">
      <c r="A155">
        <v>154</v>
      </c>
      <c r="B155">
        <v>-11775.580885024308</v>
      </c>
      <c r="C155">
        <v>0</v>
      </c>
      <c r="D155">
        <f>C155+Summary!K$27</f>
        <v>3000</v>
      </c>
      <c r="E155">
        <f>C155-Summary!K$27</f>
        <v>-3000</v>
      </c>
    </row>
    <row r="156" spans="1:5" x14ac:dyDescent="0.45">
      <c r="A156">
        <v>155</v>
      </c>
      <c r="B156">
        <v>-12146.885227663677</v>
      </c>
      <c r="C156">
        <v>0</v>
      </c>
      <c r="D156">
        <f>C156+Summary!K$27</f>
        <v>3000</v>
      </c>
      <c r="E156">
        <f>C156-Summary!K$27</f>
        <v>-3000</v>
      </c>
    </row>
    <row r="157" spans="1:5" x14ac:dyDescent="0.45">
      <c r="A157">
        <v>156</v>
      </c>
      <c r="B157">
        <v>-12412.544428853396</v>
      </c>
      <c r="C157">
        <v>0</v>
      </c>
      <c r="D157">
        <f>C157+Summary!K$27</f>
        <v>3000</v>
      </c>
      <c r="E157">
        <f>C157-Summary!K$27</f>
        <v>-3000</v>
      </c>
    </row>
    <row r="158" spans="1:5" x14ac:dyDescent="0.45">
      <c r="A158">
        <v>157</v>
      </c>
      <c r="B158">
        <v>-4934.2559791065778</v>
      </c>
      <c r="C158">
        <v>0</v>
      </c>
      <c r="D158">
        <f>C158+Summary!K$27</f>
        <v>3000</v>
      </c>
      <c r="E158">
        <f>C158-Summary!K$27</f>
        <v>-3000</v>
      </c>
    </row>
    <row r="159" spans="1:5" x14ac:dyDescent="0.45">
      <c r="A159">
        <v>158</v>
      </c>
      <c r="B159">
        <v>-12685.257462818112</v>
      </c>
      <c r="C159">
        <v>0</v>
      </c>
      <c r="D159">
        <f>C159+Summary!K$27</f>
        <v>3000</v>
      </c>
      <c r="E159">
        <f>C159-Summary!K$27</f>
        <v>-3000</v>
      </c>
    </row>
    <row r="160" spans="1:5" x14ac:dyDescent="0.45">
      <c r="A160">
        <v>159</v>
      </c>
      <c r="B160">
        <v>-12847.279999443042</v>
      </c>
      <c r="C160">
        <v>0</v>
      </c>
      <c r="D160">
        <f>C160+Summary!K$27</f>
        <v>3000</v>
      </c>
      <c r="E160">
        <f>C160-Summary!K$27</f>
        <v>-3000</v>
      </c>
    </row>
    <row r="161" spans="1:5" x14ac:dyDescent="0.45">
      <c r="A161">
        <v>160</v>
      </c>
      <c r="B161">
        <v>-13160.708400375859</v>
      </c>
      <c r="C161">
        <v>0</v>
      </c>
      <c r="D161">
        <f>C161+Summary!K$27</f>
        <v>3000</v>
      </c>
      <c r="E161">
        <f>C161-Summary!K$27</f>
        <v>-3000</v>
      </c>
    </row>
    <row r="162" spans="1:5" x14ac:dyDescent="0.45">
      <c r="A162">
        <v>161</v>
      </c>
      <c r="B162">
        <v>-13861.451499373763</v>
      </c>
      <c r="C162">
        <v>0</v>
      </c>
      <c r="D162">
        <f>C162+Summary!K$27</f>
        <v>3000</v>
      </c>
      <c r="E162">
        <f>C162-Summary!K$27</f>
        <v>-3000</v>
      </c>
    </row>
    <row r="163" spans="1:5" x14ac:dyDescent="0.45">
      <c r="A163">
        <v>162</v>
      </c>
      <c r="B163">
        <v>-13028.2314553247</v>
      </c>
      <c r="C163">
        <v>0</v>
      </c>
      <c r="D163">
        <f>C163+Summary!K$27</f>
        <v>3000</v>
      </c>
      <c r="E163">
        <f>C163-Summary!K$27</f>
        <v>-3000</v>
      </c>
    </row>
    <row r="164" spans="1:5" x14ac:dyDescent="0.45">
      <c r="A164">
        <v>163</v>
      </c>
      <c r="B164">
        <v>-13592.008837321771</v>
      </c>
      <c r="C164">
        <v>0</v>
      </c>
      <c r="D164">
        <f>C164+Summary!K$27</f>
        <v>3000</v>
      </c>
      <c r="E164">
        <f>C164-Summary!K$27</f>
        <v>-3000</v>
      </c>
    </row>
    <row r="165" spans="1:5" x14ac:dyDescent="0.45">
      <c r="A165">
        <v>164</v>
      </c>
      <c r="B165">
        <v>-5046.7380871130663</v>
      </c>
      <c r="C165">
        <v>0</v>
      </c>
      <c r="D165">
        <f>C165+Summary!K$27</f>
        <v>3000</v>
      </c>
      <c r="E165">
        <f>C165-Summary!K$27</f>
        <v>-3000</v>
      </c>
    </row>
    <row r="166" spans="1:5" x14ac:dyDescent="0.45">
      <c r="A166">
        <v>165</v>
      </c>
      <c r="B166">
        <v>-14527.584828549669</v>
      </c>
      <c r="C166">
        <v>0</v>
      </c>
      <c r="D166">
        <f>C166+Summary!K$27</f>
        <v>3000</v>
      </c>
      <c r="E166">
        <f>C166-Summary!K$27</f>
        <v>-3000</v>
      </c>
    </row>
    <row r="167" spans="1:5" x14ac:dyDescent="0.45">
      <c r="A167">
        <v>166</v>
      </c>
      <c r="B167">
        <v>-13874.213876130059</v>
      </c>
      <c r="C167">
        <v>0</v>
      </c>
      <c r="D167">
        <f>C167+Summary!K$27</f>
        <v>3000</v>
      </c>
      <c r="E167">
        <f>C167-Summary!K$27</f>
        <v>-3000</v>
      </c>
    </row>
    <row r="168" spans="1:5" x14ac:dyDescent="0.45">
      <c r="A168">
        <v>167</v>
      </c>
      <c r="B168">
        <v>-14920.786854864951</v>
      </c>
      <c r="C168">
        <v>0</v>
      </c>
      <c r="D168">
        <f>C168+Summary!K$27</f>
        <v>3000</v>
      </c>
      <c r="E168">
        <f>C168-Summary!K$27</f>
        <v>-3000</v>
      </c>
    </row>
    <row r="169" spans="1:5" x14ac:dyDescent="0.45">
      <c r="A169">
        <v>168</v>
      </c>
      <c r="B169">
        <v>-14709.303812763266</v>
      </c>
      <c r="C169">
        <v>0</v>
      </c>
      <c r="D169">
        <f>C169+Summary!K$27</f>
        <v>3000</v>
      </c>
      <c r="E169">
        <f>C169-Summary!K$27</f>
        <v>-3000</v>
      </c>
    </row>
    <row r="170" spans="1:5" x14ac:dyDescent="0.45">
      <c r="A170">
        <v>169</v>
      </c>
      <c r="B170">
        <v>-14951.637323843124</v>
      </c>
      <c r="C170">
        <v>0</v>
      </c>
      <c r="D170">
        <f>C170+Summary!K$27</f>
        <v>3000</v>
      </c>
      <c r="E170">
        <f>C170-Summary!K$27</f>
        <v>-3000</v>
      </c>
    </row>
    <row r="171" spans="1:5" x14ac:dyDescent="0.45">
      <c r="A171">
        <v>170</v>
      </c>
      <c r="B171">
        <v>-15363.410048552478</v>
      </c>
      <c r="C171">
        <v>0</v>
      </c>
      <c r="D171">
        <f>C171+Summary!K$27</f>
        <v>3000</v>
      </c>
      <c r="E171">
        <f>C171-Summary!K$27</f>
        <v>-3000</v>
      </c>
    </row>
    <row r="172" spans="1:5" x14ac:dyDescent="0.45">
      <c r="A172">
        <v>171</v>
      </c>
      <c r="B172">
        <v>-15161.801834331427</v>
      </c>
      <c r="C172">
        <v>0</v>
      </c>
      <c r="D172">
        <f>C172+Summary!K$27</f>
        <v>3000</v>
      </c>
      <c r="E172">
        <f>C172-Summary!K$27</f>
        <v>-3000</v>
      </c>
    </row>
    <row r="173" spans="1:5" x14ac:dyDescent="0.45">
      <c r="A173">
        <v>172</v>
      </c>
      <c r="B173">
        <v>-13649.155020288299</v>
      </c>
      <c r="C173">
        <v>0</v>
      </c>
      <c r="D173">
        <f>C173+Summary!K$27</f>
        <v>3000</v>
      </c>
      <c r="E173">
        <f>C173-Summary!K$27</f>
        <v>-3000</v>
      </c>
    </row>
    <row r="174" spans="1:5" x14ac:dyDescent="0.45">
      <c r="A174">
        <v>173</v>
      </c>
      <c r="B174">
        <v>-13035.005360815356</v>
      </c>
      <c r="C174">
        <v>0</v>
      </c>
      <c r="D174">
        <f>C174+Summary!K$27</f>
        <v>3000</v>
      </c>
      <c r="E174">
        <f>C174-Summary!K$27</f>
        <v>-3000</v>
      </c>
    </row>
    <row r="175" spans="1:5" x14ac:dyDescent="0.45">
      <c r="A175">
        <v>174</v>
      </c>
      <c r="B175">
        <v>-13257.964970884355</v>
      </c>
      <c r="C175">
        <v>0</v>
      </c>
      <c r="D175">
        <f>C175+Summary!K$27</f>
        <v>3000</v>
      </c>
      <c r="E175">
        <f>C175-Summary!K$27</f>
        <v>-3000</v>
      </c>
    </row>
    <row r="176" spans="1:5" x14ac:dyDescent="0.45">
      <c r="A176">
        <v>175</v>
      </c>
      <c r="B176">
        <v>-13109.877540034955</v>
      </c>
      <c r="C176">
        <v>0</v>
      </c>
      <c r="D176">
        <f>C176+Summary!K$27</f>
        <v>3000</v>
      </c>
      <c r="E176">
        <f>C176-Summary!K$27</f>
        <v>-3000</v>
      </c>
    </row>
    <row r="177" spans="1:5" x14ac:dyDescent="0.45">
      <c r="A177">
        <v>176</v>
      </c>
      <c r="B177">
        <v>-12741.644802823297</v>
      </c>
      <c r="C177">
        <v>0</v>
      </c>
      <c r="D177">
        <f>C177+Summary!K$27</f>
        <v>3000</v>
      </c>
      <c r="E177">
        <f>C177-Summary!K$27</f>
        <v>-3000</v>
      </c>
    </row>
    <row r="178" spans="1:5" x14ac:dyDescent="0.45">
      <c r="A178">
        <v>177</v>
      </c>
      <c r="B178">
        <v>-12969.956026195856</v>
      </c>
      <c r="C178">
        <v>0</v>
      </c>
      <c r="D178">
        <f>C178+Summary!K$27</f>
        <v>3000</v>
      </c>
      <c r="E178">
        <f>C178-Summary!K$27</f>
        <v>-3000</v>
      </c>
    </row>
    <row r="179" spans="1:5" x14ac:dyDescent="0.45">
      <c r="A179">
        <v>178</v>
      </c>
      <c r="B179">
        <v>-12371.940483056902</v>
      </c>
      <c r="C179">
        <v>0</v>
      </c>
      <c r="D179">
        <f>C179+Summary!K$27</f>
        <v>3000</v>
      </c>
      <c r="E179">
        <f>C179-Summary!K$27</f>
        <v>-3000</v>
      </c>
    </row>
    <row r="180" spans="1:5" x14ac:dyDescent="0.45">
      <c r="A180">
        <v>179</v>
      </c>
      <c r="B180">
        <v>-14400.220297674068</v>
      </c>
      <c r="C180">
        <v>0</v>
      </c>
      <c r="D180">
        <f>C180+Summary!K$27</f>
        <v>3000</v>
      </c>
      <c r="E180">
        <f>C180-Summary!K$27</f>
        <v>-3000</v>
      </c>
    </row>
    <row r="181" spans="1:5" x14ac:dyDescent="0.45">
      <c r="A181">
        <v>180</v>
      </c>
      <c r="B181">
        <v>-14993.834436782628</v>
      </c>
      <c r="C181">
        <v>0</v>
      </c>
      <c r="D181">
        <f>C181+Summary!K$27</f>
        <v>3000</v>
      </c>
      <c r="E181">
        <f>C181-Summary!K$27</f>
        <v>-3000</v>
      </c>
    </row>
    <row r="182" spans="1:5" x14ac:dyDescent="0.45">
      <c r="A182">
        <v>181</v>
      </c>
      <c r="B182">
        <v>-14381.709027582352</v>
      </c>
      <c r="C182">
        <v>0</v>
      </c>
      <c r="D182">
        <f>C182+Summary!K$27</f>
        <v>3000</v>
      </c>
      <c r="E182">
        <f>C182-Summary!K$27</f>
        <v>-3000</v>
      </c>
    </row>
    <row r="183" spans="1:5" x14ac:dyDescent="0.45">
      <c r="A183">
        <v>182</v>
      </c>
      <c r="B183">
        <v>-13461.550186369806</v>
      </c>
      <c r="C183">
        <v>0</v>
      </c>
      <c r="D183">
        <f>C183+Summary!K$27</f>
        <v>3000</v>
      </c>
      <c r="E183">
        <f>C183-Summary!K$27</f>
        <v>-3000</v>
      </c>
    </row>
    <row r="184" spans="1:5" x14ac:dyDescent="0.45">
      <c r="A184">
        <v>183</v>
      </c>
      <c r="B184">
        <v>-14513.378168430316</v>
      </c>
      <c r="C184">
        <v>0</v>
      </c>
      <c r="D184">
        <f>C184+Summary!K$27</f>
        <v>3000</v>
      </c>
      <c r="E184">
        <f>C184-Summary!K$27</f>
        <v>-3000</v>
      </c>
    </row>
    <row r="185" spans="1:5" x14ac:dyDescent="0.45">
      <c r="A185">
        <v>184</v>
      </c>
      <c r="B185">
        <v>-13487.669029452678</v>
      </c>
      <c r="C185">
        <v>0</v>
      </c>
      <c r="D185">
        <f>C185+Summary!K$27</f>
        <v>3000</v>
      </c>
      <c r="E185">
        <f>C185-Summary!K$27</f>
        <v>-3000</v>
      </c>
    </row>
    <row r="186" spans="1:5" x14ac:dyDescent="0.45">
      <c r="A186">
        <v>185</v>
      </c>
      <c r="B186">
        <v>-12778.110778192429</v>
      </c>
      <c r="C186">
        <v>0</v>
      </c>
      <c r="D186">
        <f>C186+Summary!K$27</f>
        <v>3000</v>
      </c>
      <c r="E186">
        <f>C186-Summary!K$27</f>
        <v>-3000</v>
      </c>
    </row>
    <row r="187" spans="1:5" x14ac:dyDescent="0.45">
      <c r="A187">
        <v>186</v>
      </c>
      <c r="B187">
        <v>-11018.653367777544</v>
      </c>
      <c r="C187">
        <v>0</v>
      </c>
      <c r="D187">
        <f>C187+Summary!K$27</f>
        <v>3000</v>
      </c>
      <c r="E187">
        <f>C187-Summary!K$27</f>
        <v>-3000</v>
      </c>
    </row>
    <row r="188" spans="1:5" x14ac:dyDescent="0.45">
      <c r="A188">
        <v>187</v>
      </c>
      <c r="B188">
        <v>-12043.283849741325</v>
      </c>
      <c r="C188">
        <v>0</v>
      </c>
      <c r="D188">
        <f>C188+Summary!K$27</f>
        <v>3000</v>
      </c>
      <c r="E188">
        <f>C188-Summary!K$27</f>
        <v>-3000</v>
      </c>
    </row>
    <row r="189" spans="1:5" x14ac:dyDescent="0.45">
      <c r="A189">
        <v>188</v>
      </c>
      <c r="B189">
        <v>-11932.296421974517</v>
      </c>
      <c r="C189">
        <v>0</v>
      </c>
      <c r="D189">
        <f>C189+Summary!K$27</f>
        <v>3000</v>
      </c>
      <c r="E189">
        <f>C189-Summary!K$27</f>
        <v>-3000</v>
      </c>
    </row>
    <row r="190" spans="1:5" x14ac:dyDescent="0.45">
      <c r="A190">
        <v>189</v>
      </c>
      <c r="B190">
        <v>-12296.802647401732</v>
      </c>
      <c r="C190">
        <v>0</v>
      </c>
      <c r="D190">
        <f>C190+Summary!K$27</f>
        <v>3000</v>
      </c>
      <c r="E190">
        <f>C190-Summary!K$27</f>
        <v>-3000</v>
      </c>
    </row>
    <row r="191" spans="1:5" x14ac:dyDescent="0.45">
      <c r="A191">
        <v>190</v>
      </c>
      <c r="B191">
        <v>-11523.764654953638</v>
      </c>
      <c r="C191">
        <v>0</v>
      </c>
      <c r="D191">
        <f>C191+Summary!K$27</f>
        <v>3000</v>
      </c>
      <c r="E191">
        <f>C191-Summary!K$27</f>
        <v>-3000</v>
      </c>
    </row>
    <row r="192" spans="1:5" x14ac:dyDescent="0.45">
      <c r="A192">
        <v>191</v>
      </c>
      <c r="B192">
        <v>-12960.906801947351</v>
      </c>
      <c r="C192">
        <v>0</v>
      </c>
      <c r="D192">
        <f>C192+Summary!K$27</f>
        <v>3000</v>
      </c>
      <c r="E192">
        <f>C192-Summary!K$27</f>
        <v>-3000</v>
      </c>
    </row>
    <row r="193" spans="1:5" x14ac:dyDescent="0.45">
      <c r="A193">
        <v>192</v>
      </c>
      <c r="B193">
        <v>-13654.632943002782</v>
      </c>
      <c r="C193">
        <v>0</v>
      </c>
      <c r="D193">
        <f>C193+Summary!K$27</f>
        <v>3000</v>
      </c>
      <c r="E193">
        <f>C193-Summary!K$27</f>
        <v>-3000</v>
      </c>
    </row>
    <row r="194" spans="1:5" x14ac:dyDescent="0.45">
      <c r="A194">
        <v>193</v>
      </c>
      <c r="B194">
        <v>-13557.618447871959</v>
      </c>
      <c r="C194">
        <v>0</v>
      </c>
      <c r="D194">
        <f>C194+Summary!K$27</f>
        <v>3000</v>
      </c>
      <c r="E194">
        <f>C194-Summary!K$27</f>
        <v>-3000</v>
      </c>
    </row>
    <row r="195" spans="1:5" x14ac:dyDescent="0.45">
      <c r="A195">
        <v>194</v>
      </c>
      <c r="B195">
        <v>-13961.72886394293</v>
      </c>
      <c r="C195">
        <v>0</v>
      </c>
      <c r="D195">
        <f>C195+Summary!K$27</f>
        <v>3000</v>
      </c>
      <c r="E195">
        <f>C195-Summary!K$27</f>
        <v>-3000</v>
      </c>
    </row>
    <row r="196" spans="1:5" x14ac:dyDescent="0.45">
      <c r="A196">
        <v>195</v>
      </c>
      <c r="B196">
        <v>-12110.576477800467</v>
      </c>
      <c r="C196">
        <v>0</v>
      </c>
      <c r="D196">
        <f>C196+Summary!K$27</f>
        <v>3000</v>
      </c>
      <c r="E196">
        <f>C196-Summary!K$27</f>
        <v>-3000</v>
      </c>
    </row>
    <row r="197" spans="1:5" x14ac:dyDescent="0.45">
      <c r="A197">
        <v>196</v>
      </c>
      <c r="B197">
        <v>-12303.273705730035</v>
      </c>
      <c r="C197">
        <v>0</v>
      </c>
      <c r="D197">
        <f>C197+Summary!K$27</f>
        <v>3000</v>
      </c>
      <c r="E197">
        <f>C197-Summary!K$27</f>
        <v>-3000</v>
      </c>
    </row>
    <row r="198" spans="1:5" x14ac:dyDescent="0.45">
      <c r="A198">
        <v>197</v>
      </c>
      <c r="B198">
        <v>-11251.575759048406</v>
      </c>
      <c r="C198">
        <v>0</v>
      </c>
      <c r="D198">
        <f>C198+Summary!K$27</f>
        <v>3000</v>
      </c>
      <c r="E198">
        <f>C198-Summary!K$27</f>
        <v>-3000</v>
      </c>
    </row>
    <row r="199" spans="1:5" x14ac:dyDescent="0.45">
      <c r="A199">
        <v>198</v>
      </c>
      <c r="B199">
        <v>-11192.918707087401</v>
      </c>
      <c r="C199">
        <v>0</v>
      </c>
      <c r="D199">
        <f>C199+Summary!K$27</f>
        <v>3000</v>
      </c>
      <c r="E199">
        <f>C199-Summary!K$27</f>
        <v>-3000</v>
      </c>
    </row>
    <row r="200" spans="1:5" x14ac:dyDescent="0.45">
      <c r="A200">
        <v>199</v>
      </c>
      <c r="B200">
        <v>-10552.63346717543</v>
      </c>
      <c r="C200">
        <v>0</v>
      </c>
      <c r="D200">
        <f>C200+Summary!K$27</f>
        <v>3000</v>
      </c>
      <c r="E200">
        <f>C200-Summary!K$27</f>
        <v>-3000</v>
      </c>
    </row>
    <row r="201" spans="1:5" x14ac:dyDescent="0.45">
      <c r="A201">
        <v>200</v>
      </c>
      <c r="B201">
        <v>-10228.088860698592</v>
      </c>
      <c r="C201">
        <v>0</v>
      </c>
      <c r="D201">
        <f>C201+Summary!K$27</f>
        <v>3000</v>
      </c>
      <c r="E201">
        <f>C201-Summary!K$27</f>
        <v>-3000</v>
      </c>
    </row>
    <row r="202" spans="1:5" x14ac:dyDescent="0.45">
      <c r="A202">
        <v>201</v>
      </c>
      <c r="B202">
        <v>-9307.9270944626533</v>
      </c>
      <c r="C202">
        <v>0</v>
      </c>
      <c r="D202">
        <f>C202+Summary!K$27</f>
        <v>3000</v>
      </c>
      <c r="E202">
        <f>C202-Summary!K$27</f>
        <v>-3000</v>
      </c>
    </row>
    <row r="203" spans="1:5" x14ac:dyDescent="0.45">
      <c r="A203">
        <v>202</v>
      </c>
      <c r="B203">
        <v>-9699.7598469994755</v>
      </c>
      <c r="C203">
        <v>0</v>
      </c>
      <c r="D203">
        <f>C203+Summary!K$27</f>
        <v>3000</v>
      </c>
      <c r="E203">
        <f>C203-Summary!K$27</f>
        <v>-3000</v>
      </c>
    </row>
    <row r="204" spans="1:5" x14ac:dyDescent="0.45">
      <c r="A204">
        <v>203</v>
      </c>
      <c r="B204">
        <v>-8638.2778575736611</v>
      </c>
      <c r="C204">
        <v>0</v>
      </c>
      <c r="D204">
        <f>C204+Summary!K$27</f>
        <v>3000</v>
      </c>
      <c r="E204">
        <f>C204-Summary!K$27</f>
        <v>-3000</v>
      </c>
    </row>
    <row r="205" spans="1:5" x14ac:dyDescent="0.45">
      <c r="A205">
        <v>204</v>
      </c>
      <c r="B205">
        <v>-8039.6443158343063</v>
      </c>
      <c r="C205">
        <v>0</v>
      </c>
      <c r="D205">
        <f>C205+Summary!K$27</f>
        <v>3000</v>
      </c>
      <c r="E205">
        <f>C205-Summary!K$27</f>
        <v>-3000</v>
      </c>
    </row>
    <row r="206" spans="1:5" x14ac:dyDescent="0.45">
      <c r="A206">
        <v>205</v>
      </c>
      <c r="B206">
        <v>-7000.3430040440544</v>
      </c>
      <c r="C206">
        <v>0</v>
      </c>
      <c r="D206">
        <f>C206+Summary!K$27</f>
        <v>3000</v>
      </c>
      <c r="E206">
        <f>C206-Summary!K$27</f>
        <v>-3000</v>
      </c>
    </row>
    <row r="207" spans="1:5" x14ac:dyDescent="0.45">
      <c r="A207">
        <v>206</v>
      </c>
      <c r="B207">
        <v>-7431.0940584294412</v>
      </c>
      <c r="C207">
        <v>0</v>
      </c>
      <c r="D207">
        <f>C207+Summary!K$27</f>
        <v>3000</v>
      </c>
      <c r="E207">
        <f>C207-Summary!K$27</f>
        <v>-3000</v>
      </c>
    </row>
    <row r="208" spans="1:5" x14ac:dyDescent="0.45">
      <c r="A208">
        <v>207</v>
      </c>
      <c r="B208">
        <v>-2026.4142967861108</v>
      </c>
      <c r="C208">
        <v>0</v>
      </c>
      <c r="D208">
        <f>C208+Summary!K$27</f>
        <v>3000</v>
      </c>
      <c r="E208">
        <f>C208-Summary!K$27</f>
        <v>-3000</v>
      </c>
    </row>
    <row r="209" spans="1:5" x14ac:dyDescent="0.45">
      <c r="A209">
        <v>208</v>
      </c>
      <c r="B209">
        <v>-6141.2517686494457</v>
      </c>
      <c r="C209">
        <v>0</v>
      </c>
      <c r="D209">
        <f>C209+Summary!K$27</f>
        <v>3000</v>
      </c>
      <c r="E209">
        <f>C209-Summary!K$27</f>
        <v>-3000</v>
      </c>
    </row>
    <row r="210" spans="1:5" x14ac:dyDescent="0.45">
      <c r="A210">
        <v>209</v>
      </c>
      <c r="B210">
        <v>-6998.7579709811425</v>
      </c>
      <c r="C210">
        <v>0</v>
      </c>
      <c r="D210">
        <f>C210+Summary!K$27</f>
        <v>3000</v>
      </c>
      <c r="E210">
        <f>C210-Summary!K$27</f>
        <v>-3000</v>
      </c>
    </row>
    <row r="211" spans="1:5" x14ac:dyDescent="0.45">
      <c r="A211">
        <v>210</v>
      </c>
      <c r="B211">
        <v>-5737.5503843564029</v>
      </c>
      <c r="C211">
        <v>0</v>
      </c>
      <c r="D211">
        <f>C211+Summary!K$27</f>
        <v>3000</v>
      </c>
      <c r="E211">
        <f>C211-Summary!K$27</f>
        <v>-3000</v>
      </c>
    </row>
    <row r="212" spans="1:5" x14ac:dyDescent="0.45">
      <c r="A212">
        <v>211</v>
      </c>
      <c r="B212">
        <v>-6265.1902203149702</v>
      </c>
      <c r="C212">
        <v>0</v>
      </c>
      <c r="D212">
        <f>C212+Summary!K$27</f>
        <v>3000</v>
      </c>
      <c r="E212">
        <f>C212-Summary!K$27</f>
        <v>-3000</v>
      </c>
    </row>
    <row r="213" spans="1:5" x14ac:dyDescent="0.45">
      <c r="A213">
        <v>212</v>
      </c>
      <c r="B213">
        <v>-1432.4976646893142</v>
      </c>
      <c r="C213">
        <v>0</v>
      </c>
      <c r="D213">
        <f>C213+Summary!K$27</f>
        <v>3000</v>
      </c>
      <c r="E213">
        <f>C213-Summary!K$27</f>
        <v>-3000</v>
      </c>
    </row>
    <row r="214" spans="1:5" x14ac:dyDescent="0.45">
      <c r="A214">
        <v>213</v>
      </c>
      <c r="B214">
        <v>-6350.1584734805519</v>
      </c>
      <c r="C214">
        <v>0</v>
      </c>
      <c r="D214">
        <f>C214+Summary!K$27</f>
        <v>3000</v>
      </c>
      <c r="E214">
        <f>C214-Summary!K$27</f>
        <v>-3000</v>
      </c>
    </row>
    <row r="215" spans="1:5" x14ac:dyDescent="0.45">
      <c r="A215">
        <v>214</v>
      </c>
      <c r="B215">
        <v>-5347.3010693440083</v>
      </c>
      <c r="C215">
        <v>0</v>
      </c>
      <c r="D215">
        <f>C215+Summary!K$27</f>
        <v>3000</v>
      </c>
      <c r="E215">
        <f>C215-Summary!K$27</f>
        <v>-3000</v>
      </c>
    </row>
    <row r="216" spans="1:5" x14ac:dyDescent="0.45">
      <c r="A216">
        <v>215</v>
      </c>
      <c r="B216">
        <v>-6762.3429206289511</v>
      </c>
      <c r="C216">
        <v>0</v>
      </c>
      <c r="D216">
        <f>C216+Summary!K$27</f>
        <v>3000</v>
      </c>
      <c r="E216">
        <f>C216-Summary!K$27</f>
        <v>-3000</v>
      </c>
    </row>
    <row r="217" spans="1:5" x14ac:dyDescent="0.45">
      <c r="A217">
        <v>216</v>
      </c>
      <c r="B217">
        <v>-7278.1818025504253</v>
      </c>
      <c r="C217">
        <v>0</v>
      </c>
      <c r="D217">
        <f>C217+Summary!K$27</f>
        <v>3000</v>
      </c>
      <c r="E217">
        <f>C217-Summary!K$27</f>
        <v>-3000</v>
      </c>
    </row>
    <row r="218" spans="1:5" x14ac:dyDescent="0.45">
      <c r="A218">
        <v>217</v>
      </c>
      <c r="B218">
        <v>-6591.763624737875</v>
      </c>
      <c r="C218">
        <v>0</v>
      </c>
      <c r="D218">
        <f>C218+Summary!K$27</f>
        <v>3000</v>
      </c>
      <c r="E218">
        <f>C218-Summary!K$27</f>
        <v>-3000</v>
      </c>
    </row>
    <row r="219" spans="1:5" x14ac:dyDescent="0.45">
      <c r="A219">
        <v>218</v>
      </c>
      <c r="B219">
        <v>-6244.0970769307096</v>
      </c>
      <c r="C219">
        <v>0</v>
      </c>
      <c r="D219">
        <f>C219+Summary!K$27</f>
        <v>3000</v>
      </c>
      <c r="E219">
        <f>C219-Summary!K$27</f>
        <v>-3000</v>
      </c>
    </row>
    <row r="220" spans="1:5" x14ac:dyDescent="0.45">
      <c r="A220">
        <v>219</v>
      </c>
      <c r="B220">
        <v>-5523.9276276881765</v>
      </c>
      <c r="C220">
        <v>0</v>
      </c>
      <c r="D220">
        <f>C220+Summary!K$27</f>
        <v>3000</v>
      </c>
      <c r="E220">
        <f>C220-Summary!K$27</f>
        <v>-3000</v>
      </c>
    </row>
    <row r="221" spans="1:5" x14ac:dyDescent="0.45">
      <c r="A221">
        <v>220</v>
      </c>
      <c r="B221">
        <v>-4060.8611002091584</v>
      </c>
      <c r="C221">
        <v>0</v>
      </c>
      <c r="D221">
        <f>C221+Summary!K$27</f>
        <v>3000</v>
      </c>
      <c r="E221">
        <f>C221-Summary!K$27</f>
        <v>-3000</v>
      </c>
    </row>
    <row r="222" spans="1:5" x14ac:dyDescent="0.45">
      <c r="A222">
        <v>221</v>
      </c>
      <c r="B222">
        <v>-4245.1115346015695</v>
      </c>
      <c r="C222">
        <v>0</v>
      </c>
      <c r="D222">
        <f>C222+Summary!K$27</f>
        <v>3000</v>
      </c>
      <c r="E222">
        <f>C222-Summary!K$27</f>
        <v>-3000</v>
      </c>
    </row>
    <row r="223" spans="1:5" x14ac:dyDescent="0.45">
      <c r="A223">
        <v>222</v>
      </c>
      <c r="B223">
        <v>-3639.3842133191802</v>
      </c>
      <c r="C223">
        <v>0</v>
      </c>
      <c r="D223">
        <f>C223+Summary!K$27</f>
        <v>3000</v>
      </c>
      <c r="E223">
        <f>C223-Summary!K$27</f>
        <v>-3000</v>
      </c>
    </row>
    <row r="224" spans="1:5" x14ac:dyDescent="0.45">
      <c r="A224">
        <v>223</v>
      </c>
      <c r="B224">
        <v>-3037.6799790285986</v>
      </c>
      <c r="C224">
        <v>0</v>
      </c>
      <c r="D224">
        <f>C224+Summary!K$27</f>
        <v>3000</v>
      </c>
      <c r="E224">
        <f>C224-Summary!K$27</f>
        <v>-3000</v>
      </c>
    </row>
    <row r="225" spans="1:5" x14ac:dyDescent="0.45">
      <c r="A225">
        <v>224</v>
      </c>
      <c r="B225">
        <v>-3282.6384750725401</v>
      </c>
      <c r="C225">
        <v>0</v>
      </c>
      <c r="D225">
        <f>C225+Summary!K$27</f>
        <v>3000</v>
      </c>
      <c r="E225">
        <f>C225-Summary!K$27</f>
        <v>-3000</v>
      </c>
    </row>
    <row r="226" spans="1:5" x14ac:dyDescent="0.45">
      <c r="A226">
        <v>225</v>
      </c>
      <c r="B226">
        <v>-2628.0640657790946</v>
      </c>
      <c r="C226">
        <v>0</v>
      </c>
      <c r="D226">
        <f>C226+Summary!K$27</f>
        <v>3000</v>
      </c>
      <c r="E226">
        <f>C226-Summary!K$27</f>
        <v>-3000</v>
      </c>
    </row>
    <row r="227" spans="1:5" x14ac:dyDescent="0.45">
      <c r="A227">
        <v>226</v>
      </c>
      <c r="B227">
        <v>-2205.1371731015665</v>
      </c>
      <c r="C227">
        <v>0</v>
      </c>
      <c r="D227">
        <f>C227+Summary!K$27</f>
        <v>3000</v>
      </c>
      <c r="E227">
        <f>C227-Summary!K$27</f>
        <v>-3000</v>
      </c>
    </row>
    <row r="228" spans="1:5" x14ac:dyDescent="0.45">
      <c r="A228">
        <v>227</v>
      </c>
      <c r="B228">
        <v>-1581.7507247960914</v>
      </c>
      <c r="C228">
        <v>0</v>
      </c>
      <c r="D228">
        <f>C228+Summary!K$27</f>
        <v>3000</v>
      </c>
      <c r="E228">
        <f>C228-Summary!K$27</f>
        <v>-3000</v>
      </c>
    </row>
    <row r="229" spans="1:5" x14ac:dyDescent="0.45">
      <c r="A229">
        <v>228</v>
      </c>
      <c r="B229">
        <v>-1495.6965146720347</v>
      </c>
      <c r="C229">
        <v>0</v>
      </c>
      <c r="D229">
        <f>C229+Summary!K$27</f>
        <v>3000</v>
      </c>
      <c r="E229">
        <f>C229-Summary!K$27</f>
        <v>-3000</v>
      </c>
    </row>
    <row r="230" spans="1:5" x14ac:dyDescent="0.45">
      <c r="A230">
        <v>229</v>
      </c>
      <c r="B230">
        <v>-1281.2445415632728</v>
      </c>
      <c r="C230">
        <v>0</v>
      </c>
      <c r="D230">
        <f>C230+Summary!K$27</f>
        <v>3000</v>
      </c>
      <c r="E230">
        <f>C230-Summary!K$27</f>
        <v>-3000</v>
      </c>
    </row>
    <row r="231" spans="1:5" x14ac:dyDescent="0.45">
      <c r="A231">
        <v>230</v>
      </c>
      <c r="B231">
        <v>-960.84426074403063</v>
      </c>
      <c r="C231">
        <v>0</v>
      </c>
      <c r="D231">
        <f>C231+Summary!K$27</f>
        <v>3000</v>
      </c>
      <c r="E231">
        <f>C231-Summary!K$27</f>
        <v>-3000</v>
      </c>
    </row>
    <row r="232" spans="1:5" x14ac:dyDescent="0.45">
      <c r="A232">
        <v>231</v>
      </c>
      <c r="B232">
        <v>-1085.2206609050236</v>
      </c>
      <c r="C232">
        <v>0</v>
      </c>
      <c r="D232">
        <f>C232+Summary!K$27</f>
        <v>3000</v>
      </c>
      <c r="E232">
        <f>C232-Summary!K$27</f>
        <v>-3000</v>
      </c>
    </row>
    <row r="233" spans="1:5" x14ac:dyDescent="0.45">
      <c r="A233">
        <v>232</v>
      </c>
      <c r="B233">
        <v>-1150.9335630824899</v>
      </c>
      <c r="C233">
        <v>0</v>
      </c>
      <c r="D233">
        <f>C233+Summary!K$27</f>
        <v>3000</v>
      </c>
      <c r="E233">
        <f>C233-Summary!K$27</f>
        <v>-3000</v>
      </c>
    </row>
    <row r="234" spans="1:5" x14ac:dyDescent="0.45">
      <c r="A234">
        <v>233</v>
      </c>
      <c r="B234">
        <v>-1055.3340407234739</v>
      </c>
      <c r="C234">
        <v>0</v>
      </c>
      <c r="D234">
        <f>C234+Summary!K$27</f>
        <v>3000</v>
      </c>
      <c r="E234">
        <f>C234-Summary!K$27</f>
        <v>-3000</v>
      </c>
    </row>
    <row r="235" spans="1:5" x14ac:dyDescent="0.45">
      <c r="A235">
        <v>234</v>
      </c>
      <c r="B235">
        <v>-1096.6439107311564</v>
      </c>
      <c r="C235">
        <v>0</v>
      </c>
      <c r="D235">
        <f>C235+Summary!K$27</f>
        <v>3000</v>
      </c>
      <c r="E235">
        <f>C235-Summary!K$27</f>
        <v>-3000</v>
      </c>
    </row>
    <row r="236" spans="1:5" x14ac:dyDescent="0.45">
      <c r="A236">
        <v>235</v>
      </c>
      <c r="B236">
        <v>-1002.5569928544014</v>
      </c>
      <c r="C236">
        <v>0</v>
      </c>
      <c r="D236">
        <f>C236+Summary!K$27</f>
        <v>3000</v>
      </c>
      <c r="E236">
        <f>C236-Summary!K$27</f>
        <v>-3000</v>
      </c>
    </row>
    <row r="237" spans="1:5" x14ac:dyDescent="0.45">
      <c r="A237">
        <v>236</v>
      </c>
      <c r="B237">
        <v>-797.87798003058526</v>
      </c>
      <c r="C237">
        <v>0</v>
      </c>
      <c r="D237">
        <f>C237+Summary!K$27</f>
        <v>3000</v>
      </c>
      <c r="E237">
        <f>C237-Summary!K$27</f>
        <v>-3000</v>
      </c>
    </row>
    <row r="238" spans="1:5" x14ac:dyDescent="0.45">
      <c r="A238">
        <v>237</v>
      </c>
      <c r="B238">
        <v>-810.63643768871339</v>
      </c>
      <c r="C238">
        <v>0</v>
      </c>
      <c r="D238">
        <f>C238+Summary!K$27</f>
        <v>3000</v>
      </c>
      <c r="E238">
        <f>C238-Summary!K$27</f>
        <v>-3000</v>
      </c>
    </row>
    <row r="239" spans="1:5" x14ac:dyDescent="0.45">
      <c r="A239">
        <v>238</v>
      </c>
      <c r="B239">
        <v>-750.33261103784457</v>
      </c>
      <c r="C239">
        <v>0</v>
      </c>
      <c r="D239">
        <f>C239+Summary!K$27</f>
        <v>3000</v>
      </c>
      <c r="E239">
        <f>C239-Summary!K$27</f>
        <v>-3000</v>
      </c>
    </row>
    <row r="240" spans="1:5" x14ac:dyDescent="0.45">
      <c r="A240">
        <v>239</v>
      </c>
      <c r="B240">
        <v>-959.61664020879937</v>
      </c>
      <c r="C240">
        <v>0</v>
      </c>
      <c r="D240">
        <f>C240+Summary!K$27</f>
        <v>3000</v>
      </c>
      <c r="E240">
        <f>C240-Summary!K$27</f>
        <v>-3000</v>
      </c>
    </row>
    <row r="241" spans="1:5" x14ac:dyDescent="0.45">
      <c r="A241">
        <v>240</v>
      </c>
      <c r="B241">
        <v>-792.13829966197443</v>
      </c>
      <c r="C241">
        <v>0</v>
      </c>
      <c r="D241">
        <f>C241+Summary!K$27</f>
        <v>3000</v>
      </c>
      <c r="E241">
        <f>C241-Summary!K$27</f>
        <v>-3000</v>
      </c>
    </row>
    <row r="242" spans="1:5" x14ac:dyDescent="0.45">
      <c r="A242">
        <v>241</v>
      </c>
      <c r="B242">
        <v>-489.27348769373509</v>
      </c>
      <c r="C242">
        <v>0</v>
      </c>
      <c r="D242">
        <f>C242+Summary!K$27</f>
        <v>3000</v>
      </c>
      <c r="E242">
        <f>C242-Summary!K$27</f>
        <v>-3000</v>
      </c>
    </row>
    <row r="243" spans="1:5" x14ac:dyDescent="0.45">
      <c r="A243">
        <v>242</v>
      </c>
      <c r="B243">
        <v>-358.9548915806763</v>
      </c>
      <c r="C243">
        <v>0</v>
      </c>
      <c r="D243">
        <f>C243+Summary!K$27</f>
        <v>3000</v>
      </c>
      <c r="E243">
        <f>C243-Summary!K$27</f>
        <v>-3000</v>
      </c>
    </row>
    <row r="244" spans="1:5" x14ac:dyDescent="0.45">
      <c r="A244">
        <v>243</v>
      </c>
      <c r="B244">
        <v>-352.64767892360646</v>
      </c>
      <c r="C244">
        <v>0</v>
      </c>
      <c r="D244">
        <f>C244+Summary!K$27</f>
        <v>3000</v>
      </c>
      <c r="E244">
        <f>C244-Summary!K$27</f>
        <v>-3000</v>
      </c>
    </row>
    <row r="245" spans="1:5" x14ac:dyDescent="0.45">
      <c r="A245">
        <v>244</v>
      </c>
      <c r="B245">
        <v>-336.54911523682642</v>
      </c>
      <c r="C245">
        <v>0</v>
      </c>
      <c r="D245">
        <f>C245+Summary!K$27</f>
        <v>3000</v>
      </c>
      <c r="E245">
        <f>C245-Summary!K$27</f>
        <v>-3000</v>
      </c>
    </row>
    <row r="246" spans="1:5" x14ac:dyDescent="0.45">
      <c r="A246">
        <v>245</v>
      </c>
      <c r="B246">
        <v>-527.3437699480379</v>
      </c>
      <c r="C246">
        <v>0</v>
      </c>
      <c r="D246">
        <f>C246+Summary!K$27</f>
        <v>3000</v>
      </c>
      <c r="E246">
        <f>C246-Summary!K$27</f>
        <v>-3000</v>
      </c>
    </row>
    <row r="247" spans="1:5" x14ac:dyDescent="0.45">
      <c r="A247">
        <v>246</v>
      </c>
      <c r="B247">
        <v>-342.49797560853165</v>
      </c>
      <c r="C247">
        <v>0</v>
      </c>
      <c r="D247">
        <f>C247+Summary!K$27</f>
        <v>3000</v>
      </c>
      <c r="E247">
        <f>C247-Summary!K$27</f>
        <v>-3000</v>
      </c>
    </row>
    <row r="248" spans="1:5" x14ac:dyDescent="0.45">
      <c r="A248">
        <v>247</v>
      </c>
      <c r="B248">
        <v>-445.75592505349624</v>
      </c>
      <c r="C248">
        <v>0</v>
      </c>
      <c r="D248">
        <f>C248+Summary!K$27</f>
        <v>3000</v>
      </c>
      <c r="E248">
        <f>C248-Summary!K$27</f>
        <v>-3000</v>
      </c>
    </row>
    <row r="249" spans="1:5" x14ac:dyDescent="0.45">
      <c r="A249">
        <v>248</v>
      </c>
      <c r="B249">
        <v>-318.74731534121702</v>
      </c>
      <c r="C249">
        <v>0</v>
      </c>
      <c r="D249">
        <f>C249+Summary!K$27</f>
        <v>3000</v>
      </c>
      <c r="E249">
        <f>C249-Summary!K$27</f>
        <v>-3000</v>
      </c>
    </row>
    <row r="250" spans="1:5" x14ac:dyDescent="0.45">
      <c r="A250">
        <v>249</v>
      </c>
      <c r="B250">
        <v>-177.82066239094445</v>
      </c>
      <c r="C250">
        <v>0</v>
      </c>
      <c r="D250">
        <f>C250+Summary!K$27</f>
        <v>3000</v>
      </c>
      <c r="E250">
        <f>C250-Summary!K$27</f>
        <v>-3000</v>
      </c>
    </row>
    <row r="251" spans="1:5" x14ac:dyDescent="0.45">
      <c r="A251">
        <v>250</v>
      </c>
      <c r="B251">
        <v>-277.45647375564539</v>
      </c>
      <c r="C251">
        <v>0</v>
      </c>
      <c r="D251">
        <f>C251+Summary!K$27</f>
        <v>3000</v>
      </c>
      <c r="E251">
        <f>C251-Summary!K$27</f>
        <v>-3000</v>
      </c>
    </row>
    <row r="252" spans="1:5" x14ac:dyDescent="0.45">
      <c r="A252">
        <v>251</v>
      </c>
      <c r="B252">
        <v>-377.48540131783648</v>
      </c>
      <c r="C252">
        <v>0</v>
      </c>
      <c r="D252">
        <f>C252+Summary!K$27</f>
        <v>3000</v>
      </c>
      <c r="E252">
        <f>C252-Summary!K$27</f>
        <v>-3000</v>
      </c>
    </row>
    <row r="253" spans="1:5" x14ac:dyDescent="0.45">
      <c r="A253">
        <v>252</v>
      </c>
      <c r="B253">
        <v>-391.59375186354714</v>
      </c>
      <c r="C253">
        <v>0</v>
      </c>
      <c r="D253">
        <f>C253+Summary!K$27</f>
        <v>3000</v>
      </c>
      <c r="E253">
        <f>C253-Summary!K$27</f>
        <v>-3000</v>
      </c>
    </row>
    <row r="254" spans="1:5" x14ac:dyDescent="0.45">
      <c r="A254">
        <v>253</v>
      </c>
      <c r="B254">
        <v>-737.68279908235456</v>
      </c>
      <c r="C254">
        <v>0</v>
      </c>
      <c r="D254">
        <f>C254+Summary!K$27</f>
        <v>3000</v>
      </c>
      <c r="E254">
        <f>C254-Summary!K$27</f>
        <v>-3000</v>
      </c>
    </row>
    <row r="255" spans="1:5" x14ac:dyDescent="0.45">
      <c r="A255">
        <v>254</v>
      </c>
      <c r="B255">
        <v>-396.68931816619664</v>
      </c>
      <c r="C255">
        <v>0</v>
      </c>
      <c r="D255">
        <f>C255+Summary!K$27</f>
        <v>3000</v>
      </c>
      <c r="E255">
        <f>C255-Summary!K$27</f>
        <v>-3000</v>
      </c>
    </row>
    <row r="256" spans="1:5" x14ac:dyDescent="0.45">
      <c r="A256">
        <v>255</v>
      </c>
      <c r="B256">
        <v>-386.91784146594932</v>
      </c>
      <c r="C256">
        <v>0</v>
      </c>
      <c r="D256">
        <f>C256+Summary!K$27</f>
        <v>3000</v>
      </c>
      <c r="E256">
        <f>C256-Summary!K$27</f>
        <v>-3000</v>
      </c>
    </row>
    <row r="257" spans="1:5" x14ac:dyDescent="0.45">
      <c r="A257">
        <v>256</v>
      </c>
      <c r="B257">
        <v>-292.16152915890734</v>
      </c>
      <c r="C257">
        <v>0</v>
      </c>
      <c r="D257">
        <f>C257+Summary!K$27</f>
        <v>3000</v>
      </c>
      <c r="E257">
        <f>C257-Summary!K$27</f>
        <v>-3000</v>
      </c>
    </row>
    <row r="258" spans="1:5" x14ac:dyDescent="0.45">
      <c r="A258">
        <v>257</v>
      </c>
      <c r="B258">
        <v>-366.63205272054074</v>
      </c>
      <c r="C258">
        <v>0</v>
      </c>
      <c r="D258">
        <f>C258+Summary!K$27</f>
        <v>3000</v>
      </c>
      <c r="E258">
        <f>C258-Summary!K$27</f>
        <v>-3000</v>
      </c>
    </row>
    <row r="259" spans="1:5" x14ac:dyDescent="0.45">
      <c r="A259">
        <v>258</v>
      </c>
      <c r="B259">
        <v>-302.53433233321829</v>
      </c>
      <c r="C259">
        <v>0</v>
      </c>
      <c r="D259">
        <f>C259+Summary!K$27</f>
        <v>3000</v>
      </c>
      <c r="E259">
        <f>C259-Summary!K$27</f>
        <v>-3000</v>
      </c>
    </row>
    <row r="260" spans="1:5" x14ac:dyDescent="0.45">
      <c r="A260">
        <v>259</v>
      </c>
      <c r="B260">
        <v>-222.52448285962441</v>
      </c>
      <c r="C260">
        <v>0</v>
      </c>
      <c r="D260">
        <f>C260+Summary!K$27</f>
        <v>3000</v>
      </c>
      <c r="E260">
        <f>C260-Summary!K$27</f>
        <v>-3000</v>
      </c>
    </row>
    <row r="261" spans="1:5" x14ac:dyDescent="0.45">
      <c r="A261">
        <v>260</v>
      </c>
      <c r="B261">
        <v>-77.020114232222596</v>
      </c>
      <c r="C261">
        <v>0</v>
      </c>
      <c r="D261">
        <f>C261+Summary!K$27</f>
        <v>3000</v>
      </c>
      <c r="E261">
        <f>C261-Summary!K$27</f>
        <v>-3000</v>
      </c>
    </row>
    <row r="262" spans="1:5" x14ac:dyDescent="0.45">
      <c r="A262">
        <v>261</v>
      </c>
      <c r="B262">
        <v>-51.927050997892145</v>
      </c>
      <c r="C262">
        <v>0</v>
      </c>
      <c r="D262">
        <f>C262+Summary!K$27</f>
        <v>3000</v>
      </c>
      <c r="E262">
        <f>C262-Summary!K$27</f>
        <v>-3000</v>
      </c>
    </row>
    <row r="263" spans="1:5" x14ac:dyDescent="0.45">
      <c r="A263">
        <v>262</v>
      </c>
      <c r="B263">
        <v>-62.477820518611182</v>
      </c>
      <c r="C263">
        <v>0</v>
      </c>
      <c r="D263">
        <f>C263+Summary!K$27</f>
        <v>3000</v>
      </c>
      <c r="E263">
        <f>C263-Summary!K$27</f>
        <v>-3000</v>
      </c>
    </row>
    <row r="264" spans="1:5" x14ac:dyDescent="0.45">
      <c r="A264">
        <v>263</v>
      </c>
      <c r="B264">
        <v>-35.914589611498485</v>
      </c>
      <c r="C264">
        <v>0</v>
      </c>
      <c r="D264">
        <f>C264+Summary!K$27</f>
        <v>3000</v>
      </c>
      <c r="E264">
        <f>C264-Summary!K$27</f>
        <v>-3000</v>
      </c>
    </row>
    <row r="265" spans="1:5" x14ac:dyDescent="0.45">
      <c r="A265">
        <v>264</v>
      </c>
      <c r="B265">
        <v>-23.81467086715384</v>
      </c>
      <c r="C265">
        <v>0</v>
      </c>
      <c r="D265">
        <f>C265+Summary!K$27</f>
        <v>3000</v>
      </c>
      <c r="E265">
        <f>C265-Summary!K$27</f>
        <v>-3000</v>
      </c>
    </row>
    <row r="266" spans="1:5" x14ac:dyDescent="0.45">
      <c r="A266">
        <v>265</v>
      </c>
      <c r="B266">
        <v>-24.996672053333185</v>
      </c>
      <c r="C266">
        <v>0</v>
      </c>
      <c r="D266">
        <f>C266+Summary!K$27</f>
        <v>3000</v>
      </c>
      <c r="E266">
        <f>C266-Summary!K$27</f>
        <v>-3000</v>
      </c>
    </row>
    <row r="267" spans="1:5" x14ac:dyDescent="0.45">
      <c r="A267">
        <v>266</v>
      </c>
      <c r="B267">
        <v>-50.495701141386661</v>
      </c>
      <c r="C267">
        <v>0</v>
      </c>
      <c r="D267">
        <f>C267+Summary!K$27</f>
        <v>3000</v>
      </c>
      <c r="E267">
        <f>C267-Summary!K$27</f>
        <v>-3000</v>
      </c>
    </row>
    <row r="268" spans="1:5" x14ac:dyDescent="0.45">
      <c r="A268">
        <v>267</v>
      </c>
      <c r="B268">
        <v>-79.682355718128022</v>
      </c>
      <c r="C268">
        <v>0</v>
      </c>
      <c r="D268">
        <f>C268+Summary!K$27</f>
        <v>3000</v>
      </c>
      <c r="E268">
        <f>C268-Summary!K$27</f>
        <v>-3000</v>
      </c>
    </row>
    <row r="269" spans="1:5" x14ac:dyDescent="0.45">
      <c r="A269">
        <v>268</v>
      </c>
      <c r="B269">
        <v>-48.746218140185796</v>
      </c>
      <c r="C269">
        <v>0</v>
      </c>
      <c r="D269">
        <f>C269+Summary!K$27</f>
        <v>3000</v>
      </c>
      <c r="E269">
        <f>C269-Summary!K$27</f>
        <v>-3000</v>
      </c>
    </row>
    <row r="270" spans="1:5" x14ac:dyDescent="0.45">
      <c r="A270">
        <v>269</v>
      </c>
      <c r="B270">
        <v>-61.793925435339162</v>
      </c>
      <c r="C270">
        <v>0</v>
      </c>
      <c r="D270">
        <f>C270+Summary!K$27</f>
        <v>3000</v>
      </c>
      <c r="E270">
        <f>C270-Summary!K$27</f>
        <v>-3000</v>
      </c>
    </row>
    <row r="271" spans="1:5" x14ac:dyDescent="0.45">
      <c r="A271">
        <v>270</v>
      </c>
      <c r="B271">
        <v>-36.377620552767375</v>
      </c>
      <c r="C271">
        <v>0</v>
      </c>
      <c r="D271">
        <f>C271+Summary!K$27</f>
        <v>3000</v>
      </c>
      <c r="E271">
        <f>C271-Summary!K$27</f>
        <v>-3000</v>
      </c>
    </row>
    <row r="272" spans="1:5" x14ac:dyDescent="0.45">
      <c r="A272">
        <v>271</v>
      </c>
      <c r="B272">
        <v>-13.949573152188815</v>
      </c>
      <c r="C272">
        <v>0</v>
      </c>
      <c r="D272">
        <f>C272+Summary!K$27</f>
        <v>3000</v>
      </c>
      <c r="E272">
        <f>C272-Summary!K$27</f>
        <v>-3000</v>
      </c>
    </row>
    <row r="273" spans="1:5" x14ac:dyDescent="0.45">
      <c r="A273">
        <v>272</v>
      </c>
      <c r="B273">
        <v>-3.4846934072432245</v>
      </c>
      <c r="C273">
        <v>0</v>
      </c>
      <c r="D273">
        <f>C273+Summary!K$27</f>
        <v>3000</v>
      </c>
      <c r="E273">
        <f>C273-Summary!K$27</f>
        <v>-3000</v>
      </c>
    </row>
    <row r="274" spans="1:5" x14ac:dyDescent="0.45">
      <c r="A274">
        <v>273</v>
      </c>
      <c r="B274">
        <v>-3.2736488831693209</v>
      </c>
      <c r="C274">
        <v>0</v>
      </c>
      <c r="D274">
        <f>C274+Summary!K$27</f>
        <v>3000</v>
      </c>
      <c r="E274">
        <f>C274-Summary!K$27</f>
        <v>-3000</v>
      </c>
    </row>
    <row r="275" spans="1:5" x14ac:dyDescent="0.45">
      <c r="A275">
        <v>274</v>
      </c>
      <c r="B275">
        <v>-1.3735226178856779</v>
      </c>
      <c r="C275">
        <v>0</v>
      </c>
      <c r="D275">
        <f>C275+Summary!K$27</f>
        <v>3000</v>
      </c>
      <c r="E275">
        <f>C275-Summary!K$27</f>
        <v>-3000</v>
      </c>
    </row>
    <row r="276" spans="1:5" x14ac:dyDescent="0.45">
      <c r="A276">
        <v>275</v>
      </c>
      <c r="B276">
        <v>-1.3350601926937626</v>
      </c>
      <c r="C276">
        <v>0</v>
      </c>
      <c r="D276">
        <f>C276+Summary!K$27</f>
        <v>3000</v>
      </c>
      <c r="E276">
        <f>C276-Summary!K$27</f>
        <v>-3000</v>
      </c>
    </row>
    <row r="277" spans="1:5" x14ac:dyDescent="0.45">
      <c r="A277">
        <v>276</v>
      </c>
      <c r="B277">
        <v>-1.7074825800914728</v>
      </c>
      <c r="C277">
        <v>0</v>
      </c>
      <c r="D277">
        <f>C277+Summary!K$27</f>
        <v>3000</v>
      </c>
      <c r="E277">
        <f>C277-Summary!K$27</f>
        <v>-3000</v>
      </c>
    </row>
    <row r="278" spans="1:5" x14ac:dyDescent="0.45">
      <c r="A278">
        <v>277</v>
      </c>
      <c r="B278">
        <v>-1.4230981174995117</v>
      </c>
      <c r="C278">
        <v>0</v>
      </c>
      <c r="D278">
        <f>C278+Summary!K$27</f>
        <v>3000</v>
      </c>
      <c r="E278">
        <f>C278-Summary!K$27</f>
        <v>-3000</v>
      </c>
    </row>
    <row r="279" spans="1:5" x14ac:dyDescent="0.45">
      <c r="A279">
        <v>278</v>
      </c>
      <c r="B279">
        <v>-1.0029567185655488</v>
      </c>
      <c r="C279">
        <v>0</v>
      </c>
      <c r="D279">
        <f>C279+Summary!K$27</f>
        <v>3000</v>
      </c>
      <c r="E279">
        <f>C279-Summary!K$27</f>
        <v>-3000</v>
      </c>
    </row>
    <row r="280" spans="1:5" x14ac:dyDescent="0.45">
      <c r="A280">
        <v>279</v>
      </c>
      <c r="B280">
        <v>-1.8485804564139885</v>
      </c>
      <c r="C280">
        <v>0</v>
      </c>
      <c r="D280">
        <f>C280+Summary!K$27</f>
        <v>3000</v>
      </c>
      <c r="E280">
        <f>C280-Summary!K$27</f>
        <v>-3000</v>
      </c>
    </row>
    <row r="281" spans="1:5" x14ac:dyDescent="0.45">
      <c r="A281">
        <v>280</v>
      </c>
      <c r="B281">
        <v>-0.85982681089992796</v>
      </c>
      <c r="C281">
        <v>0</v>
      </c>
      <c r="D281">
        <f>C281+Summary!K$27</f>
        <v>3000</v>
      </c>
      <c r="E281">
        <f>C281-Summary!K$27</f>
        <v>-3000</v>
      </c>
    </row>
    <row r="282" spans="1:5" x14ac:dyDescent="0.45">
      <c r="A282">
        <v>281</v>
      </c>
      <c r="B282">
        <v>-0.30877198764022729</v>
      </c>
      <c r="C282">
        <v>0</v>
      </c>
      <c r="D282">
        <f>C282+Summary!K$27</f>
        <v>3000</v>
      </c>
      <c r="E282">
        <f>C282-Summary!K$27</f>
        <v>-3000</v>
      </c>
    </row>
    <row r="283" spans="1:5" x14ac:dyDescent="0.45">
      <c r="A283">
        <v>282</v>
      </c>
      <c r="B283">
        <v>-0.11737162862124929</v>
      </c>
      <c r="C283">
        <v>0</v>
      </c>
      <c r="D283">
        <f>C283+Summary!K$27</f>
        <v>3000</v>
      </c>
      <c r="E283">
        <f>C283-Summary!K$27</f>
        <v>-3000</v>
      </c>
    </row>
    <row r="284" spans="1:5" x14ac:dyDescent="0.45">
      <c r="A284">
        <v>283</v>
      </c>
      <c r="B284">
        <v>-7.8895446223901836E-2</v>
      </c>
      <c r="C284">
        <v>0</v>
      </c>
      <c r="D284">
        <f>C284+Summary!K$27</f>
        <v>3000</v>
      </c>
      <c r="E284">
        <f>C284-Summary!K$27</f>
        <v>-3000</v>
      </c>
    </row>
    <row r="285" spans="1:5" x14ac:dyDescent="0.45">
      <c r="A285">
        <v>284</v>
      </c>
      <c r="B285">
        <v>-3.3377194671011599E-2</v>
      </c>
      <c r="C285">
        <v>0</v>
      </c>
      <c r="D285">
        <f>C285+Summary!K$27</f>
        <v>3000</v>
      </c>
      <c r="E285">
        <f>C285-Summary!K$27</f>
        <v>-3000</v>
      </c>
    </row>
    <row r="286" spans="1:5" x14ac:dyDescent="0.45">
      <c r="A286">
        <v>285</v>
      </c>
      <c r="B286">
        <v>-7.1664242020211353E-3</v>
      </c>
      <c r="C286">
        <v>0</v>
      </c>
      <c r="D286">
        <f>C286+Summary!K$27</f>
        <v>3000</v>
      </c>
      <c r="E286">
        <f>C286-Summary!K$27</f>
        <v>-3000</v>
      </c>
    </row>
    <row r="287" spans="1:5" x14ac:dyDescent="0.45">
      <c r="A287">
        <v>286</v>
      </c>
      <c r="B287">
        <v>-1.3720666883475258E-3</v>
      </c>
      <c r="C287">
        <v>0</v>
      </c>
      <c r="D287">
        <f>C287+Summary!K$27</f>
        <v>3000</v>
      </c>
      <c r="E287">
        <f>C287-Summary!K$27</f>
        <v>-3000</v>
      </c>
    </row>
    <row r="288" spans="1:5" x14ac:dyDescent="0.45">
      <c r="A288">
        <v>287</v>
      </c>
      <c r="B288">
        <v>-3.2064587559522861E-3</v>
      </c>
      <c r="C288">
        <v>0</v>
      </c>
      <c r="D288">
        <f>C288+Summary!K$27</f>
        <v>3000</v>
      </c>
      <c r="E288">
        <f>C288-Summary!K$27</f>
        <v>-3000</v>
      </c>
    </row>
    <row r="289" spans="1:5" x14ac:dyDescent="0.45">
      <c r="A289">
        <v>288</v>
      </c>
      <c r="B289">
        <v>-5.1918784521057303E-5</v>
      </c>
      <c r="C289">
        <v>0</v>
      </c>
      <c r="D289">
        <f>C289+Summary!K$27</f>
        <v>3000</v>
      </c>
      <c r="E289">
        <f>C289-Summary!K$27</f>
        <v>-3000</v>
      </c>
    </row>
    <row r="290" spans="1:5" x14ac:dyDescent="0.45">
      <c r="A290">
        <v>289</v>
      </c>
      <c r="B290">
        <v>-5.472885403881089E-6</v>
      </c>
      <c r="C290">
        <v>0</v>
      </c>
      <c r="D290">
        <f>C290+Summary!K$27</f>
        <v>3000</v>
      </c>
      <c r="E290">
        <f>C290-Summary!K$27</f>
        <v>-3000</v>
      </c>
    </row>
    <row r="291" spans="1:5" x14ac:dyDescent="0.45">
      <c r="A291">
        <v>290</v>
      </c>
      <c r="B291">
        <v>-2.6586593301297956E-6</v>
      </c>
      <c r="C291">
        <v>0</v>
      </c>
      <c r="D291">
        <f>C291+Summary!K$27</f>
        <v>3000</v>
      </c>
      <c r="E291">
        <f>C291-Summary!K$27</f>
        <v>-3000</v>
      </c>
    </row>
    <row r="292" spans="1:5" x14ac:dyDescent="0.45">
      <c r="A292">
        <v>291</v>
      </c>
      <c r="B292">
        <v>-3.0476327702657478E-9</v>
      </c>
      <c r="C292">
        <v>0</v>
      </c>
      <c r="D292">
        <f>C292+Summary!K$27</f>
        <v>3000</v>
      </c>
      <c r="E292">
        <f>C292-Summary!K$27</f>
        <v>-3000</v>
      </c>
    </row>
    <row r="293" spans="1:5" x14ac:dyDescent="0.45">
      <c r="A293">
        <v>292</v>
      </c>
      <c r="B293">
        <v>-3.2489886430011161E-12</v>
      </c>
      <c r="C293">
        <v>0</v>
      </c>
      <c r="D293">
        <f>C293+Summary!K$27</f>
        <v>3000</v>
      </c>
      <c r="E293">
        <f>C293-Summary!K$27</f>
        <v>-3000</v>
      </c>
    </row>
    <row r="294" spans="1:5" x14ac:dyDescent="0.45">
      <c r="A294">
        <v>293</v>
      </c>
      <c r="B294">
        <v>-3.3223821021576196E-15</v>
      </c>
      <c r="C294">
        <v>0</v>
      </c>
      <c r="D294">
        <f>C294+Summary!K$27</f>
        <v>3000</v>
      </c>
      <c r="E294">
        <f>C294-Summary!K$27</f>
        <v>-3000</v>
      </c>
    </row>
    <row r="295" spans="1:5" x14ac:dyDescent="0.45">
      <c r="A295">
        <v>294</v>
      </c>
      <c r="B295">
        <v>-5.874374486737701E-17</v>
      </c>
      <c r="C295">
        <v>0</v>
      </c>
      <c r="D295">
        <f>C295+Summary!K$27</f>
        <v>3000</v>
      </c>
      <c r="E295">
        <f>C295-Summary!K$27</f>
        <v>-3000</v>
      </c>
    </row>
    <row r="296" spans="1:5" x14ac:dyDescent="0.45">
      <c r="A296">
        <v>295</v>
      </c>
      <c r="B296">
        <v>-4.52481817008402E-22</v>
      </c>
      <c r="C296">
        <v>0</v>
      </c>
      <c r="D296">
        <f>C296+Summary!K$27</f>
        <v>3000</v>
      </c>
      <c r="E296">
        <f>C296-Summary!K$27</f>
        <v>-3000</v>
      </c>
    </row>
    <row r="297" spans="1:5" x14ac:dyDescent="0.45">
      <c r="A297">
        <v>296</v>
      </c>
      <c r="B297">
        <v>-4.4302408460008615E-20</v>
      </c>
      <c r="C297">
        <v>0</v>
      </c>
      <c r="D297">
        <f>C297+Summary!K$27</f>
        <v>3000</v>
      </c>
      <c r="E297">
        <f>C297-Summary!K$27</f>
        <v>-3000</v>
      </c>
    </row>
    <row r="298" spans="1:5" x14ac:dyDescent="0.45">
      <c r="A298">
        <v>297</v>
      </c>
      <c r="B298">
        <v>-4.7013954390225866E-27</v>
      </c>
      <c r="C298">
        <v>0</v>
      </c>
      <c r="D298">
        <f>C298+Summary!K$27</f>
        <v>3000</v>
      </c>
      <c r="E298">
        <f>C298-Summary!K$27</f>
        <v>-3000</v>
      </c>
    </row>
    <row r="299" spans="1:5" x14ac:dyDescent="0.45">
      <c r="A299">
        <v>298</v>
      </c>
      <c r="B299">
        <v>-1.3255294449258491E-40</v>
      </c>
      <c r="C299">
        <v>0</v>
      </c>
      <c r="D299">
        <f>C299+Summary!K$27</f>
        <v>3000</v>
      </c>
      <c r="E299">
        <f>C299-Summary!K$27</f>
        <v>-3000</v>
      </c>
    </row>
    <row r="300" spans="1:5" x14ac:dyDescent="0.45">
      <c r="A300">
        <v>299</v>
      </c>
      <c r="B300">
        <v>-3.4946319553825032E-81</v>
      </c>
      <c r="C300">
        <v>0</v>
      </c>
      <c r="D300">
        <f>C300+Summary!K$27</f>
        <v>3000</v>
      </c>
      <c r="E300">
        <f>C300-Summary!K$27</f>
        <v>-3000</v>
      </c>
    </row>
    <row r="301" spans="1:5" x14ac:dyDescent="0.45">
      <c r="A301">
        <v>300</v>
      </c>
      <c r="C301">
        <v>0</v>
      </c>
      <c r="D301">
        <f>C301+Summary!K$27</f>
        <v>3000</v>
      </c>
      <c r="E301">
        <f>C301-Summary!K$27</f>
        <v>-3000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380B8B337FCC4BB69A0CA0F2CF6C58" ma:contentTypeVersion="12" ma:contentTypeDescription="Create a new document." ma:contentTypeScope="" ma:versionID="20d49404249c649523cc0bc27af4ca88">
  <xsd:schema xmlns:xsd="http://www.w3.org/2001/XMLSchema" xmlns:xs="http://www.w3.org/2001/XMLSchema" xmlns:p="http://schemas.microsoft.com/office/2006/metadata/properties" xmlns:ns2="328a0837-456d-483e-87f2-2d63866936b4" xmlns:ns3="48044145-bfd1-4649-85cb-c0de0d49c5f7" targetNamespace="http://schemas.microsoft.com/office/2006/metadata/properties" ma:root="true" ma:fieldsID="cc3a27bd38f0455fc0e96b1e09095698" ns2:_="" ns3:_="">
    <xsd:import namespace="328a0837-456d-483e-87f2-2d63866936b4"/>
    <xsd:import namespace="48044145-bfd1-4649-85cb-c0de0d49c5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8a0837-456d-483e-87f2-2d63866936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044145-bfd1-4649-85cb-c0de0d49c5f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BDDA8FB-CCF0-4FA9-9187-4D8EDE97B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28a0837-456d-483e-87f2-2d63866936b4"/>
    <ds:schemaRef ds:uri="48044145-bfd1-4649-85cb-c0de0d49c5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28F2DE6-0AA0-473B-BA68-3445F23795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DE9D23D-FE11-40CA-9393-04DF058A3EE7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Summary</vt:lpstr>
      <vt:lpstr>Chart Data</vt:lpstr>
      <vt:lpstr>Beginning_of_case</vt:lpstr>
      <vt:lpstr>chart_check</vt:lpstr>
      <vt:lpstr>chart_reset</vt:lpstr>
      <vt:lpstr>chartdata</vt:lpstr>
      <vt:lpstr>currenttick</vt:lpstr>
      <vt:lpstr>Portfolio_Delta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Theodor Hogan</cp:lastModifiedBy>
  <dcterms:created xsi:type="dcterms:W3CDTF">2010-09-02T18:01:42Z</dcterms:created>
  <dcterms:modified xsi:type="dcterms:W3CDTF">2024-12-04T03:38:06Z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0x0101003D380B8B337FCC4BB69A0CA0F2CF6C58</vt:lpwstr>
  </property>
</Properties>
</file>