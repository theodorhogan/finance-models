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Courses/Exchange/Mergers and Acquisitions/Louis Vuitton Case/"/>
    </mc:Choice>
  </mc:AlternateContent>
  <xr:revisionPtr revIDLastSave="1771" documentId="11_F25DC773A252ABDACC104830195C761C5ADE58EE" xr6:coauthVersionLast="47" xr6:coauthVersionMax="47" xr10:uidLastSave="{7F8EF74F-6CCF-460E-8186-B6FA755D4812}"/>
  <bookViews>
    <workbookView xWindow="-98" yWindow="-98" windowWidth="21795" windowHeight="12975" activeTab="1" xr2:uid="{00000000-000D-0000-FFFF-FFFF00000000}"/>
  </bookViews>
  <sheets>
    <sheet name="Trading Multiples" sheetId="1" r:id="rId1"/>
    <sheet name="Premium" sheetId="2" r:id="rId2"/>
  </sheets>
  <definedNames>
    <definedName name="_bdm.1b8aeb39c29b4c339dc9a6e89abcd90b.edm" localSheetId="0" hidden="1">'Trading Multiples'!$B$2:$R$24</definedName>
    <definedName name="_bdm.2ef6434b8ec145b08bf31483ecf90bed.edm" localSheetId="0" hidden="1">'Trading Multiples'!$B$2:$Q$25</definedName>
    <definedName name="_bdm.d93e29792977432fa5c2f34d798e18eb.edm" hidden="1">'Trading Multiples'!$1:$1048576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8" i="2" l="1"/>
  <c r="S18" i="2"/>
  <c r="F18" i="2"/>
  <c r="E18" i="2"/>
  <c r="S22" i="2"/>
  <c r="S21" i="2"/>
  <c r="T19" i="2"/>
  <c r="T20" i="2" s="1"/>
  <c r="T23" i="2" s="1"/>
  <c r="T24" i="2" s="1"/>
  <c r="S19" i="2"/>
  <c r="S20" i="2" s="1"/>
  <c r="S23" i="2" s="1"/>
  <c r="S24" i="2" s="1"/>
  <c r="U25" i="2" s="1"/>
  <c r="E22" i="2"/>
  <c r="E21" i="2"/>
  <c r="F19" i="2"/>
  <c r="F20" i="2" s="1"/>
  <c r="F23" i="2" s="1"/>
  <c r="F24" i="2" s="1"/>
  <c r="E19" i="2"/>
  <c r="M18" i="2"/>
  <c r="L18" i="2"/>
  <c r="L19" i="2"/>
  <c r="M19" i="2"/>
  <c r="L22" i="2"/>
  <c r="L21" i="2"/>
  <c r="Q25" i="1"/>
  <c r="P25" i="1"/>
  <c r="D13" i="2"/>
  <c r="D12" i="2"/>
  <c r="D9" i="2"/>
  <c r="D7" i="2"/>
  <c r="E20" i="2" l="1"/>
  <c r="E23" i="2" s="1"/>
  <c r="E24" i="2" s="1"/>
  <c r="G25" i="2" s="1"/>
  <c r="M20" i="2"/>
  <c r="M23" i="2" s="1"/>
  <c r="M24" i="2" s="1"/>
  <c r="L20" i="2"/>
  <c r="L23" i="2" s="1"/>
  <c r="L24" i="2" s="1"/>
  <c r="N25" i="2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F22" i="1"/>
  <c r="G22" i="1" s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Q22" i="1" l="1"/>
  <c r="P22" i="1"/>
  <c r="P23" i="1" l="1"/>
  <c r="P24" i="1"/>
  <c r="Q23" i="1"/>
  <c r="Q24" i="1"/>
</calcChain>
</file>

<file path=xl/sharedStrings.xml><?xml version="1.0" encoding="utf-8"?>
<sst xmlns="http://schemas.openxmlformats.org/spreadsheetml/2006/main" count="85" uniqueCount="61">
  <si>
    <t>Financial (€)</t>
  </si>
  <si>
    <t>Valuation (x)</t>
  </si>
  <si>
    <t>Company</t>
  </si>
  <si>
    <t>Shares Out</t>
  </si>
  <si>
    <t>EV/</t>
  </si>
  <si>
    <t>Name</t>
  </si>
  <si>
    <t>Price</t>
  </si>
  <si>
    <t>Mkt Cap (M)</t>
  </si>
  <si>
    <t>EV (M)</t>
  </si>
  <si>
    <t>Diluted (M)</t>
  </si>
  <si>
    <t>Sales (M)</t>
  </si>
  <si>
    <t>EBIT (M)</t>
  </si>
  <si>
    <t>EBITDA (M)</t>
  </si>
  <si>
    <t>EBIT</t>
  </si>
  <si>
    <t>EBITDA</t>
  </si>
  <si>
    <t>Trading Multiples</t>
  </si>
  <si>
    <t>Tapestry, Inc. (NYSE:TPR)</t>
  </si>
  <si>
    <t>American Eagle Outfitters, Inc. (NYSE:AEO)</t>
  </si>
  <si>
    <t>Under Armour, Inc. (NYSE:UAA)</t>
  </si>
  <si>
    <t>Lululemon Athletica Inc. (NasdaqGS:LULU)</t>
  </si>
  <si>
    <t>Ralph Lauren Corporation (NYSE:RL)</t>
  </si>
  <si>
    <t>Capri Holdings Limited (NYSE:CPRI)</t>
  </si>
  <si>
    <t>L Brands, Inc. (NYSE:LB)</t>
  </si>
  <si>
    <t>The Gap, Inc. (NYSE:GPS)</t>
  </si>
  <si>
    <t>Hugo Boss AG (XTRA:BOSS)</t>
  </si>
  <si>
    <t>Burberry Group plc (LSE:BRBY)</t>
  </si>
  <si>
    <t>Compagnie Financière Richemont SA (SWX:CFR)</t>
  </si>
  <si>
    <t>Kering SA (ENXTPA:KER)</t>
  </si>
  <si>
    <t>Salvatore Ferragamo S.p.A. (BIT:SFER)</t>
  </si>
  <si>
    <t>The Swatch Group AG (SWX:UHR)</t>
  </si>
  <si>
    <t>Hermès International Société en commandite par actions (ENXTPA:RMS)</t>
  </si>
  <si>
    <t>Chow Sang Sang Holdings International Limited (SEHK:116)</t>
  </si>
  <si>
    <t>Prada S.p.A. (SEHK:1913)</t>
  </si>
  <si>
    <t>TIF</t>
  </si>
  <si>
    <t>Last Debt</t>
  </si>
  <si>
    <t>Last Cash</t>
  </si>
  <si>
    <t>Market Data ($)</t>
  </si>
  <si>
    <t>Average</t>
  </si>
  <si>
    <t>Median</t>
  </si>
  <si>
    <t>LVMH offer of Tiffany &amp; Co.</t>
  </si>
  <si>
    <t>Offer $/Share</t>
  </si>
  <si>
    <t>CS Outstanding (2019)</t>
  </si>
  <si>
    <t>Trading $/Share</t>
  </si>
  <si>
    <t>Total Market Cap</t>
  </si>
  <si>
    <t>Offer Market Cap</t>
  </si>
  <si>
    <t>Premium %</t>
  </si>
  <si>
    <t>Premium $</t>
  </si>
  <si>
    <t>in millions</t>
  </si>
  <si>
    <t>x</t>
  </si>
  <si>
    <t>Tiffany &amp; Co. Simple Value Calculation</t>
  </si>
  <si>
    <t>Industry Average EV Multiple</t>
  </si>
  <si>
    <t>Tiffany Results 2019</t>
  </si>
  <si>
    <t>Implied Market Value</t>
  </si>
  <si>
    <t>Tiffany Implied EV</t>
  </si>
  <si>
    <t>(-) Debt</t>
  </si>
  <si>
    <t>(+) Cash</t>
  </si>
  <si>
    <t>Implied $/Share</t>
  </si>
  <si>
    <t>Base Case</t>
  </si>
  <si>
    <t xml:space="preserve">High End </t>
  </si>
  <si>
    <t>Low End</t>
  </si>
  <si>
    <t>ST. 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</si>
</sst>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0.00\x"/>
    <numFmt numFmtId="168" formatCode="0.0\x"/>
    <numFmt numFmtId="170" formatCode="_(&quot;$&quot;* #,##0_);_(&quot;$&quot;* \(#,##0\);_(&quot;$&quot;* &quot;-&quot;??_);_(@_)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2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Arial"/>
      <family val="2"/>
    </font>
    <font>
      <sz val="11"/>
      <color rgb="FFFFFFFF"/>
      <name val="Calibri"/>
      <family val="2"/>
      <scheme val="minor"/>
    </font>
    <font>
      <sz val="11"/>
      <color rgb="FF70AD47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8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3" fillId="0" borderId="0" xfId="0" applyFont="1"/>
    <xf numFmtId="44" fontId="3" fillId="0" borderId="0" xfId="0" applyNumberFormat="1" applyFont="1"/>
    <xf numFmtId="164" fontId="3" fillId="0" borderId="0" xfId="0" applyNumberFormat="1" applyFont="1" applyAlignment="1">
      <alignment horizontal="center"/>
    </xf>
    <xf numFmtId="0" fontId="3" fillId="3" borderId="0" xfId="0" applyFont="1" applyFill="1"/>
    <xf numFmtId="44" fontId="3" fillId="3" borderId="0" xfId="0" applyNumberFormat="1" applyFont="1" applyFill="1"/>
    <xf numFmtId="164" fontId="3" fillId="3" borderId="0" xfId="0" applyNumberFormat="1" applyFont="1" applyFill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center"/>
    </xf>
    <xf numFmtId="0" fontId="5" fillId="2" borderId="0" xfId="1" applyFont="1" applyFill="1" applyAlignment="1">
      <alignment horizontal="left"/>
    </xf>
    <xf numFmtId="0" fontId="5" fillId="2" borderId="0" xfId="1" applyFont="1" applyFill="1" applyAlignment="1">
      <alignment horizontal="center"/>
    </xf>
    <xf numFmtId="0" fontId="6" fillId="2" borderId="0" xfId="0" applyFont="1" applyFill="1"/>
    <xf numFmtId="44" fontId="7" fillId="0" borderId="0" xfId="0" applyNumberFormat="1" applyFont="1"/>
    <xf numFmtId="44" fontId="7" fillId="3" borderId="0" xfId="0" applyNumberFormat="1" applyFont="1" applyFill="1"/>
    <xf numFmtId="0" fontId="5" fillId="2" borderId="1" xfId="1" applyFont="1" applyFill="1" applyBorder="1" applyAlignment="1">
      <alignment horizontal="center"/>
    </xf>
    <xf numFmtId="0" fontId="9" fillId="2" borderId="0" xfId="0" applyFont="1" applyFill="1"/>
    <xf numFmtId="0" fontId="0" fillId="0" borderId="2" xfId="0" applyBorder="1"/>
    <xf numFmtId="0" fontId="11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3" fontId="0" fillId="0" borderId="0" xfId="0" applyNumberFormat="1" applyFill="1" applyAlignment="1">
      <alignment horizontal="center"/>
    </xf>
    <xf numFmtId="2" fontId="0" fillId="0" borderId="2" xfId="0" applyNumberFormat="1" applyBorder="1" applyAlignment="1">
      <alignment horizontal="center"/>
    </xf>
    <xf numFmtId="9" fontId="10" fillId="0" borderId="5" xfId="2" applyFont="1" applyBorder="1" applyAlignment="1">
      <alignment horizontal="center"/>
    </xf>
    <xf numFmtId="3" fontId="10" fillId="0" borderId="5" xfId="0" applyNumberFormat="1" applyFont="1" applyBorder="1" applyAlignment="1">
      <alignment horizontal="center"/>
    </xf>
    <xf numFmtId="0" fontId="10" fillId="0" borderId="3" xfId="0" applyFont="1" applyBorder="1"/>
    <xf numFmtId="0" fontId="10" fillId="0" borderId="4" xfId="0" applyFont="1" applyBorder="1"/>
    <xf numFmtId="2" fontId="7" fillId="0" borderId="0" xfId="0" applyNumberFormat="1" applyFont="1" applyAlignment="1">
      <alignment horizontal="center"/>
    </xf>
    <xf numFmtId="2" fontId="7" fillId="3" borderId="0" xfId="0" applyNumberFormat="1" applyFont="1" applyFill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0" fillId="0" borderId="0" xfId="0" applyAlignment="1">
      <alignment horizontal="right"/>
    </xf>
    <xf numFmtId="168" fontId="1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44" fontId="0" fillId="0" borderId="0" xfId="0" applyNumberFormat="1"/>
    <xf numFmtId="42" fontId="0" fillId="0" borderId="0" xfId="0" applyNumberFormat="1"/>
    <xf numFmtId="42" fontId="13" fillId="0" borderId="0" xfId="0" applyNumberFormat="1" applyFont="1"/>
    <xf numFmtId="2" fontId="12" fillId="0" borderId="0" xfId="0" applyNumberFormat="1" applyFont="1" applyAlignment="1">
      <alignment horizontal="center"/>
    </xf>
    <xf numFmtId="0" fontId="0" fillId="0" borderId="6" xfId="0" applyBorder="1"/>
    <xf numFmtId="44" fontId="0" fillId="0" borderId="7" xfId="0" applyNumberFormat="1" applyBorder="1"/>
    <xf numFmtId="0" fontId="10" fillId="0" borderId="0" xfId="0" applyFont="1" applyAlignment="1">
      <alignment horizontal="left" indent="1"/>
    </xf>
    <xf numFmtId="0" fontId="10" fillId="0" borderId="0" xfId="0" applyFont="1"/>
    <xf numFmtId="44" fontId="10" fillId="0" borderId="0" xfId="0" applyNumberFormat="1" applyFont="1"/>
    <xf numFmtId="170" fontId="0" fillId="0" borderId="6" xfId="0" applyNumberFormat="1" applyBorder="1"/>
    <xf numFmtId="0" fontId="10" fillId="0" borderId="2" xfId="0" applyFont="1" applyBorder="1"/>
  </cellXfs>
  <cellStyles count="3">
    <cellStyle name="Normal" xfId="0" builtinId="0"/>
    <cellStyle name="Normal 2" xfId="1" xr:uid="{F601684D-9C9B-491E-A2DF-47C23DFFD8F2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5"/>
  <sheetViews>
    <sheetView showGridLines="0" workbookViewId="0">
      <selection activeCell="B2" sqref="B2:Q25"/>
    </sheetView>
  </sheetViews>
  <sheetFormatPr defaultRowHeight="14.25" x14ac:dyDescent="0.45"/>
  <cols>
    <col min="1" max="1" width="2.59765625" customWidth="1"/>
    <col min="2" max="2" width="58.265625" bestFit="1" customWidth="1"/>
    <col min="3" max="4" width="1.59765625" customWidth="1"/>
    <col min="5" max="5" width="9.1328125" bestFit="1" customWidth="1"/>
    <col min="6" max="6" width="11.59765625" customWidth="1"/>
    <col min="7" max="7" width="10.86328125" bestFit="1" customWidth="1"/>
    <col min="8" max="8" width="10.19921875" bestFit="1" customWidth="1"/>
    <col min="9" max="9" width="1.59765625" customWidth="1"/>
    <col min="10" max="10" width="10.86328125" bestFit="1" customWidth="1"/>
    <col min="11" max="11" width="9.86328125" bestFit="1" customWidth="1"/>
    <col min="12" max="12" width="10.796875" bestFit="1" customWidth="1"/>
    <col min="13" max="14" width="10.73046875" customWidth="1"/>
    <col min="15" max="15" width="1.59765625" customWidth="1"/>
    <col min="18" max="18" width="1.59765625" customWidth="1"/>
  </cols>
  <sheetData>
    <row r="1" spans="2:18" ht="25.5" x14ac:dyDescent="0.75">
      <c r="B1" s="1" t="s">
        <v>15</v>
      </c>
    </row>
    <row r="2" spans="2:18" x14ac:dyDescent="0.45">
      <c r="B2" s="10"/>
      <c r="C2" s="10"/>
      <c r="D2" s="10"/>
      <c r="E2" s="15" t="s">
        <v>36</v>
      </c>
      <c r="F2" s="15"/>
      <c r="G2" s="15"/>
      <c r="H2" s="15"/>
      <c r="I2" s="11"/>
      <c r="J2" s="15" t="s">
        <v>0</v>
      </c>
      <c r="K2" s="15"/>
      <c r="L2" s="15"/>
      <c r="M2" s="15"/>
      <c r="N2" s="15"/>
      <c r="O2" s="10"/>
      <c r="P2" s="15" t="s">
        <v>1</v>
      </c>
      <c r="Q2" s="15"/>
      <c r="R2" s="12"/>
    </row>
    <row r="3" spans="2:18" x14ac:dyDescent="0.45">
      <c r="B3" s="10" t="s">
        <v>2</v>
      </c>
      <c r="C3" s="10"/>
      <c r="D3" s="11"/>
      <c r="E3" s="10"/>
      <c r="F3" s="10"/>
      <c r="G3" s="10"/>
      <c r="H3" s="10" t="s">
        <v>3</v>
      </c>
      <c r="I3" s="10"/>
      <c r="J3" s="10"/>
      <c r="K3" s="10"/>
      <c r="L3" s="10"/>
      <c r="M3" s="10"/>
      <c r="N3" s="10"/>
      <c r="O3" s="10"/>
      <c r="P3" s="11" t="s">
        <v>4</v>
      </c>
      <c r="Q3" s="11" t="s">
        <v>4</v>
      </c>
      <c r="R3" s="12"/>
    </row>
    <row r="4" spans="2:18" x14ac:dyDescent="0.45">
      <c r="B4" s="10" t="s">
        <v>5</v>
      </c>
      <c r="C4" s="11"/>
      <c r="D4" s="11"/>
      <c r="E4" s="11" t="s">
        <v>6</v>
      </c>
      <c r="F4" s="11" t="s">
        <v>7</v>
      </c>
      <c r="G4" s="11" t="s">
        <v>8</v>
      </c>
      <c r="H4" s="10" t="s">
        <v>9</v>
      </c>
      <c r="I4" s="10"/>
      <c r="J4" s="11" t="s">
        <v>10</v>
      </c>
      <c r="K4" s="11" t="s">
        <v>11</v>
      </c>
      <c r="L4" s="11" t="s">
        <v>12</v>
      </c>
      <c r="M4" s="11" t="s">
        <v>34</v>
      </c>
      <c r="N4" s="11" t="s">
        <v>35</v>
      </c>
      <c r="O4" s="10"/>
      <c r="P4" s="11" t="s">
        <v>13</v>
      </c>
      <c r="Q4" s="11" t="s">
        <v>14</v>
      </c>
      <c r="R4" s="12"/>
    </row>
    <row r="5" spans="2:18" x14ac:dyDescent="0.45">
      <c r="B5" s="2" t="s">
        <v>16</v>
      </c>
      <c r="C5" s="2"/>
      <c r="D5" s="2"/>
      <c r="E5" s="13">
        <v>32.49</v>
      </c>
      <c r="F5" s="3">
        <f>H5*E5</f>
        <v>9402.6059999999998</v>
      </c>
      <c r="G5" s="3">
        <f>F5+M5-N5</f>
        <v>10036.106</v>
      </c>
      <c r="H5" s="27">
        <v>289.39999999999998</v>
      </c>
      <c r="I5" s="13"/>
      <c r="J5" s="13">
        <v>5988.1</v>
      </c>
      <c r="K5" s="13">
        <v>985.3</v>
      </c>
      <c r="L5" s="13">
        <v>1245.5999999999999</v>
      </c>
      <c r="M5" s="13">
        <v>1602.7</v>
      </c>
      <c r="N5" s="13">
        <v>969.2</v>
      </c>
      <c r="O5" s="2"/>
      <c r="P5" s="4">
        <f>$G5/K5</f>
        <v>10.185837815893636</v>
      </c>
      <c r="Q5" s="4">
        <f t="shared" ref="Q5:Q22" si="0">$G5/L5</f>
        <v>8.0572463070006428</v>
      </c>
      <c r="R5" s="2"/>
    </row>
    <row r="6" spans="2:18" x14ac:dyDescent="0.45">
      <c r="B6" s="2" t="s">
        <v>17</v>
      </c>
      <c r="C6" s="2"/>
      <c r="D6" s="2"/>
      <c r="E6" s="13">
        <v>22.17</v>
      </c>
      <c r="F6" s="3">
        <f t="shared" ref="F6:F22" si="1">H6*E6</f>
        <v>3912.4729200000002</v>
      </c>
      <c r="G6" s="3">
        <f t="shared" ref="G6:G22" si="2">F6+M6-N6</f>
        <v>3579.1429200000002</v>
      </c>
      <c r="H6" s="27">
        <v>176.476</v>
      </c>
      <c r="I6" s="13"/>
      <c r="J6" s="13">
        <v>4035.7</v>
      </c>
      <c r="K6" s="13">
        <v>340.7</v>
      </c>
      <c r="L6" s="13">
        <v>509.2</v>
      </c>
      <c r="M6" s="13">
        <v>0</v>
      </c>
      <c r="N6" s="13">
        <v>333.33</v>
      </c>
      <c r="O6" s="2"/>
      <c r="P6" s="4">
        <f t="shared" ref="P6:P22" si="3">$G6/K6</f>
        <v>10.505262459641914</v>
      </c>
      <c r="Q6" s="4">
        <f t="shared" si="0"/>
        <v>7.0289531029065202</v>
      </c>
      <c r="R6" s="2"/>
    </row>
    <row r="7" spans="2:18" x14ac:dyDescent="0.45">
      <c r="B7" s="2" t="s">
        <v>18</v>
      </c>
      <c r="C7" s="2"/>
      <c r="D7" s="2"/>
      <c r="E7" s="13">
        <v>21.14</v>
      </c>
      <c r="F7" s="3">
        <f t="shared" si="1"/>
        <v>9533.3578200000011</v>
      </c>
      <c r="G7" s="3">
        <f t="shared" si="2"/>
        <v>10044.507820000001</v>
      </c>
      <c r="H7" s="27">
        <v>450.96300000000002</v>
      </c>
      <c r="I7" s="13"/>
      <c r="J7" s="13">
        <v>5193.2</v>
      </c>
      <c r="K7" s="13">
        <v>178.9</v>
      </c>
      <c r="L7" s="13">
        <v>360.7</v>
      </c>
      <c r="M7" s="13">
        <v>1299.222</v>
      </c>
      <c r="N7" s="13">
        <v>788.072</v>
      </c>
      <c r="O7" s="2"/>
      <c r="P7" s="4">
        <f t="shared" si="3"/>
        <v>56.145935271101173</v>
      </c>
      <c r="Q7" s="4">
        <f t="shared" si="0"/>
        <v>27.847263154976439</v>
      </c>
      <c r="R7" s="2"/>
    </row>
    <row r="8" spans="2:18" x14ac:dyDescent="0.45">
      <c r="B8" s="2" t="s">
        <v>19</v>
      </c>
      <c r="C8" s="2"/>
      <c r="D8" s="2"/>
      <c r="E8" s="13">
        <v>163.87</v>
      </c>
      <c r="F8" s="3">
        <f t="shared" si="1"/>
        <v>21862.388310000002</v>
      </c>
      <c r="G8" s="3">
        <f t="shared" si="2"/>
        <v>20981.068310000002</v>
      </c>
      <c r="H8" s="27">
        <v>133.41300000000001</v>
      </c>
      <c r="I8" s="13"/>
      <c r="J8" s="13">
        <v>3288.3</v>
      </c>
      <c r="K8" s="13">
        <v>704.4</v>
      </c>
      <c r="L8" s="13">
        <v>826.9</v>
      </c>
      <c r="M8" s="13">
        <v>0</v>
      </c>
      <c r="N8" s="13">
        <v>881.32</v>
      </c>
      <c r="O8" s="2"/>
      <c r="P8" s="4">
        <f t="shared" si="3"/>
        <v>29.785730139125501</v>
      </c>
      <c r="Q8" s="4">
        <f t="shared" si="0"/>
        <v>25.37316278872899</v>
      </c>
      <c r="R8" s="2"/>
    </row>
    <row r="9" spans="2:18" x14ac:dyDescent="0.45">
      <c r="B9" s="2" t="s">
        <v>20</v>
      </c>
      <c r="C9" s="2"/>
      <c r="D9" s="2"/>
      <c r="E9" s="13">
        <v>129.68</v>
      </c>
      <c r="F9" s="3">
        <f t="shared" si="1"/>
        <v>10452.208000000001</v>
      </c>
      <c r="G9" s="3">
        <f t="shared" si="2"/>
        <v>10798.008</v>
      </c>
      <c r="H9" s="27">
        <v>80.599999999999994</v>
      </c>
      <c r="I9" s="13"/>
      <c r="J9" s="13">
        <v>6336.5</v>
      </c>
      <c r="K9" s="13">
        <v>710.7</v>
      </c>
      <c r="L9" s="13">
        <v>984.4</v>
      </c>
      <c r="M9" s="13">
        <v>929.9</v>
      </c>
      <c r="N9" s="13">
        <v>584.1</v>
      </c>
      <c r="O9" s="2"/>
      <c r="P9" s="4">
        <f t="shared" si="3"/>
        <v>15.19348248205994</v>
      </c>
      <c r="Q9" s="4">
        <f t="shared" si="0"/>
        <v>10.969126371393742</v>
      </c>
      <c r="R9" s="2"/>
    </row>
    <row r="10" spans="2:18" x14ac:dyDescent="0.45">
      <c r="B10" s="2" t="s">
        <v>21</v>
      </c>
      <c r="C10" s="2"/>
      <c r="D10" s="2"/>
      <c r="E10" s="13">
        <v>45.75</v>
      </c>
      <c r="F10" s="3">
        <f t="shared" si="1"/>
        <v>6851.7702524999995</v>
      </c>
      <c r="G10" s="3">
        <f t="shared" si="2"/>
        <v>9245.7702524999986</v>
      </c>
      <c r="H10" s="27">
        <v>149.76546999999999</v>
      </c>
      <c r="I10" s="13"/>
      <c r="J10" s="13">
        <v>5073.8999999999996</v>
      </c>
      <c r="K10" s="13">
        <v>912.8</v>
      </c>
      <c r="L10" s="13">
        <v>1130.9000000000001</v>
      </c>
      <c r="M10" s="13">
        <v>2566</v>
      </c>
      <c r="N10" s="13">
        <v>172</v>
      </c>
      <c r="O10" s="2"/>
      <c r="P10" s="4">
        <f t="shared" si="3"/>
        <v>10.129020872589832</v>
      </c>
      <c r="Q10" s="4">
        <f t="shared" si="0"/>
        <v>8.1755860398797395</v>
      </c>
      <c r="R10" s="2"/>
    </row>
    <row r="11" spans="2:18" x14ac:dyDescent="0.45">
      <c r="B11" s="2" t="s">
        <v>22</v>
      </c>
      <c r="C11" s="2"/>
      <c r="D11" s="2"/>
      <c r="E11" s="13">
        <v>27.58</v>
      </c>
      <c r="F11" s="3">
        <f t="shared" si="1"/>
        <v>7612.08</v>
      </c>
      <c r="G11" s="3">
        <f t="shared" si="2"/>
        <v>12037.08</v>
      </c>
      <c r="H11" s="27">
        <v>276</v>
      </c>
      <c r="I11" s="13"/>
      <c r="J11" s="13">
        <v>13237</v>
      </c>
      <c r="K11" s="13">
        <v>1440</v>
      </c>
      <c r="L11" s="13">
        <v>2030</v>
      </c>
      <c r="M11" s="13">
        <v>5838</v>
      </c>
      <c r="N11" s="13">
        <v>1413</v>
      </c>
      <c r="O11" s="2"/>
      <c r="P11" s="4">
        <f t="shared" si="3"/>
        <v>8.3590833333333325</v>
      </c>
      <c r="Q11" s="4">
        <f t="shared" si="0"/>
        <v>5.9295960591133001</v>
      </c>
      <c r="R11" s="2"/>
    </row>
    <row r="12" spans="2:18" x14ac:dyDescent="0.45">
      <c r="B12" s="2" t="s">
        <v>23</v>
      </c>
      <c r="C12" s="2"/>
      <c r="D12" s="2"/>
      <c r="E12" s="13">
        <v>26.18</v>
      </c>
      <c r="F12" s="3">
        <f t="shared" si="1"/>
        <v>10079.299999999999</v>
      </c>
      <c r="G12" s="3">
        <f t="shared" si="2"/>
        <v>10247.299999999999</v>
      </c>
      <c r="H12" s="27">
        <v>385</v>
      </c>
      <c r="I12" s="13"/>
      <c r="J12" s="13">
        <v>16580</v>
      </c>
      <c r="K12" s="13">
        <v>1374</v>
      </c>
      <c r="L12" s="13">
        <v>1952</v>
      </c>
      <c r="M12" s="13">
        <v>1249</v>
      </c>
      <c r="N12" s="13">
        <v>1081</v>
      </c>
      <c r="O12" s="2"/>
      <c r="P12" s="4">
        <f t="shared" si="3"/>
        <v>7.4580058224163022</v>
      </c>
      <c r="Q12" s="4">
        <f t="shared" si="0"/>
        <v>5.2496413934426229</v>
      </c>
      <c r="R12" s="2"/>
    </row>
    <row r="13" spans="2:18" x14ac:dyDescent="0.45">
      <c r="B13" s="2" t="s">
        <v>24</v>
      </c>
      <c r="C13" s="2"/>
      <c r="D13" s="2"/>
      <c r="E13" s="13">
        <v>22.87</v>
      </c>
      <c r="F13" s="3">
        <f t="shared" si="1"/>
        <v>1578.3998079</v>
      </c>
      <c r="G13" s="3">
        <f t="shared" si="2"/>
        <v>2620.9008078999996</v>
      </c>
      <c r="H13" s="27">
        <v>69.016170000000002</v>
      </c>
      <c r="I13" s="13"/>
      <c r="J13" s="13">
        <v>3086.5</v>
      </c>
      <c r="K13" s="13">
        <v>379.8</v>
      </c>
      <c r="L13" s="13">
        <v>490.6</v>
      </c>
      <c r="M13" s="13">
        <v>1175.127</v>
      </c>
      <c r="N13" s="13">
        <v>132.626</v>
      </c>
      <c r="O13" s="2"/>
      <c r="P13" s="4">
        <f t="shared" si="3"/>
        <v>6.9007393572933111</v>
      </c>
      <c r="Q13" s="4">
        <f t="shared" si="0"/>
        <v>5.3422356459437408</v>
      </c>
      <c r="R13" s="2"/>
    </row>
    <row r="14" spans="2:18" x14ac:dyDescent="0.45">
      <c r="B14" s="2" t="s">
        <v>25</v>
      </c>
      <c r="C14" s="2"/>
      <c r="D14" s="2"/>
      <c r="E14" s="13">
        <v>13.62</v>
      </c>
      <c r="F14" s="3">
        <f t="shared" si="1"/>
        <v>5615.5259999999998</v>
      </c>
      <c r="G14" s="3">
        <f t="shared" si="2"/>
        <v>4778.2259999999997</v>
      </c>
      <c r="H14" s="27">
        <v>412.3</v>
      </c>
      <c r="I14" s="13"/>
      <c r="J14" s="13">
        <v>3267.4</v>
      </c>
      <c r="K14" s="13">
        <v>552.70000000000005</v>
      </c>
      <c r="L14" s="13">
        <v>651.9</v>
      </c>
      <c r="M14" s="13">
        <v>37.200000000000003</v>
      </c>
      <c r="N14" s="13">
        <v>874.5</v>
      </c>
      <c r="O14" s="2"/>
      <c r="P14" s="4">
        <f t="shared" si="3"/>
        <v>8.6452433508232307</v>
      </c>
      <c r="Q14" s="4">
        <f t="shared" si="0"/>
        <v>7.3296916705016102</v>
      </c>
      <c r="R14" s="2"/>
    </row>
    <row r="15" spans="2:18" x14ac:dyDescent="0.45">
      <c r="B15" s="2" t="s">
        <v>26</v>
      </c>
      <c r="C15" s="2"/>
      <c r="D15" s="2"/>
      <c r="E15" s="13">
        <v>54.31</v>
      </c>
      <c r="F15" s="3">
        <f t="shared" si="1"/>
        <v>30647.132999999998</v>
      </c>
      <c r="G15" s="3">
        <f t="shared" si="2"/>
        <v>32662.133000000002</v>
      </c>
      <c r="H15" s="27">
        <v>564.29999999999995</v>
      </c>
      <c r="I15" s="13"/>
      <c r="J15" s="13">
        <v>15601.5</v>
      </c>
      <c r="K15" s="13">
        <v>2117.9</v>
      </c>
      <c r="L15" s="13">
        <v>2774</v>
      </c>
      <c r="M15" s="13">
        <v>7075</v>
      </c>
      <c r="N15" s="13">
        <v>5060</v>
      </c>
      <c r="O15" s="2"/>
      <c r="P15" s="4">
        <f t="shared" si="3"/>
        <v>15.421942962368384</v>
      </c>
      <c r="Q15" s="4">
        <f t="shared" si="0"/>
        <v>11.774381038211969</v>
      </c>
      <c r="R15" s="2"/>
    </row>
    <row r="16" spans="2:18" x14ac:dyDescent="0.45">
      <c r="B16" s="2" t="s">
        <v>27</v>
      </c>
      <c r="C16" s="2"/>
      <c r="D16" s="2"/>
      <c r="E16" s="13">
        <v>449.17</v>
      </c>
      <c r="F16" s="3">
        <f t="shared" si="1"/>
        <v>56370.2825209</v>
      </c>
      <c r="G16" s="3">
        <f t="shared" si="2"/>
        <v>63501.482520900005</v>
      </c>
      <c r="H16" s="27">
        <v>125.49876999999999</v>
      </c>
      <c r="I16" s="13"/>
      <c r="J16" s="13">
        <v>16998.599999999999</v>
      </c>
      <c r="K16" s="13">
        <v>5113.8</v>
      </c>
      <c r="L16" s="13">
        <v>5649.4</v>
      </c>
      <c r="M16" s="13">
        <v>9417.1</v>
      </c>
      <c r="N16" s="13">
        <v>2285.9</v>
      </c>
      <c r="O16" s="2"/>
      <c r="P16" s="4">
        <f t="shared" si="3"/>
        <v>12.417670327525519</v>
      </c>
      <c r="Q16" s="4">
        <f t="shared" si="0"/>
        <v>11.240394116348641</v>
      </c>
      <c r="R16" s="2"/>
    </row>
    <row r="17" spans="2:18" x14ac:dyDescent="0.45">
      <c r="B17" s="2" t="s">
        <v>28</v>
      </c>
      <c r="C17" s="2"/>
      <c r="D17" s="2"/>
      <c r="E17" s="13">
        <v>13.37</v>
      </c>
      <c r="F17" s="3">
        <f t="shared" si="1"/>
        <v>2255.4946666000001</v>
      </c>
      <c r="G17" s="3">
        <f t="shared" si="2"/>
        <v>2760.0286666000002</v>
      </c>
      <c r="H17" s="27">
        <v>168.69818000000001</v>
      </c>
      <c r="I17" s="13"/>
      <c r="J17" s="13">
        <v>1474</v>
      </c>
      <c r="K17" s="13">
        <v>160.19999999999999</v>
      </c>
      <c r="L17" s="13">
        <v>232.4</v>
      </c>
      <c r="M17" s="13">
        <v>726.86599999999999</v>
      </c>
      <c r="N17" s="13">
        <v>222.33199999999999</v>
      </c>
      <c r="O17" s="2"/>
      <c r="P17" s="4">
        <f t="shared" si="3"/>
        <v>17.228643362047443</v>
      </c>
      <c r="Q17" s="4">
        <f t="shared" si="0"/>
        <v>11.876199081755594</v>
      </c>
      <c r="R17" s="2"/>
    </row>
    <row r="18" spans="2:18" x14ac:dyDescent="0.45">
      <c r="B18" s="2" t="s">
        <v>29</v>
      </c>
      <c r="C18" s="2"/>
      <c r="D18" s="2"/>
      <c r="E18" s="13">
        <v>193.89</v>
      </c>
      <c r="F18" s="3">
        <f t="shared" si="1"/>
        <v>9985.3349999999991</v>
      </c>
      <c r="G18" s="3">
        <f t="shared" si="2"/>
        <v>8867.3349999999991</v>
      </c>
      <c r="H18" s="27">
        <v>51.5</v>
      </c>
      <c r="I18" s="13"/>
      <c r="J18" s="13">
        <v>8365.4</v>
      </c>
      <c r="K18" s="13">
        <v>1037.2</v>
      </c>
      <c r="L18" s="13">
        <v>1484.7</v>
      </c>
      <c r="M18" s="13">
        <v>121</v>
      </c>
      <c r="N18" s="13">
        <v>1239</v>
      </c>
      <c r="O18" s="2"/>
      <c r="P18" s="4">
        <f t="shared" si="3"/>
        <v>8.5493010026995737</v>
      </c>
      <c r="Q18" s="4">
        <f t="shared" si="0"/>
        <v>5.9724759210614931</v>
      </c>
      <c r="R18" s="2"/>
    </row>
    <row r="19" spans="2:18" x14ac:dyDescent="0.45">
      <c r="B19" s="2" t="s">
        <v>30</v>
      </c>
      <c r="C19" s="2"/>
      <c r="D19" s="2"/>
      <c r="E19" s="13">
        <v>648.76</v>
      </c>
      <c r="F19" s="3">
        <f t="shared" si="1"/>
        <v>67622.35029480001</v>
      </c>
      <c r="G19" s="3">
        <f t="shared" si="2"/>
        <v>64379.85029480001</v>
      </c>
      <c r="H19" s="27">
        <v>104.23323000000001</v>
      </c>
      <c r="I19" s="13"/>
      <c r="J19" s="13">
        <v>7366.7</v>
      </c>
      <c r="K19" s="13">
        <v>2503</v>
      </c>
      <c r="L19" s="13">
        <v>2755.8</v>
      </c>
      <c r="M19" s="13">
        <v>1141.7</v>
      </c>
      <c r="N19" s="13">
        <v>4384.2</v>
      </c>
      <c r="O19" s="2"/>
      <c r="P19" s="4">
        <f t="shared" si="3"/>
        <v>25.721074828126252</v>
      </c>
      <c r="Q19" s="4">
        <f t="shared" si="0"/>
        <v>23.361582950431817</v>
      </c>
      <c r="R19" s="2"/>
    </row>
    <row r="20" spans="2:18" x14ac:dyDescent="0.45">
      <c r="B20" s="2" t="s">
        <v>31</v>
      </c>
      <c r="C20" s="2"/>
      <c r="D20" s="2"/>
      <c r="E20" s="13">
        <v>0.95</v>
      </c>
      <c r="F20" s="3">
        <f t="shared" si="1"/>
        <v>643.56229999999994</v>
      </c>
      <c r="G20" s="3">
        <f t="shared" si="2"/>
        <v>3605.8342999999995</v>
      </c>
      <c r="H20" s="27">
        <v>677.43399999999997</v>
      </c>
      <c r="I20" s="13"/>
      <c r="J20" s="13">
        <v>2422.5</v>
      </c>
      <c r="K20" s="13">
        <v>179.5</v>
      </c>
      <c r="L20" s="13">
        <v>207.9</v>
      </c>
      <c r="M20" s="13">
        <v>3990.598</v>
      </c>
      <c r="N20" s="13">
        <v>1028.326</v>
      </c>
      <c r="O20" s="2"/>
      <c r="P20" s="4">
        <f t="shared" si="3"/>
        <v>20.088213370473536</v>
      </c>
      <c r="Q20" s="4">
        <f t="shared" si="0"/>
        <v>17.344080327080324</v>
      </c>
      <c r="R20" s="2"/>
    </row>
    <row r="21" spans="2:18" x14ac:dyDescent="0.45">
      <c r="B21" s="2" t="s">
        <v>32</v>
      </c>
      <c r="C21" s="2"/>
      <c r="D21" s="2"/>
      <c r="E21" s="13">
        <v>2.84</v>
      </c>
      <c r="F21" s="3">
        <f t="shared" si="1"/>
        <v>7267.06016</v>
      </c>
      <c r="G21" s="3">
        <f t="shared" si="2"/>
        <v>10090.28116</v>
      </c>
      <c r="H21" s="27">
        <v>2558.8240000000001</v>
      </c>
      <c r="I21" s="13"/>
      <c r="J21" s="13">
        <v>3452</v>
      </c>
      <c r="K21" s="13">
        <v>328.3</v>
      </c>
      <c r="L21" s="13">
        <v>551.79999999999995</v>
      </c>
      <c r="M21" s="13">
        <v>3244.29</v>
      </c>
      <c r="N21" s="13">
        <v>421.06900000000002</v>
      </c>
      <c r="O21" s="2"/>
      <c r="P21" s="4">
        <f t="shared" si="3"/>
        <v>30.734941090466037</v>
      </c>
      <c r="Q21" s="4">
        <f t="shared" si="0"/>
        <v>18.286120260964118</v>
      </c>
      <c r="R21" s="2"/>
    </row>
    <row r="22" spans="2:18" x14ac:dyDescent="0.45">
      <c r="B22" s="5" t="s">
        <v>33</v>
      </c>
      <c r="C22" s="5"/>
      <c r="D22" s="5"/>
      <c r="E22" s="14">
        <v>105.55</v>
      </c>
      <c r="F22" s="6">
        <f t="shared" si="1"/>
        <v>12972.094999999999</v>
      </c>
      <c r="G22" s="6">
        <f t="shared" si="2"/>
        <v>13113.594999999999</v>
      </c>
      <c r="H22" s="28">
        <v>122.9</v>
      </c>
      <c r="I22" s="14"/>
      <c r="J22" s="14">
        <v>4442.1000000000004</v>
      </c>
      <c r="K22" s="14">
        <v>775.5</v>
      </c>
      <c r="L22" s="14">
        <v>1004.5</v>
      </c>
      <c r="M22" s="14">
        <v>996.8</v>
      </c>
      <c r="N22" s="14">
        <v>855.30000000000007</v>
      </c>
      <c r="O22" s="5"/>
      <c r="P22" s="7">
        <f t="shared" si="3"/>
        <v>16.909858156028367</v>
      </c>
      <c r="Q22" s="7">
        <f t="shared" si="0"/>
        <v>13.054848183175709</v>
      </c>
      <c r="R22" s="2"/>
    </row>
    <row r="23" spans="2:18" x14ac:dyDescent="0.45">
      <c r="B23" s="8" t="s">
        <v>37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9">
        <f>AVERAGE(P5:P22)</f>
        <v>17.243332555778515</v>
      </c>
      <c r="Q23" s="9">
        <f>AVERAGE(Q5:Q22)</f>
        <v>12.456254689606503</v>
      </c>
      <c r="R23" s="2"/>
    </row>
    <row r="24" spans="2:18" x14ac:dyDescent="0.45">
      <c r="B24" s="8" t="s">
        <v>38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9">
        <f>MEDIAN(P5:P22)</f>
        <v>13.805576404792729</v>
      </c>
      <c r="Q24" s="9">
        <f t="shared" ref="Q24" si="4">MEDIAN(Q5:Q22)</f>
        <v>11.104760243871191</v>
      </c>
      <c r="R24" s="2"/>
    </row>
    <row r="25" spans="2:18" x14ac:dyDescent="0.45">
      <c r="B25" s="8" t="s">
        <v>60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9">
        <f>_xlfn.STDEV.S(P5:P22)</f>
        <v>12.224900554714806</v>
      </c>
      <c r="Q25" s="9">
        <f t="shared" ref="Q25" si="5">_xlfn.STDEV.S(Q5:Q22)</f>
        <v>7.1372158963051993</v>
      </c>
    </row>
  </sheetData>
  <mergeCells count="3">
    <mergeCell ref="E2:H2"/>
    <mergeCell ref="P2:Q2"/>
    <mergeCell ref="J2:N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8204B-6022-49C9-808E-74A53040773A}">
  <dimension ref="A2:U27"/>
  <sheetViews>
    <sheetView showGridLines="0" tabSelected="1" workbookViewId="0">
      <selection activeCell="B2" sqref="B2:U25"/>
    </sheetView>
  </sheetViews>
  <sheetFormatPr defaultRowHeight="14.25" x14ac:dyDescent="0.45"/>
  <cols>
    <col min="1" max="1" width="2.59765625" customWidth="1"/>
    <col min="5" max="6" width="8.3984375" bestFit="1" customWidth="1"/>
    <col min="8" max="8" width="3.59765625" customWidth="1"/>
    <col min="12" max="13" width="9.86328125" bestFit="1" customWidth="1"/>
    <col min="15" max="15" width="3.59765625" customWidth="1"/>
  </cols>
  <sheetData>
    <row r="2" spans="1:21" x14ac:dyDescent="0.45">
      <c r="A2" s="31" t="s">
        <v>48</v>
      </c>
      <c r="B2" s="16" t="s">
        <v>39</v>
      </c>
      <c r="C2" s="16"/>
      <c r="D2" s="16"/>
      <c r="E2" s="16"/>
      <c r="F2" s="16"/>
      <c r="G2" s="16"/>
      <c r="H2" s="16"/>
    </row>
    <row r="3" spans="1:21" x14ac:dyDescent="0.45">
      <c r="B3" s="18" t="s">
        <v>47</v>
      </c>
    </row>
    <row r="4" spans="1:21" x14ac:dyDescent="0.45">
      <c r="B4" t="s">
        <v>41</v>
      </c>
      <c r="D4" s="29">
        <v>122.9</v>
      </c>
    </row>
    <row r="5" spans="1:21" x14ac:dyDescent="0.45">
      <c r="D5" s="19"/>
    </row>
    <row r="6" spans="1:21" x14ac:dyDescent="0.45">
      <c r="B6" s="17" t="s">
        <v>42</v>
      </c>
      <c r="C6" s="17"/>
      <c r="D6" s="30">
        <v>98.55</v>
      </c>
    </row>
    <row r="7" spans="1:21" x14ac:dyDescent="0.45">
      <c r="B7" t="s">
        <v>43</v>
      </c>
      <c r="D7" s="21">
        <f>D4*D6</f>
        <v>12111.795</v>
      </c>
    </row>
    <row r="8" spans="1:21" x14ac:dyDescent="0.45">
      <c r="D8" s="19"/>
    </row>
    <row r="9" spans="1:21" x14ac:dyDescent="0.45">
      <c r="B9" s="17" t="s">
        <v>40</v>
      </c>
      <c r="C9" s="17"/>
      <c r="D9" s="22">
        <f>D10/D4</f>
        <v>117.98209926769731</v>
      </c>
    </row>
    <row r="10" spans="1:21" x14ac:dyDescent="0.45">
      <c r="B10" t="s">
        <v>44</v>
      </c>
      <c r="D10" s="21">
        <v>14500</v>
      </c>
    </row>
    <row r="11" spans="1:21" x14ac:dyDescent="0.45">
      <c r="D11" s="19"/>
    </row>
    <row r="12" spans="1:21" x14ac:dyDescent="0.45">
      <c r="B12" s="25" t="s">
        <v>45</v>
      </c>
      <c r="C12" s="26"/>
      <c r="D12" s="23">
        <f>D10/D7-1</f>
        <v>0.1971801041876946</v>
      </c>
    </row>
    <row r="13" spans="1:21" x14ac:dyDescent="0.45">
      <c r="B13" s="25" t="s">
        <v>46</v>
      </c>
      <c r="C13" s="26"/>
      <c r="D13" s="24">
        <f>D10-D7</f>
        <v>2388.2049999999999</v>
      </c>
    </row>
    <row r="15" spans="1:21" x14ac:dyDescent="0.45">
      <c r="B15" s="16" t="s">
        <v>49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7" spans="2:21" x14ac:dyDescent="0.45">
      <c r="B17" s="44" t="s">
        <v>58</v>
      </c>
      <c r="C17" s="17"/>
      <c r="D17" s="17"/>
      <c r="E17" s="20" t="s">
        <v>13</v>
      </c>
      <c r="F17" s="20" t="s">
        <v>14</v>
      </c>
      <c r="I17" s="44" t="s">
        <v>57</v>
      </c>
      <c r="J17" s="17"/>
      <c r="K17" s="17"/>
      <c r="L17" s="20" t="s">
        <v>13</v>
      </c>
      <c r="M17" s="20" t="s">
        <v>14</v>
      </c>
      <c r="P17" s="44" t="s">
        <v>59</v>
      </c>
      <c r="Q17" s="17"/>
      <c r="R17" s="17"/>
      <c r="S17" s="20" t="s">
        <v>13</v>
      </c>
      <c r="T17" s="20" t="s">
        <v>14</v>
      </c>
    </row>
    <row r="18" spans="2:21" x14ac:dyDescent="0.45">
      <c r="B18" t="s">
        <v>50</v>
      </c>
      <c r="E18" s="32">
        <f>'Trading Multiples'!$P$23+'Trading Multiples'!P25</f>
        <v>29.468233110493323</v>
      </c>
      <c r="F18" s="32">
        <f>'Trading Multiples'!$Q$23+'Trading Multiples'!Q25</f>
        <v>19.593470585911703</v>
      </c>
      <c r="I18" t="s">
        <v>50</v>
      </c>
      <c r="L18" s="32">
        <f>'Trading Multiples'!$P$23</f>
        <v>17.243332555778515</v>
      </c>
      <c r="M18" s="32">
        <f>'Trading Multiples'!$Q$23</f>
        <v>12.456254689606503</v>
      </c>
      <c r="P18" t="s">
        <v>50</v>
      </c>
      <c r="S18" s="32">
        <f>'Trading Multiples'!$P$23-+'Trading Multiples'!P25</f>
        <v>5.0184320010637098</v>
      </c>
      <c r="T18" s="32">
        <f>'Trading Multiples'!$Q$23-+'Trading Multiples'!Q25</f>
        <v>5.3190387933013037</v>
      </c>
    </row>
    <row r="19" spans="2:21" x14ac:dyDescent="0.45">
      <c r="B19" s="33" t="s">
        <v>51</v>
      </c>
      <c r="E19" s="36">
        <f>'Trading Multiples'!$K$22</f>
        <v>775.5</v>
      </c>
      <c r="F19" s="36">
        <f>'Trading Multiples'!$L$22</f>
        <v>1004.5</v>
      </c>
      <c r="I19" s="33" t="s">
        <v>51</v>
      </c>
      <c r="L19" s="36">
        <f>'Trading Multiples'!$K$22</f>
        <v>775.5</v>
      </c>
      <c r="M19" s="36">
        <f>'Trading Multiples'!$L$22</f>
        <v>1004.5</v>
      </c>
      <c r="P19" s="33" t="s">
        <v>51</v>
      </c>
      <c r="S19" s="36">
        <f>'Trading Multiples'!$K$22</f>
        <v>775.5</v>
      </c>
      <c r="T19" s="36">
        <f>'Trading Multiples'!$L$22</f>
        <v>1004.5</v>
      </c>
    </row>
    <row r="20" spans="2:21" x14ac:dyDescent="0.45">
      <c r="B20" t="s">
        <v>53</v>
      </c>
      <c r="E20" s="35">
        <f>E19*E18</f>
        <v>22852.614777187573</v>
      </c>
      <c r="F20" s="35">
        <f>F19*F18</f>
        <v>19681.641203548304</v>
      </c>
      <c r="I20" t="s">
        <v>53</v>
      </c>
      <c r="L20" s="35">
        <f>L19*L18</f>
        <v>13372.204397006239</v>
      </c>
      <c r="M20" s="35">
        <f>M19*M18</f>
        <v>12512.307835709733</v>
      </c>
      <c r="P20" t="s">
        <v>53</v>
      </c>
      <c r="S20" s="35">
        <f>S19*S18</f>
        <v>3891.794016824907</v>
      </c>
      <c r="T20" s="35">
        <f>T19*T18</f>
        <v>5342.9744678711595</v>
      </c>
    </row>
    <row r="21" spans="2:21" x14ac:dyDescent="0.45">
      <c r="B21" t="s">
        <v>54</v>
      </c>
      <c r="E21" s="37">
        <f>'Trading Multiples'!$M$22</f>
        <v>996.8</v>
      </c>
      <c r="F21" s="37"/>
      <c r="I21" t="s">
        <v>54</v>
      </c>
      <c r="L21" s="37">
        <f>'Trading Multiples'!$M$22</f>
        <v>996.8</v>
      </c>
      <c r="M21" s="37"/>
      <c r="P21" t="s">
        <v>54</v>
      </c>
      <c r="S21" s="37">
        <f>'Trading Multiples'!$M$22</f>
        <v>996.8</v>
      </c>
      <c r="T21" s="37"/>
    </row>
    <row r="22" spans="2:21" x14ac:dyDescent="0.45">
      <c r="B22" t="s">
        <v>55</v>
      </c>
      <c r="E22" s="37">
        <f>'Trading Multiples'!$N$22</f>
        <v>855.30000000000007</v>
      </c>
      <c r="F22" s="37"/>
      <c r="I22" t="s">
        <v>55</v>
      </c>
      <c r="L22" s="37">
        <f>'Trading Multiples'!$N$22</f>
        <v>855.30000000000007</v>
      </c>
      <c r="M22" s="37"/>
      <c r="P22" t="s">
        <v>55</v>
      </c>
      <c r="S22" s="37">
        <f>'Trading Multiples'!$N$22</f>
        <v>855.30000000000007</v>
      </c>
      <c r="T22" s="37"/>
    </row>
    <row r="23" spans="2:21" ht="14.65" thickBot="1" x14ac:dyDescent="0.5">
      <c r="B23" s="38" t="s">
        <v>52</v>
      </c>
      <c r="C23" s="38"/>
      <c r="D23" s="38"/>
      <c r="E23" s="43">
        <f>E20-$L$21+$L$22</f>
        <v>22711.114777187573</v>
      </c>
      <c r="F23" s="43">
        <f>F20-$L$21+$L$22</f>
        <v>19540.141203548304</v>
      </c>
      <c r="I23" s="38" t="s">
        <v>52</v>
      </c>
      <c r="J23" s="38"/>
      <c r="K23" s="38"/>
      <c r="L23" s="43">
        <f>L20-$L$21+$L$22</f>
        <v>13230.704397006239</v>
      </c>
      <c r="M23" s="43">
        <f>M20-$L$21+$L$22</f>
        <v>12370.807835709733</v>
      </c>
      <c r="P23" s="38" t="s">
        <v>52</v>
      </c>
      <c r="Q23" s="38"/>
      <c r="R23" s="38"/>
      <c r="S23" s="43">
        <f>S20-$L$21+$L$22</f>
        <v>3750.294016824907</v>
      </c>
      <c r="T23" s="43">
        <f>T20-$L$21+$L$22</f>
        <v>5201.4744678711595</v>
      </c>
    </row>
    <row r="24" spans="2:21" ht="14.65" thickTop="1" x14ac:dyDescent="0.45">
      <c r="B24" t="s">
        <v>56</v>
      </c>
      <c r="E24" s="39">
        <f>E23/$D$4</f>
        <v>184.79344814635942</v>
      </c>
      <c r="F24" s="39">
        <f t="shared" ref="F24" si="0">F23/$D$4</f>
        <v>158.99219856426609</v>
      </c>
      <c r="G24" s="17"/>
      <c r="I24" t="s">
        <v>56</v>
      </c>
      <c r="L24" s="39">
        <f>L23/$D$4</f>
        <v>107.6542261758034</v>
      </c>
      <c r="M24" s="39">
        <f t="shared" ref="M24" si="1">M23/$D$4</f>
        <v>100.65750883409058</v>
      </c>
      <c r="N24" s="17"/>
      <c r="P24" t="s">
        <v>56</v>
      </c>
      <c r="S24" s="39">
        <f>S23/$D$4</f>
        <v>30.515004205247411</v>
      </c>
      <c r="T24" s="39">
        <f t="shared" ref="T24" si="2">T23/$D$4</f>
        <v>42.322819103915045</v>
      </c>
      <c r="U24" s="17"/>
    </row>
    <row r="25" spans="2:21" x14ac:dyDescent="0.45">
      <c r="B25" s="40" t="s">
        <v>37</v>
      </c>
      <c r="C25" s="41"/>
      <c r="D25" s="41"/>
      <c r="E25" s="41"/>
      <c r="F25" s="41"/>
      <c r="G25" s="42">
        <f>AVERAGE(E24:F24)</f>
        <v>171.89282335531277</v>
      </c>
      <c r="I25" s="40" t="s">
        <v>37</v>
      </c>
      <c r="J25" s="41"/>
      <c r="K25" s="41"/>
      <c r="L25" s="41"/>
      <c r="M25" s="41"/>
      <c r="N25" s="42">
        <f>AVERAGE(L24:M24)</f>
        <v>104.155867504947</v>
      </c>
      <c r="P25" s="40" t="s">
        <v>37</v>
      </c>
      <c r="Q25" s="41"/>
      <c r="R25" s="41"/>
      <c r="S25" s="41"/>
      <c r="T25" s="41"/>
      <c r="U25" s="42">
        <f>AVERAGE(S24:T24)</f>
        <v>36.41891165458123</v>
      </c>
    </row>
    <row r="27" spans="2:21" x14ac:dyDescent="0.45">
      <c r="B27" s="34"/>
    </row>
  </sheetData>
  <mergeCells count="6">
    <mergeCell ref="L21:M21"/>
    <mergeCell ref="L22:M22"/>
    <mergeCell ref="E21:F21"/>
    <mergeCell ref="E22:F22"/>
    <mergeCell ref="S21:T21"/>
    <mergeCell ref="S22:T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Trading Multiples</vt:lpstr>
      <vt:lpstr>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 Hogan</dc:creator>
  <cp:lastModifiedBy>Theodor Hogan</cp:lastModifiedBy>
  <dcterms:created xsi:type="dcterms:W3CDTF">2015-06-05T18:17:20Z</dcterms:created>
  <dcterms:modified xsi:type="dcterms:W3CDTF">2024-11-09T22:36:40Z</dcterms:modified>
</cp:coreProperties>
</file>