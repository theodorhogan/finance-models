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Courses/Exchange/Futures and Options Markets/RIT/"/>
    </mc:Choice>
  </mc:AlternateContent>
  <xr:revisionPtr revIDLastSave="311" documentId="13_ncr:1_{C303C27D-B668-4ED1-957A-F879DFD51BC9}" xr6:coauthVersionLast="47" xr6:coauthVersionMax="47" xr10:uidLastSave="{40F17D02-041D-4F1A-949A-BD028B2947FD}"/>
  <bookViews>
    <workbookView xWindow="-98" yWindow="-98" windowWidth="21795" windowHeight="12975" activeTab="2" xr2:uid="{00000000-000D-0000-FFFF-FFFF00000000}"/>
  </bookViews>
  <sheets>
    <sheet name="Market Data Sheet" sheetId="1" r:id="rId1"/>
    <sheet name="Summary Table" sheetId="2" r:id="rId2"/>
    <sheet name="Notes" sheetId="3" r:id="rId3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41018.0058449074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3" l="1"/>
  <c r="P33" i="3"/>
  <c r="P35" i="3" s="1"/>
  <c r="M33" i="3"/>
  <c r="M34" i="3"/>
  <c r="M23" i="3"/>
  <c r="M22" i="3"/>
  <c r="T8" i="3"/>
  <c r="S8" i="3"/>
  <c r="R8" i="3"/>
  <c r="T7" i="3"/>
  <c r="T9" i="3" s="1"/>
  <c r="T10" i="3" s="1"/>
  <c r="S7" i="3"/>
  <c r="S9" i="3" s="1"/>
  <c r="S10" i="3" s="1"/>
  <c r="R7" i="3"/>
  <c r="R9" i="3" s="1"/>
  <c r="D8" i="3"/>
  <c r="D7" i="3"/>
  <c r="D9" i="3"/>
  <c r="D10" i="3" s="1"/>
  <c r="F22" i="2"/>
  <c r="A22" i="2" s="1"/>
  <c r="F21" i="2"/>
  <c r="A21" i="2" s="1"/>
  <c r="F20" i="2"/>
  <c r="A20" i="2" s="1"/>
  <c r="F19" i="2"/>
  <c r="A19" i="2" s="1"/>
  <c r="F18" i="2"/>
  <c r="A18" i="2" s="1"/>
  <c r="F17" i="2"/>
  <c r="A17" i="2" s="1"/>
  <c r="F16" i="2"/>
  <c r="A16" i="2" s="1"/>
  <c r="F15" i="2"/>
  <c r="A15" i="2" s="1"/>
  <c r="F14" i="2"/>
  <c r="A14" i="2" s="1"/>
  <c r="F13" i="2"/>
  <c r="A13" i="2" s="1"/>
  <c r="F12" i="2"/>
  <c r="A12" i="2" s="1"/>
  <c r="F11" i="2"/>
  <c r="A11" i="2" s="1"/>
  <c r="F10" i="2"/>
  <c r="A10" i="2" s="1"/>
  <c r="C36" i="1"/>
  <c r="F17" i="1"/>
  <c r="F32" i="1"/>
  <c r="F38" i="1"/>
  <c r="D46" i="1"/>
  <c r="C60" i="1"/>
  <c r="B49" i="1"/>
  <c r="B11" i="1"/>
  <c r="F28" i="1"/>
  <c r="C9" i="1"/>
  <c r="D43" i="1"/>
  <c r="D31" i="1"/>
  <c r="F58" i="1"/>
  <c r="F50" i="1"/>
  <c r="F34" i="1"/>
  <c r="E44" i="1"/>
  <c r="E41" i="1"/>
  <c r="C38" i="1"/>
  <c r="F41" i="1"/>
  <c r="B38" i="1"/>
  <c r="C55" i="1"/>
  <c r="F27" i="1"/>
  <c r="B18" i="1"/>
  <c r="E46" i="1"/>
  <c r="D6" i="1"/>
  <c r="D32" i="1"/>
  <c r="E58" i="1"/>
  <c r="D50" i="1"/>
  <c r="D41" i="1"/>
  <c r="F47" i="1"/>
  <c r="C27" i="1"/>
  <c r="E59" i="1"/>
  <c r="B47" i="1"/>
  <c r="B34" i="1"/>
  <c r="B6" i="1"/>
  <c r="B19" i="1"/>
  <c r="C50" i="1"/>
  <c r="C6" i="1"/>
  <c r="C48" i="1"/>
  <c r="F19" i="1"/>
  <c r="E28" i="1"/>
  <c r="E47" i="1"/>
  <c r="E45" i="1"/>
  <c r="F30" i="1"/>
  <c r="F36" i="1"/>
  <c r="C25" i="1"/>
  <c r="E26" i="1"/>
  <c r="C13" i="1"/>
  <c r="B46" i="1"/>
  <c r="E54" i="1"/>
  <c r="F16" i="1"/>
  <c r="D15" i="1"/>
  <c r="E51" i="1"/>
  <c r="D30" i="1"/>
  <c r="E40" i="1"/>
  <c r="E57" i="1"/>
  <c r="F18" i="1"/>
  <c r="B33" i="1"/>
  <c r="B39" i="1"/>
  <c r="E25" i="1"/>
  <c r="C21" i="1"/>
  <c r="F33" i="1"/>
  <c r="B16" i="1"/>
  <c r="D29" i="1"/>
  <c r="B9" i="1"/>
  <c r="F11" i="1"/>
  <c r="C20" i="1"/>
  <c r="E30" i="1"/>
  <c r="C29" i="1"/>
  <c r="E53" i="1"/>
  <c r="B44" i="1"/>
  <c r="F57" i="1"/>
  <c r="B29" i="1"/>
  <c r="D49" i="1"/>
  <c r="C19" i="1"/>
  <c r="F53" i="1"/>
  <c r="D54" i="1"/>
  <c r="C18" i="1"/>
  <c r="B52" i="1"/>
  <c r="C58" i="1"/>
  <c r="D19" i="1"/>
  <c r="C47" i="1"/>
  <c r="C10" i="1"/>
  <c r="E21" i="1"/>
  <c r="F52" i="1"/>
  <c r="F37" i="1"/>
  <c r="F35" i="1"/>
  <c r="E6" i="1"/>
  <c r="E17" i="1"/>
  <c r="E18" i="1"/>
  <c r="C32" i="1"/>
  <c r="E34" i="1"/>
  <c r="B17" i="1"/>
  <c r="C37" i="1"/>
  <c r="D59" i="1"/>
  <c r="C59" i="1"/>
  <c r="E35" i="1"/>
  <c r="F13" i="1"/>
  <c r="E49" i="1"/>
  <c r="D13" i="1"/>
  <c r="E60" i="1"/>
  <c r="F44" i="1"/>
  <c r="E5" i="1"/>
  <c r="C11" i="1"/>
  <c r="E14" i="1"/>
  <c r="D8" i="1"/>
  <c r="F39" i="1"/>
  <c r="C54" i="1"/>
  <c r="E22" i="1"/>
  <c r="C56" i="1"/>
  <c r="D21" i="1"/>
  <c r="E8" i="1"/>
  <c r="E15" i="1"/>
  <c r="D45" i="1"/>
  <c r="D51" i="1"/>
  <c r="B10" i="1"/>
  <c r="F14" i="1"/>
  <c r="B15" i="1"/>
  <c r="B45" i="1"/>
  <c r="B36" i="1"/>
  <c r="D40" i="1"/>
  <c r="F59" i="1"/>
  <c r="E55" i="1"/>
  <c r="F15" i="1"/>
  <c r="F56" i="1"/>
  <c r="D34" i="1"/>
  <c r="D56" i="1"/>
  <c r="D17" i="1"/>
  <c r="F7" i="1"/>
  <c r="B24" i="1"/>
  <c r="D60" i="1"/>
  <c r="F49" i="1"/>
  <c r="E19" i="1"/>
  <c r="B59" i="1"/>
  <c r="F22" i="1"/>
  <c r="F46" i="1"/>
  <c r="C51" i="1"/>
  <c r="B40" i="1"/>
  <c r="E9" i="1"/>
  <c r="C35" i="1"/>
  <c r="C40" i="1"/>
  <c r="F21" i="1"/>
  <c r="C30" i="1"/>
  <c r="C39" i="1"/>
  <c r="B8" i="1"/>
  <c r="C12" i="1"/>
  <c r="D27" i="1"/>
  <c r="C24" i="1"/>
  <c r="B50" i="1"/>
  <c r="B14" i="1"/>
  <c r="F12" i="1"/>
  <c r="D14" i="1"/>
  <c r="D25" i="1"/>
  <c r="B28" i="1"/>
  <c r="C46" i="1"/>
  <c r="B25" i="1"/>
  <c r="C5" i="1"/>
  <c r="F24" i="1"/>
  <c r="D37" i="1"/>
  <c r="C28" i="1"/>
  <c r="B43" i="1"/>
  <c r="F48" i="1"/>
  <c r="E33" i="1"/>
  <c r="D39" i="1"/>
  <c r="C45" i="1"/>
  <c r="E16" i="1"/>
  <c r="D18" i="1"/>
  <c r="F10" i="1"/>
  <c r="B56" i="1"/>
  <c r="C31" i="1"/>
  <c r="B32" i="1"/>
  <c r="B35" i="1"/>
  <c r="C17" i="1"/>
  <c r="C57" i="1"/>
  <c r="D22" i="1"/>
  <c r="C26" i="1"/>
  <c r="B27" i="1"/>
  <c r="E20" i="1"/>
  <c r="D24" i="1"/>
  <c r="D55" i="1"/>
  <c r="B22" i="1"/>
  <c r="C16" i="1"/>
  <c r="F45" i="1"/>
  <c r="E7" i="1"/>
  <c r="B26" i="1"/>
  <c r="C53" i="1"/>
  <c r="F51" i="1"/>
  <c r="B51" i="1"/>
  <c r="C33" i="1"/>
  <c r="D35" i="1"/>
  <c r="E56" i="1"/>
  <c r="D57" i="1"/>
  <c r="F5" i="1"/>
  <c r="E12" i="1"/>
  <c r="F26" i="1"/>
  <c r="E31" i="1"/>
  <c r="E48" i="1"/>
  <c r="E11" i="1"/>
  <c r="B12" i="1"/>
  <c r="C43" i="1"/>
  <c r="B60" i="1"/>
  <c r="D5" i="1"/>
  <c r="B53" i="1"/>
  <c r="F31" i="1"/>
  <c r="D26" i="1"/>
  <c r="E27" i="1"/>
  <c r="D52" i="1"/>
  <c r="B48" i="1"/>
  <c r="F29" i="1"/>
  <c r="B5" i="1"/>
  <c r="D7" i="1"/>
  <c r="D48" i="1"/>
  <c r="D36" i="1"/>
  <c r="D12" i="1"/>
  <c r="C34" i="1"/>
  <c r="C15" i="1"/>
  <c r="B54" i="1"/>
  <c r="F25" i="1"/>
  <c r="F8" i="1"/>
  <c r="F55" i="1"/>
  <c r="B7" i="1"/>
  <c r="F20" i="1"/>
  <c r="E52" i="1"/>
  <c r="D33" i="1"/>
  <c r="B57" i="1"/>
  <c r="B37" i="1"/>
  <c r="F54" i="1"/>
  <c r="E38" i="1"/>
  <c r="C8" i="1"/>
  <c r="E29" i="1"/>
  <c r="C7" i="1"/>
  <c r="D47" i="1"/>
  <c r="C44" i="1"/>
  <c r="B41" i="1"/>
  <c r="B55" i="1"/>
  <c r="B21" i="1"/>
  <c r="E24" i="1"/>
  <c r="F40" i="1"/>
  <c r="D10" i="1"/>
  <c r="F9" i="1"/>
  <c r="B30" i="1"/>
  <c r="F6" i="1"/>
  <c r="D58" i="1"/>
  <c r="B2" i="2"/>
  <c r="E37" i="1"/>
  <c r="B13" i="1"/>
  <c r="D38" i="1"/>
  <c r="F43" i="1"/>
  <c r="C22" i="1"/>
  <c r="B31" i="1"/>
  <c r="D28" i="1"/>
  <c r="C52" i="1"/>
  <c r="F60" i="1"/>
  <c r="B20" i="1"/>
  <c r="C49" i="1"/>
  <c r="C41" i="1"/>
  <c r="D16" i="1"/>
  <c r="D9" i="1"/>
  <c r="E39" i="1"/>
  <c r="E36" i="1"/>
  <c r="D53" i="1"/>
  <c r="E13" i="1"/>
  <c r="E50" i="1"/>
  <c r="E32" i="1"/>
  <c r="D11" i="1"/>
  <c r="C14" i="1"/>
  <c r="E10" i="1"/>
  <c r="B58" i="1"/>
  <c r="D44" i="1"/>
  <c r="D20" i="1"/>
  <c r="E43" i="1"/>
  <c r="M35" i="3" l="1"/>
  <c r="M24" i="3"/>
  <c r="U9" i="3"/>
  <c r="U10" i="3" s="1"/>
  <c r="R10" i="3"/>
  <c r="G4" i="2" a="1"/>
  <c r="Y4" i="2" a="1"/>
  <c r="AQ4" i="2" a="1"/>
  <c r="G5" i="2" a="1"/>
  <c r="AQ5" i="2" a="1"/>
  <c r="Y5" i="2" a="1"/>
  <c r="G5" i="2" l="1"/>
  <c r="K5" i="2"/>
  <c r="S5" i="2"/>
  <c r="O5" i="2"/>
  <c r="N5" i="2"/>
  <c r="I5" i="2"/>
  <c r="Q5" i="2"/>
  <c r="H5" i="2"/>
  <c r="P5" i="2"/>
  <c r="X5" i="2"/>
  <c r="J5" i="2"/>
  <c r="R5" i="2"/>
  <c r="W5" i="2"/>
  <c r="V5" i="2"/>
  <c r="M5" i="2"/>
  <c r="U5" i="2"/>
  <c r="L5" i="2"/>
  <c r="T5" i="2"/>
  <c r="Y4" i="2"/>
  <c r="AG4" i="2"/>
  <c r="AO4" i="2"/>
  <c r="AF4" i="2"/>
  <c r="AN4" i="2"/>
  <c r="AE4" i="2"/>
  <c r="AM4" i="2"/>
  <c r="AD4" i="2"/>
  <c r="AL4" i="2"/>
  <c r="AC4" i="2"/>
  <c r="AK4" i="2"/>
  <c r="AB4" i="2"/>
  <c r="AJ4" i="2"/>
  <c r="AA4" i="2"/>
  <c r="AI4" i="2"/>
  <c r="Z4" i="2"/>
  <c r="AH4" i="2"/>
  <c r="AP4" i="2"/>
  <c r="Y5" i="2"/>
  <c r="AB5" i="2"/>
  <c r="AJ5" i="2"/>
  <c r="AO5" i="2"/>
  <c r="AN5" i="2"/>
  <c r="AE5" i="2"/>
  <c r="AM5" i="2"/>
  <c r="AD5" i="2"/>
  <c r="AL5" i="2"/>
  <c r="AC5" i="2"/>
  <c r="AK5" i="2"/>
  <c r="AG5" i="2"/>
  <c r="AF5" i="2"/>
  <c r="AA5" i="2"/>
  <c r="AI5" i="2"/>
  <c r="Z5" i="2"/>
  <c r="AH5" i="2"/>
  <c r="AP5" i="2"/>
  <c r="AQ5" i="2"/>
  <c r="AU5" i="2"/>
  <c r="BC5" i="2"/>
  <c r="AY5" i="2"/>
  <c r="AX5" i="2"/>
  <c r="AS5" i="2"/>
  <c r="BA5" i="2"/>
  <c r="AR5" i="2"/>
  <c r="AZ5" i="2"/>
  <c r="BH5" i="2"/>
  <c r="AT5" i="2"/>
  <c r="BB5" i="2"/>
  <c r="BG5" i="2"/>
  <c r="BF5" i="2"/>
  <c r="AW5" i="2"/>
  <c r="BE5" i="2"/>
  <c r="AV5" i="2"/>
  <c r="BD5" i="2"/>
  <c r="AQ4" i="2"/>
  <c r="AU4" i="2"/>
  <c r="BC4" i="2"/>
  <c r="AY4" i="2"/>
  <c r="AX4" i="2"/>
  <c r="AS4" i="2"/>
  <c r="BA4" i="2"/>
  <c r="AR4" i="2"/>
  <c r="AZ4" i="2"/>
  <c r="BH4" i="2"/>
  <c r="AT4" i="2"/>
  <c r="BB4" i="2"/>
  <c r="BG4" i="2"/>
  <c r="BF4" i="2"/>
  <c r="AW4" i="2"/>
  <c r="BE4" i="2"/>
  <c r="AV4" i="2"/>
  <c r="BD4" i="2"/>
  <c r="G4" i="2"/>
  <c r="K4" i="2"/>
  <c r="S4" i="2"/>
  <c r="J4" i="2"/>
  <c r="R4" i="2"/>
  <c r="I4" i="2"/>
  <c r="Q4" i="2"/>
  <c r="H4" i="2"/>
  <c r="P4" i="2"/>
  <c r="X4" i="2"/>
  <c r="O4" i="2"/>
  <c r="W4" i="2"/>
  <c r="N4" i="2"/>
  <c r="V4" i="2"/>
  <c r="M4" i="2"/>
  <c r="U4" i="2"/>
  <c r="L4" i="2"/>
  <c r="T4" i="2"/>
  <c r="M21" i="2" l="1"/>
  <c r="M19" i="2"/>
  <c r="M17" i="2"/>
  <c r="M15" i="2"/>
  <c r="M13" i="2"/>
  <c r="M11" i="2"/>
  <c r="M22" i="2"/>
  <c r="M20" i="2"/>
  <c r="M18" i="2"/>
  <c r="M16" i="2"/>
  <c r="M14" i="2"/>
  <c r="M12" i="2"/>
  <c r="M10" i="2"/>
  <c r="N22" i="2"/>
  <c r="N20" i="2"/>
  <c r="N18" i="2"/>
  <c r="N16" i="2"/>
  <c r="N14" i="2"/>
  <c r="N12" i="2"/>
  <c r="N10" i="2"/>
  <c r="N21" i="2"/>
  <c r="N19" i="2"/>
  <c r="N17" i="2"/>
  <c r="N15" i="2"/>
  <c r="N13" i="2"/>
  <c r="N11" i="2"/>
  <c r="O21" i="2"/>
  <c r="O19" i="2"/>
  <c r="O15" i="2"/>
  <c r="O11" i="2"/>
  <c r="O22" i="2"/>
  <c r="O20" i="2"/>
  <c r="O18" i="2"/>
  <c r="O16" i="2"/>
  <c r="O14" i="2"/>
  <c r="O12" i="2"/>
  <c r="O10" i="2"/>
  <c r="O17" i="2"/>
  <c r="O13" i="2"/>
  <c r="P22" i="2"/>
  <c r="P20" i="2"/>
  <c r="P18" i="2"/>
  <c r="P16" i="2"/>
  <c r="P14" i="2"/>
  <c r="P12" i="2"/>
  <c r="P10" i="2"/>
  <c r="P21" i="2"/>
  <c r="P19" i="2"/>
  <c r="P17" i="2"/>
  <c r="P15" i="2"/>
  <c r="P13" i="2"/>
  <c r="P11" i="2"/>
  <c r="Q22" i="2"/>
  <c r="Q20" i="2"/>
  <c r="Q18" i="2"/>
  <c r="Q16" i="2"/>
  <c r="Q14" i="2"/>
  <c r="Q12" i="2"/>
  <c r="Q10" i="2"/>
  <c r="Q21" i="2"/>
  <c r="Q19" i="2"/>
  <c r="Q17" i="2"/>
  <c r="Q15" i="2"/>
  <c r="Q13" i="2"/>
  <c r="Q11" i="2"/>
  <c r="S22" i="2"/>
  <c r="S20" i="2"/>
  <c r="S18" i="2"/>
  <c r="S16" i="2"/>
  <c r="S14" i="2"/>
  <c r="S12" i="2"/>
  <c r="S10" i="2"/>
  <c r="S21" i="2"/>
  <c r="S19" i="2"/>
  <c r="S17" i="2"/>
  <c r="S15" i="2"/>
  <c r="S13" i="2"/>
  <c r="S11" i="2"/>
  <c r="G22" i="2"/>
  <c r="G18" i="2"/>
  <c r="G14" i="2"/>
  <c r="G21" i="2"/>
  <c r="G17" i="2"/>
  <c r="G13" i="2"/>
  <c r="G10" i="2"/>
  <c r="G20" i="2"/>
  <c r="G16" i="2"/>
  <c r="G12" i="2"/>
  <c r="G19" i="2"/>
  <c r="G15" i="2"/>
  <c r="G11" i="2"/>
  <c r="B23" i="2"/>
  <c r="AV22" i="2"/>
  <c r="AV21" i="2"/>
  <c r="AV18" i="2"/>
  <c r="AV14" i="2"/>
  <c r="AV15" i="2"/>
  <c r="AV11" i="2"/>
  <c r="AV10" i="2"/>
  <c r="AV20" i="2"/>
  <c r="AV19" i="2"/>
  <c r="AV16" i="2"/>
  <c r="AV17" i="2"/>
  <c r="AV13" i="2"/>
  <c r="AV12" i="2"/>
  <c r="BG21" i="2"/>
  <c r="BG22" i="2"/>
  <c r="BG18" i="2"/>
  <c r="BG15" i="2"/>
  <c r="BG14" i="2"/>
  <c r="BG10" i="2"/>
  <c r="BG11" i="2"/>
  <c r="BG19" i="2"/>
  <c r="BG20" i="2"/>
  <c r="BG17" i="2"/>
  <c r="BG16" i="2"/>
  <c r="BG12" i="2"/>
  <c r="BG13" i="2"/>
  <c r="AT22" i="2"/>
  <c r="AT21" i="2"/>
  <c r="AT18" i="2"/>
  <c r="AT17" i="2"/>
  <c r="AT13" i="2"/>
  <c r="AT14" i="2"/>
  <c r="AT10" i="2"/>
  <c r="AT20" i="2"/>
  <c r="AT19" i="2"/>
  <c r="AT16" i="2"/>
  <c r="AT15" i="2"/>
  <c r="AT11" i="2"/>
  <c r="AT12" i="2"/>
  <c r="BA19" i="2"/>
  <c r="BA20" i="2"/>
  <c r="BA15" i="2"/>
  <c r="BA16" i="2"/>
  <c r="BA12" i="2"/>
  <c r="BA13" i="2"/>
  <c r="BA21" i="2"/>
  <c r="BA22" i="2"/>
  <c r="BA17" i="2"/>
  <c r="BA18" i="2"/>
  <c r="BA14" i="2"/>
  <c r="BA10" i="2"/>
  <c r="BA11" i="2"/>
  <c r="AX20" i="2"/>
  <c r="AX19" i="2"/>
  <c r="AX16" i="2"/>
  <c r="AX17" i="2"/>
  <c r="AX13" i="2"/>
  <c r="AX12" i="2"/>
  <c r="AX22" i="2"/>
  <c r="AX21" i="2"/>
  <c r="AX18" i="2"/>
  <c r="AX14" i="2"/>
  <c r="AX15" i="2"/>
  <c r="AX11" i="2"/>
  <c r="AX10" i="2"/>
  <c r="T20" i="2"/>
  <c r="T19" i="2"/>
  <c r="T16" i="2"/>
  <c r="T15" i="2"/>
  <c r="T11" i="2"/>
  <c r="T12" i="2"/>
  <c r="T22" i="2"/>
  <c r="T21" i="2"/>
  <c r="T18" i="2"/>
  <c r="T17" i="2"/>
  <c r="T13" i="2"/>
  <c r="T14" i="2"/>
  <c r="T10" i="2"/>
  <c r="U21" i="2"/>
  <c r="U22" i="2"/>
  <c r="U17" i="2"/>
  <c r="U18" i="2"/>
  <c r="U14" i="2"/>
  <c r="U10" i="2"/>
  <c r="U11" i="2"/>
  <c r="U19" i="2"/>
  <c r="U20" i="2"/>
  <c r="U15" i="2"/>
  <c r="U16" i="2"/>
  <c r="U12" i="2"/>
  <c r="U13" i="2"/>
  <c r="V20" i="2"/>
  <c r="V19" i="2"/>
  <c r="V16" i="2"/>
  <c r="V15" i="2"/>
  <c r="V11" i="2"/>
  <c r="V12" i="2"/>
  <c r="V22" i="2"/>
  <c r="V21" i="2"/>
  <c r="V18" i="2"/>
  <c r="V17" i="2"/>
  <c r="V13" i="2"/>
  <c r="V14" i="2"/>
  <c r="V10" i="2"/>
  <c r="W21" i="2"/>
  <c r="W22" i="2"/>
  <c r="W17" i="2"/>
  <c r="W18" i="2"/>
  <c r="W14" i="2"/>
  <c r="W10" i="2"/>
  <c r="W11" i="2"/>
  <c r="W19" i="2"/>
  <c r="W20" i="2"/>
  <c r="W15" i="2"/>
  <c r="W16" i="2"/>
  <c r="W12" i="2"/>
  <c r="W13" i="2"/>
  <c r="X22" i="2"/>
  <c r="X21" i="2"/>
  <c r="X18" i="2"/>
  <c r="X17" i="2"/>
  <c r="X13" i="2"/>
  <c r="X14" i="2"/>
  <c r="X10" i="2"/>
  <c r="X20" i="2"/>
  <c r="X19" i="2"/>
  <c r="X16" i="2"/>
  <c r="X15" i="2"/>
  <c r="X11" i="2"/>
  <c r="X12" i="2"/>
  <c r="H21" i="2"/>
  <c r="H19" i="2"/>
  <c r="H17" i="2"/>
  <c r="H15" i="2"/>
  <c r="H13" i="2"/>
  <c r="H11" i="2"/>
  <c r="H22" i="2"/>
  <c r="H20" i="2"/>
  <c r="H18" i="2"/>
  <c r="H16" i="2"/>
  <c r="H14" i="2"/>
  <c r="H12" i="2"/>
  <c r="H10" i="2"/>
  <c r="I21" i="2"/>
  <c r="I19" i="2"/>
  <c r="I17" i="2"/>
  <c r="I15" i="2"/>
  <c r="I13" i="2"/>
  <c r="I11" i="2"/>
  <c r="I22" i="2"/>
  <c r="I20" i="2"/>
  <c r="I18" i="2"/>
  <c r="I16" i="2"/>
  <c r="I14" i="2"/>
  <c r="I12" i="2"/>
  <c r="I10" i="2"/>
  <c r="J21" i="2"/>
  <c r="J19" i="2"/>
  <c r="J17" i="2"/>
  <c r="J15" i="2"/>
  <c r="J13" i="2"/>
  <c r="J11" i="2"/>
  <c r="J22" i="2"/>
  <c r="J20" i="2"/>
  <c r="J18" i="2"/>
  <c r="J16" i="2"/>
  <c r="J14" i="2"/>
  <c r="J12" i="2"/>
  <c r="J10" i="2"/>
  <c r="K21" i="2"/>
  <c r="K19" i="2"/>
  <c r="K17" i="2"/>
  <c r="K15" i="2"/>
  <c r="K13" i="2"/>
  <c r="K11" i="2"/>
  <c r="K22" i="2"/>
  <c r="K20" i="2"/>
  <c r="K18" i="2"/>
  <c r="K16" i="2"/>
  <c r="K14" i="2"/>
  <c r="K12" i="2"/>
  <c r="K10" i="2"/>
  <c r="BD20" i="2"/>
  <c r="BD21" i="2"/>
  <c r="BD16" i="2"/>
  <c r="BD17" i="2"/>
  <c r="BD13" i="2"/>
  <c r="BD12" i="2"/>
  <c r="BD22" i="2"/>
  <c r="BD18" i="2"/>
  <c r="BD19" i="2"/>
  <c r="BD14" i="2"/>
  <c r="BD15" i="2"/>
  <c r="BD11" i="2"/>
  <c r="BD10" i="2"/>
  <c r="BE19" i="2"/>
  <c r="BE20" i="2"/>
  <c r="BE17" i="2"/>
  <c r="BE16" i="2"/>
  <c r="BE12" i="2"/>
  <c r="BE13" i="2"/>
  <c r="BE21" i="2"/>
  <c r="BE22" i="2"/>
  <c r="BE18" i="2"/>
  <c r="BE15" i="2"/>
  <c r="BE14" i="2"/>
  <c r="BE10" i="2"/>
  <c r="BE11" i="2"/>
  <c r="BF20" i="2"/>
  <c r="BF21" i="2"/>
  <c r="BF16" i="2"/>
  <c r="BF17" i="2"/>
  <c r="BF13" i="2"/>
  <c r="BF12" i="2"/>
  <c r="BF22" i="2"/>
  <c r="BF18" i="2"/>
  <c r="BF19" i="2"/>
  <c r="BF14" i="2"/>
  <c r="BF15" i="2"/>
  <c r="BF11" i="2"/>
  <c r="BF10" i="2"/>
  <c r="BB20" i="2"/>
  <c r="BB19" i="2"/>
  <c r="BB16" i="2"/>
  <c r="BB17" i="2"/>
  <c r="BB13" i="2"/>
  <c r="BB12" i="2"/>
  <c r="BB22" i="2"/>
  <c r="BB21" i="2"/>
  <c r="BB18" i="2"/>
  <c r="BB14" i="2"/>
  <c r="BB15" i="2"/>
  <c r="BB11" i="2"/>
  <c r="BB10" i="2"/>
  <c r="BH22" i="2"/>
  <c r="BH18" i="2"/>
  <c r="BH19" i="2"/>
  <c r="BH14" i="2"/>
  <c r="BH15" i="2"/>
  <c r="BH11" i="2"/>
  <c r="BH10" i="2"/>
  <c r="BH20" i="2"/>
  <c r="BH21" i="2"/>
  <c r="BH16" i="2"/>
  <c r="BH17" i="2"/>
  <c r="BH13" i="2"/>
  <c r="BH12" i="2"/>
  <c r="AR22" i="2"/>
  <c r="AR21" i="2"/>
  <c r="AR18" i="2"/>
  <c r="AR17" i="2"/>
  <c r="AR13" i="2"/>
  <c r="AR14" i="2"/>
  <c r="AR10" i="2"/>
  <c r="AR20" i="2"/>
  <c r="AR19" i="2"/>
  <c r="AR16" i="2"/>
  <c r="AR15" i="2"/>
  <c r="AR11" i="2"/>
  <c r="AR12" i="2"/>
  <c r="AS21" i="2"/>
  <c r="AS22" i="2"/>
  <c r="AS17" i="2"/>
  <c r="AS18" i="2"/>
  <c r="AS14" i="2"/>
  <c r="AS10" i="2"/>
  <c r="AS11" i="2"/>
  <c r="AS19" i="2"/>
  <c r="AS20" i="2"/>
  <c r="AS15" i="2"/>
  <c r="AS16" i="2"/>
  <c r="AS12" i="2"/>
  <c r="AS13" i="2"/>
  <c r="AY21" i="2"/>
  <c r="AY22" i="2"/>
  <c r="AY17" i="2"/>
  <c r="AY18" i="2"/>
  <c r="AY14" i="2"/>
  <c r="AY10" i="2"/>
  <c r="AY11" i="2"/>
  <c r="AY19" i="2"/>
  <c r="AY20" i="2"/>
  <c r="AY15" i="2"/>
  <c r="AY16" i="2"/>
  <c r="AY12" i="2"/>
  <c r="AY13" i="2"/>
  <c r="AU21" i="2"/>
  <c r="AU22" i="2"/>
  <c r="AU17" i="2"/>
  <c r="AU18" i="2"/>
  <c r="AU14" i="2"/>
  <c r="AU10" i="2"/>
  <c r="AU11" i="2"/>
  <c r="AU19" i="2"/>
  <c r="AU20" i="2"/>
  <c r="AU15" i="2"/>
  <c r="AU16" i="2"/>
  <c r="AU12" i="2"/>
  <c r="AU13" i="2"/>
  <c r="AP20" i="2"/>
  <c r="AP19" i="2"/>
  <c r="AP16" i="2"/>
  <c r="AP15" i="2"/>
  <c r="AP11" i="2"/>
  <c r="AP12" i="2"/>
  <c r="AP22" i="2"/>
  <c r="AP21" i="2"/>
  <c r="AP18" i="2"/>
  <c r="AP17" i="2"/>
  <c r="AP13" i="2"/>
  <c r="AP14" i="2"/>
  <c r="AP10" i="2"/>
  <c r="Z22" i="2"/>
  <c r="Z21" i="2"/>
  <c r="Z18" i="2"/>
  <c r="Z17" i="2"/>
  <c r="Z13" i="2"/>
  <c r="Z14" i="2"/>
  <c r="Z10" i="2"/>
  <c r="Z20" i="2"/>
  <c r="Z19" i="2"/>
  <c r="Z16" i="2"/>
  <c r="Z15" i="2"/>
  <c r="Z11" i="2"/>
  <c r="Z12" i="2"/>
  <c r="AA21" i="2"/>
  <c r="AA22" i="2"/>
  <c r="AA17" i="2"/>
  <c r="AA18" i="2"/>
  <c r="AA14" i="2"/>
  <c r="AA10" i="2"/>
  <c r="AA11" i="2"/>
  <c r="AA19" i="2"/>
  <c r="AA20" i="2"/>
  <c r="AA15" i="2"/>
  <c r="AA16" i="2"/>
  <c r="AA12" i="2"/>
  <c r="AA13" i="2"/>
  <c r="AB22" i="2"/>
  <c r="AB21" i="2"/>
  <c r="AB18" i="2"/>
  <c r="AB17" i="2"/>
  <c r="AB13" i="2"/>
  <c r="AB14" i="2"/>
  <c r="AB10" i="2"/>
  <c r="AB20" i="2"/>
  <c r="AB19" i="2"/>
  <c r="AB16" i="2"/>
  <c r="AB15" i="2"/>
  <c r="AB11" i="2"/>
  <c r="AB12" i="2"/>
  <c r="AC21" i="2"/>
  <c r="AC22" i="2"/>
  <c r="AC17" i="2"/>
  <c r="AC18" i="2"/>
  <c r="AC14" i="2"/>
  <c r="AC10" i="2"/>
  <c r="AC11" i="2"/>
  <c r="AC19" i="2"/>
  <c r="AC20" i="2"/>
  <c r="AC15" i="2"/>
  <c r="AC16" i="2"/>
  <c r="AC12" i="2"/>
  <c r="AC13" i="2"/>
  <c r="AD22" i="2"/>
  <c r="AD21" i="2"/>
  <c r="AD18" i="2"/>
  <c r="AD17" i="2"/>
  <c r="AD13" i="2"/>
  <c r="AD14" i="2"/>
  <c r="AD10" i="2"/>
  <c r="AD20" i="2"/>
  <c r="AD19" i="2"/>
  <c r="AD16" i="2"/>
  <c r="AD15" i="2"/>
  <c r="AD11" i="2"/>
  <c r="AD12" i="2"/>
  <c r="AE21" i="2"/>
  <c r="AE22" i="2"/>
  <c r="AE17" i="2"/>
  <c r="AE18" i="2"/>
  <c r="AE14" i="2"/>
  <c r="AE10" i="2"/>
  <c r="AE11" i="2"/>
  <c r="AE19" i="2"/>
  <c r="AE20" i="2"/>
  <c r="AE15" i="2"/>
  <c r="AE16" i="2"/>
  <c r="AE12" i="2"/>
  <c r="AE13" i="2"/>
  <c r="AF22" i="2"/>
  <c r="AF21" i="2"/>
  <c r="AF18" i="2"/>
  <c r="AF17" i="2"/>
  <c r="AF13" i="2"/>
  <c r="AF14" i="2"/>
  <c r="AF10" i="2"/>
  <c r="AF20" i="2"/>
  <c r="AF19" i="2"/>
  <c r="AF16" i="2"/>
  <c r="AF15" i="2"/>
  <c r="AF11" i="2"/>
  <c r="AF12" i="2"/>
  <c r="AG19" i="2"/>
  <c r="AG20" i="2"/>
  <c r="AG15" i="2"/>
  <c r="AG16" i="2"/>
  <c r="AG12" i="2"/>
  <c r="AG13" i="2"/>
  <c r="AG21" i="2"/>
  <c r="AG22" i="2"/>
  <c r="AG17" i="2"/>
  <c r="AG18" i="2"/>
  <c r="AG14" i="2"/>
  <c r="AG10" i="2"/>
  <c r="AG11" i="2"/>
  <c r="L22" i="2"/>
  <c r="L20" i="2"/>
  <c r="L18" i="2"/>
  <c r="L16" i="2"/>
  <c r="L14" i="2"/>
  <c r="L12" i="2"/>
  <c r="L10" i="2"/>
  <c r="L21" i="2"/>
  <c r="L19" i="2"/>
  <c r="L17" i="2"/>
  <c r="L15" i="2"/>
  <c r="L13" i="2"/>
  <c r="L11" i="2"/>
  <c r="R22" i="2"/>
  <c r="R20" i="2"/>
  <c r="R18" i="2"/>
  <c r="R16" i="2"/>
  <c r="R14" i="2"/>
  <c r="R12" i="2"/>
  <c r="R10" i="2"/>
  <c r="R21" i="2"/>
  <c r="R19" i="2"/>
  <c r="R17" i="2"/>
  <c r="R15" i="2"/>
  <c r="R13" i="2"/>
  <c r="R11" i="2"/>
  <c r="AW21" i="2"/>
  <c r="AW22" i="2"/>
  <c r="AW17" i="2"/>
  <c r="AW18" i="2"/>
  <c r="AW14" i="2"/>
  <c r="AW10" i="2"/>
  <c r="AW11" i="2"/>
  <c r="AW19" i="2"/>
  <c r="AW20" i="2"/>
  <c r="AW15" i="2"/>
  <c r="AW16" i="2"/>
  <c r="AW12" i="2"/>
  <c r="AW13" i="2"/>
  <c r="AZ20" i="2"/>
  <c r="AZ19" i="2"/>
  <c r="AZ16" i="2"/>
  <c r="AZ17" i="2"/>
  <c r="AZ13" i="2"/>
  <c r="AZ12" i="2"/>
  <c r="AZ22" i="2"/>
  <c r="AZ21" i="2"/>
  <c r="AZ18" i="2"/>
  <c r="AZ14" i="2"/>
  <c r="AZ15" i="2"/>
  <c r="AZ11" i="2"/>
  <c r="AZ10" i="2"/>
  <c r="BC19" i="2"/>
  <c r="BC20" i="2"/>
  <c r="BC17" i="2"/>
  <c r="BC16" i="2"/>
  <c r="BC12" i="2"/>
  <c r="BC13" i="2"/>
  <c r="BC21" i="2"/>
  <c r="BC22" i="2"/>
  <c r="BC18" i="2"/>
  <c r="BC15" i="2"/>
  <c r="BC14" i="2"/>
  <c r="BC10" i="2"/>
  <c r="BC11" i="2"/>
  <c r="AQ21" i="2"/>
  <c r="AQ22" i="2"/>
  <c r="AQ17" i="2"/>
  <c r="AQ18" i="2"/>
  <c r="AQ14" i="2"/>
  <c r="AQ10" i="2"/>
  <c r="AQ11" i="2"/>
  <c r="AQ19" i="2"/>
  <c r="AQ20" i="2"/>
  <c r="AQ15" i="2"/>
  <c r="AQ16" i="2"/>
  <c r="AQ12" i="2"/>
  <c r="AQ13" i="2"/>
  <c r="D23" i="2"/>
  <c r="AH20" i="2"/>
  <c r="AH19" i="2"/>
  <c r="AH16" i="2"/>
  <c r="AH15" i="2"/>
  <c r="AH11" i="2"/>
  <c r="AH12" i="2"/>
  <c r="AH22" i="2"/>
  <c r="AH21" i="2"/>
  <c r="AH18" i="2"/>
  <c r="AH17" i="2"/>
  <c r="AH13" i="2"/>
  <c r="AH14" i="2"/>
  <c r="AH10" i="2"/>
  <c r="AI19" i="2"/>
  <c r="AI20" i="2"/>
  <c r="AI15" i="2"/>
  <c r="AI16" i="2"/>
  <c r="AI12" i="2"/>
  <c r="AI13" i="2"/>
  <c r="AI21" i="2"/>
  <c r="AI22" i="2"/>
  <c r="AI17" i="2"/>
  <c r="AI18" i="2"/>
  <c r="AI14" i="2"/>
  <c r="AI10" i="2"/>
  <c r="AI11" i="2"/>
  <c r="AJ20" i="2"/>
  <c r="AJ19" i="2"/>
  <c r="AJ16" i="2"/>
  <c r="AJ15" i="2"/>
  <c r="AJ11" i="2"/>
  <c r="AJ12" i="2"/>
  <c r="AJ22" i="2"/>
  <c r="AJ21" i="2"/>
  <c r="AJ18" i="2"/>
  <c r="AJ17" i="2"/>
  <c r="AJ13" i="2"/>
  <c r="AJ14" i="2"/>
  <c r="AJ10" i="2"/>
  <c r="AK19" i="2"/>
  <c r="AK20" i="2"/>
  <c r="AK15" i="2"/>
  <c r="AK16" i="2"/>
  <c r="AK12" i="2"/>
  <c r="AK13" i="2"/>
  <c r="AK21" i="2"/>
  <c r="AK22" i="2"/>
  <c r="AK17" i="2"/>
  <c r="AK18" i="2"/>
  <c r="AK14" i="2"/>
  <c r="AK10" i="2"/>
  <c r="AK11" i="2"/>
  <c r="AL20" i="2"/>
  <c r="AL19" i="2"/>
  <c r="AL16" i="2"/>
  <c r="AL15" i="2"/>
  <c r="AL11" i="2"/>
  <c r="AL12" i="2"/>
  <c r="AL22" i="2"/>
  <c r="AL21" i="2"/>
  <c r="AL18" i="2"/>
  <c r="AL17" i="2"/>
  <c r="AL13" i="2"/>
  <c r="AL14" i="2"/>
  <c r="AL10" i="2"/>
  <c r="AM19" i="2"/>
  <c r="AM20" i="2"/>
  <c r="AM15" i="2"/>
  <c r="AM16" i="2"/>
  <c r="AM12" i="2"/>
  <c r="AM13" i="2"/>
  <c r="AM21" i="2"/>
  <c r="AM22" i="2"/>
  <c r="AM17" i="2"/>
  <c r="AM18" i="2"/>
  <c r="AM14" i="2"/>
  <c r="AM10" i="2"/>
  <c r="AM11" i="2"/>
  <c r="AN20" i="2"/>
  <c r="AN19" i="2"/>
  <c r="AN16" i="2"/>
  <c r="AN15" i="2"/>
  <c r="AN11" i="2"/>
  <c r="AN12" i="2"/>
  <c r="AN22" i="2"/>
  <c r="AN21" i="2"/>
  <c r="AN18" i="2"/>
  <c r="AN17" i="2"/>
  <c r="AN13" i="2"/>
  <c r="AN14" i="2"/>
  <c r="AN10" i="2"/>
  <c r="AO19" i="2"/>
  <c r="AO20" i="2"/>
  <c r="AO15" i="2"/>
  <c r="AO16" i="2"/>
  <c r="AO12" i="2"/>
  <c r="AO13" i="2"/>
  <c r="AO21" i="2"/>
  <c r="AO22" i="2"/>
  <c r="AO17" i="2"/>
  <c r="AO18" i="2"/>
  <c r="AO14" i="2"/>
  <c r="AO10" i="2"/>
  <c r="AO11" i="2"/>
  <c r="Y19" i="2"/>
  <c r="Y20" i="2"/>
  <c r="Y15" i="2"/>
  <c r="Y16" i="2"/>
  <c r="Y12" i="2"/>
  <c r="Y13" i="2"/>
  <c r="Y21" i="2"/>
  <c r="Y22" i="2"/>
  <c r="Y17" i="2"/>
  <c r="Y18" i="2"/>
  <c r="Y14" i="2"/>
  <c r="Y10" i="2"/>
  <c r="Y11" i="2"/>
  <c r="C23" i="2"/>
  <c r="C17" i="2" l="1"/>
  <c r="C33" i="2" s="1"/>
  <c r="C19" i="2"/>
  <c r="C35" i="2" s="1"/>
  <c r="D11" i="2"/>
  <c r="D27" i="2" s="1"/>
  <c r="D13" i="2"/>
  <c r="D29" i="2" s="1"/>
  <c r="D14" i="2"/>
  <c r="D30" i="2" s="1"/>
  <c r="C11" i="2"/>
  <c r="C27" i="2" s="1"/>
  <c r="C12" i="2"/>
  <c r="C28" i="2" s="1"/>
  <c r="D16" i="2"/>
  <c r="D32" i="2" s="1"/>
  <c r="D17" i="2"/>
  <c r="D33" i="2" s="1"/>
  <c r="C21" i="2"/>
  <c r="C37" i="2" s="1"/>
  <c r="C14" i="2"/>
  <c r="C30" i="2" s="1"/>
  <c r="C15" i="2"/>
  <c r="C31" i="2" s="1"/>
  <c r="D20" i="2"/>
  <c r="D36" i="2" s="1"/>
  <c r="D21" i="2"/>
  <c r="D37" i="2" s="1"/>
  <c r="D12" i="2"/>
  <c r="D28" i="2" s="1"/>
  <c r="D19" i="2"/>
  <c r="D35" i="2" s="1"/>
  <c r="B15" i="2"/>
  <c r="B12" i="2"/>
  <c r="B20" i="2"/>
  <c r="B13" i="2"/>
  <c r="B21" i="2"/>
  <c r="B18" i="2"/>
  <c r="C10" i="2"/>
  <c r="C26" i="2" s="1"/>
  <c r="C18" i="2"/>
  <c r="C34" i="2" s="1"/>
  <c r="C22" i="2"/>
  <c r="C38" i="2" s="1"/>
  <c r="C13" i="2"/>
  <c r="C29" i="2" s="1"/>
  <c r="C16" i="2"/>
  <c r="C32" i="2" s="1"/>
  <c r="C20" i="2"/>
  <c r="C36" i="2" s="1"/>
  <c r="D15" i="2"/>
  <c r="D31" i="2" s="1"/>
  <c r="D10" i="2"/>
  <c r="D26" i="2" s="1"/>
  <c r="D18" i="2"/>
  <c r="D34" i="2" s="1"/>
  <c r="D22" i="2"/>
  <c r="D38" i="2" s="1"/>
  <c r="B11" i="2"/>
  <c r="B19" i="2"/>
  <c r="B16" i="2"/>
  <c r="B10" i="2"/>
  <c r="B17" i="2"/>
  <c r="B14" i="2"/>
  <c r="B22" i="2"/>
  <c r="B30" i="2" l="1"/>
  <c r="A30" i="2"/>
  <c r="B26" i="2"/>
  <c r="A26" i="2"/>
  <c r="B35" i="2"/>
  <c r="A35" i="2"/>
  <c r="B34" i="2"/>
  <c r="A34" i="2"/>
  <c r="B29" i="2"/>
  <c r="A29" i="2"/>
  <c r="B28" i="2"/>
  <c r="A28" i="2"/>
  <c r="B38" i="2"/>
  <c r="A38" i="2"/>
  <c r="B33" i="2"/>
  <c r="A33" i="2"/>
  <c r="B32" i="2"/>
  <c r="A32" i="2"/>
  <c r="B27" i="2"/>
  <c r="A27" i="2"/>
  <c r="B37" i="2"/>
  <c r="A37" i="2"/>
  <c r="B36" i="2"/>
  <c r="A36" i="2"/>
  <c r="B31" i="2"/>
  <c r="A31" i="2"/>
</calcChain>
</file>

<file path=xl/sharedStrings.xml><?xml version="1.0" encoding="utf-8"?>
<sst xmlns="http://schemas.openxmlformats.org/spreadsheetml/2006/main" count="300" uniqueCount="128">
  <si>
    <t>Jan16P</t>
  </si>
  <si>
    <t>Jan16C</t>
  </si>
  <si>
    <t>Jan17C</t>
  </si>
  <si>
    <t>Jan17P</t>
  </si>
  <si>
    <t>Jan18C</t>
  </si>
  <si>
    <t>Jan18P</t>
  </si>
  <si>
    <t>Jan19C</t>
  </si>
  <si>
    <t>Jan19P</t>
  </si>
  <si>
    <t>Jan20C</t>
  </si>
  <si>
    <t>Jan20P</t>
  </si>
  <si>
    <t>Jan21C</t>
  </si>
  <si>
    <t>Jan21P</t>
  </si>
  <si>
    <t>Jan22C</t>
  </si>
  <si>
    <t>Jan22P</t>
  </si>
  <si>
    <t>Jan23C</t>
  </si>
  <si>
    <t>Jan23P</t>
  </si>
  <si>
    <t>Jan24C</t>
  </si>
  <si>
    <t>Jan24P</t>
  </si>
  <si>
    <t>Options Markets</t>
  </si>
  <si>
    <t>Position</t>
  </si>
  <si>
    <t>Bid</t>
  </si>
  <si>
    <t>Ask</t>
  </si>
  <si>
    <t>Last</t>
  </si>
  <si>
    <t>Feb16C</t>
  </si>
  <si>
    <t>Feb16P</t>
  </si>
  <si>
    <t>Feb17C</t>
  </si>
  <si>
    <t>Feb17P</t>
  </si>
  <si>
    <t>Feb18C</t>
  </si>
  <si>
    <t>Feb18P</t>
  </si>
  <si>
    <t>Feb19C</t>
  </si>
  <si>
    <t>Feb19P</t>
  </si>
  <si>
    <t>Feb20C</t>
  </si>
  <si>
    <t>Feb20P</t>
  </si>
  <si>
    <t>Feb21C</t>
  </si>
  <si>
    <t>Feb21P</t>
  </si>
  <si>
    <t>Feb22C</t>
  </si>
  <si>
    <t>Feb22P</t>
  </si>
  <si>
    <t>Feb23C</t>
  </si>
  <si>
    <t>Feb23P</t>
  </si>
  <si>
    <t>Feb24C</t>
  </si>
  <si>
    <t>Feb24P</t>
  </si>
  <si>
    <t>Mar16C</t>
  </si>
  <si>
    <t>Mar16P</t>
  </si>
  <si>
    <t>Mar17C</t>
  </si>
  <si>
    <t>Mar17P</t>
  </si>
  <si>
    <t>Mar18C</t>
  </si>
  <si>
    <t>Mar18P</t>
  </si>
  <si>
    <t>Mar19C</t>
  </si>
  <si>
    <t>Mar19P</t>
  </si>
  <si>
    <t>Mar20C</t>
  </si>
  <si>
    <t>Mar20P</t>
  </si>
  <si>
    <t>Mar21C</t>
  </si>
  <si>
    <t>Mar21P</t>
  </si>
  <si>
    <t>Mar22C</t>
  </si>
  <si>
    <t>Mar22P</t>
  </si>
  <si>
    <t>Mar23C</t>
  </si>
  <si>
    <t>Mar23P</t>
  </si>
  <si>
    <t>Mar24C</t>
  </si>
  <si>
    <t>Mar24P</t>
  </si>
  <si>
    <t>February</t>
  </si>
  <si>
    <t>March</t>
  </si>
  <si>
    <t>Stock Price</t>
  </si>
  <si>
    <t>Strike</t>
  </si>
  <si>
    <t>Type</t>
  </si>
  <si>
    <t>C</t>
  </si>
  <si>
    <t>P</t>
  </si>
  <si>
    <t>Ticker</t>
  </si>
  <si>
    <t>Underlying</t>
  </si>
  <si>
    <t>Values at Settlement</t>
  </si>
  <si>
    <t>Unhedged</t>
  </si>
  <si>
    <t>Jan Opts</t>
  </si>
  <si>
    <t>Feb Opts</t>
  </si>
  <si>
    <t>Mar Opts</t>
  </si>
  <si>
    <t>Jan Graph</t>
  </si>
  <si>
    <t>Period</t>
  </si>
  <si>
    <t>Cost</t>
  </si>
  <si>
    <t>Opt Cost</t>
  </si>
  <si>
    <t>Feb Graph</t>
  </si>
  <si>
    <t>Mar Graph</t>
  </si>
  <si>
    <t>Graph</t>
  </si>
  <si>
    <t>All Graph</t>
  </si>
  <si>
    <t>version 1.0</t>
  </si>
  <si>
    <t>Decision Support - Hedging 2 Case</t>
  </si>
  <si>
    <t>POGO</t>
  </si>
  <si>
    <t>Holding</t>
  </si>
  <si>
    <t>$/Shr</t>
  </si>
  <si>
    <t>JAN</t>
  </si>
  <si>
    <t>FEB</t>
  </si>
  <si>
    <t>MAR</t>
  </si>
  <si>
    <t>Call</t>
  </si>
  <si>
    <t>Put</t>
  </si>
  <si>
    <t>OPTIONS</t>
  </si>
  <si>
    <t>TRADING</t>
  </si>
  <si>
    <t>Cost per Contract, $</t>
  </si>
  <si>
    <t>Annualized Volatility</t>
  </si>
  <si>
    <t>Quaretly Volatility</t>
  </si>
  <si>
    <t>Monthly Volatlity</t>
  </si>
  <si>
    <t xml:space="preserve">Daily Volatility </t>
  </si>
  <si>
    <t>Tick Volatility</t>
  </si>
  <si>
    <t>Time</t>
  </si>
  <si>
    <t>Frozen Period</t>
  </si>
  <si>
    <t>Trading</t>
  </si>
  <si>
    <t>Total</t>
  </si>
  <si>
    <t>in min.</t>
  </si>
  <si>
    <t>Contracts</t>
  </si>
  <si>
    <t>JANUARY</t>
  </si>
  <si>
    <t>FEBURARY</t>
  </si>
  <si>
    <t>MARCH</t>
  </si>
  <si>
    <t>Calls</t>
  </si>
  <si>
    <t>Puts</t>
  </si>
  <si>
    <t>Expiry</t>
  </si>
  <si>
    <t>Contract</t>
  </si>
  <si>
    <t>Sell</t>
  </si>
  <si>
    <t>Buy</t>
  </si>
  <si>
    <t>Mar</t>
  </si>
  <si>
    <t>x5</t>
  </si>
  <si>
    <t>x3</t>
  </si>
  <si>
    <t>x7</t>
  </si>
  <si>
    <t>SIMULATION 1: COLLAR STRATEGY DEBIT</t>
  </si>
  <si>
    <t>SIMULATION 2: Bear Spread CREDIT</t>
  </si>
  <si>
    <t>SIMULATION 3: PROTECTIVE PUT CREDIT</t>
  </si>
  <si>
    <t>x10</t>
  </si>
  <si>
    <t>0.63 ish</t>
  </si>
  <si>
    <t>Debit</t>
  </si>
  <si>
    <t>Credit</t>
  </si>
  <si>
    <t>Net Cost</t>
  </si>
  <si>
    <t>First Spread</t>
  </si>
  <si>
    <t>Second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</si>
</sst>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8" formatCode="#,##0.0000"/>
    <numFmt numFmtId="169" formatCode="#,##0.00000"/>
    <numFmt numFmtId="170" formatCode="0,000&quot; shr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/>
    <xf numFmtId="164" fontId="0" fillId="0" borderId="0" xfId="1" applyNumberFormat="1" applyFont="1"/>
    <xf numFmtId="0" fontId="0" fillId="4" borderId="0" xfId="0" applyFill="1"/>
    <xf numFmtId="0" fontId="0" fillId="4" borderId="0" xfId="0" applyFill="1" applyAlignment="1">
      <alignment horizontal="center"/>
    </xf>
    <xf numFmtId="9" fontId="4" fillId="4" borderId="0" xfId="0" applyNumberFormat="1" applyFont="1" applyFill="1" applyAlignment="1">
      <alignment vertical="center"/>
    </xf>
    <xf numFmtId="9" fontId="5" fillId="4" borderId="0" xfId="0" applyNumberFormat="1" applyFont="1" applyFill="1" applyAlignment="1">
      <alignment vertical="center"/>
    </xf>
    <xf numFmtId="2" fontId="0" fillId="5" borderId="1" xfId="0" applyNumberFormat="1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2" xfId="0" applyBorder="1"/>
    <xf numFmtId="2" fontId="6" fillId="0" borderId="0" xfId="0" applyNumberFormat="1" applyFont="1"/>
    <xf numFmtId="170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Continuous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4" xfId="0" applyFont="1" applyBorder="1"/>
    <xf numFmtId="0" fontId="6" fillId="0" borderId="3" xfId="0" applyFont="1" applyBorder="1"/>
    <xf numFmtId="0" fontId="6" fillId="0" borderId="0" xfId="0" applyFont="1" applyBorder="1"/>
    <xf numFmtId="0" fontId="6" fillId="0" borderId="2" xfId="0" applyFont="1" applyBorder="1" applyAlignment="1">
      <alignment horizontal="left" indent="1"/>
    </xf>
    <xf numFmtId="0" fontId="6" fillId="0" borderId="5" xfId="0" applyFont="1" applyBorder="1"/>
    <xf numFmtId="0" fontId="6" fillId="0" borderId="4" xfId="0" applyFont="1" applyBorder="1" applyAlignment="1">
      <alignment horizontal="left" indent="1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it2.rtd">
      <tp t="s">
        <v>FEB17C|LAST</v>
        <stp/>
        <stp>Feb17C</stp>
        <stp>Last</stp>
        <tr r="B26" s="1"/>
      </tp>
      <tp t="s">
        <v>FEB19C|COST</v>
        <stp/>
        <stp>Feb19C</stp>
        <stp>Cost</stp>
        <tr r="D30" s="1"/>
      </tp>
      <tp t="s">
        <v>MAR22C|COST</v>
        <stp/>
        <stp>Mar22C</stp>
        <stp>Cost</stp>
        <tr r="D55" s="1"/>
      </tp>
      <tp t="s">
        <v>FEB17P|LAST</v>
        <stp/>
        <stp>Feb17P</stp>
        <stp>Last</stp>
        <tr r="B27" s="1"/>
      </tp>
      <tp t="s">
        <v>FEB19P|COST</v>
        <stp/>
        <stp>Feb19P</stp>
        <stp>Cost</stp>
        <tr r="D31" s="1"/>
      </tp>
      <tp t="s">
        <v>MAR22P|COST</v>
        <stp/>
        <stp>Mar22P</stp>
        <stp>Cost</stp>
        <tr r="D56" s="1"/>
      </tp>
      <tp t="s">
        <v>FEB16C|LAST</v>
        <stp/>
        <stp>Feb16C</stp>
        <stp>Last</stp>
        <tr r="B24" s="1"/>
      </tp>
      <tp t="s">
        <v>FEB18C|COST</v>
        <stp/>
        <stp>Feb18C</stp>
        <stp>Cost</stp>
        <tr r="D28" s="1"/>
      </tp>
      <tp t="s">
        <v>JAN24C|COST</v>
        <stp/>
        <stp>Jan24C</stp>
        <stp>Cost</stp>
        <tr r="D21" s="1"/>
      </tp>
      <tp t="s">
        <v>MAR23C|COST</v>
        <stp/>
        <stp>Mar23C</stp>
        <stp>Cost</stp>
        <tr r="D57" s="1"/>
      </tp>
      <tp t="s">
        <v>FEB16P|LAST</v>
        <stp/>
        <stp>Feb16P</stp>
        <stp>Last</stp>
        <tr r="B25" s="1"/>
      </tp>
      <tp t="s">
        <v>FEB18P|COST</v>
        <stp/>
        <stp>Feb18P</stp>
        <stp>Cost</stp>
        <tr r="D29" s="1"/>
      </tp>
      <tp t="s">
        <v>JAN24P|COST</v>
        <stp/>
        <stp>Jan24P</stp>
        <stp>Cost</stp>
        <tr r="D22" s="1"/>
      </tp>
      <tp t="s">
        <v>MAR23P|COST</v>
        <stp/>
        <stp>Mar23P</stp>
        <stp>Cost</stp>
        <tr r="D58" s="1"/>
      </tp>
      <tp t="s">
        <v>JAN19C|LAST</v>
        <stp/>
        <stp>Jan19C</stp>
        <stp>Last</stp>
        <tr r="B11" s="1"/>
      </tp>
      <tp t="s">
        <v>JAN17C|COST</v>
        <stp/>
        <stp>Jan17C</stp>
        <stp>Cost</stp>
        <tr r="D7" s="1"/>
      </tp>
      <tp t="s">
        <v>MAR20C|COST</v>
        <stp/>
        <stp>Mar20C</stp>
        <stp>Cost</stp>
        <tr r="D51" s="1"/>
      </tp>
      <tp t="s">
        <v>JAN19P|LAST</v>
        <stp/>
        <stp>Jan19P</stp>
        <stp>Last</stp>
        <tr r="B12" s="1"/>
      </tp>
      <tp t="s">
        <v>JAN17P|COST</v>
        <stp/>
        <stp>Jan17P</stp>
        <stp>Cost</stp>
        <tr r="D8" s="1"/>
      </tp>
      <tp t="s">
        <v>MAR20P|COST</v>
        <stp/>
        <stp>Mar20P</stp>
        <stp>Cost</stp>
        <tr r="D52" s="1"/>
      </tp>
      <tp t="s">
        <v>FEB24C|LAST</v>
        <stp/>
        <stp>Feb24C</stp>
        <stp>Last</stp>
        <tr r="B40" s="1"/>
      </tp>
      <tp t="s">
        <v>JAN18C|LAST</v>
        <stp/>
        <stp>Jan18C</stp>
        <stp>Last</stp>
        <tr r="B9" s="1"/>
      </tp>
      <tp t="s">
        <v>JAN16C|COST</v>
        <stp/>
        <stp>Jan16C</stp>
        <stp>Cost</stp>
        <tr r="D5" s="1"/>
      </tp>
      <tp t="s">
        <v>MAR21C|COST</v>
        <stp/>
        <stp>Mar21C</stp>
        <stp>Cost</stp>
        <tr r="D53" s="1"/>
      </tp>
      <tp t="s">
        <v>FEB24P|LAST</v>
        <stp/>
        <stp>Feb24P</stp>
        <stp>Last</stp>
        <tr r="B41" s="1"/>
      </tp>
      <tp t="s">
        <v>JAN18P|LAST</v>
        <stp/>
        <stp>Jan18P</stp>
        <stp>Last</stp>
        <tr r="B10" s="1"/>
      </tp>
      <tp t="s">
        <v>JAN16P|COST</v>
        <stp/>
        <stp>Jan16P</stp>
        <stp>Cost</stp>
        <tr r="D6" s="1"/>
      </tp>
      <tp t="s">
        <v>MAR21P|COST</v>
        <stp/>
        <stp>Mar21P</stp>
        <stp>Cost</stp>
        <tr r="D54" s="1"/>
      </tp>
      <tp t="s">
        <v>FEB23C|LAST</v>
        <stp/>
        <stp>Feb23C</stp>
        <stp>Last</stp>
        <tr r="B38" s="1"/>
      </tp>
      <tp t="s">
        <v>JAN21C|COST</v>
        <stp/>
        <stp>Jan21C</stp>
        <stp>Cost</stp>
        <tr r="D15" s="1"/>
      </tp>
      <tp t="s">
        <v>MAR18C|LAST</v>
        <stp/>
        <stp>Mar18C</stp>
        <stp>Last</stp>
        <tr r="B47" s="1"/>
      </tp>
      <tp t="s">
        <v>MAR16C|COST</v>
        <stp/>
        <stp>Mar16C</stp>
        <stp>Cost</stp>
        <tr r="D43" s="1"/>
      </tp>
      <tp t="s">
        <v>FEB23P|LAST</v>
        <stp/>
        <stp>Feb23P</stp>
        <stp>Last</stp>
        <tr r="B39" s="1"/>
      </tp>
      <tp t="s">
        <v>JAN21P|COST</v>
        <stp/>
        <stp>Jan21P</stp>
        <stp>Cost</stp>
        <tr r="D16" s="1"/>
      </tp>
      <tp t="s">
        <v>MAR18P|LAST</v>
        <stp/>
        <stp>Mar18P</stp>
        <stp>Last</stp>
        <tr r="B48" s="1"/>
      </tp>
      <tp t="s">
        <v>MAR16P|COST</v>
        <stp/>
        <stp>Mar16P</stp>
        <stp>Cost</stp>
        <tr r="D44" s="1"/>
      </tp>
      <tp t="s">
        <v>FEB22C|LAST</v>
        <stp/>
        <stp>Feb22C</stp>
        <stp>Last</stp>
        <tr r="B36" s="1"/>
      </tp>
      <tp t="s">
        <v>JAN20C|COST</v>
        <stp/>
        <stp>Jan20C</stp>
        <stp>Cost</stp>
        <tr r="D13" s="1"/>
      </tp>
      <tp t="s">
        <v>MAR19C|LAST</v>
        <stp/>
        <stp>Mar19C</stp>
        <stp>Last</stp>
        <tr r="B49" s="1"/>
      </tp>
      <tp t="s">
        <v>MAR17C|COST</v>
        <stp/>
        <stp>Mar17C</stp>
        <stp>Cost</stp>
        <tr r="D45" s="1"/>
      </tp>
      <tp t="s">
        <v>FEB22P|LAST</v>
        <stp/>
        <stp>Feb22P</stp>
        <stp>Last</stp>
        <tr r="B37" s="1"/>
      </tp>
      <tp t="s">
        <v>JAN20P|COST</v>
        <stp/>
        <stp>Jan20P</stp>
        <stp>Cost</stp>
        <tr r="D14" s="1"/>
      </tp>
      <tp t="s">
        <v>MAR19P|LAST</v>
        <stp/>
        <stp>Mar19P</stp>
        <stp>Last</stp>
        <tr r="B50" s="1"/>
      </tp>
      <tp t="s">
        <v>MAR17P|COST</v>
        <stp/>
        <stp>Mar17P</stp>
        <stp>Cost</stp>
        <tr r="D46" s="1"/>
      </tp>
      <tp t="s">
        <v>FEB21C|LAST</v>
        <stp/>
        <stp>Feb21C</stp>
        <stp>Last</stp>
        <tr r="B34" s="1"/>
      </tp>
      <tp t="s">
        <v>JAN23C|COST</v>
        <stp/>
        <stp>Jan23C</stp>
        <stp>Cost</stp>
        <tr r="D19" s="1"/>
      </tp>
      <tp t="s">
        <v>MAR24C|COST</v>
        <stp/>
        <stp>Mar24C</stp>
        <stp>Cost</stp>
        <tr r="D59" s="1"/>
      </tp>
      <tp t="s">
        <v>FEB21P|LAST</v>
        <stp/>
        <stp>Feb21P</stp>
        <stp>Last</stp>
        <tr r="B35" s="1"/>
      </tp>
      <tp t="s">
        <v>JAN23P|COST</v>
        <stp/>
        <stp>Jan23P</stp>
        <stp>Cost</stp>
        <tr r="D20" s="1"/>
      </tp>
      <tp t="s">
        <v>MAR24P|COST</v>
        <stp/>
        <stp>Mar24P</stp>
        <stp>Cost</stp>
        <tr r="D60" s="1"/>
      </tp>
      <tp t="s">
        <v>FEB20C|LAST</v>
        <stp/>
        <stp>Feb20C</stp>
        <stp>Last</stp>
        <tr r="B32" s="1"/>
      </tp>
      <tp t="s">
        <v>JAN22C|COST</v>
        <stp/>
        <stp>Jan22C</stp>
        <stp>Cost</stp>
        <tr r="D17" s="1"/>
      </tp>
      <tp t="s">
        <v>FEB20P|LAST</v>
        <stp/>
        <stp>Feb20P</stp>
        <stp>Last</stp>
        <tr r="B33" s="1"/>
      </tp>
      <tp t="s">
        <v>JAN22P|COST</v>
        <stp/>
        <stp>Jan22P</stp>
        <stp>Cost</stp>
        <tr r="D18" s="1"/>
      </tp>
      <tp t="s">
        <v>FEB21C|COST</v>
        <stp/>
        <stp>Feb21C</stp>
        <stp>Cost</stp>
        <tr r="D34" s="1"/>
      </tp>
      <tp t="s">
        <v>JAN23C|LAST</v>
        <stp/>
        <stp>Jan23C</stp>
        <stp>Last</stp>
        <tr r="B19" s="1"/>
      </tp>
      <tp t="s">
        <v>MAR24C|LAST</v>
        <stp/>
        <stp>Mar24C</stp>
        <stp>Last</stp>
        <tr r="B59" s="1"/>
      </tp>
      <tp t="s">
        <v>FEB21P|COST</v>
        <stp/>
        <stp>Feb21P</stp>
        <stp>Cost</stp>
        <tr r="D35" s="1"/>
      </tp>
      <tp t="s">
        <v>JAN23P|LAST</v>
        <stp/>
        <stp>Jan23P</stp>
        <stp>Last</stp>
        <tr r="B20" s="1"/>
      </tp>
      <tp t="s">
        <v>MAR24P|LAST</v>
        <stp/>
        <stp>Mar24P</stp>
        <stp>Last</stp>
        <tr r="B60" s="1"/>
      </tp>
      <tp t="s">
        <v>FEB20C|COST</v>
        <stp/>
        <stp>Feb20C</stp>
        <stp>Cost</stp>
        <tr r="D32" s="1"/>
      </tp>
      <tp t="s">
        <v>JAN22C|LAST</v>
        <stp/>
        <stp>Jan22C</stp>
        <stp>Last</stp>
        <tr r="B17" s="1"/>
      </tp>
      <tp t="s">
        <v>FEB20P|COST</v>
        <stp/>
        <stp>Feb20P</stp>
        <stp>Cost</stp>
        <tr r="D33" s="1"/>
      </tp>
      <tp t="s">
        <v>JAN22P|LAST</v>
        <stp/>
        <stp>Jan22P</stp>
        <stp>Last</stp>
        <tr r="B18" s="1"/>
      </tp>
      <tp t="s">
        <v>FEB23C|COST</v>
        <stp/>
        <stp>Feb23C</stp>
        <stp>Cost</stp>
        <tr r="D38" s="1"/>
      </tp>
      <tp t="s">
        <v>JAN21C|LAST</v>
        <stp/>
        <stp>Jan21C</stp>
        <stp>Last</stp>
        <tr r="B15" s="1"/>
      </tp>
      <tp t="s">
        <v>MAR16C|LAST</v>
        <stp/>
        <stp>Mar16C</stp>
        <stp>Last</stp>
        <tr r="B43" s="1"/>
      </tp>
      <tp t="s">
        <v>MAR18C|COST</v>
        <stp/>
        <stp>Mar18C</stp>
        <stp>Cost</stp>
        <tr r="D47" s="1"/>
      </tp>
      <tp t="s">
        <v>FEB23P|COST</v>
        <stp/>
        <stp>Feb23P</stp>
        <stp>Cost</stp>
        <tr r="D39" s="1"/>
      </tp>
      <tp t="s">
        <v>JAN21P|LAST</v>
        <stp/>
        <stp>Jan21P</stp>
        <stp>Last</stp>
        <tr r="B16" s="1"/>
      </tp>
      <tp t="s">
        <v>MAR16P|LAST</v>
        <stp/>
        <stp>Mar16P</stp>
        <stp>Last</stp>
        <tr r="B44" s="1"/>
      </tp>
      <tp t="s">
        <v>MAR18P|COST</v>
        <stp/>
        <stp>Mar18P</stp>
        <stp>Cost</stp>
        <tr r="D48" s="1"/>
      </tp>
      <tp t="s">
        <v>FEB22C|COST</v>
        <stp/>
        <stp>Feb22C</stp>
        <stp>Cost</stp>
        <tr r="D36" s="1"/>
      </tp>
      <tp t="s">
        <v>JAN20C|LAST</v>
        <stp/>
        <stp>Jan20C</stp>
        <stp>Last</stp>
        <tr r="B13" s="1"/>
      </tp>
      <tp t="s">
        <v>MAR17C|LAST</v>
        <stp/>
        <stp>Mar17C</stp>
        <stp>Last</stp>
        <tr r="B45" s="1"/>
      </tp>
      <tp t="s">
        <v>MAR19C|COST</v>
        <stp/>
        <stp>Mar19C</stp>
        <stp>Cost</stp>
        <tr r="D49" s="1"/>
      </tp>
      <tp t="s">
        <v>FEB22P|COST</v>
        <stp/>
        <stp>Feb22P</stp>
        <stp>Cost</stp>
        <tr r="D37" s="1"/>
      </tp>
      <tp t="s">
        <v>JAN20P|LAST</v>
        <stp/>
        <stp>Jan20P</stp>
        <stp>Last</stp>
        <tr r="B14" s="1"/>
      </tp>
      <tp t="s">
        <v>MAR17P|LAST</v>
        <stp/>
        <stp>Mar17P</stp>
        <stp>Last</stp>
        <tr r="B46" s="1"/>
      </tp>
      <tp t="s">
        <v>MAR19P|COST</v>
        <stp/>
        <stp>Mar19P</stp>
        <stp>Cost</stp>
        <tr r="D50" s="1"/>
      </tp>
      <tp t="s">
        <v>JAN17C|LAST</v>
        <stp/>
        <stp>Jan17C</stp>
        <stp>Last</stp>
        <tr r="B7" s="1"/>
      </tp>
      <tp t="s">
        <v>JAN19C|COST</v>
        <stp/>
        <stp>Jan19C</stp>
        <stp>Cost</stp>
        <tr r="D11" s="1"/>
      </tp>
      <tp t="s">
        <v>MAR20C|LAST</v>
        <stp/>
        <stp>Mar20C</stp>
        <stp>Last</stp>
        <tr r="B51" s="1"/>
      </tp>
      <tp t="s">
        <v>JAN17P|LAST</v>
        <stp/>
        <stp>Jan17P</stp>
        <stp>Last</stp>
        <tr r="B8" s="1"/>
      </tp>
      <tp t="s">
        <v>JAN19P|COST</v>
        <stp/>
        <stp>Jan19P</stp>
        <stp>Cost</stp>
        <tr r="D12" s="1"/>
      </tp>
      <tp t="s">
        <v>MAR20P|LAST</v>
        <stp/>
        <stp>Mar20P</stp>
        <stp>Last</stp>
        <tr r="B52" s="1"/>
      </tp>
      <tp t="s">
        <v>FEB24C|COST</v>
        <stp/>
        <stp>Feb24C</stp>
        <stp>Cost</stp>
        <tr r="D40" s="1"/>
      </tp>
      <tp t="s">
        <v>JAN16C|LAST</v>
        <stp/>
        <stp>Jan16C</stp>
        <stp>Last</stp>
        <tr r="B5" s="1"/>
      </tp>
      <tp t="s">
        <v>JAN18C|COST</v>
        <stp/>
        <stp>Jan18C</stp>
        <stp>Cost</stp>
        <tr r="D9" s="1"/>
      </tp>
      <tp t="s">
        <v>MAR21C|LAST</v>
        <stp/>
        <stp>Mar21C</stp>
        <stp>Last</stp>
        <tr r="B53" s="1"/>
      </tp>
      <tp t="s">
        <v>FEB24P|COST</v>
        <stp/>
        <stp>Feb24P</stp>
        <stp>Cost</stp>
        <tr r="D41" s="1"/>
      </tp>
      <tp t="s">
        <v>JAN16P|LAST</v>
        <stp/>
        <stp>Jan16P</stp>
        <stp>Last</stp>
        <tr r="B6" s="1"/>
      </tp>
      <tp t="s">
        <v>JAN18P|COST</v>
        <stp/>
        <stp>Jan18P</stp>
        <stp>Cost</stp>
        <tr r="D10" s="1"/>
      </tp>
      <tp t="s">
        <v>MAR21P|LAST</v>
        <stp/>
        <stp>Mar21P</stp>
        <stp>Last</stp>
        <tr r="B54" s="1"/>
      </tp>
      <tp t="s">
        <v>FEB19C|LAST</v>
        <stp/>
        <stp>Feb19C</stp>
        <stp>Last</stp>
        <tr r="B30" s="1"/>
      </tp>
      <tp t="s">
        <v>FEB17C|COST</v>
        <stp/>
        <stp>Feb17C</stp>
        <stp>Cost</stp>
        <tr r="D26" s="1"/>
      </tp>
      <tp t="s">
        <v>MAR22C|LAST</v>
        <stp/>
        <stp>Mar22C</stp>
        <stp>Last</stp>
        <tr r="B55" s="1"/>
      </tp>
      <tp t="s">
        <v>FEB19P|LAST</v>
        <stp/>
        <stp>Feb19P</stp>
        <stp>Last</stp>
        <tr r="B31" s="1"/>
      </tp>
      <tp t="s">
        <v>FEB17P|COST</v>
        <stp/>
        <stp>Feb17P</stp>
        <stp>Cost</stp>
        <tr r="D27" s="1"/>
      </tp>
      <tp t="s">
        <v>MAR22P|LAST</v>
        <stp/>
        <stp>Mar22P</stp>
        <stp>Last</stp>
        <tr r="B56" s="1"/>
      </tp>
      <tp t="s">
        <v>FEB18C|LAST</v>
        <stp/>
        <stp>Feb18C</stp>
        <stp>Last</stp>
        <tr r="B28" s="1"/>
      </tp>
      <tp t="s">
        <v>FEB16C|COST</v>
        <stp/>
        <stp>Feb16C</stp>
        <stp>Cost</stp>
        <tr r="D24" s="1"/>
      </tp>
      <tp t="s">
        <v>JAN24C|LAST</v>
        <stp/>
        <stp>Jan24C</stp>
        <stp>Last</stp>
        <tr r="B21" s="1"/>
      </tp>
      <tp t="s">
        <v>MAR23C|LAST</v>
        <stp/>
        <stp>Mar23C</stp>
        <stp>Last</stp>
        <tr r="B57" s="1"/>
      </tp>
      <tp t="s">
        <v>FEB18P|LAST</v>
        <stp/>
        <stp>Feb18P</stp>
        <stp>Last</stp>
        <tr r="B29" s="1"/>
      </tp>
      <tp t="s">
        <v>FEB16P|COST</v>
        <stp/>
        <stp>Feb16P</stp>
        <stp>Cost</stp>
        <tr r="D25" s="1"/>
      </tp>
      <tp t="s">
        <v>JAN24P|LAST</v>
        <stp/>
        <stp>Jan24P</stp>
        <stp>Last</stp>
        <tr r="B22" s="1"/>
      </tp>
      <tp t="s">
        <v>MAR23P|LAST</v>
        <stp/>
        <stp>Mar23P</stp>
        <stp>Last</stp>
        <tr r="B58" s="1"/>
      </tp>
      <tp t="s">
        <v>PERIOD</v>
        <stp/>
        <stp>PERIOD</stp>
        <tr r="B2" s="2"/>
      </tp>
      <tp t="s">
        <v>JAN19P|ASK</v>
        <stp/>
        <stp>Jan19P</stp>
        <stp>Ask</stp>
        <tr r="F12" s="1"/>
      </tp>
      <tp t="s">
        <v>JAN19C|ASK</v>
        <stp/>
        <stp>Jan19C</stp>
        <stp>Ask</stp>
        <tr r="F11" s="1"/>
      </tp>
      <tp t="s">
        <v>JAN18P|ASK</v>
        <stp/>
        <stp>Jan18P</stp>
        <stp>Ask</stp>
        <tr r="F10" s="1"/>
      </tp>
      <tp t="s">
        <v>JAN18C|ASK</v>
        <stp/>
        <stp>Jan18C</stp>
        <stp>Ask</stp>
        <tr r="F9" s="1"/>
      </tp>
      <tp t="s">
        <v>FEB17P|ASK</v>
        <stp/>
        <stp>Feb17P</stp>
        <stp>Ask</stp>
        <tr r="F27" s="1"/>
      </tp>
      <tp t="s">
        <v>FEB17C|ASK</v>
        <stp/>
        <stp>Feb17C</stp>
        <stp>Ask</stp>
        <tr r="F26" s="1"/>
      </tp>
      <tp t="s">
        <v>FEB16P|ASK</v>
        <stp/>
        <stp>Feb16P</stp>
        <stp>Ask</stp>
        <tr r="F25" s="1"/>
      </tp>
      <tp t="s">
        <v>FEB16C|ASK</v>
        <stp/>
        <stp>Feb16C</stp>
        <stp>Ask</stp>
        <tr r="F24" s="1"/>
      </tp>
      <tp t="s">
        <v>MAR18P|ASK</v>
        <stp/>
        <stp>Mar18P</stp>
        <stp>Ask</stp>
        <tr r="F48" s="1"/>
      </tp>
      <tp t="s">
        <v>MAR18C|ASK</v>
        <stp/>
        <stp>Mar18C</stp>
        <stp>Ask</stp>
        <tr r="F47" s="1"/>
      </tp>
      <tp t="s">
        <v>MAR19P|ASK</v>
        <stp/>
        <stp>Mar19P</stp>
        <stp>Ask</stp>
        <tr r="F50" s="1"/>
      </tp>
      <tp t="s">
        <v>MAR19C|ASK</v>
        <stp/>
        <stp>Mar19C</stp>
        <stp>Ask</stp>
        <tr r="F49" s="1"/>
      </tp>
      <tp t="s">
        <v>MAR16P|ASK</v>
        <stp/>
        <stp>Mar16P</stp>
        <stp>Ask</stp>
        <tr r="F44" s="1"/>
      </tp>
      <tp t="s">
        <v>MAR16C|ASK</v>
        <stp/>
        <stp>Mar16C</stp>
        <stp>Ask</stp>
        <tr r="F43" s="1"/>
      </tp>
      <tp t="s">
        <v>MAR17P|ASK</v>
        <stp/>
        <stp>Mar17P</stp>
        <stp>Ask</stp>
        <tr r="F46" s="1"/>
      </tp>
      <tp t="s">
        <v>MAR17C|ASK</v>
        <stp/>
        <stp>Mar17C</stp>
        <stp>Ask</stp>
        <tr r="F45" s="1"/>
      </tp>
      <tp t="s">
        <v>FEB19P|ASK</v>
        <stp/>
        <stp>Feb19P</stp>
        <stp>Ask</stp>
        <tr r="F31" s="1"/>
      </tp>
      <tp t="s">
        <v>FEB19C|ASK</v>
        <stp/>
        <stp>Feb19C</stp>
        <stp>Ask</stp>
        <tr r="F30" s="1"/>
      </tp>
      <tp t="s">
        <v>FEB18P|ASK</v>
        <stp/>
        <stp>Feb18P</stp>
        <stp>Ask</stp>
        <tr r="F29" s="1"/>
      </tp>
      <tp t="s">
        <v>FEB18C|ASK</v>
        <stp/>
        <stp>Feb18C</stp>
        <stp>Ask</stp>
        <tr r="F28" s="1"/>
      </tp>
      <tp t="s">
        <v>JAN17P|ASK</v>
        <stp/>
        <stp>Jan17P</stp>
        <stp>Ask</stp>
        <tr r="F8" s="1"/>
      </tp>
      <tp t="s">
        <v>JAN17C|ASK</v>
        <stp/>
        <stp>Jan17C</stp>
        <stp>Ask</stp>
        <tr r="F7" s="1"/>
      </tp>
      <tp t="s">
        <v>JAN16P|ASK</v>
        <stp/>
        <stp>Jan16P</stp>
        <stp>Ask</stp>
        <tr r="F6" s="1"/>
      </tp>
      <tp t="s">
        <v>JAN16C|ASK</v>
        <stp/>
        <stp>Jan16C</stp>
        <stp>Ask</stp>
        <tr r="F5" s="1"/>
      </tp>
      <tp t="s">
        <v>MAR24P|BID</v>
        <stp/>
        <stp>Mar24P</stp>
        <stp>Bid</stp>
        <tr r="E60" s="1"/>
      </tp>
      <tp t="s">
        <v>JAN23P|BID</v>
        <stp/>
        <stp>Jan23P</stp>
        <stp>Bid</stp>
        <tr r="E20" s="1"/>
      </tp>
      <tp t="s">
        <v>MAR24C|BID</v>
        <stp/>
        <stp>Mar24C</stp>
        <stp>Bid</stp>
        <tr r="E59" s="1"/>
      </tp>
      <tp t="s">
        <v>JAN23C|BID</v>
        <stp/>
        <stp>Jan23C</stp>
        <stp>Bid</stp>
        <tr r="E19" s="1"/>
      </tp>
      <tp t="s">
        <v>JAN22P|BID</v>
        <stp/>
        <stp>Jan22P</stp>
        <stp>Bid</stp>
        <tr r="E18" s="1"/>
      </tp>
      <tp t="s">
        <v>JAN22C|BID</v>
        <stp/>
        <stp>Jan22C</stp>
        <stp>Bid</stp>
        <tr r="E17" s="1"/>
      </tp>
      <tp t="s">
        <v>JAN21P|BID</v>
        <stp/>
        <stp>Jan21P</stp>
        <stp>Bid</stp>
        <tr r="E16" s="1"/>
      </tp>
      <tp t="s">
        <v>JAN21C|BID</v>
        <stp/>
        <stp>Jan21C</stp>
        <stp>Bid</stp>
        <tr r="E15" s="1"/>
      </tp>
      <tp t="s">
        <v>JAN20P|BID</v>
        <stp/>
        <stp>Jan20P</stp>
        <stp>Bid</stp>
        <tr r="E14" s="1"/>
      </tp>
      <tp t="s">
        <v>JAN20C|BID</v>
        <stp/>
        <stp>Jan20C</stp>
        <stp>Bid</stp>
        <tr r="E13" s="1"/>
      </tp>
      <tp t="s">
        <v>MAR20P|BID</v>
        <stp/>
        <stp>Mar20P</stp>
        <stp>Bid</stp>
        <tr r="E52" s="1"/>
      </tp>
      <tp t="s">
        <v>MAR20C|BID</v>
        <stp/>
        <stp>Mar20C</stp>
        <stp>Bid</stp>
        <tr r="E51" s="1"/>
      </tp>
      <tp t="s">
        <v>MAR21P|BID</v>
        <stp/>
        <stp>Mar21P</stp>
        <stp>Bid</stp>
        <tr r="E54" s="1"/>
      </tp>
      <tp t="s">
        <v>MAR21C|BID</v>
        <stp/>
        <stp>Mar21C</stp>
        <stp>Bid</stp>
        <tr r="E53" s="1"/>
      </tp>
      <tp t="s">
        <v>MAR22P|BID</v>
        <stp/>
        <stp>Mar22P</stp>
        <stp>Bid</stp>
        <tr r="E56" s="1"/>
      </tp>
      <tp t="s">
        <v>MAR22C|BID</v>
        <stp/>
        <stp>Mar22C</stp>
        <stp>Bid</stp>
        <tr r="E55" s="1"/>
      </tp>
      <tp t="s">
        <v>MAR23P|BID</v>
        <stp/>
        <stp>Mar23P</stp>
        <stp>Bid</stp>
        <tr r="E58" s="1"/>
      </tp>
      <tp t="s">
        <v>JAN24P|BID</v>
        <stp/>
        <stp>Jan24P</stp>
        <stp>Bid</stp>
        <tr r="E22" s="1"/>
      </tp>
      <tp t="s">
        <v>MAR23C|BID</v>
        <stp/>
        <stp>Mar23C</stp>
        <stp>Bid</stp>
        <tr r="E57" s="1"/>
      </tp>
      <tp t="s">
        <v>JAN24C|BID</v>
        <stp/>
        <stp>Jan24C</stp>
        <stp>Bid</stp>
        <tr r="E21" s="1"/>
      </tp>
      <tp t="s">
        <v>FEB24P|BID</v>
        <stp/>
        <stp>Feb24P</stp>
        <stp>Bid</stp>
        <tr r="E41" s="1"/>
      </tp>
      <tp t="s">
        <v>FEB24C|BID</v>
        <stp/>
        <stp>Feb24C</stp>
        <stp>Bid</stp>
        <tr r="E40" s="1"/>
      </tp>
      <tp t="s">
        <v>FEB23P|BID</v>
        <stp/>
        <stp>Feb23P</stp>
        <stp>Bid</stp>
        <tr r="E39" s="1"/>
      </tp>
      <tp t="s">
        <v>FEB23C|BID</v>
        <stp/>
        <stp>Feb23C</stp>
        <stp>Bid</stp>
        <tr r="E38" s="1"/>
      </tp>
      <tp t="s">
        <v>FEB22P|BID</v>
        <stp/>
        <stp>Feb22P</stp>
        <stp>Bid</stp>
        <tr r="E37" s="1"/>
      </tp>
      <tp t="s">
        <v>FEB22C|BID</v>
        <stp/>
        <stp>Feb22C</stp>
        <stp>Bid</stp>
        <tr r="E36" s="1"/>
      </tp>
      <tp t="s">
        <v>FEB21P|BID</v>
        <stp/>
        <stp>Feb21P</stp>
        <stp>Bid</stp>
        <tr r="E35" s="1"/>
      </tp>
      <tp t="s">
        <v>FEB21C|BID</v>
        <stp/>
        <stp>Feb21C</stp>
        <stp>Bid</stp>
        <tr r="E34" s="1"/>
      </tp>
      <tp t="s">
        <v>FEB20P|BID</v>
        <stp/>
        <stp>Feb20P</stp>
        <stp>Bid</stp>
        <tr r="E33" s="1"/>
      </tp>
      <tp t="s">
        <v>FEB20C|BID</v>
        <stp/>
        <stp>Feb20C</stp>
        <stp>Bid</stp>
        <tr r="E32" s="1"/>
      </tp>
      <tp t="s">
        <v>FEB24P|ASK</v>
        <stp/>
        <stp>Feb24P</stp>
        <stp>Ask</stp>
        <tr r="F41" s="1"/>
      </tp>
      <tp t="s">
        <v>FEB24C|ASK</v>
        <stp/>
        <stp>Feb24C</stp>
        <stp>Ask</stp>
        <tr r="F40" s="1"/>
      </tp>
      <tp t="s">
        <v>FEB21P|ASK</v>
        <stp/>
        <stp>Feb21P</stp>
        <stp>Ask</stp>
        <tr r="F35" s="1"/>
      </tp>
      <tp t="s">
        <v>FEB21C|ASK</v>
        <stp/>
        <stp>Feb21C</stp>
        <stp>Ask</stp>
        <tr r="F34" s="1"/>
      </tp>
      <tp t="s">
        <v>FEB20P|ASK</v>
        <stp/>
        <stp>Feb20P</stp>
        <stp>Ask</stp>
        <tr r="F33" s="1"/>
      </tp>
      <tp t="s">
        <v>FEB20C|ASK</v>
        <stp/>
        <stp>Feb20C</stp>
        <stp>Ask</stp>
        <tr r="F32" s="1"/>
      </tp>
      <tp t="s">
        <v>FEB23P|ASK</v>
        <stp/>
        <stp>Feb23P</stp>
        <stp>Ask</stp>
        <tr r="F39" s="1"/>
      </tp>
      <tp t="s">
        <v>FEB23C|ASK</v>
        <stp/>
        <stp>Feb23C</stp>
        <stp>Ask</stp>
        <tr r="F38" s="1"/>
      </tp>
      <tp t="s">
        <v>FEB22P|ASK</v>
        <stp/>
        <stp>Feb22P</stp>
        <stp>Ask</stp>
        <tr r="F37" s="1"/>
      </tp>
      <tp t="s">
        <v>FEB22C|ASK</v>
        <stp/>
        <stp>Feb22C</stp>
        <stp>Ask</stp>
        <tr r="F36" s="1"/>
      </tp>
      <tp t="s">
        <v>JAN21P|ASK</v>
        <stp/>
        <stp>Jan21P</stp>
        <stp>Ask</stp>
        <tr r="F16" s="1"/>
      </tp>
      <tp t="s">
        <v>JAN21C|ASK</v>
        <stp/>
        <stp>Jan21C</stp>
        <stp>Ask</stp>
        <tr r="F15" s="1"/>
      </tp>
      <tp t="s">
        <v>JAN20P|ASK</v>
        <stp/>
        <stp>Jan20P</stp>
        <stp>Ask</stp>
        <tr r="F14" s="1"/>
      </tp>
      <tp t="s">
        <v>JAN20C|ASK</v>
        <stp/>
        <stp>Jan20C</stp>
        <stp>Ask</stp>
        <tr r="F13" s="1"/>
      </tp>
      <tp t="s">
        <v>MAR24P|ASK</v>
        <stp/>
        <stp>Mar24P</stp>
        <stp>Ask</stp>
        <tr r="F60" s="1"/>
      </tp>
      <tp t="s">
        <v>JAN23P|ASK</v>
        <stp/>
        <stp>Jan23P</stp>
        <stp>Ask</stp>
        <tr r="F20" s="1"/>
      </tp>
      <tp t="s">
        <v>MAR24C|ASK</v>
        <stp/>
        <stp>Mar24C</stp>
        <stp>Ask</stp>
        <tr r="F59" s="1"/>
      </tp>
      <tp t="s">
        <v>JAN23C|ASK</v>
        <stp/>
        <stp>Jan23C</stp>
        <stp>Ask</stp>
        <tr r="F19" s="1"/>
      </tp>
      <tp t="s">
        <v>JAN22P|ASK</v>
        <stp/>
        <stp>Jan22P</stp>
        <stp>Ask</stp>
        <tr r="F18" s="1"/>
      </tp>
      <tp t="s">
        <v>JAN22C|ASK</v>
        <stp/>
        <stp>Jan22C</stp>
        <stp>Ask</stp>
        <tr r="F17" s="1"/>
      </tp>
      <tp t="s">
        <v>MAR22P|ASK</v>
        <stp/>
        <stp>Mar22P</stp>
        <stp>Ask</stp>
        <tr r="F56" s="1"/>
      </tp>
      <tp t="s">
        <v>MAR22C|ASK</v>
        <stp/>
        <stp>Mar22C</stp>
        <stp>Ask</stp>
        <tr r="F55" s="1"/>
      </tp>
      <tp t="s">
        <v>MAR23P|ASK</v>
        <stp/>
        <stp>Mar23P</stp>
        <stp>Ask</stp>
        <tr r="F58" s="1"/>
      </tp>
      <tp t="s">
        <v>JAN24P|ASK</v>
        <stp/>
        <stp>Jan24P</stp>
        <stp>Ask</stp>
        <tr r="F22" s="1"/>
      </tp>
      <tp t="s">
        <v>MAR23C|ASK</v>
        <stp/>
        <stp>Mar23C</stp>
        <stp>Ask</stp>
        <tr r="F57" s="1"/>
      </tp>
      <tp t="s">
        <v>JAN24C|ASK</v>
        <stp/>
        <stp>Jan24C</stp>
        <stp>Ask</stp>
        <tr r="F21" s="1"/>
      </tp>
      <tp t="s">
        <v>MAR20P|ASK</v>
        <stp/>
        <stp>Mar20P</stp>
        <stp>Ask</stp>
        <tr r="F52" s="1"/>
      </tp>
      <tp t="s">
        <v>MAR20C|ASK</v>
        <stp/>
        <stp>Mar20C</stp>
        <stp>Ask</stp>
        <tr r="F51" s="1"/>
      </tp>
      <tp t="s">
        <v>MAR21P|ASK</v>
        <stp/>
        <stp>Mar21P</stp>
        <stp>Ask</stp>
        <tr r="F54" s="1"/>
      </tp>
      <tp t="s">
        <v>MAR21C|ASK</v>
        <stp/>
        <stp>Mar21C</stp>
        <stp>Ask</stp>
        <tr r="F53" s="1"/>
      </tp>
      <tp t="s">
        <v>MAR16P|BID</v>
        <stp/>
        <stp>Mar16P</stp>
        <stp>Bid</stp>
        <tr r="E44" s="1"/>
      </tp>
      <tp t="s">
        <v>MAR16C|BID</v>
        <stp/>
        <stp>Mar16C</stp>
        <stp>Bid</stp>
        <tr r="E43" s="1"/>
      </tp>
      <tp t="s">
        <v>MAR17P|BID</v>
        <stp/>
        <stp>Mar17P</stp>
        <stp>Bid</stp>
        <tr r="E46" s="1"/>
      </tp>
      <tp t="s">
        <v>MAR17C|BID</v>
        <stp/>
        <stp>Mar17C</stp>
        <stp>Bid</stp>
        <tr r="E45" s="1"/>
      </tp>
      <tp t="s">
        <v>JAN17P|BID</v>
        <stp/>
        <stp>Jan17P</stp>
        <stp>Bid</stp>
        <tr r="E8" s="1"/>
      </tp>
      <tp t="s">
        <v>JAN17C|BID</v>
        <stp/>
        <stp>Jan17C</stp>
        <stp>Bid</stp>
        <tr r="E7" s="1"/>
      </tp>
      <tp t="s">
        <v>JAN16P|BID</v>
        <stp/>
        <stp>Jan16P</stp>
        <stp>Bid</stp>
        <tr r="E6" s="1"/>
      </tp>
      <tp t="s">
        <v>JAN16C|BID</v>
        <stp/>
        <stp>Jan16C</stp>
        <stp>Bid</stp>
        <tr r="E5" s="1"/>
      </tp>
      <tp t="s">
        <v>FEB19P|BID</v>
        <stp/>
        <stp>Feb19P</stp>
        <stp>Bid</stp>
        <tr r="E31" s="1"/>
      </tp>
      <tp t="s">
        <v>FEB19C|BID</v>
        <stp/>
        <stp>Feb19C</stp>
        <stp>Bid</stp>
        <tr r="E30" s="1"/>
      </tp>
      <tp t="s">
        <v>FEB18P|BID</v>
        <stp/>
        <stp>Feb18P</stp>
        <stp>Bid</stp>
        <tr r="E29" s="1"/>
      </tp>
      <tp t="s">
        <v>FEB18C|BID</v>
        <stp/>
        <stp>Feb18C</stp>
        <stp>Bid</stp>
        <tr r="E28" s="1"/>
      </tp>
      <tp t="s">
        <v>FEB17P|BID</v>
        <stp/>
        <stp>Feb17P</stp>
        <stp>Bid</stp>
        <tr r="E27" s="1"/>
      </tp>
      <tp t="s">
        <v>FEB17C|BID</v>
        <stp/>
        <stp>Feb17C</stp>
        <stp>Bid</stp>
        <tr r="E26" s="1"/>
      </tp>
      <tp t="s">
        <v>FEB16P|BID</v>
        <stp/>
        <stp>Feb16P</stp>
        <stp>Bid</stp>
        <tr r="E25" s="1"/>
      </tp>
      <tp t="s">
        <v>FEB16C|BID</v>
        <stp/>
        <stp>Feb16C</stp>
        <stp>Bid</stp>
        <tr r="E24" s="1"/>
      </tp>
      <tp t="s">
        <v>JAN19P|BID</v>
        <stp/>
        <stp>Jan19P</stp>
        <stp>Bid</stp>
        <tr r="E12" s="1"/>
      </tp>
      <tp t="s">
        <v>JAN19C|BID</v>
        <stp/>
        <stp>Jan19C</stp>
        <stp>Bid</stp>
        <tr r="E11" s="1"/>
      </tp>
      <tp t="s">
        <v>JAN18P|BID</v>
        <stp/>
        <stp>Jan18P</stp>
        <stp>Bid</stp>
        <tr r="E10" s="1"/>
      </tp>
      <tp t="s">
        <v>JAN18C|BID</v>
        <stp/>
        <stp>Jan18C</stp>
        <stp>Bid</stp>
        <tr r="E9" s="1"/>
      </tp>
      <tp t="s">
        <v>MAR18P|BID</v>
        <stp/>
        <stp>Mar18P</stp>
        <stp>Bid</stp>
        <tr r="E48" s="1"/>
      </tp>
      <tp t="s">
        <v>MAR18C|BID</v>
        <stp/>
        <stp>Mar18C</stp>
        <stp>Bid</stp>
        <tr r="E47" s="1"/>
      </tp>
      <tp t="s">
        <v>MAR19P|BID</v>
        <stp/>
        <stp>Mar19P</stp>
        <stp>Bid</stp>
        <tr r="E50" s="1"/>
      </tp>
      <tp t="s">
        <v>MAR19C|BID</v>
        <stp/>
        <stp>Mar19C</stp>
        <stp>Bid</stp>
        <tr r="E49" s="1"/>
      </tp>
      <tp t="s">
        <v>FEB20C|POSITION</v>
        <stp/>
        <stp>Feb20C</stp>
        <stp>Position</stp>
        <tr r="C32" s="1"/>
      </tp>
      <tp t="s">
        <v>FEB20P|POSITION</v>
        <stp/>
        <stp>Feb20P</stp>
        <stp>Position</stp>
        <tr r="C33" s="1"/>
      </tp>
      <tp t="s">
        <v>FEB21C|POSITION</v>
        <stp/>
        <stp>Feb21C</stp>
        <stp>Position</stp>
        <tr r="C34" s="1"/>
      </tp>
      <tp t="s">
        <v>FEB21P|POSITION</v>
        <stp/>
        <stp>Feb21P</stp>
        <stp>Position</stp>
        <tr r="C35" s="1"/>
      </tp>
      <tp t="s">
        <v>MAR19C|POSITION</v>
        <stp/>
        <stp>Mar19C</stp>
        <stp>Position</stp>
        <tr r="C49" s="1"/>
      </tp>
      <tp t="s">
        <v>FEB22C|POSITION</v>
        <stp/>
        <stp>Feb22C</stp>
        <stp>Position</stp>
        <tr r="C36" s="1"/>
      </tp>
      <tp t="s">
        <v>MAR19P|POSITION</v>
        <stp/>
        <stp>Mar19P</stp>
        <stp>Position</stp>
        <tr r="C50" s="1"/>
      </tp>
      <tp t="s">
        <v>FEB22P|POSITION</v>
        <stp/>
        <stp>Feb22P</stp>
        <stp>Position</stp>
        <tr r="C37" s="1"/>
      </tp>
      <tp t="s">
        <v>MAR18C|POSITION</v>
        <stp/>
        <stp>Mar18C</stp>
        <stp>Position</stp>
        <tr r="C47" s="1"/>
      </tp>
      <tp t="s">
        <v>FEB23C|POSITION</v>
        <stp/>
        <stp>Feb23C</stp>
        <stp>Position</stp>
        <tr r="C38" s="1"/>
      </tp>
      <tp t="s">
        <v>MAR18P|POSITION</v>
        <stp/>
        <stp>Mar18P</stp>
        <stp>Position</stp>
        <tr r="C48" s="1"/>
      </tp>
      <tp t="s">
        <v>FEB23P|POSITION</v>
        <stp/>
        <stp>Feb23P</stp>
        <stp>Position</stp>
        <tr r="C39" s="1"/>
      </tp>
      <tp t="s">
        <v>JAN18C|POSITION</v>
        <stp/>
        <stp>Jan18C</stp>
        <stp>Position</stp>
        <tr r="C9" s="1"/>
      </tp>
      <tp t="s">
        <v>FEB24C|POSITION</v>
        <stp/>
        <stp>Feb24C</stp>
        <stp>Position</stp>
        <tr r="C40" s="1"/>
      </tp>
      <tp t="s">
        <v>JAN18P|POSITION</v>
        <stp/>
        <stp>Jan18P</stp>
        <stp>Position</stp>
        <tr r="C10" s="1"/>
      </tp>
      <tp t="s">
        <v>FEB24P|POSITION</v>
        <stp/>
        <stp>Feb24P</stp>
        <stp>Position</stp>
        <tr r="C41" s="1"/>
      </tp>
      <tp t="s">
        <v>JAN19C|POSITION</v>
        <stp/>
        <stp>Jan19C</stp>
        <stp>Position</stp>
        <tr r="C11" s="1"/>
      </tp>
      <tp t="s">
        <v>JAN19P|POSITION</v>
        <stp/>
        <stp>Jan19P</stp>
        <stp>Position</stp>
        <tr r="C12" s="1"/>
      </tp>
      <tp t="s">
        <v>FEB16C|POSITION</v>
        <stp/>
        <stp>Feb16C</stp>
        <stp>Position</stp>
        <tr r="C24" s="1"/>
      </tp>
      <tp t="s">
        <v>FEB16P|POSITION</v>
        <stp/>
        <stp>Feb16P</stp>
        <stp>Position</stp>
        <tr r="C25" s="1"/>
      </tp>
      <tp t="s">
        <v>FEB17C|POSITION</v>
        <stp/>
        <stp>Feb17C</stp>
        <stp>Position</stp>
        <tr r="C26" s="1"/>
      </tp>
      <tp t="s">
        <v>FEB17P|POSITION</v>
        <stp/>
        <stp>Feb17P</stp>
        <stp>Position</stp>
        <tr r="C27" s="1"/>
      </tp>
      <tp t="s">
        <v>MAR23C|POSITION</v>
        <stp/>
        <stp>Mar23C</stp>
        <stp>Position</stp>
        <tr r="C57" s="1"/>
      </tp>
      <tp t="s">
        <v>JAN24C|POSITION</v>
        <stp/>
        <stp>Jan24C</stp>
        <stp>Position</stp>
        <tr r="C21" s="1"/>
      </tp>
      <tp t="s">
        <v>FEB18C|POSITION</v>
        <stp/>
        <stp>Feb18C</stp>
        <stp>Position</stp>
        <tr r="C28" s="1"/>
      </tp>
      <tp t="s">
        <v>MAR23P|POSITION</v>
        <stp/>
        <stp>Mar23P</stp>
        <stp>Position</stp>
        <tr r="C58" s="1"/>
      </tp>
      <tp t="s">
        <v>JAN24P|POSITION</v>
        <stp/>
        <stp>Jan24P</stp>
        <stp>Position</stp>
        <tr r="C22" s="1"/>
      </tp>
      <tp t="s">
        <v>FEB18P|POSITION</v>
        <stp/>
        <stp>Feb18P</stp>
        <stp>Position</stp>
        <tr r="C29" s="1"/>
      </tp>
      <tp t="s">
        <v>MAR22C|POSITION</v>
        <stp/>
        <stp>Mar22C</stp>
        <stp>Position</stp>
        <tr r="C55" s="1"/>
      </tp>
      <tp t="s">
        <v>FEB19C|POSITION</v>
        <stp/>
        <stp>Feb19C</stp>
        <stp>Position</stp>
        <tr r="C30" s="1"/>
      </tp>
      <tp t="s">
        <v>MAR22P|POSITION</v>
        <stp/>
        <stp>Mar22P</stp>
        <stp>Position</stp>
        <tr r="C56" s="1"/>
      </tp>
      <tp t="s">
        <v>FEB19P|POSITION</v>
        <stp/>
        <stp>Feb19P</stp>
        <stp>Position</stp>
        <tr r="C31" s="1"/>
      </tp>
      <tp t="s">
        <v>MAR21C|POSITION</v>
        <stp/>
        <stp>Mar21C</stp>
        <stp>Position</stp>
        <tr r="C53" s="1"/>
      </tp>
      <tp t="s">
        <v>JAN16C|POSITION</v>
        <stp/>
        <stp>Jan16C</stp>
        <stp>Position</stp>
        <tr r="C5" s="1"/>
      </tp>
      <tp t="s">
        <v>MAR21P|POSITION</v>
        <stp/>
        <stp>Mar21P</stp>
        <stp>Position</stp>
        <tr r="C54" s="1"/>
      </tp>
      <tp t="s">
        <v>JAN16P|POSITION</v>
        <stp/>
        <stp>Jan16P</stp>
        <stp>Position</stp>
        <tr r="C6" s="1"/>
      </tp>
      <tp t="s">
        <v>MAR20C|POSITION</v>
        <stp/>
        <stp>Mar20C</stp>
        <stp>Position</stp>
        <tr r="C51" s="1"/>
      </tp>
      <tp t="s">
        <v>JAN17C|POSITION</v>
        <stp/>
        <stp>Jan17C</stp>
        <stp>Position</stp>
        <tr r="C7" s="1"/>
      </tp>
      <tp t="s">
        <v>MAR20P|POSITION</v>
        <stp/>
        <stp>Mar20P</stp>
        <stp>Position</stp>
        <tr r="C52" s="1"/>
      </tp>
      <tp t="s">
        <v>JAN17P|POSITION</v>
        <stp/>
        <stp>Jan17P</stp>
        <stp>Position</stp>
        <tr r="C8" s="1"/>
      </tp>
      <tp t="s">
        <v>MAR17C|POSITION</v>
        <stp/>
        <stp>Mar17C</stp>
        <stp>Position</stp>
        <tr r="C45" s="1"/>
      </tp>
      <tp t="s">
        <v>JAN20C|POSITION</v>
        <stp/>
        <stp>Jan20C</stp>
        <stp>Position</stp>
        <tr r="C13" s="1"/>
      </tp>
      <tp t="s">
        <v>MAR17P|POSITION</v>
        <stp/>
        <stp>Mar17P</stp>
        <stp>Position</stp>
        <tr r="C46" s="1"/>
      </tp>
      <tp t="s">
        <v>JAN20P|POSITION</v>
        <stp/>
        <stp>Jan20P</stp>
        <stp>Position</stp>
        <tr r="C14" s="1"/>
      </tp>
      <tp t="s">
        <v>MAR16C|POSITION</v>
        <stp/>
        <stp>Mar16C</stp>
        <stp>Position</stp>
        <tr r="C43" s="1"/>
      </tp>
      <tp t="s">
        <v>JAN21C|POSITION</v>
        <stp/>
        <stp>Jan21C</stp>
        <stp>Position</stp>
        <tr r="C15" s="1"/>
      </tp>
      <tp t="s">
        <v>MAR16P|POSITION</v>
        <stp/>
        <stp>Mar16P</stp>
        <stp>Position</stp>
        <tr r="C44" s="1"/>
      </tp>
      <tp t="s">
        <v>JAN21P|POSITION</v>
        <stp/>
        <stp>Jan21P</stp>
        <stp>Position</stp>
        <tr r="C16" s="1"/>
      </tp>
      <tp t="s">
        <v>JAN22C|POSITION</v>
        <stp/>
        <stp>Jan22C</stp>
        <stp>Position</stp>
        <tr r="C17" s="1"/>
      </tp>
      <tp t="s">
        <v>JAN22P|POSITION</v>
        <stp/>
        <stp>Jan22P</stp>
        <stp>Position</stp>
        <tr r="C18" s="1"/>
      </tp>
      <tp t="s">
        <v>MAR24C|POSITION</v>
        <stp/>
        <stp>Mar24C</stp>
        <stp>Position</stp>
        <tr r="C59" s="1"/>
      </tp>
      <tp t="s">
        <v>JAN23C|POSITION</v>
        <stp/>
        <stp>Jan23C</stp>
        <stp>Position</stp>
        <tr r="C19" s="1"/>
      </tp>
      <tp t="s">
        <v>MAR24P|POSITION</v>
        <stp/>
        <stp>Mar24P</stp>
        <stp>Position</stp>
        <tr r="C60" s="1"/>
      </tp>
      <tp t="s">
        <v>JAN23P|POSITION</v>
        <stp/>
        <stp>Jan23P</stp>
        <stp>Position</stp>
        <tr r="C2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volatileDependencies" Target="volatileDependencie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CA" sz="1400" b="1" i="0" u="none" strike="noStrike" baseline="0">
                <a:effectLst/>
              </a:rPr>
              <a:t>Combined Portfolio Intrinsic Value </a:t>
            </a:r>
            <a:endParaRPr lang="en-US" sz="1400" baseline="0"/>
          </a:p>
        </c:rich>
      </c:tx>
      <c:layout>
        <c:manualLayout>
          <c:xMode val="edge"/>
          <c:yMode val="edge"/>
          <c:x val="0.14087018544935806"/>
          <c:y val="3.53959361885803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3"/>
          <c:order val="1"/>
          <c:tx>
            <c:v>Position with Options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Table'!$A$26:$A$38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B-4929-B67A-6B6E21A2A3F6}"/>
            </c:ext>
          </c:extLst>
        </c:ser>
        <c:ser>
          <c:idx val="0"/>
          <c:order val="2"/>
          <c:tx>
            <c:v>Unhedged Position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2B-4929-B67A-6B6E21A2A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959616"/>
        <c:axId val="338356512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v>Unhedged Position</c:v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'Summary Table'!$E$10:$E$22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14</c:v>
                      </c:pt>
                      <c:pt idx="1">
                        <c:v>15</c:v>
                      </c:pt>
                      <c:pt idx="2">
                        <c:v>16</c:v>
                      </c:pt>
                      <c:pt idx="3">
                        <c:v>17</c:v>
                      </c:pt>
                      <c:pt idx="4">
                        <c:v>18</c:v>
                      </c:pt>
                      <c:pt idx="5">
                        <c:v>19</c:v>
                      </c:pt>
                      <c:pt idx="6">
                        <c:v>20</c:v>
                      </c:pt>
                      <c:pt idx="7">
                        <c:v>21</c:v>
                      </c:pt>
                      <c:pt idx="8">
                        <c:v>22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25</c:v>
                      </c:pt>
                      <c:pt idx="12">
                        <c:v>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'Summary Table'!$A$10:$A$22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1400000</c:v>
                      </c:pt>
                      <c:pt idx="1">
                        <c:v>1500000</c:v>
                      </c:pt>
                      <c:pt idx="2">
                        <c:v>1600000</c:v>
                      </c:pt>
                      <c:pt idx="3">
                        <c:v>1700000</c:v>
                      </c:pt>
                      <c:pt idx="4">
                        <c:v>1800000</c:v>
                      </c:pt>
                      <c:pt idx="5">
                        <c:v>1900000</c:v>
                      </c:pt>
                      <c:pt idx="6">
                        <c:v>2000000</c:v>
                      </c:pt>
                      <c:pt idx="7">
                        <c:v>2100000</c:v>
                      </c:pt>
                      <c:pt idx="8">
                        <c:v>2200000</c:v>
                      </c:pt>
                      <c:pt idx="9">
                        <c:v>2300000</c:v>
                      </c:pt>
                      <c:pt idx="10">
                        <c:v>2400000</c:v>
                      </c:pt>
                      <c:pt idx="11">
                        <c:v>2500000</c:v>
                      </c:pt>
                      <c:pt idx="12">
                        <c:v>2600000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D2B-4929-B67A-6B6E21A2A3F6}"/>
                  </c:ext>
                </c:extLst>
              </c15:ser>
            </c15:filteredLineSeries>
            <c15:filteredLineSeries>
              <c15:ser>
                <c:idx val="1"/>
                <c:order val="3"/>
                <c:tx>
                  <c:v>Position with Jan Options</c:v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'Summary Table'!$E$10:$E$22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14</c:v>
                      </c:pt>
                      <c:pt idx="1">
                        <c:v>15</c:v>
                      </c:pt>
                      <c:pt idx="2">
                        <c:v>16</c:v>
                      </c:pt>
                      <c:pt idx="3">
                        <c:v>17</c:v>
                      </c:pt>
                      <c:pt idx="4">
                        <c:v>18</c:v>
                      </c:pt>
                      <c:pt idx="5">
                        <c:v>19</c:v>
                      </c:pt>
                      <c:pt idx="6">
                        <c:v>20</c:v>
                      </c:pt>
                      <c:pt idx="7">
                        <c:v>21</c:v>
                      </c:pt>
                      <c:pt idx="8">
                        <c:v>22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25</c:v>
                      </c:pt>
                      <c:pt idx="12">
                        <c:v>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'Summary Table'!$B$26:$B$38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3"/>
                      <c:pt idx="0">
                        <c:v>1400000</c:v>
                      </c:pt>
                      <c:pt idx="1">
                        <c:v>1500000</c:v>
                      </c:pt>
                      <c:pt idx="2">
                        <c:v>1600000</c:v>
                      </c:pt>
                      <c:pt idx="3">
                        <c:v>1700000</c:v>
                      </c:pt>
                      <c:pt idx="4">
                        <c:v>1800000</c:v>
                      </c:pt>
                      <c:pt idx="5">
                        <c:v>1900000</c:v>
                      </c:pt>
                      <c:pt idx="6">
                        <c:v>2000000</c:v>
                      </c:pt>
                      <c:pt idx="7">
                        <c:v>2100000</c:v>
                      </c:pt>
                      <c:pt idx="8">
                        <c:v>2200000</c:v>
                      </c:pt>
                      <c:pt idx="9">
                        <c:v>2300000</c:v>
                      </c:pt>
                      <c:pt idx="10">
                        <c:v>2400000</c:v>
                      </c:pt>
                      <c:pt idx="11">
                        <c:v>2500000</c:v>
                      </c:pt>
                      <c:pt idx="12">
                        <c:v>2600000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2B-4929-B67A-6B6E21A2A3F6}"/>
                  </c:ext>
                </c:extLst>
              </c15:ser>
            </c15:filteredLineSeries>
          </c:ext>
        </c:extLst>
      </c:lineChart>
      <c:catAx>
        <c:axId val="33495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356512"/>
        <c:crosses val="autoZero"/>
        <c:auto val="1"/>
        <c:lblAlgn val="ctr"/>
        <c:lblOffset val="100"/>
        <c:noMultiLvlLbl val="0"/>
      </c:catAx>
      <c:valAx>
        <c:axId val="338356512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49596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Portfolio Intrinsic Value – February Options only</a:t>
            </a:r>
            <a:endParaRPr lang="en-US" sz="1400" baseline="0"/>
          </a:p>
        </c:rich>
      </c:tx>
      <c:layout>
        <c:manualLayout>
          <c:xMode val="edge"/>
          <c:yMode val="edge"/>
          <c:x val="0.14087018544935806"/>
          <c:y val="3.539593618858034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3"/>
          <c:order val="0"/>
          <c:tx>
            <c:v>Position with Feb Options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Table'!$C$26:$C$38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E-4D81-A65C-1AA860D0A54C}"/>
            </c:ext>
          </c:extLst>
        </c:ser>
        <c:ser>
          <c:idx val="0"/>
          <c:order val="1"/>
          <c:tx>
            <c:v>Unhedged Position</c:v>
          </c:tx>
          <c:spPr>
            <a:ln w="28575" cap="rnd" cmpd="sng" algn="ctr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E-4D81-A65C-1AA860D0A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360992"/>
        <c:axId val="338361552"/>
      </c:lineChart>
      <c:catAx>
        <c:axId val="33836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61552"/>
        <c:crosses val="autoZero"/>
        <c:auto val="1"/>
        <c:lblAlgn val="ctr"/>
        <c:lblOffset val="100"/>
        <c:noMultiLvlLbl val="0"/>
      </c:catAx>
      <c:valAx>
        <c:axId val="338361552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36099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CA" sz="1400" b="1" i="0" u="none" strike="noStrike" baseline="0">
                <a:effectLst/>
              </a:rPr>
              <a:t>Portfolio Intrinsic Value – March Options only</a:t>
            </a:r>
            <a:endParaRPr lang="en-US" sz="1400" baseline="0"/>
          </a:p>
        </c:rich>
      </c:tx>
      <c:layout>
        <c:manualLayout>
          <c:xMode val="edge"/>
          <c:yMode val="edge"/>
          <c:x val="0.14087018544935806"/>
          <c:y val="3.53959361885803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5"/>
          <c:order val="0"/>
          <c:tx>
            <c:v>Position with Mar Options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Table'!$D$26:$D$38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D-4AE0-AEE3-1BFD9A37D722}"/>
            </c:ext>
          </c:extLst>
        </c:ser>
        <c:ser>
          <c:idx val="0"/>
          <c:order val="1"/>
          <c:tx>
            <c:v>Unhedged Position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D-4AE0-AEE3-1BFD9A37D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764848"/>
        <c:axId val="338765408"/>
      </c:lineChart>
      <c:catAx>
        <c:axId val="338764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765408"/>
        <c:crosses val="autoZero"/>
        <c:auto val="1"/>
        <c:lblAlgn val="ctr"/>
        <c:lblOffset val="100"/>
        <c:noMultiLvlLbl val="0"/>
      </c:catAx>
      <c:valAx>
        <c:axId val="338765408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87648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CA" sz="1400" b="1" i="0" u="none" strike="noStrike" baseline="0">
                <a:effectLst/>
              </a:rPr>
              <a:t>Portfolio Intrinsic Value – January Options only</a:t>
            </a:r>
            <a:endParaRPr lang="en-US" sz="1400" baseline="0"/>
          </a:p>
        </c:rich>
      </c:tx>
      <c:layout>
        <c:manualLayout>
          <c:xMode val="edge"/>
          <c:yMode val="edge"/>
          <c:x val="0.14087018544935806"/>
          <c:y val="3.53959361885803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0"/>
          <c:order val="0"/>
          <c:tx>
            <c:v>Unhedged Position</c:v>
          </c:tx>
          <c:marker>
            <c:symbol val="none"/>
          </c:marker>
          <c:dPt>
            <c:idx val="0"/>
            <c:bubble3D val="0"/>
            <c:spPr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FCF-4FDA-8ED8-17DCE5304C30}"/>
              </c:ext>
            </c:extLst>
          </c:dPt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F-4FDA-8ED8-17DCE5304C30}"/>
            </c:ext>
          </c:extLst>
        </c:ser>
        <c:ser>
          <c:idx val="1"/>
          <c:order val="1"/>
          <c:tx>
            <c:v>Position with Jan Options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Table'!$B$26:$B$38</c:f>
              <c:numCache>
                <c:formatCode>_(* #,##0_);_(* \(#,##0\);_(* "-"??_);_(@_)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CF-4FDA-8ED8-17DCE5304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768768"/>
        <c:axId val="338769328"/>
      </c:lineChart>
      <c:catAx>
        <c:axId val="33876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769328"/>
        <c:crosses val="autoZero"/>
        <c:auto val="1"/>
        <c:lblAlgn val="ctr"/>
        <c:lblOffset val="100"/>
        <c:noMultiLvlLbl val="0"/>
      </c:catAx>
      <c:valAx>
        <c:axId val="338769328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87687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Settlement Values</a:t>
            </a:r>
          </a:p>
          <a:p>
            <a:pPr>
              <a:defRPr/>
            </a:pPr>
            <a:r>
              <a:rPr lang="en-US" baseline="0"/>
              <a:t>(All remaining months)</a:t>
            </a:r>
          </a:p>
        </c:rich>
      </c:tx>
      <c:layout>
        <c:manualLayout>
          <c:xMode val="edge"/>
          <c:yMode val="edge"/>
          <c:x val="0.37618069815195071"/>
          <c:y val="3.539582994448005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0"/>
          <c:order val="0"/>
          <c:tx>
            <c:v>Unhedged Position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9-49CF-9C15-85AEFEED9999}"/>
            </c:ext>
          </c:extLst>
        </c:ser>
        <c:ser>
          <c:idx val="1"/>
          <c:order val="1"/>
          <c:tx>
            <c:v>Position with Options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Table'!$A$26:$A$38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9-49CF-9C15-85AEFEED9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645856"/>
        <c:axId val="338646416"/>
      </c:lineChart>
      <c:catAx>
        <c:axId val="33864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646416"/>
        <c:crosses val="autoZero"/>
        <c:auto val="1"/>
        <c:lblAlgn val="ctr"/>
        <c:lblOffset val="100"/>
        <c:noMultiLvlLbl val="0"/>
      </c:catAx>
      <c:valAx>
        <c:axId val="338646416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86458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Settlement Values</a:t>
            </a:r>
          </a:p>
          <a:p>
            <a:pPr>
              <a:defRPr/>
            </a:pPr>
            <a:r>
              <a:rPr lang="en-US" baseline="0"/>
              <a:t>(January)</a:t>
            </a:r>
          </a:p>
        </c:rich>
      </c:tx>
      <c:layout>
        <c:manualLayout>
          <c:xMode val="edge"/>
          <c:yMode val="edge"/>
          <c:x val="0.37618069815195071"/>
          <c:y val="3.539582994448005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0"/>
          <c:order val="0"/>
          <c:tx>
            <c:v>Unhedged Position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8-499D-9832-36C3B4FAC9DE}"/>
            </c:ext>
          </c:extLst>
        </c:ser>
        <c:ser>
          <c:idx val="1"/>
          <c:order val="1"/>
          <c:tx>
            <c:v>Position with Jan Options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Table'!$B$26:$B$38</c:f>
              <c:numCache>
                <c:formatCode>_(* #,##0_);_(* \(#,##0\);_(* "-"??_);_(@_)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8-499D-9832-36C3B4FA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649216"/>
        <c:axId val="338649776"/>
      </c:lineChart>
      <c:catAx>
        <c:axId val="3386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8649776"/>
        <c:crosses val="autoZero"/>
        <c:auto val="1"/>
        <c:lblAlgn val="ctr"/>
        <c:lblOffset val="100"/>
        <c:noMultiLvlLbl val="0"/>
      </c:catAx>
      <c:valAx>
        <c:axId val="338649776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86492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Settlement Values</a:t>
            </a:r>
          </a:p>
          <a:p>
            <a:pPr>
              <a:defRPr/>
            </a:pPr>
            <a:r>
              <a:rPr lang="en-US" baseline="0"/>
              <a:t>(February)</a:t>
            </a:r>
          </a:p>
        </c:rich>
      </c:tx>
      <c:layout>
        <c:manualLayout>
          <c:xMode val="edge"/>
          <c:yMode val="edge"/>
          <c:x val="0.37618069815195071"/>
          <c:y val="3.539582994448005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0"/>
          <c:order val="0"/>
          <c:tx>
            <c:v>Unhedged Position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86-4D6E-AEC1-08107F8949B9}"/>
            </c:ext>
          </c:extLst>
        </c:ser>
        <c:ser>
          <c:idx val="1"/>
          <c:order val="1"/>
          <c:tx>
            <c:v>Position with Feb Options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Table'!$C$26:$C$38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86-4D6E-AEC1-08107F894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187568"/>
        <c:axId val="339188128"/>
      </c:lineChart>
      <c:catAx>
        <c:axId val="33918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9188128"/>
        <c:crosses val="autoZero"/>
        <c:auto val="1"/>
        <c:lblAlgn val="ctr"/>
        <c:lblOffset val="100"/>
        <c:noMultiLvlLbl val="0"/>
      </c:catAx>
      <c:valAx>
        <c:axId val="339188128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91875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Settlement Values</a:t>
            </a:r>
          </a:p>
          <a:p>
            <a:pPr>
              <a:defRPr/>
            </a:pPr>
            <a:r>
              <a:rPr lang="en-US" baseline="0"/>
              <a:t>(March)</a:t>
            </a:r>
          </a:p>
        </c:rich>
      </c:tx>
      <c:layout>
        <c:manualLayout>
          <c:xMode val="edge"/>
          <c:yMode val="edge"/>
          <c:x val="0.37618069815195071"/>
          <c:y val="3.539582994448005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2360657449464386"/>
          <c:y val="4.3411625037253418E-2"/>
          <c:w val="0.81934606275481392"/>
          <c:h val="0.72960236747019114"/>
        </c:manualLayout>
      </c:layout>
      <c:lineChart>
        <c:grouping val="standard"/>
        <c:varyColors val="0"/>
        <c:ser>
          <c:idx val="0"/>
          <c:order val="0"/>
          <c:tx>
            <c:v>Unhedged Position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Table'!$A$10:$A$22</c:f>
              <c:numCache>
                <c:formatCode>General</c:formatCode>
                <c:ptCount val="13"/>
                <c:pt idx="0">
                  <c:v>1400000</c:v>
                </c:pt>
                <c:pt idx="1">
                  <c:v>1500000</c:v>
                </c:pt>
                <c:pt idx="2">
                  <c:v>1600000</c:v>
                </c:pt>
                <c:pt idx="3">
                  <c:v>1700000</c:v>
                </c:pt>
                <c:pt idx="4">
                  <c:v>1800000</c:v>
                </c:pt>
                <c:pt idx="5">
                  <c:v>1900000</c:v>
                </c:pt>
                <c:pt idx="6">
                  <c:v>2000000</c:v>
                </c:pt>
                <c:pt idx="7">
                  <c:v>2100000</c:v>
                </c:pt>
                <c:pt idx="8">
                  <c:v>2200000</c:v>
                </c:pt>
                <c:pt idx="9">
                  <c:v>2300000</c:v>
                </c:pt>
                <c:pt idx="10">
                  <c:v>2400000</c:v>
                </c:pt>
                <c:pt idx="11">
                  <c:v>2500000</c:v>
                </c:pt>
                <c:pt idx="12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8-4129-95AC-3AE0F5DFAB5E}"/>
            </c:ext>
          </c:extLst>
        </c:ser>
        <c:ser>
          <c:idx val="1"/>
          <c:order val="1"/>
          <c:tx>
            <c:v>Position with Mar Options</c:v>
          </c:tx>
          <c:marker>
            <c:symbol val="none"/>
          </c:marker>
          <c:cat>
            <c:numRef>
              <c:f>'Summary Table'!$E$10:$E$22</c:f>
              <c:numCache>
                <c:formatCode>General</c:formatCode>
                <c:ptCount val="13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</c:numCache>
            </c:numRef>
          </c:cat>
          <c:val>
            <c:numRef>
              <c:f>'Summary Table'!$D$26:$D$38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8-4129-95AC-3AE0F5DFA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190928"/>
        <c:axId val="339191488"/>
      </c:lineChart>
      <c:catAx>
        <c:axId val="33919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9191488"/>
        <c:crosses val="autoZero"/>
        <c:auto val="1"/>
        <c:lblAlgn val="ctr"/>
        <c:lblOffset val="100"/>
        <c:noMultiLvlLbl val="0"/>
      </c:catAx>
      <c:valAx>
        <c:axId val="339191488"/>
        <c:scaling>
          <c:orientation val="minMax"/>
          <c:min val="1250000"/>
        </c:scaling>
        <c:delete val="0"/>
        <c:axPos val="l"/>
        <c:numFmt formatCode="&quot;$&quot;#,##0" sourceLinked="0"/>
        <c:majorTickMark val="out"/>
        <c:minorTickMark val="none"/>
        <c:tickLblPos val="nextTo"/>
        <c:crossAx val="3391909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8828114840075369"/>
          <c:y val="0.89068276589089246"/>
          <c:w val="0.6646422994594029"/>
          <c:h val="6.711957793415318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193098</xdr:colOff>
      <xdr:row>4</xdr:row>
      <xdr:rowOff>109104</xdr:rowOff>
    </xdr:from>
    <xdr:to>
      <xdr:col>23</xdr:col>
      <xdr:colOff>549853</xdr:colOff>
      <xdr:row>21</xdr:row>
      <xdr:rowOff>71005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247650</xdr:colOff>
      <xdr:row>23</xdr:row>
      <xdr:rowOff>133350</xdr:rowOff>
    </xdr:from>
    <xdr:to>
      <xdr:col>14</xdr:col>
      <xdr:colOff>590550</xdr:colOff>
      <xdr:row>40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42</xdr:row>
      <xdr:rowOff>95250</xdr:rowOff>
    </xdr:from>
    <xdr:to>
      <xdr:col>14</xdr:col>
      <xdr:colOff>590550</xdr:colOff>
      <xdr:row>59</xdr:row>
      <xdr:rowOff>57151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228600</xdr:colOff>
      <xdr:row>4</xdr:row>
      <xdr:rowOff>95250</xdr:rowOff>
    </xdr:from>
    <xdr:to>
      <xdr:col>14</xdr:col>
      <xdr:colOff>571500</xdr:colOff>
      <xdr:row>21</xdr:row>
      <xdr:rowOff>57151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133350</xdr:colOff>
      <xdr:row>0</xdr:row>
      <xdr:rowOff>57150</xdr:rowOff>
    </xdr:from>
    <xdr:to>
      <xdr:col>1</xdr:col>
      <xdr:colOff>1089346</xdr:colOff>
      <xdr:row>2</xdr:row>
      <xdr:rowOff>65847</xdr:rowOff>
    </xdr:to>
    <xdr:pic>
      <xdr:nvPicPr>
        <xdr:cNvPr id="6" name="Picture 5" descr="logo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1787393" cy="523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361950</xdr:colOff>
      <xdr:row>24</xdr:row>
      <xdr:rowOff>28575</xdr:rowOff>
    </xdr:from>
    <xdr:to>
      <xdr:col>22</xdr:col>
      <xdr:colOff>95250</xdr:colOff>
      <xdr:row>40</xdr:row>
      <xdr:rowOff>180976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23</xdr:row>
      <xdr:rowOff>171450</xdr:rowOff>
    </xdr:from>
    <xdr:to>
      <xdr:col>13</xdr:col>
      <xdr:colOff>57150</xdr:colOff>
      <xdr:row>40</xdr:row>
      <xdr:rowOff>133351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238125</xdr:colOff>
      <xdr:row>41</xdr:row>
      <xdr:rowOff>85725</xdr:rowOff>
    </xdr:from>
    <xdr:to>
      <xdr:col>13</xdr:col>
      <xdr:colOff>57150</xdr:colOff>
      <xdr:row>58</xdr:row>
      <xdr:rowOff>47626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228600</xdr:colOff>
      <xdr:row>59</xdr:row>
      <xdr:rowOff>0</xdr:rowOff>
    </xdr:from>
    <xdr:to>
      <xdr:col>13</xdr:col>
      <xdr:colOff>47625</xdr:colOff>
      <xdr:row>75</xdr:row>
      <xdr:rowOff>152401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638176</xdr:colOff>
      <xdr:row>17</xdr:row>
      <xdr:rowOff>71437</xdr:rowOff>
    </xdr:from>
    <xdr:to>
      <xdr:col>18</xdr:col>
      <xdr:colOff>142876</xdr:colOff>
      <xdr:row>25</xdr:row>
      <xdr:rowOff>155015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9637B-1D11-047D-8E2F-5299577D8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7351" y="3148012"/>
          <a:ext cx="2743200" cy="1531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12"/>
  <sheetViews>
    <sheetView zoomScale="70" zoomScaleNormal="70" workbookViewId="0">
      <selection activeCell="E3" sqref="E3"/>
    </sheetView>
  </sheetViews>
  <sheetFormatPr defaultRowHeight="14.25" x14ac:dyDescent="0.45"/>
  <cols>
    <col min="1" max="1" width="13" customWidth="1"/>
    <col min="2" max="6" width="15.59765625" customWidth="1"/>
    <col min="7" max="35" width="9.1328125" style="7"/>
  </cols>
  <sheetData>
    <row r="1" spans="1:6" s="7" customFormat="1" ht="27.75" customHeight="1" x14ac:dyDescent="0.45">
      <c r="E1" s="9" t="s">
        <v>82</v>
      </c>
    </row>
    <row r="2" spans="1:6" s="7" customFormat="1" ht="12.75" customHeight="1" x14ac:dyDescent="0.45">
      <c r="E2" s="10" t="s">
        <v>81</v>
      </c>
    </row>
    <row r="3" spans="1:6" s="7" customFormat="1" ht="13.5" customHeight="1" x14ac:dyDescent="0.45">
      <c r="E3" s="9"/>
    </row>
    <row r="4" spans="1:6" x14ac:dyDescent="0.45">
      <c r="A4" s="1" t="s">
        <v>18</v>
      </c>
      <c r="B4" s="2" t="s">
        <v>22</v>
      </c>
      <c r="C4" s="2" t="s">
        <v>19</v>
      </c>
      <c r="D4" s="2" t="s">
        <v>75</v>
      </c>
      <c r="E4" s="2" t="s">
        <v>20</v>
      </c>
      <c r="F4" s="2" t="s">
        <v>21</v>
      </c>
    </row>
    <row r="5" spans="1:6" s="7" customFormat="1" x14ac:dyDescent="0.45">
      <c r="A5" s="7" t="s">
        <v>1</v>
      </c>
      <c r="B5" s="8" t="str">
        <f>RTD("rit2.rtd",,$A5,B$4)</f>
        <v>JAN16C|LAST</v>
      </c>
      <c r="C5" s="8" t="str">
        <f>RTD("rit2.rtd",,$A5,C$4)</f>
        <v>JAN16C|POSITION</v>
      </c>
      <c r="D5" s="8" t="str">
        <f>RTD("rit2.rtd",,$A5,D$4)</f>
        <v>JAN16C|COST</v>
      </c>
      <c r="E5" s="8" t="str">
        <f>RTD("rit2.rtd",,$A5,E$4)</f>
        <v>JAN16C|BID</v>
      </c>
      <c r="F5" s="8" t="str">
        <f>RTD("rit2.rtd",,$A5,F$4)</f>
        <v>JAN16C|ASK</v>
      </c>
    </row>
    <row r="6" spans="1:6" s="7" customFormat="1" x14ac:dyDescent="0.45">
      <c r="A6" s="7" t="s">
        <v>0</v>
      </c>
      <c r="B6" s="8" t="str">
        <f>RTD("rit2.rtd",,$A6,B$4)</f>
        <v>JAN16P|LAST</v>
      </c>
      <c r="C6" s="8" t="str">
        <f>RTD("rit2.rtd",,$A6,C$4)</f>
        <v>JAN16P|POSITION</v>
      </c>
      <c r="D6" s="8" t="str">
        <f>RTD("rit2.rtd",,$A6,D$4)</f>
        <v>JAN16P|COST</v>
      </c>
      <c r="E6" s="8" t="str">
        <f>RTD("rit2.rtd",,$A6,E$4)</f>
        <v>JAN16P|BID</v>
      </c>
      <c r="F6" s="8" t="str">
        <f>RTD("rit2.rtd",,$A6,F$4)</f>
        <v>JAN16P|ASK</v>
      </c>
    </row>
    <row r="7" spans="1:6" s="7" customFormat="1" x14ac:dyDescent="0.45">
      <c r="A7" s="7" t="s">
        <v>2</v>
      </c>
      <c r="B7" s="8" t="str">
        <f>RTD("rit2.rtd",,$A7,B$4)</f>
        <v>JAN17C|LAST</v>
      </c>
      <c r="C7" s="8" t="str">
        <f>RTD("rit2.rtd",,$A7,C$4)</f>
        <v>JAN17C|POSITION</v>
      </c>
      <c r="D7" s="8" t="str">
        <f>RTD("rit2.rtd",,$A7,D$4)</f>
        <v>JAN17C|COST</v>
      </c>
      <c r="E7" s="8" t="str">
        <f>RTD("rit2.rtd",,$A7,E$4)</f>
        <v>JAN17C|BID</v>
      </c>
      <c r="F7" s="8" t="str">
        <f>RTD("rit2.rtd",,$A7,F$4)</f>
        <v>JAN17C|ASK</v>
      </c>
    </row>
    <row r="8" spans="1:6" s="7" customFormat="1" x14ac:dyDescent="0.45">
      <c r="A8" s="7" t="s">
        <v>3</v>
      </c>
      <c r="B8" s="8" t="str">
        <f>RTD("rit2.rtd",,$A8,B$4)</f>
        <v>JAN17P|LAST</v>
      </c>
      <c r="C8" s="8" t="str">
        <f>RTD("rit2.rtd",,$A8,C$4)</f>
        <v>JAN17P|POSITION</v>
      </c>
      <c r="D8" s="8" t="str">
        <f>RTD("rit2.rtd",,$A8,D$4)</f>
        <v>JAN17P|COST</v>
      </c>
      <c r="E8" s="8" t="str">
        <f>RTD("rit2.rtd",,$A8,E$4)</f>
        <v>JAN17P|BID</v>
      </c>
      <c r="F8" s="8" t="str">
        <f>RTD("rit2.rtd",,$A8,F$4)</f>
        <v>JAN17P|ASK</v>
      </c>
    </row>
    <row r="9" spans="1:6" s="7" customFormat="1" x14ac:dyDescent="0.45">
      <c r="A9" s="7" t="s">
        <v>4</v>
      </c>
      <c r="B9" s="8" t="str">
        <f>RTD("rit2.rtd",,$A9,B$4)</f>
        <v>JAN18C|LAST</v>
      </c>
      <c r="C9" s="8" t="str">
        <f>RTD("rit2.rtd",,$A9,C$4)</f>
        <v>JAN18C|POSITION</v>
      </c>
      <c r="D9" s="8" t="str">
        <f>RTD("rit2.rtd",,$A9,D$4)</f>
        <v>JAN18C|COST</v>
      </c>
      <c r="E9" s="8" t="str">
        <f>RTD("rit2.rtd",,$A9,E$4)</f>
        <v>JAN18C|BID</v>
      </c>
      <c r="F9" s="8" t="str">
        <f>RTD("rit2.rtd",,$A9,F$4)</f>
        <v>JAN18C|ASK</v>
      </c>
    </row>
    <row r="10" spans="1:6" s="7" customFormat="1" x14ac:dyDescent="0.45">
      <c r="A10" s="7" t="s">
        <v>5</v>
      </c>
      <c r="B10" s="8" t="str">
        <f>RTD("rit2.rtd",,$A10,B$4)</f>
        <v>JAN18P|LAST</v>
      </c>
      <c r="C10" s="8" t="str">
        <f>RTD("rit2.rtd",,$A10,C$4)</f>
        <v>JAN18P|POSITION</v>
      </c>
      <c r="D10" s="8" t="str">
        <f>RTD("rit2.rtd",,$A10,D$4)</f>
        <v>JAN18P|COST</v>
      </c>
      <c r="E10" s="8" t="str">
        <f>RTD("rit2.rtd",,$A10,E$4)</f>
        <v>JAN18P|BID</v>
      </c>
      <c r="F10" s="8" t="str">
        <f>RTD("rit2.rtd",,$A10,F$4)</f>
        <v>JAN18P|ASK</v>
      </c>
    </row>
    <row r="11" spans="1:6" s="7" customFormat="1" x14ac:dyDescent="0.45">
      <c r="A11" s="7" t="s">
        <v>6</v>
      </c>
      <c r="B11" s="8" t="str">
        <f>RTD("rit2.rtd",,$A11,B$4)</f>
        <v>JAN19C|LAST</v>
      </c>
      <c r="C11" s="8" t="str">
        <f>RTD("rit2.rtd",,$A11,C$4)</f>
        <v>JAN19C|POSITION</v>
      </c>
      <c r="D11" s="8" t="str">
        <f>RTD("rit2.rtd",,$A11,D$4)</f>
        <v>JAN19C|COST</v>
      </c>
      <c r="E11" s="8" t="str">
        <f>RTD("rit2.rtd",,$A11,E$4)</f>
        <v>JAN19C|BID</v>
      </c>
      <c r="F11" s="8" t="str">
        <f>RTD("rit2.rtd",,$A11,F$4)</f>
        <v>JAN19C|ASK</v>
      </c>
    </row>
    <row r="12" spans="1:6" s="7" customFormat="1" x14ac:dyDescent="0.45">
      <c r="A12" s="7" t="s">
        <v>7</v>
      </c>
      <c r="B12" s="8" t="str">
        <f>RTD("rit2.rtd",,$A12,B$4)</f>
        <v>JAN19P|LAST</v>
      </c>
      <c r="C12" s="8" t="str">
        <f>RTD("rit2.rtd",,$A12,C$4)</f>
        <v>JAN19P|POSITION</v>
      </c>
      <c r="D12" s="8" t="str">
        <f>RTD("rit2.rtd",,$A12,D$4)</f>
        <v>JAN19P|COST</v>
      </c>
      <c r="E12" s="8" t="str">
        <f>RTD("rit2.rtd",,$A12,E$4)</f>
        <v>JAN19P|BID</v>
      </c>
      <c r="F12" s="8" t="str">
        <f>RTD("rit2.rtd",,$A12,F$4)</f>
        <v>JAN19P|ASK</v>
      </c>
    </row>
    <row r="13" spans="1:6" s="7" customFormat="1" x14ac:dyDescent="0.45">
      <c r="A13" s="7" t="s">
        <v>8</v>
      </c>
      <c r="B13" s="8" t="str">
        <f>RTD("rit2.rtd",,$A13,B$4)</f>
        <v>JAN20C|LAST</v>
      </c>
      <c r="C13" s="8" t="str">
        <f>RTD("rit2.rtd",,$A13,C$4)</f>
        <v>JAN20C|POSITION</v>
      </c>
      <c r="D13" s="8" t="str">
        <f>RTD("rit2.rtd",,$A13,D$4)</f>
        <v>JAN20C|COST</v>
      </c>
      <c r="E13" s="8" t="str">
        <f>RTD("rit2.rtd",,$A13,E$4)</f>
        <v>JAN20C|BID</v>
      </c>
      <c r="F13" s="8" t="str">
        <f>RTD("rit2.rtd",,$A13,F$4)</f>
        <v>JAN20C|ASK</v>
      </c>
    </row>
    <row r="14" spans="1:6" s="7" customFormat="1" x14ac:dyDescent="0.45">
      <c r="A14" s="7" t="s">
        <v>9</v>
      </c>
      <c r="B14" s="8" t="str">
        <f>RTD("rit2.rtd",,$A14,B$4)</f>
        <v>JAN20P|LAST</v>
      </c>
      <c r="C14" s="8" t="str">
        <f>RTD("rit2.rtd",,$A14,C$4)</f>
        <v>JAN20P|POSITION</v>
      </c>
      <c r="D14" s="8" t="str">
        <f>RTD("rit2.rtd",,$A14,D$4)</f>
        <v>JAN20P|COST</v>
      </c>
      <c r="E14" s="8" t="str">
        <f>RTD("rit2.rtd",,$A14,E$4)</f>
        <v>JAN20P|BID</v>
      </c>
      <c r="F14" s="8" t="str">
        <f>RTD("rit2.rtd",,$A14,F$4)</f>
        <v>JAN20P|ASK</v>
      </c>
    </row>
    <row r="15" spans="1:6" s="7" customFormat="1" x14ac:dyDescent="0.45">
      <c r="A15" s="7" t="s">
        <v>10</v>
      </c>
      <c r="B15" s="8" t="str">
        <f>RTD("rit2.rtd",,$A15,B$4)</f>
        <v>JAN21C|LAST</v>
      </c>
      <c r="C15" s="8" t="str">
        <f>RTD("rit2.rtd",,$A15,C$4)</f>
        <v>JAN21C|POSITION</v>
      </c>
      <c r="D15" s="8" t="str">
        <f>RTD("rit2.rtd",,$A15,D$4)</f>
        <v>JAN21C|COST</v>
      </c>
      <c r="E15" s="8" t="str">
        <f>RTD("rit2.rtd",,$A15,E$4)</f>
        <v>JAN21C|BID</v>
      </c>
      <c r="F15" s="8" t="str">
        <f>RTD("rit2.rtd",,$A15,F$4)</f>
        <v>JAN21C|ASK</v>
      </c>
    </row>
    <row r="16" spans="1:6" s="7" customFormat="1" x14ac:dyDescent="0.45">
      <c r="A16" s="7" t="s">
        <v>11</v>
      </c>
      <c r="B16" s="8" t="str">
        <f>RTD("rit2.rtd",,$A16,B$4)</f>
        <v>JAN21P|LAST</v>
      </c>
      <c r="C16" s="8" t="str">
        <f>RTD("rit2.rtd",,$A16,C$4)</f>
        <v>JAN21P|POSITION</v>
      </c>
      <c r="D16" s="8" t="str">
        <f>RTD("rit2.rtd",,$A16,D$4)</f>
        <v>JAN21P|COST</v>
      </c>
      <c r="E16" s="8" t="str">
        <f>RTD("rit2.rtd",,$A16,E$4)</f>
        <v>JAN21P|BID</v>
      </c>
      <c r="F16" s="8" t="str">
        <f>RTD("rit2.rtd",,$A16,F$4)</f>
        <v>JAN21P|ASK</v>
      </c>
    </row>
    <row r="17" spans="1:6" s="7" customFormat="1" x14ac:dyDescent="0.45">
      <c r="A17" s="7" t="s">
        <v>12</v>
      </c>
      <c r="B17" s="8" t="str">
        <f>RTD("rit2.rtd",,$A17,B$4)</f>
        <v>JAN22C|LAST</v>
      </c>
      <c r="C17" s="8" t="str">
        <f>RTD("rit2.rtd",,$A17,C$4)</f>
        <v>JAN22C|POSITION</v>
      </c>
      <c r="D17" s="8" t="str">
        <f>RTD("rit2.rtd",,$A17,D$4)</f>
        <v>JAN22C|COST</v>
      </c>
      <c r="E17" s="8" t="str">
        <f>RTD("rit2.rtd",,$A17,E$4)</f>
        <v>JAN22C|BID</v>
      </c>
      <c r="F17" s="8" t="str">
        <f>RTD("rit2.rtd",,$A17,F$4)</f>
        <v>JAN22C|ASK</v>
      </c>
    </row>
    <row r="18" spans="1:6" s="7" customFormat="1" x14ac:dyDescent="0.45">
      <c r="A18" s="7" t="s">
        <v>13</v>
      </c>
      <c r="B18" s="8" t="str">
        <f>RTD("rit2.rtd",,$A18,B$4)</f>
        <v>JAN22P|LAST</v>
      </c>
      <c r="C18" s="8" t="str">
        <f>RTD("rit2.rtd",,$A18,C$4)</f>
        <v>JAN22P|POSITION</v>
      </c>
      <c r="D18" s="8" t="str">
        <f>RTD("rit2.rtd",,$A18,D$4)</f>
        <v>JAN22P|COST</v>
      </c>
      <c r="E18" s="8" t="str">
        <f>RTD("rit2.rtd",,$A18,E$4)</f>
        <v>JAN22P|BID</v>
      </c>
      <c r="F18" s="8" t="str">
        <f>RTD("rit2.rtd",,$A18,F$4)</f>
        <v>JAN22P|ASK</v>
      </c>
    </row>
    <row r="19" spans="1:6" s="7" customFormat="1" x14ac:dyDescent="0.45">
      <c r="A19" s="7" t="s">
        <v>14</v>
      </c>
      <c r="B19" s="8" t="str">
        <f>RTD("rit2.rtd",,$A19,B$4)</f>
        <v>JAN23C|LAST</v>
      </c>
      <c r="C19" s="8" t="str">
        <f>RTD("rit2.rtd",,$A19,C$4)</f>
        <v>JAN23C|POSITION</v>
      </c>
      <c r="D19" s="8" t="str">
        <f>RTD("rit2.rtd",,$A19,D$4)</f>
        <v>JAN23C|COST</v>
      </c>
      <c r="E19" s="8" t="str">
        <f>RTD("rit2.rtd",,$A19,E$4)</f>
        <v>JAN23C|BID</v>
      </c>
      <c r="F19" s="8" t="str">
        <f>RTD("rit2.rtd",,$A19,F$4)</f>
        <v>JAN23C|ASK</v>
      </c>
    </row>
    <row r="20" spans="1:6" s="7" customFormat="1" x14ac:dyDescent="0.45">
      <c r="A20" s="7" t="s">
        <v>15</v>
      </c>
      <c r="B20" s="8" t="str">
        <f>RTD("rit2.rtd",,$A20,B$4)</f>
        <v>JAN23P|LAST</v>
      </c>
      <c r="C20" s="8" t="str">
        <f>RTD("rit2.rtd",,$A20,C$4)</f>
        <v>JAN23P|POSITION</v>
      </c>
      <c r="D20" s="8" t="str">
        <f>RTD("rit2.rtd",,$A20,D$4)</f>
        <v>JAN23P|COST</v>
      </c>
      <c r="E20" s="8" t="str">
        <f>RTD("rit2.rtd",,$A20,E$4)</f>
        <v>JAN23P|BID</v>
      </c>
      <c r="F20" s="8" t="str">
        <f>RTD("rit2.rtd",,$A20,F$4)</f>
        <v>JAN23P|ASK</v>
      </c>
    </row>
    <row r="21" spans="1:6" s="7" customFormat="1" x14ac:dyDescent="0.45">
      <c r="A21" s="7" t="s">
        <v>16</v>
      </c>
      <c r="B21" s="8" t="str">
        <f>RTD("rit2.rtd",,$A21,B$4)</f>
        <v>JAN24C|LAST</v>
      </c>
      <c r="C21" s="8" t="str">
        <f>RTD("rit2.rtd",,$A21,C$4)</f>
        <v>JAN24C|POSITION</v>
      </c>
      <c r="D21" s="8" t="str">
        <f>RTD("rit2.rtd",,$A21,D$4)</f>
        <v>JAN24C|COST</v>
      </c>
      <c r="E21" s="8" t="str">
        <f>RTD("rit2.rtd",,$A21,E$4)</f>
        <v>JAN24C|BID</v>
      </c>
      <c r="F21" s="8" t="str">
        <f>RTD("rit2.rtd",,$A21,F$4)</f>
        <v>JAN24C|ASK</v>
      </c>
    </row>
    <row r="22" spans="1:6" s="7" customFormat="1" x14ac:dyDescent="0.45">
      <c r="A22" s="7" t="s">
        <v>17</v>
      </c>
      <c r="B22" s="8" t="str">
        <f>RTD("rit2.rtd",,$A22,B$4)</f>
        <v>JAN24P|LAST</v>
      </c>
      <c r="C22" s="8" t="str">
        <f>RTD("rit2.rtd",,$A22,C$4)</f>
        <v>JAN24P|POSITION</v>
      </c>
      <c r="D22" s="8" t="str">
        <f>RTD("rit2.rtd",,$A22,D$4)</f>
        <v>JAN24P|COST</v>
      </c>
      <c r="E22" s="8" t="str">
        <f>RTD("rit2.rtd",,$A22,E$4)</f>
        <v>JAN24P|BID</v>
      </c>
      <c r="F22" s="8" t="str">
        <f>RTD("rit2.rtd",,$A22,F$4)</f>
        <v>JAN24P|ASK</v>
      </c>
    </row>
    <row r="23" spans="1:6" x14ac:dyDescent="0.45">
      <c r="A23" s="5" t="s">
        <v>59</v>
      </c>
      <c r="B23" s="4"/>
      <c r="C23" s="4"/>
      <c r="D23" s="4"/>
      <c r="E23" s="4"/>
      <c r="F23" s="4"/>
    </row>
    <row r="24" spans="1:6" s="7" customFormat="1" x14ac:dyDescent="0.45">
      <c r="A24" s="7" t="s">
        <v>23</v>
      </c>
      <c r="B24" s="8" t="str">
        <f>RTD("rit2.rtd",,$A24,B$4)</f>
        <v>FEB16C|LAST</v>
      </c>
      <c r="C24" s="8" t="str">
        <f>RTD("rit2.rtd",,$A24,C$4)</f>
        <v>FEB16C|POSITION</v>
      </c>
      <c r="D24" s="8" t="str">
        <f>RTD("rit2.rtd",,$A24,D$4)</f>
        <v>FEB16C|COST</v>
      </c>
      <c r="E24" s="8" t="str">
        <f>RTD("rit2.rtd",,$A24,E$4)</f>
        <v>FEB16C|BID</v>
      </c>
      <c r="F24" s="8" t="str">
        <f>RTD("rit2.rtd",,$A24,F$4)</f>
        <v>FEB16C|ASK</v>
      </c>
    </row>
    <row r="25" spans="1:6" s="7" customFormat="1" x14ac:dyDescent="0.45">
      <c r="A25" s="7" t="s">
        <v>24</v>
      </c>
      <c r="B25" s="8" t="str">
        <f>RTD("rit2.rtd",,$A25,B$4)</f>
        <v>FEB16P|LAST</v>
      </c>
      <c r="C25" s="8" t="str">
        <f>RTD("rit2.rtd",,$A25,C$4)</f>
        <v>FEB16P|POSITION</v>
      </c>
      <c r="D25" s="8" t="str">
        <f>RTD("rit2.rtd",,$A25,D$4)</f>
        <v>FEB16P|COST</v>
      </c>
      <c r="E25" s="8" t="str">
        <f>RTD("rit2.rtd",,$A25,E$4)</f>
        <v>FEB16P|BID</v>
      </c>
      <c r="F25" s="8" t="str">
        <f>RTD("rit2.rtd",,$A25,F$4)</f>
        <v>FEB16P|ASK</v>
      </c>
    </row>
    <row r="26" spans="1:6" s="7" customFormat="1" x14ac:dyDescent="0.45">
      <c r="A26" s="7" t="s">
        <v>25</v>
      </c>
      <c r="B26" s="8" t="str">
        <f>RTD("rit2.rtd",,$A26,B$4)</f>
        <v>FEB17C|LAST</v>
      </c>
      <c r="C26" s="8" t="str">
        <f>RTD("rit2.rtd",,$A26,C$4)</f>
        <v>FEB17C|POSITION</v>
      </c>
      <c r="D26" s="8" t="str">
        <f>RTD("rit2.rtd",,$A26,D$4)</f>
        <v>FEB17C|COST</v>
      </c>
      <c r="E26" s="8" t="str">
        <f>RTD("rit2.rtd",,$A26,E$4)</f>
        <v>FEB17C|BID</v>
      </c>
      <c r="F26" s="8" t="str">
        <f>RTD("rit2.rtd",,$A26,F$4)</f>
        <v>FEB17C|ASK</v>
      </c>
    </row>
    <row r="27" spans="1:6" s="7" customFormat="1" x14ac:dyDescent="0.45">
      <c r="A27" s="7" t="s">
        <v>26</v>
      </c>
      <c r="B27" s="8" t="str">
        <f>RTD("rit2.rtd",,$A27,B$4)</f>
        <v>FEB17P|LAST</v>
      </c>
      <c r="C27" s="8" t="str">
        <f>RTD("rit2.rtd",,$A27,C$4)</f>
        <v>FEB17P|POSITION</v>
      </c>
      <c r="D27" s="8" t="str">
        <f>RTD("rit2.rtd",,$A27,D$4)</f>
        <v>FEB17P|COST</v>
      </c>
      <c r="E27" s="8" t="str">
        <f>RTD("rit2.rtd",,$A27,E$4)</f>
        <v>FEB17P|BID</v>
      </c>
      <c r="F27" s="8" t="str">
        <f>RTD("rit2.rtd",,$A27,F$4)</f>
        <v>FEB17P|ASK</v>
      </c>
    </row>
    <row r="28" spans="1:6" s="7" customFormat="1" x14ac:dyDescent="0.45">
      <c r="A28" s="7" t="s">
        <v>27</v>
      </c>
      <c r="B28" s="8" t="str">
        <f>RTD("rit2.rtd",,$A28,B$4)</f>
        <v>FEB18C|LAST</v>
      </c>
      <c r="C28" s="8" t="str">
        <f>RTD("rit2.rtd",,$A28,C$4)</f>
        <v>FEB18C|POSITION</v>
      </c>
      <c r="D28" s="8" t="str">
        <f>RTD("rit2.rtd",,$A28,D$4)</f>
        <v>FEB18C|COST</v>
      </c>
      <c r="E28" s="8" t="str">
        <f>RTD("rit2.rtd",,$A28,E$4)</f>
        <v>FEB18C|BID</v>
      </c>
      <c r="F28" s="8" t="str">
        <f>RTD("rit2.rtd",,$A28,F$4)</f>
        <v>FEB18C|ASK</v>
      </c>
    </row>
    <row r="29" spans="1:6" s="7" customFormat="1" x14ac:dyDescent="0.45">
      <c r="A29" s="7" t="s">
        <v>28</v>
      </c>
      <c r="B29" s="8" t="str">
        <f>RTD("rit2.rtd",,$A29,B$4)</f>
        <v>FEB18P|LAST</v>
      </c>
      <c r="C29" s="8" t="str">
        <f>RTD("rit2.rtd",,$A29,C$4)</f>
        <v>FEB18P|POSITION</v>
      </c>
      <c r="D29" s="8" t="str">
        <f>RTD("rit2.rtd",,$A29,D$4)</f>
        <v>FEB18P|COST</v>
      </c>
      <c r="E29" s="8" t="str">
        <f>RTD("rit2.rtd",,$A29,E$4)</f>
        <v>FEB18P|BID</v>
      </c>
      <c r="F29" s="8" t="str">
        <f>RTD("rit2.rtd",,$A29,F$4)</f>
        <v>FEB18P|ASK</v>
      </c>
    </row>
    <row r="30" spans="1:6" s="7" customFormat="1" x14ac:dyDescent="0.45">
      <c r="A30" s="7" t="s">
        <v>29</v>
      </c>
      <c r="B30" s="8" t="str">
        <f>RTD("rit2.rtd",,$A30,B$4)</f>
        <v>FEB19C|LAST</v>
      </c>
      <c r="C30" s="8" t="str">
        <f>RTD("rit2.rtd",,$A30,C$4)</f>
        <v>FEB19C|POSITION</v>
      </c>
      <c r="D30" s="8" t="str">
        <f>RTD("rit2.rtd",,$A30,D$4)</f>
        <v>FEB19C|COST</v>
      </c>
      <c r="E30" s="8" t="str">
        <f>RTD("rit2.rtd",,$A30,E$4)</f>
        <v>FEB19C|BID</v>
      </c>
      <c r="F30" s="8" t="str">
        <f>RTD("rit2.rtd",,$A30,F$4)</f>
        <v>FEB19C|ASK</v>
      </c>
    </row>
    <row r="31" spans="1:6" s="7" customFormat="1" x14ac:dyDescent="0.45">
      <c r="A31" s="7" t="s">
        <v>30</v>
      </c>
      <c r="B31" s="8" t="str">
        <f>RTD("rit2.rtd",,$A31,B$4)</f>
        <v>FEB19P|LAST</v>
      </c>
      <c r="C31" s="8" t="str">
        <f>RTD("rit2.rtd",,$A31,C$4)</f>
        <v>FEB19P|POSITION</v>
      </c>
      <c r="D31" s="8" t="str">
        <f>RTD("rit2.rtd",,$A31,D$4)</f>
        <v>FEB19P|COST</v>
      </c>
      <c r="E31" s="8" t="str">
        <f>RTD("rit2.rtd",,$A31,E$4)</f>
        <v>FEB19P|BID</v>
      </c>
      <c r="F31" s="8" t="str">
        <f>RTD("rit2.rtd",,$A31,F$4)</f>
        <v>FEB19P|ASK</v>
      </c>
    </row>
    <row r="32" spans="1:6" s="7" customFormat="1" x14ac:dyDescent="0.45">
      <c r="A32" s="7" t="s">
        <v>31</v>
      </c>
      <c r="B32" s="8" t="str">
        <f>RTD("rit2.rtd",,$A32,B$4)</f>
        <v>FEB20C|LAST</v>
      </c>
      <c r="C32" s="8" t="str">
        <f>RTD("rit2.rtd",,$A32,C$4)</f>
        <v>FEB20C|POSITION</v>
      </c>
      <c r="D32" s="8" t="str">
        <f>RTD("rit2.rtd",,$A32,D$4)</f>
        <v>FEB20C|COST</v>
      </c>
      <c r="E32" s="8" t="str">
        <f>RTD("rit2.rtd",,$A32,E$4)</f>
        <v>FEB20C|BID</v>
      </c>
      <c r="F32" s="8" t="str">
        <f>RTD("rit2.rtd",,$A32,F$4)</f>
        <v>FEB20C|ASK</v>
      </c>
    </row>
    <row r="33" spans="1:6" s="7" customFormat="1" x14ac:dyDescent="0.45">
      <c r="A33" s="7" t="s">
        <v>32</v>
      </c>
      <c r="B33" s="8" t="str">
        <f>RTD("rit2.rtd",,$A33,B$4)</f>
        <v>FEB20P|LAST</v>
      </c>
      <c r="C33" s="8" t="str">
        <f>RTD("rit2.rtd",,$A33,C$4)</f>
        <v>FEB20P|POSITION</v>
      </c>
      <c r="D33" s="8" t="str">
        <f>RTD("rit2.rtd",,$A33,D$4)</f>
        <v>FEB20P|COST</v>
      </c>
      <c r="E33" s="8" t="str">
        <f>RTD("rit2.rtd",,$A33,E$4)</f>
        <v>FEB20P|BID</v>
      </c>
      <c r="F33" s="8" t="str">
        <f>RTD("rit2.rtd",,$A33,F$4)</f>
        <v>FEB20P|ASK</v>
      </c>
    </row>
    <row r="34" spans="1:6" s="7" customFormat="1" x14ac:dyDescent="0.45">
      <c r="A34" s="7" t="s">
        <v>33</v>
      </c>
      <c r="B34" s="8" t="str">
        <f>RTD("rit2.rtd",,$A34,B$4)</f>
        <v>FEB21C|LAST</v>
      </c>
      <c r="C34" s="8" t="str">
        <f>RTD("rit2.rtd",,$A34,C$4)</f>
        <v>FEB21C|POSITION</v>
      </c>
      <c r="D34" s="8" t="str">
        <f>RTD("rit2.rtd",,$A34,D$4)</f>
        <v>FEB21C|COST</v>
      </c>
      <c r="E34" s="8" t="str">
        <f>RTD("rit2.rtd",,$A34,E$4)</f>
        <v>FEB21C|BID</v>
      </c>
      <c r="F34" s="8" t="str">
        <f>RTD("rit2.rtd",,$A34,F$4)</f>
        <v>FEB21C|ASK</v>
      </c>
    </row>
    <row r="35" spans="1:6" s="7" customFormat="1" x14ac:dyDescent="0.45">
      <c r="A35" s="7" t="s">
        <v>34</v>
      </c>
      <c r="B35" s="8" t="str">
        <f>RTD("rit2.rtd",,$A35,B$4)</f>
        <v>FEB21P|LAST</v>
      </c>
      <c r="C35" s="8" t="str">
        <f>RTD("rit2.rtd",,$A35,C$4)</f>
        <v>FEB21P|POSITION</v>
      </c>
      <c r="D35" s="8" t="str">
        <f>RTD("rit2.rtd",,$A35,D$4)</f>
        <v>FEB21P|COST</v>
      </c>
      <c r="E35" s="8" t="str">
        <f>RTD("rit2.rtd",,$A35,E$4)</f>
        <v>FEB21P|BID</v>
      </c>
      <c r="F35" s="8" t="str">
        <f>RTD("rit2.rtd",,$A35,F$4)</f>
        <v>FEB21P|ASK</v>
      </c>
    </row>
    <row r="36" spans="1:6" s="7" customFormat="1" x14ac:dyDescent="0.45">
      <c r="A36" s="7" t="s">
        <v>35</v>
      </c>
      <c r="B36" s="8" t="str">
        <f>RTD("rit2.rtd",,$A36,B$4)</f>
        <v>FEB22C|LAST</v>
      </c>
      <c r="C36" s="8" t="str">
        <f>RTD("rit2.rtd",,$A36,C$4)</f>
        <v>FEB22C|POSITION</v>
      </c>
      <c r="D36" s="8" t="str">
        <f>RTD("rit2.rtd",,$A36,D$4)</f>
        <v>FEB22C|COST</v>
      </c>
      <c r="E36" s="8" t="str">
        <f>RTD("rit2.rtd",,$A36,E$4)</f>
        <v>FEB22C|BID</v>
      </c>
      <c r="F36" s="8" t="str">
        <f>RTD("rit2.rtd",,$A36,F$4)</f>
        <v>FEB22C|ASK</v>
      </c>
    </row>
    <row r="37" spans="1:6" s="7" customFormat="1" x14ac:dyDescent="0.45">
      <c r="A37" s="7" t="s">
        <v>36</v>
      </c>
      <c r="B37" s="8" t="str">
        <f>RTD("rit2.rtd",,$A37,B$4)</f>
        <v>FEB22P|LAST</v>
      </c>
      <c r="C37" s="8" t="str">
        <f>RTD("rit2.rtd",,$A37,C$4)</f>
        <v>FEB22P|POSITION</v>
      </c>
      <c r="D37" s="8" t="str">
        <f>RTD("rit2.rtd",,$A37,D$4)</f>
        <v>FEB22P|COST</v>
      </c>
      <c r="E37" s="8" t="str">
        <f>RTD("rit2.rtd",,$A37,E$4)</f>
        <v>FEB22P|BID</v>
      </c>
      <c r="F37" s="8" t="str">
        <f>RTD("rit2.rtd",,$A37,F$4)</f>
        <v>FEB22P|ASK</v>
      </c>
    </row>
    <row r="38" spans="1:6" s="7" customFormat="1" x14ac:dyDescent="0.45">
      <c r="A38" s="7" t="s">
        <v>37</v>
      </c>
      <c r="B38" s="8" t="str">
        <f>RTD("rit2.rtd",,$A38,B$4)</f>
        <v>FEB23C|LAST</v>
      </c>
      <c r="C38" s="8" t="str">
        <f>RTD("rit2.rtd",,$A38,C$4)</f>
        <v>FEB23C|POSITION</v>
      </c>
      <c r="D38" s="8" t="str">
        <f>RTD("rit2.rtd",,$A38,D$4)</f>
        <v>FEB23C|COST</v>
      </c>
      <c r="E38" s="8" t="str">
        <f>RTD("rit2.rtd",,$A38,E$4)</f>
        <v>FEB23C|BID</v>
      </c>
      <c r="F38" s="8" t="str">
        <f>RTD("rit2.rtd",,$A38,F$4)</f>
        <v>FEB23C|ASK</v>
      </c>
    </row>
    <row r="39" spans="1:6" s="7" customFormat="1" x14ac:dyDescent="0.45">
      <c r="A39" s="7" t="s">
        <v>38</v>
      </c>
      <c r="B39" s="8" t="str">
        <f>RTD("rit2.rtd",,$A39,B$4)</f>
        <v>FEB23P|LAST</v>
      </c>
      <c r="C39" s="8" t="str">
        <f>RTD("rit2.rtd",,$A39,C$4)</f>
        <v>FEB23P|POSITION</v>
      </c>
      <c r="D39" s="8" t="str">
        <f>RTD("rit2.rtd",,$A39,D$4)</f>
        <v>FEB23P|COST</v>
      </c>
      <c r="E39" s="8" t="str">
        <f>RTD("rit2.rtd",,$A39,E$4)</f>
        <v>FEB23P|BID</v>
      </c>
      <c r="F39" s="8" t="str">
        <f>RTD("rit2.rtd",,$A39,F$4)</f>
        <v>FEB23P|ASK</v>
      </c>
    </row>
    <row r="40" spans="1:6" s="7" customFormat="1" x14ac:dyDescent="0.45">
      <c r="A40" s="7" t="s">
        <v>39</v>
      </c>
      <c r="B40" s="8" t="str">
        <f>RTD("rit2.rtd",,$A40,B$4)</f>
        <v>FEB24C|LAST</v>
      </c>
      <c r="C40" s="8" t="str">
        <f>RTD("rit2.rtd",,$A40,C$4)</f>
        <v>FEB24C|POSITION</v>
      </c>
      <c r="D40" s="8" t="str">
        <f>RTD("rit2.rtd",,$A40,D$4)</f>
        <v>FEB24C|COST</v>
      </c>
      <c r="E40" s="8" t="str">
        <f>RTD("rit2.rtd",,$A40,E$4)</f>
        <v>FEB24C|BID</v>
      </c>
      <c r="F40" s="8" t="str">
        <f>RTD("rit2.rtd",,$A40,F$4)</f>
        <v>FEB24C|ASK</v>
      </c>
    </row>
    <row r="41" spans="1:6" s="7" customFormat="1" x14ac:dyDescent="0.45">
      <c r="A41" s="7" t="s">
        <v>40</v>
      </c>
      <c r="B41" s="8" t="str">
        <f>RTD("rit2.rtd",,$A41,B$4)</f>
        <v>FEB24P|LAST</v>
      </c>
      <c r="C41" s="8" t="str">
        <f>RTD("rit2.rtd",,$A41,C$4)</f>
        <v>FEB24P|POSITION</v>
      </c>
      <c r="D41" s="8" t="str">
        <f>RTD("rit2.rtd",,$A41,D$4)</f>
        <v>FEB24P|COST</v>
      </c>
      <c r="E41" s="8" t="str">
        <f>RTD("rit2.rtd",,$A41,E$4)</f>
        <v>FEB24P|BID</v>
      </c>
      <c r="F41" s="8" t="str">
        <f>RTD("rit2.rtd",,$A41,F$4)</f>
        <v>FEB24P|ASK</v>
      </c>
    </row>
    <row r="42" spans="1:6" x14ac:dyDescent="0.45">
      <c r="A42" s="5" t="s">
        <v>60</v>
      </c>
      <c r="B42" s="4"/>
      <c r="C42" s="4"/>
      <c r="D42" s="4"/>
      <c r="E42" s="4"/>
      <c r="F42" s="4"/>
    </row>
    <row r="43" spans="1:6" s="7" customFormat="1" x14ac:dyDescent="0.45">
      <c r="A43" s="7" t="s">
        <v>41</v>
      </c>
      <c r="B43" s="8" t="str">
        <f>RTD("rit2.rtd",,$A43,B$4)</f>
        <v>MAR16C|LAST</v>
      </c>
      <c r="C43" s="8" t="str">
        <f>RTD("rit2.rtd",,$A43,C$4)</f>
        <v>MAR16C|POSITION</v>
      </c>
      <c r="D43" s="8" t="str">
        <f>RTD("rit2.rtd",,$A43,D$4)</f>
        <v>MAR16C|COST</v>
      </c>
      <c r="E43" s="8" t="str">
        <f>RTD("rit2.rtd",,$A43,E$4)</f>
        <v>MAR16C|BID</v>
      </c>
      <c r="F43" s="8" t="str">
        <f>RTD("rit2.rtd",,$A43,F$4)</f>
        <v>MAR16C|ASK</v>
      </c>
    </row>
    <row r="44" spans="1:6" s="7" customFormat="1" x14ac:dyDescent="0.45">
      <c r="A44" s="7" t="s">
        <v>42</v>
      </c>
      <c r="B44" s="8" t="str">
        <f>RTD("rit2.rtd",,$A44,B$4)</f>
        <v>MAR16P|LAST</v>
      </c>
      <c r="C44" s="8" t="str">
        <f>RTD("rit2.rtd",,$A44,C$4)</f>
        <v>MAR16P|POSITION</v>
      </c>
      <c r="D44" s="8" t="str">
        <f>RTD("rit2.rtd",,$A44,D$4)</f>
        <v>MAR16P|COST</v>
      </c>
      <c r="E44" s="8" t="str">
        <f>RTD("rit2.rtd",,$A44,E$4)</f>
        <v>MAR16P|BID</v>
      </c>
      <c r="F44" s="8" t="str">
        <f>RTD("rit2.rtd",,$A44,F$4)</f>
        <v>MAR16P|ASK</v>
      </c>
    </row>
    <row r="45" spans="1:6" s="7" customFormat="1" x14ac:dyDescent="0.45">
      <c r="A45" s="7" t="s">
        <v>43</v>
      </c>
      <c r="B45" s="8" t="str">
        <f>RTD("rit2.rtd",,$A45,B$4)</f>
        <v>MAR17C|LAST</v>
      </c>
      <c r="C45" s="8" t="str">
        <f>RTD("rit2.rtd",,$A45,C$4)</f>
        <v>MAR17C|POSITION</v>
      </c>
      <c r="D45" s="8" t="str">
        <f>RTD("rit2.rtd",,$A45,D$4)</f>
        <v>MAR17C|COST</v>
      </c>
      <c r="E45" s="8" t="str">
        <f>RTD("rit2.rtd",,$A45,E$4)</f>
        <v>MAR17C|BID</v>
      </c>
      <c r="F45" s="8" t="str">
        <f>RTD("rit2.rtd",,$A45,F$4)</f>
        <v>MAR17C|ASK</v>
      </c>
    </row>
    <row r="46" spans="1:6" s="7" customFormat="1" x14ac:dyDescent="0.45">
      <c r="A46" s="7" t="s">
        <v>44</v>
      </c>
      <c r="B46" s="8" t="str">
        <f>RTD("rit2.rtd",,$A46,B$4)</f>
        <v>MAR17P|LAST</v>
      </c>
      <c r="C46" s="8" t="str">
        <f>RTD("rit2.rtd",,$A46,C$4)</f>
        <v>MAR17P|POSITION</v>
      </c>
      <c r="D46" s="8" t="str">
        <f>RTD("rit2.rtd",,$A46,D$4)</f>
        <v>MAR17P|COST</v>
      </c>
      <c r="E46" s="8" t="str">
        <f>RTD("rit2.rtd",,$A46,E$4)</f>
        <v>MAR17P|BID</v>
      </c>
      <c r="F46" s="8" t="str">
        <f>RTD("rit2.rtd",,$A46,F$4)</f>
        <v>MAR17P|ASK</v>
      </c>
    </row>
    <row r="47" spans="1:6" s="7" customFormat="1" x14ac:dyDescent="0.45">
      <c r="A47" s="7" t="s">
        <v>45</v>
      </c>
      <c r="B47" s="8" t="str">
        <f>RTD("rit2.rtd",,$A47,B$4)</f>
        <v>MAR18C|LAST</v>
      </c>
      <c r="C47" s="8" t="str">
        <f>RTD("rit2.rtd",,$A47,C$4)</f>
        <v>MAR18C|POSITION</v>
      </c>
      <c r="D47" s="8" t="str">
        <f>RTD("rit2.rtd",,$A47,D$4)</f>
        <v>MAR18C|COST</v>
      </c>
      <c r="E47" s="8" t="str">
        <f>RTD("rit2.rtd",,$A47,E$4)</f>
        <v>MAR18C|BID</v>
      </c>
      <c r="F47" s="8" t="str">
        <f>RTD("rit2.rtd",,$A47,F$4)</f>
        <v>MAR18C|ASK</v>
      </c>
    </row>
    <row r="48" spans="1:6" s="7" customFormat="1" x14ac:dyDescent="0.45">
      <c r="A48" s="7" t="s">
        <v>46</v>
      </c>
      <c r="B48" s="8" t="str">
        <f>RTD("rit2.rtd",,$A48,B$4)</f>
        <v>MAR18P|LAST</v>
      </c>
      <c r="C48" s="8" t="str">
        <f>RTD("rit2.rtd",,$A48,C$4)</f>
        <v>MAR18P|POSITION</v>
      </c>
      <c r="D48" s="8" t="str">
        <f>RTD("rit2.rtd",,$A48,D$4)</f>
        <v>MAR18P|COST</v>
      </c>
      <c r="E48" s="8" t="str">
        <f>RTD("rit2.rtd",,$A48,E$4)</f>
        <v>MAR18P|BID</v>
      </c>
      <c r="F48" s="8" t="str">
        <f>RTD("rit2.rtd",,$A48,F$4)</f>
        <v>MAR18P|ASK</v>
      </c>
    </row>
    <row r="49" spans="1:6" s="7" customFormat="1" x14ac:dyDescent="0.45">
      <c r="A49" s="7" t="s">
        <v>47</v>
      </c>
      <c r="B49" s="8" t="str">
        <f>RTD("rit2.rtd",,$A49,B$4)</f>
        <v>MAR19C|LAST</v>
      </c>
      <c r="C49" s="8" t="str">
        <f>RTD("rit2.rtd",,$A49,C$4)</f>
        <v>MAR19C|POSITION</v>
      </c>
      <c r="D49" s="8" t="str">
        <f>RTD("rit2.rtd",,$A49,D$4)</f>
        <v>MAR19C|COST</v>
      </c>
      <c r="E49" s="8" t="str">
        <f>RTD("rit2.rtd",,$A49,E$4)</f>
        <v>MAR19C|BID</v>
      </c>
      <c r="F49" s="8" t="str">
        <f>RTD("rit2.rtd",,$A49,F$4)</f>
        <v>MAR19C|ASK</v>
      </c>
    </row>
    <row r="50" spans="1:6" s="7" customFormat="1" x14ac:dyDescent="0.45">
      <c r="A50" s="7" t="s">
        <v>48</v>
      </c>
      <c r="B50" s="8" t="str">
        <f>RTD("rit2.rtd",,$A50,B$4)</f>
        <v>MAR19P|LAST</v>
      </c>
      <c r="C50" s="8" t="str">
        <f>RTD("rit2.rtd",,$A50,C$4)</f>
        <v>MAR19P|POSITION</v>
      </c>
      <c r="D50" s="8" t="str">
        <f>RTD("rit2.rtd",,$A50,D$4)</f>
        <v>MAR19P|COST</v>
      </c>
      <c r="E50" s="8" t="str">
        <f>RTD("rit2.rtd",,$A50,E$4)</f>
        <v>MAR19P|BID</v>
      </c>
      <c r="F50" s="8" t="str">
        <f>RTD("rit2.rtd",,$A50,F$4)</f>
        <v>MAR19P|ASK</v>
      </c>
    </row>
    <row r="51" spans="1:6" s="7" customFormat="1" x14ac:dyDescent="0.45">
      <c r="A51" s="7" t="s">
        <v>49</v>
      </c>
      <c r="B51" s="8" t="str">
        <f>RTD("rit2.rtd",,$A51,B$4)</f>
        <v>MAR20C|LAST</v>
      </c>
      <c r="C51" s="8" t="str">
        <f>RTD("rit2.rtd",,$A51,C$4)</f>
        <v>MAR20C|POSITION</v>
      </c>
      <c r="D51" s="8" t="str">
        <f>RTD("rit2.rtd",,$A51,D$4)</f>
        <v>MAR20C|COST</v>
      </c>
      <c r="E51" s="8" t="str">
        <f>RTD("rit2.rtd",,$A51,E$4)</f>
        <v>MAR20C|BID</v>
      </c>
      <c r="F51" s="8" t="str">
        <f>RTD("rit2.rtd",,$A51,F$4)</f>
        <v>MAR20C|ASK</v>
      </c>
    </row>
    <row r="52" spans="1:6" s="7" customFormat="1" x14ac:dyDescent="0.45">
      <c r="A52" s="7" t="s">
        <v>50</v>
      </c>
      <c r="B52" s="8" t="str">
        <f>RTD("rit2.rtd",,$A52,B$4)</f>
        <v>MAR20P|LAST</v>
      </c>
      <c r="C52" s="8" t="str">
        <f>RTD("rit2.rtd",,$A52,C$4)</f>
        <v>MAR20P|POSITION</v>
      </c>
      <c r="D52" s="8" t="str">
        <f>RTD("rit2.rtd",,$A52,D$4)</f>
        <v>MAR20P|COST</v>
      </c>
      <c r="E52" s="8" t="str">
        <f>RTD("rit2.rtd",,$A52,E$4)</f>
        <v>MAR20P|BID</v>
      </c>
      <c r="F52" s="8" t="str">
        <f>RTD("rit2.rtd",,$A52,F$4)</f>
        <v>MAR20P|ASK</v>
      </c>
    </row>
    <row r="53" spans="1:6" s="7" customFormat="1" x14ac:dyDescent="0.45">
      <c r="A53" s="7" t="s">
        <v>51</v>
      </c>
      <c r="B53" s="8" t="str">
        <f>RTD("rit2.rtd",,$A53,B$4)</f>
        <v>MAR21C|LAST</v>
      </c>
      <c r="C53" s="8" t="str">
        <f>RTD("rit2.rtd",,$A53,C$4)</f>
        <v>MAR21C|POSITION</v>
      </c>
      <c r="D53" s="8" t="str">
        <f>RTD("rit2.rtd",,$A53,D$4)</f>
        <v>MAR21C|COST</v>
      </c>
      <c r="E53" s="8" t="str">
        <f>RTD("rit2.rtd",,$A53,E$4)</f>
        <v>MAR21C|BID</v>
      </c>
      <c r="F53" s="8" t="str">
        <f>RTD("rit2.rtd",,$A53,F$4)</f>
        <v>MAR21C|ASK</v>
      </c>
    </row>
    <row r="54" spans="1:6" s="7" customFormat="1" x14ac:dyDescent="0.45">
      <c r="A54" s="7" t="s">
        <v>52</v>
      </c>
      <c r="B54" s="8" t="str">
        <f>RTD("rit2.rtd",,$A54,B$4)</f>
        <v>MAR21P|LAST</v>
      </c>
      <c r="C54" s="8" t="str">
        <f>RTD("rit2.rtd",,$A54,C$4)</f>
        <v>MAR21P|POSITION</v>
      </c>
      <c r="D54" s="8" t="str">
        <f>RTD("rit2.rtd",,$A54,D$4)</f>
        <v>MAR21P|COST</v>
      </c>
      <c r="E54" s="8" t="str">
        <f>RTD("rit2.rtd",,$A54,E$4)</f>
        <v>MAR21P|BID</v>
      </c>
      <c r="F54" s="8" t="str">
        <f>RTD("rit2.rtd",,$A54,F$4)</f>
        <v>MAR21P|ASK</v>
      </c>
    </row>
    <row r="55" spans="1:6" s="7" customFormat="1" x14ac:dyDescent="0.45">
      <c r="A55" s="7" t="s">
        <v>53</v>
      </c>
      <c r="B55" s="8" t="str">
        <f>RTD("rit2.rtd",,$A55,B$4)</f>
        <v>MAR22C|LAST</v>
      </c>
      <c r="C55" s="8" t="str">
        <f>RTD("rit2.rtd",,$A55,C$4)</f>
        <v>MAR22C|POSITION</v>
      </c>
      <c r="D55" s="8" t="str">
        <f>RTD("rit2.rtd",,$A55,D$4)</f>
        <v>MAR22C|COST</v>
      </c>
      <c r="E55" s="8" t="str">
        <f>RTD("rit2.rtd",,$A55,E$4)</f>
        <v>MAR22C|BID</v>
      </c>
      <c r="F55" s="8" t="str">
        <f>RTD("rit2.rtd",,$A55,F$4)</f>
        <v>MAR22C|ASK</v>
      </c>
    </row>
    <row r="56" spans="1:6" s="7" customFormat="1" x14ac:dyDescent="0.45">
      <c r="A56" s="7" t="s">
        <v>54</v>
      </c>
      <c r="B56" s="8" t="str">
        <f>RTD("rit2.rtd",,$A56,B$4)</f>
        <v>MAR22P|LAST</v>
      </c>
      <c r="C56" s="8" t="str">
        <f>RTD("rit2.rtd",,$A56,C$4)</f>
        <v>MAR22P|POSITION</v>
      </c>
      <c r="D56" s="8" t="str">
        <f>RTD("rit2.rtd",,$A56,D$4)</f>
        <v>MAR22P|COST</v>
      </c>
      <c r="E56" s="8" t="str">
        <f>RTD("rit2.rtd",,$A56,E$4)</f>
        <v>MAR22P|BID</v>
      </c>
      <c r="F56" s="8" t="str">
        <f>RTD("rit2.rtd",,$A56,F$4)</f>
        <v>MAR22P|ASK</v>
      </c>
    </row>
    <row r="57" spans="1:6" s="7" customFormat="1" x14ac:dyDescent="0.45">
      <c r="A57" s="7" t="s">
        <v>55</v>
      </c>
      <c r="B57" s="8" t="str">
        <f>RTD("rit2.rtd",,$A57,B$4)</f>
        <v>MAR23C|LAST</v>
      </c>
      <c r="C57" s="8" t="str">
        <f>RTD("rit2.rtd",,$A57,C$4)</f>
        <v>MAR23C|POSITION</v>
      </c>
      <c r="D57" s="8" t="str">
        <f>RTD("rit2.rtd",,$A57,D$4)</f>
        <v>MAR23C|COST</v>
      </c>
      <c r="E57" s="8" t="str">
        <f>RTD("rit2.rtd",,$A57,E$4)</f>
        <v>MAR23C|BID</v>
      </c>
      <c r="F57" s="8" t="str">
        <f>RTD("rit2.rtd",,$A57,F$4)</f>
        <v>MAR23C|ASK</v>
      </c>
    </row>
    <row r="58" spans="1:6" s="7" customFormat="1" x14ac:dyDescent="0.45">
      <c r="A58" s="7" t="s">
        <v>56</v>
      </c>
      <c r="B58" s="8" t="str">
        <f>RTD("rit2.rtd",,$A58,B$4)</f>
        <v>MAR23P|LAST</v>
      </c>
      <c r="C58" s="8" t="str">
        <f>RTD("rit2.rtd",,$A58,C$4)</f>
        <v>MAR23P|POSITION</v>
      </c>
      <c r="D58" s="8" t="str">
        <f>RTD("rit2.rtd",,$A58,D$4)</f>
        <v>MAR23P|COST</v>
      </c>
      <c r="E58" s="8" t="str">
        <f>RTD("rit2.rtd",,$A58,E$4)</f>
        <v>MAR23P|BID</v>
      </c>
      <c r="F58" s="8" t="str">
        <f>RTD("rit2.rtd",,$A58,F$4)</f>
        <v>MAR23P|ASK</v>
      </c>
    </row>
    <row r="59" spans="1:6" s="7" customFormat="1" x14ac:dyDescent="0.45">
      <c r="A59" s="7" t="s">
        <v>57</v>
      </c>
      <c r="B59" s="8" t="str">
        <f>RTD("rit2.rtd",,$A59,B$4)</f>
        <v>MAR24C|LAST</v>
      </c>
      <c r="C59" s="8" t="str">
        <f>RTD("rit2.rtd",,$A59,C$4)</f>
        <v>MAR24C|POSITION</v>
      </c>
      <c r="D59" s="8" t="str">
        <f>RTD("rit2.rtd",,$A59,D$4)</f>
        <v>MAR24C|COST</v>
      </c>
      <c r="E59" s="8" t="str">
        <f>RTD("rit2.rtd",,$A59,E$4)</f>
        <v>MAR24C|BID</v>
      </c>
      <c r="F59" s="8" t="str">
        <f>RTD("rit2.rtd",,$A59,F$4)</f>
        <v>MAR24C|ASK</v>
      </c>
    </row>
    <row r="60" spans="1:6" s="7" customFormat="1" x14ac:dyDescent="0.45">
      <c r="A60" s="7" t="s">
        <v>58</v>
      </c>
      <c r="B60" s="8" t="str">
        <f>RTD("rit2.rtd",,$A60,B$4)</f>
        <v>MAR24P|LAST</v>
      </c>
      <c r="C60" s="8" t="str">
        <f>RTD("rit2.rtd",,$A60,C$4)</f>
        <v>MAR24P|POSITION</v>
      </c>
      <c r="D60" s="8" t="str">
        <f>RTD("rit2.rtd",,$A60,D$4)</f>
        <v>MAR24P|COST</v>
      </c>
      <c r="E60" s="8" t="str">
        <f>RTD("rit2.rtd",,$A60,E$4)</f>
        <v>MAR24P|BID</v>
      </c>
      <c r="F60" s="8" t="str">
        <f>RTD("rit2.rtd",,$A60,F$4)</f>
        <v>MAR24P|ASK</v>
      </c>
    </row>
    <row r="61" spans="1:6" s="7" customFormat="1" x14ac:dyDescent="0.45"/>
    <row r="62" spans="1:6" s="7" customFormat="1" x14ac:dyDescent="0.45"/>
    <row r="63" spans="1:6" s="7" customFormat="1" x14ac:dyDescent="0.45"/>
    <row r="64" spans="1:6" s="7" customFormat="1" x14ac:dyDescent="0.45"/>
    <row r="65" s="7" customFormat="1" x14ac:dyDescent="0.45"/>
    <row r="66" s="7" customFormat="1" x14ac:dyDescent="0.45"/>
    <row r="67" s="7" customFormat="1" x14ac:dyDescent="0.45"/>
    <row r="68" s="7" customFormat="1" x14ac:dyDescent="0.45"/>
    <row r="69" s="7" customFormat="1" x14ac:dyDescent="0.45"/>
    <row r="70" s="7" customFormat="1" x14ac:dyDescent="0.45"/>
    <row r="71" s="7" customFormat="1" x14ac:dyDescent="0.45"/>
    <row r="72" s="7" customFormat="1" x14ac:dyDescent="0.45"/>
    <row r="73" s="7" customFormat="1" x14ac:dyDescent="0.45"/>
    <row r="74" s="7" customFormat="1" x14ac:dyDescent="0.45"/>
    <row r="75" s="7" customFormat="1" x14ac:dyDescent="0.45"/>
    <row r="76" s="7" customFormat="1" x14ac:dyDescent="0.45"/>
    <row r="77" s="7" customFormat="1" x14ac:dyDescent="0.45"/>
    <row r="78" s="7" customFormat="1" x14ac:dyDescent="0.45"/>
    <row r="79" s="7" customFormat="1" x14ac:dyDescent="0.45"/>
    <row r="80" s="7" customFormat="1" x14ac:dyDescent="0.45"/>
    <row r="81" s="7" customFormat="1" x14ac:dyDescent="0.45"/>
    <row r="82" s="7" customFormat="1" x14ac:dyDescent="0.45"/>
    <row r="83" s="7" customFormat="1" x14ac:dyDescent="0.45"/>
    <row r="84" s="7" customFormat="1" x14ac:dyDescent="0.45"/>
    <row r="85" s="7" customFormat="1" x14ac:dyDescent="0.45"/>
    <row r="86" s="7" customFormat="1" x14ac:dyDescent="0.45"/>
    <row r="87" s="7" customFormat="1" x14ac:dyDescent="0.45"/>
    <row r="88" s="7" customFormat="1" x14ac:dyDescent="0.45"/>
    <row r="89" s="7" customFormat="1" x14ac:dyDescent="0.45"/>
    <row r="90" s="7" customFormat="1" x14ac:dyDescent="0.45"/>
    <row r="91" s="7" customFormat="1" x14ac:dyDescent="0.45"/>
    <row r="92" s="7" customFormat="1" x14ac:dyDescent="0.45"/>
    <row r="93" s="7" customFormat="1" x14ac:dyDescent="0.45"/>
    <row r="94" s="7" customFormat="1" x14ac:dyDescent="0.45"/>
    <row r="95" s="7" customFormat="1" x14ac:dyDescent="0.45"/>
    <row r="96" s="7" customFormat="1" x14ac:dyDescent="0.45"/>
    <row r="97" s="7" customFormat="1" x14ac:dyDescent="0.45"/>
    <row r="98" s="7" customFormat="1" x14ac:dyDescent="0.45"/>
    <row r="99" s="7" customFormat="1" x14ac:dyDescent="0.45"/>
    <row r="100" s="7" customFormat="1" x14ac:dyDescent="0.45"/>
    <row r="101" s="7" customFormat="1" x14ac:dyDescent="0.45"/>
    <row r="102" s="7" customFormat="1" x14ac:dyDescent="0.45"/>
    <row r="103" s="7" customFormat="1" x14ac:dyDescent="0.45"/>
    <row r="104" s="7" customFormat="1" x14ac:dyDescent="0.45"/>
    <row r="105" s="7" customFormat="1" x14ac:dyDescent="0.45"/>
    <row r="106" s="7" customFormat="1" x14ac:dyDescent="0.45"/>
    <row r="107" s="7" customFormat="1" x14ac:dyDescent="0.45"/>
    <row r="108" s="7" customFormat="1" x14ac:dyDescent="0.45"/>
    <row r="109" s="7" customFormat="1" x14ac:dyDescent="0.45"/>
    <row r="110" s="7" customFormat="1" x14ac:dyDescent="0.45"/>
    <row r="111" s="7" customFormat="1" x14ac:dyDescent="0.45"/>
    <row r="112" s="7" customFormat="1" x14ac:dyDescent="0.45"/>
    <row r="113" s="7" customFormat="1" x14ac:dyDescent="0.45"/>
    <row r="114" s="7" customFormat="1" x14ac:dyDescent="0.45"/>
    <row r="115" s="7" customFormat="1" x14ac:dyDescent="0.45"/>
    <row r="116" s="7" customFormat="1" x14ac:dyDescent="0.45"/>
    <row r="117" s="7" customFormat="1" x14ac:dyDescent="0.45"/>
    <row r="118" s="7" customFormat="1" x14ac:dyDescent="0.45"/>
    <row r="119" s="7" customFormat="1" x14ac:dyDescent="0.45"/>
    <row r="120" s="7" customFormat="1" x14ac:dyDescent="0.45"/>
    <row r="121" s="7" customFormat="1" x14ac:dyDescent="0.45"/>
    <row r="122" s="7" customFormat="1" x14ac:dyDescent="0.45"/>
    <row r="123" s="7" customFormat="1" x14ac:dyDescent="0.45"/>
    <row r="124" s="7" customFormat="1" x14ac:dyDescent="0.45"/>
    <row r="125" s="7" customFormat="1" x14ac:dyDescent="0.45"/>
    <row r="126" s="7" customFormat="1" x14ac:dyDescent="0.45"/>
    <row r="127" s="7" customFormat="1" x14ac:dyDescent="0.45"/>
    <row r="128" s="7" customFormat="1" x14ac:dyDescent="0.45"/>
    <row r="129" s="7" customFormat="1" x14ac:dyDescent="0.45"/>
    <row r="130" s="7" customFormat="1" x14ac:dyDescent="0.45"/>
    <row r="131" s="7" customFormat="1" x14ac:dyDescent="0.45"/>
    <row r="132" s="7" customFormat="1" x14ac:dyDescent="0.45"/>
    <row r="133" s="7" customFormat="1" x14ac:dyDescent="0.45"/>
    <row r="134" s="7" customFormat="1" x14ac:dyDescent="0.45"/>
    <row r="135" s="7" customFormat="1" x14ac:dyDescent="0.45"/>
    <row r="136" s="7" customFormat="1" x14ac:dyDescent="0.45"/>
    <row r="137" s="7" customFormat="1" x14ac:dyDescent="0.45"/>
    <row r="138" s="7" customFormat="1" x14ac:dyDescent="0.45"/>
    <row r="139" s="7" customFormat="1" x14ac:dyDescent="0.45"/>
    <row r="140" s="7" customFormat="1" x14ac:dyDescent="0.45"/>
    <row r="141" s="7" customFormat="1" x14ac:dyDescent="0.45"/>
    <row r="142" s="7" customFormat="1" x14ac:dyDescent="0.45"/>
    <row r="143" s="7" customFormat="1" x14ac:dyDescent="0.45"/>
    <row r="144" s="7" customFormat="1" x14ac:dyDescent="0.45"/>
    <row r="145" s="7" customFormat="1" x14ac:dyDescent="0.45"/>
    <row r="146" s="7" customFormat="1" x14ac:dyDescent="0.45"/>
    <row r="147" s="7" customFormat="1" x14ac:dyDescent="0.45"/>
    <row r="148" s="7" customFormat="1" x14ac:dyDescent="0.45"/>
    <row r="149" s="7" customFormat="1" x14ac:dyDescent="0.45"/>
    <row r="150" s="7" customFormat="1" x14ac:dyDescent="0.45"/>
    <row r="151" s="7" customFormat="1" x14ac:dyDescent="0.45"/>
    <row r="152" s="7" customFormat="1" x14ac:dyDescent="0.45"/>
    <row r="153" s="7" customFormat="1" x14ac:dyDescent="0.45"/>
    <row r="154" s="7" customFormat="1" x14ac:dyDescent="0.45"/>
    <row r="155" s="7" customFormat="1" x14ac:dyDescent="0.45"/>
    <row r="156" s="7" customFormat="1" x14ac:dyDescent="0.45"/>
    <row r="157" s="7" customFormat="1" x14ac:dyDescent="0.45"/>
    <row r="158" s="7" customFormat="1" x14ac:dyDescent="0.45"/>
    <row r="159" s="7" customFormat="1" x14ac:dyDescent="0.45"/>
    <row r="160" s="7" customFormat="1" x14ac:dyDescent="0.45"/>
    <row r="161" s="7" customFormat="1" x14ac:dyDescent="0.45"/>
    <row r="162" s="7" customFormat="1" x14ac:dyDescent="0.45"/>
    <row r="163" s="7" customFormat="1" x14ac:dyDescent="0.45"/>
    <row r="164" s="7" customFormat="1" x14ac:dyDescent="0.45"/>
    <row r="165" s="7" customFormat="1" x14ac:dyDescent="0.45"/>
    <row r="166" s="7" customFormat="1" x14ac:dyDescent="0.45"/>
    <row r="167" s="7" customFormat="1" x14ac:dyDescent="0.45"/>
    <row r="168" s="7" customFormat="1" x14ac:dyDescent="0.45"/>
    <row r="169" s="7" customFormat="1" x14ac:dyDescent="0.45"/>
    <row r="170" s="7" customFormat="1" x14ac:dyDescent="0.45"/>
    <row r="171" s="7" customFormat="1" x14ac:dyDescent="0.45"/>
    <row r="172" s="7" customFormat="1" x14ac:dyDescent="0.45"/>
    <row r="173" s="7" customFormat="1" x14ac:dyDescent="0.45"/>
    <row r="174" s="7" customFormat="1" x14ac:dyDescent="0.45"/>
    <row r="175" s="7" customFormat="1" x14ac:dyDescent="0.45"/>
    <row r="176" s="7" customFormat="1" x14ac:dyDescent="0.45"/>
    <row r="177" s="7" customFormat="1" x14ac:dyDescent="0.45"/>
    <row r="178" s="7" customFormat="1" x14ac:dyDescent="0.45"/>
    <row r="179" s="7" customFormat="1" x14ac:dyDescent="0.45"/>
    <row r="180" s="7" customFormat="1" x14ac:dyDescent="0.45"/>
    <row r="181" s="7" customFormat="1" x14ac:dyDescent="0.45"/>
    <row r="182" s="7" customFormat="1" x14ac:dyDescent="0.45"/>
    <row r="183" s="7" customFormat="1" x14ac:dyDescent="0.45"/>
    <row r="184" s="7" customFormat="1" x14ac:dyDescent="0.45"/>
    <row r="185" s="7" customFormat="1" x14ac:dyDescent="0.45"/>
    <row r="186" s="7" customFormat="1" x14ac:dyDescent="0.45"/>
    <row r="187" s="7" customFormat="1" x14ac:dyDescent="0.45"/>
    <row r="188" s="7" customFormat="1" x14ac:dyDescent="0.45"/>
    <row r="189" s="7" customFormat="1" x14ac:dyDescent="0.45"/>
    <row r="190" s="7" customFormat="1" x14ac:dyDescent="0.45"/>
    <row r="191" s="7" customFormat="1" x14ac:dyDescent="0.45"/>
    <row r="192" s="7" customFormat="1" x14ac:dyDescent="0.45"/>
    <row r="193" s="7" customFormat="1" x14ac:dyDescent="0.45"/>
    <row r="194" s="7" customFormat="1" x14ac:dyDescent="0.45"/>
    <row r="195" s="7" customFormat="1" x14ac:dyDescent="0.45"/>
    <row r="196" s="7" customFormat="1" x14ac:dyDescent="0.45"/>
    <row r="197" s="7" customFormat="1" x14ac:dyDescent="0.45"/>
    <row r="198" s="7" customFormat="1" x14ac:dyDescent="0.45"/>
    <row r="199" s="7" customFormat="1" x14ac:dyDescent="0.45"/>
    <row r="200" s="7" customFormat="1" x14ac:dyDescent="0.45"/>
    <row r="201" s="7" customFormat="1" x14ac:dyDescent="0.45"/>
    <row r="202" s="7" customFormat="1" x14ac:dyDescent="0.45"/>
    <row r="203" s="7" customFormat="1" x14ac:dyDescent="0.45"/>
    <row r="204" s="7" customFormat="1" x14ac:dyDescent="0.45"/>
    <row r="205" s="7" customFormat="1" x14ac:dyDescent="0.45"/>
    <row r="206" s="7" customFormat="1" x14ac:dyDescent="0.45"/>
    <row r="207" s="7" customFormat="1" x14ac:dyDescent="0.45"/>
    <row r="208" s="7" customFormat="1" x14ac:dyDescent="0.45"/>
    <row r="209" s="7" customFormat="1" x14ac:dyDescent="0.45"/>
    <row r="210" s="7" customFormat="1" x14ac:dyDescent="0.45"/>
    <row r="211" s="7" customFormat="1" x14ac:dyDescent="0.45"/>
    <row r="212" s="7" customFormat="1" x14ac:dyDescent="0.45"/>
    <row r="213" s="7" customFormat="1" x14ac:dyDescent="0.45"/>
    <row r="214" s="7" customFormat="1" x14ac:dyDescent="0.45"/>
    <row r="215" s="7" customFormat="1" x14ac:dyDescent="0.45"/>
    <row r="216" s="7" customFormat="1" x14ac:dyDescent="0.45"/>
    <row r="217" s="7" customFormat="1" x14ac:dyDescent="0.45"/>
    <row r="218" s="7" customFormat="1" x14ac:dyDescent="0.45"/>
    <row r="219" s="7" customFormat="1" x14ac:dyDescent="0.45"/>
    <row r="220" s="7" customFormat="1" x14ac:dyDescent="0.45"/>
    <row r="221" s="7" customFormat="1" x14ac:dyDescent="0.45"/>
    <row r="222" s="7" customFormat="1" x14ac:dyDescent="0.45"/>
    <row r="223" s="7" customFormat="1" x14ac:dyDescent="0.45"/>
    <row r="224" s="7" customFormat="1" x14ac:dyDescent="0.45"/>
    <row r="225" s="7" customFormat="1" x14ac:dyDescent="0.45"/>
    <row r="226" s="7" customFormat="1" x14ac:dyDescent="0.45"/>
    <row r="227" s="7" customFormat="1" x14ac:dyDescent="0.45"/>
    <row r="228" s="7" customFormat="1" x14ac:dyDescent="0.45"/>
    <row r="229" s="7" customFormat="1" x14ac:dyDescent="0.45"/>
    <row r="230" s="7" customFormat="1" x14ac:dyDescent="0.45"/>
    <row r="231" s="7" customFormat="1" x14ac:dyDescent="0.45"/>
    <row r="232" s="7" customFormat="1" x14ac:dyDescent="0.45"/>
    <row r="233" s="7" customFormat="1" x14ac:dyDescent="0.45"/>
    <row r="234" s="7" customFormat="1" x14ac:dyDescent="0.45"/>
    <row r="235" s="7" customFormat="1" x14ac:dyDescent="0.45"/>
    <row r="236" s="7" customFormat="1" x14ac:dyDescent="0.45"/>
    <row r="237" s="7" customFormat="1" x14ac:dyDescent="0.45"/>
    <row r="238" s="7" customFormat="1" x14ac:dyDescent="0.45"/>
    <row r="239" s="7" customFormat="1" x14ac:dyDescent="0.45"/>
    <row r="240" s="7" customFormat="1" x14ac:dyDescent="0.45"/>
    <row r="241" s="7" customFormat="1" x14ac:dyDescent="0.45"/>
    <row r="242" s="7" customFormat="1" x14ac:dyDescent="0.45"/>
    <row r="243" s="7" customFormat="1" x14ac:dyDescent="0.45"/>
    <row r="244" s="7" customFormat="1" x14ac:dyDescent="0.45"/>
    <row r="245" s="7" customFormat="1" x14ac:dyDescent="0.45"/>
    <row r="246" s="7" customFormat="1" x14ac:dyDescent="0.45"/>
    <row r="247" s="7" customFormat="1" x14ac:dyDescent="0.45"/>
    <row r="248" s="7" customFormat="1" x14ac:dyDescent="0.45"/>
    <row r="249" s="7" customFormat="1" x14ac:dyDescent="0.45"/>
    <row r="250" s="7" customFormat="1" x14ac:dyDescent="0.45"/>
    <row r="251" s="7" customFormat="1" x14ac:dyDescent="0.45"/>
    <row r="252" s="7" customFormat="1" x14ac:dyDescent="0.45"/>
    <row r="253" s="7" customFormat="1" x14ac:dyDescent="0.45"/>
    <row r="254" s="7" customFormat="1" x14ac:dyDescent="0.45"/>
    <row r="255" s="7" customFormat="1" x14ac:dyDescent="0.45"/>
    <row r="256" s="7" customFormat="1" x14ac:dyDescent="0.45"/>
    <row r="257" s="7" customFormat="1" x14ac:dyDescent="0.45"/>
    <row r="258" s="7" customFormat="1" x14ac:dyDescent="0.45"/>
    <row r="259" s="7" customFormat="1" x14ac:dyDescent="0.45"/>
    <row r="260" s="7" customFormat="1" x14ac:dyDescent="0.45"/>
    <row r="261" s="7" customFormat="1" x14ac:dyDescent="0.45"/>
    <row r="262" s="7" customFormat="1" x14ac:dyDescent="0.45"/>
    <row r="263" s="7" customFormat="1" x14ac:dyDescent="0.45"/>
    <row r="264" s="7" customFormat="1" x14ac:dyDescent="0.45"/>
    <row r="265" s="7" customFormat="1" x14ac:dyDescent="0.45"/>
    <row r="266" s="7" customFormat="1" x14ac:dyDescent="0.45"/>
    <row r="267" s="7" customFormat="1" x14ac:dyDescent="0.45"/>
    <row r="268" s="7" customFormat="1" x14ac:dyDescent="0.45"/>
    <row r="269" s="7" customFormat="1" x14ac:dyDescent="0.45"/>
    <row r="270" s="7" customFormat="1" x14ac:dyDescent="0.45"/>
    <row r="271" s="7" customFormat="1" x14ac:dyDescent="0.45"/>
    <row r="272" s="7" customFormat="1" x14ac:dyDescent="0.45"/>
    <row r="273" s="7" customFormat="1" x14ac:dyDescent="0.45"/>
    <row r="274" s="7" customFormat="1" x14ac:dyDescent="0.45"/>
    <row r="275" s="7" customFormat="1" x14ac:dyDescent="0.45"/>
    <row r="276" s="7" customFormat="1" x14ac:dyDescent="0.45"/>
    <row r="277" s="7" customFormat="1" x14ac:dyDescent="0.45"/>
    <row r="278" s="7" customFormat="1" x14ac:dyDescent="0.45"/>
    <row r="279" s="7" customFormat="1" x14ac:dyDescent="0.45"/>
    <row r="280" s="7" customFormat="1" x14ac:dyDescent="0.45"/>
    <row r="281" s="7" customFormat="1" x14ac:dyDescent="0.45"/>
    <row r="282" s="7" customFormat="1" x14ac:dyDescent="0.45"/>
    <row r="283" s="7" customFormat="1" x14ac:dyDescent="0.45"/>
    <row r="284" s="7" customFormat="1" x14ac:dyDescent="0.45"/>
    <row r="285" s="7" customFormat="1" x14ac:dyDescent="0.45"/>
    <row r="286" s="7" customFormat="1" x14ac:dyDescent="0.45"/>
    <row r="287" s="7" customFormat="1" x14ac:dyDescent="0.45"/>
    <row r="288" s="7" customFormat="1" x14ac:dyDescent="0.45"/>
    <row r="289" s="7" customFormat="1" x14ac:dyDescent="0.45"/>
    <row r="290" s="7" customFormat="1" x14ac:dyDescent="0.45"/>
    <row r="291" s="7" customFormat="1" x14ac:dyDescent="0.45"/>
    <row r="292" s="7" customFormat="1" x14ac:dyDescent="0.45"/>
    <row r="293" s="7" customFormat="1" x14ac:dyDescent="0.45"/>
    <row r="294" s="7" customFormat="1" x14ac:dyDescent="0.45"/>
    <row r="295" s="7" customFormat="1" x14ac:dyDescent="0.45"/>
    <row r="296" s="7" customFormat="1" x14ac:dyDescent="0.45"/>
    <row r="297" s="7" customFormat="1" x14ac:dyDescent="0.45"/>
    <row r="298" s="7" customFormat="1" x14ac:dyDescent="0.45"/>
    <row r="299" s="7" customFormat="1" x14ac:dyDescent="0.45"/>
    <row r="300" s="7" customFormat="1" x14ac:dyDescent="0.45"/>
    <row r="301" s="7" customFormat="1" x14ac:dyDescent="0.45"/>
    <row r="302" s="7" customFormat="1" x14ac:dyDescent="0.45"/>
    <row r="303" s="7" customFormat="1" x14ac:dyDescent="0.45"/>
    <row r="304" s="7" customFormat="1" x14ac:dyDescent="0.45"/>
    <row r="305" s="7" customFormat="1" x14ac:dyDescent="0.45"/>
    <row r="306" s="7" customFormat="1" x14ac:dyDescent="0.45"/>
    <row r="307" s="7" customFormat="1" x14ac:dyDescent="0.45"/>
    <row r="308" s="7" customFormat="1" x14ac:dyDescent="0.45"/>
    <row r="309" s="7" customFormat="1" x14ac:dyDescent="0.45"/>
    <row r="310" s="7" customFormat="1" x14ac:dyDescent="0.45"/>
    <row r="311" s="7" customFormat="1" x14ac:dyDescent="0.45"/>
    <row r="312" s="7" customFormat="1" x14ac:dyDescent="0.45"/>
    <row r="313" s="7" customFormat="1" x14ac:dyDescent="0.45"/>
    <row r="314" s="7" customFormat="1" x14ac:dyDescent="0.45"/>
    <row r="315" s="7" customFormat="1" x14ac:dyDescent="0.45"/>
    <row r="316" s="7" customFormat="1" x14ac:dyDescent="0.45"/>
    <row r="317" s="7" customFormat="1" x14ac:dyDescent="0.45"/>
    <row r="318" s="7" customFormat="1" x14ac:dyDescent="0.45"/>
    <row r="319" s="7" customFormat="1" x14ac:dyDescent="0.45"/>
    <row r="320" s="7" customFormat="1" x14ac:dyDescent="0.45"/>
    <row r="321" s="7" customFormat="1" x14ac:dyDescent="0.45"/>
    <row r="322" s="7" customFormat="1" x14ac:dyDescent="0.45"/>
    <row r="323" s="7" customFormat="1" x14ac:dyDescent="0.45"/>
    <row r="324" s="7" customFormat="1" x14ac:dyDescent="0.45"/>
    <row r="325" s="7" customFormat="1" x14ac:dyDescent="0.45"/>
    <row r="326" s="7" customFormat="1" x14ac:dyDescent="0.45"/>
    <row r="327" s="7" customFormat="1" x14ac:dyDescent="0.45"/>
    <row r="328" s="7" customFormat="1" x14ac:dyDescent="0.45"/>
    <row r="329" s="7" customFormat="1" x14ac:dyDescent="0.45"/>
    <row r="330" s="7" customFormat="1" x14ac:dyDescent="0.45"/>
    <row r="331" s="7" customFormat="1" x14ac:dyDescent="0.45"/>
    <row r="332" s="7" customFormat="1" x14ac:dyDescent="0.45"/>
    <row r="333" s="7" customFormat="1" x14ac:dyDescent="0.45"/>
    <row r="334" s="7" customFormat="1" x14ac:dyDescent="0.45"/>
    <row r="335" s="7" customFormat="1" x14ac:dyDescent="0.45"/>
    <row r="336" s="7" customFormat="1" x14ac:dyDescent="0.45"/>
    <row r="337" s="7" customFormat="1" x14ac:dyDescent="0.45"/>
    <row r="338" s="7" customFormat="1" x14ac:dyDescent="0.45"/>
    <row r="339" s="7" customFormat="1" x14ac:dyDescent="0.45"/>
    <row r="340" s="7" customFormat="1" x14ac:dyDescent="0.45"/>
    <row r="341" s="7" customFormat="1" x14ac:dyDescent="0.45"/>
    <row r="342" s="7" customFormat="1" x14ac:dyDescent="0.45"/>
    <row r="343" s="7" customFormat="1" x14ac:dyDescent="0.45"/>
    <row r="344" s="7" customFormat="1" x14ac:dyDescent="0.45"/>
    <row r="345" s="7" customFormat="1" x14ac:dyDescent="0.45"/>
    <row r="346" s="7" customFormat="1" x14ac:dyDescent="0.45"/>
    <row r="347" s="7" customFormat="1" x14ac:dyDescent="0.45"/>
    <row r="348" s="7" customFormat="1" x14ac:dyDescent="0.45"/>
    <row r="349" s="7" customFormat="1" x14ac:dyDescent="0.45"/>
    <row r="350" s="7" customFormat="1" x14ac:dyDescent="0.45"/>
    <row r="351" s="7" customFormat="1" x14ac:dyDescent="0.45"/>
    <row r="352" s="7" customFormat="1" x14ac:dyDescent="0.45"/>
    <row r="353" s="7" customFormat="1" x14ac:dyDescent="0.45"/>
    <row r="354" s="7" customFormat="1" x14ac:dyDescent="0.45"/>
    <row r="355" s="7" customFormat="1" x14ac:dyDescent="0.45"/>
    <row r="356" s="7" customFormat="1" x14ac:dyDescent="0.45"/>
    <row r="357" s="7" customFormat="1" x14ac:dyDescent="0.45"/>
    <row r="358" s="7" customFormat="1" x14ac:dyDescent="0.45"/>
    <row r="359" s="7" customFormat="1" x14ac:dyDescent="0.45"/>
    <row r="360" s="7" customFormat="1" x14ac:dyDescent="0.45"/>
    <row r="361" s="7" customFormat="1" x14ac:dyDescent="0.45"/>
    <row r="362" s="7" customFormat="1" x14ac:dyDescent="0.45"/>
    <row r="363" s="7" customFormat="1" x14ac:dyDescent="0.45"/>
    <row r="364" s="7" customFormat="1" x14ac:dyDescent="0.45"/>
    <row r="365" s="7" customFormat="1" x14ac:dyDescent="0.45"/>
    <row r="366" s="7" customFormat="1" x14ac:dyDescent="0.45"/>
    <row r="367" s="7" customFormat="1" x14ac:dyDescent="0.45"/>
    <row r="368" s="7" customFormat="1" x14ac:dyDescent="0.45"/>
    <row r="369" s="7" customFormat="1" x14ac:dyDescent="0.45"/>
    <row r="370" s="7" customFormat="1" x14ac:dyDescent="0.45"/>
    <row r="371" s="7" customFormat="1" x14ac:dyDescent="0.45"/>
    <row r="372" s="7" customFormat="1" x14ac:dyDescent="0.45"/>
    <row r="373" s="7" customFormat="1" x14ac:dyDescent="0.45"/>
    <row r="374" s="7" customFormat="1" x14ac:dyDescent="0.45"/>
    <row r="375" s="7" customFormat="1" x14ac:dyDescent="0.45"/>
    <row r="376" s="7" customFormat="1" x14ac:dyDescent="0.45"/>
    <row r="377" s="7" customFormat="1" x14ac:dyDescent="0.45"/>
    <row r="378" s="7" customFormat="1" x14ac:dyDescent="0.45"/>
    <row r="379" s="7" customFormat="1" x14ac:dyDescent="0.45"/>
    <row r="380" s="7" customFormat="1" x14ac:dyDescent="0.45"/>
    <row r="381" s="7" customFormat="1" x14ac:dyDescent="0.45"/>
    <row r="382" s="7" customFormat="1" x14ac:dyDescent="0.45"/>
    <row r="383" s="7" customFormat="1" x14ac:dyDescent="0.45"/>
    <row r="384" s="7" customFormat="1" x14ac:dyDescent="0.45"/>
    <row r="385" s="7" customFormat="1" x14ac:dyDescent="0.45"/>
    <row r="386" s="7" customFormat="1" x14ac:dyDescent="0.45"/>
    <row r="387" s="7" customFormat="1" x14ac:dyDescent="0.45"/>
    <row r="388" s="7" customFormat="1" x14ac:dyDescent="0.45"/>
    <row r="389" s="7" customFormat="1" x14ac:dyDescent="0.45"/>
    <row r="390" s="7" customFormat="1" x14ac:dyDescent="0.45"/>
    <row r="391" s="7" customFormat="1" x14ac:dyDescent="0.45"/>
    <row r="392" s="7" customFormat="1" x14ac:dyDescent="0.45"/>
    <row r="393" s="7" customFormat="1" x14ac:dyDescent="0.45"/>
    <row r="394" s="7" customFormat="1" x14ac:dyDescent="0.45"/>
    <row r="395" s="7" customFormat="1" x14ac:dyDescent="0.45"/>
    <row r="396" s="7" customFormat="1" x14ac:dyDescent="0.45"/>
    <row r="397" s="7" customFormat="1" x14ac:dyDescent="0.45"/>
    <row r="398" s="7" customFormat="1" x14ac:dyDescent="0.45"/>
    <row r="399" s="7" customFormat="1" x14ac:dyDescent="0.45"/>
    <row r="400" s="7" customFormat="1" x14ac:dyDescent="0.45"/>
    <row r="401" s="7" customFormat="1" x14ac:dyDescent="0.45"/>
    <row r="402" s="7" customFormat="1" x14ac:dyDescent="0.45"/>
    <row r="403" s="7" customFormat="1" x14ac:dyDescent="0.45"/>
    <row r="404" s="7" customFormat="1" x14ac:dyDescent="0.45"/>
    <row r="405" s="7" customFormat="1" x14ac:dyDescent="0.45"/>
    <row r="406" s="7" customFormat="1" x14ac:dyDescent="0.45"/>
    <row r="407" s="7" customFormat="1" x14ac:dyDescent="0.45"/>
    <row r="408" s="7" customFormat="1" x14ac:dyDescent="0.45"/>
    <row r="409" s="7" customFormat="1" x14ac:dyDescent="0.45"/>
    <row r="410" s="7" customFormat="1" x14ac:dyDescent="0.45"/>
    <row r="411" s="7" customFormat="1" x14ac:dyDescent="0.45"/>
    <row r="412" s="7" customFormat="1" x14ac:dyDescent="0.45"/>
    <row r="413" s="7" customFormat="1" x14ac:dyDescent="0.45"/>
    <row r="414" s="7" customFormat="1" x14ac:dyDescent="0.45"/>
    <row r="415" s="7" customFormat="1" x14ac:dyDescent="0.45"/>
    <row r="416" s="7" customFormat="1" x14ac:dyDescent="0.45"/>
    <row r="417" s="7" customFormat="1" x14ac:dyDescent="0.45"/>
    <row r="418" s="7" customFormat="1" x14ac:dyDescent="0.45"/>
    <row r="419" s="7" customFormat="1" x14ac:dyDescent="0.45"/>
    <row r="420" s="7" customFormat="1" x14ac:dyDescent="0.45"/>
    <row r="421" s="7" customFormat="1" x14ac:dyDescent="0.45"/>
    <row r="422" s="7" customFormat="1" x14ac:dyDescent="0.45"/>
    <row r="423" s="7" customFormat="1" x14ac:dyDescent="0.45"/>
    <row r="424" s="7" customFormat="1" x14ac:dyDescent="0.45"/>
    <row r="425" s="7" customFormat="1" x14ac:dyDescent="0.45"/>
    <row r="426" s="7" customFormat="1" x14ac:dyDescent="0.45"/>
    <row r="427" s="7" customFormat="1" x14ac:dyDescent="0.45"/>
    <row r="428" s="7" customFormat="1" x14ac:dyDescent="0.45"/>
    <row r="429" s="7" customFormat="1" x14ac:dyDescent="0.45"/>
    <row r="430" s="7" customFormat="1" x14ac:dyDescent="0.45"/>
    <row r="431" s="7" customFormat="1" x14ac:dyDescent="0.45"/>
    <row r="432" s="7" customFormat="1" x14ac:dyDescent="0.45"/>
    <row r="433" s="7" customFormat="1" x14ac:dyDescent="0.45"/>
    <row r="434" s="7" customFormat="1" x14ac:dyDescent="0.45"/>
    <row r="435" s="7" customFormat="1" x14ac:dyDescent="0.45"/>
    <row r="436" s="7" customFormat="1" x14ac:dyDescent="0.45"/>
    <row r="437" s="7" customFormat="1" x14ac:dyDescent="0.45"/>
    <row r="438" s="7" customFormat="1" x14ac:dyDescent="0.45"/>
    <row r="439" s="7" customFormat="1" x14ac:dyDescent="0.45"/>
    <row r="440" s="7" customFormat="1" x14ac:dyDescent="0.45"/>
    <row r="441" s="7" customFormat="1" x14ac:dyDescent="0.45"/>
    <row r="442" s="7" customFormat="1" x14ac:dyDescent="0.45"/>
    <row r="443" s="7" customFormat="1" x14ac:dyDescent="0.45"/>
    <row r="444" s="7" customFormat="1" x14ac:dyDescent="0.45"/>
    <row r="445" s="7" customFormat="1" x14ac:dyDescent="0.45"/>
    <row r="446" s="7" customFormat="1" x14ac:dyDescent="0.45"/>
    <row r="447" s="7" customFormat="1" x14ac:dyDescent="0.45"/>
    <row r="448" s="7" customFormat="1" x14ac:dyDescent="0.45"/>
    <row r="449" s="7" customFormat="1" x14ac:dyDescent="0.45"/>
    <row r="450" s="7" customFormat="1" x14ac:dyDescent="0.45"/>
    <row r="451" s="7" customFormat="1" x14ac:dyDescent="0.45"/>
    <row r="452" s="7" customFormat="1" x14ac:dyDescent="0.45"/>
    <row r="453" s="7" customFormat="1" x14ac:dyDescent="0.45"/>
    <row r="454" s="7" customFormat="1" x14ac:dyDescent="0.45"/>
    <row r="455" s="7" customFormat="1" x14ac:dyDescent="0.45"/>
    <row r="456" s="7" customFormat="1" x14ac:dyDescent="0.45"/>
    <row r="457" s="7" customFormat="1" x14ac:dyDescent="0.45"/>
    <row r="458" s="7" customFormat="1" x14ac:dyDescent="0.45"/>
    <row r="459" s="7" customFormat="1" x14ac:dyDescent="0.45"/>
    <row r="460" s="7" customFormat="1" x14ac:dyDescent="0.45"/>
    <row r="461" s="7" customFormat="1" x14ac:dyDescent="0.45"/>
    <row r="462" s="7" customFormat="1" x14ac:dyDescent="0.45"/>
    <row r="463" s="7" customFormat="1" x14ac:dyDescent="0.45"/>
    <row r="464" s="7" customFormat="1" x14ac:dyDescent="0.45"/>
    <row r="465" s="7" customFormat="1" x14ac:dyDescent="0.45"/>
    <row r="466" s="7" customFormat="1" x14ac:dyDescent="0.45"/>
    <row r="467" s="7" customFormat="1" x14ac:dyDescent="0.45"/>
    <row r="468" s="7" customFormat="1" x14ac:dyDescent="0.45"/>
    <row r="469" s="7" customFormat="1" x14ac:dyDescent="0.45"/>
    <row r="470" s="7" customFormat="1" x14ac:dyDescent="0.45"/>
    <row r="471" s="7" customFormat="1" x14ac:dyDescent="0.45"/>
    <row r="472" s="7" customFormat="1" x14ac:dyDescent="0.45"/>
    <row r="473" s="7" customFormat="1" x14ac:dyDescent="0.45"/>
    <row r="474" s="7" customFormat="1" x14ac:dyDescent="0.45"/>
    <row r="475" s="7" customFormat="1" x14ac:dyDescent="0.45"/>
    <row r="476" s="7" customFormat="1" x14ac:dyDescent="0.45"/>
    <row r="477" s="7" customFormat="1" x14ac:dyDescent="0.45"/>
    <row r="478" s="7" customFormat="1" x14ac:dyDescent="0.45"/>
    <row r="479" s="7" customFormat="1" x14ac:dyDescent="0.45"/>
    <row r="480" s="7" customFormat="1" x14ac:dyDescent="0.45"/>
    <row r="481" s="7" customFormat="1" x14ac:dyDescent="0.45"/>
    <row r="482" s="7" customFormat="1" x14ac:dyDescent="0.45"/>
    <row r="483" s="7" customFormat="1" x14ac:dyDescent="0.45"/>
    <row r="484" s="7" customFormat="1" x14ac:dyDescent="0.45"/>
    <row r="485" s="7" customFormat="1" x14ac:dyDescent="0.45"/>
    <row r="486" s="7" customFormat="1" x14ac:dyDescent="0.45"/>
    <row r="487" s="7" customFormat="1" x14ac:dyDescent="0.45"/>
    <row r="488" s="7" customFormat="1" x14ac:dyDescent="0.45"/>
    <row r="489" s="7" customFormat="1" x14ac:dyDescent="0.45"/>
    <row r="490" s="7" customFormat="1" x14ac:dyDescent="0.45"/>
    <row r="491" s="7" customFormat="1" x14ac:dyDescent="0.45"/>
    <row r="492" s="7" customFormat="1" x14ac:dyDescent="0.45"/>
    <row r="493" s="7" customFormat="1" x14ac:dyDescent="0.45"/>
    <row r="494" s="7" customFormat="1" x14ac:dyDescent="0.45"/>
    <row r="495" s="7" customFormat="1" x14ac:dyDescent="0.45"/>
    <row r="496" s="7" customFormat="1" x14ac:dyDescent="0.45"/>
    <row r="497" s="7" customFormat="1" x14ac:dyDescent="0.45"/>
    <row r="498" s="7" customFormat="1" x14ac:dyDescent="0.45"/>
    <row r="499" s="7" customFormat="1" x14ac:dyDescent="0.45"/>
    <row r="500" s="7" customFormat="1" x14ac:dyDescent="0.45"/>
    <row r="501" s="7" customFormat="1" x14ac:dyDescent="0.45"/>
    <row r="502" s="7" customFormat="1" x14ac:dyDescent="0.45"/>
    <row r="503" s="7" customFormat="1" x14ac:dyDescent="0.45"/>
    <row r="504" s="7" customFormat="1" x14ac:dyDescent="0.45"/>
    <row r="505" s="7" customFormat="1" x14ac:dyDescent="0.45"/>
    <row r="506" s="7" customFormat="1" x14ac:dyDescent="0.45"/>
    <row r="507" s="7" customFormat="1" x14ac:dyDescent="0.45"/>
    <row r="508" s="7" customFormat="1" x14ac:dyDescent="0.45"/>
    <row r="509" s="7" customFormat="1" x14ac:dyDescent="0.45"/>
    <row r="510" s="7" customFormat="1" x14ac:dyDescent="0.45"/>
    <row r="511" s="7" customFormat="1" x14ac:dyDescent="0.45"/>
    <row r="512" s="7" customFormat="1" x14ac:dyDescent="0.45"/>
  </sheetData>
  <pageMargins left="0.7" right="0.7" top="0.75" bottom="0.75" header="0.3" footer="0.3"/>
  <pageSetup scale="4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H40"/>
  <sheetViews>
    <sheetView topLeftCell="A9" zoomScale="55" zoomScaleNormal="55" workbookViewId="0">
      <selection activeCell="C12" sqref="C12"/>
    </sheetView>
  </sheetViews>
  <sheetFormatPr defaultRowHeight="14.25" x14ac:dyDescent="0.45"/>
  <cols>
    <col min="1" max="1" width="12" customWidth="1"/>
    <col min="2" max="2" width="11.59765625" customWidth="1"/>
    <col min="3" max="3" width="11.265625" customWidth="1"/>
    <col min="4" max="4" width="13.265625" customWidth="1"/>
    <col min="5" max="5" width="10.73046875" customWidth="1"/>
    <col min="6" max="6" width="17" customWidth="1"/>
  </cols>
  <sheetData>
    <row r="2" spans="1:60" x14ac:dyDescent="0.45">
      <c r="A2" t="s">
        <v>74</v>
      </c>
      <c r="B2" t="str">
        <f>RTD("rit2.rtd",,"PERIOD")</f>
        <v>PERIOD</v>
      </c>
      <c r="F2" t="s">
        <v>63</v>
      </c>
      <c r="G2" s="3" t="s">
        <v>64</v>
      </c>
      <c r="H2" s="3" t="s">
        <v>65</v>
      </c>
      <c r="I2" s="3" t="s">
        <v>64</v>
      </c>
      <c r="J2" s="3" t="s">
        <v>65</v>
      </c>
      <c r="K2" s="3" t="s">
        <v>64</v>
      </c>
      <c r="L2" s="3" t="s">
        <v>65</v>
      </c>
      <c r="M2" s="3" t="s">
        <v>64</v>
      </c>
      <c r="N2" s="3" t="s">
        <v>65</v>
      </c>
      <c r="O2" s="3" t="s">
        <v>64</v>
      </c>
      <c r="P2" s="3" t="s">
        <v>65</v>
      </c>
      <c r="Q2" s="3" t="s">
        <v>64</v>
      </c>
      <c r="R2" s="3" t="s">
        <v>65</v>
      </c>
      <c r="S2" s="3" t="s">
        <v>64</v>
      </c>
      <c r="T2" s="3" t="s">
        <v>65</v>
      </c>
      <c r="U2" s="3" t="s">
        <v>64</v>
      </c>
      <c r="V2" s="3" t="s">
        <v>65</v>
      </c>
      <c r="W2" s="3" t="s">
        <v>64</v>
      </c>
      <c r="X2" s="3" t="s">
        <v>65</v>
      </c>
      <c r="Y2" s="3" t="s">
        <v>64</v>
      </c>
      <c r="Z2" s="3" t="s">
        <v>65</v>
      </c>
      <c r="AA2" s="3" t="s">
        <v>64</v>
      </c>
      <c r="AB2" s="3" t="s">
        <v>65</v>
      </c>
      <c r="AC2" s="3" t="s">
        <v>64</v>
      </c>
      <c r="AD2" s="3" t="s">
        <v>65</v>
      </c>
      <c r="AE2" s="3" t="s">
        <v>64</v>
      </c>
      <c r="AF2" s="3" t="s">
        <v>65</v>
      </c>
      <c r="AG2" s="3" t="s">
        <v>64</v>
      </c>
      <c r="AH2" s="3" t="s">
        <v>65</v>
      </c>
      <c r="AI2" s="3" t="s">
        <v>64</v>
      </c>
      <c r="AJ2" s="3" t="s">
        <v>65</v>
      </c>
      <c r="AK2" s="3" t="s">
        <v>64</v>
      </c>
      <c r="AL2" s="3" t="s">
        <v>65</v>
      </c>
      <c r="AM2" s="3" t="s">
        <v>64</v>
      </c>
      <c r="AN2" s="3" t="s">
        <v>65</v>
      </c>
      <c r="AO2" s="3" t="s">
        <v>64</v>
      </c>
      <c r="AP2" s="3" t="s">
        <v>65</v>
      </c>
      <c r="AQ2" s="3" t="s">
        <v>64</v>
      </c>
      <c r="AR2" s="3" t="s">
        <v>65</v>
      </c>
      <c r="AS2" s="3" t="s">
        <v>64</v>
      </c>
      <c r="AT2" s="3" t="s">
        <v>65</v>
      </c>
      <c r="AU2" s="3" t="s">
        <v>64</v>
      </c>
      <c r="AV2" s="3" t="s">
        <v>65</v>
      </c>
      <c r="AW2" s="3" t="s">
        <v>64</v>
      </c>
      <c r="AX2" s="3" t="s">
        <v>65</v>
      </c>
      <c r="AY2" s="3" t="s">
        <v>64</v>
      </c>
      <c r="AZ2" s="3" t="s">
        <v>65</v>
      </c>
      <c r="BA2" s="3" t="s">
        <v>64</v>
      </c>
      <c r="BB2" s="3" t="s">
        <v>65</v>
      </c>
      <c r="BC2" s="3" t="s">
        <v>64</v>
      </c>
      <c r="BD2" s="3" t="s">
        <v>65</v>
      </c>
      <c r="BE2" s="3" t="s">
        <v>64</v>
      </c>
      <c r="BF2" s="3" t="s">
        <v>65</v>
      </c>
      <c r="BG2" s="3" t="s">
        <v>64</v>
      </c>
      <c r="BH2" s="3" t="s">
        <v>65</v>
      </c>
    </row>
    <row r="3" spans="1:60" x14ac:dyDescent="0.45">
      <c r="F3" t="s">
        <v>62</v>
      </c>
      <c r="G3" s="3">
        <v>16</v>
      </c>
      <c r="H3" s="3">
        <v>16</v>
      </c>
      <c r="I3" s="3">
        <v>17</v>
      </c>
      <c r="J3" s="3">
        <v>17</v>
      </c>
      <c r="K3" s="3">
        <v>18</v>
      </c>
      <c r="L3" s="3">
        <v>18</v>
      </c>
      <c r="M3" s="3">
        <v>19</v>
      </c>
      <c r="N3" s="3">
        <v>19</v>
      </c>
      <c r="O3" s="3">
        <v>20</v>
      </c>
      <c r="P3" s="3">
        <v>20</v>
      </c>
      <c r="Q3" s="3">
        <v>21</v>
      </c>
      <c r="R3" s="3">
        <v>21</v>
      </c>
      <c r="S3" s="3">
        <v>22</v>
      </c>
      <c r="T3" s="3">
        <v>22</v>
      </c>
      <c r="U3" s="3">
        <v>23</v>
      </c>
      <c r="V3" s="3">
        <v>23</v>
      </c>
      <c r="W3" s="3">
        <v>24</v>
      </c>
      <c r="X3" s="3">
        <v>24</v>
      </c>
      <c r="Y3" s="3">
        <v>16</v>
      </c>
      <c r="Z3" s="3">
        <v>16</v>
      </c>
      <c r="AA3" s="3">
        <v>17</v>
      </c>
      <c r="AB3" s="3">
        <v>17</v>
      </c>
      <c r="AC3" s="3">
        <v>18</v>
      </c>
      <c r="AD3" s="3">
        <v>18</v>
      </c>
      <c r="AE3" s="3">
        <v>19</v>
      </c>
      <c r="AF3" s="3">
        <v>19</v>
      </c>
      <c r="AG3" s="3">
        <v>20</v>
      </c>
      <c r="AH3" s="3">
        <v>20</v>
      </c>
      <c r="AI3" s="3">
        <v>21</v>
      </c>
      <c r="AJ3" s="3">
        <v>21</v>
      </c>
      <c r="AK3" s="3">
        <v>22</v>
      </c>
      <c r="AL3" s="3">
        <v>22</v>
      </c>
      <c r="AM3" s="3">
        <v>23</v>
      </c>
      <c r="AN3" s="3">
        <v>23</v>
      </c>
      <c r="AO3" s="3">
        <v>24</v>
      </c>
      <c r="AP3" s="3">
        <v>24</v>
      </c>
      <c r="AQ3" s="3">
        <v>16</v>
      </c>
      <c r="AR3" s="3">
        <v>16</v>
      </c>
      <c r="AS3" s="3">
        <v>17</v>
      </c>
      <c r="AT3" s="3">
        <v>17</v>
      </c>
      <c r="AU3" s="3">
        <v>18</v>
      </c>
      <c r="AV3" s="3">
        <v>18</v>
      </c>
      <c r="AW3" s="3">
        <v>19</v>
      </c>
      <c r="AX3" s="3">
        <v>19</v>
      </c>
      <c r="AY3" s="3">
        <v>20</v>
      </c>
      <c r="AZ3" s="3">
        <v>20</v>
      </c>
      <c r="BA3" s="3">
        <v>21</v>
      </c>
      <c r="BB3" s="3">
        <v>21</v>
      </c>
      <c r="BC3" s="3">
        <v>22</v>
      </c>
      <c r="BD3" s="3">
        <v>22</v>
      </c>
      <c r="BE3" s="3">
        <v>23</v>
      </c>
      <c r="BF3" s="3">
        <v>23</v>
      </c>
      <c r="BG3" s="3">
        <v>24</v>
      </c>
      <c r="BH3" s="3">
        <v>24</v>
      </c>
    </row>
    <row r="4" spans="1:60" x14ac:dyDescent="0.45">
      <c r="F4" t="s">
        <v>19</v>
      </c>
      <c r="G4" s="3" t="str">
        <f t="array" ref="G4:X4">TRANSPOSE('Market Data Sheet'!C5:C22)</f>
        <v>JAN16C|POSITION</v>
      </c>
      <c r="H4" s="3" t="str">
        <v>JAN16P|POSITION</v>
      </c>
      <c r="I4" s="3" t="str">
        <v>JAN17C|POSITION</v>
      </c>
      <c r="J4" s="3" t="str">
        <v>JAN17P|POSITION</v>
      </c>
      <c r="K4" s="3" t="str">
        <v>JAN18C|POSITION</v>
      </c>
      <c r="L4" s="3" t="str">
        <v>JAN18P|POSITION</v>
      </c>
      <c r="M4" s="3" t="str">
        <v>JAN19C|POSITION</v>
      </c>
      <c r="N4" s="3" t="str">
        <v>JAN19P|POSITION</v>
      </c>
      <c r="O4" s="3" t="str">
        <v>JAN20C|POSITION</v>
      </c>
      <c r="P4" s="3" t="str">
        <v>JAN20P|POSITION</v>
      </c>
      <c r="Q4" s="3" t="str">
        <v>JAN21C|POSITION</v>
      </c>
      <c r="R4" s="3" t="str">
        <v>JAN21P|POSITION</v>
      </c>
      <c r="S4" s="3" t="str">
        <v>JAN22C|POSITION</v>
      </c>
      <c r="T4" s="3" t="str">
        <v>JAN22P|POSITION</v>
      </c>
      <c r="U4" s="3" t="str">
        <v>JAN23C|POSITION</v>
      </c>
      <c r="V4" s="3" t="str">
        <v>JAN23P|POSITION</v>
      </c>
      <c r="W4" s="3" t="str">
        <v>JAN24C|POSITION</v>
      </c>
      <c r="X4" s="3" t="str">
        <v>JAN24P|POSITION</v>
      </c>
      <c r="Y4" s="3" t="str">
        <f t="array" ref="Y4:AP4">TRANSPOSE('Market Data Sheet'!C24:C41)</f>
        <v>FEB16C|POSITION</v>
      </c>
      <c r="Z4" s="3" t="str">
        <v>FEB16P|POSITION</v>
      </c>
      <c r="AA4" s="3" t="str">
        <v>FEB17C|POSITION</v>
      </c>
      <c r="AB4" s="3" t="str">
        <v>FEB17P|POSITION</v>
      </c>
      <c r="AC4" s="3" t="str">
        <v>FEB18C|POSITION</v>
      </c>
      <c r="AD4" s="3" t="str">
        <v>FEB18P|POSITION</v>
      </c>
      <c r="AE4" s="3" t="str">
        <v>FEB19C|POSITION</v>
      </c>
      <c r="AF4" s="3" t="str">
        <v>FEB19P|POSITION</v>
      </c>
      <c r="AG4" s="3" t="str">
        <v>FEB20C|POSITION</v>
      </c>
      <c r="AH4" s="3" t="str">
        <v>FEB20P|POSITION</v>
      </c>
      <c r="AI4" s="3" t="str">
        <v>FEB21C|POSITION</v>
      </c>
      <c r="AJ4" s="3" t="str">
        <v>FEB21P|POSITION</v>
      </c>
      <c r="AK4" s="3" t="str">
        <v>FEB22C|POSITION</v>
      </c>
      <c r="AL4" s="3" t="str">
        <v>FEB22P|POSITION</v>
      </c>
      <c r="AM4" s="3" t="str">
        <v>FEB23C|POSITION</v>
      </c>
      <c r="AN4" s="3" t="str">
        <v>FEB23P|POSITION</v>
      </c>
      <c r="AO4" s="3" t="str">
        <v>FEB24C|POSITION</v>
      </c>
      <c r="AP4" s="3" t="str">
        <v>FEB24P|POSITION</v>
      </c>
      <c r="AQ4" s="3" t="str">
        <f t="array" ref="AQ4:BH4">TRANSPOSE('Market Data Sheet'!C43:C60)</f>
        <v>MAR16C|POSITION</v>
      </c>
      <c r="AR4" s="3" t="str">
        <v>MAR16P|POSITION</v>
      </c>
      <c r="AS4" s="3" t="str">
        <v>MAR17C|POSITION</v>
      </c>
      <c r="AT4" s="3" t="str">
        <v>MAR17P|POSITION</v>
      </c>
      <c r="AU4" s="3" t="str">
        <v>MAR18C|POSITION</v>
      </c>
      <c r="AV4" s="3" t="str">
        <v>MAR18P|POSITION</v>
      </c>
      <c r="AW4" s="3" t="str">
        <v>MAR19C|POSITION</v>
      </c>
      <c r="AX4" s="3" t="str">
        <v>MAR19P|POSITION</v>
      </c>
      <c r="AY4" s="3" t="str">
        <v>MAR20C|POSITION</v>
      </c>
      <c r="AZ4" s="3" t="str">
        <v>MAR20P|POSITION</v>
      </c>
      <c r="BA4" s="3" t="str">
        <v>MAR21C|POSITION</v>
      </c>
      <c r="BB4" s="3" t="str">
        <v>MAR21P|POSITION</v>
      </c>
      <c r="BC4" s="3" t="str">
        <v>MAR22C|POSITION</v>
      </c>
      <c r="BD4" s="3" t="str">
        <v>MAR22P|POSITION</v>
      </c>
      <c r="BE4" s="3" t="str">
        <v>MAR23C|POSITION</v>
      </c>
      <c r="BF4" s="3" t="str">
        <v>MAR23P|POSITION</v>
      </c>
      <c r="BG4" s="3" t="str">
        <v>MAR24C|POSITION</v>
      </c>
      <c r="BH4" s="3" t="str">
        <v>MAR24P|POSITION</v>
      </c>
    </row>
    <row r="5" spans="1:60" x14ac:dyDescent="0.45">
      <c r="F5" t="s">
        <v>75</v>
      </c>
      <c r="G5" s="3" t="str">
        <f t="array" ref="G5:X5">TRANSPOSE('Market Data Sheet'!D5:D22)</f>
        <v>JAN16C|COST</v>
      </c>
      <c r="H5" s="3" t="str">
        <v>JAN16P|COST</v>
      </c>
      <c r="I5" s="3" t="str">
        <v>JAN17C|COST</v>
      </c>
      <c r="J5" s="3" t="str">
        <v>JAN17P|COST</v>
      </c>
      <c r="K5" s="3" t="str">
        <v>JAN18C|COST</v>
      </c>
      <c r="L5" s="3" t="str">
        <v>JAN18P|COST</v>
      </c>
      <c r="M5" s="3" t="str">
        <v>JAN19C|COST</v>
      </c>
      <c r="N5" s="3" t="str">
        <v>JAN19P|COST</v>
      </c>
      <c r="O5" s="3" t="str">
        <v>JAN20C|COST</v>
      </c>
      <c r="P5" s="3" t="str">
        <v>JAN20P|COST</v>
      </c>
      <c r="Q5" s="3" t="str">
        <v>JAN21C|COST</v>
      </c>
      <c r="R5" s="3" t="str">
        <v>JAN21P|COST</v>
      </c>
      <c r="S5" s="3" t="str">
        <v>JAN22C|COST</v>
      </c>
      <c r="T5" s="3" t="str">
        <v>JAN22P|COST</v>
      </c>
      <c r="U5" s="3" t="str">
        <v>JAN23C|COST</v>
      </c>
      <c r="V5" s="3" t="str">
        <v>JAN23P|COST</v>
      </c>
      <c r="W5" s="3" t="str">
        <v>JAN24C|COST</v>
      </c>
      <c r="X5" s="3" t="str">
        <v>JAN24P|COST</v>
      </c>
      <c r="Y5" s="3" t="str">
        <f t="array" ref="Y5:AP5">TRANSPOSE('Market Data Sheet'!D24:D41)</f>
        <v>FEB16C|COST</v>
      </c>
      <c r="Z5" s="3" t="str">
        <v>FEB16P|COST</v>
      </c>
      <c r="AA5" s="3" t="str">
        <v>FEB17C|COST</v>
      </c>
      <c r="AB5" s="3" t="str">
        <v>FEB17P|COST</v>
      </c>
      <c r="AC5" s="3" t="str">
        <v>FEB18C|COST</v>
      </c>
      <c r="AD5" s="3" t="str">
        <v>FEB18P|COST</v>
      </c>
      <c r="AE5" s="3" t="str">
        <v>FEB19C|COST</v>
      </c>
      <c r="AF5" s="3" t="str">
        <v>FEB19P|COST</v>
      </c>
      <c r="AG5" s="3" t="str">
        <v>FEB20C|COST</v>
      </c>
      <c r="AH5" s="3" t="str">
        <v>FEB20P|COST</v>
      </c>
      <c r="AI5" s="3" t="str">
        <v>FEB21C|COST</v>
      </c>
      <c r="AJ5" s="3" t="str">
        <v>FEB21P|COST</v>
      </c>
      <c r="AK5" s="3" t="str">
        <v>FEB22C|COST</v>
      </c>
      <c r="AL5" s="3" t="str">
        <v>FEB22P|COST</v>
      </c>
      <c r="AM5" s="3" t="str">
        <v>FEB23C|COST</v>
      </c>
      <c r="AN5" s="3" t="str">
        <v>FEB23P|COST</v>
      </c>
      <c r="AO5" s="3" t="str">
        <v>FEB24C|COST</v>
      </c>
      <c r="AP5" s="3" t="str">
        <v>FEB24P|COST</v>
      </c>
      <c r="AQ5" s="3" t="str">
        <f t="array" ref="AQ5:BH5">TRANSPOSE('Market Data Sheet'!D43:D60)</f>
        <v>MAR16C|COST</v>
      </c>
      <c r="AR5" s="3" t="str">
        <v>MAR16P|COST</v>
      </c>
      <c r="AS5" s="3" t="str">
        <v>MAR17C|COST</v>
      </c>
      <c r="AT5" s="3" t="str">
        <v>MAR17P|COST</v>
      </c>
      <c r="AU5" s="3" t="str">
        <v>MAR18C|COST</v>
      </c>
      <c r="AV5" s="3" t="str">
        <v>MAR18P|COST</v>
      </c>
      <c r="AW5" s="3" t="str">
        <v>MAR19C|COST</v>
      </c>
      <c r="AX5" s="3" t="str">
        <v>MAR19P|COST</v>
      </c>
      <c r="AY5" s="3" t="str">
        <v>MAR20C|COST</v>
      </c>
      <c r="AZ5" s="3" t="str">
        <v>MAR20P|COST</v>
      </c>
      <c r="BA5" s="3" t="str">
        <v>MAR21C|COST</v>
      </c>
      <c r="BB5" s="3" t="str">
        <v>MAR21P|COST</v>
      </c>
      <c r="BC5" s="3" t="str">
        <v>MAR22C|COST</v>
      </c>
      <c r="BD5" s="3" t="str">
        <v>MAR22P|COST</v>
      </c>
      <c r="BE5" s="3" t="str">
        <v>MAR23C|COST</v>
      </c>
      <c r="BF5" s="3" t="str">
        <v>MAR23P|COST</v>
      </c>
      <c r="BG5" s="3" t="str">
        <v>MAR24C|COST</v>
      </c>
      <c r="BH5" s="3" t="str">
        <v>MAR24P|COST</v>
      </c>
    </row>
    <row r="6" spans="1:60" x14ac:dyDescent="0.45">
      <c r="F6" t="s">
        <v>66</v>
      </c>
      <c r="G6" s="3" t="s">
        <v>1</v>
      </c>
      <c r="H6" s="3" t="s">
        <v>0</v>
      </c>
      <c r="I6" s="3" t="s">
        <v>2</v>
      </c>
      <c r="J6" s="3" t="s">
        <v>3</v>
      </c>
      <c r="K6" s="3" t="s">
        <v>4</v>
      </c>
      <c r="L6" s="3" t="s">
        <v>5</v>
      </c>
      <c r="M6" s="3" t="s">
        <v>6</v>
      </c>
      <c r="N6" s="3" t="s">
        <v>7</v>
      </c>
      <c r="O6" s="3" t="s">
        <v>8</v>
      </c>
      <c r="P6" s="3" t="s">
        <v>9</v>
      </c>
      <c r="Q6" s="3" t="s">
        <v>10</v>
      </c>
      <c r="R6" s="3" t="s">
        <v>11</v>
      </c>
      <c r="S6" s="3" t="s">
        <v>12</v>
      </c>
      <c r="T6" s="3" t="s">
        <v>13</v>
      </c>
      <c r="U6" s="3" t="s">
        <v>14</v>
      </c>
      <c r="V6" s="3" t="s">
        <v>15</v>
      </c>
      <c r="W6" s="3" t="s">
        <v>16</v>
      </c>
      <c r="X6" s="3" t="s">
        <v>17</v>
      </c>
      <c r="Y6" s="3" t="s">
        <v>23</v>
      </c>
      <c r="Z6" s="3" t="s">
        <v>24</v>
      </c>
      <c r="AA6" s="3" t="s">
        <v>25</v>
      </c>
      <c r="AB6" s="3" t="s">
        <v>26</v>
      </c>
      <c r="AC6" s="3" t="s">
        <v>27</v>
      </c>
      <c r="AD6" s="3" t="s">
        <v>28</v>
      </c>
      <c r="AE6" s="3" t="s">
        <v>29</v>
      </c>
      <c r="AF6" s="3" t="s">
        <v>30</v>
      </c>
      <c r="AG6" s="3" t="s">
        <v>31</v>
      </c>
      <c r="AH6" s="3" t="s">
        <v>32</v>
      </c>
      <c r="AI6" s="3" t="s">
        <v>33</v>
      </c>
      <c r="AJ6" s="3" t="s">
        <v>34</v>
      </c>
      <c r="AK6" s="3" t="s">
        <v>35</v>
      </c>
      <c r="AL6" s="3" t="s">
        <v>36</v>
      </c>
      <c r="AM6" s="3" t="s">
        <v>37</v>
      </c>
      <c r="AN6" s="3" t="s">
        <v>38</v>
      </c>
      <c r="AO6" s="3" t="s">
        <v>39</v>
      </c>
      <c r="AP6" s="3" t="s">
        <v>40</v>
      </c>
      <c r="AQ6" s="3" t="s">
        <v>41</v>
      </c>
      <c r="AR6" s="3" t="s">
        <v>42</v>
      </c>
      <c r="AS6" s="3" t="s">
        <v>43</v>
      </c>
      <c r="AT6" s="3" t="s">
        <v>44</v>
      </c>
      <c r="AU6" s="3" t="s">
        <v>45</v>
      </c>
      <c r="AV6" s="3" t="s">
        <v>46</v>
      </c>
      <c r="AW6" s="3" t="s">
        <v>47</v>
      </c>
      <c r="AX6" s="3" t="s">
        <v>48</v>
      </c>
      <c r="AY6" s="3" t="s">
        <v>49</v>
      </c>
      <c r="AZ6" s="3" t="s">
        <v>50</v>
      </c>
      <c r="BA6" s="3" t="s">
        <v>51</v>
      </c>
      <c r="BB6" s="3" t="s">
        <v>52</v>
      </c>
      <c r="BC6" s="3" t="s">
        <v>53</v>
      </c>
      <c r="BD6" s="3" t="s">
        <v>54</v>
      </c>
      <c r="BE6" s="3" t="s">
        <v>55</v>
      </c>
      <c r="BF6" s="3" t="s">
        <v>56</v>
      </c>
      <c r="BG6" s="3" t="s">
        <v>57</v>
      </c>
      <c r="BH6" s="3" t="s">
        <v>58</v>
      </c>
    </row>
    <row r="7" spans="1:60" x14ac:dyDescent="0.45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x14ac:dyDescent="0.45">
      <c r="F8" t="s">
        <v>68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x14ac:dyDescent="0.45">
      <c r="A9" t="s">
        <v>69</v>
      </c>
      <c r="B9" t="s">
        <v>70</v>
      </c>
      <c r="C9" t="s">
        <v>71</v>
      </c>
      <c r="D9" t="s">
        <v>72</v>
      </c>
      <c r="E9" t="s">
        <v>61</v>
      </c>
      <c r="F9" t="s">
        <v>67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x14ac:dyDescent="0.45">
      <c r="A10">
        <f>F10</f>
        <v>1400000</v>
      </c>
      <c r="B10">
        <f>IF($B$2=1,SUM(G10:X10),0)</f>
        <v>0</v>
      </c>
      <c r="C10" t="e">
        <f>SUM(Y10:AP10)</f>
        <v>#VALUE!</v>
      </c>
      <c r="D10" t="e">
        <f>SUM(AQ10:BH10)</f>
        <v>#VALUE!</v>
      </c>
      <c r="E10">
        <v>14</v>
      </c>
      <c r="F10">
        <f>E10*100000</f>
        <v>1400000</v>
      </c>
      <c r="G10" t="e">
        <f>100*G$4*IF(G$2="C",MAX($E10-G$3,0),IF(G$2="P",MAX(G$3-$E10,0)))</f>
        <v>#VALUE!</v>
      </c>
      <c r="H10" t="e">
        <f t="shared" ref="H10:BH15" si="0">100*H$4*IF(H$2="C",MAX($E10-H$3,0),IF(H$2="P",MAX(H$3-$E10,0)))</f>
        <v>#VALUE!</v>
      </c>
      <c r="I10" t="e">
        <f t="shared" si="0"/>
        <v>#VALUE!</v>
      </c>
      <c r="J10" t="e">
        <f t="shared" si="0"/>
        <v>#VALUE!</v>
      </c>
      <c r="K10" t="e">
        <f t="shared" si="0"/>
        <v>#VALUE!</v>
      </c>
      <c r="L10" t="e">
        <f t="shared" si="0"/>
        <v>#VALUE!</v>
      </c>
      <c r="M10" t="e">
        <f t="shared" si="0"/>
        <v>#VALUE!</v>
      </c>
      <c r="N10" t="e">
        <f t="shared" si="0"/>
        <v>#VALUE!</v>
      </c>
      <c r="O10" t="e">
        <f t="shared" si="0"/>
        <v>#VALUE!</v>
      </c>
      <c r="P10" t="e">
        <f t="shared" si="0"/>
        <v>#VALUE!</v>
      </c>
      <c r="Q10" t="e">
        <f t="shared" si="0"/>
        <v>#VALUE!</v>
      </c>
      <c r="R10" t="e">
        <f t="shared" si="0"/>
        <v>#VALUE!</v>
      </c>
      <c r="S10" t="e">
        <f t="shared" si="0"/>
        <v>#VALUE!</v>
      </c>
      <c r="T10" t="e">
        <f t="shared" si="0"/>
        <v>#VALUE!</v>
      </c>
      <c r="U10" t="e">
        <f t="shared" si="0"/>
        <v>#VALUE!</v>
      </c>
      <c r="V10" t="e">
        <f t="shared" si="0"/>
        <v>#VALUE!</v>
      </c>
      <c r="W10" t="e">
        <f t="shared" si="0"/>
        <v>#VALUE!</v>
      </c>
      <c r="X10" t="e">
        <f t="shared" si="0"/>
        <v>#VALUE!</v>
      </c>
      <c r="Y10" t="e">
        <f t="shared" si="0"/>
        <v>#VALUE!</v>
      </c>
      <c r="Z10" t="e">
        <f t="shared" si="0"/>
        <v>#VALUE!</v>
      </c>
      <c r="AA10" t="e">
        <f t="shared" si="0"/>
        <v>#VALUE!</v>
      </c>
      <c r="AB10" t="e">
        <f t="shared" si="0"/>
        <v>#VALUE!</v>
      </c>
      <c r="AC10" t="e">
        <f t="shared" si="0"/>
        <v>#VALUE!</v>
      </c>
      <c r="AD10" t="e">
        <f t="shared" si="0"/>
        <v>#VALUE!</v>
      </c>
      <c r="AE10" t="e">
        <f t="shared" si="0"/>
        <v>#VALUE!</v>
      </c>
      <c r="AF10" t="e">
        <f t="shared" si="0"/>
        <v>#VALUE!</v>
      </c>
      <c r="AG10" t="e">
        <f t="shared" si="0"/>
        <v>#VALUE!</v>
      </c>
      <c r="AH10" t="e">
        <f t="shared" si="0"/>
        <v>#VALUE!</v>
      </c>
      <c r="AI10" t="e">
        <f t="shared" si="0"/>
        <v>#VALUE!</v>
      </c>
      <c r="AJ10" t="e">
        <f t="shared" si="0"/>
        <v>#VALUE!</v>
      </c>
      <c r="AK10" t="e">
        <f t="shared" si="0"/>
        <v>#VALUE!</v>
      </c>
      <c r="AL10" t="e">
        <f t="shared" si="0"/>
        <v>#VALUE!</v>
      </c>
      <c r="AM10" t="e">
        <f t="shared" si="0"/>
        <v>#VALUE!</v>
      </c>
      <c r="AN10" t="e">
        <f t="shared" si="0"/>
        <v>#VALUE!</v>
      </c>
      <c r="AO10" t="e">
        <f t="shared" si="0"/>
        <v>#VALUE!</v>
      </c>
      <c r="AP10" t="e">
        <f t="shared" si="0"/>
        <v>#VALUE!</v>
      </c>
      <c r="AQ10" t="e">
        <f t="shared" si="0"/>
        <v>#VALUE!</v>
      </c>
      <c r="AR10" t="e">
        <f t="shared" si="0"/>
        <v>#VALUE!</v>
      </c>
      <c r="AS10" t="e">
        <f t="shared" si="0"/>
        <v>#VALUE!</v>
      </c>
      <c r="AT10" t="e">
        <f t="shared" si="0"/>
        <v>#VALUE!</v>
      </c>
      <c r="AU10" t="e">
        <f t="shared" si="0"/>
        <v>#VALUE!</v>
      </c>
      <c r="AV10" t="e">
        <f t="shared" si="0"/>
        <v>#VALUE!</v>
      </c>
      <c r="AW10" t="e">
        <f t="shared" si="0"/>
        <v>#VALUE!</v>
      </c>
      <c r="AX10" t="e">
        <f t="shared" si="0"/>
        <v>#VALUE!</v>
      </c>
      <c r="AY10" t="e">
        <f t="shared" si="0"/>
        <v>#VALUE!</v>
      </c>
      <c r="AZ10" t="e">
        <f t="shared" si="0"/>
        <v>#VALUE!</v>
      </c>
      <c r="BA10" t="e">
        <f t="shared" si="0"/>
        <v>#VALUE!</v>
      </c>
      <c r="BB10" t="e">
        <f t="shared" si="0"/>
        <v>#VALUE!</v>
      </c>
      <c r="BC10" t="e">
        <f t="shared" si="0"/>
        <v>#VALUE!</v>
      </c>
      <c r="BD10" t="e">
        <f t="shared" si="0"/>
        <v>#VALUE!</v>
      </c>
      <c r="BE10" t="e">
        <f t="shared" si="0"/>
        <v>#VALUE!</v>
      </c>
      <c r="BF10" t="e">
        <f t="shared" si="0"/>
        <v>#VALUE!</v>
      </c>
      <c r="BG10" t="e">
        <f t="shared" si="0"/>
        <v>#VALUE!</v>
      </c>
      <c r="BH10" t="e">
        <f t="shared" si="0"/>
        <v>#VALUE!</v>
      </c>
    </row>
    <row r="11" spans="1:60" x14ac:dyDescent="0.45">
      <c r="A11">
        <f t="shared" ref="A11:A22" si="1">F11</f>
        <v>1500000</v>
      </c>
      <c r="B11">
        <f t="shared" ref="B11:B22" si="2">IF($B$2=1,SUM(G11:X11),0)</f>
        <v>0</v>
      </c>
      <c r="C11" t="e">
        <f t="shared" ref="C11:C22" si="3">SUM(Y11:AP11)</f>
        <v>#VALUE!</v>
      </c>
      <c r="D11" t="e">
        <f t="shared" ref="D11:D22" si="4">SUM(AQ11:BH11)</f>
        <v>#VALUE!</v>
      </c>
      <c r="E11">
        <v>15</v>
      </c>
      <c r="F11">
        <f t="shared" ref="F11:F22" si="5">E11*100000</f>
        <v>1500000</v>
      </c>
      <c r="G11" t="e">
        <f t="shared" ref="G11:V22" si="6">100*G$4*IF(G$2="C",MAX($E11-G$3,0),IF(G$2="P",MAX(G$3-$E11,0)))</f>
        <v>#VALUE!</v>
      </c>
      <c r="H11" t="e">
        <f t="shared" si="6"/>
        <v>#VALUE!</v>
      </c>
      <c r="I11" t="e">
        <f t="shared" si="6"/>
        <v>#VALUE!</v>
      </c>
      <c r="J11" t="e">
        <f t="shared" si="6"/>
        <v>#VALUE!</v>
      </c>
      <c r="K11" t="e">
        <f t="shared" si="6"/>
        <v>#VALUE!</v>
      </c>
      <c r="L11" t="e">
        <f t="shared" si="6"/>
        <v>#VALUE!</v>
      </c>
      <c r="M11" t="e">
        <f t="shared" si="6"/>
        <v>#VALUE!</v>
      </c>
      <c r="N11" t="e">
        <f t="shared" si="6"/>
        <v>#VALUE!</v>
      </c>
      <c r="O11" t="e">
        <f t="shared" si="6"/>
        <v>#VALUE!</v>
      </c>
      <c r="P11" t="e">
        <f t="shared" si="6"/>
        <v>#VALUE!</v>
      </c>
      <c r="Q11" t="e">
        <f t="shared" si="6"/>
        <v>#VALUE!</v>
      </c>
      <c r="R11" t="e">
        <f t="shared" si="6"/>
        <v>#VALUE!</v>
      </c>
      <c r="S11" t="e">
        <f t="shared" si="6"/>
        <v>#VALUE!</v>
      </c>
      <c r="T11" t="e">
        <f t="shared" si="6"/>
        <v>#VALUE!</v>
      </c>
      <c r="U11" t="e">
        <f t="shared" si="6"/>
        <v>#VALUE!</v>
      </c>
      <c r="V11" t="e">
        <f t="shared" si="6"/>
        <v>#VALUE!</v>
      </c>
      <c r="W11" t="e">
        <f t="shared" si="0"/>
        <v>#VALUE!</v>
      </c>
      <c r="X11" t="e">
        <f t="shared" si="0"/>
        <v>#VALUE!</v>
      </c>
      <c r="Y11" t="e">
        <f t="shared" si="0"/>
        <v>#VALUE!</v>
      </c>
      <c r="Z11" t="e">
        <f t="shared" si="0"/>
        <v>#VALUE!</v>
      </c>
      <c r="AA11" t="e">
        <f t="shared" si="0"/>
        <v>#VALUE!</v>
      </c>
      <c r="AB11" t="e">
        <f t="shared" si="0"/>
        <v>#VALUE!</v>
      </c>
      <c r="AC11" t="e">
        <f t="shared" si="0"/>
        <v>#VALUE!</v>
      </c>
      <c r="AD11" t="e">
        <f t="shared" si="0"/>
        <v>#VALUE!</v>
      </c>
      <c r="AE11" t="e">
        <f t="shared" si="0"/>
        <v>#VALUE!</v>
      </c>
      <c r="AF11" t="e">
        <f t="shared" si="0"/>
        <v>#VALUE!</v>
      </c>
      <c r="AG11" t="e">
        <f t="shared" si="0"/>
        <v>#VALUE!</v>
      </c>
      <c r="AH11" t="e">
        <f t="shared" si="0"/>
        <v>#VALUE!</v>
      </c>
      <c r="AI11" t="e">
        <f t="shared" si="0"/>
        <v>#VALUE!</v>
      </c>
      <c r="AJ11" t="e">
        <f t="shared" si="0"/>
        <v>#VALUE!</v>
      </c>
      <c r="AK11" t="e">
        <f t="shared" si="0"/>
        <v>#VALUE!</v>
      </c>
      <c r="AL11" t="e">
        <f t="shared" si="0"/>
        <v>#VALUE!</v>
      </c>
      <c r="AM11" t="e">
        <f t="shared" si="0"/>
        <v>#VALUE!</v>
      </c>
      <c r="AN11" t="e">
        <f t="shared" si="0"/>
        <v>#VALUE!</v>
      </c>
      <c r="AO11" t="e">
        <f t="shared" si="0"/>
        <v>#VALUE!</v>
      </c>
      <c r="AP11" t="e">
        <f t="shared" si="0"/>
        <v>#VALUE!</v>
      </c>
      <c r="AQ11" t="e">
        <f t="shared" si="0"/>
        <v>#VALUE!</v>
      </c>
      <c r="AR11" t="e">
        <f t="shared" si="0"/>
        <v>#VALUE!</v>
      </c>
      <c r="AS11" t="e">
        <f t="shared" si="0"/>
        <v>#VALUE!</v>
      </c>
      <c r="AT11" t="e">
        <f t="shared" si="0"/>
        <v>#VALUE!</v>
      </c>
      <c r="AU11" t="e">
        <f t="shared" si="0"/>
        <v>#VALUE!</v>
      </c>
      <c r="AV11" t="e">
        <f t="shared" si="0"/>
        <v>#VALUE!</v>
      </c>
      <c r="AW11" t="e">
        <f t="shared" si="0"/>
        <v>#VALUE!</v>
      </c>
      <c r="AX11" t="e">
        <f t="shared" si="0"/>
        <v>#VALUE!</v>
      </c>
      <c r="AY11" t="e">
        <f t="shared" si="0"/>
        <v>#VALUE!</v>
      </c>
      <c r="AZ11" t="e">
        <f t="shared" si="0"/>
        <v>#VALUE!</v>
      </c>
      <c r="BA11" t="e">
        <f t="shared" si="0"/>
        <v>#VALUE!</v>
      </c>
      <c r="BB11" t="e">
        <f t="shared" si="0"/>
        <v>#VALUE!</v>
      </c>
      <c r="BC11" t="e">
        <f t="shared" si="0"/>
        <v>#VALUE!</v>
      </c>
      <c r="BD11" t="e">
        <f t="shared" si="0"/>
        <v>#VALUE!</v>
      </c>
      <c r="BE11" t="e">
        <f t="shared" si="0"/>
        <v>#VALUE!</v>
      </c>
      <c r="BF11" t="e">
        <f t="shared" si="0"/>
        <v>#VALUE!</v>
      </c>
      <c r="BG11" t="e">
        <f t="shared" si="0"/>
        <v>#VALUE!</v>
      </c>
      <c r="BH11" t="e">
        <f t="shared" si="0"/>
        <v>#VALUE!</v>
      </c>
    </row>
    <row r="12" spans="1:60" x14ac:dyDescent="0.45">
      <c r="A12">
        <f t="shared" si="1"/>
        <v>1600000</v>
      </c>
      <c r="B12">
        <f t="shared" si="2"/>
        <v>0</v>
      </c>
      <c r="C12" t="e">
        <f t="shared" si="3"/>
        <v>#VALUE!</v>
      </c>
      <c r="D12" t="e">
        <f t="shared" si="4"/>
        <v>#VALUE!</v>
      </c>
      <c r="E12">
        <v>16</v>
      </c>
      <c r="F12">
        <f t="shared" si="5"/>
        <v>1600000</v>
      </c>
      <c r="G12" t="e">
        <f t="shared" si="6"/>
        <v>#VALUE!</v>
      </c>
      <c r="H12" t="e">
        <f t="shared" si="6"/>
        <v>#VALUE!</v>
      </c>
      <c r="I12" t="e">
        <f t="shared" si="6"/>
        <v>#VALUE!</v>
      </c>
      <c r="J12" t="e">
        <f t="shared" si="6"/>
        <v>#VALUE!</v>
      </c>
      <c r="K12" t="e">
        <f t="shared" si="6"/>
        <v>#VALUE!</v>
      </c>
      <c r="L12" t="e">
        <f t="shared" si="6"/>
        <v>#VALUE!</v>
      </c>
      <c r="M12" t="e">
        <f t="shared" si="6"/>
        <v>#VALUE!</v>
      </c>
      <c r="N12" t="e">
        <f t="shared" si="6"/>
        <v>#VALUE!</v>
      </c>
      <c r="O12" t="e">
        <f t="shared" si="6"/>
        <v>#VALUE!</v>
      </c>
      <c r="P12" t="e">
        <f t="shared" si="6"/>
        <v>#VALUE!</v>
      </c>
      <c r="Q12" t="e">
        <f t="shared" si="6"/>
        <v>#VALUE!</v>
      </c>
      <c r="R12" t="e">
        <f t="shared" si="6"/>
        <v>#VALUE!</v>
      </c>
      <c r="S12" t="e">
        <f t="shared" si="6"/>
        <v>#VALUE!</v>
      </c>
      <c r="T12" t="e">
        <f t="shared" si="0"/>
        <v>#VALUE!</v>
      </c>
      <c r="U12" t="e">
        <f t="shared" si="0"/>
        <v>#VALUE!</v>
      </c>
      <c r="V12" t="e">
        <f t="shared" si="0"/>
        <v>#VALUE!</v>
      </c>
      <c r="W12" t="e">
        <f t="shared" si="0"/>
        <v>#VALUE!</v>
      </c>
      <c r="X12" t="e">
        <f t="shared" si="0"/>
        <v>#VALUE!</v>
      </c>
      <c r="Y12" t="e">
        <f t="shared" si="0"/>
        <v>#VALUE!</v>
      </c>
      <c r="Z12" t="e">
        <f t="shared" si="0"/>
        <v>#VALUE!</v>
      </c>
      <c r="AA12" t="e">
        <f t="shared" si="0"/>
        <v>#VALUE!</v>
      </c>
      <c r="AB12" t="e">
        <f t="shared" si="0"/>
        <v>#VALUE!</v>
      </c>
      <c r="AC12" t="e">
        <f t="shared" si="0"/>
        <v>#VALUE!</v>
      </c>
      <c r="AD12" t="e">
        <f t="shared" si="0"/>
        <v>#VALUE!</v>
      </c>
      <c r="AE12" t="e">
        <f t="shared" si="0"/>
        <v>#VALUE!</v>
      </c>
      <c r="AF12" t="e">
        <f t="shared" si="0"/>
        <v>#VALUE!</v>
      </c>
      <c r="AG12" t="e">
        <f t="shared" si="0"/>
        <v>#VALUE!</v>
      </c>
      <c r="AH12" t="e">
        <f t="shared" si="0"/>
        <v>#VALUE!</v>
      </c>
      <c r="AI12" t="e">
        <f t="shared" si="0"/>
        <v>#VALUE!</v>
      </c>
      <c r="AJ12" t="e">
        <f t="shared" si="0"/>
        <v>#VALUE!</v>
      </c>
      <c r="AK12" t="e">
        <f t="shared" si="0"/>
        <v>#VALUE!</v>
      </c>
      <c r="AL12" t="e">
        <f t="shared" si="0"/>
        <v>#VALUE!</v>
      </c>
      <c r="AM12" t="e">
        <f t="shared" si="0"/>
        <v>#VALUE!</v>
      </c>
      <c r="AN12" t="e">
        <f t="shared" si="0"/>
        <v>#VALUE!</v>
      </c>
      <c r="AO12" t="e">
        <f t="shared" si="0"/>
        <v>#VALUE!</v>
      </c>
      <c r="AP12" t="e">
        <f t="shared" si="0"/>
        <v>#VALUE!</v>
      </c>
      <c r="AQ12" t="e">
        <f t="shared" si="0"/>
        <v>#VALUE!</v>
      </c>
      <c r="AR12" t="e">
        <f t="shared" si="0"/>
        <v>#VALUE!</v>
      </c>
      <c r="AS12" t="e">
        <f t="shared" si="0"/>
        <v>#VALUE!</v>
      </c>
      <c r="AT12" t="e">
        <f t="shared" si="0"/>
        <v>#VALUE!</v>
      </c>
      <c r="AU12" t="e">
        <f t="shared" si="0"/>
        <v>#VALUE!</v>
      </c>
      <c r="AV12" t="e">
        <f t="shared" si="0"/>
        <v>#VALUE!</v>
      </c>
      <c r="AW12" t="e">
        <f t="shared" si="0"/>
        <v>#VALUE!</v>
      </c>
      <c r="AX12" t="e">
        <f t="shared" si="0"/>
        <v>#VALUE!</v>
      </c>
      <c r="AY12" t="e">
        <f t="shared" si="0"/>
        <v>#VALUE!</v>
      </c>
      <c r="AZ12" t="e">
        <f t="shared" si="0"/>
        <v>#VALUE!</v>
      </c>
      <c r="BA12" t="e">
        <f t="shared" si="0"/>
        <v>#VALUE!</v>
      </c>
      <c r="BB12" t="e">
        <f t="shared" si="0"/>
        <v>#VALUE!</v>
      </c>
      <c r="BC12" t="e">
        <f t="shared" si="0"/>
        <v>#VALUE!</v>
      </c>
      <c r="BD12" t="e">
        <f t="shared" si="0"/>
        <v>#VALUE!</v>
      </c>
      <c r="BE12" t="e">
        <f t="shared" si="0"/>
        <v>#VALUE!</v>
      </c>
      <c r="BF12" t="e">
        <f t="shared" si="0"/>
        <v>#VALUE!</v>
      </c>
      <c r="BG12" t="e">
        <f t="shared" si="0"/>
        <v>#VALUE!</v>
      </c>
      <c r="BH12" t="e">
        <f t="shared" si="0"/>
        <v>#VALUE!</v>
      </c>
    </row>
    <row r="13" spans="1:60" x14ac:dyDescent="0.45">
      <c r="A13">
        <f t="shared" si="1"/>
        <v>1700000</v>
      </c>
      <c r="B13">
        <f t="shared" si="2"/>
        <v>0</v>
      </c>
      <c r="C13" t="e">
        <f t="shared" si="3"/>
        <v>#VALUE!</v>
      </c>
      <c r="D13" t="e">
        <f t="shared" si="4"/>
        <v>#VALUE!</v>
      </c>
      <c r="E13">
        <v>17</v>
      </c>
      <c r="F13">
        <f t="shared" si="5"/>
        <v>1700000</v>
      </c>
      <c r="G13" t="e">
        <f t="shared" si="6"/>
        <v>#VALUE!</v>
      </c>
      <c r="H13" t="e">
        <f t="shared" si="6"/>
        <v>#VALUE!</v>
      </c>
      <c r="I13" t="e">
        <f t="shared" si="6"/>
        <v>#VALUE!</v>
      </c>
      <c r="J13" t="e">
        <f t="shared" si="6"/>
        <v>#VALUE!</v>
      </c>
      <c r="K13" t="e">
        <f t="shared" si="6"/>
        <v>#VALUE!</v>
      </c>
      <c r="L13" t="e">
        <f t="shared" si="6"/>
        <v>#VALUE!</v>
      </c>
      <c r="M13" t="e">
        <f t="shared" si="6"/>
        <v>#VALUE!</v>
      </c>
      <c r="N13" t="e">
        <f t="shared" si="6"/>
        <v>#VALUE!</v>
      </c>
      <c r="O13" t="e">
        <f t="shared" si="6"/>
        <v>#VALUE!</v>
      </c>
      <c r="P13" t="e">
        <f t="shared" si="6"/>
        <v>#VALUE!</v>
      </c>
      <c r="Q13" t="e">
        <f t="shared" si="6"/>
        <v>#VALUE!</v>
      </c>
      <c r="R13" t="e">
        <f t="shared" si="6"/>
        <v>#VALUE!</v>
      </c>
      <c r="S13" t="e">
        <f t="shared" si="6"/>
        <v>#VALUE!</v>
      </c>
      <c r="T13" t="e">
        <f t="shared" si="0"/>
        <v>#VALUE!</v>
      </c>
      <c r="U13" t="e">
        <f t="shared" si="0"/>
        <v>#VALUE!</v>
      </c>
      <c r="V13" t="e">
        <f t="shared" si="0"/>
        <v>#VALUE!</v>
      </c>
      <c r="W13" t="e">
        <f t="shared" si="0"/>
        <v>#VALUE!</v>
      </c>
      <c r="X13" t="e">
        <f t="shared" si="0"/>
        <v>#VALUE!</v>
      </c>
      <c r="Y13" t="e">
        <f t="shared" si="0"/>
        <v>#VALUE!</v>
      </c>
      <c r="Z13" t="e">
        <f t="shared" si="0"/>
        <v>#VALUE!</v>
      </c>
      <c r="AA13" t="e">
        <f t="shared" si="0"/>
        <v>#VALUE!</v>
      </c>
      <c r="AB13" t="e">
        <f t="shared" si="0"/>
        <v>#VALUE!</v>
      </c>
      <c r="AC13" t="e">
        <f t="shared" si="0"/>
        <v>#VALUE!</v>
      </c>
      <c r="AD13" t="e">
        <f t="shared" si="0"/>
        <v>#VALUE!</v>
      </c>
      <c r="AE13" t="e">
        <f t="shared" si="0"/>
        <v>#VALUE!</v>
      </c>
      <c r="AF13" t="e">
        <f t="shared" si="0"/>
        <v>#VALUE!</v>
      </c>
      <c r="AG13" t="e">
        <f t="shared" si="0"/>
        <v>#VALUE!</v>
      </c>
      <c r="AH13" t="e">
        <f t="shared" si="0"/>
        <v>#VALUE!</v>
      </c>
      <c r="AI13" t="e">
        <f t="shared" si="0"/>
        <v>#VALUE!</v>
      </c>
      <c r="AJ13" t="e">
        <f t="shared" si="0"/>
        <v>#VALUE!</v>
      </c>
      <c r="AK13" t="e">
        <f t="shared" si="0"/>
        <v>#VALUE!</v>
      </c>
      <c r="AL13" t="e">
        <f t="shared" si="0"/>
        <v>#VALUE!</v>
      </c>
      <c r="AM13" t="e">
        <f t="shared" si="0"/>
        <v>#VALUE!</v>
      </c>
      <c r="AN13" t="e">
        <f t="shared" si="0"/>
        <v>#VALUE!</v>
      </c>
      <c r="AO13" t="e">
        <f t="shared" si="0"/>
        <v>#VALUE!</v>
      </c>
      <c r="AP13" t="e">
        <f t="shared" si="0"/>
        <v>#VALUE!</v>
      </c>
      <c r="AQ13" t="e">
        <f t="shared" si="0"/>
        <v>#VALUE!</v>
      </c>
      <c r="AR13" t="e">
        <f t="shared" si="0"/>
        <v>#VALUE!</v>
      </c>
      <c r="AS13" t="e">
        <f t="shared" si="0"/>
        <v>#VALUE!</v>
      </c>
      <c r="AT13" t="e">
        <f t="shared" si="0"/>
        <v>#VALUE!</v>
      </c>
      <c r="AU13" t="e">
        <f t="shared" si="0"/>
        <v>#VALUE!</v>
      </c>
      <c r="AV13" t="e">
        <f t="shared" si="0"/>
        <v>#VALUE!</v>
      </c>
      <c r="AW13" t="e">
        <f t="shared" si="0"/>
        <v>#VALUE!</v>
      </c>
      <c r="AX13" t="e">
        <f t="shared" si="0"/>
        <v>#VALUE!</v>
      </c>
      <c r="AY13" t="e">
        <f t="shared" si="0"/>
        <v>#VALUE!</v>
      </c>
      <c r="AZ13" t="e">
        <f t="shared" si="0"/>
        <v>#VALUE!</v>
      </c>
      <c r="BA13" t="e">
        <f t="shared" si="0"/>
        <v>#VALUE!</v>
      </c>
      <c r="BB13" t="e">
        <f t="shared" si="0"/>
        <v>#VALUE!</v>
      </c>
      <c r="BC13" t="e">
        <f t="shared" si="0"/>
        <v>#VALUE!</v>
      </c>
      <c r="BD13" t="e">
        <f t="shared" si="0"/>
        <v>#VALUE!</v>
      </c>
      <c r="BE13" t="e">
        <f t="shared" si="0"/>
        <v>#VALUE!</v>
      </c>
      <c r="BF13" t="e">
        <f t="shared" si="0"/>
        <v>#VALUE!</v>
      </c>
      <c r="BG13" t="e">
        <f t="shared" si="0"/>
        <v>#VALUE!</v>
      </c>
      <c r="BH13" t="e">
        <f t="shared" si="0"/>
        <v>#VALUE!</v>
      </c>
    </row>
    <row r="14" spans="1:60" x14ac:dyDescent="0.45">
      <c r="A14">
        <f t="shared" si="1"/>
        <v>1800000</v>
      </c>
      <c r="B14">
        <f t="shared" si="2"/>
        <v>0</v>
      </c>
      <c r="C14" t="e">
        <f t="shared" si="3"/>
        <v>#VALUE!</v>
      </c>
      <c r="D14" t="e">
        <f t="shared" si="4"/>
        <v>#VALUE!</v>
      </c>
      <c r="E14">
        <v>18</v>
      </c>
      <c r="F14">
        <f t="shared" si="5"/>
        <v>1800000</v>
      </c>
      <c r="G14" t="e">
        <f t="shared" si="6"/>
        <v>#VALUE!</v>
      </c>
      <c r="H14" t="e">
        <f t="shared" si="6"/>
        <v>#VALUE!</v>
      </c>
      <c r="I14" t="e">
        <f t="shared" si="6"/>
        <v>#VALUE!</v>
      </c>
      <c r="J14" t="e">
        <f t="shared" si="6"/>
        <v>#VALUE!</v>
      </c>
      <c r="K14" t="e">
        <f t="shared" si="6"/>
        <v>#VALUE!</v>
      </c>
      <c r="L14" t="e">
        <f t="shared" si="6"/>
        <v>#VALUE!</v>
      </c>
      <c r="M14" t="e">
        <f t="shared" si="6"/>
        <v>#VALUE!</v>
      </c>
      <c r="N14" t="e">
        <f t="shared" si="6"/>
        <v>#VALUE!</v>
      </c>
      <c r="O14" t="e">
        <f t="shared" si="6"/>
        <v>#VALUE!</v>
      </c>
      <c r="P14" t="e">
        <f t="shared" si="6"/>
        <v>#VALUE!</v>
      </c>
      <c r="Q14" t="e">
        <f t="shared" si="6"/>
        <v>#VALUE!</v>
      </c>
      <c r="R14" t="e">
        <f t="shared" si="6"/>
        <v>#VALUE!</v>
      </c>
      <c r="S14" t="e">
        <f t="shared" si="6"/>
        <v>#VALUE!</v>
      </c>
      <c r="T14" t="e">
        <f t="shared" si="0"/>
        <v>#VALUE!</v>
      </c>
      <c r="U14" t="e">
        <f t="shared" si="0"/>
        <v>#VALUE!</v>
      </c>
      <c r="V14" t="e">
        <f t="shared" si="0"/>
        <v>#VALUE!</v>
      </c>
      <c r="W14" t="e">
        <f t="shared" si="0"/>
        <v>#VALUE!</v>
      </c>
      <c r="X14" t="e">
        <f t="shared" si="0"/>
        <v>#VALUE!</v>
      </c>
      <c r="Y14" t="e">
        <f t="shared" si="0"/>
        <v>#VALUE!</v>
      </c>
      <c r="Z14" t="e">
        <f t="shared" si="0"/>
        <v>#VALUE!</v>
      </c>
      <c r="AA14" t="e">
        <f t="shared" si="0"/>
        <v>#VALUE!</v>
      </c>
      <c r="AB14" t="e">
        <f t="shared" si="0"/>
        <v>#VALUE!</v>
      </c>
      <c r="AC14" t="e">
        <f t="shared" si="0"/>
        <v>#VALUE!</v>
      </c>
      <c r="AD14" t="e">
        <f t="shared" si="0"/>
        <v>#VALUE!</v>
      </c>
      <c r="AE14" t="e">
        <f t="shared" si="0"/>
        <v>#VALUE!</v>
      </c>
      <c r="AF14" t="e">
        <f t="shared" si="0"/>
        <v>#VALUE!</v>
      </c>
      <c r="AG14" t="e">
        <f t="shared" si="0"/>
        <v>#VALUE!</v>
      </c>
      <c r="AH14" t="e">
        <f t="shared" si="0"/>
        <v>#VALUE!</v>
      </c>
      <c r="AI14" t="e">
        <f t="shared" si="0"/>
        <v>#VALUE!</v>
      </c>
      <c r="AJ14" t="e">
        <f t="shared" si="0"/>
        <v>#VALUE!</v>
      </c>
      <c r="AK14" t="e">
        <f t="shared" si="0"/>
        <v>#VALUE!</v>
      </c>
      <c r="AL14" t="e">
        <f t="shared" si="0"/>
        <v>#VALUE!</v>
      </c>
      <c r="AM14" t="e">
        <f t="shared" si="0"/>
        <v>#VALUE!</v>
      </c>
      <c r="AN14" t="e">
        <f t="shared" si="0"/>
        <v>#VALUE!</v>
      </c>
      <c r="AO14" t="e">
        <f t="shared" si="0"/>
        <v>#VALUE!</v>
      </c>
      <c r="AP14" t="e">
        <f t="shared" si="0"/>
        <v>#VALUE!</v>
      </c>
      <c r="AQ14" t="e">
        <f t="shared" si="0"/>
        <v>#VALUE!</v>
      </c>
      <c r="AR14" t="e">
        <f t="shared" si="0"/>
        <v>#VALUE!</v>
      </c>
      <c r="AS14" t="e">
        <f t="shared" si="0"/>
        <v>#VALUE!</v>
      </c>
      <c r="AT14" t="e">
        <f t="shared" si="0"/>
        <v>#VALUE!</v>
      </c>
      <c r="AU14" t="e">
        <f t="shared" si="0"/>
        <v>#VALUE!</v>
      </c>
      <c r="AV14" t="e">
        <f t="shared" si="0"/>
        <v>#VALUE!</v>
      </c>
      <c r="AW14" t="e">
        <f t="shared" si="0"/>
        <v>#VALUE!</v>
      </c>
      <c r="AX14" t="e">
        <f t="shared" si="0"/>
        <v>#VALUE!</v>
      </c>
      <c r="AY14" t="e">
        <f t="shared" si="0"/>
        <v>#VALUE!</v>
      </c>
      <c r="AZ14" t="e">
        <f t="shared" si="0"/>
        <v>#VALUE!</v>
      </c>
      <c r="BA14" t="e">
        <f t="shared" si="0"/>
        <v>#VALUE!</v>
      </c>
      <c r="BB14" t="e">
        <f t="shared" si="0"/>
        <v>#VALUE!</v>
      </c>
      <c r="BC14" t="e">
        <f t="shared" si="0"/>
        <v>#VALUE!</v>
      </c>
      <c r="BD14" t="e">
        <f t="shared" si="0"/>
        <v>#VALUE!</v>
      </c>
      <c r="BE14" t="e">
        <f t="shared" si="0"/>
        <v>#VALUE!</v>
      </c>
      <c r="BF14" t="e">
        <f t="shared" si="0"/>
        <v>#VALUE!</v>
      </c>
      <c r="BG14" t="e">
        <f t="shared" si="0"/>
        <v>#VALUE!</v>
      </c>
      <c r="BH14" t="e">
        <f t="shared" si="0"/>
        <v>#VALUE!</v>
      </c>
    </row>
    <row r="15" spans="1:60" x14ac:dyDescent="0.45">
      <c r="A15">
        <f t="shared" si="1"/>
        <v>1900000</v>
      </c>
      <c r="B15">
        <f t="shared" si="2"/>
        <v>0</v>
      </c>
      <c r="C15" t="e">
        <f t="shared" si="3"/>
        <v>#VALUE!</v>
      </c>
      <c r="D15" t="e">
        <f t="shared" si="4"/>
        <v>#VALUE!</v>
      </c>
      <c r="E15">
        <v>19</v>
      </c>
      <c r="F15">
        <f t="shared" si="5"/>
        <v>1900000</v>
      </c>
      <c r="G15" t="e">
        <f t="shared" si="6"/>
        <v>#VALUE!</v>
      </c>
      <c r="H15" t="e">
        <f t="shared" si="6"/>
        <v>#VALUE!</v>
      </c>
      <c r="I15" t="e">
        <f t="shared" si="6"/>
        <v>#VALUE!</v>
      </c>
      <c r="J15" t="e">
        <f t="shared" si="6"/>
        <v>#VALUE!</v>
      </c>
      <c r="K15" t="e">
        <f t="shared" si="6"/>
        <v>#VALUE!</v>
      </c>
      <c r="L15" t="e">
        <f t="shared" si="6"/>
        <v>#VALUE!</v>
      </c>
      <c r="M15" t="e">
        <f t="shared" si="6"/>
        <v>#VALUE!</v>
      </c>
      <c r="N15" t="e">
        <f t="shared" si="6"/>
        <v>#VALUE!</v>
      </c>
      <c r="O15" t="e">
        <f t="shared" si="6"/>
        <v>#VALUE!</v>
      </c>
      <c r="P15" t="e">
        <f t="shared" si="6"/>
        <v>#VALUE!</v>
      </c>
      <c r="Q15" t="e">
        <f t="shared" si="6"/>
        <v>#VALUE!</v>
      </c>
      <c r="R15" t="e">
        <f t="shared" si="6"/>
        <v>#VALUE!</v>
      </c>
      <c r="S15" t="e">
        <f t="shared" si="6"/>
        <v>#VALUE!</v>
      </c>
      <c r="T15" t="e">
        <f t="shared" si="0"/>
        <v>#VALUE!</v>
      </c>
      <c r="U15" t="e">
        <f t="shared" si="0"/>
        <v>#VALUE!</v>
      </c>
      <c r="V15" t="e">
        <f t="shared" si="0"/>
        <v>#VALUE!</v>
      </c>
      <c r="W15" t="e">
        <f t="shared" si="0"/>
        <v>#VALUE!</v>
      </c>
      <c r="X15" t="e">
        <f t="shared" si="0"/>
        <v>#VALUE!</v>
      </c>
      <c r="Y15" t="e">
        <f t="shared" si="0"/>
        <v>#VALUE!</v>
      </c>
      <c r="Z15" t="e">
        <f t="shared" si="0"/>
        <v>#VALUE!</v>
      </c>
      <c r="AA15" t="e">
        <f t="shared" si="0"/>
        <v>#VALUE!</v>
      </c>
      <c r="AB15" t="e">
        <f t="shared" si="0"/>
        <v>#VALUE!</v>
      </c>
      <c r="AC15" t="e">
        <f t="shared" si="0"/>
        <v>#VALUE!</v>
      </c>
      <c r="AD15" t="e">
        <f t="shared" si="0"/>
        <v>#VALUE!</v>
      </c>
      <c r="AE15" t="e">
        <f t="shared" si="0"/>
        <v>#VALUE!</v>
      </c>
      <c r="AF15" t="e">
        <f t="shared" si="0"/>
        <v>#VALUE!</v>
      </c>
      <c r="AG15" t="e">
        <f t="shared" si="0"/>
        <v>#VALUE!</v>
      </c>
      <c r="AH15" t="e">
        <f t="shared" si="0"/>
        <v>#VALUE!</v>
      </c>
      <c r="AI15" t="e">
        <f t="shared" si="0"/>
        <v>#VALUE!</v>
      </c>
      <c r="AJ15" t="e">
        <f t="shared" si="0"/>
        <v>#VALUE!</v>
      </c>
      <c r="AK15" t="e">
        <f t="shared" si="0"/>
        <v>#VALUE!</v>
      </c>
      <c r="AL15" t="e">
        <f t="shared" si="0"/>
        <v>#VALUE!</v>
      </c>
      <c r="AM15" t="e">
        <f t="shared" si="0"/>
        <v>#VALUE!</v>
      </c>
      <c r="AN15" t="e">
        <f t="shared" si="0"/>
        <v>#VALUE!</v>
      </c>
      <c r="AO15" t="e">
        <f t="shared" si="0"/>
        <v>#VALUE!</v>
      </c>
      <c r="AP15" t="e">
        <f t="shared" si="0"/>
        <v>#VALUE!</v>
      </c>
      <c r="AQ15" t="e">
        <f t="shared" si="0"/>
        <v>#VALUE!</v>
      </c>
      <c r="AR15" t="e">
        <f t="shared" si="0"/>
        <v>#VALUE!</v>
      </c>
      <c r="AS15" t="e">
        <f t="shared" si="0"/>
        <v>#VALUE!</v>
      </c>
      <c r="AT15" t="e">
        <f t="shared" si="0"/>
        <v>#VALUE!</v>
      </c>
      <c r="AU15" t="e">
        <f t="shared" si="0"/>
        <v>#VALUE!</v>
      </c>
      <c r="AV15" t="e">
        <f t="shared" si="0"/>
        <v>#VALUE!</v>
      </c>
      <c r="AW15" t="e">
        <f t="shared" si="0"/>
        <v>#VALUE!</v>
      </c>
      <c r="AX15" t="e">
        <f t="shared" si="0"/>
        <v>#VALUE!</v>
      </c>
      <c r="AY15" t="e">
        <f t="shared" si="0"/>
        <v>#VALUE!</v>
      </c>
      <c r="AZ15" t="e">
        <f t="shared" si="0"/>
        <v>#VALUE!</v>
      </c>
      <c r="BA15" t="e">
        <f t="shared" si="0"/>
        <v>#VALUE!</v>
      </c>
      <c r="BB15" t="e">
        <f t="shared" si="0"/>
        <v>#VALUE!</v>
      </c>
      <c r="BC15" t="e">
        <f t="shared" si="0"/>
        <v>#VALUE!</v>
      </c>
      <c r="BD15" t="e">
        <f t="shared" si="0"/>
        <v>#VALUE!</v>
      </c>
      <c r="BE15" t="e">
        <f t="shared" si="0"/>
        <v>#VALUE!</v>
      </c>
      <c r="BF15" t="e">
        <f t="shared" si="0"/>
        <v>#VALUE!</v>
      </c>
      <c r="BG15" t="e">
        <f t="shared" si="0"/>
        <v>#VALUE!</v>
      </c>
      <c r="BH15" t="e">
        <f t="shared" si="0"/>
        <v>#VALUE!</v>
      </c>
    </row>
    <row r="16" spans="1:60" x14ac:dyDescent="0.45">
      <c r="A16">
        <f t="shared" si="1"/>
        <v>2000000</v>
      </c>
      <c r="B16">
        <f t="shared" si="2"/>
        <v>0</v>
      </c>
      <c r="C16" t="e">
        <f t="shared" si="3"/>
        <v>#VALUE!</v>
      </c>
      <c r="D16" t="e">
        <f t="shared" si="4"/>
        <v>#VALUE!</v>
      </c>
      <c r="E16">
        <v>20</v>
      </c>
      <c r="F16">
        <f t="shared" si="5"/>
        <v>2000000</v>
      </c>
      <c r="G16" t="e">
        <f t="shared" si="6"/>
        <v>#VALUE!</v>
      </c>
      <c r="H16" t="e">
        <f t="shared" si="6"/>
        <v>#VALUE!</v>
      </c>
      <c r="I16" t="e">
        <f t="shared" si="6"/>
        <v>#VALUE!</v>
      </c>
      <c r="J16" t="e">
        <f t="shared" si="6"/>
        <v>#VALUE!</v>
      </c>
      <c r="K16" t="e">
        <f t="shared" si="6"/>
        <v>#VALUE!</v>
      </c>
      <c r="L16" t="e">
        <f t="shared" si="6"/>
        <v>#VALUE!</v>
      </c>
      <c r="M16" t="e">
        <f t="shared" si="6"/>
        <v>#VALUE!</v>
      </c>
      <c r="N16" t="e">
        <f t="shared" si="6"/>
        <v>#VALUE!</v>
      </c>
      <c r="O16" t="e">
        <f t="shared" si="6"/>
        <v>#VALUE!</v>
      </c>
      <c r="P16" t="e">
        <f t="shared" si="6"/>
        <v>#VALUE!</v>
      </c>
      <c r="Q16" t="e">
        <f t="shared" si="6"/>
        <v>#VALUE!</v>
      </c>
      <c r="R16" t="e">
        <f t="shared" si="6"/>
        <v>#VALUE!</v>
      </c>
      <c r="S16" t="e">
        <f t="shared" si="6"/>
        <v>#VALUE!</v>
      </c>
      <c r="T16" t="e">
        <f t="shared" ref="T16:BH22" si="7">100*T$4*IF(T$2="C",MAX($E16-T$3,0),IF(T$2="P",MAX(T$3-$E16,0)))</f>
        <v>#VALUE!</v>
      </c>
      <c r="U16" t="e">
        <f t="shared" si="7"/>
        <v>#VALUE!</v>
      </c>
      <c r="V16" t="e">
        <f t="shared" si="7"/>
        <v>#VALUE!</v>
      </c>
      <c r="W16" t="e">
        <f t="shared" si="7"/>
        <v>#VALUE!</v>
      </c>
      <c r="X16" t="e">
        <f t="shared" si="7"/>
        <v>#VALUE!</v>
      </c>
      <c r="Y16" t="e">
        <f t="shared" si="7"/>
        <v>#VALUE!</v>
      </c>
      <c r="Z16" t="e">
        <f t="shared" si="7"/>
        <v>#VALUE!</v>
      </c>
      <c r="AA16" t="e">
        <f t="shared" si="7"/>
        <v>#VALUE!</v>
      </c>
      <c r="AB16" t="e">
        <f t="shared" si="7"/>
        <v>#VALUE!</v>
      </c>
      <c r="AC16" t="e">
        <f t="shared" si="7"/>
        <v>#VALUE!</v>
      </c>
      <c r="AD16" t="e">
        <f t="shared" si="7"/>
        <v>#VALUE!</v>
      </c>
      <c r="AE16" t="e">
        <f t="shared" si="7"/>
        <v>#VALUE!</v>
      </c>
      <c r="AF16" t="e">
        <f t="shared" si="7"/>
        <v>#VALUE!</v>
      </c>
      <c r="AG16" t="e">
        <f t="shared" si="7"/>
        <v>#VALUE!</v>
      </c>
      <c r="AH16" t="e">
        <f t="shared" si="7"/>
        <v>#VALUE!</v>
      </c>
      <c r="AI16" t="e">
        <f t="shared" si="7"/>
        <v>#VALUE!</v>
      </c>
      <c r="AJ16" t="e">
        <f t="shared" si="7"/>
        <v>#VALUE!</v>
      </c>
      <c r="AK16" t="e">
        <f t="shared" si="7"/>
        <v>#VALUE!</v>
      </c>
      <c r="AL16" t="e">
        <f t="shared" si="7"/>
        <v>#VALUE!</v>
      </c>
      <c r="AM16" t="e">
        <f t="shared" si="7"/>
        <v>#VALUE!</v>
      </c>
      <c r="AN16" t="e">
        <f t="shared" si="7"/>
        <v>#VALUE!</v>
      </c>
      <c r="AO16" t="e">
        <f t="shared" si="7"/>
        <v>#VALUE!</v>
      </c>
      <c r="AP16" t="e">
        <f t="shared" si="7"/>
        <v>#VALUE!</v>
      </c>
      <c r="AQ16" t="e">
        <f t="shared" si="7"/>
        <v>#VALUE!</v>
      </c>
      <c r="AR16" t="e">
        <f t="shared" si="7"/>
        <v>#VALUE!</v>
      </c>
      <c r="AS16" t="e">
        <f t="shared" si="7"/>
        <v>#VALUE!</v>
      </c>
      <c r="AT16" t="e">
        <f t="shared" si="7"/>
        <v>#VALUE!</v>
      </c>
      <c r="AU16" t="e">
        <f t="shared" si="7"/>
        <v>#VALUE!</v>
      </c>
      <c r="AV16" t="e">
        <f t="shared" si="7"/>
        <v>#VALUE!</v>
      </c>
      <c r="AW16" t="e">
        <f t="shared" si="7"/>
        <v>#VALUE!</v>
      </c>
      <c r="AX16" t="e">
        <f t="shared" si="7"/>
        <v>#VALUE!</v>
      </c>
      <c r="AY16" t="e">
        <f t="shared" si="7"/>
        <v>#VALUE!</v>
      </c>
      <c r="AZ16" t="e">
        <f t="shared" si="7"/>
        <v>#VALUE!</v>
      </c>
      <c r="BA16" t="e">
        <f t="shared" si="7"/>
        <v>#VALUE!</v>
      </c>
      <c r="BB16" t="e">
        <f t="shared" si="7"/>
        <v>#VALUE!</v>
      </c>
      <c r="BC16" t="e">
        <f t="shared" si="7"/>
        <v>#VALUE!</v>
      </c>
      <c r="BD16" t="e">
        <f t="shared" si="7"/>
        <v>#VALUE!</v>
      </c>
      <c r="BE16" t="e">
        <f t="shared" si="7"/>
        <v>#VALUE!</v>
      </c>
      <c r="BF16" t="e">
        <f t="shared" si="7"/>
        <v>#VALUE!</v>
      </c>
      <c r="BG16" t="e">
        <f t="shared" si="7"/>
        <v>#VALUE!</v>
      </c>
      <c r="BH16" t="e">
        <f t="shared" si="7"/>
        <v>#VALUE!</v>
      </c>
    </row>
    <row r="17" spans="1:60" x14ac:dyDescent="0.45">
      <c r="A17">
        <f t="shared" si="1"/>
        <v>2100000</v>
      </c>
      <c r="B17">
        <f t="shared" si="2"/>
        <v>0</v>
      </c>
      <c r="C17" t="e">
        <f t="shared" si="3"/>
        <v>#VALUE!</v>
      </c>
      <c r="D17" t="e">
        <f t="shared" si="4"/>
        <v>#VALUE!</v>
      </c>
      <c r="E17">
        <v>21</v>
      </c>
      <c r="F17">
        <f t="shared" si="5"/>
        <v>2100000</v>
      </c>
      <c r="G17" t="e">
        <f t="shared" si="6"/>
        <v>#VALUE!</v>
      </c>
      <c r="H17" t="e">
        <f t="shared" si="6"/>
        <v>#VALUE!</v>
      </c>
      <c r="I17" t="e">
        <f t="shared" si="6"/>
        <v>#VALUE!</v>
      </c>
      <c r="J17" t="e">
        <f t="shared" si="6"/>
        <v>#VALUE!</v>
      </c>
      <c r="K17" t="e">
        <f t="shared" si="6"/>
        <v>#VALUE!</v>
      </c>
      <c r="L17" t="e">
        <f t="shared" si="6"/>
        <v>#VALUE!</v>
      </c>
      <c r="M17" t="e">
        <f t="shared" si="6"/>
        <v>#VALUE!</v>
      </c>
      <c r="N17" t="e">
        <f t="shared" si="6"/>
        <v>#VALUE!</v>
      </c>
      <c r="O17" t="e">
        <f t="shared" si="6"/>
        <v>#VALUE!</v>
      </c>
      <c r="P17" t="e">
        <f t="shared" si="6"/>
        <v>#VALUE!</v>
      </c>
      <c r="Q17" t="e">
        <f t="shared" si="6"/>
        <v>#VALUE!</v>
      </c>
      <c r="R17" t="e">
        <f t="shared" si="6"/>
        <v>#VALUE!</v>
      </c>
      <c r="S17" t="e">
        <f t="shared" si="6"/>
        <v>#VALUE!</v>
      </c>
      <c r="T17" t="e">
        <f t="shared" si="7"/>
        <v>#VALUE!</v>
      </c>
      <c r="U17" t="e">
        <f t="shared" si="7"/>
        <v>#VALUE!</v>
      </c>
      <c r="V17" t="e">
        <f t="shared" si="7"/>
        <v>#VALUE!</v>
      </c>
      <c r="W17" t="e">
        <f t="shared" si="7"/>
        <v>#VALUE!</v>
      </c>
      <c r="X17" t="e">
        <f t="shared" si="7"/>
        <v>#VALUE!</v>
      </c>
      <c r="Y17" t="e">
        <f t="shared" si="7"/>
        <v>#VALUE!</v>
      </c>
      <c r="Z17" t="e">
        <f t="shared" si="7"/>
        <v>#VALUE!</v>
      </c>
      <c r="AA17" t="e">
        <f t="shared" si="7"/>
        <v>#VALUE!</v>
      </c>
      <c r="AB17" t="e">
        <f t="shared" si="7"/>
        <v>#VALUE!</v>
      </c>
      <c r="AC17" t="e">
        <f t="shared" si="7"/>
        <v>#VALUE!</v>
      </c>
      <c r="AD17" t="e">
        <f t="shared" si="7"/>
        <v>#VALUE!</v>
      </c>
      <c r="AE17" t="e">
        <f t="shared" si="7"/>
        <v>#VALUE!</v>
      </c>
      <c r="AF17" t="e">
        <f t="shared" si="7"/>
        <v>#VALUE!</v>
      </c>
      <c r="AG17" t="e">
        <f t="shared" si="7"/>
        <v>#VALUE!</v>
      </c>
      <c r="AH17" t="e">
        <f t="shared" si="7"/>
        <v>#VALUE!</v>
      </c>
      <c r="AI17" t="e">
        <f t="shared" si="7"/>
        <v>#VALUE!</v>
      </c>
      <c r="AJ17" t="e">
        <f t="shared" si="7"/>
        <v>#VALUE!</v>
      </c>
      <c r="AK17" t="e">
        <f t="shared" si="7"/>
        <v>#VALUE!</v>
      </c>
      <c r="AL17" t="e">
        <f t="shared" si="7"/>
        <v>#VALUE!</v>
      </c>
      <c r="AM17" t="e">
        <f t="shared" si="7"/>
        <v>#VALUE!</v>
      </c>
      <c r="AN17" t="e">
        <f t="shared" si="7"/>
        <v>#VALUE!</v>
      </c>
      <c r="AO17" t="e">
        <f t="shared" si="7"/>
        <v>#VALUE!</v>
      </c>
      <c r="AP17" t="e">
        <f t="shared" si="7"/>
        <v>#VALUE!</v>
      </c>
      <c r="AQ17" t="e">
        <f t="shared" si="7"/>
        <v>#VALUE!</v>
      </c>
      <c r="AR17" t="e">
        <f t="shared" si="7"/>
        <v>#VALUE!</v>
      </c>
      <c r="AS17" t="e">
        <f t="shared" si="7"/>
        <v>#VALUE!</v>
      </c>
      <c r="AT17" t="e">
        <f t="shared" si="7"/>
        <v>#VALUE!</v>
      </c>
      <c r="AU17" t="e">
        <f t="shared" si="7"/>
        <v>#VALUE!</v>
      </c>
      <c r="AV17" t="e">
        <f t="shared" si="7"/>
        <v>#VALUE!</v>
      </c>
      <c r="AW17" t="e">
        <f t="shared" si="7"/>
        <v>#VALUE!</v>
      </c>
      <c r="AX17" t="e">
        <f t="shared" si="7"/>
        <v>#VALUE!</v>
      </c>
      <c r="AY17" t="e">
        <f t="shared" si="7"/>
        <v>#VALUE!</v>
      </c>
      <c r="AZ17" t="e">
        <f t="shared" si="7"/>
        <v>#VALUE!</v>
      </c>
      <c r="BA17" t="e">
        <f t="shared" si="7"/>
        <v>#VALUE!</v>
      </c>
      <c r="BB17" t="e">
        <f t="shared" si="7"/>
        <v>#VALUE!</v>
      </c>
      <c r="BC17" t="e">
        <f t="shared" si="7"/>
        <v>#VALUE!</v>
      </c>
      <c r="BD17" t="e">
        <f t="shared" si="7"/>
        <v>#VALUE!</v>
      </c>
      <c r="BE17" t="e">
        <f t="shared" si="7"/>
        <v>#VALUE!</v>
      </c>
      <c r="BF17" t="e">
        <f t="shared" si="7"/>
        <v>#VALUE!</v>
      </c>
      <c r="BG17" t="e">
        <f t="shared" si="7"/>
        <v>#VALUE!</v>
      </c>
      <c r="BH17" t="e">
        <f t="shared" si="7"/>
        <v>#VALUE!</v>
      </c>
    </row>
    <row r="18" spans="1:60" x14ac:dyDescent="0.45">
      <c r="A18">
        <f t="shared" si="1"/>
        <v>2200000</v>
      </c>
      <c r="B18">
        <f t="shared" si="2"/>
        <v>0</v>
      </c>
      <c r="C18" t="e">
        <f t="shared" si="3"/>
        <v>#VALUE!</v>
      </c>
      <c r="D18" t="e">
        <f t="shared" si="4"/>
        <v>#VALUE!</v>
      </c>
      <c r="E18">
        <v>22</v>
      </c>
      <c r="F18">
        <f t="shared" si="5"/>
        <v>2200000</v>
      </c>
      <c r="G18" t="e">
        <f t="shared" si="6"/>
        <v>#VALUE!</v>
      </c>
      <c r="H18" t="e">
        <f t="shared" si="6"/>
        <v>#VALUE!</v>
      </c>
      <c r="I18" t="e">
        <f t="shared" si="6"/>
        <v>#VALUE!</v>
      </c>
      <c r="J18" t="e">
        <f t="shared" si="6"/>
        <v>#VALUE!</v>
      </c>
      <c r="K18" t="e">
        <f t="shared" si="6"/>
        <v>#VALUE!</v>
      </c>
      <c r="L18" t="e">
        <f t="shared" si="6"/>
        <v>#VALUE!</v>
      </c>
      <c r="M18" t="e">
        <f t="shared" si="6"/>
        <v>#VALUE!</v>
      </c>
      <c r="N18" t="e">
        <f t="shared" si="6"/>
        <v>#VALUE!</v>
      </c>
      <c r="O18" t="e">
        <f t="shared" si="6"/>
        <v>#VALUE!</v>
      </c>
      <c r="P18" t="e">
        <f t="shared" si="6"/>
        <v>#VALUE!</v>
      </c>
      <c r="Q18" t="e">
        <f t="shared" si="6"/>
        <v>#VALUE!</v>
      </c>
      <c r="R18" t="e">
        <f t="shared" si="6"/>
        <v>#VALUE!</v>
      </c>
      <c r="S18" t="e">
        <f t="shared" si="6"/>
        <v>#VALUE!</v>
      </c>
      <c r="T18" t="e">
        <f t="shared" si="7"/>
        <v>#VALUE!</v>
      </c>
      <c r="U18" t="e">
        <f t="shared" si="7"/>
        <v>#VALUE!</v>
      </c>
      <c r="V18" t="e">
        <f t="shared" si="7"/>
        <v>#VALUE!</v>
      </c>
      <c r="W18" t="e">
        <f t="shared" si="7"/>
        <v>#VALUE!</v>
      </c>
      <c r="X18" t="e">
        <f t="shared" si="7"/>
        <v>#VALUE!</v>
      </c>
      <c r="Y18" t="e">
        <f t="shared" si="7"/>
        <v>#VALUE!</v>
      </c>
      <c r="Z18" t="e">
        <f t="shared" si="7"/>
        <v>#VALUE!</v>
      </c>
      <c r="AA18" t="e">
        <f t="shared" si="7"/>
        <v>#VALUE!</v>
      </c>
      <c r="AB18" t="e">
        <f t="shared" si="7"/>
        <v>#VALUE!</v>
      </c>
      <c r="AC18" t="e">
        <f t="shared" si="7"/>
        <v>#VALUE!</v>
      </c>
      <c r="AD18" t="e">
        <f t="shared" si="7"/>
        <v>#VALUE!</v>
      </c>
      <c r="AE18" t="e">
        <f t="shared" si="7"/>
        <v>#VALUE!</v>
      </c>
      <c r="AF18" t="e">
        <f t="shared" si="7"/>
        <v>#VALUE!</v>
      </c>
      <c r="AG18" t="e">
        <f t="shared" si="7"/>
        <v>#VALUE!</v>
      </c>
      <c r="AH18" t="e">
        <f t="shared" si="7"/>
        <v>#VALUE!</v>
      </c>
      <c r="AI18" t="e">
        <f t="shared" si="7"/>
        <v>#VALUE!</v>
      </c>
      <c r="AJ18" t="e">
        <f t="shared" si="7"/>
        <v>#VALUE!</v>
      </c>
      <c r="AK18" t="e">
        <f t="shared" si="7"/>
        <v>#VALUE!</v>
      </c>
      <c r="AL18" t="e">
        <f t="shared" si="7"/>
        <v>#VALUE!</v>
      </c>
      <c r="AM18" t="e">
        <f t="shared" si="7"/>
        <v>#VALUE!</v>
      </c>
      <c r="AN18" t="e">
        <f t="shared" si="7"/>
        <v>#VALUE!</v>
      </c>
      <c r="AO18" t="e">
        <f t="shared" si="7"/>
        <v>#VALUE!</v>
      </c>
      <c r="AP18" t="e">
        <f t="shared" si="7"/>
        <v>#VALUE!</v>
      </c>
      <c r="AQ18" t="e">
        <f t="shared" si="7"/>
        <v>#VALUE!</v>
      </c>
      <c r="AR18" t="e">
        <f t="shared" si="7"/>
        <v>#VALUE!</v>
      </c>
      <c r="AS18" t="e">
        <f t="shared" si="7"/>
        <v>#VALUE!</v>
      </c>
      <c r="AT18" t="e">
        <f t="shared" si="7"/>
        <v>#VALUE!</v>
      </c>
      <c r="AU18" t="e">
        <f t="shared" si="7"/>
        <v>#VALUE!</v>
      </c>
      <c r="AV18" t="e">
        <f t="shared" si="7"/>
        <v>#VALUE!</v>
      </c>
      <c r="AW18" t="e">
        <f t="shared" si="7"/>
        <v>#VALUE!</v>
      </c>
      <c r="AX18" t="e">
        <f t="shared" si="7"/>
        <v>#VALUE!</v>
      </c>
      <c r="AY18" t="e">
        <f t="shared" si="7"/>
        <v>#VALUE!</v>
      </c>
      <c r="AZ18" t="e">
        <f t="shared" si="7"/>
        <v>#VALUE!</v>
      </c>
      <c r="BA18" t="e">
        <f t="shared" si="7"/>
        <v>#VALUE!</v>
      </c>
      <c r="BB18" t="e">
        <f t="shared" si="7"/>
        <v>#VALUE!</v>
      </c>
      <c r="BC18" t="e">
        <f t="shared" si="7"/>
        <v>#VALUE!</v>
      </c>
      <c r="BD18" t="e">
        <f t="shared" si="7"/>
        <v>#VALUE!</v>
      </c>
      <c r="BE18" t="e">
        <f t="shared" si="7"/>
        <v>#VALUE!</v>
      </c>
      <c r="BF18" t="e">
        <f t="shared" si="7"/>
        <v>#VALUE!</v>
      </c>
      <c r="BG18" t="e">
        <f t="shared" si="7"/>
        <v>#VALUE!</v>
      </c>
      <c r="BH18" t="e">
        <f t="shared" si="7"/>
        <v>#VALUE!</v>
      </c>
    </row>
    <row r="19" spans="1:60" x14ac:dyDescent="0.45">
      <c r="A19">
        <f t="shared" si="1"/>
        <v>2300000</v>
      </c>
      <c r="B19">
        <f t="shared" si="2"/>
        <v>0</v>
      </c>
      <c r="C19" t="e">
        <f t="shared" si="3"/>
        <v>#VALUE!</v>
      </c>
      <c r="D19" t="e">
        <f t="shared" si="4"/>
        <v>#VALUE!</v>
      </c>
      <c r="E19">
        <v>23</v>
      </c>
      <c r="F19">
        <f t="shared" si="5"/>
        <v>2300000</v>
      </c>
      <c r="G19" t="e">
        <f t="shared" si="6"/>
        <v>#VALUE!</v>
      </c>
      <c r="H19" t="e">
        <f t="shared" si="6"/>
        <v>#VALUE!</v>
      </c>
      <c r="I19" t="e">
        <f t="shared" si="6"/>
        <v>#VALUE!</v>
      </c>
      <c r="J19" t="e">
        <f t="shared" si="6"/>
        <v>#VALUE!</v>
      </c>
      <c r="K19" t="e">
        <f t="shared" si="6"/>
        <v>#VALUE!</v>
      </c>
      <c r="L19" t="e">
        <f t="shared" si="6"/>
        <v>#VALUE!</v>
      </c>
      <c r="M19" t="e">
        <f t="shared" si="6"/>
        <v>#VALUE!</v>
      </c>
      <c r="N19" t="e">
        <f t="shared" si="6"/>
        <v>#VALUE!</v>
      </c>
      <c r="O19" t="e">
        <f t="shared" si="6"/>
        <v>#VALUE!</v>
      </c>
      <c r="P19" t="e">
        <f t="shared" si="6"/>
        <v>#VALUE!</v>
      </c>
      <c r="Q19" t="e">
        <f t="shared" si="6"/>
        <v>#VALUE!</v>
      </c>
      <c r="R19" t="e">
        <f t="shared" si="6"/>
        <v>#VALUE!</v>
      </c>
      <c r="S19" t="e">
        <f t="shared" si="6"/>
        <v>#VALUE!</v>
      </c>
      <c r="T19" t="e">
        <f t="shared" si="7"/>
        <v>#VALUE!</v>
      </c>
      <c r="U19" t="e">
        <f t="shared" si="7"/>
        <v>#VALUE!</v>
      </c>
      <c r="V19" t="e">
        <f t="shared" si="7"/>
        <v>#VALUE!</v>
      </c>
      <c r="W19" t="e">
        <f t="shared" si="7"/>
        <v>#VALUE!</v>
      </c>
      <c r="X19" t="e">
        <f t="shared" si="7"/>
        <v>#VALUE!</v>
      </c>
      <c r="Y19" t="e">
        <f t="shared" si="7"/>
        <v>#VALUE!</v>
      </c>
      <c r="Z19" t="e">
        <f t="shared" si="7"/>
        <v>#VALUE!</v>
      </c>
      <c r="AA19" t="e">
        <f t="shared" si="7"/>
        <v>#VALUE!</v>
      </c>
      <c r="AB19" t="e">
        <f t="shared" si="7"/>
        <v>#VALUE!</v>
      </c>
      <c r="AC19" t="e">
        <f t="shared" si="7"/>
        <v>#VALUE!</v>
      </c>
      <c r="AD19" t="e">
        <f t="shared" si="7"/>
        <v>#VALUE!</v>
      </c>
      <c r="AE19" t="e">
        <f t="shared" si="7"/>
        <v>#VALUE!</v>
      </c>
      <c r="AF19" t="e">
        <f t="shared" si="7"/>
        <v>#VALUE!</v>
      </c>
      <c r="AG19" t="e">
        <f t="shared" si="7"/>
        <v>#VALUE!</v>
      </c>
      <c r="AH19" t="e">
        <f t="shared" si="7"/>
        <v>#VALUE!</v>
      </c>
      <c r="AI19" t="e">
        <f t="shared" si="7"/>
        <v>#VALUE!</v>
      </c>
      <c r="AJ19" t="e">
        <f t="shared" si="7"/>
        <v>#VALUE!</v>
      </c>
      <c r="AK19" t="e">
        <f t="shared" si="7"/>
        <v>#VALUE!</v>
      </c>
      <c r="AL19" t="e">
        <f t="shared" si="7"/>
        <v>#VALUE!</v>
      </c>
      <c r="AM19" t="e">
        <f t="shared" si="7"/>
        <v>#VALUE!</v>
      </c>
      <c r="AN19" t="e">
        <f t="shared" si="7"/>
        <v>#VALUE!</v>
      </c>
      <c r="AO19" t="e">
        <f t="shared" si="7"/>
        <v>#VALUE!</v>
      </c>
      <c r="AP19" t="e">
        <f t="shared" si="7"/>
        <v>#VALUE!</v>
      </c>
      <c r="AQ19" t="e">
        <f t="shared" si="7"/>
        <v>#VALUE!</v>
      </c>
      <c r="AR19" t="e">
        <f t="shared" si="7"/>
        <v>#VALUE!</v>
      </c>
      <c r="AS19" t="e">
        <f t="shared" si="7"/>
        <v>#VALUE!</v>
      </c>
      <c r="AT19" t="e">
        <f t="shared" si="7"/>
        <v>#VALUE!</v>
      </c>
      <c r="AU19" t="e">
        <f t="shared" si="7"/>
        <v>#VALUE!</v>
      </c>
      <c r="AV19" t="e">
        <f t="shared" si="7"/>
        <v>#VALUE!</v>
      </c>
      <c r="AW19" t="e">
        <f t="shared" si="7"/>
        <v>#VALUE!</v>
      </c>
      <c r="AX19" t="e">
        <f t="shared" si="7"/>
        <v>#VALUE!</v>
      </c>
      <c r="AY19" t="e">
        <f t="shared" si="7"/>
        <v>#VALUE!</v>
      </c>
      <c r="AZ19" t="e">
        <f t="shared" si="7"/>
        <v>#VALUE!</v>
      </c>
      <c r="BA19" t="e">
        <f t="shared" si="7"/>
        <v>#VALUE!</v>
      </c>
      <c r="BB19" t="e">
        <f t="shared" si="7"/>
        <v>#VALUE!</v>
      </c>
      <c r="BC19" t="e">
        <f t="shared" si="7"/>
        <v>#VALUE!</v>
      </c>
      <c r="BD19" t="e">
        <f t="shared" si="7"/>
        <v>#VALUE!</v>
      </c>
      <c r="BE19" t="e">
        <f t="shared" si="7"/>
        <v>#VALUE!</v>
      </c>
      <c r="BF19" t="e">
        <f t="shared" si="7"/>
        <v>#VALUE!</v>
      </c>
      <c r="BG19" t="e">
        <f t="shared" si="7"/>
        <v>#VALUE!</v>
      </c>
      <c r="BH19" t="e">
        <f t="shared" si="7"/>
        <v>#VALUE!</v>
      </c>
    </row>
    <row r="20" spans="1:60" x14ac:dyDescent="0.45">
      <c r="A20">
        <f t="shared" si="1"/>
        <v>2400000</v>
      </c>
      <c r="B20">
        <f t="shared" si="2"/>
        <v>0</v>
      </c>
      <c r="C20" t="e">
        <f t="shared" si="3"/>
        <v>#VALUE!</v>
      </c>
      <c r="D20" t="e">
        <f t="shared" si="4"/>
        <v>#VALUE!</v>
      </c>
      <c r="E20">
        <v>24</v>
      </c>
      <c r="F20">
        <f t="shared" si="5"/>
        <v>2400000</v>
      </c>
      <c r="G20" t="e">
        <f t="shared" si="6"/>
        <v>#VALUE!</v>
      </c>
      <c r="H20" t="e">
        <f t="shared" si="6"/>
        <v>#VALUE!</v>
      </c>
      <c r="I20" t="e">
        <f t="shared" si="6"/>
        <v>#VALUE!</v>
      </c>
      <c r="J20" t="e">
        <f t="shared" si="6"/>
        <v>#VALUE!</v>
      </c>
      <c r="K20" t="e">
        <f t="shared" si="6"/>
        <v>#VALUE!</v>
      </c>
      <c r="L20" t="e">
        <f t="shared" si="6"/>
        <v>#VALUE!</v>
      </c>
      <c r="M20" t="e">
        <f t="shared" si="6"/>
        <v>#VALUE!</v>
      </c>
      <c r="N20" t="e">
        <f t="shared" si="6"/>
        <v>#VALUE!</v>
      </c>
      <c r="O20" t="e">
        <f t="shared" si="6"/>
        <v>#VALUE!</v>
      </c>
      <c r="P20" t="e">
        <f t="shared" si="6"/>
        <v>#VALUE!</v>
      </c>
      <c r="Q20" t="e">
        <f t="shared" si="6"/>
        <v>#VALUE!</v>
      </c>
      <c r="R20" t="e">
        <f t="shared" si="6"/>
        <v>#VALUE!</v>
      </c>
      <c r="S20" t="e">
        <f t="shared" si="6"/>
        <v>#VALUE!</v>
      </c>
      <c r="T20" t="e">
        <f t="shared" si="7"/>
        <v>#VALUE!</v>
      </c>
      <c r="U20" t="e">
        <f t="shared" si="7"/>
        <v>#VALUE!</v>
      </c>
      <c r="V20" t="e">
        <f t="shared" si="7"/>
        <v>#VALUE!</v>
      </c>
      <c r="W20" t="e">
        <f t="shared" si="7"/>
        <v>#VALUE!</v>
      </c>
      <c r="X20" t="e">
        <f t="shared" si="7"/>
        <v>#VALUE!</v>
      </c>
      <c r="Y20" t="e">
        <f t="shared" si="7"/>
        <v>#VALUE!</v>
      </c>
      <c r="Z20" t="e">
        <f t="shared" si="7"/>
        <v>#VALUE!</v>
      </c>
      <c r="AA20" t="e">
        <f t="shared" si="7"/>
        <v>#VALUE!</v>
      </c>
      <c r="AB20" t="e">
        <f t="shared" si="7"/>
        <v>#VALUE!</v>
      </c>
      <c r="AC20" t="e">
        <f t="shared" si="7"/>
        <v>#VALUE!</v>
      </c>
      <c r="AD20" t="e">
        <f t="shared" si="7"/>
        <v>#VALUE!</v>
      </c>
      <c r="AE20" t="e">
        <f t="shared" si="7"/>
        <v>#VALUE!</v>
      </c>
      <c r="AF20" t="e">
        <f t="shared" si="7"/>
        <v>#VALUE!</v>
      </c>
      <c r="AG20" t="e">
        <f t="shared" si="7"/>
        <v>#VALUE!</v>
      </c>
      <c r="AH20" t="e">
        <f t="shared" si="7"/>
        <v>#VALUE!</v>
      </c>
      <c r="AI20" t="e">
        <f t="shared" si="7"/>
        <v>#VALUE!</v>
      </c>
      <c r="AJ20" t="e">
        <f t="shared" si="7"/>
        <v>#VALUE!</v>
      </c>
      <c r="AK20" t="e">
        <f t="shared" si="7"/>
        <v>#VALUE!</v>
      </c>
      <c r="AL20" t="e">
        <f t="shared" si="7"/>
        <v>#VALUE!</v>
      </c>
      <c r="AM20" t="e">
        <f t="shared" si="7"/>
        <v>#VALUE!</v>
      </c>
      <c r="AN20" t="e">
        <f t="shared" si="7"/>
        <v>#VALUE!</v>
      </c>
      <c r="AO20" t="e">
        <f t="shared" si="7"/>
        <v>#VALUE!</v>
      </c>
      <c r="AP20" t="e">
        <f t="shared" si="7"/>
        <v>#VALUE!</v>
      </c>
      <c r="AQ20" t="e">
        <f t="shared" si="7"/>
        <v>#VALUE!</v>
      </c>
      <c r="AR20" t="e">
        <f t="shared" si="7"/>
        <v>#VALUE!</v>
      </c>
      <c r="AS20" t="e">
        <f t="shared" si="7"/>
        <v>#VALUE!</v>
      </c>
      <c r="AT20" t="e">
        <f t="shared" si="7"/>
        <v>#VALUE!</v>
      </c>
      <c r="AU20" t="e">
        <f t="shared" si="7"/>
        <v>#VALUE!</v>
      </c>
      <c r="AV20" t="e">
        <f t="shared" si="7"/>
        <v>#VALUE!</v>
      </c>
      <c r="AW20" t="e">
        <f t="shared" si="7"/>
        <v>#VALUE!</v>
      </c>
      <c r="AX20" t="e">
        <f t="shared" si="7"/>
        <v>#VALUE!</v>
      </c>
      <c r="AY20" t="e">
        <f t="shared" si="7"/>
        <v>#VALUE!</v>
      </c>
      <c r="AZ20" t="e">
        <f t="shared" si="7"/>
        <v>#VALUE!</v>
      </c>
      <c r="BA20" t="e">
        <f t="shared" si="7"/>
        <v>#VALUE!</v>
      </c>
      <c r="BB20" t="e">
        <f t="shared" si="7"/>
        <v>#VALUE!</v>
      </c>
      <c r="BC20" t="e">
        <f t="shared" si="7"/>
        <v>#VALUE!</v>
      </c>
      <c r="BD20" t="e">
        <f t="shared" si="7"/>
        <v>#VALUE!</v>
      </c>
      <c r="BE20" t="e">
        <f t="shared" si="7"/>
        <v>#VALUE!</v>
      </c>
      <c r="BF20" t="e">
        <f t="shared" si="7"/>
        <v>#VALUE!</v>
      </c>
      <c r="BG20" t="e">
        <f t="shared" si="7"/>
        <v>#VALUE!</v>
      </c>
      <c r="BH20" t="e">
        <f t="shared" si="7"/>
        <v>#VALUE!</v>
      </c>
    </row>
    <row r="21" spans="1:60" x14ac:dyDescent="0.45">
      <c r="A21">
        <f t="shared" si="1"/>
        <v>2500000</v>
      </c>
      <c r="B21">
        <f t="shared" si="2"/>
        <v>0</v>
      </c>
      <c r="C21" t="e">
        <f t="shared" si="3"/>
        <v>#VALUE!</v>
      </c>
      <c r="D21" t="e">
        <f t="shared" si="4"/>
        <v>#VALUE!</v>
      </c>
      <c r="E21">
        <v>25</v>
      </c>
      <c r="F21">
        <f t="shared" si="5"/>
        <v>2500000</v>
      </c>
      <c r="G21" t="e">
        <f t="shared" si="6"/>
        <v>#VALUE!</v>
      </c>
      <c r="H21" t="e">
        <f t="shared" si="6"/>
        <v>#VALUE!</v>
      </c>
      <c r="I21" t="e">
        <f t="shared" si="6"/>
        <v>#VALUE!</v>
      </c>
      <c r="J21" t="e">
        <f t="shared" si="6"/>
        <v>#VALUE!</v>
      </c>
      <c r="K21" t="e">
        <f t="shared" si="6"/>
        <v>#VALUE!</v>
      </c>
      <c r="L21" t="e">
        <f t="shared" si="6"/>
        <v>#VALUE!</v>
      </c>
      <c r="M21" t="e">
        <f t="shared" si="6"/>
        <v>#VALUE!</v>
      </c>
      <c r="N21" t="e">
        <f t="shared" si="6"/>
        <v>#VALUE!</v>
      </c>
      <c r="O21" t="e">
        <f t="shared" si="6"/>
        <v>#VALUE!</v>
      </c>
      <c r="P21" t="e">
        <f t="shared" si="6"/>
        <v>#VALUE!</v>
      </c>
      <c r="Q21" t="e">
        <f t="shared" si="6"/>
        <v>#VALUE!</v>
      </c>
      <c r="R21" t="e">
        <f t="shared" si="6"/>
        <v>#VALUE!</v>
      </c>
      <c r="S21" t="e">
        <f t="shared" si="6"/>
        <v>#VALUE!</v>
      </c>
      <c r="T21" t="e">
        <f t="shared" si="7"/>
        <v>#VALUE!</v>
      </c>
      <c r="U21" t="e">
        <f t="shared" si="7"/>
        <v>#VALUE!</v>
      </c>
      <c r="V21" t="e">
        <f t="shared" si="7"/>
        <v>#VALUE!</v>
      </c>
      <c r="W21" t="e">
        <f t="shared" si="7"/>
        <v>#VALUE!</v>
      </c>
      <c r="X21" t="e">
        <f t="shared" si="7"/>
        <v>#VALUE!</v>
      </c>
      <c r="Y21" t="e">
        <f t="shared" si="7"/>
        <v>#VALUE!</v>
      </c>
      <c r="Z21" t="e">
        <f t="shared" si="7"/>
        <v>#VALUE!</v>
      </c>
      <c r="AA21" t="e">
        <f t="shared" si="7"/>
        <v>#VALUE!</v>
      </c>
      <c r="AB21" t="e">
        <f t="shared" si="7"/>
        <v>#VALUE!</v>
      </c>
      <c r="AC21" t="e">
        <f t="shared" si="7"/>
        <v>#VALUE!</v>
      </c>
      <c r="AD21" t="e">
        <f t="shared" si="7"/>
        <v>#VALUE!</v>
      </c>
      <c r="AE21" t="e">
        <f t="shared" si="7"/>
        <v>#VALUE!</v>
      </c>
      <c r="AF21" t="e">
        <f t="shared" si="7"/>
        <v>#VALUE!</v>
      </c>
      <c r="AG21" t="e">
        <f t="shared" si="7"/>
        <v>#VALUE!</v>
      </c>
      <c r="AH21" t="e">
        <f t="shared" si="7"/>
        <v>#VALUE!</v>
      </c>
      <c r="AI21" t="e">
        <f t="shared" si="7"/>
        <v>#VALUE!</v>
      </c>
      <c r="AJ21" t="e">
        <f t="shared" si="7"/>
        <v>#VALUE!</v>
      </c>
      <c r="AK21" t="e">
        <f t="shared" si="7"/>
        <v>#VALUE!</v>
      </c>
      <c r="AL21" t="e">
        <f t="shared" si="7"/>
        <v>#VALUE!</v>
      </c>
      <c r="AM21" t="e">
        <f t="shared" si="7"/>
        <v>#VALUE!</v>
      </c>
      <c r="AN21" t="e">
        <f t="shared" si="7"/>
        <v>#VALUE!</v>
      </c>
      <c r="AO21" t="e">
        <f t="shared" si="7"/>
        <v>#VALUE!</v>
      </c>
      <c r="AP21" t="e">
        <f t="shared" si="7"/>
        <v>#VALUE!</v>
      </c>
      <c r="AQ21" t="e">
        <f t="shared" si="7"/>
        <v>#VALUE!</v>
      </c>
      <c r="AR21" t="e">
        <f t="shared" si="7"/>
        <v>#VALUE!</v>
      </c>
      <c r="AS21" t="e">
        <f t="shared" si="7"/>
        <v>#VALUE!</v>
      </c>
      <c r="AT21" t="e">
        <f t="shared" si="7"/>
        <v>#VALUE!</v>
      </c>
      <c r="AU21" t="e">
        <f t="shared" si="7"/>
        <v>#VALUE!</v>
      </c>
      <c r="AV21" t="e">
        <f t="shared" si="7"/>
        <v>#VALUE!</v>
      </c>
      <c r="AW21" t="e">
        <f t="shared" si="7"/>
        <v>#VALUE!</v>
      </c>
      <c r="AX21" t="e">
        <f t="shared" si="7"/>
        <v>#VALUE!</v>
      </c>
      <c r="AY21" t="e">
        <f t="shared" si="7"/>
        <v>#VALUE!</v>
      </c>
      <c r="AZ21" t="e">
        <f t="shared" si="7"/>
        <v>#VALUE!</v>
      </c>
      <c r="BA21" t="e">
        <f t="shared" si="7"/>
        <v>#VALUE!</v>
      </c>
      <c r="BB21" t="e">
        <f t="shared" si="7"/>
        <v>#VALUE!</v>
      </c>
      <c r="BC21" t="e">
        <f t="shared" si="7"/>
        <v>#VALUE!</v>
      </c>
      <c r="BD21" t="e">
        <f t="shared" si="7"/>
        <v>#VALUE!</v>
      </c>
      <c r="BE21" t="e">
        <f t="shared" si="7"/>
        <v>#VALUE!</v>
      </c>
      <c r="BF21" t="e">
        <f t="shared" si="7"/>
        <v>#VALUE!</v>
      </c>
      <c r="BG21" t="e">
        <f t="shared" si="7"/>
        <v>#VALUE!</v>
      </c>
      <c r="BH21" t="e">
        <f t="shared" si="7"/>
        <v>#VALUE!</v>
      </c>
    </row>
    <row r="22" spans="1:60" x14ac:dyDescent="0.45">
      <c r="A22">
        <f t="shared" si="1"/>
        <v>2600000</v>
      </c>
      <c r="B22">
        <f t="shared" si="2"/>
        <v>0</v>
      </c>
      <c r="C22" t="e">
        <f t="shared" si="3"/>
        <v>#VALUE!</v>
      </c>
      <c r="D22" t="e">
        <f t="shared" si="4"/>
        <v>#VALUE!</v>
      </c>
      <c r="E22">
        <v>26</v>
      </c>
      <c r="F22">
        <f t="shared" si="5"/>
        <v>2600000</v>
      </c>
      <c r="G22" t="e">
        <f t="shared" si="6"/>
        <v>#VALUE!</v>
      </c>
      <c r="H22" t="e">
        <f t="shared" si="6"/>
        <v>#VALUE!</v>
      </c>
      <c r="I22" t="e">
        <f t="shared" si="6"/>
        <v>#VALUE!</v>
      </c>
      <c r="J22" t="e">
        <f t="shared" si="6"/>
        <v>#VALUE!</v>
      </c>
      <c r="K22" t="e">
        <f t="shared" si="6"/>
        <v>#VALUE!</v>
      </c>
      <c r="L22" t="e">
        <f t="shared" si="6"/>
        <v>#VALUE!</v>
      </c>
      <c r="M22" t="e">
        <f t="shared" si="6"/>
        <v>#VALUE!</v>
      </c>
      <c r="N22" t="e">
        <f t="shared" si="6"/>
        <v>#VALUE!</v>
      </c>
      <c r="O22" t="e">
        <f t="shared" si="6"/>
        <v>#VALUE!</v>
      </c>
      <c r="P22" t="e">
        <f t="shared" si="6"/>
        <v>#VALUE!</v>
      </c>
      <c r="Q22" t="e">
        <f t="shared" si="6"/>
        <v>#VALUE!</v>
      </c>
      <c r="R22" t="e">
        <f t="shared" si="6"/>
        <v>#VALUE!</v>
      </c>
      <c r="S22" t="e">
        <f t="shared" si="6"/>
        <v>#VALUE!</v>
      </c>
      <c r="T22" t="e">
        <f t="shared" si="7"/>
        <v>#VALUE!</v>
      </c>
      <c r="U22" t="e">
        <f t="shared" si="7"/>
        <v>#VALUE!</v>
      </c>
      <c r="V22" t="e">
        <f t="shared" si="7"/>
        <v>#VALUE!</v>
      </c>
      <c r="W22" t="e">
        <f t="shared" si="7"/>
        <v>#VALUE!</v>
      </c>
      <c r="X22" t="e">
        <f t="shared" si="7"/>
        <v>#VALUE!</v>
      </c>
      <c r="Y22" t="e">
        <f t="shared" si="7"/>
        <v>#VALUE!</v>
      </c>
      <c r="Z22" t="e">
        <f t="shared" si="7"/>
        <v>#VALUE!</v>
      </c>
      <c r="AA22" t="e">
        <f t="shared" si="7"/>
        <v>#VALUE!</v>
      </c>
      <c r="AB22" t="e">
        <f t="shared" si="7"/>
        <v>#VALUE!</v>
      </c>
      <c r="AC22" t="e">
        <f t="shared" ref="AC22:BH22" si="8">100*AC$4*IF(AC$2="C",MAX($E22-AC$3,0),IF(AC$2="P",MAX(AC$3-$E22,0)))</f>
        <v>#VALUE!</v>
      </c>
      <c r="AD22" t="e">
        <f t="shared" si="8"/>
        <v>#VALUE!</v>
      </c>
      <c r="AE22" t="e">
        <f t="shared" si="8"/>
        <v>#VALUE!</v>
      </c>
      <c r="AF22" t="e">
        <f t="shared" si="8"/>
        <v>#VALUE!</v>
      </c>
      <c r="AG22" t="e">
        <f t="shared" si="8"/>
        <v>#VALUE!</v>
      </c>
      <c r="AH22" t="e">
        <f t="shared" si="8"/>
        <v>#VALUE!</v>
      </c>
      <c r="AI22" t="e">
        <f t="shared" si="8"/>
        <v>#VALUE!</v>
      </c>
      <c r="AJ22" t="e">
        <f t="shared" si="8"/>
        <v>#VALUE!</v>
      </c>
      <c r="AK22" t="e">
        <f t="shared" si="8"/>
        <v>#VALUE!</v>
      </c>
      <c r="AL22" t="e">
        <f t="shared" si="8"/>
        <v>#VALUE!</v>
      </c>
      <c r="AM22" t="e">
        <f t="shared" si="8"/>
        <v>#VALUE!</v>
      </c>
      <c r="AN22" t="e">
        <f t="shared" si="8"/>
        <v>#VALUE!</v>
      </c>
      <c r="AO22" t="e">
        <f t="shared" si="8"/>
        <v>#VALUE!</v>
      </c>
      <c r="AP22" t="e">
        <f t="shared" si="8"/>
        <v>#VALUE!</v>
      </c>
      <c r="AQ22" t="e">
        <f t="shared" si="8"/>
        <v>#VALUE!</v>
      </c>
      <c r="AR22" t="e">
        <f t="shared" si="8"/>
        <v>#VALUE!</v>
      </c>
      <c r="AS22" t="e">
        <f t="shared" si="8"/>
        <v>#VALUE!</v>
      </c>
      <c r="AT22" t="e">
        <f t="shared" si="8"/>
        <v>#VALUE!</v>
      </c>
      <c r="AU22" t="e">
        <f t="shared" si="8"/>
        <v>#VALUE!</v>
      </c>
      <c r="AV22" t="e">
        <f t="shared" si="8"/>
        <v>#VALUE!</v>
      </c>
      <c r="AW22" t="e">
        <f t="shared" si="8"/>
        <v>#VALUE!</v>
      </c>
      <c r="AX22" t="e">
        <f t="shared" si="8"/>
        <v>#VALUE!</v>
      </c>
      <c r="AY22" t="e">
        <f t="shared" si="8"/>
        <v>#VALUE!</v>
      </c>
      <c r="AZ22" t="e">
        <f t="shared" si="8"/>
        <v>#VALUE!</v>
      </c>
      <c r="BA22" t="e">
        <f t="shared" si="8"/>
        <v>#VALUE!</v>
      </c>
      <c r="BB22" t="e">
        <f t="shared" si="8"/>
        <v>#VALUE!</v>
      </c>
      <c r="BC22" t="e">
        <f t="shared" si="8"/>
        <v>#VALUE!</v>
      </c>
      <c r="BD22" t="e">
        <f t="shared" si="8"/>
        <v>#VALUE!</v>
      </c>
      <c r="BE22" t="e">
        <f t="shared" si="8"/>
        <v>#VALUE!</v>
      </c>
      <c r="BF22" t="e">
        <f t="shared" si="8"/>
        <v>#VALUE!</v>
      </c>
      <c r="BG22" t="e">
        <f t="shared" si="8"/>
        <v>#VALUE!</v>
      </c>
      <c r="BH22" t="e">
        <f t="shared" si="8"/>
        <v>#VALUE!</v>
      </c>
    </row>
    <row r="23" spans="1:60" x14ac:dyDescent="0.45">
      <c r="A23" t="s">
        <v>76</v>
      </c>
      <c r="B23">
        <f>-IF($B$2&lt;=1,SUMPRODUCT(G4:X4,G5:X5),0)*100</f>
        <v>0</v>
      </c>
      <c r="C23">
        <f>-IF($B$2&lt;=2,SUMPRODUCT(Y4:AP4,Y5:AP5),0)*100</f>
        <v>0</v>
      </c>
      <c r="D23">
        <f>-IF($B$2&lt;=3,SUMPRODUCT(AQ4:BH4,AQ5:BH5),0)*100</f>
        <v>0</v>
      </c>
    </row>
    <row r="25" spans="1:60" x14ac:dyDescent="0.45">
      <c r="A25" t="s">
        <v>80</v>
      </c>
      <c r="B25" t="s">
        <v>73</v>
      </c>
      <c r="C25" t="s">
        <v>77</v>
      </c>
      <c r="D25" t="s">
        <v>78</v>
      </c>
    </row>
    <row r="26" spans="1:60" x14ac:dyDescent="0.45">
      <c r="A26" s="6" t="e">
        <f t="shared" ref="A26:A38" si="9">A10+SUM(B10:D10)+SUM($B$23:$D$23)</f>
        <v>#VALUE!</v>
      </c>
      <c r="B26" s="6">
        <f>A10+B10+B$23</f>
        <v>1400000</v>
      </c>
      <c r="C26" s="6" t="e">
        <f>A10+C10+C$23</f>
        <v>#VALUE!</v>
      </c>
      <c r="D26" s="6" t="e">
        <f>A10+D10+D$23</f>
        <v>#VALUE!</v>
      </c>
    </row>
    <row r="27" spans="1:60" x14ac:dyDescent="0.45">
      <c r="A27" s="6" t="e">
        <f t="shared" si="9"/>
        <v>#VALUE!</v>
      </c>
      <c r="B27" s="6">
        <f t="shared" ref="B27:B38" si="10">A11+B11+B$23</f>
        <v>1500000</v>
      </c>
      <c r="C27" s="6" t="e">
        <f t="shared" ref="C27:C38" si="11">A11+C11+C$23</f>
        <v>#VALUE!</v>
      </c>
      <c r="D27" s="6" t="e">
        <f t="shared" ref="D27:D38" si="12">A11+D11+D$23</f>
        <v>#VALUE!</v>
      </c>
    </row>
    <row r="28" spans="1:60" x14ac:dyDescent="0.45">
      <c r="A28" s="6" t="e">
        <f t="shared" si="9"/>
        <v>#VALUE!</v>
      </c>
      <c r="B28" s="6">
        <f t="shared" si="10"/>
        <v>1600000</v>
      </c>
      <c r="C28" s="6" t="e">
        <f t="shared" si="11"/>
        <v>#VALUE!</v>
      </c>
      <c r="D28" s="6" t="e">
        <f t="shared" si="12"/>
        <v>#VALUE!</v>
      </c>
    </row>
    <row r="29" spans="1:60" x14ac:dyDescent="0.45">
      <c r="A29" s="6" t="e">
        <f t="shared" si="9"/>
        <v>#VALUE!</v>
      </c>
      <c r="B29" s="6">
        <f t="shared" si="10"/>
        <v>1700000</v>
      </c>
      <c r="C29" s="6" t="e">
        <f t="shared" si="11"/>
        <v>#VALUE!</v>
      </c>
      <c r="D29" s="6" t="e">
        <f t="shared" si="12"/>
        <v>#VALUE!</v>
      </c>
    </row>
    <row r="30" spans="1:60" x14ac:dyDescent="0.45">
      <c r="A30" s="6" t="e">
        <f t="shared" si="9"/>
        <v>#VALUE!</v>
      </c>
      <c r="B30" s="6">
        <f t="shared" si="10"/>
        <v>1800000</v>
      </c>
      <c r="C30" s="6" t="e">
        <f t="shared" si="11"/>
        <v>#VALUE!</v>
      </c>
      <c r="D30" s="6" t="e">
        <f t="shared" si="12"/>
        <v>#VALUE!</v>
      </c>
    </row>
    <row r="31" spans="1:60" x14ac:dyDescent="0.45">
      <c r="A31" s="6" t="e">
        <f t="shared" si="9"/>
        <v>#VALUE!</v>
      </c>
      <c r="B31" s="6">
        <f t="shared" si="10"/>
        <v>1900000</v>
      </c>
      <c r="C31" s="6" t="e">
        <f t="shared" si="11"/>
        <v>#VALUE!</v>
      </c>
      <c r="D31" s="6" t="e">
        <f t="shared" si="12"/>
        <v>#VALUE!</v>
      </c>
    </row>
    <row r="32" spans="1:60" x14ac:dyDescent="0.45">
      <c r="A32" s="6" t="e">
        <f t="shared" si="9"/>
        <v>#VALUE!</v>
      </c>
      <c r="B32" s="6">
        <f t="shared" si="10"/>
        <v>2000000</v>
      </c>
      <c r="C32" s="6" t="e">
        <f t="shared" si="11"/>
        <v>#VALUE!</v>
      </c>
      <c r="D32" s="6" t="e">
        <f t="shared" si="12"/>
        <v>#VALUE!</v>
      </c>
    </row>
    <row r="33" spans="1:4" x14ac:dyDescent="0.45">
      <c r="A33" s="6" t="e">
        <f t="shared" si="9"/>
        <v>#VALUE!</v>
      </c>
      <c r="B33" s="6">
        <f t="shared" si="10"/>
        <v>2100000</v>
      </c>
      <c r="C33" s="6" t="e">
        <f t="shared" si="11"/>
        <v>#VALUE!</v>
      </c>
      <c r="D33" s="6" t="e">
        <f t="shared" si="12"/>
        <v>#VALUE!</v>
      </c>
    </row>
    <row r="34" spans="1:4" x14ac:dyDescent="0.45">
      <c r="A34" s="6" t="e">
        <f t="shared" si="9"/>
        <v>#VALUE!</v>
      </c>
      <c r="B34" s="6">
        <f t="shared" si="10"/>
        <v>2200000</v>
      </c>
      <c r="C34" s="6" t="e">
        <f t="shared" si="11"/>
        <v>#VALUE!</v>
      </c>
      <c r="D34" s="6" t="e">
        <f t="shared" si="12"/>
        <v>#VALUE!</v>
      </c>
    </row>
    <row r="35" spans="1:4" x14ac:dyDescent="0.45">
      <c r="A35" s="6" t="e">
        <f t="shared" si="9"/>
        <v>#VALUE!</v>
      </c>
      <c r="B35" s="6">
        <f t="shared" si="10"/>
        <v>2300000</v>
      </c>
      <c r="C35" s="6" t="e">
        <f t="shared" si="11"/>
        <v>#VALUE!</v>
      </c>
      <c r="D35" s="6" t="e">
        <f t="shared" si="12"/>
        <v>#VALUE!</v>
      </c>
    </row>
    <row r="36" spans="1:4" x14ac:dyDescent="0.45">
      <c r="A36" s="6" t="e">
        <f t="shared" si="9"/>
        <v>#VALUE!</v>
      </c>
      <c r="B36" s="6">
        <f t="shared" si="10"/>
        <v>2400000</v>
      </c>
      <c r="C36" s="6" t="e">
        <f t="shared" si="11"/>
        <v>#VALUE!</v>
      </c>
      <c r="D36" s="6" t="e">
        <f t="shared" si="12"/>
        <v>#VALUE!</v>
      </c>
    </row>
    <row r="37" spans="1:4" x14ac:dyDescent="0.45">
      <c r="A37" s="6" t="e">
        <f t="shared" si="9"/>
        <v>#VALUE!</v>
      </c>
      <c r="B37" s="6">
        <f t="shared" si="10"/>
        <v>2500000</v>
      </c>
      <c r="C37" s="6" t="e">
        <f t="shared" si="11"/>
        <v>#VALUE!</v>
      </c>
      <c r="D37" s="6" t="e">
        <f t="shared" si="12"/>
        <v>#VALUE!</v>
      </c>
    </row>
    <row r="38" spans="1:4" x14ac:dyDescent="0.45">
      <c r="A38" s="6" t="e">
        <f t="shared" si="9"/>
        <v>#VALUE!</v>
      </c>
      <c r="B38" s="6">
        <f t="shared" si="10"/>
        <v>2600000</v>
      </c>
      <c r="C38" s="6" t="e">
        <f t="shared" si="11"/>
        <v>#VALUE!</v>
      </c>
      <c r="D38" s="6" t="e">
        <f t="shared" si="12"/>
        <v>#VALUE!</v>
      </c>
    </row>
    <row r="40" spans="1:4" x14ac:dyDescent="0.45">
      <c r="B40" t="s">
        <v>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49"/>
  <sheetViews>
    <sheetView tabSelected="1" topLeftCell="A14" workbookViewId="0">
      <selection activeCell="M45" sqref="M45"/>
    </sheetView>
  </sheetViews>
  <sheetFormatPr defaultRowHeight="14.25" x14ac:dyDescent="0.45"/>
  <cols>
    <col min="1" max="1" width="3.59765625" customWidth="1"/>
    <col min="3" max="3" width="9.06640625" customWidth="1"/>
    <col min="4" max="4" width="10.59765625" customWidth="1"/>
    <col min="6" max="6" width="11.46484375" bestFit="1" customWidth="1"/>
    <col min="7" max="9" width="10.59765625" customWidth="1"/>
  </cols>
  <sheetData>
    <row r="2" spans="2:21" x14ac:dyDescent="0.45">
      <c r="B2" s="12" t="s">
        <v>83</v>
      </c>
      <c r="C2" s="12"/>
      <c r="D2" s="12"/>
      <c r="F2" s="12" t="s">
        <v>91</v>
      </c>
      <c r="G2" s="13" t="s">
        <v>86</v>
      </c>
      <c r="H2" s="13" t="s">
        <v>87</v>
      </c>
      <c r="I2" s="13" t="s">
        <v>88</v>
      </c>
    </row>
    <row r="4" spans="2:21" x14ac:dyDescent="0.45">
      <c r="B4" t="s">
        <v>84</v>
      </c>
      <c r="D4" s="21">
        <v>100000</v>
      </c>
      <c r="F4" t="s">
        <v>89</v>
      </c>
      <c r="G4" s="14">
        <v>10</v>
      </c>
      <c r="H4" s="14">
        <v>10</v>
      </c>
      <c r="I4" s="14">
        <v>10</v>
      </c>
    </row>
    <row r="5" spans="2:21" x14ac:dyDescent="0.45">
      <c r="B5" t="s">
        <v>85</v>
      </c>
      <c r="D5" s="11">
        <v>20</v>
      </c>
      <c r="F5" t="s">
        <v>90</v>
      </c>
      <c r="G5" s="14">
        <v>10</v>
      </c>
      <c r="H5" s="14">
        <v>10</v>
      </c>
      <c r="I5" s="14">
        <v>10</v>
      </c>
    </row>
    <row r="6" spans="2:21" x14ac:dyDescent="0.45">
      <c r="B6" t="s">
        <v>94</v>
      </c>
      <c r="D6" s="15">
        <v>0.3</v>
      </c>
      <c r="Q6" s="12" t="s">
        <v>99</v>
      </c>
      <c r="R6" s="13" t="s">
        <v>86</v>
      </c>
      <c r="S6" s="13" t="s">
        <v>87</v>
      </c>
      <c r="T6" s="13" t="s">
        <v>88</v>
      </c>
      <c r="U6" s="12"/>
    </row>
    <row r="7" spans="2:21" x14ac:dyDescent="0.45">
      <c r="B7" t="s">
        <v>95</v>
      </c>
      <c r="D7" s="17">
        <f>D6*SQRT(60/252)</f>
        <v>0.14638501094227999</v>
      </c>
      <c r="Q7" t="s">
        <v>100</v>
      </c>
      <c r="R7">
        <f>18*10</f>
        <v>180</v>
      </c>
      <c r="S7">
        <f t="shared" ref="S7:T7" si="0">18*10</f>
        <v>180</v>
      </c>
      <c r="T7">
        <f t="shared" si="0"/>
        <v>180</v>
      </c>
    </row>
    <row r="8" spans="2:21" x14ac:dyDescent="0.45">
      <c r="B8" t="s">
        <v>96</v>
      </c>
      <c r="D8" s="16">
        <f>D6*SQRT(20/252)</f>
        <v>8.4515425472851652E-2</v>
      </c>
      <c r="Q8" s="19" t="s">
        <v>101</v>
      </c>
      <c r="R8" s="19">
        <f>20*10-18</f>
        <v>182</v>
      </c>
      <c r="S8" s="19">
        <f t="shared" ref="S8:T8" si="1">20*10-18</f>
        <v>182</v>
      </c>
      <c r="T8" s="19">
        <f t="shared" si="1"/>
        <v>182</v>
      </c>
      <c r="U8" s="19"/>
    </row>
    <row r="9" spans="2:21" x14ac:dyDescent="0.45">
      <c r="B9" t="s">
        <v>97</v>
      </c>
      <c r="D9" s="16">
        <f>D6/SQRT(252)</f>
        <v>1.8898223650461361E-2</v>
      </c>
      <c r="Q9" t="s">
        <v>102</v>
      </c>
      <c r="R9">
        <f>SUM(R7:R8)</f>
        <v>362</v>
      </c>
      <c r="S9">
        <f t="shared" ref="S9:T9" si="2">SUM(S7:S8)</f>
        <v>362</v>
      </c>
      <c r="T9">
        <f t="shared" si="2"/>
        <v>362</v>
      </c>
      <c r="U9">
        <f>SUM(R9:T9)</f>
        <v>1086</v>
      </c>
    </row>
    <row r="10" spans="2:21" x14ac:dyDescent="0.45">
      <c r="B10" t="s">
        <v>98</v>
      </c>
      <c r="D10" s="16">
        <f>D9/SQRT(10)</f>
        <v>5.9761430466719672E-3</v>
      </c>
      <c r="Q10" s="18" t="s">
        <v>103</v>
      </c>
      <c r="R10" s="20">
        <f>R9/60</f>
        <v>6.0333333333333332</v>
      </c>
      <c r="S10" s="20">
        <f t="shared" ref="S10:U10" si="3">S9/60</f>
        <v>6.0333333333333332</v>
      </c>
      <c r="T10" s="20">
        <f t="shared" si="3"/>
        <v>6.0333333333333332</v>
      </c>
      <c r="U10" s="20">
        <f t="shared" si="3"/>
        <v>18.100000000000001</v>
      </c>
    </row>
    <row r="12" spans="2:21" x14ac:dyDescent="0.45">
      <c r="B12" s="12" t="s">
        <v>92</v>
      </c>
      <c r="C12" s="12"/>
      <c r="D12" s="12"/>
    </row>
    <row r="14" spans="2:21" x14ac:dyDescent="0.45">
      <c r="B14" t="s">
        <v>93</v>
      </c>
      <c r="D14" s="11">
        <v>0.02</v>
      </c>
    </row>
    <row r="17" spans="2:15" x14ac:dyDescent="0.45">
      <c r="B17" s="12" t="s">
        <v>118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2:15" x14ac:dyDescent="0.45">
      <c r="C18" s="22" t="s">
        <v>105</v>
      </c>
      <c r="D18" s="22"/>
      <c r="E18" s="22"/>
      <c r="F18" s="22" t="s">
        <v>106</v>
      </c>
      <c r="G18" s="22"/>
      <c r="H18" s="22"/>
      <c r="I18" s="22" t="s">
        <v>107</v>
      </c>
      <c r="J18" s="22"/>
      <c r="K18" s="22"/>
    </row>
    <row r="19" spans="2:15" x14ac:dyDescent="0.45">
      <c r="B19" s="19"/>
      <c r="C19" s="29" t="s">
        <v>110</v>
      </c>
      <c r="D19" s="30" t="s">
        <v>62</v>
      </c>
      <c r="E19" s="31" t="s">
        <v>111</v>
      </c>
      <c r="F19" s="29" t="s">
        <v>110</v>
      </c>
      <c r="G19" s="30" t="s">
        <v>62</v>
      </c>
      <c r="H19" s="31" t="s">
        <v>111</v>
      </c>
      <c r="I19" s="29" t="s">
        <v>110</v>
      </c>
      <c r="J19" s="30" t="s">
        <v>62</v>
      </c>
      <c r="K19" s="31" t="s">
        <v>104</v>
      </c>
      <c r="L19" s="45"/>
    </row>
    <row r="20" spans="2:15" x14ac:dyDescent="0.45">
      <c r="B20" t="s">
        <v>108</v>
      </c>
      <c r="C20" s="23"/>
      <c r="F20" s="25"/>
      <c r="G20" s="26"/>
      <c r="H20" s="27"/>
      <c r="I20" s="25"/>
      <c r="J20" s="26"/>
      <c r="K20" s="27"/>
    </row>
    <row r="21" spans="2:15" x14ac:dyDescent="0.45">
      <c r="B21" s="18" t="s">
        <v>113</v>
      </c>
      <c r="C21" s="32" t="s">
        <v>121</v>
      </c>
      <c r="D21" s="33"/>
      <c r="E21" s="34"/>
      <c r="F21" s="32"/>
      <c r="G21" s="33"/>
      <c r="H21" s="34"/>
      <c r="I21" s="32"/>
      <c r="J21" s="36"/>
      <c r="K21" s="34"/>
    </row>
    <row r="22" spans="2:15" x14ac:dyDescent="0.45">
      <c r="B22" s="37" t="s">
        <v>112</v>
      </c>
      <c r="C22" s="40" t="s">
        <v>114</v>
      </c>
      <c r="D22" s="41">
        <v>23</v>
      </c>
      <c r="E22" s="38">
        <v>0.28999999999999998</v>
      </c>
      <c r="F22" s="40"/>
      <c r="G22" s="41"/>
      <c r="H22" s="38"/>
      <c r="I22" s="40"/>
      <c r="J22" s="41"/>
      <c r="K22" s="38"/>
      <c r="L22" t="s">
        <v>124</v>
      </c>
      <c r="M22">
        <f>E22*1000*100-$D$14*1000</f>
        <v>28980</v>
      </c>
    </row>
    <row r="23" spans="2:15" x14ac:dyDescent="0.45">
      <c r="B23" t="s">
        <v>109</v>
      </c>
      <c r="C23" s="23"/>
      <c r="D23" s="24"/>
      <c r="E23" s="27"/>
      <c r="F23" s="23"/>
      <c r="G23" s="26"/>
      <c r="H23" s="27"/>
      <c r="I23" s="25"/>
      <c r="J23" s="26"/>
      <c r="K23" s="27"/>
      <c r="L23" s="28" t="s">
        <v>123</v>
      </c>
      <c r="M23" s="19">
        <f>E24*100*1000+1000*$D$14</f>
        <v>41020</v>
      </c>
    </row>
    <row r="24" spans="2:15" x14ac:dyDescent="0.45">
      <c r="B24" s="39" t="s">
        <v>113</v>
      </c>
      <c r="C24" s="32" t="s">
        <v>114</v>
      </c>
      <c r="D24" s="33">
        <v>18</v>
      </c>
      <c r="E24" s="34">
        <v>0.41</v>
      </c>
      <c r="F24" s="32"/>
      <c r="G24" s="33"/>
      <c r="H24" s="34"/>
      <c r="I24" s="32"/>
      <c r="J24" s="33"/>
      <c r="K24" s="34"/>
      <c r="L24" t="s">
        <v>125</v>
      </c>
      <c r="M24">
        <f>M22-M23</f>
        <v>-12040</v>
      </c>
    </row>
    <row r="25" spans="2:15" x14ac:dyDescent="0.45">
      <c r="B25" s="39" t="s">
        <v>112</v>
      </c>
      <c r="C25" s="32" t="s">
        <v>121</v>
      </c>
      <c r="D25" s="36"/>
      <c r="E25" s="34"/>
      <c r="F25" s="35"/>
      <c r="G25" s="36"/>
      <c r="H25" s="34"/>
      <c r="I25" s="35"/>
      <c r="J25" s="36"/>
      <c r="K25" s="34"/>
    </row>
    <row r="26" spans="2:15" x14ac:dyDescent="0.45">
      <c r="C26" s="25"/>
      <c r="D26" s="26"/>
      <c r="E26" s="27"/>
      <c r="F26" s="25"/>
      <c r="G26" s="26"/>
      <c r="H26" s="27"/>
      <c r="I26" s="25"/>
      <c r="J26" s="26"/>
      <c r="K26" s="27"/>
    </row>
    <row r="28" spans="2:15" x14ac:dyDescent="0.45">
      <c r="B28" s="12" t="s">
        <v>119</v>
      </c>
      <c r="C28" s="12"/>
      <c r="D28" s="12"/>
      <c r="E28" s="12"/>
      <c r="F28" s="12"/>
      <c r="G28" s="12"/>
      <c r="H28" s="12"/>
      <c r="I28" s="12"/>
      <c r="J28" s="12"/>
      <c r="K28" s="12"/>
    </row>
    <row r="29" spans="2:15" x14ac:dyDescent="0.45">
      <c r="C29" s="22" t="s">
        <v>105</v>
      </c>
      <c r="D29" s="22"/>
      <c r="E29" s="22"/>
      <c r="F29" s="22" t="s">
        <v>106</v>
      </c>
      <c r="G29" s="22"/>
      <c r="H29" s="22"/>
      <c r="I29" s="22" t="s">
        <v>107</v>
      </c>
      <c r="J29" s="22"/>
      <c r="K29" s="22"/>
    </row>
    <row r="30" spans="2:15" x14ac:dyDescent="0.45">
      <c r="B30" s="19"/>
      <c r="C30" s="29" t="s">
        <v>110</v>
      </c>
      <c r="D30" s="30" t="s">
        <v>62</v>
      </c>
      <c r="E30" s="31" t="s">
        <v>111</v>
      </c>
      <c r="F30" s="29" t="s">
        <v>110</v>
      </c>
      <c r="G30" s="30" t="s">
        <v>62</v>
      </c>
      <c r="H30" s="31" t="s">
        <v>111</v>
      </c>
      <c r="I30" s="29" t="s">
        <v>110</v>
      </c>
      <c r="J30" s="30" t="s">
        <v>62</v>
      </c>
      <c r="K30" s="31" t="s">
        <v>104</v>
      </c>
    </row>
    <row r="31" spans="2:15" x14ac:dyDescent="0.45">
      <c r="B31" t="s">
        <v>108</v>
      </c>
      <c r="C31" s="23"/>
      <c r="F31" s="25"/>
      <c r="G31" s="26"/>
      <c r="H31" s="27"/>
      <c r="I31" s="25"/>
      <c r="J31" s="26"/>
      <c r="K31" s="27"/>
    </row>
    <row r="32" spans="2:15" x14ac:dyDescent="0.45">
      <c r="B32" s="18" t="s">
        <v>113</v>
      </c>
      <c r="C32" s="32"/>
      <c r="D32" s="33"/>
      <c r="E32" s="34"/>
      <c r="F32" s="32"/>
      <c r="G32" s="33"/>
      <c r="H32" s="34"/>
      <c r="I32" s="35"/>
      <c r="J32" s="36"/>
      <c r="K32" s="34"/>
      <c r="L32" t="s">
        <v>126</v>
      </c>
      <c r="O32" t="s">
        <v>127</v>
      </c>
    </row>
    <row r="33" spans="2:16" x14ac:dyDescent="0.45">
      <c r="B33" s="37" t="s">
        <v>112</v>
      </c>
      <c r="C33" s="40"/>
      <c r="D33" s="41"/>
      <c r="E33" s="38"/>
      <c r="F33" s="40"/>
      <c r="G33" s="41"/>
      <c r="H33" s="38"/>
      <c r="I33" s="40"/>
      <c r="J33" s="41"/>
      <c r="K33" s="38"/>
      <c r="L33" t="s">
        <v>124</v>
      </c>
      <c r="M33">
        <f>E36*500*100-$D$14*1000</f>
        <v>3480</v>
      </c>
      <c r="O33" t="s">
        <v>124</v>
      </c>
      <c r="P33">
        <f>H36*300*100-$D$14*1000</f>
        <v>4780</v>
      </c>
    </row>
    <row r="34" spans="2:16" x14ac:dyDescent="0.45">
      <c r="B34" t="s">
        <v>109</v>
      </c>
      <c r="C34" s="23" t="s">
        <v>116</v>
      </c>
      <c r="D34" s="24"/>
      <c r="E34" s="27"/>
      <c r="F34" s="23" t="s">
        <v>117</v>
      </c>
      <c r="G34" s="26"/>
      <c r="H34" s="27"/>
      <c r="I34" s="25"/>
      <c r="J34" s="26"/>
      <c r="K34" s="27"/>
      <c r="L34" s="28" t="s">
        <v>123</v>
      </c>
      <c r="M34" s="19">
        <f>E35*100*300+1000*$D$14</f>
        <v>12020</v>
      </c>
      <c r="O34" s="28" t="s">
        <v>123</v>
      </c>
      <c r="P34" s="19">
        <f>H35*100*700+1000*$D$14</f>
        <v>48320</v>
      </c>
    </row>
    <row r="35" spans="2:16" x14ac:dyDescent="0.45">
      <c r="B35" s="39" t="s">
        <v>113</v>
      </c>
      <c r="C35" s="32" t="s">
        <v>114</v>
      </c>
      <c r="D35" s="33">
        <v>19</v>
      </c>
      <c r="E35" s="43">
        <v>0.4</v>
      </c>
      <c r="F35" s="32" t="s">
        <v>114</v>
      </c>
      <c r="G35" s="33">
        <v>21</v>
      </c>
      <c r="H35" s="44">
        <v>0.69</v>
      </c>
      <c r="I35" s="35"/>
      <c r="J35" s="33"/>
      <c r="K35" s="34"/>
      <c r="L35" t="s">
        <v>125</v>
      </c>
      <c r="M35">
        <f>M33-M34</f>
        <v>-8540</v>
      </c>
      <c r="O35" t="s">
        <v>125</v>
      </c>
      <c r="P35">
        <f>P33-P34</f>
        <v>-43540</v>
      </c>
    </row>
    <row r="36" spans="2:16" x14ac:dyDescent="0.45">
      <c r="B36" s="39" t="s">
        <v>112</v>
      </c>
      <c r="C36" s="32" t="s">
        <v>114</v>
      </c>
      <c r="D36" s="33">
        <v>16</v>
      </c>
      <c r="E36" s="44">
        <v>7.0000000000000007E-2</v>
      </c>
      <c r="F36" s="32" t="s">
        <v>114</v>
      </c>
      <c r="G36" s="33">
        <v>18</v>
      </c>
      <c r="H36" s="44">
        <v>0.16</v>
      </c>
      <c r="I36" s="35"/>
      <c r="J36" s="36"/>
      <c r="K36" s="34"/>
    </row>
    <row r="37" spans="2:16" x14ac:dyDescent="0.45">
      <c r="C37" s="42" t="s">
        <v>115</v>
      </c>
      <c r="F37" s="42" t="s">
        <v>116</v>
      </c>
    </row>
    <row r="40" spans="2:16" x14ac:dyDescent="0.45">
      <c r="B40" s="12" t="s">
        <v>120</v>
      </c>
      <c r="C40" s="12"/>
      <c r="D40" s="12"/>
      <c r="E40" s="12"/>
      <c r="F40" s="12"/>
      <c r="G40" s="12"/>
      <c r="H40" s="12"/>
      <c r="I40" s="12"/>
      <c r="J40" s="12"/>
      <c r="K40" s="12"/>
    </row>
    <row r="41" spans="2:16" x14ac:dyDescent="0.45">
      <c r="C41" s="22" t="s">
        <v>105</v>
      </c>
      <c r="D41" s="22"/>
      <c r="E41" s="22"/>
      <c r="F41" s="22" t="s">
        <v>106</v>
      </c>
      <c r="G41" s="22"/>
      <c r="H41" s="22"/>
      <c r="I41" s="22" t="s">
        <v>107</v>
      </c>
      <c r="J41" s="22"/>
      <c r="K41" s="22"/>
    </row>
    <row r="42" spans="2:16" x14ac:dyDescent="0.45">
      <c r="B42" s="19"/>
      <c r="C42" s="29" t="s">
        <v>110</v>
      </c>
      <c r="D42" s="30" t="s">
        <v>62</v>
      </c>
      <c r="E42" s="31" t="s">
        <v>111</v>
      </c>
      <c r="F42" s="29" t="s">
        <v>110</v>
      </c>
      <c r="G42" s="30" t="s">
        <v>62</v>
      </c>
      <c r="H42" s="31" t="s">
        <v>111</v>
      </c>
      <c r="I42" s="29" t="s">
        <v>110</v>
      </c>
      <c r="J42" s="30" t="s">
        <v>62</v>
      </c>
      <c r="K42" s="31" t="s">
        <v>104</v>
      </c>
    </row>
    <row r="43" spans="2:16" x14ac:dyDescent="0.45">
      <c r="B43" t="s">
        <v>108</v>
      </c>
      <c r="C43" s="23"/>
      <c r="F43" s="25"/>
      <c r="G43" s="26"/>
      <c r="H43" s="27"/>
      <c r="I43" s="25"/>
      <c r="J43" s="26"/>
      <c r="K43" s="27"/>
    </row>
    <row r="44" spans="2:16" x14ac:dyDescent="0.45">
      <c r="B44" s="18" t="s">
        <v>113</v>
      </c>
      <c r="C44" s="32"/>
      <c r="D44" s="33"/>
      <c r="E44" s="34"/>
      <c r="F44" s="32"/>
      <c r="G44" s="33"/>
      <c r="H44" s="34"/>
      <c r="I44" s="35"/>
      <c r="J44" s="36"/>
      <c r="K44" s="34"/>
    </row>
    <row r="45" spans="2:16" x14ac:dyDescent="0.45">
      <c r="B45" s="37" t="s">
        <v>112</v>
      </c>
      <c r="C45" s="40"/>
      <c r="D45" s="41"/>
      <c r="E45" s="38"/>
      <c r="F45" s="40"/>
      <c r="G45" s="41"/>
      <c r="H45" s="38"/>
      <c r="I45" s="40"/>
      <c r="J45" s="41"/>
      <c r="K45" s="38"/>
    </row>
    <row r="46" spans="2:16" x14ac:dyDescent="0.45">
      <c r="B46" t="s">
        <v>109</v>
      </c>
      <c r="C46" s="23" t="s">
        <v>121</v>
      </c>
      <c r="D46" s="24"/>
      <c r="E46" s="27"/>
      <c r="F46" s="23"/>
      <c r="G46" s="26"/>
      <c r="H46" s="27"/>
      <c r="I46" s="25"/>
      <c r="J46" s="26"/>
      <c r="K46" s="27"/>
    </row>
    <row r="47" spans="2:16" x14ac:dyDescent="0.45">
      <c r="B47" s="39" t="s">
        <v>113</v>
      </c>
      <c r="C47" s="32" t="s">
        <v>114</v>
      </c>
      <c r="D47" s="33">
        <v>18</v>
      </c>
      <c r="E47" s="43" t="s">
        <v>122</v>
      </c>
      <c r="F47" s="32"/>
      <c r="G47" s="33"/>
      <c r="H47" s="34"/>
      <c r="I47" s="35"/>
      <c r="J47" s="33"/>
      <c r="K47" s="34"/>
    </row>
    <row r="48" spans="2:16" x14ac:dyDescent="0.45">
      <c r="B48" s="39" t="s">
        <v>112</v>
      </c>
      <c r="C48" s="32"/>
      <c r="D48" s="33"/>
      <c r="E48" s="34"/>
      <c r="F48" s="32"/>
      <c r="G48" s="33"/>
      <c r="H48" s="34"/>
      <c r="I48" s="35"/>
      <c r="J48" s="36"/>
      <c r="K48" s="34"/>
    </row>
    <row r="49" spans="3:6" x14ac:dyDescent="0.45">
      <c r="C49" s="42"/>
      <c r="F49" s="4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380B8B337FCC4BB69A0CA0F2CF6C58" ma:contentTypeVersion="12" ma:contentTypeDescription="Create a new document." ma:contentTypeScope="" ma:versionID="20d49404249c649523cc0bc27af4ca88">
  <xsd:schema xmlns:xsd="http://www.w3.org/2001/XMLSchema" xmlns:xs="http://www.w3.org/2001/XMLSchema" xmlns:p="http://schemas.microsoft.com/office/2006/metadata/properties" xmlns:ns2="328a0837-456d-483e-87f2-2d63866936b4" xmlns:ns3="48044145-bfd1-4649-85cb-c0de0d49c5f7" targetNamespace="http://schemas.microsoft.com/office/2006/metadata/properties" ma:root="true" ma:fieldsID="cc3a27bd38f0455fc0e96b1e09095698" ns2:_="" ns3:_="">
    <xsd:import namespace="328a0837-456d-483e-87f2-2d63866936b4"/>
    <xsd:import namespace="48044145-bfd1-4649-85cb-c0de0d49c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a0837-456d-483e-87f2-2d6386693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44145-bfd1-4649-85cb-c0de0d49c5f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6FB1B-A6EB-4E06-99A6-8063277E3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a0837-456d-483e-87f2-2d63866936b4"/>
    <ds:schemaRef ds:uri="48044145-bfd1-4649-85cb-c0de0d49c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078301-D30E-4CFB-BCC1-EE54139C1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0C431-0794-4224-8424-B2696601A03A}">
  <ds:schemaRefs>
    <ds:schemaRef ds:uri="http://purl.org/dc/terms/"/>
    <ds:schemaRef ds:uri="http://www.w3.org/XML/1998/namespace"/>
    <ds:schemaRef ds:uri="48044145-bfd1-4649-85cb-c0de0d49c5f7"/>
    <ds:schemaRef ds:uri="http://schemas.microsoft.com/office/2006/metadata/properties"/>
    <ds:schemaRef ds:uri="http://purl.org/dc/elements/1.1/"/>
    <ds:schemaRef ds:uri="328a0837-456d-483e-87f2-2d63866936b4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 Sheet</vt:lpstr>
      <vt:lpstr>Summary Table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 Hogan</cp:lastModifiedBy>
  <cp:lastPrinted>2014-05-07T12:53:55Z</cp:lastPrinted>
  <dcterms:created xsi:type="dcterms:W3CDTF">2012-04-19T00:11:30Z</dcterms:created>
  <dcterms:modified xsi:type="dcterms:W3CDTF">2024-12-04T23:02:02Z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0x0101003D380B8B337FCC4BB69A0CA0F2CF6C58</vt:lpwstr>
  </property>
</Properties>
</file>