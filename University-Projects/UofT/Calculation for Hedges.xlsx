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Courses/Exchange/Futures and Options Markets/Trading Assigment/"/>
    </mc:Choice>
  </mc:AlternateContent>
  <xr:revisionPtr revIDLastSave="1122" documentId="11_F25DC773A252ABDACC104830195C761C5ADE58EE" xr6:coauthVersionLast="47" xr6:coauthVersionMax="47" xr10:uidLastSave="{83364C5D-4AAA-48E7-BA50-A595457C6F74}"/>
  <bookViews>
    <workbookView xWindow="-98" yWindow="-98" windowWidth="21795" windowHeight="12975" xr2:uid="{00000000-000D-0000-FFFF-FFFF00000000}"/>
  </bookViews>
  <sheets>
    <sheet name="Tesla Details" sheetId="1" r:id="rId1"/>
    <sheet name="Tyson Foods Details" sheetId="2" r:id="rId2"/>
    <sheet name="ADM Details" sheetId="3" r:id="rId3"/>
    <sheet name="XOM Details" sheetId="4" r:id="rId4"/>
  </sheets>
  <definedNames>
    <definedName name="_bdm.04904f6a914c4e1c82e1b97cbccb43cf.edm" localSheetId="3" hidden="1">'XOM Details'!$B$10:$H$15</definedName>
    <definedName name="_bdm.0579628ecb4e4e9f9b853f342c6f61ec.edm" localSheetId="1" hidden="1">'Tyson Foods Details'!$B$2:$K$5</definedName>
    <definedName name="_bdm.123131f013c849e69e5d5534eacf2111.edm" hidden="1">'Tyson Foods Details'!$1:$1048576</definedName>
    <definedName name="_bdm.43b9e18c595b438fbce5154435d69110.edm" localSheetId="0" hidden="1">'Tesla Details'!$B$16:$C$27</definedName>
    <definedName name="_bdm.683fc7bbf10a44f8831a609b6846ef4f.edm" hidden="1">'XOM Details'!$1:$1048576</definedName>
    <definedName name="_bdm.7073fbef1bd248d7a88b1b7c3d165228.edm" hidden="1">'Tesla Details'!$1:$1048576</definedName>
    <definedName name="_bdm.9e02a8e5107248f680ae8278775e520b.edm" localSheetId="2" hidden="1">'ADM Details'!$B$3:$H$9</definedName>
    <definedName name="_bdm.f809d884a09d47e2aa49271b3a9eedb3.edm" hidden="1">'ADM Details'!$1:$1048576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4" l="1"/>
  <c r="F13" i="4" s="1"/>
  <c r="P5" i="4"/>
  <c r="P4" i="4" a="1"/>
  <c r="P4" i="4" s="1"/>
  <c r="O4" i="4" a="1"/>
  <c r="O4" i="4" s="1"/>
  <c r="H11" i="4"/>
  <c r="H12" i="4" s="1"/>
  <c r="G12" i="4"/>
  <c r="F12" i="4"/>
  <c r="E12" i="4"/>
  <c r="D12" i="4"/>
  <c r="E10" i="4"/>
  <c r="F10" i="4" s="1"/>
  <c r="G10" i="4" s="1"/>
  <c r="H9" i="3"/>
  <c r="H7" i="3"/>
  <c r="H6" i="3"/>
  <c r="F9" i="3"/>
  <c r="E9" i="3"/>
  <c r="D9" i="3"/>
  <c r="G9" i="3"/>
  <c r="F7" i="3"/>
  <c r="E7" i="3"/>
  <c r="D7" i="3"/>
  <c r="G7" i="3"/>
  <c r="E4" i="3"/>
  <c r="F4" i="3" s="1"/>
  <c r="G4" i="3" s="1"/>
  <c r="C15" i="2"/>
  <c r="H18" i="2" s="1"/>
  <c r="H19" i="2" s="1"/>
  <c r="H15" i="2"/>
  <c r="C24" i="1"/>
  <c r="C23" i="1"/>
  <c r="G17" i="1"/>
  <c r="K5" i="2"/>
  <c r="J5" i="2"/>
  <c r="I5" i="2"/>
  <c r="H5" i="2"/>
  <c r="G5" i="2"/>
  <c r="F5" i="2"/>
  <c r="E5" i="2"/>
  <c r="D5" i="2"/>
  <c r="C13" i="4" l="1"/>
  <c r="D13" i="4"/>
  <c r="E13" i="4"/>
  <c r="G13" i="4"/>
  <c r="H13" i="4"/>
  <c r="P6" i="4"/>
  <c r="F14" i="4" s="1"/>
  <c r="F15" i="4" s="1"/>
  <c r="H16" i="2"/>
  <c r="C17" i="1"/>
  <c r="C19" i="1" s="1"/>
  <c r="C27" i="1" s="1"/>
  <c r="G19" i="1" s="1"/>
  <c r="G21" i="1" s="1"/>
  <c r="E20" i="4" l="1"/>
  <c r="C14" i="4"/>
  <c r="C15" i="4" s="1"/>
  <c r="D14" i="4"/>
  <c r="D15" i="4" s="1"/>
  <c r="H14" i="4"/>
  <c r="H15" i="4" s="1"/>
  <c r="E21" i="4" s="1"/>
  <c r="E14" i="4"/>
  <c r="E15" i="4" s="1"/>
  <c r="G14" i="4"/>
  <c r="G15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<sst xmlns="http://schemas.openxmlformats.org/spreadsheetml/2006/main" count="104" uniqueCount="96">
  <si>
    <t>Capacity</t>
  </si>
  <si>
    <t>Storage Caclcuations</t>
  </si>
  <si>
    <t>Cells required</t>
  </si>
  <si>
    <t>Lithium Hyrodixde req. in Kg</t>
  </si>
  <si>
    <t>LTH Contract Size</t>
  </si>
  <si>
    <t>Contracts req. for full hedge</t>
  </si>
  <si>
    <t>Assumption of Cell</t>
  </si>
  <si>
    <t>Futures Calculations</t>
  </si>
  <si>
    <t xml:space="preserve">Total margin </t>
  </si>
  <si>
    <t>Tesla Energy Storage Facility</t>
  </si>
  <si>
    <t>60501 Tesla 345kV</t>
  </si>
  <si>
    <t>Capacity per 4680 cell MWh</t>
  </si>
  <si>
    <t>Size in MWh</t>
  </si>
  <si>
    <t>$/Kg per Contract Feb'25</t>
  </si>
  <si>
    <t>Value per Contract</t>
  </si>
  <si>
    <t>Margin req. by IBKR</t>
  </si>
  <si>
    <t>Maintenance Margin</t>
  </si>
  <si>
    <t>Contract * Int. Margin</t>
  </si>
  <si>
    <t>Projects</t>
  </si>
  <si>
    <t>Fagus Solar Park 1 SLF</t>
  </si>
  <si>
    <t>Fagus Solar Park 2 SLF</t>
  </si>
  <si>
    <t>Fagus Solar Park 3 SLF</t>
  </si>
  <si>
    <t>Storage POI</t>
  </si>
  <si>
    <t>Q2'23</t>
  </si>
  <si>
    <t>Q3'23</t>
  </si>
  <si>
    <t>Q4'23</t>
  </si>
  <si>
    <t>Q1'24</t>
  </si>
  <si>
    <t>Q2'24</t>
  </si>
  <si>
    <t>Q3'24</t>
  </si>
  <si>
    <t>Q1'23</t>
  </si>
  <si>
    <t>Q4'22</t>
  </si>
  <si>
    <t>Q3'22</t>
  </si>
  <si>
    <t>% change</t>
  </si>
  <si>
    <t>Quote:</t>
  </si>
  <si>
    <t>Chief Supply Chain Officer</t>
  </si>
  <si>
    <t>Purity of Lithium</t>
  </si>
  <si>
    <t>Req. Lithium Hydroxide/Cell in Kg</t>
  </si>
  <si>
    <t>Adj. for Purity</t>
  </si>
  <si>
    <t>Cattle in Pounds</t>
  </si>
  <si>
    <t>Historical Data</t>
  </si>
  <si>
    <t>Notes</t>
  </si>
  <si>
    <t>Hedge for Q1</t>
  </si>
  <si>
    <t>Required Cattle (Pounds)</t>
  </si>
  <si>
    <t>Contract Size in Pounds</t>
  </si>
  <si>
    <t>$/Pound in DEC'24</t>
  </si>
  <si>
    <t>Cattle Calculations</t>
  </si>
  <si>
    <t>Req. Conracts</t>
  </si>
  <si>
    <t>Main. Margin per Contract</t>
  </si>
  <si>
    <t xml:space="preserve">Assumptions </t>
  </si>
  <si>
    <t>Initial Margin req. IBKR</t>
  </si>
  <si>
    <t>Futures</t>
  </si>
  <si>
    <t>Total Hedge Value</t>
  </si>
  <si>
    <t>Total Main. Margin</t>
  </si>
  <si>
    <t>Total In. Margin Req.</t>
  </si>
  <si>
    <t xml:space="preserve"> </t>
  </si>
  <si>
    <t>Archer-Daniels-Midland Company</t>
  </si>
  <si>
    <t>x</t>
  </si>
  <si>
    <t>Overview</t>
  </si>
  <si>
    <t>Revenue</t>
  </si>
  <si>
    <t>Soybean % of Rev.</t>
  </si>
  <si>
    <t>(in millions USD)</t>
  </si>
  <si>
    <t>Soybean revenue</t>
  </si>
  <si>
    <t>Hedge Ratio:</t>
  </si>
  <si>
    <t xml:space="preserve">2023, 10K </t>
  </si>
  <si>
    <t>hedge ratoi 77-100%</t>
  </si>
  <si>
    <t>conservative hedge %</t>
  </si>
  <si>
    <t>2024E</t>
  </si>
  <si>
    <t>Soybean for Hedge in USD</t>
  </si>
  <si>
    <t>Exxon Mobile Aviation Fuels</t>
  </si>
  <si>
    <t>Historical Overview</t>
  </si>
  <si>
    <t>daily barrels</t>
  </si>
  <si>
    <t>Aviation Fuels</t>
  </si>
  <si>
    <t>YoY growth %</t>
  </si>
  <si>
    <t>Assumptions</t>
  </si>
  <si>
    <t>Heating Oil Contract Size, Gallons</t>
  </si>
  <si>
    <t>Gallons Per Barrel</t>
  </si>
  <si>
    <t>Futures Price</t>
  </si>
  <si>
    <t>Fuel Price</t>
  </si>
  <si>
    <t>Month</t>
  </si>
  <si>
    <t>Jet Fuel Kerosene-Type U.S. Gulf Coast ($/gal) (JTKGC-FDS)</t>
  </si>
  <si>
    <t>Change In %</t>
  </si>
  <si>
    <t>Heating Oil No. 2 NY Harbor ($/gal) (HONY-FDS)</t>
  </si>
  <si>
    <t>St. Dev</t>
  </si>
  <si>
    <t>Correlation</t>
  </si>
  <si>
    <t>(MV) Hedge Ratio</t>
  </si>
  <si>
    <t>Cross Hedge</t>
  </si>
  <si>
    <t>Barrels Per Contract</t>
  </si>
  <si>
    <t>Contract Capacity, daily</t>
  </si>
  <si>
    <t>Average Monthly Contracts</t>
  </si>
  <si>
    <t>Adj Contract for HO Corr.</t>
  </si>
  <si>
    <t>% Hedge of Barrel Capacity</t>
  </si>
  <si>
    <t>Hedge Calculations (Monthly)</t>
  </si>
  <si>
    <t>HO Contracts req.</t>
  </si>
  <si>
    <t>Future:</t>
  </si>
  <si>
    <t>Fuel:</t>
  </si>
  <si>
    <t>Required Gallons Adj.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</si>
</sst>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164" formatCode="0.000000"/>
    <numFmt numFmtId="165" formatCode="dd\-mmm\-yyyy"/>
    <numFmt numFmtId="166" formatCode="&quot;$&quot;#,##0.00"/>
    <numFmt numFmtId="167" formatCode="&quot;$&quot;#,##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rgb="FF0070C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4B084"/>
      <name val="Calibri"/>
      <family val="2"/>
      <scheme val="minor"/>
    </font>
    <font>
      <i/>
      <sz val="10"/>
      <color rgb="FFF4B084"/>
      <name val="Calibri"/>
      <family val="2"/>
      <scheme val="minor"/>
    </font>
    <font>
      <sz val="11"/>
      <color rgb="FFED7D31"/>
      <name val="Calibri"/>
      <family val="2"/>
      <scheme val="minor"/>
    </font>
    <font>
      <b/>
      <sz val="11"/>
      <color rgb="FFED7D3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/>
        <bgColor indexed="64"/>
      </patternFill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7" fillId="0" borderId="0"/>
  </cellStyleXfs>
  <cellXfs count="82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2" xfId="0" applyBorder="1"/>
    <xf numFmtId="0" fontId="5" fillId="0" borderId="1" xfId="0" applyFont="1" applyBorder="1" applyAlignment="1">
      <alignment horizontal="center"/>
    </xf>
    <xf numFmtId="0" fontId="5" fillId="0" borderId="0" xfId="0" applyFont="1"/>
    <xf numFmtId="6" fontId="0" fillId="0" borderId="0" xfId="0" applyNumberFormat="1" applyAlignment="1">
      <alignment horizontal="center"/>
    </xf>
    <xf numFmtId="9" fontId="0" fillId="0" borderId="2" xfId="0" applyNumberFormat="1" applyBorder="1" applyAlignment="1">
      <alignment horizontal="center"/>
    </xf>
    <xf numFmtId="8" fontId="0" fillId="0" borderId="0" xfId="0" applyNumberFormat="1"/>
    <xf numFmtId="166" fontId="5" fillId="0" borderId="1" xfId="0" applyNumberFormat="1" applyFont="1" applyBorder="1" applyAlignment="1">
      <alignment horizontal="center"/>
    </xf>
    <xf numFmtId="165" fontId="6" fillId="0" borderId="0" xfId="0" applyNumberFormat="1" applyFont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3" fontId="0" fillId="0" borderId="0" xfId="0" applyNumberFormat="1"/>
    <xf numFmtId="167" fontId="0" fillId="0" borderId="0" xfId="0" applyNumberFormat="1"/>
    <xf numFmtId="0" fontId="2" fillId="2" borderId="0" xfId="0" applyFont="1" applyFill="1"/>
    <xf numFmtId="3" fontId="0" fillId="0" borderId="1" xfId="0" applyNumberFormat="1" applyBorder="1"/>
    <xf numFmtId="0" fontId="0" fillId="0" borderId="1" xfId="0" applyBorder="1"/>
    <xf numFmtId="0" fontId="8" fillId="0" borderId="0" xfId="0" applyFont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2" xfId="0" applyNumberFormat="1" applyBorder="1"/>
    <xf numFmtId="0" fontId="10" fillId="0" borderId="0" xfId="0" applyFont="1"/>
    <xf numFmtId="0" fontId="0" fillId="0" borderId="0" xfId="0" applyAlignment="1">
      <alignment horizontal="right"/>
    </xf>
    <xf numFmtId="0" fontId="7" fillId="0" borderId="0" xfId="0" applyFont="1"/>
    <xf numFmtId="0" fontId="9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2" xfId="0" applyFont="1" applyBorder="1"/>
    <xf numFmtId="164" fontId="11" fillId="0" borderId="2" xfId="0" applyNumberFormat="1" applyFont="1" applyBorder="1" applyAlignment="1">
      <alignment horizontal="center"/>
    </xf>
    <xf numFmtId="3" fontId="11" fillId="0" borderId="0" xfId="0" applyNumberFormat="1" applyFont="1" applyAlignment="1">
      <alignment horizontal="center"/>
    </xf>
    <xf numFmtId="10" fontId="11" fillId="0" borderId="0" xfId="0" applyNumberFormat="1" applyFont="1" applyAlignment="1">
      <alignment horizontal="center"/>
    </xf>
    <xf numFmtId="2" fontId="11" fillId="0" borderId="2" xfId="0" applyNumberFormat="1" applyFont="1" applyBorder="1" applyAlignment="1">
      <alignment horizontal="center"/>
    </xf>
    <xf numFmtId="0" fontId="11" fillId="0" borderId="3" xfId="0" applyFont="1" applyBorder="1"/>
    <xf numFmtId="3" fontId="11" fillId="0" borderId="3" xfId="0" applyNumberFormat="1" applyFont="1" applyBorder="1" applyAlignment="1">
      <alignment horizontal="center"/>
    </xf>
    <xf numFmtId="0" fontId="12" fillId="2" borderId="0" xfId="0" applyFont="1" applyFill="1" applyAlignment="1">
      <alignment horizontal="center"/>
    </xf>
    <xf numFmtId="3" fontId="11" fillId="0" borderId="0" xfId="0" applyNumberFormat="1" applyFont="1"/>
    <xf numFmtId="0" fontId="13" fillId="0" borderId="0" xfId="0" applyFont="1" applyAlignment="1">
      <alignment horizontal="left" indent="1"/>
    </xf>
    <xf numFmtId="0" fontId="14" fillId="0" borderId="0" xfId="0" applyFont="1"/>
    <xf numFmtId="10" fontId="14" fillId="0" borderId="0" xfId="1" applyNumberFormat="1" applyFont="1"/>
    <xf numFmtId="10" fontId="15" fillId="0" borderId="0" xfId="1" applyNumberFormat="1" applyFont="1"/>
    <xf numFmtId="0" fontId="12" fillId="2" borderId="0" xfId="0" applyFont="1" applyFill="1"/>
    <xf numFmtId="15" fontId="12" fillId="2" borderId="0" xfId="0" applyNumberFormat="1" applyFont="1" applyFill="1" applyAlignment="1">
      <alignment horizontal="center"/>
    </xf>
    <xf numFmtId="15" fontId="12" fillId="2" borderId="0" xfId="0" applyNumberFormat="1" applyFont="1" applyFill="1"/>
    <xf numFmtId="3" fontId="0" fillId="3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7" fontId="16" fillId="5" borderId="0" xfId="2" applyNumberFormat="1" applyFont="1" applyFill="1"/>
    <xf numFmtId="17" fontId="16" fillId="0" borderId="0" xfId="2" applyNumberFormat="1" applyFont="1"/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0" xfId="0" applyFont="1" applyFill="1" applyAlignment="1">
      <alignment horizontal="left"/>
    </xf>
    <xf numFmtId="10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9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3" fontId="0" fillId="0" borderId="1" xfId="0" applyNumberForma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0" fontId="18" fillId="0" borderId="0" xfId="0" applyFont="1"/>
    <xf numFmtId="0" fontId="19" fillId="0" borderId="0" xfId="0" applyFont="1"/>
    <xf numFmtId="3" fontId="19" fillId="0" borderId="0" xfId="0" applyNumberFormat="1" applyFont="1" applyAlignment="1">
      <alignment horizontal="center"/>
    </xf>
    <xf numFmtId="0" fontId="13" fillId="0" borderId="0" xfId="0" applyFont="1"/>
    <xf numFmtId="9" fontId="13" fillId="0" borderId="0" xfId="0" applyNumberFormat="1" applyFont="1" applyAlignment="1">
      <alignment horizontal="center"/>
    </xf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horizontal="center" wrapText="1"/>
    </xf>
    <xf numFmtId="0" fontId="12" fillId="4" borderId="0" xfId="0" applyFont="1" applyFill="1" applyAlignment="1">
      <alignment horizontal="center" wrapText="1"/>
    </xf>
    <xf numFmtId="3" fontId="20" fillId="0" borderId="0" xfId="0" applyNumberFormat="1" applyFont="1"/>
    <xf numFmtId="9" fontId="21" fillId="0" borderId="0" xfId="0" applyNumberFormat="1" applyFont="1"/>
    <xf numFmtId="0" fontId="2" fillId="2" borderId="7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3" fontId="11" fillId="0" borderId="2" xfId="0" applyNumberFormat="1" applyFont="1" applyBorder="1" applyAlignment="1">
      <alignment horizontal="center"/>
    </xf>
    <xf numFmtId="9" fontId="21" fillId="0" borderId="0" xfId="0" applyNumberFormat="1" applyFont="1" applyAlignment="1">
      <alignment horizontal="center"/>
    </xf>
    <xf numFmtId="1" fontId="22" fillId="0" borderId="0" xfId="0" applyNumberFormat="1" applyFont="1" applyAlignment="1">
      <alignment horizontal="center"/>
    </xf>
    <xf numFmtId="3" fontId="22" fillId="0" borderId="2" xfId="0" applyNumberFormat="1" applyFont="1" applyBorder="1" applyAlignment="1">
      <alignment horizontal="center"/>
    </xf>
    <xf numFmtId="3" fontId="23" fillId="0" borderId="0" xfId="0" applyNumberFormat="1" applyFont="1" applyAlignment="1">
      <alignment horizontal="center"/>
    </xf>
  </cellXfs>
  <cellStyles count="3">
    <cellStyle name="Normal" xfId="0" builtinId="0"/>
    <cellStyle name="Normal 2" xfId="2" xr:uid="{F36DC6FC-3A32-4642-8BB8-A1C433C3541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89858</xdr:colOff>
      <xdr:row>7</xdr:row>
      <xdr:rowOff>152720</xdr:rowOff>
    </xdr:from>
    <xdr:to>
      <xdr:col>34</xdr:col>
      <xdr:colOff>394618</xdr:colOff>
      <xdr:row>53</xdr:row>
      <xdr:rowOff>47005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14078A-CAEF-D623-401E-EE1E00200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67358" y="1554512"/>
          <a:ext cx="15185326" cy="81792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1171575</xdr:colOff>
      <xdr:row>28</xdr:row>
      <xdr:rowOff>14287</xdr:rowOff>
    </xdr:from>
    <xdr:to>
      <xdr:col>5</xdr:col>
      <xdr:colOff>622827</xdr:colOff>
      <xdr:row>34</xdr:row>
      <xdr:rowOff>33337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B0071F-B942-4D3B-3BBD-D1B23B07D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0" y="1643062"/>
          <a:ext cx="3403888" cy="110490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6</xdr:col>
      <xdr:colOff>245345</xdr:colOff>
      <xdr:row>38</xdr:row>
      <xdr:rowOff>138113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EE9559-534E-5586-C974-9AE6E03E4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3038" y="2714625"/>
          <a:ext cx="3384381" cy="862013"/>
        </a:xfrm>
        <a:prstGeom prst="rect">
          <a:avLst/>
        </a:prstGeom>
      </xdr:spPr>
    </xdr:pic>
    <xdr:clientData/>
  </xdr:twoCellAnchor>
  <xdr:twoCellAnchor editAs="oneCell">
    <xdr:from>
      <xdr:col>13</xdr:col>
      <xdr:colOff>372715</xdr:colOff>
      <xdr:row>14</xdr:row>
      <xdr:rowOff>23192</xdr:rowOff>
    </xdr:from>
    <xdr:to>
      <xdr:col>29</xdr:col>
      <xdr:colOff>492106</xdr:colOff>
      <xdr:row>45</xdr:row>
      <xdr:rowOff>102295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93163E-90B9-A8EF-2FBF-A2C1154FD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98206" y="2632214"/>
          <a:ext cx="10389826" cy="58562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109538</xdr:colOff>
      <xdr:row>20</xdr:row>
      <xdr:rowOff>67238</xdr:rowOff>
    </xdr:from>
    <xdr:to>
      <xdr:col>12</xdr:col>
      <xdr:colOff>368558</xdr:colOff>
      <xdr:row>28</xdr:row>
      <xdr:rowOff>143292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A507FD-8E44-865A-39FB-54B3DD7B4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976" y="3958201"/>
          <a:ext cx="6736020" cy="152385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7"/>
  <sheetViews>
    <sheetView showGridLines="0" tabSelected="1" zoomScale="59" workbookViewId="0">
      <selection activeCell="E40" sqref="E40"/>
    </sheetView>
  </sheetViews>
  <sheetFormatPr defaultRowHeight="14.25" x14ac:dyDescent="0.45"/>
  <cols>
    <col min="1" max="1" width="3.59765625" customWidth="1"/>
    <col min="2" max="2" width="23.1328125" bestFit="1" customWidth="1"/>
    <col min="3" max="3" width="25.59765625" customWidth="1"/>
    <col min="4" max="4" width="10.6640625" bestFit="1" customWidth="1"/>
    <col min="6" max="6" width="23.53125" bestFit="1" customWidth="1"/>
    <col min="7" max="7" width="13.796875" bestFit="1" customWidth="1"/>
    <col min="8" max="8" width="9.9296875" bestFit="1" customWidth="1"/>
  </cols>
  <sheetData>
    <row r="1" spans="2:8" ht="25.5" x14ac:dyDescent="0.75">
      <c r="B1" s="2" t="s">
        <v>9</v>
      </c>
    </row>
    <row r="4" spans="2:8" x14ac:dyDescent="0.45">
      <c r="B4" s="75" t="s">
        <v>18</v>
      </c>
      <c r="C4" s="13" t="s">
        <v>19</v>
      </c>
    </row>
    <row r="5" spans="2:8" x14ac:dyDescent="0.45">
      <c r="B5" s="75"/>
      <c r="C5" s="14" t="s">
        <v>20</v>
      </c>
    </row>
    <row r="6" spans="2:8" x14ac:dyDescent="0.45">
      <c r="B6" s="75"/>
      <c r="C6" s="15" t="s">
        <v>21</v>
      </c>
    </row>
    <row r="8" spans="2:8" x14ac:dyDescent="0.45">
      <c r="B8" s="1" t="s">
        <v>22</v>
      </c>
      <c r="C8" s="6" t="s">
        <v>10</v>
      </c>
    </row>
    <row r="9" spans="2:8" x14ac:dyDescent="0.45">
      <c r="C9" s="7"/>
    </row>
    <row r="10" spans="2:8" x14ac:dyDescent="0.45">
      <c r="B10" s="1" t="s">
        <v>0</v>
      </c>
      <c r="C10" s="6">
        <v>519.79999999999995</v>
      </c>
    </row>
    <row r="11" spans="2:8" x14ac:dyDescent="0.45">
      <c r="C11" s="7"/>
    </row>
    <row r="12" spans="2:8" x14ac:dyDescent="0.45">
      <c r="B12" s="1" t="s">
        <v>6</v>
      </c>
      <c r="C12" s="6">
        <v>4680</v>
      </c>
    </row>
    <row r="14" spans="2:8" x14ac:dyDescent="0.45">
      <c r="B14" s="1" t="s">
        <v>13</v>
      </c>
      <c r="C14" s="11">
        <v>11.48</v>
      </c>
      <c r="D14" s="12">
        <v>45575</v>
      </c>
    </row>
    <row r="16" spans="2:8" x14ac:dyDescent="0.45">
      <c r="B16" s="40" t="s">
        <v>1</v>
      </c>
      <c r="C16" s="40"/>
      <c r="D16" s="1"/>
      <c r="F16" s="1" t="s">
        <v>7</v>
      </c>
      <c r="G16" s="1"/>
      <c r="H16" s="1"/>
    </row>
    <row r="17" spans="2:8" x14ac:dyDescent="0.45">
      <c r="B17" s="31" t="s">
        <v>12</v>
      </c>
      <c r="C17" s="3">
        <f>C10</f>
        <v>519.79999999999995</v>
      </c>
      <c r="F17" t="s">
        <v>14</v>
      </c>
      <c r="G17" s="8">
        <f>C26*C14</f>
        <v>11480</v>
      </c>
    </row>
    <row r="18" spans="2:8" x14ac:dyDescent="0.45">
      <c r="B18" s="33" t="s">
        <v>11</v>
      </c>
      <c r="C18" s="34">
        <v>9.7999999999999997E-5</v>
      </c>
      <c r="F18" t="s">
        <v>16</v>
      </c>
      <c r="G18" s="8">
        <v>1700</v>
      </c>
      <c r="H18" s="12">
        <v>45575</v>
      </c>
    </row>
    <row r="19" spans="2:8" x14ac:dyDescent="0.45">
      <c r="B19" s="31" t="s">
        <v>2</v>
      </c>
      <c r="C19" s="35">
        <f>C17/C18</f>
        <v>5304081.6326530613</v>
      </c>
      <c r="F19" t="s">
        <v>17</v>
      </c>
      <c r="G19" s="10">
        <f>G18*C27</f>
        <v>4787755.102040817</v>
      </c>
    </row>
    <row r="20" spans="2:8" x14ac:dyDescent="0.45">
      <c r="B20" s="31"/>
      <c r="C20" s="31"/>
      <c r="F20" s="5" t="s">
        <v>15</v>
      </c>
      <c r="G20" s="9">
        <v>1.25</v>
      </c>
    </row>
    <row r="21" spans="2:8" x14ac:dyDescent="0.45">
      <c r="B21" s="31" t="s">
        <v>35</v>
      </c>
      <c r="C21" s="36">
        <v>0.56499999999999995</v>
      </c>
      <c r="F21" t="s">
        <v>8</v>
      </c>
      <c r="G21" s="10">
        <f>G19*G20</f>
        <v>5984693.8775510211</v>
      </c>
    </row>
    <row r="22" spans="2:8" x14ac:dyDescent="0.45">
      <c r="B22" s="31" t="s">
        <v>36</v>
      </c>
      <c r="C22" s="32">
        <v>0.3</v>
      </c>
    </row>
    <row r="23" spans="2:8" x14ac:dyDescent="0.45">
      <c r="B23" s="33" t="s">
        <v>37</v>
      </c>
      <c r="C23" s="37">
        <f>C22/C21</f>
        <v>0.53097345132743368</v>
      </c>
      <c r="G23" s="4"/>
    </row>
    <row r="24" spans="2:8" x14ac:dyDescent="0.45">
      <c r="B24" s="31" t="s">
        <v>3</v>
      </c>
      <c r="C24" s="35">
        <f>C19*C23</f>
        <v>2816326.5306122452</v>
      </c>
    </row>
    <row r="25" spans="2:8" x14ac:dyDescent="0.45">
      <c r="B25" s="31"/>
      <c r="C25" s="31"/>
    </row>
    <row r="26" spans="2:8" ht="14.65" thickBot="1" x14ac:dyDescent="0.5">
      <c r="B26" s="38" t="s">
        <v>4</v>
      </c>
      <c r="C26" s="39">
        <v>1000</v>
      </c>
    </row>
    <row r="27" spans="2:8" ht="14.65" thickTop="1" x14ac:dyDescent="0.45">
      <c r="B27" s="31" t="s">
        <v>5</v>
      </c>
      <c r="C27" s="35">
        <f>C24/C26</f>
        <v>2816.3265306122453</v>
      </c>
    </row>
  </sheetData>
  <mergeCells count="1">
    <mergeCell ref="B4:B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1C816-F458-48A5-8861-85A073352C96}">
  <dimension ref="B2:K28"/>
  <sheetViews>
    <sheetView showGridLines="0" zoomScale="51" zoomScaleNormal="55" workbookViewId="0">
      <selection sqref="A1:L41"/>
    </sheetView>
  </sheetViews>
  <sheetFormatPr defaultRowHeight="14.25" x14ac:dyDescent="0.45"/>
  <cols>
    <col min="1" max="1" width="3.59765625" customWidth="1"/>
    <col min="2" max="2" width="22.3984375" bestFit="1" customWidth="1"/>
    <col min="3" max="10" width="10.9296875" bestFit="1" customWidth="1"/>
    <col min="11" max="11" width="9.9296875" bestFit="1" customWidth="1"/>
  </cols>
  <sheetData>
    <row r="2" spans="2:11" x14ac:dyDescent="0.45">
      <c r="B2" s="46" t="s">
        <v>39</v>
      </c>
      <c r="C2" s="47">
        <v>44744</v>
      </c>
      <c r="D2" s="47">
        <v>44835</v>
      </c>
      <c r="E2" s="48">
        <v>45291</v>
      </c>
      <c r="F2" s="48">
        <v>45017</v>
      </c>
      <c r="G2" s="48">
        <v>45108</v>
      </c>
      <c r="H2" s="48">
        <v>45199</v>
      </c>
      <c r="I2" s="48">
        <v>45290</v>
      </c>
      <c r="J2" s="48">
        <v>45381</v>
      </c>
      <c r="K2" s="48">
        <v>45472</v>
      </c>
    </row>
    <row r="3" spans="2:11" x14ac:dyDescent="0.45">
      <c r="B3" s="31"/>
      <c r="C3" s="32" t="s">
        <v>31</v>
      </c>
      <c r="D3" s="32" t="s">
        <v>30</v>
      </c>
      <c r="E3" s="32" t="s">
        <v>29</v>
      </c>
      <c r="F3" s="32" t="s">
        <v>23</v>
      </c>
      <c r="G3" s="32" t="s">
        <v>24</v>
      </c>
      <c r="H3" s="32" t="s">
        <v>25</v>
      </c>
      <c r="I3" s="32" t="s">
        <v>26</v>
      </c>
      <c r="J3" s="32" t="s">
        <v>27</v>
      </c>
      <c r="K3" s="32" t="s">
        <v>28</v>
      </c>
    </row>
    <row r="4" spans="2:11" x14ac:dyDescent="0.45">
      <c r="B4" s="31" t="s">
        <v>38</v>
      </c>
      <c r="C4" s="41">
        <v>213000000</v>
      </c>
      <c r="D4" s="41">
        <v>280000000</v>
      </c>
      <c r="E4" s="41">
        <v>143000000</v>
      </c>
      <c r="F4" s="41">
        <v>366000000</v>
      </c>
      <c r="G4" s="41">
        <v>397000000</v>
      </c>
      <c r="H4" s="41">
        <v>319000000</v>
      </c>
      <c r="I4" s="41">
        <v>318000000</v>
      </c>
      <c r="J4" s="41">
        <v>211000000</v>
      </c>
      <c r="K4" s="41">
        <v>92000000</v>
      </c>
    </row>
    <row r="5" spans="2:11" x14ac:dyDescent="0.45">
      <c r="B5" s="42" t="s">
        <v>32</v>
      </c>
      <c r="C5" s="43"/>
      <c r="D5" s="44">
        <f>D4/C4-1</f>
        <v>0.31455399061032874</v>
      </c>
      <c r="E5" s="45">
        <f t="shared" ref="E5:K5" si="0">E4/D4-1</f>
        <v>-0.48928571428571432</v>
      </c>
      <c r="F5" s="44">
        <f t="shared" si="0"/>
        <v>1.5594405594405596</v>
      </c>
      <c r="G5" s="44">
        <f t="shared" si="0"/>
        <v>8.4699453551912551E-2</v>
      </c>
      <c r="H5" s="44">
        <f t="shared" si="0"/>
        <v>-0.19647355163727964</v>
      </c>
      <c r="I5" s="45">
        <f t="shared" si="0"/>
        <v>-3.1347962382445305E-3</v>
      </c>
      <c r="J5" s="44">
        <f t="shared" si="0"/>
        <v>-0.33647798742138368</v>
      </c>
      <c r="K5" s="44">
        <f t="shared" si="0"/>
        <v>-0.56398104265402837</v>
      </c>
    </row>
    <row r="7" spans="2:11" x14ac:dyDescent="0.45">
      <c r="B7" s="18" t="s">
        <v>42</v>
      </c>
      <c r="C7" s="19">
        <v>100000000</v>
      </c>
    </row>
    <row r="9" spans="2:11" x14ac:dyDescent="0.45">
      <c r="B9" s="18" t="s">
        <v>43</v>
      </c>
      <c r="C9" s="19">
        <v>40000</v>
      </c>
    </row>
    <row r="10" spans="2:11" x14ac:dyDescent="0.45">
      <c r="K10" s="17"/>
    </row>
    <row r="11" spans="2:11" x14ac:dyDescent="0.45">
      <c r="B11" s="18" t="s">
        <v>44</v>
      </c>
      <c r="C11" s="20">
        <v>1.8825000000000001</v>
      </c>
      <c r="D11" s="12">
        <v>45575</v>
      </c>
      <c r="H11" s="16"/>
    </row>
    <row r="13" spans="2:11" x14ac:dyDescent="0.45">
      <c r="B13" s="18" t="s">
        <v>45</v>
      </c>
      <c r="C13" s="18"/>
      <c r="D13" s="18"/>
      <c r="E13" s="18"/>
      <c r="F13" s="18"/>
      <c r="G13" s="18"/>
      <c r="H13" s="18"/>
    </row>
    <row r="14" spans="2:11" x14ac:dyDescent="0.45">
      <c r="B14" s="21" t="s">
        <v>48</v>
      </c>
      <c r="F14" s="21" t="s">
        <v>50</v>
      </c>
    </row>
    <row r="15" spans="2:11" x14ac:dyDescent="0.45">
      <c r="B15" t="s">
        <v>46</v>
      </c>
      <c r="C15" s="22">
        <f>C7/C9</f>
        <v>2500</v>
      </c>
      <c r="F15" s="5" t="s">
        <v>14</v>
      </c>
      <c r="G15" s="5"/>
      <c r="H15" s="25">
        <f>C9*C11</f>
        <v>75300</v>
      </c>
    </row>
    <row r="16" spans="2:11" x14ac:dyDescent="0.45">
      <c r="B16" t="s">
        <v>47</v>
      </c>
      <c r="C16" s="23">
        <v>2450</v>
      </c>
      <c r="F16" t="s">
        <v>51</v>
      </c>
      <c r="H16" s="16">
        <f>H15*C15</f>
        <v>188250000</v>
      </c>
    </row>
    <row r="17" spans="2:8" x14ac:dyDescent="0.45">
      <c r="B17" t="s">
        <v>49</v>
      </c>
      <c r="C17" s="24">
        <v>1.25</v>
      </c>
    </row>
    <row r="18" spans="2:8" x14ac:dyDescent="0.45">
      <c r="F18" s="5" t="s">
        <v>52</v>
      </c>
      <c r="G18" s="5"/>
      <c r="H18" s="26">
        <f>C16*C15</f>
        <v>6125000</v>
      </c>
    </row>
    <row r="19" spans="2:8" x14ac:dyDescent="0.45">
      <c r="F19" t="s">
        <v>53</v>
      </c>
      <c r="H19" s="16">
        <f>H18*C17</f>
        <v>7656250</v>
      </c>
    </row>
    <row r="24" spans="2:8" x14ac:dyDescent="0.45">
      <c r="B24" t="s">
        <v>40</v>
      </c>
    </row>
    <row r="25" spans="2:8" x14ac:dyDescent="0.45">
      <c r="B25" t="s">
        <v>41</v>
      </c>
    </row>
    <row r="28" spans="2:8" x14ac:dyDescent="0.45">
      <c r="B28" t="s">
        <v>33</v>
      </c>
      <c r="C28" t="s">
        <v>34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EDC66-32A6-4D96-BBC8-2AF3292A6CCA}">
  <dimension ref="A1:H20"/>
  <sheetViews>
    <sheetView showGridLines="0" workbookViewId="0">
      <pane ySplit="1" topLeftCell="A10" activePane="bottomLeft" state="frozen"/>
      <selection pane="bottomLeft" sqref="A1:N30"/>
    </sheetView>
  </sheetViews>
  <sheetFormatPr defaultRowHeight="14.25" x14ac:dyDescent="0.45"/>
  <cols>
    <col min="1" max="1" width="2.59765625" customWidth="1"/>
    <col min="2" max="2" width="22.265625" bestFit="1" customWidth="1"/>
  </cols>
  <sheetData>
    <row r="1" spans="1:8" ht="25.5" x14ac:dyDescent="0.75">
      <c r="A1" s="27" t="s">
        <v>55</v>
      </c>
    </row>
    <row r="2" spans="1:8" ht="25.5" x14ac:dyDescent="0.75">
      <c r="A2" s="27"/>
    </row>
    <row r="3" spans="1:8" x14ac:dyDescent="0.45">
      <c r="A3" t="s">
        <v>54</v>
      </c>
      <c r="B3" s="65" t="s">
        <v>60</v>
      </c>
      <c r="C3" s="31"/>
      <c r="D3" s="31"/>
      <c r="E3" s="31"/>
      <c r="F3" s="31"/>
      <c r="G3" s="31"/>
      <c r="H3" s="31"/>
    </row>
    <row r="4" spans="1:8" x14ac:dyDescent="0.45">
      <c r="A4" s="28" t="s">
        <v>56</v>
      </c>
      <c r="B4" s="70" t="s">
        <v>57</v>
      </c>
      <c r="C4" s="70"/>
      <c r="D4" s="71">
        <v>2020</v>
      </c>
      <c r="E4" s="71">
        <f>D4+1</f>
        <v>2021</v>
      </c>
      <c r="F4" s="71">
        <f t="shared" ref="F4:G4" si="0">E4+1</f>
        <v>2022</v>
      </c>
      <c r="G4" s="71">
        <f t="shared" si="0"/>
        <v>2023</v>
      </c>
      <c r="H4" s="72" t="s">
        <v>66</v>
      </c>
    </row>
    <row r="5" spans="1:8" s="30" customFormat="1" x14ac:dyDescent="0.45">
      <c r="B5" s="66" t="s">
        <v>58</v>
      </c>
      <c r="C5" s="66"/>
      <c r="D5" s="67">
        <v>64355</v>
      </c>
      <c r="E5" s="67">
        <v>85249</v>
      </c>
      <c r="F5" s="67">
        <v>101556</v>
      </c>
      <c r="G5" s="67">
        <v>95935</v>
      </c>
      <c r="H5" s="73">
        <v>87450</v>
      </c>
    </row>
    <row r="6" spans="1:8" s="29" customFormat="1" ht="13.15" x14ac:dyDescent="0.4">
      <c r="B6" s="42" t="s">
        <v>59</v>
      </c>
      <c r="C6" s="68"/>
      <c r="D6" s="69">
        <v>0.18</v>
      </c>
      <c r="E6" s="69">
        <v>0.18</v>
      </c>
      <c r="F6" s="69">
        <v>0.17</v>
      </c>
      <c r="G6" s="69">
        <v>0.18</v>
      </c>
      <c r="H6" s="74">
        <f>AVERAGE(D6:G6)</f>
        <v>0.17749999999999999</v>
      </c>
    </row>
    <row r="7" spans="1:8" s="30" customFormat="1" x14ac:dyDescent="0.45">
      <c r="B7" s="66" t="s">
        <v>61</v>
      </c>
      <c r="C7" s="66"/>
      <c r="D7" s="67">
        <f t="shared" ref="D7:F7" si="1">D5*D6</f>
        <v>11583.9</v>
      </c>
      <c r="E7" s="67">
        <f t="shared" si="1"/>
        <v>15344.82</v>
      </c>
      <c r="F7" s="67">
        <f t="shared" si="1"/>
        <v>17264.52</v>
      </c>
      <c r="G7" s="67">
        <f>G5*G6</f>
        <v>17268.3</v>
      </c>
      <c r="H7" s="73">
        <f>H5*H6</f>
        <v>15522.375</v>
      </c>
    </row>
    <row r="8" spans="1:8" s="29" customFormat="1" ht="13.15" x14ac:dyDescent="0.4">
      <c r="B8" s="68" t="s">
        <v>65</v>
      </c>
      <c r="C8" s="68"/>
      <c r="D8" s="69">
        <v>0.27</v>
      </c>
      <c r="E8" s="69">
        <v>0.56999999999999995</v>
      </c>
      <c r="F8" s="69">
        <v>0.85</v>
      </c>
      <c r="G8" s="69">
        <v>0.77</v>
      </c>
      <c r="H8" s="74">
        <v>0.7</v>
      </c>
    </row>
    <row r="9" spans="1:8" s="30" customFormat="1" x14ac:dyDescent="0.45">
      <c r="B9" s="66" t="s">
        <v>67</v>
      </c>
      <c r="C9" s="66"/>
      <c r="D9" s="67">
        <f t="shared" ref="D9:F9" si="2">D7*D8</f>
        <v>3127.6530000000002</v>
      </c>
      <c r="E9" s="67">
        <f t="shared" si="2"/>
        <v>8746.5473999999995</v>
      </c>
      <c r="F9" s="67">
        <f t="shared" si="2"/>
        <v>14674.842000000001</v>
      </c>
      <c r="G9" s="67">
        <f>G7*G8</f>
        <v>13296.591</v>
      </c>
      <c r="H9" s="73">
        <f>H7*H8</f>
        <v>10865.662499999999</v>
      </c>
    </row>
    <row r="19" spans="2:6" x14ac:dyDescent="0.45">
      <c r="B19" t="s">
        <v>40</v>
      </c>
    </row>
    <row r="20" spans="2:6" x14ac:dyDescent="0.45">
      <c r="B20" t="s">
        <v>62</v>
      </c>
      <c r="D20" t="s">
        <v>63</v>
      </c>
      <c r="F20" t="s">
        <v>64</v>
      </c>
    </row>
  </sheetData>
  <pageMargins left="0.7" right="0.7" top="0.75" bottom="0.75" header="0.3" footer="0.3"/>
  <pageSetup orientation="portrait" r:id="rId1"/>
  <ignoredErrors>
    <ignoredError sqref="H7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13770-B34B-4D5A-822C-79EAD3E0ECB8}">
  <dimension ref="A1:P30"/>
  <sheetViews>
    <sheetView showGridLines="0" zoomScale="56" workbookViewId="0">
      <selection sqref="A1:P31"/>
    </sheetView>
  </sheetViews>
  <sheetFormatPr defaultRowHeight="14.25" x14ac:dyDescent="0.45"/>
  <cols>
    <col min="1" max="1" width="2.59765625" style="28" customWidth="1"/>
    <col min="2" max="2" width="23.1328125" bestFit="1" customWidth="1"/>
    <col min="5" max="5" width="10.6640625" bestFit="1" customWidth="1"/>
    <col min="9" max="9" width="3.59765625" customWidth="1"/>
    <col min="11" max="12" width="11.59765625" customWidth="1"/>
    <col min="13" max="13" width="5.59765625" customWidth="1"/>
    <col min="14" max="14" width="15.1328125" bestFit="1" customWidth="1"/>
    <col min="15" max="16" width="15.59765625" customWidth="1"/>
  </cols>
  <sheetData>
    <row r="1" spans="1:16" ht="25.5" x14ac:dyDescent="0.75">
      <c r="A1" s="62" t="s">
        <v>68</v>
      </c>
    </row>
    <row r="2" spans="1:16" x14ac:dyDescent="0.45">
      <c r="K2" s="76" t="s">
        <v>80</v>
      </c>
      <c r="L2" s="76"/>
    </row>
    <row r="3" spans="1:16" x14ac:dyDescent="0.45">
      <c r="A3" s="28" t="s">
        <v>56</v>
      </c>
      <c r="B3" s="18" t="s">
        <v>73</v>
      </c>
      <c r="C3" s="18"/>
      <c r="D3" s="18"/>
      <c r="E3" s="18"/>
      <c r="F3" s="18"/>
      <c r="G3" s="18"/>
      <c r="H3" s="18"/>
      <c r="J3" s="53" t="s">
        <v>78</v>
      </c>
      <c r="K3" s="54" t="s">
        <v>76</v>
      </c>
      <c r="L3" s="54" t="s">
        <v>77</v>
      </c>
      <c r="N3" s="56" t="s">
        <v>85</v>
      </c>
      <c r="O3" s="55" t="s">
        <v>76</v>
      </c>
      <c r="P3" s="55" t="s">
        <v>77</v>
      </c>
    </row>
    <row r="4" spans="1:16" x14ac:dyDescent="0.45">
      <c r="J4" s="51">
        <v>45590</v>
      </c>
      <c r="K4">
        <v>27.28</v>
      </c>
      <c r="L4" s="50">
        <v>2.4900000000000002</v>
      </c>
      <c r="N4" t="s">
        <v>82</v>
      </c>
      <c r="O4" s="57" cm="1">
        <f t="array" ref="O4">_xlfn.STDEV.S((K4:K27)/100)</f>
        <v>0.12031129068656302</v>
      </c>
      <c r="P4" s="57" cm="1">
        <f t="array" ref="P4">_xlfn.STDEV.S((L4:L27)/100)</f>
        <v>0.11883524758606169</v>
      </c>
    </row>
    <row r="5" spans="1:16" x14ac:dyDescent="0.45">
      <c r="B5" t="s">
        <v>74</v>
      </c>
      <c r="E5" s="49">
        <v>42000</v>
      </c>
      <c r="J5" s="52">
        <v>45565</v>
      </c>
      <c r="K5">
        <v>-21.4</v>
      </c>
      <c r="L5" s="50">
        <v>-7.48</v>
      </c>
      <c r="N5" t="s">
        <v>83</v>
      </c>
      <c r="P5" s="58">
        <f>CORREL(K4:K27,L4:L27)</f>
        <v>0.77358189506790087</v>
      </c>
    </row>
    <row r="6" spans="1:16" x14ac:dyDescent="0.45">
      <c r="B6" t="s">
        <v>75</v>
      </c>
      <c r="E6" s="23">
        <v>42</v>
      </c>
      <c r="J6" s="51">
        <v>45534</v>
      </c>
      <c r="K6">
        <v>-8.39</v>
      </c>
      <c r="L6" s="50">
        <v>-6.71</v>
      </c>
      <c r="N6" s="30" t="s">
        <v>84</v>
      </c>
      <c r="P6" s="59">
        <f>P5*(P4/O4)</f>
        <v>0.76409117967143436</v>
      </c>
    </row>
    <row r="7" spans="1:16" x14ac:dyDescent="0.45">
      <c r="B7" t="s">
        <v>86</v>
      </c>
      <c r="E7" s="60">
        <f>E5/E6</f>
        <v>1000</v>
      </c>
      <c r="J7" s="52">
        <v>45504</v>
      </c>
      <c r="K7">
        <v>-4.87</v>
      </c>
      <c r="L7" s="50">
        <v>-7.58</v>
      </c>
    </row>
    <row r="8" spans="1:16" x14ac:dyDescent="0.45">
      <c r="J8" s="51">
        <v>45471</v>
      </c>
      <c r="K8">
        <v>4.75</v>
      </c>
      <c r="L8" s="50">
        <v>7.68</v>
      </c>
    </row>
    <row r="9" spans="1:16" x14ac:dyDescent="0.45">
      <c r="B9" s="29" t="s">
        <v>70</v>
      </c>
      <c r="J9" s="52">
        <v>45443</v>
      </c>
      <c r="K9">
        <v>-5.76</v>
      </c>
      <c r="L9" s="50">
        <v>-7.25</v>
      </c>
    </row>
    <row r="10" spans="1:16" x14ac:dyDescent="0.45">
      <c r="A10" s="28" t="s">
        <v>56</v>
      </c>
      <c r="B10" s="46" t="s">
        <v>69</v>
      </c>
      <c r="C10" s="40">
        <v>2019</v>
      </c>
      <c r="D10" s="40">
        <v>2020</v>
      </c>
      <c r="E10" s="40">
        <f>+D10+1</f>
        <v>2021</v>
      </c>
      <c r="F10" s="40">
        <f t="shared" ref="F10:G10" si="0">+E10+1</f>
        <v>2022</v>
      </c>
      <c r="G10" s="40">
        <f t="shared" si="0"/>
        <v>2023</v>
      </c>
      <c r="H10" s="40" t="s">
        <v>66</v>
      </c>
      <c r="J10" s="51">
        <v>45412</v>
      </c>
      <c r="K10">
        <v>-4.4800000000000004</v>
      </c>
      <c r="L10" s="50">
        <v>-2.2200000000000002</v>
      </c>
    </row>
    <row r="11" spans="1:16" x14ac:dyDescent="0.45">
      <c r="B11" s="66" t="s">
        <v>71</v>
      </c>
      <c r="C11" s="67">
        <v>406000</v>
      </c>
      <c r="D11" s="67">
        <v>213000</v>
      </c>
      <c r="E11" s="67">
        <v>220000</v>
      </c>
      <c r="F11" s="67">
        <v>338000</v>
      </c>
      <c r="G11" s="67">
        <v>336000</v>
      </c>
      <c r="H11" s="73">
        <f>AVERAGE(C11:G11)</f>
        <v>302600</v>
      </c>
      <c r="J11" s="52">
        <v>45379</v>
      </c>
      <c r="K11">
        <v>-2.66</v>
      </c>
      <c r="L11" s="50">
        <v>-1.02</v>
      </c>
    </row>
    <row r="12" spans="1:16" x14ac:dyDescent="0.45">
      <c r="B12" s="42" t="s">
        <v>72</v>
      </c>
      <c r="C12" s="68"/>
      <c r="D12" s="69">
        <f>D11/C11-1</f>
        <v>-0.47536945812807885</v>
      </c>
      <c r="E12" s="69">
        <f t="shared" ref="E12:H12" si="1">E11/D11-1</f>
        <v>3.2863849765258246E-2</v>
      </c>
      <c r="F12" s="69">
        <f t="shared" si="1"/>
        <v>0.53636363636363638</v>
      </c>
      <c r="G12" s="69">
        <f t="shared" si="1"/>
        <v>-5.9171597633136397E-3</v>
      </c>
      <c r="H12" s="78">
        <f t="shared" si="1"/>
        <v>-9.9404761904761885E-2</v>
      </c>
      <c r="J12" s="51">
        <v>45351</v>
      </c>
      <c r="K12">
        <v>-4.1399999999999997</v>
      </c>
      <c r="L12" s="50">
        <v>-5.48</v>
      </c>
    </row>
    <row r="13" spans="1:16" x14ac:dyDescent="0.45">
      <c r="B13" s="31" t="s">
        <v>87</v>
      </c>
      <c r="C13" s="32">
        <f>C11/$E$7</f>
        <v>406</v>
      </c>
      <c r="D13" s="32">
        <f t="shared" ref="D13:H13" si="2">D11/$E$7</f>
        <v>213</v>
      </c>
      <c r="E13" s="32">
        <f t="shared" si="2"/>
        <v>220</v>
      </c>
      <c r="F13" s="32">
        <f t="shared" si="2"/>
        <v>338</v>
      </c>
      <c r="G13" s="32">
        <f t="shared" si="2"/>
        <v>336</v>
      </c>
      <c r="H13" s="79">
        <f t="shared" si="2"/>
        <v>302.60000000000002</v>
      </c>
      <c r="J13" s="52">
        <v>45322</v>
      </c>
      <c r="K13">
        <v>10.72</v>
      </c>
      <c r="L13" s="50">
        <v>14.16</v>
      </c>
    </row>
    <row r="14" spans="1:16" x14ac:dyDescent="0.45">
      <c r="B14" s="33" t="s">
        <v>89</v>
      </c>
      <c r="C14" s="77">
        <f>C13/$P$6</f>
        <v>531.35019851241236</v>
      </c>
      <c r="D14" s="77">
        <f>D13/$P$6</f>
        <v>278.76254256931981</v>
      </c>
      <c r="E14" s="77">
        <f>E13/$P$6</f>
        <v>287.92375288849934</v>
      </c>
      <c r="F14" s="77">
        <f>F13/$P$6</f>
        <v>442.35558398323985</v>
      </c>
      <c r="G14" s="77">
        <f>G13/$P$6</f>
        <v>439.73809532061716</v>
      </c>
      <c r="H14" s="80">
        <f>H13/$P$6</f>
        <v>396.02603465481775</v>
      </c>
      <c r="J14" s="51">
        <v>45289</v>
      </c>
      <c r="K14">
        <v>-12.93</v>
      </c>
      <c r="L14" s="50">
        <v>-4.4800000000000004</v>
      </c>
    </row>
    <row r="15" spans="1:16" x14ac:dyDescent="0.45">
      <c r="B15" s="66" t="s">
        <v>88</v>
      </c>
      <c r="C15" s="67">
        <f>C14*28</f>
        <v>14877.805558347547</v>
      </c>
      <c r="D15" s="67">
        <f t="shared" ref="D15:H15" si="3">D14*28</f>
        <v>7805.3511919409548</v>
      </c>
      <c r="E15" s="67">
        <f t="shared" si="3"/>
        <v>8061.8650808779812</v>
      </c>
      <c r="F15" s="67">
        <f t="shared" si="3"/>
        <v>12385.956351530716</v>
      </c>
      <c r="G15" s="67">
        <f t="shared" si="3"/>
        <v>12312.666668977281</v>
      </c>
      <c r="H15" s="81">
        <f t="shared" si="3"/>
        <v>11088.728970334898</v>
      </c>
      <c r="J15" s="52">
        <v>45260</v>
      </c>
      <c r="K15">
        <v>-3.11</v>
      </c>
      <c r="L15" s="50">
        <v>-13.7</v>
      </c>
    </row>
    <row r="16" spans="1:16" x14ac:dyDescent="0.45">
      <c r="J16" s="51">
        <v>45230</v>
      </c>
      <c r="K16">
        <v>-10.14</v>
      </c>
      <c r="L16" s="50">
        <v>-9.27</v>
      </c>
    </row>
    <row r="17" spans="1:12" x14ac:dyDescent="0.45">
      <c r="A17" s="28" t="s">
        <v>56</v>
      </c>
      <c r="B17" s="18" t="s">
        <v>91</v>
      </c>
      <c r="C17" s="18"/>
      <c r="D17" s="18"/>
      <c r="E17" s="18"/>
      <c r="F17" s="18"/>
      <c r="G17" s="18"/>
      <c r="H17" s="18"/>
      <c r="J17" s="52">
        <v>45198</v>
      </c>
      <c r="K17">
        <v>8.74</v>
      </c>
      <c r="L17" s="50">
        <v>5.19</v>
      </c>
    </row>
    <row r="18" spans="1:12" x14ac:dyDescent="0.45">
      <c r="J18" s="51">
        <v>45169</v>
      </c>
      <c r="K18">
        <v>5.52</v>
      </c>
      <c r="L18" s="50">
        <v>5.0999999999999996</v>
      </c>
    </row>
    <row r="19" spans="1:12" x14ac:dyDescent="0.45">
      <c r="B19" t="s">
        <v>90</v>
      </c>
      <c r="E19" s="24">
        <v>0.2</v>
      </c>
      <c r="J19" s="52">
        <v>45138</v>
      </c>
      <c r="K19">
        <v>20.55</v>
      </c>
      <c r="L19" s="50">
        <v>27.34</v>
      </c>
    </row>
    <row r="20" spans="1:12" x14ac:dyDescent="0.45">
      <c r="A20" s="61"/>
      <c r="B20" t="s">
        <v>95</v>
      </c>
      <c r="E20" s="63">
        <f>(H11/P6)*28*E6*E19</f>
        <v>93145323.35081315</v>
      </c>
      <c r="J20" s="51">
        <v>45107</v>
      </c>
      <c r="K20">
        <v>11.21</v>
      </c>
      <c r="L20" s="50">
        <v>7.41</v>
      </c>
    </row>
    <row r="21" spans="1:12" x14ac:dyDescent="0.45">
      <c r="B21" s="30" t="s">
        <v>92</v>
      </c>
      <c r="C21" s="30"/>
      <c r="D21" s="30"/>
      <c r="E21" s="64">
        <f>E19*H15</f>
        <v>2217.7457940669797</v>
      </c>
      <c r="J21" s="52">
        <v>45077</v>
      </c>
      <c r="K21">
        <v>-4.7699999999999996</v>
      </c>
      <c r="L21" s="50">
        <v>-3.15</v>
      </c>
    </row>
    <row r="22" spans="1:12" x14ac:dyDescent="0.45">
      <c r="J22" s="51">
        <v>45044</v>
      </c>
      <c r="K22">
        <v>-9.57</v>
      </c>
      <c r="L22" s="50">
        <v>-15.03</v>
      </c>
    </row>
    <row r="23" spans="1:12" x14ac:dyDescent="0.45">
      <c r="J23" s="52">
        <v>45016</v>
      </c>
      <c r="K23">
        <v>-7.73</v>
      </c>
      <c r="L23" s="50">
        <v>-14.53</v>
      </c>
    </row>
    <row r="24" spans="1:12" x14ac:dyDescent="0.45">
      <c r="J24" s="51">
        <v>44985</v>
      </c>
      <c r="K24">
        <v>-12.07</v>
      </c>
      <c r="L24" s="50">
        <v>-13.5</v>
      </c>
    </row>
    <row r="25" spans="1:12" x14ac:dyDescent="0.45">
      <c r="J25" s="52">
        <v>44957</v>
      </c>
      <c r="K25">
        <v>-4.09</v>
      </c>
      <c r="L25" s="50">
        <v>3.12</v>
      </c>
    </row>
    <row r="26" spans="1:12" x14ac:dyDescent="0.45">
      <c r="J26" s="51">
        <v>44925</v>
      </c>
      <c r="K26">
        <v>-1.7</v>
      </c>
      <c r="L26" s="50">
        <v>13.56</v>
      </c>
    </row>
    <row r="27" spans="1:12" x14ac:dyDescent="0.45">
      <c r="J27" s="52">
        <v>44895</v>
      </c>
      <c r="K27">
        <v>-25.88</v>
      </c>
      <c r="L27" s="50">
        <v>-29.84</v>
      </c>
    </row>
    <row r="29" spans="1:12" x14ac:dyDescent="0.45">
      <c r="J29" t="s">
        <v>93</v>
      </c>
      <c r="K29" t="s">
        <v>81</v>
      </c>
    </row>
    <row r="30" spans="1:12" x14ac:dyDescent="0.45">
      <c r="J30" t="s">
        <v>94</v>
      </c>
      <c r="K30" t="s">
        <v>79</v>
      </c>
    </row>
  </sheetData>
  <mergeCells count="1">
    <mergeCell ref="K2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Tesla Details</vt:lpstr>
      <vt:lpstr>Tyson Foods Details</vt:lpstr>
      <vt:lpstr>ADM Details</vt:lpstr>
      <vt:lpstr>XOM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 Hogan</dc:creator>
  <cp:lastModifiedBy>Theodor Hogan</cp:lastModifiedBy>
  <dcterms:created xsi:type="dcterms:W3CDTF">2015-06-05T18:17:20Z</dcterms:created>
  <dcterms:modified xsi:type="dcterms:W3CDTF">2024-10-28T03:32:40Z</dcterms:modified>
</cp:coreProperties>
</file>